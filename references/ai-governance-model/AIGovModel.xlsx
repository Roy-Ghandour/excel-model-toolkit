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/Desktop/Work/ai-governance/model/"/>
    </mc:Choice>
  </mc:AlternateContent>
  <xr:revisionPtr revIDLastSave="0" documentId="13_ncr:1_{3C1A5FF4-1A39-694B-AE82-C111069009DE}" xr6:coauthVersionLast="47" xr6:coauthVersionMax="47" xr10:uidLastSave="{00000000-0000-0000-0000-000000000000}"/>
  <bookViews>
    <workbookView xWindow="0" yWindow="0" windowWidth="28800" windowHeight="18000" tabRatio="654" firstSheet="1" activeTab="4" xr2:uid="{0B8283AC-7E92-4B9F-8A89-1226AFE304A8}"/>
  </bookViews>
  <sheets>
    <sheet name="Project Variables" sheetId="5" r:id="rId1"/>
    <sheet name="Target Settings" sheetId="26" r:id="rId2"/>
    <sheet name="Results" sheetId="11" r:id="rId3"/>
    <sheet name="Result Targets" sheetId="12" r:id="rId4"/>
    <sheet name="KPI Impacts" sheetId="23" r:id="rId5"/>
    <sheet name="Economy Ministry" sheetId="13" r:id="rId6"/>
    <sheet name="Environment Ministry" sheetId="15" r:id="rId7"/>
    <sheet name="Defence Ministry" sheetId="16" r:id="rId8"/>
    <sheet name="Education Ministry" sheetId="17" r:id="rId9"/>
    <sheet name="Crises" sheetId="9" r:id="rId10"/>
    <sheet name="Breaking News" sheetId="24" r:id="rId11"/>
    <sheet name="Opportunities" sheetId="25" r:id="rId12"/>
  </sheets>
  <definedNames>
    <definedName name="_C1">Crises!$P$5:$X$5</definedName>
    <definedName name="_C1Enabled">Crises!$P$7:$X$7</definedName>
    <definedName name="_C1Prepared">Crises!$P$8:$X$8</definedName>
    <definedName name="_C1Show">Crises!$P$6:$X$6</definedName>
    <definedName name="_C1ShowCrisisCard">Crises!$P$9:$X$9</definedName>
    <definedName name="_C1Year">Crises!$P$4:$X$4</definedName>
    <definedName name="_C2">Crises!$AD$5:$AL$5</definedName>
    <definedName name="_C2Enabled">Crises!$AD$7:$AL$7</definedName>
    <definedName name="_C2Prepared">Crises!$AD$8:$AL$8</definedName>
    <definedName name="_C2Show">Crises!$AD$6:$AL$6</definedName>
    <definedName name="_C2ShowCrisisCard">Crises!$AD$9:$AL$9</definedName>
    <definedName name="_C2Year">Crises!$AD$4:$AL$4</definedName>
    <definedName name="_C3">Crises!$AR$5:$AZ$5</definedName>
    <definedName name="_C3Enabled">Crises!$AR$7:$AZ$7</definedName>
    <definedName name="_C3Prepared">Crises!$AR$8:$AZ$8</definedName>
    <definedName name="_C3Show">Crises!$AR$6:$AZ$6</definedName>
    <definedName name="_C3ShowCrisisCard">Crises!$AR$9:$AZ$9</definedName>
    <definedName name="_C3Year">Crises!$AR$4:$AZ$4</definedName>
    <definedName name="_C4">Crises!$BF$5:$BN$5</definedName>
    <definedName name="_C4Enabled">Crises!$BF$7:$BN$7</definedName>
    <definedName name="_C4Prepared">Crises!$BF$8:$BN$8</definedName>
    <definedName name="_C4Show">Crises!$BF$6:$BN$6</definedName>
    <definedName name="_C4ShowCrisisCard">Crises!$BF$9:$BN$9</definedName>
    <definedName name="_C4Year">Crises!$BF$4:$BN$4</definedName>
    <definedName name="_C5">Crises!$BT$5:$CB$5</definedName>
    <definedName name="_C5Enabled">Crises!$BT$7:$CB$7</definedName>
    <definedName name="_C5Prepared">Crises!$BT$8:$CB$8</definedName>
    <definedName name="_C5Show">Crises!$BT$6:$CB$6</definedName>
    <definedName name="_C5ShowCrisisCard">Crises!$BT$9:$CB$9</definedName>
    <definedName name="_C5Year">Crises!$BT$4:$CB$4</definedName>
    <definedName name="_C6">Crises!$CH$5:$CP$5</definedName>
    <definedName name="_C6Enabled">Crises!$CH$7:$CP$7</definedName>
    <definedName name="_C6Prepared">Crises!$CH$8:$CP$8</definedName>
    <definedName name="_C6Show">Crises!$CH$6:$CP$6</definedName>
    <definedName name="_C6ShowCrisisCard">Crises!$CH$9:$CP$9</definedName>
    <definedName name="_C6Year">Crises!$CH$4:$CP$4</definedName>
    <definedName name="_C7">Crises!$CV$5:$DD$5</definedName>
    <definedName name="_C7Enabled">Crises!$CV$7:$DD$7</definedName>
    <definedName name="_C7Prepared">Crises!$CV$8:$DD$8</definedName>
    <definedName name="_C7Show">Crises!$CV$6:$DD$6</definedName>
    <definedName name="_C7ShowCrisisCard">Crises!$CV$9:$DD$9</definedName>
    <definedName name="_C7Year">Crises!$CV$4:$DD$4</definedName>
    <definedName name="_C8">Crises!$DJ$5:$DR$5</definedName>
    <definedName name="_C8Enabled">Crises!$DJ$7:$DR$7</definedName>
    <definedName name="_C8Prepared">Crises!$DJ$8:$DR$8</definedName>
    <definedName name="_C8Show">Crises!$DJ$6:$DR$6</definedName>
    <definedName name="_C8ShowCrisisCard">Crises!$DJ$9:$DR$9</definedName>
    <definedName name="_C8Year">Crises!$DJ$4:$DR$4</definedName>
    <definedName name="Accountability">Results!$B$69:$J$69</definedName>
    <definedName name="AIContributionToGDP">Results!$B$73:$J$73</definedName>
    <definedName name="AIContributionToGDPPercOfTargetAchieved">'Result Targets'!$B$73:$J$73</definedName>
    <definedName name="AIContributionToGDPTarget">'Result Targets'!$B$5:$J$5</definedName>
    <definedName name="AIFDIStock">Results!$B$74:$J$74</definedName>
    <definedName name="AIFDIStockPercOfTargetAchieved">'Result Targets'!$B$74:$J$74</definedName>
    <definedName name="AIFDIStockTarget">'Result Targets'!$B$6:$J$6</definedName>
    <definedName name="AIFeedbackEnabled">'Project Variables'!$B$7</definedName>
    <definedName name="AILiteracy">Results!$B$102:$J$102</definedName>
    <definedName name="AILiteracyPercOfTargetAchieved">'Result Targets'!$B$102:$J$102</definedName>
    <definedName name="AILiteracyTarget">'Result Targets'!$B$31:$J$31</definedName>
    <definedName name="AutonomousSystemsSafteyIndex">Results!$B$94:$J$94</definedName>
    <definedName name="AutonomousSystemsSafteyIndexPercOfTargetAchieved">'Result Targets'!$B$94:$J$94</definedName>
    <definedName name="AutonomousSystemsSafteyIndexTarget">'Result Targets'!$B$24:$J$24</definedName>
    <definedName name="AverageMinistryScore">Results!$B$118:$J$118</definedName>
    <definedName name="CarbonIntensityFromDataCenters">Results!$B$83:$J$83</definedName>
    <definedName name="CircularityIndex">Results!$B$87:$J$87</definedName>
    <definedName name="CircularityIndexPercOfTargetAchieved">'Result Targets'!$B$87:$J$87</definedName>
    <definedName name="CircularityIndexTarget">'Result Targets'!$B$18:$J$18</definedName>
    <definedName name="CybersecurityIndex">Results!$B$93:$J$93</definedName>
    <definedName name="CybersecurityIndexPercOfTargetAchieved">'Result Targets'!$B$93:$J$93</definedName>
    <definedName name="CybersecurityIndexTarget">'Result Targets'!$B$23:$J$23</definedName>
    <definedName name="DefAvaialbleToAllocate">'Defence Ministry'!$B$111:$J$111</definedName>
    <definedName name="DefBudget">'Defence Ministry'!$B$108:$J$108</definedName>
    <definedName name="DefBudgetRemaining">'Defence Ministry'!$B$113:$J$113</definedName>
    <definedName name="DefEnabled">'Project Variables'!$B$15</definedName>
    <definedName name="DefenseExports">Results!$B$95:$J$95</definedName>
    <definedName name="DefenseImports">Results!$B$96:$J$96</definedName>
    <definedName name="DefenseScore">Results!$B$98:$J$98</definedName>
    <definedName name="DefInitialCost">'Defence Ministry'!$B$109:$J$109</definedName>
    <definedName name="DefNextYearReucurringCost">'Defence Ministry'!$B$114:$J$114</definedName>
    <definedName name="DefPro10">'Defence Ministry'!$FH$4:$FP$4</definedName>
    <definedName name="DefPro10CanCancel">'Defence Ministry'!$FH$19</definedName>
    <definedName name="DefPro10CostRecurringValue">'Defence Ministry'!$FH$14</definedName>
    <definedName name="DefPro10CostValue">'Defence Ministry'!$FH$12</definedName>
    <definedName name="DefPro10Decided2yrsago">'Defence Ministry'!$FH$10:$FP$10</definedName>
    <definedName name="DefPro10Decidedlastyr">'Defence Ministry'!$FH$9:$FP$9</definedName>
    <definedName name="DefPro10New">'Defence Ministry'!$FH$7:$FP$7</definedName>
    <definedName name="DefPro10Reasoning">'Defence Ministry'!$FH$15</definedName>
    <definedName name="DefPro10Response">'Defence Ministry'!$FH$16</definedName>
    <definedName name="DefPro10Show">'Defence Ministry'!$FH$6:$FP$6</definedName>
    <definedName name="DefPro10Sort">'Defence Ministry'!$FH$8:$FP$8</definedName>
    <definedName name="DefPro10Type">'Defence Ministry'!$FH$18</definedName>
    <definedName name="DefPro10YearSelected">'Defence Ministry'!$FH$17</definedName>
    <definedName name="DefPro11">'Defence Ministry'!$FX$4:$GF$4</definedName>
    <definedName name="DefPro11CanCancel">'Defence Ministry'!$FX$19</definedName>
    <definedName name="DefPro11CostRecurringValue">'Defence Ministry'!$FX$14</definedName>
    <definedName name="DefPro11CostValue">'Defence Ministry'!$FX$12</definedName>
    <definedName name="DefPro11Decided2yrsago">'Defence Ministry'!$FX$10:$GF$10</definedName>
    <definedName name="DefPro11Decidedlastyr">'Defence Ministry'!$FX$9:$GF$9</definedName>
    <definedName name="DefPro11New">'Defence Ministry'!$FX$7:$GF$7</definedName>
    <definedName name="DefPro11Reasoning">'Defence Ministry'!$FX$15</definedName>
    <definedName name="DefPro11Response">'Defence Ministry'!$FX$16</definedName>
    <definedName name="DefPro11Show">'Defence Ministry'!$FX$6:$GF$6</definedName>
    <definedName name="DefPro11Sort">'Defence Ministry'!$FX$8:$GF$8</definedName>
    <definedName name="DefPro11Type">'Defence Ministry'!$FX$18</definedName>
    <definedName name="DefPro11YearSelected">'Defence Ministry'!$FX$17</definedName>
    <definedName name="DefPro12">'Defence Ministry'!$GN$4:$GV$4</definedName>
    <definedName name="DefPro12CanCancel">'Defence Ministry'!$GN$19</definedName>
    <definedName name="DefPro12CostRecurringValue">'Defence Ministry'!$GN$14</definedName>
    <definedName name="DefPro12CostValue">'Defence Ministry'!$GN$12</definedName>
    <definedName name="DefPro12Decided2yrsago">'Defence Ministry'!$GN$10:$GV$10</definedName>
    <definedName name="DefPro12Decidedlastyr">'Defence Ministry'!$GN$9:$GV$9</definedName>
    <definedName name="DefPro12New">'Defence Ministry'!$GN$7:$GV$7</definedName>
    <definedName name="DefPro12Reasoning">'Defence Ministry'!$GN$15</definedName>
    <definedName name="DefPro12Response">'Defence Ministry'!$GN$16</definedName>
    <definedName name="DefPro12Show">'Defence Ministry'!$GN$6:$GV$6</definedName>
    <definedName name="DefPro12Sort">'Defence Ministry'!$GN$8:$GV$8</definedName>
    <definedName name="DefPro12Type">'Defence Ministry'!$GN$18</definedName>
    <definedName name="DefPro12YearSelected">'Defence Ministry'!$GN$17</definedName>
    <definedName name="DefPro13">'Defence Ministry'!$HD$4:$HL$4</definedName>
    <definedName name="DefPro13CanCancel">'Defence Ministry'!$HD$19</definedName>
    <definedName name="DefPro13CostRecurringValue">'Defence Ministry'!$HD$14</definedName>
    <definedName name="DefPro13CostValue">'Defence Ministry'!$HD$12</definedName>
    <definedName name="DefPro13Decided2yrsago">'Defence Ministry'!$HD$10:$HL$10</definedName>
    <definedName name="DefPro13Decidedlastyr">'Defence Ministry'!$HD$9:$HL$9</definedName>
    <definedName name="DefPro13New">'Defence Ministry'!$HD$7:$HL$7</definedName>
    <definedName name="DefPro13Reasoning">'Defence Ministry'!$HD$15</definedName>
    <definedName name="DefPro13Response">'Defence Ministry'!$HD$16</definedName>
    <definedName name="DefPro13Show">'Defence Ministry'!$HD$6:$HL$6</definedName>
    <definedName name="DefPro13Sort">'Defence Ministry'!$HD$8:$HL$8</definedName>
    <definedName name="DefPro13Type">'Defence Ministry'!$HD$18</definedName>
    <definedName name="DefPro13YearSelected">'Defence Ministry'!$HD$17</definedName>
    <definedName name="DefPro14">'Defence Ministry'!$HT$4:$IB$4</definedName>
    <definedName name="DefPro14CanCancel">'Defence Ministry'!$HT$19</definedName>
    <definedName name="DefPro14CostRecurringValue">'Defence Ministry'!$HT$14</definedName>
    <definedName name="DefPro14CostValue">'Defence Ministry'!$HT$12</definedName>
    <definedName name="DefPro14Decided2yrsago">'Defence Ministry'!$HT$10:$IB$10</definedName>
    <definedName name="DefPro14Decidedlastyr">'Defence Ministry'!$HT$9:$IB$9</definedName>
    <definedName name="DefPro14New">'Defence Ministry'!$HT$7:$IB$7</definedName>
    <definedName name="DefPro14Reasoning">'Defence Ministry'!$HT$15</definedName>
    <definedName name="DefPro14Response">'Defence Ministry'!$HT$16</definedName>
    <definedName name="DefPro14Show">'Defence Ministry'!$HT$6:$IB$6</definedName>
    <definedName name="DefPro14Sort">'Defence Ministry'!$HT$8:$IB$8</definedName>
    <definedName name="DefPro14Type">'Defence Ministry'!$HT$18</definedName>
    <definedName name="DefPro14YearSelected">'Defence Ministry'!$HT$17</definedName>
    <definedName name="DefPro15">'Defence Ministry'!$IJ$4:$IR$4</definedName>
    <definedName name="DefPro15CanCancel">'Defence Ministry'!$IJ$19</definedName>
    <definedName name="DefPro15CostRecurringValue">'Defence Ministry'!$IJ$14</definedName>
    <definedName name="DefPro15CostValue">'Defence Ministry'!$IJ$12</definedName>
    <definedName name="DefPro15Decided2yrsago">'Defence Ministry'!$IJ$10:$IR$10</definedName>
    <definedName name="DefPro15Decidedlastyr">'Defence Ministry'!$IJ$9:$IR$9</definedName>
    <definedName name="DefPro15New">'Defence Ministry'!$IJ$7:$IR$7</definedName>
    <definedName name="DefPro15Reasoning">'Defence Ministry'!$IJ$15</definedName>
    <definedName name="DefPro15Response">'Defence Ministry'!$IJ$16</definedName>
    <definedName name="DefPro15Show">'Defence Ministry'!$IJ$6:$IR$6</definedName>
    <definedName name="DefPro15Sort">'Defence Ministry'!$IJ$8:$IR$8</definedName>
    <definedName name="DefPro15Type">'Defence Ministry'!$IJ$18</definedName>
    <definedName name="DefPro15YearSelected">'Defence Ministry'!$IJ$17</definedName>
    <definedName name="DefPro16">'Defence Ministry'!$IZ$4:$JH$4</definedName>
    <definedName name="DefPro16CanCancel">'Defence Ministry'!$IZ$19</definedName>
    <definedName name="DefPro16CostRecurringValue">'Defence Ministry'!$IZ$14</definedName>
    <definedName name="DefPro16CostValue">'Defence Ministry'!$IZ$12</definedName>
    <definedName name="DefPro16Decided2yrsago">'Defence Ministry'!$IZ$10:$JH$10</definedName>
    <definedName name="DefPro16Decidedlastyr">'Defence Ministry'!$IZ$9:$JH$9</definedName>
    <definedName name="DefPro16New">'Defence Ministry'!$IZ$7:$JH$7</definedName>
    <definedName name="DefPro16Reasoning">'Defence Ministry'!$IZ$15</definedName>
    <definedName name="DefPro16Response">'Defence Ministry'!$IZ$16</definedName>
    <definedName name="DefPro16Show">'Defence Ministry'!$IZ$6:$JH$6</definedName>
    <definedName name="DefPro16Sort">'Defence Ministry'!$IZ$8:$JH$8</definedName>
    <definedName name="DefPro16Type">'Defence Ministry'!$IZ$18</definedName>
    <definedName name="DefPro16YearSelected">'Defence Ministry'!$IZ$17</definedName>
    <definedName name="DefPro17">'Defence Ministry'!$JP$4:$JX$4</definedName>
    <definedName name="DefPro17CanCancel">'Defence Ministry'!$JP$19</definedName>
    <definedName name="DefPro17CostRecurringValue">'Defence Ministry'!$JP$14</definedName>
    <definedName name="DefPro17CostValue">'Defence Ministry'!$JP$12</definedName>
    <definedName name="DefPro17Decided2yrsago">'Defence Ministry'!$JP$10:$JX$10</definedName>
    <definedName name="DefPro17Decidedlastyr">'Defence Ministry'!$JP$9:$JX$9</definedName>
    <definedName name="DefPro17New">'Defence Ministry'!$JP$7:$JX$7</definedName>
    <definedName name="DefPro17Reasoning">'Defence Ministry'!$JP$15</definedName>
    <definedName name="DefPro17Response">'Defence Ministry'!$JP$16</definedName>
    <definedName name="DefPro17Show">'Defence Ministry'!$JP$6:$JX$6</definedName>
    <definedName name="DefPro17Sort">'Defence Ministry'!$JP$8:$JX$8</definedName>
    <definedName name="DefPro17Type">'Defence Ministry'!$JP$18</definedName>
    <definedName name="DefPro17YearSelected">'Defence Ministry'!$JP$17</definedName>
    <definedName name="DefPro18">'Defence Ministry'!$KF$4:$KN$4</definedName>
    <definedName name="DefPro18CanCancel">'Defence Ministry'!$KF$19</definedName>
    <definedName name="DefPro18CostRecurringValue">'Defence Ministry'!$KF$14</definedName>
    <definedName name="DefPro18CostValue">'Defence Ministry'!$KF$12</definedName>
    <definedName name="DefPro18Decided2yrsago">'Defence Ministry'!$KF$10:$KN$10</definedName>
    <definedName name="DefPro18Decidedlastyr">'Defence Ministry'!$KF$9:$KN$9</definedName>
    <definedName name="DefPro18New">'Defence Ministry'!$KF$7:$KN$7</definedName>
    <definedName name="DefPro18Reasoning">'Defence Ministry'!$KF$15</definedName>
    <definedName name="DefPro18Response">'Defence Ministry'!$KF$16</definedName>
    <definedName name="DefPro18Show">'Defence Ministry'!$KF$6:$KN$6</definedName>
    <definedName name="DefPro18Sort">'Defence Ministry'!$KF$8:$KN$8</definedName>
    <definedName name="DefPro18YearSelected">'Defence Ministry'!$KF$17</definedName>
    <definedName name="DefPro19">'Defence Ministry'!$KV$4:$LD$4</definedName>
    <definedName name="DefPro19CanCancel">'Defence Ministry'!$KV$19</definedName>
    <definedName name="DefPro19CostRecurringValue">'Defence Ministry'!$KV$14</definedName>
    <definedName name="DefPro19CostValue">'Defence Ministry'!$KV$12</definedName>
    <definedName name="DefPro19Decided2yrsago">'Defence Ministry'!$KV$10:$LD$10</definedName>
    <definedName name="DefPro19Decidedlastyr">'Defence Ministry'!$KV$9:$LD$9</definedName>
    <definedName name="DefPro19New">'Defence Ministry'!$KV$7:$LD$7</definedName>
    <definedName name="DefPro19Reasoning">'Defence Ministry'!$KV$15</definedName>
    <definedName name="DefPro19Response">'Defence Ministry'!$KV$16</definedName>
    <definedName name="DefPro19Show">'Defence Ministry'!$KV$6:$LD$6</definedName>
    <definedName name="DefPro19Sort">'Defence Ministry'!$KV$8:$LD$8</definedName>
    <definedName name="DefPro19YearSelected">'Defence Ministry'!$KV$17</definedName>
    <definedName name="DefPro20">'Defence Ministry'!$LL$4:$LT$4</definedName>
    <definedName name="DefPro20CanCancel">'Defence Ministry'!$LL$19</definedName>
    <definedName name="DefPro20CostRecurringValue">'Defence Ministry'!$LL$14</definedName>
    <definedName name="DefPro20CostValue">'Defence Ministry'!$LL$12</definedName>
    <definedName name="DefPro20Decided2yrsago">'Defence Ministry'!$LL$10:$LT$10</definedName>
    <definedName name="DefPro20Decidedlastyr">'Defence Ministry'!$LL$9:$LT$9</definedName>
    <definedName name="DefPro20New">'Defence Ministry'!$LL$7:$LT$7</definedName>
    <definedName name="DefPro20Reasoning">'Defence Ministry'!$LL$15</definedName>
    <definedName name="DefPro20Response">'Defence Ministry'!$LL$16</definedName>
    <definedName name="DefPro20Show">'Defence Ministry'!$LL$6:$LT$6</definedName>
    <definedName name="DefPro20Sort">'Defence Ministry'!$LL$8:$LT$8</definedName>
    <definedName name="DefPro20YearSelected">'Defence Ministry'!$LL$17</definedName>
    <definedName name="DefPro21">'Defence Ministry'!$MB$4:$MJ$4</definedName>
    <definedName name="DefPro21CanCancel">'Defence Ministry'!$MB$19</definedName>
    <definedName name="DefPro21CostRecurringValue">'Defence Ministry'!$MB$14</definedName>
    <definedName name="DefPro21CostValue">'Defence Ministry'!$MB$12</definedName>
    <definedName name="DefPro21Decided2yrsago">'Defence Ministry'!$MB$10:$MJ$10</definedName>
    <definedName name="DefPro21Decidedlastyr">'Defence Ministry'!$MB$9:$MJ$9</definedName>
    <definedName name="DefPro21New">'Defence Ministry'!$MB$7:$MJ$7</definedName>
    <definedName name="DefPro21Reasoning">'Defence Ministry'!$MB$15</definedName>
    <definedName name="DefPro21Response">'Defence Ministry'!$MB$16</definedName>
    <definedName name="DefPro21Show">'Defence Ministry'!$MB$6:$MJ$6</definedName>
    <definedName name="DefPro21Sort">'Defence Ministry'!$MB$8:$MJ$8</definedName>
    <definedName name="DefPro21YearSelected">'Defence Ministry'!$MB$17</definedName>
    <definedName name="DefPro22">'Defence Ministry'!$MR$4:$MZ$4</definedName>
    <definedName name="DefPro22CanCancel">'Defence Ministry'!$MR$19</definedName>
    <definedName name="DefPro22CostRecurringValue">'Defence Ministry'!$MR$14</definedName>
    <definedName name="DefPro22CostValue">'Defence Ministry'!$MR$12</definedName>
    <definedName name="DefPro22Decided2yrsago">'Defence Ministry'!$MR$10:$MZ$10</definedName>
    <definedName name="DefPro22Decidedlastyr">'Defence Ministry'!$MR$9:$MZ$9</definedName>
    <definedName name="DefPro22New">'Defence Ministry'!$MR$7:$MZ$7</definedName>
    <definedName name="DefPro22Reasoning">'Defence Ministry'!$MR$15</definedName>
    <definedName name="DefPro22Response">'Defence Ministry'!$MR$16</definedName>
    <definedName name="DefPro22Show">'Defence Ministry'!$MR$6:$MZ$6</definedName>
    <definedName name="DefPro22Sort">'Defence Ministry'!$MR$8:$MZ$8</definedName>
    <definedName name="DefPro22YearSelected">'Defence Ministry'!$MR$17</definedName>
    <definedName name="DefPro23">'Defence Ministry'!$NH$4:$NP$4</definedName>
    <definedName name="DefPro23CanCancel">'Defence Ministry'!$NH$19</definedName>
    <definedName name="DefPro23CostRecurringValue">'Defence Ministry'!$NH$14</definedName>
    <definedName name="DefPro23CostValue">'Defence Ministry'!$NH$12</definedName>
    <definedName name="DefPro23Decided2yrsago">'Defence Ministry'!$NH$10:$NP$10</definedName>
    <definedName name="DefPro23Decidedlastyr">'Defence Ministry'!$NH$9:$NP$9</definedName>
    <definedName name="DefPro23New">'Defence Ministry'!$NH$7:$NP$7</definedName>
    <definedName name="DefPro23Reasoning">'Defence Ministry'!$NH$15</definedName>
    <definedName name="DefPro23Response">'Defence Ministry'!$NH$16</definedName>
    <definedName name="DefPro23Show">'Defence Ministry'!$NH$6:$NP$6</definedName>
    <definedName name="DefPro23Sort">'Defence Ministry'!$NH$8:$NP$8</definedName>
    <definedName name="DefPro23YearSelected">'Defence Ministry'!$NH$17</definedName>
    <definedName name="DefPro24">'Defence Ministry'!$NX$4:$OF$4</definedName>
    <definedName name="DefPro24CanCancel">'Defence Ministry'!$NX$19</definedName>
    <definedName name="DefPro24CostRecurringValue">'Defence Ministry'!$NX$14</definedName>
    <definedName name="DefPro24CostValue">'Defence Ministry'!$NX$12</definedName>
    <definedName name="DefPro24Decided2yrsago">'Defence Ministry'!$NX$10:$OF$10</definedName>
    <definedName name="DefPro24Decidedlastyr">'Defence Ministry'!$NX$9:$OF$9</definedName>
    <definedName name="DefPro24New">'Defence Ministry'!$NX$7:$OF$7</definedName>
    <definedName name="DefPro24Reasoning">'Defence Ministry'!$NX$15</definedName>
    <definedName name="DefPro24Response">'Defence Ministry'!$NX$16</definedName>
    <definedName name="DefPro24Show">'Defence Ministry'!$NX$6:$OF$6</definedName>
    <definedName name="DefPro24Sort">'Defence Ministry'!$NX$8:$OF$8</definedName>
    <definedName name="DefPro24YearSelected">'Defence Ministry'!$NX$17</definedName>
    <definedName name="DefPro3">'Defence Ministry'!$AZ$4:$BH$4</definedName>
    <definedName name="DefPro3CanCancel">'Defence Ministry'!$AZ$19</definedName>
    <definedName name="DefPro3CostRecurringValue">'Defence Ministry'!$AZ$14</definedName>
    <definedName name="DefPro3CostValue">'Defence Ministry'!$AZ$12</definedName>
    <definedName name="DefPro3Decided2yrsago">'Defence Ministry'!$AZ$10:$BH$10</definedName>
    <definedName name="DefPro3Decidedlastyr">'Defence Ministry'!$AZ$9:$BH$9</definedName>
    <definedName name="DefPro3New">'Defence Ministry'!$AZ$7:$BH$7</definedName>
    <definedName name="DefPro3Reasoning">'Defence Ministry'!$AZ$15</definedName>
    <definedName name="DefPro3Response">'Defence Ministry'!$AZ$16</definedName>
    <definedName name="DefPro3Show">'Defence Ministry'!$AZ$6:$BH$6</definedName>
    <definedName name="DefPro3Sort">'Defence Ministry'!$AZ$8:$BH$8</definedName>
    <definedName name="DefPro3Type">'Defence Ministry'!$AZ$18</definedName>
    <definedName name="DefPro3YearSelected">'Defence Ministry'!$AZ$17</definedName>
    <definedName name="DefPro4">'Defence Ministry'!$BP$4:$BX$4</definedName>
    <definedName name="DefPro4CanCancel">'Defence Ministry'!$BP$19</definedName>
    <definedName name="DefPro4CostRecurringValue">'Defence Ministry'!$BP$14</definedName>
    <definedName name="DefPro4CostValue">'Defence Ministry'!$BP$12</definedName>
    <definedName name="DefPro4Decided2yrsago">'Defence Ministry'!$BP$10:$BX$10</definedName>
    <definedName name="DefPro4Decidedlastyr">'Defence Ministry'!$BP$9:$BX$9</definedName>
    <definedName name="DefPro4New">'Defence Ministry'!$BP$7:$BX$7</definedName>
    <definedName name="DefPro4Reasoning">'Defence Ministry'!$BP$15</definedName>
    <definedName name="DefPro4Response">'Defence Ministry'!$BP$16</definedName>
    <definedName name="DefPro4Show">'Defence Ministry'!$BP$6:$BX$6</definedName>
    <definedName name="DefPro4Sort">'Defence Ministry'!$BP$8:$BX$8</definedName>
    <definedName name="DefPro4Type">'Defence Ministry'!$BP$18</definedName>
    <definedName name="DefPro4YearSelected">'Defence Ministry'!$BP$17</definedName>
    <definedName name="DefPro5">'Defence Ministry'!$CF$4:$CN$4</definedName>
    <definedName name="DefPro5CanCancel">'Defence Ministry'!$CF$19</definedName>
    <definedName name="DefPro5CostRecurringValue">'Defence Ministry'!$CF$14</definedName>
    <definedName name="DefPro5CostValue">'Defence Ministry'!$CF$12</definedName>
    <definedName name="DefPro5Decided2yrsago">'Defence Ministry'!$CF$10:$CN$10</definedName>
    <definedName name="DefPro5Decidedlastyr">'Defence Ministry'!$CF$9:$CN$9</definedName>
    <definedName name="DefPro5New">'Defence Ministry'!$CF$7:$CN$7</definedName>
    <definedName name="DefPro5Reasoning">'Defence Ministry'!$CF$15</definedName>
    <definedName name="DefPro5Response">'Defence Ministry'!$CF$16</definedName>
    <definedName name="DefPro5Show">'Defence Ministry'!$CF$6:$CN$6</definedName>
    <definedName name="DefPro5Sort">'Defence Ministry'!$CF$8:$CN$8</definedName>
    <definedName name="DefPro5Type">'Defence Ministry'!$CF$18</definedName>
    <definedName name="DefPro5YearSelected">'Defence Ministry'!$CF$17</definedName>
    <definedName name="DefPro6">'Defence Ministry'!$CV$4:$DD$4</definedName>
    <definedName name="DefPro6CanCancel">'Defence Ministry'!$CV$19</definedName>
    <definedName name="DefPro6CostRecurringValue">'Defence Ministry'!$CV$14</definedName>
    <definedName name="DefPro6CostValue">'Defence Ministry'!$CV$12</definedName>
    <definedName name="DefPro6Decided2yrsago">'Defence Ministry'!$CV$10:$DD$10</definedName>
    <definedName name="DefPro6Decidedlastyr">'Defence Ministry'!$CV$9:$DD$9</definedName>
    <definedName name="DefPro6New">'Defence Ministry'!$CV$7:$DD$7</definedName>
    <definedName name="DefPro6Reasoning">'Defence Ministry'!$CV$15</definedName>
    <definedName name="DefPro6Response">'Defence Ministry'!$CV$16</definedName>
    <definedName name="DefPro6Show">'Defence Ministry'!$CV$6:$DD$6</definedName>
    <definedName name="DefPro6Sort">'Defence Ministry'!$CV$8:$DD$8</definedName>
    <definedName name="DefPro6Type">'Defence Ministry'!$CV$18</definedName>
    <definedName name="DefPro6YearSelected">'Defence Ministry'!$CV$17</definedName>
    <definedName name="DefPro7">'Defence Ministry'!$DL$4:$DT$4</definedName>
    <definedName name="DefPro7CanCancel">'Defence Ministry'!$DL$19</definedName>
    <definedName name="DefPro7CostRecurringValue">'Defence Ministry'!$DL$14</definedName>
    <definedName name="DefPro7CostValue">'Defence Ministry'!$DL$12</definedName>
    <definedName name="DefPro7Decided2yrsago">'Defence Ministry'!$DL$10:$DT$10</definedName>
    <definedName name="DefPro7Decidedlastyr">'Defence Ministry'!$DL$9:$DT$9</definedName>
    <definedName name="DefPro7New">'Defence Ministry'!$DL$7:$DT$7</definedName>
    <definedName name="DefPro7Reasoning">'Defence Ministry'!$DL$15</definedName>
    <definedName name="DefPro7Response">'Defence Ministry'!$DL$16</definedName>
    <definedName name="DefPro7Show">'Defence Ministry'!$DL$6:$DT$6</definedName>
    <definedName name="DefPro7Sort">'Defence Ministry'!$DL$8:$DT$8</definedName>
    <definedName name="DefPro7Type">'Defence Ministry'!$DL$18</definedName>
    <definedName name="DefPro7YearSelected">'Defence Ministry'!$DL$17</definedName>
    <definedName name="DefPro8">'Defence Ministry'!$EB$4:$EJ$4</definedName>
    <definedName name="DefPro8CanCancel">'Defence Ministry'!$EB$19</definedName>
    <definedName name="DefPro8CostRecurringValue">'Defence Ministry'!$EB$14</definedName>
    <definedName name="DefPro8CostValue">'Defence Ministry'!$EB$12</definedName>
    <definedName name="DefPro8Decided2yrsago">'Defence Ministry'!$EB$10:$EJ$10</definedName>
    <definedName name="DefPro8Decidedlastyr">'Defence Ministry'!$EB$9:$EJ$9</definedName>
    <definedName name="DefPro8New">'Defence Ministry'!$EB$7:$EJ$7</definedName>
    <definedName name="DefPro8Reasoning">'Defence Ministry'!$EB$15</definedName>
    <definedName name="DefPro8Response">'Defence Ministry'!$EB$16</definedName>
    <definedName name="DefPro8Show">'Defence Ministry'!$EB$6:$EJ$6</definedName>
    <definedName name="DefPro8Sort">'Defence Ministry'!$EB$8:$EJ$8</definedName>
    <definedName name="DefPro8Type">'Defence Ministry'!$EB$18</definedName>
    <definedName name="DefPro8YearSelected">'Defence Ministry'!$EB$17</definedName>
    <definedName name="DefPro9">'Defence Ministry'!$ER$4:$EZ$4</definedName>
    <definedName name="DefPro9CanCancel">'Defence Ministry'!$ER$19</definedName>
    <definedName name="DefPro9CostRecurringValue">'Defence Ministry'!$ER$14</definedName>
    <definedName name="DefPro9CostValue">'Defence Ministry'!$ER$12</definedName>
    <definedName name="DefPro9Decided2yrsago">'Defence Ministry'!$ER$10:$EZ$10</definedName>
    <definedName name="DefPro9Decidedlastyr">'Defence Ministry'!$ER$9:$EZ$9</definedName>
    <definedName name="DefPro9New">'Defence Ministry'!$ER$7:$EZ$7</definedName>
    <definedName name="DefPro9Reasoning">'Defence Ministry'!$ER$15</definedName>
    <definedName name="DefPro9Response">'Defence Ministry'!$ER$16</definedName>
    <definedName name="DefPro9Show">'Defence Ministry'!$ER$6:$EZ$6</definedName>
    <definedName name="DefPro9Sort">'Defence Ministry'!$ER$8:$EZ$8</definedName>
    <definedName name="DefPro9Type">'Defence Ministry'!$ER$18</definedName>
    <definedName name="DefPro9YearSelected">'Defence Ministry'!$ER$17</definedName>
    <definedName name="DefRecurringCost">'Defence Ministry'!$B$110:$J$110</definedName>
    <definedName name="DefSlider1">'Defence Ministry'!$P$4:$X$4</definedName>
    <definedName name="DefSlider1Cost">'Defence Ministry'!$P$6:$X$6</definedName>
    <definedName name="DefSlider1LastYear">'Defence Ministry'!$P$5:$X$5</definedName>
    <definedName name="DefSlider2">'Defence Ministry'!$AH$4:$AP$4</definedName>
    <definedName name="DefSlider2Cost">'Defence Ministry'!$AH$6:$AP$6</definedName>
    <definedName name="DefSlider2LastYear">'Defence Ministry'!$AH$5:$AP$5</definedName>
    <definedName name="DefTotalCost">'Defence Ministry'!$B$112:$J$112</definedName>
    <definedName name="EcAvaialbleToAllocate">'Economy Ministry'!$B$111:$J$111</definedName>
    <definedName name="EcBudget">'Economy Ministry'!$B$108:$J$108</definedName>
    <definedName name="EcBudgetRemaining">'Economy Ministry'!$B$113:$J$113</definedName>
    <definedName name="EcCarriedOverBudget">'Economy Ministry'!$B$117:$J$117</definedName>
    <definedName name="EcEnabled">'Project Variables'!$B$13</definedName>
    <definedName name="EcInitialCost">'Economy Ministry'!$B$109:$J$109</definedName>
    <definedName name="EcInvBudget">'Economy Ministry'!$B$116:$J$116</definedName>
    <definedName name="EcInvBudgetRemaining">'Economy Ministry'!$B$119:$J$119</definedName>
    <definedName name="EcNextYearReucurringCost">'Economy Ministry'!$B$114:$J$114</definedName>
    <definedName name="EcNumInisRelLastYr">'Economy Ministry'!$B$122:$J$122</definedName>
    <definedName name="EconomyScore">Results!$B$78:$J$78</definedName>
    <definedName name="EcosystemIntegrityIndex">Results!$B$88:$J$88</definedName>
    <definedName name="EcosystemIntegrityIndexPercOfTargetAchieved">'Result Targets'!$B$88:$J$88</definedName>
    <definedName name="EcosystemIntegrityIndexTarget">'Result Targets'!$B$19:$J$19</definedName>
    <definedName name="EcPro10">'Economy Ministry'!$FH$4:$FP$4</definedName>
    <definedName name="EcPro10CanCancel">'Economy Ministry'!$FH$19</definedName>
    <definedName name="EcPro10CostRecurringValue">'Economy Ministry'!$FH$14</definedName>
    <definedName name="EcPro10CostValue">'Economy Ministry'!$FH$12</definedName>
    <definedName name="EcPro10Decided2yrsago">'Economy Ministry'!$FH$10:$FP$10</definedName>
    <definedName name="EcPro10Decidedlastyr">'Economy Ministry'!$FH$9:$FP$9</definedName>
    <definedName name="EcPro10New">'Economy Ministry'!$FH$7:$FP$7</definedName>
    <definedName name="EcPro10Reasoning">'Economy Ministry'!$FH$15</definedName>
    <definedName name="EcPro10Response">'Economy Ministry'!$FH$16</definedName>
    <definedName name="EcPro10Show">'Economy Ministry'!$FH$6:$FP$6</definedName>
    <definedName name="EcPro10Sort">'Economy Ministry'!$FH$8:$FP$8</definedName>
    <definedName name="EcPro10Type">'Economy Ministry'!$FH$18</definedName>
    <definedName name="EcPro10YearSelected">'Economy Ministry'!$FH$17</definedName>
    <definedName name="EcPro11">'Economy Ministry'!$FX$4:$GF$4</definedName>
    <definedName name="EcPro11CanCancel">'Economy Ministry'!$FX$19</definedName>
    <definedName name="EcPro11CostRecurringValue">'Economy Ministry'!$FX$14</definedName>
    <definedName name="EcPro11CostValue">'Economy Ministry'!$FX$12</definedName>
    <definedName name="EcPro11Decided2yrsago">'Economy Ministry'!$FX$10:$GF$10</definedName>
    <definedName name="EcPro11Decidedlastyr">'Economy Ministry'!$FX$9:$GF$9</definedName>
    <definedName name="EcPro11New">'Economy Ministry'!$FX$7:$GF$7</definedName>
    <definedName name="EcPro11Reasoning">'Economy Ministry'!$FX$15</definedName>
    <definedName name="EcPro11Response">'Economy Ministry'!$FX$16</definedName>
    <definedName name="EcPro11Show">'Economy Ministry'!$FX$6:$GF$6</definedName>
    <definedName name="EcPro11Sort">'Economy Ministry'!$FX$8:$GF$8</definedName>
    <definedName name="EcPro11Type">'Economy Ministry'!$FX$18</definedName>
    <definedName name="EcPro11YearSelected">'Economy Ministry'!$FX$17</definedName>
    <definedName name="EcPro12">'Economy Ministry'!$GN$4:$GV$4</definedName>
    <definedName name="EcPro12CanCancel">'Economy Ministry'!$GN$19</definedName>
    <definedName name="EcPro12CostRecurringValue">'Economy Ministry'!$GN$14</definedName>
    <definedName name="EcPro12CostValue">'Economy Ministry'!$GN$12</definedName>
    <definedName name="EcPro12Decided2yrsago">'Economy Ministry'!$GN$10:$GV$10</definedName>
    <definedName name="EcPro12Decidedlastyr">'Economy Ministry'!$GN$9:$GV$9</definedName>
    <definedName name="EcPro12New">'Economy Ministry'!$GN$7:$GV$7</definedName>
    <definedName name="EcPro12Reasoning">'Economy Ministry'!$GN$15</definedName>
    <definedName name="EcPro12Response">'Economy Ministry'!$GN$16</definedName>
    <definedName name="EcPro12Show">'Economy Ministry'!$GN$6:$GV$6</definedName>
    <definedName name="EcPro12Sort">'Economy Ministry'!$GN$8:$GV$8</definedName>
    <definedName name="EcPro12Type">'Economy Ministry'!$GN$18</definedName>
    <definedName name="EcPro12YearSelected">'Economy Ministry'!$GN$17</definedName>
    <definedName name="EcPro13">'Economy Ministry'!$HD$4:$HL$4</definedName>
    <definedName name="EcPro13CanCancel">'Economy Ministry'!$HD$19</definedName>
    <definedName name="EcPro13CostRecurringValue">'Economy Ministry'!$HD$14</definedName>
    <definedName name="EcPro13CostValue">'Economy Ministry'!$HD$12</definedName>
    <definedName name="EcPro13Decided2yrsago">'Economy Ministry'!$HD$10:$HL$10</definedName>
    <definedName name="EcPro13Decidedlastyr">'Economy Ministry'!$HD$9:$HL$9</definedName>
    <definedName name="EcPro13New">'Economy Ministry'!$HD$7:$HL$7</definedName>
    <definedName name="EcPro13Reasoning">'Economy Ministry'!$HD$15</definedName>
    <definedName name="EcPro13Response">'Economy Ministry'!$HD$16</definedName>
    <definedName name="EcPro13Show">'Economy Ministry'!$HD$6:$HL$6</definedName>
    <definedName name="EcPro13Sort">'Economy Ministry'!$HD$8:$HL$8</definedName>
    <definedName name="EcPro13Type">'Economy Ministry'!$HD$18</definedName>
    <definedName name="EcPro13YearSelected">'Economy Ministry'!$HD$17</definedName>
    <definedName name="EcPro14">'Economy Ministry'!$HT$4:$IB$4</definedName>
    <definedName name="EcPro14CanCancel">'Economy Ministry'!$HT$19</definedName>
    <definedName name="EcPro14CostRecurringValue">'Economy Ministry'!$HT$14</definedName>
    <definedName name="EcPro14CostValue">'Economy Ministry'!$HT$12</definedName>
    <definedName name="EcPro14Decided2yrsago">'Economy Ministry'!$HT$10:$IB$10</definedName>
    <definedName name="EcPro14Decidedlastyr">'Economy Ministry'!$HT$9:$IB$9</definedName>
    <definedName name="EcPro14New">'Economy Ministry'!$HT$7:$IB$7</definedName>
    <definedName name="EcPro14Reasoning">'Economy Ministry'!$HT$15</definedName>
    <definedName name="EcPro14Response">'Economy Ministry'!$HT$16</definedName>
    <definedName name="EcPro14Show">'Economy Ministry'!$HT$6:$IB$6</definedName>
    <definedName name="EcPro14Sort">'Economy Ministry'!$HT$8:$IB$8</definedName>
    <definedName name="EcPro14Type">'Economy Ministry'!$HT$18</definedName>
    <definedName name="EcPro14YearSelected">'Economy Ministry'!$HT$17</definedName>
    <definedName name="EcPro15">'Economy Ministry'!$IJ$4:$IR$4</definedName>
    <definedName name="EcPro15CanCancel">'Economy Ministry'!$IJ$19</definedName>
    <definedName name="EcPro15CostRecurringValue">'Economy Ministry'!$IJ$14</definedName>
    <definedName name="EcPro15CostValue">'Economy Ministry'!$IJ$12</definedName>
    <definedName name="EcPro15Decided2yrsago">'Economy Ministry'!$IJ$10:$IR$10</definedName>
    <definedName name="EcPro15Decidedlastyr">'Economy Ministry'!$IJ$9:$IR$9</definedName>
    <definedName name="EcPro15New">'Economy Ministry'!$IJ$7:$IR$7</definedName>
    <definedName name="EcPro15Reasoning">'Economy Ministry'!$IJ$15</definedName>
    <definedName name="EcPro15Response">'Economy Ministry'!$IJ$16</definedName>
    <definedName name="EcPro15Show">'Economy Ministry'!$IJ$6:$IR$6</definedName>
    <definedName name="EcPro15Sort">'Economy Ministry'!$IJ$8:$IR$8</definedName>
    <definedName name="EcPro15Type">'Economy Ministry'!$IJ$18</definedName>
    <definedName name="EcPro15YearSelected">'Economy Ministry'!$IJ$17</definedName>
    <definedName name="EcPro16">'Economy Ministry'!$IZ$4:$JH$4</definedName>
    <definedName name="EcPro16CanCancel">'Economy Ministry'!$IZ$19</definedName>
    <definedName name="EcPro16CostRecurringValue">'Economy Ministry'!$IZ$14</definedName>
    <definedName name="EcPro16CostValue">'Economy Ministry'!$IZ$12</definedName>
    <definedName name="EcPro16Decided2yrsago">'Economy Ministry'!$IZ$10:$JH$10</definedName>
    <definedName name="EcPro16Decidedlastyr">'Economy Ministry'!$IZ$9:$JH$9</definedName>
    <definedName name="EcPro16New">'Economy Ministry'!$IZ$7:$JH$7</definedName>
    <definedName name="EcPro16Reasoning">'Economy Ministry'!$IZ$15</definedName>
    <definedName name="EcPro16Response">'Economy Ministry'!$IZ$16</definedName>
    <definedName name="EcPro16Show">'Economy Ministry'!$IZ$6:$JH$6</definedName>
    <definedName name="EcPro16Sort">'Economy Ministry'!$IZ$8:$JH$8</definedName>
    <definedName name="EcPro16Type">'Economy Ministry'!$IZ$18</definedName>
    <definedName name="EcPro16YearSelected">'Economy Ministry'!$IZ$17</definedName>
    <definedName name="EcPro17">'Economy Ministry'!$JP$4:$JX$4</definedName>
    <definedName name="EcPro17CanCancel">'Economy Ministry'!$JP$19</definedName>
    <definedName name="EcPro17CostRecurringValue">'Economy Ministry'!$JP$14</definedName>
    <definedName name="EcPro17CostValue">'Economy Ministry'!$JP$12</definedName>
    <definedName name="EcPro17Decided2yrsago">'Economy Ministry'!$JP$10:$JX$10</definedName>
    <definedName name="EcPro17Decidedlastyr">'Economy Ministry'!$JP$9:$JX$9</definedName>
    <definedName name="EcPro17New">'Economy Ministry'!$JP$7:$JX$7</definedName>
    <definedName name="EcPro17Reasoning">'Economy Ministry'!$JP$15</definedName>
    <definedName name="EcPro17Response">'Economy Ministry'!$JP$16</definedName>
    <definedName name="EcPro17Show">'Economy Ministry'!$JP$6:$JX$6</definedName>
    <definedName name="EcPro17Sort">'Economy Ministry'!$JP$8:$JX$8</definedName>
    <definedName name="EcPro17Type">'Economy Ministry'!$JP$18</definedName>
    <definedName name="EcPro17YearSelected">'Economy Ministry'!$JP$17</definedName>
    <definedName name="EcPro18">'Economy Ministry'!$KF$4:$KN$4</definedName>
    <definedName name="EcPro18CanCancel">'Economy Ministry'!$KF$19</definedName>
    <definedName name="EcPro18CostRecurringValue">'Economy Ministry'!$KF$14</definedName>
    <definedName name="EcPro18CostValue">'Economy Ministry'!$KF$12</definedName>
    <definedName name="EcPro18Decided2yrsago">'Economy Ministry'!$KF$10:$KN$10</definedName>
    <definedName name="EcPro18Decidedlastyr">'Economy Ministry'!$KF$9:$KN$9</definedName>
    <definedName name="EcPro18New">'Economy Ministry'!$KF$7:$KN$7</definedName>
    <definedName name="EcPro18Reasoning">'Economy Ministry'!$KF$15</definedName>
    <definedName name="EcPro18Response">'Economy Ministry'!$KF$16</definedName>
    <definedName name="EcPro18Show">'Economy Ministry'!$KF$6:$KN$6</definedName>
    <definedName name="EcPro18Sort">'Economy Ministry'!$KF$8:$KN$8</definedName>
    <definedName name="EcPro18YearSelected">'Economy Ministry'!$KF$17</definedName>
    <definedName name="EcPro19">'Economy Ministry'!$KV$4:$LD$4</definedName>
    <definedName name="EcPro19CanCancel">'Economy Ministry'!$KV$19</definedName>
    <definedName name="EcPro19CostRecurringValue">'Economy Ministry'!$KV$14</definedName>
    <definedName name="EcPro19CostValue">'Economy Ministry'!$KV$12</definedName>
    <definedName name="EcPro19Decided2yrsago">'Economy Ministry'!$KV$10:$LD$10</definedName>
    <definedName name="EcPro19Decidedlastyr">'Economy Ministry'!$KV$9:$LD$9</definedName>
    <definedName name="EcPro19New">'Economy Ministry'!$KV$7:$LD$7</definedName>
    <definedName name="EcPro19Reasoning">'Economy Ministry'!$KV$15</definedName>
    <definedName name="EcPro19Response">'Economy Ministry'!$KV$16</definedName>
    <definedName name="EcPro19Show">'Economy Ministry'!$KV$6:$LD$6</definedName>
    <definedName name="EcPro19Sort">'Economy Ministry'!$KV$8:$LD$8</definedName>
    <definedName name="EcPro19YearSelected">'Economy Ministry'!$KV$17</definedName>
    <definedName name="EcPro20">'Economy Ministry'!$LL$4:$LT$4</definedName>
    <definedName name="EcPro20CanCancel">'Economy Ministry'!$LL$19</definedName>
    <definedName name="EcPro20CostRecurringValue">'Economy Ministry'!$LL$14</definedName>
    <definedName name="EcPro20CostValue">'Economy Ministry'!$LL$12</definedName>
    <definedName name="EcPro20Decided2yrsago">'Economy Ministry'!$LL$10:$LT$10</definedName>
    <definedName name="EcPro20Decidedlastyr">'Economy Ministry'!$LL$9:$LT$9</definedName>
    <definedName name="EcPro20New">'Economy Ministry'!$LL$7:$LT$7</definedName>
    <definedName name="EcPro20Reasoning">'Economy Ministry'!$LL$15</definedName>
    <definedName name="EcPro20Response">'Economy Ministry'!$LL$16</definedName>
    <definedName name="EcPro20Show">'Economy Ministry'!$LL$6:$LT$6</definedName>
    <definedName name="EcPro20Sort">'Economy Ministry'!$LL$8:$LT$8</definedName>
    <definedName name="EcPro20YearSelected">'Economy Ministry'!$LL$17</definedName>
    <definedName name="EcPro21">'Economy Ministry'!$MB$4:$MJ$4</definedName>
    <definedName name="EcPro21CanCancel">'Economy Ministry'!$MB$19</definedName>
    <definedName name="EcPro21CostRecurringValue">'Economy Ministry'!$MB$14</definedName>
    <definedName name="EcPro21CostValue">'Economy Ministry'!$MB$12</definedName>
    <definedName name="EcPro21Decided2yrsago">'Economy Ministry'!$MB$10:$MJ$10</definedName>
    <definedName name="EcPro21Decidedlastyr">'Economy Ministry'!$MB$9:$MJ$9</definedName>
    <definedName name="EcPro21New">'Economy Ministry'!$MB$7:$MJ$7</definedName>
    <definedName name="EcPro21Reasoning">'Economy Ministry'!$MB$15</definedName>
    <definedName name="EcPro21Response">'Economy Ministry'!$MB$16</definedName>
    <definedName name="EcPro21Show">'Economy Ministry'!$MB$6:$MJ$6</definedName>
    <definedName name="EcPro21Sort">'Economy Ministry'!$MB$8:$MJ$8</definedName>
    <definedName name="EcPro21YearSelected">'Economy Ministry'!$MB$17</definedName>
    <definedName name="EcPro22">'Economy Ministry'!$MR$4:$MZ$4</definedName>
    <definedName name="EcPro22CanCancel">'Economy Ministry'!$MR$19</definedName>
    <definedName name="EcPro22CostRecurringValue">'Economy Ministry'!$MR$14</definedName>
    <definedName name="EcPro22CostValue">'Economy Ministry'!$MR$12</definedName>
    <definedName name="EcPro22Decided2yrsago">'Economy Ministry'!$MR$10:$MZ$10</definedName>
    <definedName name="EcPro22Decidedlastyr">'Economy Ministry'!$MR$9:$MZ$9</definedName>
    <definedName name="EcPro22New">'Economy Ministry'!$MR$7:$MZ$7</definedName>
    <definedName name="EcPro22Reasoning">'Economy Ministry'!$MR$15</definedName>
    <definedName name="EcPro22Response">'Economy Ministry'!$MR$16</definedName>
    <definedName name="EcPro22Show">'Economy Ministry'!$MR$6:$MZ$6</definedName>
    <definedName name="EcPro22Sort">'Economy Ministry'!$MR$8:$MZ$8</definedName>
    <definedName name="EcPro22YearSelected">'Economy Ministry'!$MR$17</definedName>
    <definedName name="EcPro23">'Economy Ministry'!$NH$4:$NP$4</definedName>
    <definedName name="EcPro23CanCancel">'Economy Ministry'!$NH$19</definedName>
    <definedName name="EcPro23CostRecurringValue">'Economy Ministry'!$NH$14</definedName>
    <definedName name="EcPro23CostValue">'Economy Ministry'!$NH$12</definedName>
    <definedName name="EcPro23Decided2yrsago">'Economy Ministry'!$NH$10:$NP$10</definedName>
    <definedName name="EcPro23Decidedlastyr">'Economy Ministry'!$NH$9:$NP$9</definedName>
    <definedName name="EcPro23New">'Economy Ministry'!$NH$7:$NP$7</definedName>
    <definedName name="EcPro23Reasoning">'Economy Ministry'!$NH$15</definedName>
    <definedName name="EcPro23Response">'Economy Ministry'!$NH$16</definedName>
    <definedName name="EcPro23Show">'Economy Ministry'!$NH$6:$NP$6</definedName>
    <definedName name="EcPro23Sort">'Economy Ministry'!$NH$8:$NP$8</definedName>
    <definedName name="EcPro23YearSelected">'Economy Ministry'!$NH$17</definedName>
    <definedName name="EcPro24">'Economy Ministry'!$NX$4:$OF$4</definedName>
    <definedName name="EcPro24CanCancel">'Economy Ministry'!$NX$19</definedName>
    <definedName name="EcPro24CostRecurringValue">'Economy Ministry'!$NX$14</definedName>
    <definedName name="EcPro24CostValue">'Economy Ministry'!$NX$12</definedName>
    <definedName name="EcPro24Decided2yrsago">'Economy Ministry'!$NX$10:$OF$10</definedName>
    <definedName name="EcPro24Decidedlastyr">'Economy Ministry'!$NX$9:$OF$9</definedName>
    <definedName name="EcPro24New">'Economy Ministry'!$NX$7:$OF$7</definedName>
    <definedName name="EcPro24Reasoning">'Economy Ministry'!$NX$15</definedName>
    <definedName name="EcPro24Response">'Economy Ministry'!$NX$16</definedName>
    <definedName name="EcPro24Show">'Economy Ministry'!$NX$6:$OF$6</definedName>
    <definedName name="EcPro24Sort">'Economy Ministry'!$NX$8:$OF$8</definedName>
    <definedName name="EcPro24YearSelected">'Economy Ministry'!$NX$17</definedName>
    <definedName name="EcPro3">'Economy Ministry'!$AZ$4:$BH$4</definedName>
    <definedName name="EcPro3CanCancel">'Economy Ministry'!$AZ$19</definedName>
    <definedName name="EcPro3CostRecurringValue">'Economy Ministry'!$AZ$14</definedName>
    <definedName name="EcPro3CostValue">'Economy Ministry'!$AZ$12</definedName>
    <definedName name="EcPro3Decided2yrsago">'Economy Ministry'!$AZ$10:$BH$10</definedName>
    <definedName name="EcPro3Decidedlastyr">'Economy Ministry'!$AZ$9:$BH$9</definedName>
    <definedName name="EcPro3New">'Economy Ministry'!$AZ$7:$BH$7</definedName>
    <definedName name="EcPro3Reasoning">'Economy Ministry'!$AZ$15</definedName>
    <definedName name="EcPro3Response">'Economy Ministry'!$AZ$16</definedName>
    <definedName name="EcPro3Show">'Economy Ministry'!$AZ$6:$BH$6</definedName>
    <definedName name="EcPro3Sort">'Economy Ministry'!$AZ$8:$BH$8</definedName>
    <definedName name="EcPro3Type">'Economy Ministry'!$AZ$18</definedName>
    <definedName name="EcPro3YearSelected">'Economy Ministry'!$AZ$17</definedName>
    <definedName name="EcPro4">'Economy Ministry'!$BP$4:$BX$4</definedName>
    <definedName name="EcPro4CanCancel">'Economy Ministry'!$BP$19</definedName>
    <definedName name="EcPro4CostRecurringValue">'Economy Ministry'!$BP$14</definedName>
    <definedName name="EcPro4CostValue">'Economy Ministry'!$BP$12</definedName>
    <definedName name="EcPro4Decided2yrsago">'Economy Ministry'!$BP$10:$BX$10</definedName>
    <definedName name="EcPro4Decidedlastyr">'Economy Ministry'!$BP$9:$BX$9</definedName>
    <definedName name="EcPro4New">'Economy Ministry'!$BP$7:$BX$7</definedName>
    <definedName name="EcPro4Reasoning">'Economy Ministry'!$BP$15</definedName>
    <definedName name="EcPro4Response">'Economy Ministry'!$BP$16</definedName>
    <definedName name="EcPro4Show">'Economy Ministry'!$BP$6:$BX$6</definedName>
    <definedName name="EcPro4Sort">'Economy Ministry'!$BP$8:$BX$8</definedName>
    <definedName name="EcPro4Type">'Economy Ministry'!$BP$18</definedName>
    <definedName name="EcPro4YearSelected">'Economy Ministry'!$BP$17</definedName>
    <definedName name="EcPro5">'Economy Ministry'!$CF$4:$CN$4</definedName>
    <definedName name="EcPro5CanCancel">'Economy Ministry'!$CF$19</definedName>
    <definedName name="EcPro5CostRecurringValue">'Economy Ministry'!$CF$14</definedName>
    <definedName name="EcPro5CostValue">'Economy Ministry'!$CF$12</definedName>
    <definedName name="EcPro5Decided2yrsago">'Economy Ministry'!$CF$10:$CN$10</definedName>
    <definedName name="EcPro5Decidedlastyr">'Economy Ministry'!$CF$9:$CN$9</definedName>
    <definedName name="EcPro5New">'Economy Ministry'!$CF$7:$CN$7</definedName>
    <definedName name="EcPro5Reasoning">'Economy Ministry'!$CF$15</definedName>
    <definedName name="EcPro5Response">'Economy Ministry'!$CF$16</definedName>
    <definedName name="EcPro5Show">'Economy Ministry'!$CF$6:$CN$6</definedName>
    <definedName name="EcPro5Sort">'Economy Ministry'!$CF$8:$CN$8</definedName>
    <definedName name="EcPro5Type">'Economy Ministry'!$CF$18</definedName>
    <definedName name="EcPro5YearSelected">'Economy Ministry'!$CF$17</definedName>
    <definedName name="EcPro6">'Economy Ministry'!$CV$4:$DD$4</definedName>
    <definedName name="EcPro6CanCancel">'Economy Ministry'!$CV$19</definedName>
    <definedName name="EcPro6CostRecurringValue">'Economy Ministry'!$CV$14</definedName>
    <definedName name="EcPro6CostValue">'Economy Ministry'!$CV$12</definedName>
    <definedName name="EcPro6Decided2yrsago">'Economy Ministry'!$CV$10:$DD$10</definedName>
    <definedName name="EcPro6Decidedlastyr">'Economy Ministry'!$CV$9:$DD$9</definedName>
    <definedName name="EcPro6New">'Economy Ministry'!$CV$7:$DD$7</definedName>
    <definedName name="EcPro6Reasoning">'Economy Ministry'!$CV$15</definedName>
    <definedName name="EcPro6Response">'Economy Ministry'!$CV$16</definedName>
    <definedName name="EcPro6Show">'Economy Ministry'!$CV$6:$DD$6</definedName>
    <definedName name="EcPro6Sort">'Economy Ministry'!$CV$8:$DD$8</definedName>
    <definedName name="EcPro6Type">'Economy Ministry'!$CV$18</definedName>
    <definedName name="EcPro6YearSelected">'Economy Ministry'!$CV$17</definedName>
    <definedName name="EcPro7">'Economy Ministry'!$DL$4:$DT$4</definedName>
    <definedName name="EcPro7CanCancel">'Economy Ministry'!$DL$19</definedName>
    <definedName name="EcPro7CostRecurringValue">'Economy Ministry'!$DL$14</definedName>
    <definedName name="EcPro7CostValue">'Economy Ministry'!$DL$12</definedName>
    <definedName name="EcPro7Decided2yrsago">'Economy Ministry'!$DL$10:$DT$10</definedName>
    <definedName name="EcPro7Decidedlastyr">'Economy Ministry'!$DL$9:$DT$9</definedName>
    <definedName name="EcPro7New">'Economy Ministry'!$DL$7:$DT$7</definedName>
    <definedName name="EcPro7Reasoning">'Economy Ministry'!$DL$15</definedName>
    <definedName name="EcPro7Response">'Economy Ministry'!$DL$16</definedName>
    <definedName name="EcPro7Show">'Economy Ministry'!$DL$6:$DT$6</definedName>
    <definedName name="EcPro7Sort">'Economy Ministry'!$DL$8:$DT$8</definedName>
    <definedName name="EcPro7Type">'Economy Ministry'!$DL$18</definedName>
    <definedName name="EcPro7YearSelected">'Economy Ministry'!$DL$17</definedName>
    <definedName name="EcPro8">'Economy Ministry'!$EB$4:$EJ$4</definedName>
    <definedName name="EcPro8CanCancel">'Economy Ministry'!$EB$19</definedName>
    <definedName name="EcPro8CostRecurringValue">'Economy Ministry'!$EB$14</definedName>
    <definedName name="EcPro8CostValue">'Economy Ministry'!$EB$12</definedName>
    <definedName name="EcPro8Decided2yrsago">'Economy Ministry'!$EB$10:$EJ$10</definedName>
    <definedName name="EcPro8Decidedlastyr">'Economy Ministry'!$EB$9:$EJ$9</definedName>
    <definedName name="EcPro8New">'Economy Ministry'!$EB$7:$EJ$7</definedName>
    <definedName name="EcPro8Reasoning">'Economy Ministry'!$EB$15</definedName>
    <definedName name="EcPro8Response">'Economy Ministry'!$EB$16</definedName>
    <definedName name="EcPro8Show">'Economy Ministry'!$EB$6:$EJ$6</definedName>
    <definedName name="EcPro8Sort">'Economy Ministry'!$EB$8:$EJ$8</definedName>
    <definedName name="EcPro8Type">'Economy Ministry'!$EB$18</definedName>
    <definedName name="EcPro8YearSelected">'Economy Ministry'!$EB$17</definedName>
    <definedName name="EcPro9">'Economy Ministry'!$ER$4:$EZ$4</definedName>
    <definedName name="EcPro9CanCancel">'Economy Ministry'!$ER$19</definedName>
    <definedName name="EcPro9CostRecurringValue">'Economy Ministry'!$ER$14</definedName>
    <definedName name="EcPro9CostValue">'Economy Ministry'!$ER$12</definedName>
    <definedName name="EcPro9Decided2yrsago">'Economy Ministry'!$ER$10:$EZ$10</definedName>
    <definedName name="EcPro9Decidedlastyr">'Economy Ministry'!$ER$9:$EZ$9</definedName>
    <definedName name="EcPro9New">'Economy Ministry'!$ER$7:$EZ$7</definedName>
    <definedName name="EcPro9Reasoning">'Economy Ministry'!$ER$15</definedName>
    <definedName name="EcPro9Response">'Economy Ministry'!$ER$16</definedName>
    <definedName name="EcPro9Show">'Economy Ministry'!$ER$6:$EZ$6</definedName>
    <definedName name="EcPro9Sort">'Economy Ministry'!$ER$8:$EZ$8</definedName>
    <definedName name="EcPro9Type">'Economy Ministry'!$ER$18</definedName>
    <definedName name="EcPro9YearSelected">'Economy Ministry'!$ER$17</definedName>
    <definedName name="EcRecurringCost">'Economy Ministry'!$B$110:$J$110</definedName>
    <definedName name="EcSlider1">'Economy Ministry'!$P$4:$X$4</definedName>
    <definedName name="EcSlider1Cost">'Economy Ministry'!$P$6:$X$6</definedName>
    <definedName name="EcSlider1LastYear">'Economy Ministry'!$P$5:$X$5</definedName>
    <definedName name="EcSlider2">'Economy Ministry'!$AH$4:$AP$4</definedName>
    <definedName name="EcSlider2Cost">'Economy Ministry'!$AH$6:$AP$6</definedName>
    <definedName name="EcSlider2LastYear">'Economy Ministry'!$AH$5:$AP$5</definedName>
    <definedName name="EcTotalCost">'Economy Ministry'!$B$112:$J$112</definedName>
    <definedName name="EcTotalInvCost">'Economy Ministry'!$B$118:$J$118</definedName>
    <definedName name="EduAvaialbleToAllocate">'Education Ministry'!$B$111:$J$111</definedName>
    <definedName name="EduBudget">'Education Ministry'!$B$108:$J$108</definedName>
    <definedName name="EduBudgetRemaining">'Education Ministry'!$B$113:$J$113</definedName>
    <definedName name="EducationScore">Results!$B$105:$J$105</definedName>
    <definedName name="EduEnabled">'Project Variables'!$B$16</definedName>
    <definedName name="EduInitialCost">'Education Ministry'!$B$109:$J$109</definedName>
    <definedName name="EduNextYearReucurringCost">'Education Ministry'!$B$114:$J$114</definedName>
    <definedName name="EduPro10">'Education Ministry'!$FH$4:$FP$4</definedName>
    <definedName name="EduPro10CanCancel">'Education Ministry'!$FH$19</definedName>
    <definedName name="EduPro10CostRecurringValue">'Education Ministry'!$FH$14</definedName>
    <definedName name="EduPro10CostValue">'Education Ministry'!$FH$12</definedName>
    <definedName name="EduPro10Decided2yrsago">'Education Ministry'!$FH$10:$FP$10</definedName>
    <definedName name="EduPro10Decidedlastyr">'Education Ministry'!$FH$9:$FP$9</definedName>
    <definedName name="EduPro10New">'Education Ministry'!$FH$7:$FP$7</definedName>
    <definedName name="EduPro10Reasoning">'Education Ministry'!$FH$15</definedName>
    <definedName name="EduPro10Response">'Education Ministry'!$FH$16</definedName>
    <definedName name="EduPro10Show">'Education Ministry'!$FH$6:$FP$6</definedName>
    <definedName name="EduPro10Sort">'Education Ministry'!$FH$8:$FP$8</definedName>
    <definedName name="EduPro10Type">'Education Ministry'!$FH$18</definedName>
    <definedName name="EduPro10YearSelected">'Education Ministry'!$FH$17</definedName>
    <definedName name="EduPro11">'Education Ministry'!$FX$4:$GF$4</definedName>
    <definedName name="EduPro11CanCancel">'Education Ministry'!$FX$19</definedName>
    <definedName name="EduPro11CostRecurringValue">'Education Ministry'!$FX$14</definedName>
    <definedName name="EduPro11CostValue">'Education Ministry'!$FX$12</definedName>
    <definedName name="EduPro11Decided2yrsago">'Education Ministry'!$FX$10:$GF$10</definedName>
    <definedName name="EduPro11Decidedlastyr">'Education Ministry'!$FX$9:$GF$9</definedName>
    <definedName name="EduPro11New">'Education Ministry'!$FX$7:$GF$7</definedName>
    <definedName name="EduPro11Reasoning">'Education Ministry'!$FX$15</definedName>
    <definedName name="EduPro11Response">'Education Ministry'!$FX$16</definedName>
    <definedName name="EduPro11Show">'Education Ministry'!$FX$6:$GF$6</definedName>
    <definedName name="EduPro11Sort">'Education Ministry'!$FX$8:$GF$8</definedName>
    <definedName name="EduPro11Type">'Education Ministry'!$FX$18</definedName>
    <definedName name="EduPro11YearSelected">'Education Ministry'!$FX$17</definedName>
    <definedName name="EduPro12">'Education Ministry'!$GN$4:$GV$4</definedName>
    <definedName name="EduPro12CanCancel">'Education Ministry'!$GN$19</definedName>
    <definedName name="EduPro12CostRecurringValue">'Education Ministry'!$GN$14</definedName>
    <definedName name="EduPro12CostValue">'Education Ministry'!$GN$12</definedName>
    <definedName name="EduPro12Decided2yrsago">'Education Ministry'!$GN$10:$GV$10</definedName>
    <definedName name="EduPro12Decidedlastyr">'Education Ministry'!$GN$9:$GV$9</definedName>
    <definedName name="EduPro12New">'Education Ministry'!$GN$7:$GV$7</definedName>
    <definedName name="EduPro12Reasoning">'Education Ministry'!$GN$15</definedName>
    <definedName name="EduPro12Response">'Education Ministry'!$GN$16</definedName>
    <definedName name="EduPro12Show">'Education Ministry'!$GN$6:$GV$6</definedName>
    <definedName name="EduPro12Sort">'Education Ministry'!$GN$8:$GV$8</definedName>
    <definedName name="EduPro12Type">'Education Ministry'!$GN$18</definedName>
    <definedName name="EduPro12YearSelected">'Education Ministry'!$GN$17</definedName>
    <definedName name="EduPro13">'Education Ministry'!$HD$4:$HL$4</definedName>
    <definedName name="EduPro13CanCancel">'Education Ministry'!$HD$19</definedName>
    <definedName name="EduPro13CostRecurringValue">'Education Ministry'!$HD$14</definedName>
    <definedName name="EduPro13CostValue">'Education Ministry'!$HD$12</definedName>
    <definedName name="EduPro13Decided2yrsago">'Education Ministry'!$HD$10:$HL$10</definedName>
    <definedName name="EduPro13Decidedlastyr">'Education Ministry'!$HD$9:$HL$9</definedName>
    <definedName name="EduPro13New">'Education Ministry'!$HD$7:$HL$7</definedName>
    <definedName name="EduPro13Reasoning">'Education Ministry'!$HD$15</definedName>
    <definedName name="EduPro13Response">'Education Ministry'!$HD$16</definedName>
    <definedName name="EduPro13Show">'Education Ministry'!$HD$6:$HL$6</definedName>
    <definedName name="EduPro13Sort">'Education Ministry'!$HD$8:$HL$8</definedName>
    <definedName name="EduPro13Type">'Education Ministry'!$HD$18</definedName>
    <definedName name="EduPro13YearSelected">'Education Ministry'!$HD$17</definedName>
    <definedName name="EduPro14">'Education Ministry'!$HT$4:$IB$4</definedName>
    <definedName name="EduPro14CanCancel">'Education Ministry'!$HT$19</definedName>
    <definedName name="EduPro14CostRecurringValue">'Education Ministry'!$HT$14</definedName>
    <definedName name="EduPro14CostValue">'Education Ministry'!$HT$12</definedName>
    <definedName name="EduPro14Decided2yrsago">'Education Ministry'!$HT$10:$IB$10</definedName>
    <definedName name="EduPro14Decidedlastyr">'Education Ministry'!$HT$9:$IB$9</definedName>
    <definedName name="EduPro14New">'Education Ministry'!$HT$7:$IB$7</definedName>
    <definedName name="EduPro14Reasoning">'Education Ministry'!$HT$15</definedName>
    <definedName name="EduPro14Response">'Education Ministry'!$HT$16</definedName>
    <definedName name="EduPro14Show">'Education Ministry'!$HT$6:$IB$6</definedName>
    <definedName name="EduPro14Sort">'Education Ministry'!$HT$8:$IB$8</definedName>
    <definedName name="EduPro14Type">'Education Ministry'!$HT$18</definedName>
    <definedName name="EduPro14YearSelected">'Education Ministry'!$HT$17</definedName>
    <definedName name="EduPro15">'Education Ministry'!$IJ$4:$IR$4</definedName>
    <definedName name="EduPro15CanCancel">'Education Ministry'!$IJ$19</definedName>
    <definedName name="EduPro15CostRecurringValue">'Education Ministry'!$IJ$14</definedName>
    <definedName name="EduPro15CostValue">'Education Ministry'!$IJ$12</definedName>
    <definedName name="EduPro15Decided2yrsago">'Education Ministry'!$IJ$10:$IR$10</definedName>
    <definedName name="EduPro15Decidedlastyr">'Education Ministry'!$IJ$9:$IR$9</definedName>
    <definedName name="EduPro15New">'Education Ministry'!$IJ$7:$IR$7</definedName>
    <definedName name="EduPro15Reasoning">'Education Ministry'!$IJ$15</definedName>
    <definedName name="EduPro15Response">'Education Ministry'!$IJ$16</definedName>
    <definedName name="EduPro15Show">'Education Ministry'!$IJ$6:$IR$6</definedName>
    <definedName name="EduPro15Sort">'Education Ministry'!$IJ$8:$IR$8</definedName>
    <definedName name="EduPro15Type">'Education Ministry'!$IJ$18</definedName>
    <definedName name="EduPro15YearSelected">'Education Ministry'!$IJ$17</definedName>
    <definedName name="EduPro16">'Education Ministry'!$IZ$4:$JH$4</definedName>
    <definedName name="EduPro16CanCancel">'Education Ministry'!$IZ$19</definedName>
    <definedName name="EduPro16CostRecurringValue">'Education Ministry'!$IZ$14</definedName>
    <definedName name="EduPro16CostValue">'Education Ministry'!$IZ$12</definedName>
    <definedName name="EduPro16Decided2yrsago">'Education Ministry'!$IZ$10:$JH$10</definedName>
    <definedName name="EduPro16Decidedlastyr">'Education Ministry'!$IZ$9:$JH$9</definedName>
    <definedName name="EduPro16New">'Education Ministry'!$IZ$7:$JH$7</definedName>
    <definedName name="EduPro16Reasoning">'Education Ministry'!$IZ$15</definedName>
    <definedName name="EduPro16Response">'Education Ministry'!$IZ$16</definedName>
    <definedName name="EduPro16Show">'Education Ministry'!$IZ$6:$JH$6</definedName>
    <definedName name="EduPro16Sort">'Education Ministry'!$IZ$8:$JH$8</definedName>
    <definedName name="EduPro16Type">'Education Ministry'!$IZ$18</definedName>
    <definedName name="EduPro16YearSelected">'Education Ministry'!$IZ$17</definedName>
    <definedName name="EduPro17">'Education Ministry'!$JP$4:$JX$4</definedName>
    <definedName name="EduPro17CanCancel">'Education Ministry'!$JP$19</definedName>
    <definedName name="EduPro17CostRecurringValue">'Education Ministry'!$JP$14</definedName>
    <definedName name="EduPro17CostValue">'Education Ministry'!$JP$12</definedName>
    <definedName name="EduPro17Decided2yrsago">'Education Ministry'!$JP$10:$JX$10</definedName>
    <definedName name="EduPro17Decidedlastyr">'Education Ministry'!$JP$9:$JX$9</definedName>
    <definedName name="EduPro17New">'Education Ministry'!$JP$7:$JX$7</definedName>
    <definedName name="EduPro17Reasoning">'Education Ministry'!$JP$15</definedName>
    <definedName name="EduPro17Response">'Education Ministry'!$JP$16</definedName>
    <definedName name="EduPro17Show">'Education Ministry'!$JP$6:$JX$6</definedName>
    <definedName name="EduPro17Sort">'Education Ministry'!$JP$8:$JX$8</definedName>
    <definedName name="EduPro17Type">'Education Ministry'!$JP$18</definedName>
    <definedName name="EduPro17YearSelected">'Education Ministry'!$JP$17</definedName>
    <definedName name="EduPro18">'Education Ministry'!$KF$4:$KN$4</definedName>
    <definedName name="EduPro18CanCancel">'Education Ministry'!$KF$19</definedName>
    <definedName name="EduPro18CostRecurringValue">'Education Ministry'!$KF$14</definedName>
    <definedName name="EduPro18CostValue">'Education Ministry'!$KF$12</definedName>
    <definedName name="EduPro18Decided2yrsago">'Education Ministry'!$KF$10:$KN$10</definedName>
    <definedName name="EduPro18Decidedlastyr">'Education Ministry'!$KF$9:$KN$9</definedName>
    <definedName name="EduPro18New">'Education Ministry'!$KF$7:$KN$7</definedName>
    <definedName name="EduPro18Reasoning">'Education Ministry'!$KF$15</definedName>
    <definedName name="EduPro18Response">'Education Ministry'!$KF$16</definedName>
    <definedName name="EduPro18Show">'Education Ministry'!$KF$6:$KN$6</definedName>
    <definedName name="EduPro18Sort">'Education Ministry'!$KF$8:$KN$8</definedName>
    <definedName name="EduPro18YearSelected">'Education Ministry'!$KF$17</definedName>
    <definedName name="EduPro19">'Education Ministry'!$KV$4:$LD$4</definedName>
    <definedName name="EduPro19CanCancel">'Education Ministry'!$KV$19</definedName>
    <definedName name="EduPro19CostRecurringValue">'Education Ministry'!$KV$14</definedName>
    <definedName name="EduPro19CostValue">'Education Ministry'!$KV$12</definedName>
    <definedName name="EduPro19Decided2yrsago">'Education Ministry'!$KV$10:$LD$10</definedName>
    <definedName name="EduPro19Decidedlastyr">'Education Ministry'!$KV$9:$LD$9</definedName>
    <definedName name="EduPro19New">'Education Ministry'!$KV$7:$LD$7</definedName>
    <definedName name="EduPro19Reasoning">'Education Ministry'!$KV$15</definedName>
    <definedName name="EduPro19Response">'Education Ministry'!$KV$16</definedName>
    <definedName name="EduPro19Show">'Education Ministry'!$KV$6:$LD$6</definedName>
    <definedName name="EduPro19Sort">'Education Ministry'!$KV$8:$LD$8</definedName>
    <definedName name="EduPro19YearSelected">'Education Ministry'!$KV$17</definedName>
    <definedName name="EduPro20">'Education Ministry'!$LL$4:$LT$4</definedName>
    <definedName name="EduPro20CanCancel">'Education Ministry'!$LL$19</definedName>
    <definedName name="EduPro20CostRecurringValue">'Education Ministry'!$LL$14</definedName>
    <definedName name="EduPro20CostValue">'Education Ministry'!$LL$12</definedName>
    <definedName name="EduPro20Decided2yrsago">'Education Ministry'!$LL$10:$LT$10</definedName>
    <definedName name="EduPro20Decidedlastyr">'Education Ministry'!$LL$9:$LT$9</definedName>
    <definedName name="EduPro20New">'Education Ministry'!$LL$7:$LT$7</definedName>
    <definedName name="EduPro20Reasoning">'Education Ministry'!$LL$15</definedName>
    <definedName name="EduPro20Response">'Education Ministry'!$LL$16</definedName>
    <definedName name="EduPro20Show">'Education Ministry'!$LL$6:$LT$6</definedName>
    <definedName name="EduPro20Sort">'Education Ministry'!$LL$8:$LT$8</definedName>
    <definedName name="EduPro20YearSelected">'Education Ministry'!$LL$17</definedName>
    <definedName name="EduPro21">'Education Ministry'!$MB$4:$MJ$4</definedName>
    <definedName name="EduPro21CanCancel">'Education Ministry'!$MB$19</definedName>
    <definedName name="EduPro21CostRecurringValue">'Education Ministry'!$MB$14</definedName>
    <definedName name="EduPro21CostValue">'Education Ministry'!$MB$12</definedName>
    <definedName name="EduPro21Decided2yrsago">'Education Ministry'!$MB$10:$MJ$10</definedName>
    <definedName name="EduPro21Decidedlastyr">'Education Ministry'!$MB$9:$MJ$9</definedName>
    <definedName name="EduPro21New">'Education Ministry'!$MB$7:$MJ$7</definedName>
    <definedName name="EduPro21Reasoning">'Education Ministry'!$MB$15</definedName>
    <definedName name="EduPro21Response">'Education Ministry'!$MB$16</definedName>
    <definedName name="EduPro21Show">'Education Ministry'!$MB$6:$MJ$6</definedName>
    <definedName name="EduPro21Sort">'Education Ministry'!$MB$8:$MJ$8</definedName>
    <definedName name="EduPro21YearSelected">'Education Ministry'!$MB$17</definedName>
    <definedName name="EduPro22">'Education Ministry'!$MR$4:$MZ$4</definedName>
    <definedName name="EduPro22CanCancel">'Education Ministry'!$MR$19</definedName>
    <definedName name="EduPro22CostRecurringValue">'Education Ministry'!$MR$14</definedName>
    <definedName name="EduPro22CostValue">'Education Ministry'!$MR$12</definedName>
    <definedName name="EduPro22Decided2yrsago">'Education Ministry'!$MR$10:$MZ$10</definedName>
    <definedName name="EduPro22Decidedlastyr">'Education Ministry'!$MR$9:$MZ$9</definedName>
    <definedName name="EduPro22New">'Education Ministry'!$MR$7:$MZ$7</definedName>
    <definedName name="EduPro22Reasoning">'Education Ministry'!$MR$15</definedName>
    <definedName name="EduPro22Response">'Education Ministry'!$MR$16</definedName>
    <definedName name="EduPro22Show">'Education Ministry'!$MR$6:$MZ$6</definedName>
    <definedName name="EduPro22Sort">'Education Ministry'!$MR$8:$MZ$8</definedName>
    <definedName name="EduPro22YearSelected">'Education Ministry'!$MR$17</definedName>
    <definedName name="EduPro23">'Education Ministry'!$NH$4:$NP$4</definedName>
    <definedName name="EduPro23CanCancel">'Education Ministry'!$NH$19</definedName>
    <definedName name="EduPro23CostRecurringValue">'Education Ministry'!$NH$14</definedName>
    <definedName name="EduPro23CostValue">'Education Ministry'!$NH$12</definedName>
    <definedName name="EduPro23Decided2yrsago">'Education Ministry'!$NH$10:$NP$10</definedName>
    <definedName name="EduPro23Decidedlastyr">'Education Ministry'!$NH$9:$NP$9</definedName>
    <definedName name="EduPro23New">'Education Ministry'!$NH$7:$NP$7</definedName>
    <definedName name="EduPro23Reasoning">'Education Ministry'!$NH$15</definedName>
    <definedName name="EduPro23Response">'Education Ministry'!$NH$16</definedName>
    <definedName name="EduPro23Show">'Education Ministry'!$NH$6:$NP$6</definedName>
    <definedName name="EduPro23Sort">'Education Ministry'!$NH$8:$NP$8</definedName>
    <definedName name="EduPro23YearSelected">'Education Ministry'!$NH$17</definedName>
    <definedName name="EduPro24">'Education Ministry'!$NX$4:$OF$4</definedName>
    <definedName name="EduPro24CanCancel">'Education Ministry'!$NX$19</definedName>
    <definedName name="EduPro24CostRecurringValue">'Education Ministry'!$NX$14</definedName>
    <definedName name="EduPro24CostValue">'Education Ministry'!$NX$12</definedName>
    <definedName name="EduPro24Decided2yrsago">'Education Ministry'!$NX$10:$OF$10</definedName>
    <definedName name="EduPro24Decidedlastyr">'Education Ministry'!$NX$9:$OF$9</definedName>
    <definedName name="EduPro24New">'Education Ministry'!$NX$7:$OF$7</definedName>
    <definedName name="EduPro24Reasoning">'Education Ministry'!$NX$15</definedName>
    <definedName name="EduPro24Response">'Education Ministry'!$NX$16</definedName>
    <definedName name="EduPro24Show">'Education Ministry'!$NX$6:$OF$6</definedName>
    <definedName name="EduPro24Sort">'Education Ministry'!$NX$8:$OF$8</definedName>
    <definedName name="EduPro24YearSelected">'Education Ministry'!$NX$17</definedName>
    <definedName name="EduPro3">'Education Ministry'!$AZ$4:$BH$4</definedName>
    <definedName name="EduPro3CanCancel">'Education Ministry'!$AZ$19</definedName>
    <definedName name="EduPro3CostRecurringValue">'Education Ministry'!$AZ$14</definedName>
    <definedName name="EduPro3CostValue">'Education Ministry'!$AZ$12</definedName>
    <definedName name="EduPro3Decided2yrsago">'Education Ministry'!$AZ$10:$BH$10</definedName>
    <definedName name="EduPro3Decidedlastyr">'Education Ministry'!$AZ$9:$BH$9</definedName>
    <definedName name="EduPro3New">'Education Ministry'!$AZ$7:$BH$7</definedName>
    <definedName name="EduPro3Reasoning">'Education Ministry'!$AZ$15</definedName>
    <definedName name="EduPro3Response">'Education Ministry'!$AZ$16</definedName>
    <definedName name="EduPro3Show">'Education Ministry'!$AZ$6:$BH$6</definedName>
    <definedName name="EduPro3Sort">'Education Ministry'!$AZ$8:$BH$8</definedName>
    <definedName name="EduPro3Type">'Education Ministry'!$AZ$18</definedName>
    <definedName name="EduPro3YearSelected">'Education Ministry'!$AZ$17</definedName>
    <definedName name="EduPro4">'Education Ministry'!$BP$4:$BX$4</definedName>
    <definedName name="EduPro4CanCancel">'Education Ministry'!$BP$19</definedName>
    <definedName name="EduPro4CostRecurringValue">'Education Ministry'!$BP$14</definedName>
    <definedName name="EduPro4CostValue">'Education Ministry'!$BP$12</definedName>
    <definedName name="EduPro4Decided2yrsago">'Education Ministry'!$BP$10:$BX$10</definedName>
    <definedName name="EduPro4Decidedlastyr">'Education Ministry'!$BP$9:$BX$9</definedName>
    <definedName name="EduPro4New">'Education Ministry'!$BP$7:$BX$7</definedName>
    <definedName name="EduPro4Reasoning">'Education Ministry'!$BP$15</definedName>
    <definedName name="EduPro4Response">'Education Ministry'!$BP$16</definedName>
    <definedName name="EduPro4Show">'Education Ministry'!$BP$6:$BX$6</definedName>
    <definedName name="EduPro4Sort">'Education Ministry'!$BP$8:$BX$8</definedName>
    <definedName name="EduPro4Type">'Education Ministry'!$BP$18</definedName>
    <definedName name="EduPro4YearSelected">'Education Ministry'!$BP$17</definedName>
    <definedName name="EduPro5">'Education Ministry'!$CF$4:$CN$4</definedName>
    <definedName name="EduPro5CanCancel">'Education Ministry'!$CF$19</definedName>
    <definedName name="EduPro5CostRecurringValue">'Education Ministry'!$CF$14</definedName>
    <definedName name="EduPro5CostValue">'Education Ministry'!$CF$12</definedName>
    <definedName name="EduPro5Decided2yrsago">'Education Ministry'!$CF$10:$CN$10</definedName>
    <definedName name="EduPro5Decidedlastyr">'Education Ministry'!$CF$9:$CN$9</definedName>
    <definedName name="EduPro5New">'Education Ministry'!$CF$7:$CN$7</definedName>
    <definedName name="EduPro5Reasoning">'Education Ministry'!$CF$15</definedName>
    <definedName name="EduPro5Response">'Education Ministry'!$CF$16</definedName>
    <definedName name="EduPro5Show">'Education Ministry'!$CF$6:$CN$6</definedName>
    <definedName name="EduPro5Sort">'Education Ministry'!$CF$8:$CN$8</definedName>
    <definedName name="EduPro5Type">'Education Ministry'!$CF$18</definedName>
    <definedName name="EduPro5YearSelected">'Education Ministry'!$CF$17</definedName>
    <definedName name="EduPro6">'Education Ministry'!$CV$4:$DD$4</definedName>
    <definedName name="EduPro6CanCancel">'Education Ministry'!$CV$19</definedName>
    <definedName name="EduPro6CostRecurringValue">'Education Ministry'!$CV$14</definedName>
    <definedName name="EduPro6CostValue">'Education Ministry'!$CV$12</definedName>
    <definedName name="EduPro6Decided2yrsago">'Education Ministry'!$CV$10:$DD$10</definedName>
    <definedName name="EduPro6Decidedlastyr">'Education Ministry'!$CV$9:$DD$9</definedName>
    <definedName name="EduPro6New">'Education Ministry'!$CV$7:$DD$7</definedName>
    <definedName name="EduPro6Reasoning">'Education Ministry'!$CV$15</definedName>
    <definedName name="EduPro6Response">'Education Ministry'!$CV$16</definedName>
    <definedName name="EduPro6Show">'Education Ministry'!$CV$6:$DD$6</definedName>
    <definedName name="EduPro6Sort">'Education Ministry'!$CV$8:$DD$8</definedName>
    <definedName name="EduPro6Type">'Education Ministry'!$CV$18</definedName>
    <definedName name="EduPro6YearSelected">'Education Ministry'!$CV$17</definedName>
    <definedName name="EduPro7">'Education Ministry'!$DL$4:$DT$4</definedName>
    <definedName name="EduPro7CanCancel">'Education Ministry'!$DL$19</definedName>
    <definedName name="EduPro7CostRecurringValue">'Education Ministry'!$DL$14</definedName>
    <definedName name="EduPro7CostValue">'Education Ministry'!$DL$12</definedName>
    <definedName name="EduPro7Decided2yrsago">'Education Ministry'!$DL$10:$DT$10</definedName>
    <definedName name="EduPro7Decidedlastyr">'Education Ministry'!$DL$9:$DT$9</definedName>
    <definedName name="EduPro7New">'Education Ministry'!$DL$7:$DT$7</definedName>
    <definedName name="EduPro7Reasoning">'Education Ministry'!$DL$15</definedName>
    <definedName name="EduPro7Response">'Education Ministry'!$DL$16</definedName>
    <definedName name="EduPro7Show">'Education Ministry'!$DL$6:$DT$6</definedName>
    <definedName name="EduPro7Sort">'Education Ministry'!$DL$8:$DT$8</definedName>
    <definedName name="EduPro7Type">'Education Ministry'!$DL$18</definedName>
    <definedName name="EduPro7YearSelected">'Education Ministry'!$DL$17</definedName>
    <definedName name="EduPro8">'Education Ministry'!$EB$4:$EJ$4</definedName>
    <definedName name="EduPro8CanCancel">'Education Ministry'!$EB$19</definedName>
    <definedName name="EduPro8CostRecurringValue">'Education Ministry'!$EB$14</definedName>
    <definedName name="EduPro8CostValue">'Education Ministry'!$EB$12</definedName>
    <definedName name="EduPro8Decided2yrsago">'Education Ministry'!$EB$10:$EJ$10</definedName>
    <definedName name="EduPro8Decidedlastyr">'Education Ministry'!$EB$9:$EJ$9</definedName>
    <definedName name="EduPro8New">'Education Ministry'!$EB$7:$EJ$7</definedName>
    <definedName name="EduPro8Reasoning">'Education Ministry'!$EB$15</definedName>
    <definedName name="EduPro8Response">'Education Ministry'!$EB$16</definedName>
    <definedName name="EduPro8Show">'Education Ministry'!$EB$6:$EJ$6</definedName>
    <definedName name="EduPro8Sort">'Education Ministry'!$EB$8:$EJ$8</definedName>
    <definedName name="EduPro8Type">'Education Ministry'!$EB$18</definedName>
    <definedName name="EduPro8YearSelected">'Education Ministry'!$EB$17</definedName>
    <definedName name="EduPro9">'Education Ministry'!$ER$4:$EZ$4</definedName>
    <definedName name="EduPro9CanCancel">'Education Ministry'!$ER$19</definedName>
    <definedName name="EduPro9CostRecurringValue">'Education Ministry'!$ER$14</definedName>
    <definedName name="EduPro9CostValue">'Education Ministry'!$ER$12</definedName>
    <definedName name="EduPro9Decided2yrsago">'Education Ministry'!$ER$10:$EZ$10</definedName>
    <definedName name="EduPro9Decidedlastyr">'Education Ministry'!$ER$9:$EZ$9</definedName>
    <definedName name="EduPro9New">'Education Ministry'!$ER$7:$EZ$7</definedName>
    <definedName name="EduPro9Reasoning">'Education Ministry'!$ER$15</definedName>
    <definedName name="EduPro9Response">'Education Ministry'!$ER$16</definedName>
    <definedName name="EduPro9Show">'Education Ministry'!$ER$6:$EZ$6</definedName>
    <definedName name="EduPro9Sort">'Education Ministry'!$ER$8:$EZ$8</definedName>
    <definedName name="EduPro9Type">'Education Ministry'!$ER$18</definedName>
    <definedName name="EduPro9YearSelected">'Education Ministry'!$ER$17</definedName>
    <definedName name="EduRecurringCost">'Education Ministry'!$B$110:$J$110</definedName>
    <definedName name="EduSlider1">'Education Ministry'!$P$4:$X$4</definedName>
    <definedName name="EduSlider1Cost">'Education Ministry'!$P$6:$X$6</definedName>
    <definedName name="EduSlider1LastYear">'Education Ministry'!$P$5:$X$5</definedName>
    <definedName name="EduSlider2">'Education Ministry'!$AH$4:$AP$4</definedName>
    <definedName name="EduSlider2Cost">'Education Ministry'!$AH$6:$AP$6</definedName>
    <definedName name="EduSlider2LastYear">'Education Ministry'!$AH$5:$AP$5</definedName>
    <definedName name="EduTotalCost">'Education Ministry'!$B$112:$J$112</definedName>
    <definedName name="EnergyConsumedFromDataCenters">Results!$B$82:$J$82</definedName>
    <definedName name="EnvAvaialbleToAllocate">'Environment Ministry'!$B$111:$J$111</definedName>
    <definedName name="EnvBudget">'Environment Ministry'!$B$108:$J$108</definedName>
    <definedName name="EnvBudgetRemaining">'Environment Ministry'!$B$113:$J$113</definedName>
    <definedName name="EnvEnabled">'Project Variables'!$B$14</definedName>
    <definedName name="EnvInitialCost">'Environment Ministry'!$B$109:$J$109</definedName>
    <definedName name="EnvironmentScore">Results!$B$89:$J$89</definedName>
    <definedName name="EnvNextYearReucurringCost">'Environment Ministry'!$B$114:$J$114</definedName>
    <definedName name="EnvPro10">'Environment Ministry'!$FH$4:$FP$4</definedName>
    <definedName name="EnvPro10CanCancel">'Environment Ministry'!$FH$19</definedName>
    <definedName name="EnvPro10CostRecurringValue">'Environment Ministry'!$FH$14</definedName>
    <definedName name="EnvPro10CostValue">'Environment Ministry'!$FH$12</definedName>
    <definedName name="EnvPro10Decided2yrsago">'Environment Ministry'!$FH$10:$FP$10</definedName>
    <definedName name="EnvPro10Decidedlastyr">'Environment Ministry'!$FH$9:$FP$9</definedName>
    <definedName name="EnvPro10New">'Environment Ministry'!$FH$7:$FP$7</definedName>
    <definedName name="EnvPro10Reasoning">'Environment Ministry'!$FH$15</definedName>
    <definedName name="EnvPro10Response">'Environment Ministry'!$FH$16</definedName>
    <definedName name="EnvPro10Show">'Environment Ministry'!$FH$6:$FP$6</definedName>
    <definedName name="EnvPro10Sort">'Environment Ministry'!$FH$8:$FP$8</definedName>
    <definedName name="EnvPro10Type">'Environment Ministry'!$FH$18</definedName>
    <definedName name="EnvPro10YearSelected">'Environment Ministry'!$FH$17</definedName>
    <definedName name="EnvPro11">'Environment Ministry'!$FX$4:$GF$4</definedName>
    <definedName name="EnvPro11CanCancel">'Environment Ministry'!$FX$19</definedName>
    <definedName name="EnvPro11CostRecurringValue">'Environment Ministry'!$FX$14</definedName>
    <definedName name="EnvPro11CostValue">'Environment Ministry'!$FX$12</definedName>
    <definedName name="EnvPro11Decided2yrsago">'Environment Ministry'!$FX$10:$GF$10</definedName>
    <definedName name="EnvPro11Decidedlastyr">'Environment Ministry'!$FX$9:$GF$9</definedName>
    <definedName name="EnvPro11New">'Environment Ministry'!$FX$7:$GF$7</definedName>
    <definedName name="EnvPro11Reasoning">'Environment Ministry'!$FX$15</definedName>
    <definedName name="EnvPro11Response">'Environment Ministry'!$FX$16</definedName>
    <definedName name="EnvPro11Show">'Environment Ministry'!$FX$6:$GF$6</definedName>
    <definedName name="EnvPro11Sort">'Environment Ministry'!$FX$8:$GF$8</definedName>
    <definedName name="EnvPro11Type">'Environment Ministry'!$FX$18</definedName>
    <definedName name="EnvPro11YearSelected">'Environment Ministry'!$FX$17</definedName>
    <definedName name="EnvPro12">'Environment Ministry'!$GN$4:$GV$4</definedName>
    <definedName name="EnvPro12CanCancel">'Environment Ministry'!$GN$19</definedName>
    <definedName name="EnvPro12CostRecurringValue">'Environment Ministry'!$GN$14</definedName>
    <definedName name="EnvPro12CostValue">'Environment Ministry'!$GN$12</definedName>
    <definedName name="EnvPro12Decided2yrsago">'Environment Ministry'!$GN$10:$GV$10</definedName>
    <definedName name="EnvPro12Decidedlastyr">'Environment Ministry'!$GN$9:$GV$9</definedName>
    <definedName name="EnvPro12New">'Environment Ministry'!$GN$7:$GV$7</definedName>
    <definedName name="EnvPro12Reasoning">'Environment Ministry'!$GN$15</definedName>
    <definedName name="EnvPro12Response">'Environment Ministry'!$GN$16</definedName>
    <definedName name="EnvPro12Show">'Environment Ministry'!$GN$6:$GV$6</definedName>
    <definedName name="EnvPro12Sort">'Environment Ministry'!$GN$8:$GV$8</definedName>
    <definedName name="EnvPro12Type">'Environment Ministry'!$GN$18</definedName>
    <definedName name="EnvPro12YearSelected">'Environment Ministry'!$GN$17</definedName>
    <definedName name="EnvPro13">'Environment Ministry'!$HD$4:$HL$4</definedName>
    <definedName name="EnvPro13CanCancel">'Environment Ministry'!$HD$19</definedName>
    <definedName name="EnvPro13CostRecurringValue">'Environment Ministry'!$HD$14</definedName>
    <definedName name="EnvPro13CostValue">'Environment Ministry'!$HD$12</definedName>
    <definedName name="EnvPro13Decided2yrsago">'Environment Ministry'!$HD$10:$HL$10</definedName>
    <definedName name="EnvPro13Decidedlastyr">'Environment Ministry'!$HD$9:$HL$9</definedName>
    <definedName name="EnvPro13New">'Environment Ministry'!$HD$7:$HL$7</definedName>
    <definedName name="EnvPro13Reasoning">'Environment Ministry'!$HD$15</definedName>
    <definedName name="EnvPro13Response">'Environment Ministry'!$HD$16</definedName>
    <definedName name="EnvPro13Show">'Environment Ministry'!$HD$6:$HL$6</definedName>
    <definedName name="EnvPro13Sort">'Environment Ministry'!$HD$8:$HL$8</definedName>
    <definedName name="EnvPro13Type">'Environment Ministry'!$HD$18</definedName>
    <definedName name="EnvPro13YearSelected">'Environment Ministry'!$HD$17</definedName>
    <definedName name="EnvPro14">'Environment Ministry'!$HT$4:$IB$4</definedName>
    <definedName name="EnvPro14CanCancel">'Environment Ministry'!$HT$19</definedName>
    <definedName name="EnvPro14CostRecurringValue">'Environment Ministry'!$HT$14</definedName>
    <definedName name="EnvPro14CostValue">'Environment Ministry'!$HT$12</definedName>
    <definedName name="EnvPro14Decided2yrsago">'Environment Ministry'!$HT$10:$IB$10</definedName>
    <definedName name="EnvPro14Decidedlastyr">'Environment Ministry'!$HT$9:$IB$9</definedName>
    <definedName name="EnvPro14New">'Environment Ministry'!$HT$7:$IB$7</definedName>
    <definedName name="EnvPro14Reasoning">'Environment Ministry'!$HT$15</definedName>
    <definedName name="EnvPro14Response">'Environment Ministry'!$HT$16</definedName>
    <definedName name="EnvPro14Show">'Environment Ministry'!$HT$6:$IB$6</definedName>
    <definedName name="EnvPro14Sort">'Environment Ministry'!$HT$8:$IB$8</definedName>
    <definedName name="EnvPro14Type">'Environment Ministry'!$HT$18</definedName>
    <definedName name="EnvPro14YearSelected">'Environment Ministry'!$HT$17</definedName>
    <definedName name="EnvPro15">'Environment Ministry'!$IJ$4:$IR$4</definedName>
    <definedName name="EnvPro15CanCancel">'Environment Ministry'!$IJ$19</definedName>
    <definedName name="EnvPro15CostRecurringValue">'Environment Ministry'!$IJ$14</definedName>
    <definedName name="EnvPro15CostValue">'Environment Ministry'!$IJ$12</definedName>
    <definedName name="EnvPro15Decided2yrsago">'Environment Ministry'!$IJ$10:$IR$10</definedName>
    <definedName name="EnvPro15Decidedlastyr">'Environment Ministry'!$IJ$9:$IR$9</definedName>
    <definedName name="EnvPro15New">'Environment Ministry'!$IJ$7:$IR$7</definedName>
    <definedName name="EnvPro15Reasoning">'Environment Ministry'!$IJ$15</definedName>
    <definedName name="EnvPro15Response">'Environment Ministry'!$IJ$16</definedName>
    <definedName name="EnvPro15Show">'Environment Ministry'!$IJ$6:$IR$6</definedName>
    <definedName name="EnvPro15Sort">'Environment Ministry'!$IJ$8:$IR$8</definedName>
    <definedName name="EnvPro15Type">'Environment Ministry'!$IJ$18</definedName>
    <definedName name="EnvPro15YearSelected">'Environment Ministry'!$IJ$17</definedName>
    <definedName name="EnvPro16">'Environment Ministry'!$IZ$4:$JH$4</definedName>
    <definedName name="EnvPro16CanCancel">'Environment Ministry'!$IZ$19</definedName>
    <definedName name="EnvPro16CostRecurringValue">'Environment Ministry'!$IZ$14</definedName>
    <definedName name="EnvPro16CostValue">'Environment Ministry'!$IZ$12</definedName>
    <definedName name="EnvPro16Decided2yrsago">'Environment Ministry'!$IZ$10:$JH$10</definedName>
    <definedName name="EnvPro16Decidedlastyr">'Environment Ministry'!$IZ$9:$JH$9</definedName>
    <definedName name="EnvPro16New">'Environment Ministry'!$IZ$7:$JH$7</definedName>
    <definedName name="EnvPro16Reasoning">'Environment Ministry'!$IZ$15</definedName>
    <definedName name="EnvPro16Response">'Environment Ministry'!$IZ$16</definedName>
    <definedName name="EnvPro16Show">'Environment Ministry'!$IZ$6:$JH$6</definedName>
    <definedName name="EnvPro16Sort">'Environment Ministry'!$IZ$8:$JH$8</definedName>
    <definedName name="EnvPro16Type">'Environment Ministry'!$IZ$18</definedName>
    <definedName name="EnvPro16YearSelected">'Environment Ministry'!$IZ$17</definedName>
    <definedName name="EnvPro17">'Environment Ministry'!$JP$4:$JX$4</definedName>
    <definedName name="EnvPro17CanCancel">'Environment Ministry'!$JP$19</definedName>
    <definedName name="EnvPro17CostRecurringValue">'Environment Ministry'!$JP$14</definedName>
    <definedName name="EnvPro17CostValue">'Environment Ministry'!$JP$12</definedName>
    <definedName name="EnvPro17Decided2yrsago">'Environment Ministry'!$JP$10:$JX$10</definedName>
    <definedName name="EnvPro17Decidedlastyr">'Environment Ministry'!$JP$9:$JX$9</definedName>
    <definedName name="EnvPro17New">'Environment Ministry'!$JP$7:$JX$7</definedName>
    <definedName name="EnvPro17Reasoning">'Environment Ministry'!$JP$15</definedName>
    <definedName name="EnvPro17Response">'Environment Ministry'!$JP$16</definedName>
    <definedName name="EnvPro17Show">'Environment Ministry'!$JP$6:$JX$6</definedName>
    <definedName name="EnvPro17Sort">'Environment Ministry'!$JP$8:$JX$8</definedName>
    <definedName name="EnvPro17Type">'Environment Ministry'!$JP$18</definedName>
    <definedName name="EnvPro17YearSelected">'Environment Ministry'!$JP$17</definedName>
    <definedName name="EnvPro18">'Environment Ministry'!$KF$4:$KN$4</definedName>
    <definedName name="EnvPro18CanCancel">'Environment Ministry'!$KF$19</definedName>
    <definedName name="EnvPro18CostRecurringValue">'Environment Ministry'!$KF$14</definedName>
    <definedName name="EnvPro18CostValue">'Environment Ministry'!$KF$12</definedName>
    <definedName name="EnvPro18Decided2yrsago">'Environment Ministry'!$KF$10:$KN$10</definedName>
    <definedName name="EnvPro18Decidedlastyr">'Environment Ministry'!$KF$9:$KN$9</definedName>
    <definedName name="EnvPro18New">'Environment Ministry'!$KF$7:$KN$7</definedName>
    <definedName name="EnvPro18Reasoning">'Environment Ministry'!$KF$15</definedName>
    <definedName name="EnvPro18Response">'Environment Ministry'!$KF$16</definedName>
    <definedName name="EnvPro18Show">'Environment Ministry'!$KF$6:$KN$6</definedName>
    <definedName name="EnvPro18Sort">'Environment Ministry'!$KF$8:$KN$8</definedName>
    <definedName name="EnvPro18YearSelected">'Environment Ministry'!$KF$17</definedName>
    <definedName name="EnvPro19">'Environment Ministry'!$KV$4:$LD$4</definedName>
    <definedName name="EnvPro19CanCancel">'Environment Ministry'!$KV$19</definedName>
    <definedName name="EnvPro19CostRecurringValue">'Environment Ministry'!$KV$14</definedName>
    <definedName name="EnvPro19CostValue">'Environment Ministry'!$KV$12</definedName>
    <definedName name="EnvPro19Decided2yrsago">'Environment Ministry'!$KV$10:$LD$10</definedName>
    <definedName name="EnvPro19Decidedlastyr">'Environment Ministry'!$KV$9:$LD$9</definedName>
    <definedName name="EnvPro19New">'Environment Ministry'!$KV$7:$LD$7</definedName>
    <definedName name="EnvPro19Reasoning">'Environment Ministry'!$KV$15</definedName>
    <definedName name="EnvPro19Response">'Environment Ministry'!$KV$16</definedName>
    <definedName name="EnvPro19Show">'Environment Ministry'!$KV$6:$LD$6</definedName>
    <definedName name="EnvPro19Sort">'Environment Ministry'!$KV$8:$LD$8</definedName>
    <definedName name="EnvPro19YearSelected">'Environment Ministry'!$KV$17</definedName>
    <definedName name="EnvPro20">'Environment Ministry'!$LL$4:$LT$4</definedName>
    <definedName name="EnvPro20CanCancel">'Environment Ministry'!$LL$19</definedName>
    <definedName name="EnvPro20CostRecurringValue">'Environment Ministry'!$LL$14</definedName>
    <definedName name="EnvPro20CostValue">'Environment Ministry'!$LL$12</definedName>
    <definedName name="EnvPro20Decided2yrsago">'Environment Ministry'!$LL$10:$LT$10</definedName>
    <definedName name="EnvPro20Decidedlastyr">'Environment Ministry'!$LL$9:$LT$9</definedName>
    <definedName name="EnvPro20New">'Environment Ministry'!$LL$7:$LT$7</definedName>
    <definedName name="EnvPro20Reasoning">'Environment Ministry'!$LL$15</definedName>
    <definedName name="EnvPro20Response">'Environment Ministry'!$LL$16</definedName>
    <definedName name="EnvPro20Show">'Environment Ministry'!$LL$6:$LT$6</definedName>
    <definedName name="EnvPro20Sort">'Environment Ministry'!$LL$8:$LT$8</definedName>
    <definedName name="EnvPro20YearSelected">'Environment Ministry'!$LL$17</definedName>
    <definedName name="EnvPro21">'Environment Ministry'!$MB$4:$MJ$4</definedName>
    <definedName name="EnvPro21CanCancel">'Environment Ministry'!$MB$19</definedName>
    <definedName name="EnvPro21CostRecurringValue">'Environment Ministry'!$MB$14</definedName>
    <definedName name="EnvPro21CostValue">'Environment Ministry'!$MB$12</definedName>
    <definedName name="EnvPro21Decided2yrsago">'Environment Ministry'!$MB$10:$MJ$10</definedName>
    <definedName name="EnvPro21Decidedlastyr">'Environment Ministry'!$MB$9:$MJ$9</definedName>
    <definedName name="EnvPro21New">'Environment Ministry'!$MB$7:$MJ$7</definedName>
    <definedName name="EnvPro21Reasoning">'Environment Ministry'!$MB$15</definedName>
    <definedName name="EnvPro21Response">'Environment Ministry'!$MB$16</definedName>
    <definedName name="EnvPro21Show">'Environment Ministry'!$MB$6:$MJ$6</definedName>
    <definedName name="EnvPro21Sort">'Environment Ministry'!$MB$8:$MJ$8</definedName>
    <definedName name="EnvPro21YearSelected">'Environment Ministry'!$MB$17</definedName>
    <definedName name="EnvPro22">'Environment Ministry'!$MR$4:$MZ$4</definedName>
    <definedName name="EnvPro22CanCancel">'Environment Ministry'!$MR$19</definedName>
    <definedName name="EnvPro22CostRecurringValue">'Environment Ministry'!$MR$14</definedName>
    <definedName name="EnvPro22CostValue">'Environment Ministry'!$MR$12</definedName>
    <definedName name="EnvPro22Decided2yrsago">'Environment Ministry'!$MR$10:$MZ$10</definedName>
    <definedName name="EnvPro22Decidedlastyr">'Environment Ministry'!$MR$9:$MZ$9</definedName>
    <definedName name="EnvPro22New">'Environment Ministry'!$MR$7:$MZ$7</definedName>
    <definedName name="EnvPro22Reasoning">'Environment Ministry'!$MR$15</definedName>
    <definedName name="EnvPro22Response">'Environment Ministry'!$MR$16</definedName>
    <definedName name="EnvPro22Show">'Environment Ministry'!$MR$6:$MZ$6</definedName>
    <definedName name="EnvPro22Sort">'Environment Ministry'!$MR$8:$MZ$8</definedName>
    <definedName name="EnvPro22YearSelected">'Environment Ministry'!$MR$17</definedName>
    <definedName name="EnvPro23">'Environment Ministry'!$NH$4:$NP$4</definedName>
    <definedName name="EnvPro23CanCancel">'Environment Ministry'!$NH$19</definedName>
    <definedName name="EnvPro23CostRecurringValue">'Environment Ministry'!$NH$14</definedName>
    <definedName name="EnvPro23CostValue">'Environment Ministry'!$NH$12</definedName>
    <definedName name="EnvPro23Decided2yrsago">'Environment Ministry'!$NH$10:$NP$10</definedName>
    <definedName name="EnvPro23Decidedlastyr">'Environment Ministry'!$NH$9:$NP$9</definedName>
    <definedName name="EnvPro23New">'Environment Ministry'!$NH$7:$NP$7</definedName>
    <definedName name="EnvPro23Reasoning">'Environment Ministry'!$NH$15</definedName>
    <definedName name="EnvPro23Response">'Environment Ministry'!$NH$16</definedName>
    <definedName name="EnvPro23Show">'Environment Ministry'!$NH$6:$NP$6</definedName>
    <definedName name="EnvPro23Sort">'Environment Ministry'!$NH$8:$NP$8</definedName>
    <definedName name="EnvPro23YearSelected">'Environment Ministry'!$NH$17</definedName>
    <definedName name="EnvPro24">'Environment Ministry'!$NX$4:$OF$4</definedName>
    <definedName name="EnvPro24CanCancel">'Environment Ministry'!$NX$19</definedName>
    <definedName name="EnvPro24CostRecurringValue">'Environment Ministry'!$NX$14</definedName>
    <definedName name="EnvPro24CostValue">'Environment Ministry'!$NX$12</definedName>
    <definedName name="EnvPro24Decided2yrsago">'Environment Ministry'!$NX$10:$OF$10</definedName>
    <definedName name="EnvPro24Decidedlastyr">'Environment Ministry'!$NX$9:$OF$9</definedName>
    <definedName name="EnvPro24New">'Environment Ministry'!$NX$7:$OF$7</definedName>
    <definedName name="EnvPro24Reasoning">'Environment Ministry'!$NX$15</definedName>
    <definedName name="EnvPro24Response">'Environment Ministry'!$NX$16</definedName>
    <definedName name="EnvPro24Show">'Environment Ministry'!$NX$6:$OF$6</definedName>
    <definedName name="EnvPro24Sort">'Environment Ministry'!$NX$8:$OF$8</definedName>
    <definedName name="EnvPro24Type">'Environment Ministry'!$NX$18</definedName>
    <definedName name="EnvPro24YearSelected">'Environment Ministry'!$NX$17</definedName>
    <definedName name="EnvPro3">'Environment Ministry'!$AZ$4:$BH$4</definedName>
    <definedName name="EnvPro3CanCancel">'Environment Ministry'!$AZ$19</definedName>
    <definedName name="EnvPro3CostRecurringValue">'Environment Ministry'!$AZ$14</definedName>
    <definedName name="EnvPro3CostValue">'Environment Ministry'!$AZ$12</definedName>
    <definedName name="EnvPro3Decided2yrsago">'Environment Ministry'!$AZ$10:$BH$10</definedName>
    <definedName name="EnvPro3Decidedlastyr">'Environment Ministry'!$AZ$9:$BH$9</definedName>
    <definedName name="EnvPro3New">'Environment Ministry'!$AZ$7:$BH$7</definedName>
    <definedName name="EnvPro3Reasoning">'Environment Ministry'!$AZ$15</definedName>
    <definedName name="EnvPro3Response">'Environment Ministry'!$AZ$16</definedName>
    <definedName name="EnvPro3Show">'Environment Ministry'!$AZ$6:$BH$6</definedName>
    <definedName name="EnvPro3Sort">'Environment Ministry'!$AZ$8:$BH$8</definedName>
    <definedName name="EnvPro3Type">'Environment Ministry'!$AZ$18</definedName>
    <definedName name="EnvPro3YearSelected">'Environment Ministry'!$AZ$17</definedName>
    <definedName name="EnvPro4">'Environment Ministry'!$BP$4:$BX$4</definedName>
    <definedName name="EnvPro4CanCancel">'Environment Ministry'!$BP$19</definedName>
    <definedName name="EnvPro4CostRecurringValue">'Environment Ministry'!$BP$14</definedName>
    <definedName name="EnvPro4CostValue">'Environment Ministry'!$BP$12</definedName>
    <definedName name="EnvPro4Decided2yrsago">'Environment Ministry'!$BP$10:$BX$10</definedName>
    <definedName name="EnvPro4Decidedlastyr">'Environment Ministry'!$BP$9:$BX$9</definedName>
    <definedName name="EnvPro4New">'Environment Ministry'!$BP$7:$BX$7</definedName>
    <definedName name="EnvPro4Reasoning">'Environment Ministry'!$BP$15</definedName>
    <definedName name="EnvPro4Response">'Environment Ministry'!$BP$16</definedName>
    <definedName name="EnvPro4Show">'Environment Ministry'!$BP$6:$BX$6</definedName>
    <definedName name="EnvPro4Sort">'Environment Ministry'!$BP$8:$BX$8</definedName>
    <definedName name="EnvPro4Type">'Environment Ministry'!$BP$18</definedName>
    <definedName name="EnvPro4YearSelected">'Environment Ministry'!$BP$17</definedName>
    <definedName name="EnvPro5">'Environment Ministry'!$CF$4:$CN$4</definedName>
    <definedName name="EnvPro5CanCancel">'Environment Ministry'!$CF$19</definedName>
    <definedName name="EnvPro5CostRecurringValue">'Environment Ministry'!$CF$14</definedName>
    <definedName name="EnvPro5CostValue">'Environment Ministry'!$CF$12</definedName>
    <definedName name="EnvPro5Decided2yrsago">'Environment Ministry'!$CF$10:$CN$10</definedName>
    <definedName name="EnvPro5Decidedlastyr">'Environment Ministry'!$CF$9:$CN$9</definedName>
    <definedName name="EnvPro5New">'Environment Ministry'!$CF$7:$CN$7</definedName>
    <definedName name="EnvPro5Reasoning">'Environment Ministry'!$CF$15</definedName>
    <definedName name="EnvPro5Response">'Environment Ministry'!$CF$16</definedName>
    <definedName name="EnvPro5Show">'Environment Ministry'!$CF$6:$CN$6</definedName>
    <definedName name="EnvPro5Sort">'Environment Ministry'!$CF$8:$CN$8</definedName>
    <definedName name="EnvPro5Type">'Environment Ministry'!$CF$18</definedName>
    <definedName name="EnvPro5YearSelected">'Environment Ministry'!$CF$17</definedName>
    <definedName name="EnvPro6">'Environment Ministry'!$CV$4:$DD$4</definedName>
    <definedName name="EnvPro6CanCancel">'Environment Ministry'!$CV$19</definedName>
    <definedName name="EnvPro6CostRecurringValue">'Environment Ministry'!$CV$14</definedName>
    <definedName name="EnvPro6CostValue">'Environment Ministry'!$CV$12</definedName>
    <definedName name="EnvPro6Decided2yrsago">'Environment Ministry'!$CV$10:$DD$10</definedName>
    <definedName name="EnvPro6Decidedlastyr">'Environment Ministry'!$CV$9:$DD$9</definedName>
    <definedName name="EnvPro6New">'Environment Ministry'!$CV$7:$DD$7</definedName>
    <definedName name="EnvPro6Reasoning">'Environment Ministry'!$CV$15</definedName>
    <definedName name="EnvPro6Response">'Environment Ministry'!$CV$16</definedName>
    <definedName name="EnvPro6Show">'Environment Ministry'!$CV$6:$DD$6</definedName>
    <definedName name="EnvPro6Sort">'Environment Ministry'!$CV$8:$DD$8</definedName>
    <definedName name="EnvPro6Type">'Environment Ministry'!$CV$18</definedName>
    <definedName name="EnvPro6YearSelected">'Environment Ministry'!$CV$17</definedName>
    <definedName name="EnvPro7">'Environment Ministry'!$DL$4:$DT$4</definedName>
    <definedName name="EnvPro7CanCancel">'Environment Ministry'!$DL$19</definedName>
    <definedName name="EnvPro7CostRecurringValue">'Environment Ministry'!$DL$14</definedName>
    <definedName name="EnvPro7CostValue">'Environment Ministry'!$DL$12</definedName>
    <definedName name="EnvPro7Decided2yrsago">'Environment Ministry'!$DL$10:$DT$10</definedName>
    <definedName name="EnvPro7Decidedlastyr">'Environment Ministry'!$DL$9:$DT$9</definedName>
    <definedName name="EnvPro7New">'Environment Ministry'!$DL$7:$DT$7</definedName>
    <definedName name="EnvPro7Reasoning">'Environment Ministry'!$DL$15</definedName>
    <definedName name="EnvPro7Response">'Environment Ministry'!$DL$16</definedName>
    <definedName name="EnvPro7Show">'Environment Ministry'!$DL$6:$DT$6</definedName>
    <definedName name="EnvPro7Sort">'Environment Ministry'!$DL$8:$DT$8</definedName>
    <definedName name="EnvPro7Type">'Environment Ministry'!$DL$18</definedName>
    <definedName name="EnvPro7YearSelected">'Environment Ministry'!$DL$17</definedName>
    <definedName name="EnvPro8">'Environment Ministry'!$EB$4:$EJ$4</definedName>
    <definedName name="EnvPro8CanCancel">'Environment Ministry'!$EB$19</definedName>
    <definedName name="EnvPro8CostRecurringValue">'Environment Ministry'!$EB$14</definedName>
    <definedName name="EnvPro8CostValue">'Environment Ministry'!$EB$12</definedName>
    <definedName name="EnvPro8Decided2yrsago">'Environment Ministry'!$EB$10:$EJ$10</definedName>
    <definedName name="EnvPro8Decidedlastyr">'Environment Ministry'!$EB$9:$EJ$9</definedName>
    <definedName name="EnvPro8New">'Environment Ministry'!$EB$7:$EJ$7</definedName>
    <definedName name="EnvPro8Reasoning">'Environment Ministry'!$EB$15</definedName>
    <definedName name="EnvPro8Response">'Environment Ministry'!$EB$16</definedName>
    <definedName name="EnvPro8Show">'Environment Ministry'!$EB$6:$EJ$6</definedName>
    <definedName name="EnvPro8Sort">'Environment Ministry'!$EB$8:$EJ$8</definedName>
    <definedName name="EnvPro8Type">'Environment Ministry'!$EB$18</definedName>
    <definedName name="EnvPro8YearSelected">'Environment Ministry'!$EB$17</definedName>
    <definedName name="EnvPro9">'Environment Ministry'!$ER$4:$EZ$4</definedName>
    <definedName name="EnvPro9CanCancel">'Environment Ministry'!$ER$19</definedName>
    <definedName name="EnvPro9CostRecurringValue">'Environment Ministry'!$ER$14</definedName>
    <definedName name="EnvPro9CostValue">'Environment Ministry'!$ER$12</definedName>
    <definedName name="EnvPro9Decided2yrsago">'Environment Ministry'!$ER$10:$EZ$10</definedName>
    <definedName name="EnvPro9Decidedlastyr">'Environment Ministry'!$ER$9:$EZ$9</definedName>
    <definedName name="EnvPro9New">'Environment Ministry'!$ER$7:$EZ$7</definedName>
    <definedName name="EnvPro9Reasoning">'Environment Ministry'!$ER$15</definedName>
    <definedName name="EnvPro9Response">'Environment Ministry'!$ER$16</definedName>
    <definedName name="EnvPro9Show">'Environment Ministry'!$ER$6:$EZ$6</definedName>
    <definedName name="EnvPro9Sort">'Environment Ministry'!$ER$8:$EZ$8</definedName>
    <definedName name="EnvPro9Type">'Environment Ministry'!$ER$18</definedName>
    <definedName name="EnvPro9YearSelected">'Environment Ministry'!$ER$17</definedName>
    <definedName name="EnvRecurringCost">'Environment Ministry'!$B$110:$J$110</definedName>
    <definedName name="EnvSlider1">'Environment Ministry'!$P$4:$X$4</definedName>
    <definedName name="EnvSlider1Cost">'Environment Ministry'!$P$6:$X$6</definedName>
    <definedName name="EnvSlider1LastYear">'Environment Ministry'!$P$5:$X$5</definedName>
    <definedName name="EnvSlider2">'Environment Ministry'!$AH$4:$AP$4</definedName>
    <definedName name="EnvSlider2Cost">'Environment Ministry'!$AH$6:$AP$6</definedName>
    <definedName name="EnvSlider2LastYear">'Environment Ministry'!$AH$5:$AP$5</definedName>
    <definedName name="EnvTotalCost">'Environment Ministry'!$B$112:$J$112</definedName>
    <definedName name="EwasteCircularityIndex">Results!$B$86:$J$86</definedName>
    <definedName name="F_AIContributionToGDPTarget">'Target Settings'!$B$4</definedName>
    <definedName name="F_AIFDIStockTarget">'Target Settings'!$B$5</definedName>
    <definedName name="F_AILiteracyTarget">'Target Settings'!$B$22</definedName>
    <definedName name="F_AutonomousSystemsSafteyIndexTarget">'Target Settings'!$B$17</definedName>
    <definedName name="F_CircularityIndexTarget">'Target Settings'!$B$11</definedName>
    <definedName name="F_CybersecurityIndexTarget">'Target Settings'!$B$16</definedName>
    <definedName name="F_EcosystemIntegrityIndexTarget">'Target Settings'!$B$12</definedName>
    <definedName name="F_InnovationIndexTarget">'Target Settings'!$B$23</definedName>
    <definedName name="F_InstitutionalAdoptionRateTarget">'Target Settings'!$B$24</definedName>
    <definedName name="F_MilitaryTechnologyTradeBalanceTarget">'Target Settings'!$B$18</definedName>
    <definedName name="F_NetJobsFromAITarget">'Target Settings'!$B$6</definedName>
    <definedName name="F_RenewableEnergyFactorTarget">'Target Settings'!$B$10</definedName>
    <definedName name="FacAllowMinistryChoice">'Project Variables'!$B$21</definedName>
    <definedName name="FacDefEnabled">'Project Variables'!$B$19</definedName>
    <definedName name="FacEcEnabled">'Project Variables'!$B$17</definedName>
    <definedName name="FacEduEnabled">'Project Variables'!$B$20</definedName>
    <definedName name="FacEnvEnabled">'Project Variables'!$B$18</definedName>
    <definedName name="FacilSetsTargets">'Target Settings'!$B$1</definedName>
    <definedName name="GameOver">'Project Variables'!$B$4</definedName>
    <definedName name="GrowthWB">Results!$B$64:$J$64</definedName>
    <definedName name="GrowthWellBeing">Results!$B$64:$J$64</definedName>
    <definedName name="HumanRights">Results!$B$65:$J$65</definedName>
    <definedName name="InnovationIndex">Results!$B$103:$J$103</definedName>
    <definedName name="InnovationIndexPercOfTargetAchieved">'Result Targets'!$B$103:$J$103</definedName>
    <definedName name="InnovationIndexTarget">'Result Targets'!$B$32:$J$32</definedName>
    <definedName name="InstitutionalAdoptionRate">Results!$B$104:$J$104</definedName>
    <definedName name="InstitutionalAdoptionRatePercOfTargetAchieved">'Result Targets'!$B$104:$J$104</definedName>
    <definedName name="InstitutionalAdoptionRateTarget">'Result Targets'!$B$33:$J$33</definedName>
    <definedName name="IsMultiplayer">'Project Variables'!$B$8</definedName>
    <definedName name="JobsCreated">Results!$B$75:$J$75</definedName>
    <definedName name="JobsDisplaced">Results!$B$76:$J$76</definedName>
    <definedName name="MilitaryTechnologyTradeBalance">Results!$B$97:$J$97</definedName>
    <definedName name="MilitaryTechnologyTradeBalancePercOfTargetAchieved">'Result Targets'!$B$97:$J$97</definedName>
    <definedName name="MilitaryTechnologyTradeBalanceTarget">'Result Targets'!$B$27:$J$27</definedName>
    <definedName name="MinistriesConfirmed">'Project Variables'!$B$22</definedName>
    <definedName name="NetJobsFromAI">Results!$B$77:$J$77</definedName>
    <definedName name="NetJobsFromAIPercOfTargetAchieved">'Result Targets'!$B$77:$J$77</definedName>
    <definedName name="NetJobsFromAITarget">'Result Targets'!$B$9:$J$9</definedName>
    <definedName name="News1">'Breaking News'!$P$5:$X$5</definedName>
    <definedName name="News1Enabled">'Breaking News'!$P$6:$X$6</definedName>
    <definedName name="News1Show">'Breaking News'!$P$7:$X$7</definedName>
    <definedName name="News1Year">'Breaking News'!$P$4:$X$4</definedName>
    <definedName name="News2">'Breaking News'!$AD$5:$AL$5</definedName>
    <definedName name="News2Enabled">'Breaking News'!$AD$6:$AL$6</definedName>
    <definedName name="News2Show">'Breaking News'!$AD$7:$AL$7</definedName>
    <definedName name="News2Year">'Breaking News'!$AD$4:$AL$4</definedName>
    <definedName name="News3">'Breaking News'!$AR$5:$AZ$5</definedName>
    <definedName name="News3Enabled">'Breaking News'!$AR$6:$AZ$6</definedName>
    <definedName name="News3Show">'Breaking News'!$AR$7:$AZ$7</definedName>
    <definedName name="News3Year">'Breaking News'!$AR$4:$AZ$4</definedName>
    <definedName name="News4">'Breaking News'!$BF$5:$BN$5</definedName>
    <definedName name="News4Enabled">'Breaking News'!$BF$6:$BN$6</definedName>
    <definedName name="News4Show">'Breaking News'!$BF$7:$BN$7</definedName>
    <definedName name="News4Year">'Breaking News'!$BF$4:$BN$4</definedName>
    <definedName name="News5">'Breaking News'!$BT$5:$CB$5</definedName>
    <definedName name="News5Enabled">'Breaking News'!$BT$6:$CB$6</definedName>
    <definedName name="News5Show">'Breaking News'!$BT$7:$CB$7</definedName>
    <definedName name="News5Year">'Breaking News'!$BT$4:$CB$4</definedName>
    <definedName name="News6">'Breaking News'!$CH$5:$CP$5</definedName>
    <definedName name="News6Enabled">'Breaking News'!$CH$6:$CP$6</definedName>
    <definedName name="News6Show">'Breaking News'!$CH$7:$CP$7</definedName>
    <definedName name="News6Year">'Breaking News'!$CH$4:$CP$4</definedName>
    <definedName name="News7">'Breaking News'!$CV$5:$DD$5</definedName>
    <definedName name="News7Enabled">'Breaking News'!$CV$6:$DD$6</definedName>
    <definedName name="News7Show">'Breaking News'!$CV$7:$DD$7</definedName>
    <definedName name="News7Year">'Breaking News'!$CV$4:$DD$4</definedName>
    <definedName name="News8">'Breaking News'!$DJ$5:$DR$5</definedName>
    <definedName name="News8Enabled">'Breaking News'!$DJ$6:$DR$6</definedName>
    <definedName name="News8Show">'Breaking News'!$DJ$7:$DR$7</definedName>
    <definedName name="News8Year">'Breaking News'!$DJ$4:$DR$4</definedName>
    <definedName name="NumTargetsAlmostMet">'Result Targets'!$B$110:$J$110</definedName>
    <definedName name="NumTargetsMet">'Result Targets'!$B$109:$J$109</definedName>
    <definedName name="NumTargetsNotMet">'Result Targets'!$B$111:$J$111</definedName>
    <definedName name="NumYears">'Project Variables'!$B$3</definedName>
    <definedName name="Op1_">Opportunities!$P$5:$X$5</definedName>
    <definedName name="Op1Selected">Opportunities!$P$6:$X$6</definedName>
    <definedName name="Op1Year">Opportunities!$P$4:$X$4</definedName>
    <definedName name="Op2_">Opportunities!$AD$5:$AL$5</definedName>
    <definedName name="Op2Selected">Opportunities!$AD$6:$AL$6</definedName>
    <definedName name="Op2Year">Opportunities!$AD$4:$AL$4</definedName>
    <definedName name="Op3_">Opportunities!$AR$5:$AZ$5</definedName>
    <definedName name="Op3Selected">Opportunities!$AR$6:$AZ$6</definedName>
    <definedName name="Op3Year">Opportunities!$AR$4:$AZ$4</definedName>
    <definedName name="Op4_">Opportunities!$BF$5:$BN$5</definedName>
    <definedName name="Op4Selected">Opportunities!$BF$6:$BN$6</definedName>
    <definedName name="Op4Year">Opportunities!$BF$4:$BN$4</definedName>
    <definedName name="Op5_">Opportunities!$BT$5:$CB$5</definedName>
    <definedName name="Op5Selected">Opportunities!$BT$6:$CB$6</definedName>
    <definedName name="Op5Year">Opportunities!$BT$4:$CB$4</definedName>
    <definedName name="Op6_">Opportunities!$CH$5:$CP$5</definedName>
    <definedName name="Op6Selected">Opportunities!$CH$6:$CP$6</definedName>
    <definedName name="Op6Year">Opportunities!$CH$4:$CP$4</definedName>
    <definedName name="Op7_">Opportunities!$CV$5:$DD$5</definedName>
    <definedName name="Op7Selected">Opportunities!$CV$6:$DD$6</definedName>
    <definedName name="Op7Year">Opportunities!$CV$4:$DD$4</definedName>
    <definedName name="Op8_">Opportunities!$DJ$5:$DR$5</definedName>
    <definedName name="Op8Selected">Opportunities!$DJ$6:$DR$6</definedName>
    <definedName name="Op8Year">Opportunities!$DJ$4:$DR$4</definedName>
    <definedName name="PrivacyDataProtection">Results!$B$66:$J$66</definedName>
    <definedName name="PrivacyDP">Results!$B$66:$J$66</definedName>
    <definedName name="ReadVault">'Project Variables'!$B$2</definedName>
    <definedName name="RenewableEnergyFactor">Results!$B$84:$J$84</definedName>
    <definedName name="RenewableEnergyFactorPercOfTargetAchieved">'Result Targets'!$B$84:$J$84</definedName>
    <definedName name="RenewableEnergyFactorTarget">'Result Targets'!$B$15:$J$15</definedName>
    <definedName name="RolesConfirmed">'Project Variables'!$B$30</definedName>
    <definedName name="RoleUser0">'Project Variables'!$B$25</definedName>
    <definedName name="RoleUser0Value1Position">'Project Variables'!$B$41</definedName>
    <definedName name="RoleUser0Value2Position">'Project Variables'!$B$42</definedName>
    <definedName name="RoleUser0Value3Position">'Project Variables'!$B$43</definedName>
    <definedName name="RoleUser0Value4Position">'Project Variables'!$B$44</definedName>
    <definedName name="RoleUser0Value5Position">'Project Variables'!$B$45</definedName>
    <definedName name="RoleUser0Value6Position">'Project Variables'!$B$46</definedName>
    <definedName name="RoleUser0ValuesConfirmed">'Project Variables'!$B$47</definedName>
    <definedName name="RoleUser1">'Project Variables'!$B$26</definedName>
    <definedName name="RoleUser1Value1Position">'Project Variables'!$B$49</definedName>
    <definedName name="RoleUser1Value2Position">'Project Variables'!$B$50</definedName>
    <definedName name="RoleUser1Value3Position">'Project Variables'!$B$51</definedName>
    <definedName name="RoleUser1Value4Position">'Project Variables'!$B$52</definedName>
    <definedName name="RoleUser1Value5Position">'Project Variables'!$B$53</definedName>
    <definedName name="RoleUser1Value6Position">'Project Variables'!$B$54</definedName>
    <definedName name="RoleUser1ValuesConfirmed">'Project Variables'!$B$55</definedName>
    <definedName name="RoleUser2">'Project Variables'!$B$27</definedName>
    <definedName name="RoleUser2Value1Position">'Project Variables'!$B$57</definedName>
    <definedName name="RoleUser2Value2Position">'Project Variables'!$B$58</definedName>
    <definedName name="RoleUser2Value3Position">'Project Variables'!$B$59</definedName>
    <definedName name="RoleUser2Value4Position">'Project Variables'!$B$60</definedName>
    <definedName name="RoleUser2Value5Position">'Project Variables'!$B$61</definedName>
    <definedName name="RoleUser2Value6Position">'Project Variables'!$B$62</definedName>
    <definedName name="RoleUser2ValuesConfirmed">'Project Variables'!$B$63</definedName>
    <definedName name="RoleUser3">'Project Variables'!$B$28</definedName>
    <definedName name="RoleUser3Value1Position">'Project Variables'!$B$65</definedName>
    <definedName name="RoleUser3Value2Position">'Project Variables'!$B$66</definedName>
    <definedName name="RoleUser3Value3Position">'Project Variables'!$B$67</definedName>
    <definedName name="RoleUser3Value4Position">'Project Variables'!$B$68</definedName>
    <definedName name="RoleUser3Value5Position">'Project Variables'!$B$69</definedName>
    <definedName name="RoleUser3Value6Position">'Project Variables'!$B$70</definedName>
    <definedName name="RoleUser3ValuesConfirmed">'Project Variables'!$B$71</definedName>
    <definedName name="RoleUser4">'Project Variables'!$B$29</definedName>
    <definedName name="RoleUser4Value1Position">'Project Variables'!$B$73</definedName>
    <definedName name="RoleUser4Value2Position">'Project Variables'!$B$74</definedName>
    <definedName name="RoleUser4Value3Position">'Project Variables'!$B$75</definedName>
    <definedName name="RoleUser4Value4Position">'Project Variables'!$B$76</definedName>
    <definedName name="RoleUser4Value5Position">'Project Variables'!$B$77</definedName>
    <definedName name="RoleUser4Value6Position">'Project Variables'!$B$78</definedName>
    <definedName name="RoleUser4ValuesConfirmed">'Project Variables'!$B$79</definedName>
    <definedName name="SecuritySafety">Results!$B$68:$J$68</definedName>
    <definedName name="settingsID">'Project Variables'!$B$1</definedName>
    <definedName name="SliderReasoningEnabled">'Project Variables'!$B$9</definedName>
    <definedName name="Step">Results!$B$3</definedName>
    <definedName name="TeamName">'Project Variables'!$B$10</definedName>
    <definedName name="Time">Results!$B$5:$J$5</definedName>
    <definedName name="Transparency">Results!$B$67:$J$67</definedName>
    <definedName name="TrustInGovernment">Results!$B$117:$J$117</definedName>
    <definedName name="Value1Position">'Project Variables'!$B$33</definedName>
    <definedName name="Value2Position">'Project Variables'!$B$34</definedName>
    <definedName name="Value3Position">'Project Variables'!$B$35</definedName>
    <definedName name="Value4Position">'Project Variables'!$B$36</definedName>
    <definedName name="Value5Position">'Project Variables'!$B$37</definedName>
    <definedName name="Value6Position">'Project Variables'!$B$38</definedName>
    <definedName name="ValuesConfirmed">'Project Variables'!$B$39</definedName>
    <definedName name="WaterCircularityIndex">Results!$B$85:$J$85</definedName>
    <definedName name="Year">Results!$B$6:$J$6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23" l="1"/>
  <c r="B103" i="23"/>
  <c r="B102" i="23"/>
  <c r="B96" i="23"/>
  <c r="B95" i="23"/>
  <c r="B94" i="23"/>
  <c r="B93" i="23"/>
  <c r="B88" i="23"/>
  <c r="B86" i="23"/>
  <c r="B85" i="23"/>
  <c r="B84" i="23"/>
  <c r="B76" i="23"/>
  <c r="B75" i="23"/>
  <c r="B74" i="23"/>
  <c r="B73" i="23"/>
  <c r="B69" i="23"/>
  <c r="B68" i="23"/>
  <c r="B67" i="23"/>
  <c r="B66" i="23"/>
  <c r="B65" i="23"/>
  <c r="B64" i="23"/>
  <c r="C104" i="23"/>
  <c r="C103" i="23"/>
  <c r="C102" i="23"/>
  <c r="C96" i="23"/>
  <c r="C95" i="23"/>
  <c r="C94" i="23"/>
  <c r="C93" i="23"/>
  <c r="C88" i="23"/>
  <c r="C86" i="23"/>
  <c r="C85" i="23"/>
  <c r="C84" i="23"/>
  <c r="C76" i="23"/>
  <c r="C75" i="23"/>
  <c r="C74" i="23"/>
  <c r="C73" i="23"/>
  <c r="C69" i="23"/>
  <c r="CE69" i="9" s="1"/>
  <c r="C68" i="23"/>
  <c r="C67" i="23"/>
  <c r="C66" i="23"/>
  <c r="AO66" i="24" s="1"/>
  <c r="C65" i="23"/>
  <c r="C64" i="23"/>
  <c r="D104" i="23"/>
  <c r="D103" i="23"/>
  <c r="D102" i="23"/>
  <c r="D96" i="23"/>
  <c r="D95" i="23"/>
  <c r="D94" i="23"/>
  <c r="D93" i="23"/>
  <c r="D88" i="23"/>
  <c r="D86" i="23"/>
  <c r="D85" i="23"/>
  <c r="D84" i="23"/>
  <c r="D76" i="23"/>
  <c r="D75" i="23"/>
  <c r="D74" i="23"/>
  <c r="CS74" i="25" s="1"/>
  <c r="D73" i="23"/>
  <c r="D69" i="23"/>
  <c r="D68" i="23"/>
  <c r="D67" i="23"/>
  <c r="D66" i="23"/>
  <c r="D65" i="23"/>
  <c r="D64" i="23"/>
  <c r="BK64" i="17"/>
  <c r="BM64" i="17"/>
  <c r="CA64" i="17"/>
  <c r="BV64" i="17" s="1"/>
  <c r="CC64" i="17"/>
  <c r="CQ64" i="17"/>
  <c r="CI64" i="17" s="1"/>
  <c r="CS64" i="17"/>
  <c r="HO64" i="13"/>
  <c r="HQ64" i="13"/>
  <c r="EM64" i="13"/>
  <c r="EO64" i="13"/>
  <c r="M104" i="23"/>
  <c r="L104" i="23"/>
  <c r="K104" i="23"/>
  <c r="M103" i="23"/>
  <c r="L103" i="23"/>
  <c r="K103" i="23"/>
  <c r="M102" i="23"/>
  <c r="L102" i="23"/>
  <c r="K102" i="23"/>
  <c r="M98" i="23"/>
  <c r="L98" i="23"/>
  <c r="K98" i="23"/>
  <c r="M96" i="23"/>
  <c r="L96" i="23"/>
  <c r="K96" i="23"/>
  <c r="M95" i="23"/>
  <c r="L95" i="23"/>
  <c r="K95" i="23"/>
  <c r="M94" i="23"/>
  <c r="L94" i="23"/>
  <c r="K94" i="23"/>
  <c r="M93" i="23"/>
  <c r="L93" i="23"/>
  <c r="K93" i="23"/>
  <c r="M89" i="23"/>
  <c r="L89" i="23"/>
  <c r="K89" i="23"/>
  <c r="M88" i="23"/>
  <c r="L88" i="23"/>
  <c r="K88" i="23"/>
  <c r="M86" i="23"/>
  <c r="L86" i="23"/>
  <c r="K86" i="23"/>
  <c r="M85" i="23"/>
  <c r="L85" i="23"/>
  <c r="K85" i="23"/>
  <c r="M84" i="23"/>
  <c r="L84" i="23"/>
  <c r="K84" i="23"/>
  <c r="M78" i="23"/>
  <c r="L78" i="23"/>
  <c r="K78" i="23"/>
  <c r="M76" i="23"/>
  <c r="L76" i="23"/>
  <c r="K76" i="23"/>
  <c r="M75" i="23"/>
  <c r="L75" i="23"/>
  <c r="K75" i="23"/>
  <c r="M74" i="23"/>
  <c r="L74" i="23"/>
  <c r="K74" i="23"/>
  <c r="M73" i="23"/>
  <c r="L73" i="23"/>
  <c r="K73" i="23"/>
  <c r="M69" i="23"/>
  <c r="L69" i="23"/>
  <c r="K69" i="23"/>
  <c r="M68" i="23"/>
  <c r="L68" i="23"/>
  <c r="K68" i="23"/>
  <c r="M67" i="23"/>
  <c r="L67" i="23"/>
  <c r="K67" i="23"/>
  <c r="M66" i="23"/>
  <c r="L66" i="23"/>
  <c r="K66" i="23"/>
  <c r="M65" i="23"/>
  <c r="L65" i="23"/>
  <c r="K65" i="23"/>
  <c r="M64" i="23"/>
  <c r="L64" i="23"/>
  <c r="K64" i="23"/>
  <c r="D78" i="23"/>
  <c r="D89" i="23"/>
  <c r="AO93" i="24"/>
  <c r="D98" i="23"/>
  <c r="CS65" i="24"/>
  <c r="CS73" i="25"/>
  <c r="C78" i="23"/>
  <c r="C89" i="23"/>
  <c r="BQ93" i="24"/>
  <c r="AO94" i="24"/>
  <c r="C98" i="23"/>
  <c r="CS103" i="25"/>
  <c r="BC65" i="24"/>
  <c r="B78" i="23"/>
  <c r="B89" i="23"/>
  <c r="BQ93" i="9"/>
  <c r="BC94" i="24"/>
  <c r="B98" i="23"/>
  <c r="AO64" i="24"/>
  <c r="AD64" i="24" s="1"/>
  <c r="AO64" i="9"/>
  <c r="AA64" i="25"/>
  <c r="P8" i="9"/>
  <c r="FK6" i="13"/>
  <c r="BR4" i="13"/>
  <c r="OK104" i="17"/>
  <c r="OK103" i="17"/>
  <c r="OK102" i="17"/>
  <c r="OK96" i="17"/>
  <c r="OK95" i="17"/>
  <c r="OK94" i="17"/>
  <c r="OK93" i="17"/>
  <c r="OK88" i="17"/>
  <c r="OK86" i="17"/>
  <c r="OK85" i="17"/>
  <c r="OK84" i="17"/>
  <c r="OK76" i="17"/>
  <c r="OK75" i="17"/>
  <c r="OK74" i="17"/>
  <c r="OK73" i="17"/>
  <c r="OK69" i="17"/>
  <c r="OK68" i="17"/>
  <c r="OK67" i="17"/>
  <c r="OK66" i="17"/>
  <c r="OK65" i="17"/>
  <c r="OK64" i="17"/>
  <c r="NU104" i="17"/>
  <c r="NU103" i="17"/>
  <c r="NU102" i="17"/>
  <c r="NU96" i="17"/>
  <c r="NU95" i="17"/>
  <c r="NU94" i="17"/>
  <c r="NU93" i="17"/>
  <c r="NU88" i="17"/>
  <c r="NU86" i="17"/>
  <c r="NU85" i="17"/>
  <c r="NU84" i="17"/>
  <c r="NU76" i="17"/>
  <c r="NU75" i="17"/>
  <c r="NU74" i="17"/>
  <c r="NU73" i="17"/>
  <c r="NU69" i="17"/>
  <c r="NU68" i="17"/>
  <c r="NU67" i="17"/>
  <c r="NU66" i="17"/>
  <c r="NU65" i="17"/>
  <c r="NU64" i="17"/>
  <c r="NE104" i="17"/>
  <c r="NE103" i="17"/>
  <c r="NE102" i="17"/>
  <c r="NE96" i="17"/>
  <c r="NE95" i="17"/>
  <c r="NE94" i="17"/>
  <c r="NE93" i="17"/>
  <c r="NE88" i="17"/>
  <c r="NE86" i="17"/>
  <c r="NE85" i="17"/>
  <c r="NE84" i="17"/>
  <c r="NE76" i="17"/>
  <c r="NE75" i="17"/>
  <c r="NE74" i="17"/>
  <c r="NE73" i="17"/>
  <c r="NE69" i="17"/>
  <c r="NE68" i="17"/>
  <c r="NE67" i="17"/>
  <c r="NE66" i="17"/>
  <c r="NE65" i="17"/>
  <c r="NE64" i="17"/>
  <c r="MO104" i="17"/>
  <c r="MO103" i="17"/>
  <c r="MO102" i="17"/>
  <c r="MO96" i="17"/>
  <c r="MO95" i="17"/>
  <c r="MO94" i="17"/>
  <c r="MO93" i="17"/>
  <c r="MO88" i="17"/>
  <c r="MO86" i="17"/>
  <c r="MO85" i="17"/>
  <c r="MO84" i="17"/>
  <c r="MO76" i="17"/>
  <c r="MO75" i="17"/>
  <c r="MO74" i="17"/>
  <c r="MO73" i="17"/>
  <c r="MO69" i="17"/>
  <c r="MO68" i="17"/>
  <c r="MO67" i="17"/>
  <c r="MO66" i="17"/>
  <c r="MO65" i="17"/>
  <c r="MO64" i="17"/>
  <c r="LY104" i="17"/>
  <c r="LY103" i="17"/>
  <c r="LY102" i="17"/>
  <c r="LY96" i="17"/>
  <c r="LY95" i="17"/>
  <c r="LY94" i="17"/>
  <c r="LY93" i="17"/>
  <c r="LY88" i="17"/>
  <c r="LY86" i="17"/>
  <c r="LY85" i="17"/>
  <c r="LY84" i="17"/>
  <c r="LY76" i="17"/>
  <c r="LY75" i="17"/>
  <c r="LY74" i="17"/>
  <c r="LY73" i="17"/>
  <c r="LY69" i="17"/>
  <c r="LY68" i="17"/>
  <c r="LY67" i="17"/>
  <c r="LY66" i="17"/>
  <c r="LY65" i="17"/>
  <c r="LY64" i="17"/>
  <c r="LI104" i="17"/>
  <c r="LI103" i="17"/>
  <c r="LI102" i="17"/>
  <c r="LI96" i="17"/>
  <c r="LI95" i="17"/>
  <c r="LI94" i="17"/>
  <c r="LI93" i="17"/>
  <c r="LI88" i="17"/>
  <c r="LI86" i="17"/>
  <c r="LI85" i="17"/>
  <c r="LI84" i="17"/>
  <c r="LI76" i="17"/>
  <c r="LI75" i="17"/>
  <c r="LI74" i="17"/>
  <c r="LI73" i="17"/>
  <c r="LI69" i="17"/>
  <c r="LI68" i="17"/>
  <c r="LI67" i="17"/>
  <c r="LI66" i="17"/>
  <c r="LI65" i="17"/>
  <c r="LI64" i="17"/>
  <c r="KS104" i="17"/>
  <c r="KS103" i="17"/>
  <c r="KS102" i="17"/>
  <c r="KS96" i="17"/>
  <c r="KS95" i="17"/>
  <c r="KS94" i="17"/>
  <c r="KS93" i="17"/>
  <c r="KS88" i="17"/>
  <c r="KS86" i="17"/>
  <c r="KS85" i="17"/>
  <c r="KS84" i="17"/>
  <c r="KS76" i="17"/>
  <c r="KS75" i="17"/>
  <c r="KS74" i="17"/>
  <c r="KS73" i="17"/>
  <c r="KS69" i="17"/>
  <c r="KS68" i="17"/>
  <c r="KS67" i="17"/>
  <c r="KS66" i="17"/>
  <c r="KS65" i="17"/>
  <c r="KS64" i="17"/>
  <c r="KC104" i="17"/>
  <c r="KC103" i="17"/>
  <c r="KC102" i="17"/>
  <c r="KC96" i="17"/>
  <c r="KC95" i="17"/>
  <c r="KC94" i="17"/>
  <c r="KC93" i="17"/>
  <c r="KC88" i="17"/>
  <c r="KC86" i="17"/>
  <c r="KC85" i="17"/>
  <c r="KC84" i="17"/>
  <c r="KC76" i="17"/>
  <c r="KC75" i="17"/>
  <c r="KC74" i="17"/>
  <c r="KC73" i="17"/>
  <c r="KC69" i="17"/>
  <c r="KC68" i="17"/>
  <c r="KC67" i="17"/>
  <c r="KC66" i="17"/>
  <c r="KC65" i="17"/>
  <c r="KC64" i="17"/>
  <c r="JM104" i="17"/>
  <c r="JM103" i="17"/>
  <c r="JM102" i="17"/>
  <c r="JM96" i="17"/>
  <c r="JM95" i="17"/>
  <c r="JM94" i="17"/>
  <c r="JM93" i="17"/>
  <c r="JM88" i="17"/>
  <c r="JM86" i="17"/>
  <c r="JM85" i="17"/>
  <c r="JM84" i="17"/>
  <c r="JM76" i="17"/>
  <c r="JM75" i="17"/>
  <c r="JM74" i="17"/>
  <c r="JM73" i="17"/>
  <c r="JM69" i="17"/>
  <c r="JM68" i="17"/>
  <c r="JM67" i="17"/>
  <c r="JM66" i="17"/>
  <c r="JM65" i="17"/>
  <c r="JM64" i="17"/>
  <c r="IW104" i="17"/>
  <c r="IW103" i="17"/>
  <c r="IW102" i="17"/>
  <c r="IW96" i="17"/>
  <c r="IW95" i="17"/>
  <c r="IW94" i="17"/>
  <c r="IW93" i="17"/>
  <c r="IW88" i="17"/>
  <c r="IW86" i="17"/>
  <c r="IW85" i="17"/>
  <c r="IW84" i="17"/>
  <c r="IW76" i="17"/>
  <c r="IW75" i="17"/>
  <c r="IW74" i="17"/>
  <c r="IW73" i="17"/>
  <c r="IW69" i="17"/>
  <c r="IW68" i="17"/>
  <c r="IW67" i="17"/>
  <c r="IW66" i="17"/>
  <c r="IW65" i="17"/>
  <c r="IW64" i="17"/>
  <c r="IG104" i="17"/>
  <c r="IG103" i="17"/>
  <c r="IG102" i="17"/>
  <c r="IG96" i="17"/>
  <c r="IG95" i="17"/>
  <c r="IG94" i="17"/>
  <c r="IG93" i="17"/>
  <c r="IG88" i="17"/>
  <c r="IG86" i="17"/>
  <c r="IG85" i="17"/>
  <c r="IG84" i="17"/>
  <c r="IG76" i="17"/>
  <c r="IG75" i="17"/>
  <c r="IG74" i="17"/>
  <c r="IG73" i="17"/>
  <c r="IG69" i="17"/>
  <c r="IG68" i="17"/>
  <c r="IG67" i="17"/>
  <c r="IG66" i="17"/>
  <c r="IG65" i="17"/>
  <c r="IG64" i="17"/>
  <c r="HQ104" i="17"/>
  <c r="HQ103" i="17"/>
  <c r="HQ102" i="17"/>
  <c r="HQ96" i="17"/>
  <c r="HQ95" i="17"/>
  <c r="HQ94" i="17"/>
  <c r="HQ93" i="17"/>
  <c r="HQ88" i="17"/>
  <c r="HQ86" i="17"/>
  <c r="HQ85" i="17"/>
  <c r="HQ84" i="17"/>
  <c r="HQ76" i="17"/>
  <c r="HQ75" i="17"/>
  <c r="HQ74" i="17"/>
  <c r="HQ73" i="17"/>
  <c r="HQ69" i="17"/>
  <c r="HQ68" i="17"/>
  <c r="HQ67" i="17"/>
  <c r="HQ66" i="17"/>
  <c r="HQ65" i="17"/>
  <c r="HQ64" i="17"/>
  <c r="HA104" i="17"/>
  <c r="HA103" i="17"/>
  <c r="HA102" i="17"/>
  <c r="HA96" i="17"/>
  <c r="HA95" i="17"/>
  <c r="HA94" i="17"/>
  <c r="HA93" i="17"/>
  <c r="HA88" i="17"/>
  <c r="HA86" i="17"/>
  <c r="HA85" i="17"/>
  <c r="HA84" i="17"/>
  <c r="HA76" i="17"/>
  <c r="HA75" i="17"/>
  <c r="HA74" i="17"/>
  <c r="HA73" i="17"/>
  <c r="HA69" i="17"/>
  <c r="HA68" i="17"/>
  <c r="HA67" i="17"/>
  <c r="HA66" i="17"/>
  <c r="HA65" i="17"/>
  <c r="HA64" i="17"/>
  <c r="GK104" i="17"/>
  <c r="GK103" i="17"/>
  <c r="GK102" i="17"/>
  <c r="GK96" i="17"/>
  <c r="GK95" i="17"/>
  <c r="GK94" i="17"/>
  <c r="GK93" i="17"/>
  <c r="GK88" i="17"/>
  <c r="GK86" i="17"/>
  <c r="GK85" i="17"/>
  <c r="GK84" i="17"/>
  <c r="GK76" i="17"/>
  <c r="GK75" i="17"/>
  <c r="GK74" i="17"/>
  <c r="GK73" i="17"/>
  <c r="GK69" i="17"/>
  <c r="GK68" i="17"/>
  <c r="GK67" i="17"/>
  <c r="GK66" i="17"/>
  <c r="GK65" i="17"/>
  <c r="GK64" i="17"/>
  <c r="FU104" i="17"/>
  <c r="FU103" i="17"/>
  <c r="FU102" i="17"/>
  <c r="FU96" i="17"/>
  <c r="FU95" i="17"/>
  <c r="FU94" i="17"/>
  <c r="FU93" i="17"/>
  <c r="FU88" i="17"/>
  <c r="FU86" i="17"/>
  <c r="FU85" i="17"/>
  <c r="FU84" i="17"/>
  <c r="FU76" i="17"/>
  <c r="FU75" i="17"/>
  <c r="FU74" i="17"/>
  <c r="FU73" i="17"/>
  <c r="FU69" i="17"/>
  <c r="FU68" i="17"/>
  <c r="FU67" i="17"/>
  <c r="FU66" i="17"/>
  <c r="FU65" i="17"/>
  <c r="FU64" i="17"/>
  <c r="FE104" i="17"/>
  <c r="FE103" i="17"/>
  <c r="FE102" i="17"/>
  <c r="FE96" i="17"/>
  <c r="FE95" i="17"/>
  <c r="FE94" i="17"/>
  <c r="FE93" i="17"/>
  <c r="FE88" i="17"/>
  <c r="FE86" i="17"/>
  <c r="FE85" i="17"/>
  <c r="FE84" i="17"/>
  <c r="FE76" i="17"/>
  <c r="FE75" i="17"/>
  <c r="FE74" i="17"/>
  <c r="FE73" i="17"/>
  <c r="FE69" i="17"/>
  <c r="FE68" i="17"/>
  <c r="FE67" i="17"/>
  <c r="FE66" i="17"/>
  <c r="FE65" i="17"/>
  <c r="FE64" i="17"/>
  <c r="EO104" i="17"/>
  <c r="EO103" i="17"/>
  <c r="EO102" i="17"/>
  <c r="EO96" i="17"/>
  <c r="EO95" i="17"/>
  <c r="EO94" i="17"/>
  <c r="EO93" i="17"/>
  <c r="EO88" i="17"/>
  <c r="EO86" i="17"/>
  <c r="EO85" i="17"/>
  <c r="EO84" i="17"/>
  <c r="EO76" i="17"/>
  <c r="EO75" i="17"/>
  <c r="EO74" i="17"/>
  <c r="EO73" i="17"/>
  <c r="EO69" i="17"/>
  <c r="EO68" i="17"/>
  <c r="EO67" i="17"/>
  <c r="EO66" i="17"/>
  <c r="EO65" i="17"/>
  <c r="EO64" i="17"/>
  <c r="DY104" i="17"/>
  <c r="DY103" i="17"/>
  <c r="DY102" i="17"/>
  <c r="DY96" i="17"/>
  <c r="DY95" i="17"/>
  <c r="DY94" i="17"/>
  <c r="DY93" i="17"/>
  <c r="DY88" i="17"/>
  <c r="DY86" i="17"/>
  <c r="DY85" i="17"/>
  <c r="DY84" i="17"/>
  <c r="DY76" i="17"/>
  <c r="DY75" i="17"/>
  <c r="DY74" i="17"/>
  <c r="DY73" i="17"/>
  <c r="DY69" i="17"/>
  <c r="DY68" i="17"/>
  <c r="DY67" i="17"/>
  <c r="DY66" i="17"/>
  <c r="DY65" i="17"/>
  <c r="DY64" i="17"/>
  <c r="DI104" i="17"/>
  <c r="DI103" i="17"/>
  <c r="DI102" i="17"/>
  <c r="DI96" i="17"/>
  <c r="DI95" i="17"/>
  <c r="DI94" i="17"/>
  <c r="DI93" i="17"/>
  <c r="DI88" i="17"/>
  <c r="DI86" i="17"/>
  <c r="DI85" i="17"/>
  <c r="DI84" i="17"/>
  <c r="DI76" i="17"/>
  <c r="DI75" i="17"/>
  <c r="DI74" i="17"/>
  <c r="DI73" i="17"/>
  <c r="DI69" i="17"/>
  <c r="DI68" i="17"/>
  <c r="DI67" i="17"/>
  <c r="DI66" i="17"/>
  <c r="DI65" i="17"/>
  <c r="DI64" i="17"/>
  <c r="CS104" i="17"/>
  <c r="CS103" i="17"/>
  <c r="CS102" i="17"/>
  <c r="CS96" i="17"/>
  <c r="CS95" i="17"/>
  <c r="CS94" i="17"/>
  <c r="CS93" i="17"/>
  <c r="CS88" i="17"/>
  <c r="CS86" i="17"/>
  <c r="CS85" i="17"/>
  <c r="CS84" i="17"/>
  <c r="CS76" i="17"/>
  <c r="CS75" i="17"/>
  <c r="CS74" i="17"/>
  <c r="CS73" i="17"/>
  <c r="CS69" i="17"/>
  <c r="CS68" i="17"/>
  <c r="CS67" i="17"/>
  <c r="CS66" i="17"/>
  <c r="CS65" i="17"/>
  <c r="CC104" i="17"/>
  <c r="CC103" i="17"/>
  <c r="CC102" i="17"/>
  <c r="CC96" i="17"/>
  <c r="CC95" i="17"/>
  <c r="CC94" i="17"/>
  <c r="CC93" i="17"/>
  <c r="CC88" i="17"/>
  <c r="CC86" i="17"/>
  <c r="CC85" i="17"/>
  <c r="CC84" i="17"/>
  <c r="CC76" i="17"/>
  <c r="CC75" i="17"/>
  <c r="CC74" i="17"/>
  <c r="CC73" i="17"/>
  <c r="CC69" i="17"/>
  <c r="CC68" i="17"/>
  <c r="CC67" i="17"/>
  <c r="CC66" i="17"/>
  <c r="CC65" i="17"/>
  <c r="BM104" i="17"/>
  <c r="BM103" i="17"/>
  <c r="BM102" i="17"/>
  <c r="BM96" i="17"/>
  <c r="BM95" i="17"/>
  <c r="BM94" i="17"/>
  <c r="BM93" i="17"/>
  <c r="BM88" i="17"/>
  <c r="BM86" i="17"/>
  <c r="BM85" i="17"/>
  <c r="BM84" i="17"/>
  <c r="BM76" i="17"/>
  <c r="BM75" i="17"/>
  <c r="BM74" i="17"/>
  <c r="BM73" i="17"/>
  <c r="BM69" i="17"/>
  <c r="BM68" i="17"/>
  <c r="BM67" i="17"/>
  <c r="BM66" i="17"/>
  <c r="BM65" i="17"/>
  <c r="OK104" i="16"/>
  <c r="OK103" i="16"/>
  <c r="OK102" i="16"/>
  <c r="OK96" i="16"/>
  <c r="OK95" i="16"/>
  <c r="OK94" i="16"/>
  <c r="OK93" i="16"/>
  <c r="OK88" i="16"/>
  <c r="OK86" i="16"/>
  <c r="OK85" i="16"/>
  <c r="OK84" i="16"/>
  <c r="OK76" i="16"/>
  <c r="OK75" i="16"/>
  <c r="OK74" i="16"/>
  <c r="OK73" i="16"/>
  <c r="OK69" i="16"/>
  <c r="OK68" i="16"/>
  <c r="OK67" i="16"/>
  <c r="OK66" i="16"/>
  <c r="OK65" i="16"/>
  <c r="OK64" i="16"/>
  <c r="NU104" i="16"/>
  <c r="NU103" i="16"/>
  <c r="NU102" i="16"/>
  <c r="NU96" i="16"/>
  <c r="NU95" i="16"/>
  <c r="NU94" i="16"/>
  <c r="NU93" i="16"/>
  <c r="NU88" i="16"/>
  <c r="NU86" i="16"/>
  <c r="NU85" i="16"/>
  <c r="NU84" i="16"/>
  <c r="NU76" i="16"/>
  <c r="NU75" i="16"/>
  <c r="NU74" i="16"/>
  <c r="NU73" i="16"/>
  <c r="NU69" i="16"/>
  <c r="NU68" i="16"/>
  <c r="NU67" i="16"/>
  <c r="NU66" i="16"/>
  <c r="NU65" i="16"/>
  <c r="NU64" i="16"/>
  <c r="NE104" i="16"/>
  <c r="NE103" i="16"/>
  <c r="NE102" i="16"/>
  <c r="NE96" i="16"/>
  <c r="NE95" i="16"/>
  <c r="NE94" i="16"/>
  <c r="NE93" i="16"/>
  <c r="NE88" i="16"/>
  <c r="NE86" i="16"/>
  <c r="NE85" i="16"/>
  <c r="NE84" i="16"/>
  <c r="NE76" i="16"/>
  <c r="NE75" i="16"/>
  <c r="NE74" i="16"/>
  <c r="NE73" i="16"/>
  <c r="NE69" i="16"/>
  <c r="NE68" i="16"/>
  <c r="NE67" i="16"/>
  <c r="NE66" i="16"/>
  <c r="NE65" i="16"/>
  <c r="NE64" i="16"/>
  <c r="MO104" i="16"/>
  <c r="MO103" i="16"/>
  <c r="MO102" i="16"/>
  <c r="MO96" i="16"/>
  <c r="MO95" i="16"/>
  <c r="MO94" i="16"/>
  <c r="MO93" i="16"/>
  <c r="MO88" i="16"/>
  <c r="MO86" i="16"/>
  <c r="MO85" i="16"/>
  <c r="MO84" i="16"/>
  <c r="MO76" i="16"/>
  <c r="MO75" i="16"/>
  <c r="MO74" i="16"/>
  <c r="MO73" i="16"/>
  <c r="MO69" i="16"/>
  <c r="MO68" i="16"/>
  <c r="MO67" i="16"/>
  <c r="MO66" i="16"/>
  <c r="MO65" i="16"/>
  <c r="MO64" i="16"/>
  <c r="LY104" i="16"/>
  <c r="LY103" i="16"/>
  <c r="LY102" i="16"/>
  <c r="LY96" i="16"/>
  <c r="LY95" i="16"/>
  <c r="LY94" i="16"/>
  <c r="LY93" i="16"/>
  <c r="LY88" i="16"/>
  <c r="LY86" i="16"/>
  <c r="LY85" i="16"/>
  <c r="LY84" i="16"/>
  <c r="LY76" i="16"/>
  <c r="LY75" i="16"/>
  <c r="LY74" i="16"/>
  <c r="LY73" i="16"/>
  <c r="LY69" i="16"/>
  <c r="LY68" i="16"/>
  <c r="LY67" i="16"/>
  <c r="LY66" i="16"/>
  <c r="LY65" i="16"/>
  <c r="LY64" i="16"/>
  <c r="LI104" i="16"/>
  <c r="LI103" i="16"/>
  <c r="LI102" i="16"/>
  <c r="LI96" i="16"/>
  <c r="LI95" i="16"/>
  <c r="LI94" i="16"/>
  <c r="LI93" i="16"/>
  <c r="LI88" i="16"/>
  <c r="LI86" i="16"/>
  <c r="LI85" i="16"/>
  <c r="LI84" i="16"/>
  <c r="LI76" i="16"/>
  <c r="LI75" i="16"/>
  <c r="LI74" i="16"/>
  <c r="LI73" i="16"/>
  <c r="LI69" i="16"/>
  <c r="LI68" i="16"/>
  <c r="LI67" i="16"/>
  <c r="LI66" i="16"/>
  <c r="LI65" i="16"/>
  <c r="LI64" i="16"/>
  <c r="KS104" i="16"/>
  <c r="KS103" i="16"/>
  <c r="KS102" i="16"/>
  <c r="KS96" i="16"/>
  <c r="KS95" i="16"/>
  <c r="KS94" i="16"/>
  <c r="KS93" i="16"/>
  <c r="KS88" i="16"/>
  <c r="KS86" i="16"/>
  <c r="KS85" i="16"/>
  <c r="KS84" i="16"/>
  <c r="KS76" i="16"/>
  <c r="KS75" i="16"/>
  <c r="KS74" i="16"/>
  <c r="KS73" i="16"/>
  <c r="KS69" i="16"/>
  <c r="KS68" i="16"/>
  <c r="KS67" i="16"/>
  <c r="KS66" i="16"/>
  <c r="KS65" i="16"/>
  <c r="KS64" i="16"/>
  <c r="KC104" i="16"/>
  <c r="KC103" i="16"/>
  <c r="KC102" i="16"/>
  <c r="KC96" i="16"/>
  <c r="KC95" i="16"/>
  <c r="KC94" i="16"/>
  <c r="KC93" i="16"/>
  <c r="KC88" i="16"/>
  <c r="KC86" i="16"/>
  <c r="KC85" i="16"/>
  <c r="KC84" i="16"/>
  <c r="KC76" i="16"/>
  <c r="KC75" i="16"/>
  <c r="KC74" i="16"/>
  <c r="KC73" i="16"/>
  <c r="KC69" i="16"/>
  <c r="KC68" i="16"/>
  <c r="KC67" i="16"/>
  <c r="KC66" i="16"/>
  <c r="KC65" i="16"/>
  <c r="KC64" i="16"/>
  <c r="JM104" i="16"/>
  <c r="JM103" i="16"/>
  <c r="JM102" i="16"/>
  <c r="JM96" i="16"/>
  <c r="JM95" i="16"/>
  <c r="JM94" i="16"/>
  <c r="JM93" i="16"/>
  <c r="JM88" i="16"/>
  <c r="JM86" i="16"/>
  <c r="JM85" i="16"/>
  <c r="JM84" i="16"/>
  <c r="JM76" i="16"/>
  <c r="JM75" i="16"/>
  <c r="JM74" i="16"/>
  <c r="JM73" i="16"/>
  <c r="JM69" i="16"/>
  <c r="JM68" i="16"/>
  <c r="JM67" i="16"/>
  <c r="JM66" i="16"/>
  <c r="JM65" i="16"/>
  <c r="JM64" i="16"/>
  <c r="IW104" i="16"/>
  <c r="IW103" i="16"/>
  <c r="IW102" i="16"/>
  <c r="IW96" i="16"/>
  <c r="IW95" i="16"/>
  <c r="IW94" i="16"/>
  <c r="IW93" i="16"/>
  <c r="IW88" i="16"/>
  <c r="IW86" i="16"/>
  <c r="IW85" i="16"/>
  <c r="IW84" i="16"/>
  <c r="IW76" i="16"/>
  <c r="IW75" i="16"/>
  <c r="IW74" i="16"/>
  <c r="IW73" i="16"/>
  <c r="IW69" i="16"/>
  <c r="IW68" i="16"/>
  <c r="IW67" i="16"/>
  <c r="IW66" i="16"/>
  <c r="IW65" i="16"/>
  <c r="IW64" i="16"/>
  <c r="IG104" i="16"/>
  <c r="IG103" i="16"/>
  <c r="IG102" i="16"/>
  <c r="IG96" i="16"/>
  <c r="IG95" i="16"/>
  <c r="IG94" i="16"/>
  <c r="IG93" i="16"/>
  <c r="IG88" i="16"/>
  <c r="IG86" i="16"/>
  <c r="IG85" i="16"/>
  <c r="IG84" i="16"/>
  <c r="IG76" i="16"/>
  <c r="IG75" i="16"/>
  <c r="IG74" i="16"/>
  <c r="IG73" i="16"/>
  <c r="IG69" i="16"/>
  <c r="IG68" i="16"/>
  <c r="IG67" i="16"/>
  <c r="IG66" i="16"/>
  <c r="IG65" i="16"/>
  <c r="IG64" i="16"/>
  <c r="HQ104" i="16"/>
  <c r="HQ103" i="16"/>
  <c r="HQ102" i="16"/>
  <c r="HQ96" i="16"/>
  <c r="HQ95" i="16"/>
  <c r="HQ94" i="16"/>
  <c r="HQ93" i="16"/>
  <c r="HQ88" i="16"/>
  <c r="HQ86" i="16"/>
  <c r="HQ85" i="16"/>
  <c r="HQ84" i="16"/>
  <c r="HQ76" i="16"/>
  <c r="HQ75" i="16"/>
  <c r="HQ74" i="16"/>
  <c r="HQ73" i="16"/>
  <c r="HQ69" i="16"/>
  <c r="HQ68" i="16"/>
  <c r="HQ67" i="16"/>
  <c r="HQ66" i="16"/>
  <c r="HQ65" i="16"/>
  <c r="HQ64" i="16"/>
  <c r="HA104" i="16"/>
  <c r="HA103" i="16"/>
  <c r="HA102" i="16"/>
  <c r="HA96" i="16"/>
  <c r="HA95" i="16"/>
  <c r="HA94" i="16"/>
  <c r="HA93" i="16"/>
  <c r="HA88" i="16"/>
  <c r="HA86" i="16"/>
  <c r="HA85" i="16"/>
  <c r="HA84" i="16"/>
  <c r="HA76" i="16"/>
  <c r="HA75" i="16"/>
  <c r="HA74" i="16"/>
  <c r="HA73" i="16"/>
  <c r="HA69" i="16"/>
  <c r="HA68" i="16"/>
  <c r="HA67" i="16"/>
  <c r="HA66" i="16"/>
  <c r="HA65" i="16"/>
  <c r="HA64" i="16"/>
  <c r="GK104" i="16"/>
  <c r="GK103" i="16"/>
  <c r="GK102" i="16"/>
  <c r="GK96" i="16"/>
  <c r="GK95" i="16"/>
  <c r="GK94" i="16"/>
  <c r="GK93" i="16"/>
  <c r="GK88" i="16"/>
  <c r="GK86" i="16"/>
  <c r="GK85" i="16"/>
  <c r="GK84" i="16"/>
  <c r="GK76" i="16"/>
  <c r="GK75" i="16"/>
  <c r="GK74" i="16"/>
  <c r="GK73" i="16"/>
  <c r="GK69" i="16"/>
  <c r="GK68" i="16"/>
  <c r="GK67" i="16"/>
  <c r="GK66" i="16"/>
  <c r="GK65" i="16"/>
  <c r="GK64" i="16"/>
  <c r="FU104" i="16"/>
  <c r="FU103" i="16"/>
  <c r="FU102" i="16"/>
  <c r="FU96" i="16"/>
  <c r="FU95" i="16"/>
  <c r="FU94" i="16"/>
  <c r="FU93" i="16"/>
  <c r="FU88" i="16"/>
  <c r="FU86" i="16"/>
  <c r="FU85" i="16"/>
  <c r="FU84" i="16"/>
  <c r="FU76" i="16"/>
  <c r="FU75" i="16"/>
  <c r="FU74" i="16"/>
  <c r="FU73" i="16"/>
  <c r="FU69" i="16"/>
  <c r="FU68" i="16"/>
  <c r="FU67" i="16"/>
  <c r="FU66" i="16"/>
  <c r="FU65" i="16"/>
  <c r="FU64" i="16"/>
  <c r="FE104" i="16"/>
  <c r="FE103" i="16"/>
  <c r="FE102" i="16"/>
  <c r="FE96" i="16"/>
  <c r="FE95" i="16"/>
  <c r="FE94" i="16"/>
  <c r="FE93" i="16"/>
  <c r="FE88" i="16"/>
  <c r="FE86" i="16"/>
  <c r="FE85" i="16"/>
  <c r="FE84" i="16"/>
  <c r="FE76" i="16"/>
  <c r="FE75" i="16"/>
  <c r="FE74" i="16"/>
  <c r="FE73" i="16"/>
  <c r="FE69" i="16"/>
  <c r="FE68" i="16"/>
  <c r="FE67" i="16"/>
  <c r="FE66" i="16"/>
  <c r="FE65" i="16"/>
  <c r="FE64" i="16"/>
  <c r="EO104" i="16"/>
  <c r="EO103" i="16"/>
  <c r="EO102" i="16"/>
  <c r="EO96" i="16"/>
  <c r="EO95" i="16"/>
  <c r="EO94" i="16"/>
  <c r="EO93" i="16"/>
  <c r="EO88" i="16"/>
  <c r="EO86" i="16"/>
  <c r="EO85" i="16"/>
  <c r="EO84" i="16"/>
  <c r="EO76" i="16"/>
  <c r="EO75" i="16"/>
  <c r="EO74" i="16"/>
  <c r="EO73" i="16"/>
  <c r="EO69" i="16"/>
  <c r="EO68" i="16"/>
  <c r="EO67" i="16"/>
  <c r="EO66" i="16"/>
  <c r="EO65" i="16"/>
  <c r="EO64" i="16"/>
  <c r="DY104" i="16"/>
  <c r="DY103" i="16"/>
  <c r="DY102" i="16"/>
  <c r="DY96" i="16"/>
  <c r="DY95" i="16"/>
  <c r="DY94" i="16"/>
  <c r="DY93" i="16"/>
  <c r="DY88" i="16"/>
  <c r="DY86" i="16"/>
  <c r="DY85" i="16"/>
  <c r="DY84" i="16"/>
  <c r="DY76" i="16"/>
  <c r="DY75" i="16"/>
  <c r="DY74" i="16"/>
  <c r="DY73" i="16"/>
  <c r="DY69" i="16"/>
  <c r="DY68" i="16"/>
  <c r="DY67" i="16"/>
  <c r="DY66" i="16"/>
  <c r="DY65" i="16"/>
  <c r="DY64" i="16"/>
  <c r="DI104" i="16"/>
  <c r="DI103" i="16"/>
  <c r="DI102" i="16"/>
  <c r="DI96" i="16"/>
  <c r="DI95" i="16"/>
  <c r="DI94" i="16"/>
  <c r="DI93" i="16"/>
  <c r="DI88" i="16"/>
  <c r="DI86" i="16"/>
  <c r="DI85" i="16"/>
  <c r="DI84" i="16"/>
  <c r="DI76" i="16"/>
  <c r="DI75" i="16"/>
  <c r="DI74" i="16"/>
  <c r="DI73" i="16"/>
  <c r="DI69" i="16"/>
  <c r="DI68" i="16"/>
  <c r="DI67" i="16"/>
  <c r="DI66" i="16"/>
  <c r="DI65" i="16"/>
  <c r="DI64" i="16"/>
  <c r="CS104" i="16"/>
  <c r="CS103" i="16"/>
  <c r="CS102" i="16"/>
  <c r="CS96" i="16"/>
  <c r="CS95" i="16"/>
  <c r="CS94" i="16"/>
  <c r="CS93" i="16"/>
  <c r="CS88" i="16"/>
  <c r="CS86" i="16"/>
  <c r="CS85" i="16"/>
  <c r="CS84" i="16"/>
  <c r="CS76" i="16"/>
  <c r="CS75" i="16"/>
  <c r="CS74" i="16"/>
  <c r="CS73" i="16"/>
  <c r="CS69" i="16"/>
  <c r="CS68" i="16"/>
  <c r="CS67" i="16"/>
  <c r="CS66" i="16"/>
  <c r="CS65" i="16"/>
  <c r="CS64" i="16"/>
  <c r="CC104" i="16"/>
  <c r="CC103" i="16"/>
  <c r="CC102" i="16"/>
  <c r="CC96" i="16"/>
  <c r="CC95" i="16"/>
  <c r="CC94" i="16"/>
  <c r="CC93" i="16"/>
  <c r="CC88" i="16"/>
  <c r="CC86" i="16"/>
  <c r="CC85" i="16"/>
  <c r="CC84" i="16"/>
  <c r="CC76" i="16"/>
  <c r="CC75" i="16"/>
  <c r="CC74" i="16"/>
  <c r="CC73" i="16"/>
  <c r="CC69" i="16"/>
  <c r="CC68" i="16"/>
  <c r="CC67" i="16"/>
  <c r="CC66" i="16"/>
  <c r="CC65" i="16"/>
  <c r="CC64" i="16"/>
  <c r="BM104" i="16"/>
  <c r="BM103" i="16"/>
  <c r="BM102" i="16"/>
  <c r="BM96" i="16"/>
  <c r="BM95" i="16"/>
  <c r="BM94" i="16"/>
  <c r="BM93" i="16"/>
  <c r="BM88" i="16"/>
  <c r="BM86" i="16"/>
  <c r="BM85" i="16"/>
  <c r="BM84" i="16"/>
  <c r="BM76" i="16"/>
  <c r="BM75" i="16"/>
  <c r="BM74" i="16"/>
  <c r="BM73" i="16"/>
  <c r="BM69" i="16"/>
  <c r="BM68" i="16"/>
  <c r="BM67" i="16"/>
  <c r="BM66" i="16"/>
  <c r="BM65" i="16"/>
  <c r="BM64" i="16"/>
  <c r="OK104" i="15"/>
  <c r="OK103" i="15"/>
  <c r="OK102" i="15"/>
  <c r="OK96" i="15"/>
  <c r="OK95" i="15"/>
  <c r="OK94" i="15"/>
  <c r="OK93" i="15"/>
  <c r="OK88" i="15"/>
  <c r="OK86" i="15"/>
  <c r="OK85" i="15"/>
  <c r="OK84" i="15"/>
  <c r="OK76" i="15"/>
  <c r="OK75" i="15"/>
  <c r="OK74" i="15"/>
  <c r="OK73" i="15"/>
  <c r="OK69" i="15"/>
  <c r="OK68" i="15"/>
  <c r="OK67" i="15"/>
  <c r="OK66" i="15"/>
  <c r="OK65" i="15"/>
  <c r="OK64" i="15"/>
  <c r="NU104" i="15"/>
  <c r="NU103" i="15"/>
  <c r="NU102" i="15"/>
  <c r="NU96" i="15"/>
  <c r="NU95" i="15"/>
  <c r="NU94" i="15"/>
  <c r="NU93" i="15"/>
  <c r="NU88" i="15"/>
  <c r="NU86" i="15"/>
  <c r="NU85" i="15"/>
  <c r="NU84" i="15"/>
  <c r="NU76" i="15"/>
  <c r="NU75" i="15"/>
  <c r="NU74" i="15"/>
  <c r="NU73" i="15"/>
  <c r="NU69" i="15"/>
  <c r="NU68" i="15"/>
  <c r="NU67" i="15"/>
  <c r="NU66" i="15"/>
  <c r="NU65" i="15"/>
  <c r="NU64" i="15"/>
  <c r="NE104" i="15"/>
  <c r="NE103" i="15"/>
  <c r="NE102" i="15"/>
  <c r="NE96" i="15"/>
  <c r="NE95" i="15"/>
  <c r="NE94" i="15"/>
  <c r="NE93" i="15"/>
  <c r="NE88" i="15"/>
  <c r="NE86" i="15"/>
  <c r="NE85" i="15"/>
  <c r="NE84" i="15"/>
  <c r="NE76" i="15"/>
  <c r="NE75" i="15"/>
  <c r="NE74" i="15"/>
  <c r="NE73" i="15"/>
  <c r="NE69" i="15"/>
  <c r="NE68" i="15"/>
  <c r="NE67" i="15"/>
  <c r="NE66" i="15"/>
  <c r="NE65" i="15"/>
  <c r="NE64" i="15"/>
  <c r="MO104" i="15"/>
  <c r="MO103" i="15"/>
  <c r="MO102" i="15"/>
  <c r="MO96" i="15"/>
  <c r="MO95" i="15"/>
  <c r="MO94" i="15"/>
  <c r="MO93" i="15"/>
  <c r="MO88" i="15"/>
  <c r="MO86" i="15"/>
  <c r="MO85" i="15"/>
  <c r="MO84" i="15"/>
  <c r="MO76" i="15"/>
  <c r="MO75" i="15"/>
  <c r="MO74" i="15"/>
  <c r="MO73" i="15"/>
  <c r="MO69" i="15"/>
  <c r="MO68" i="15"/>
  <c r="MO67" i="15"/>
  <c r="MO66" i="15"/>
  <c r="MO65" i="15"/>
  <c r="MO64" i="15"/>
  <c r="LY104" i="15"/>
  <c r="LY103" i="15"/>
  <c r="LY102" i="15"/>
  <c r="LY96" i="15"/>
  <c r="LY95" i="15"/>
  <c r="LY94" i="15"/>
  <c r="LY93" i="15"/>
  <c r="LY88" i="15"/>
  <c r="LY86" i="15"/>
  <c r="LY85" i="15"/>
  <c r="LY84" i="15"/>
  <c r="LY76" i="15"/>
  <c r="LY75" i="15"/>
  <c r="LY74" i="15"/>
  <c r="LY73" i="15"/>
  <c r="LY69" i="15"/>
  <c r="LY68" i="15"/>
  <c r="LY67" i="15"/>
  <c r="LY66" i="15"/>
  <c r="LY65" i="15"/>
  <c r="LY64" i="15"/>
  <c r="LI104" i="15"/>
  <c r="LI103" i="15"/>
  <c r="LI102" i="15"/>
  <c r="LI96" i="15"/>
  <c r="LI95" i="15"/>
  <c r="LI94" i="15"/>
  <c r="LI93" i="15"/>
  <c r="LI88" i="15"/>
  <c r="LI86" i="15"/>
  <c r="LI85" i="15"/>
  <c r="LI84" i="15"/>
  <c r="LI76" i="15"/>
  <c r="LI75" i="15"/>
  <c r="LI74" i="15"/>
  <c r="LI73" i="15"/>
  <c r="LI69" i="15"/>
  <c r="LI68" i="15"/>
  <c r="LI67" i="15"/>
  <c r="LI66" i="15"/>
  <c r="LI65" i="15"/>
  <c r="LI64" i="15"/>
  <c r="KS104" i="15"/>
  <c r="KS103" i="15"/>
  <c r="KS102" i="15"/>
  <c r="KS96" i="15"/>
  <c r="KS95" i="15"/>
  <c r="KS94" i="15"/>
  <c r="KS93" i="15"/>
  <c r="KS88" i="15"/>
  <c r="KS86" i="15"/>
  <c r="KS85" i="15"/>
  <c r="KS84" i="15"/>
  <c r="KS76" i="15"/>
  <c r="KS75" i="15"/>
  <c r="KS74" i="15"/>
  <c r="KS73" i="15"/>
  <c r="KS69" i="15"/>
  <c r="KS68" i="15"/>
  <c r="KS67" i="15"/>
  <c r="KS66" i="15"/>
  <c r="KS65" i="15"/>
  <c r="KS64" i="15"/>
  <c r="KC104" i="15"/>
  <c r="KC103" i="15"/>
  <c r="KC102" i="15"/>
  <c r="KC96" i="15"/>
  <c r="KC95" i="15"/>
  <c r="KC94" i="15"/>
  <c r="KC93" i="15"/>
  <c r="KC88" i="15"/>
  <c r="KC86" i="15"/>
  <c r="KC85" i="15"/>
  <c r="KC84" i="15"/>
  <c r="KC76" i="15"/>
  <c r="KC75" i="15"/>
  <c r="KC74" i="15"/>
  <c r="KC73" i="15"/>
  <c r="KC69" i="15"/>
  <c r="KC68" i="15"/>
  <c r="KC67" i="15"/>
  <c r="KC66" i="15"/>
  <c r="KC65" i="15"/>
  <c r="KC64" i="15"/>
  <c r="JM104" i="15"/>
  <c r="JM103" i="15"/>
  <c r="JM102" i="15"/>
  <c r="JM96" i="15"/>
  <c r="JM95" i="15"/>
  <c r="JM94" i="15"/>
  <c r="JM93" i="15"/>
  <c r="JM88" i="15"/>
  <c r="JM86" i="15"/>
  <c r="JM85" i="15"/>
  <c r="JM84" i="15"/>
  <c r="JM76" i="15"/>
  <c r="JM75" i="15"/>
  <c r="JM74" i="15"/>
  <c r="JM73" i="15"/>
  <c r="JM69" i="15"/>
  <c r="JM68" i="15"/>
  <c r="JM67" i="15"/>
  <c r="JM66" i="15"/>
  <c r="JM65" i="15"/>
  <c r="JM64" i="15"/>
  <c r="IW104" i="15"/>
  <c r="IW103" i="15"/>
  <c r="IW102" i="15"/>
  <c r="IW96" i="15"/>
  <c r="IW95" i="15"/>
  <c r="IW94" i="15"/>
  <c r="IW93" i="15"/>
  <c r="IW88" i="15"/>
  <c r="IW86" i="15"/>
  <c r="IW85" i="15"/>
  <c r="IW84" i="15"/>
  <c r="IW76" i="15"/>
  <c r="IW75" i="15"/>
  <c r="IW74" i="15"/>
  <c r="IW73" i="15"/>
  <c r="IW69" i="15"/>
  <c r="IW68" i="15"/>
  <c r="IW67" i="15"/>
  <c r="IW66" i="15"/>
  <c r="IW65" i="15"/>
  <c r="IW64" i="15"/>
  <c r="IG104" i="15"/>
  <c r="IG103" i="15"/>
  <c r="IG102" i="15"/>
  <c r="IG96" i="15"/>
  <c r="IG95" i="15"/>
  <c r="IG94" i="15"/>
  <c r="IG93" i="15"/>
  <c r="IG88" i="15"/>
  <c r="IG86" i="15"/>
  <c r="IG85" i="15"/>
  <c r="IG84" i="15"/>
  <c r="IG76" i="15"/>
  <c r="IG75" i="15"/>
  <c r="IG74" i="15"/>
  <c r="IG73" i="15"/>
  <c r="IG69" i="15"/>
  <c r="IG68" i="15"/>
  <c r="IG67" i="15"/>
  <c r="IG66" i="15"/>
  <c r="IG65" i="15"/>
  <c r="IG64" i="15"/>
  <c r="HQ104" i="15"/>
  <c r="HQ103" i="15"/>
  <c r="HQ102" i="15"/>
  <c r="HQ96" i="15"/>
  <c r="HQ95" i="15"/>
  <c r="HQ94" i="15"/>
  <c r="HQ93" i="15"/>
  <c r="HQ88" i="15"/>
  <c r="HQ86" i="15"/>
  <c r="HQ85" i="15"/>
  <c r="HQ84" i="15"/>
  <c r="HQ76" i="15"/>
  <c r="HQ75" i="15"/>
  <c r="HQ74" i="15"/>
  <c r="HQ73" i="15"/>
  <c r="HQ69" i="15"/>
  <c r="HQ68" i="15"/>
  <c r="HQ67" i="15"/>
  <c r="HQ66" i="15"/>
  <c r="HQ65" i="15"/>
  <c r="HQ64" i="15"/>
  <c r="HA104" i="15"/>
  <c r="HA103" i="15"/>
  <c r="HA102" i="15"/>
  <c r="HA96" i="15"/>
  <c r="HA95" i="15"/>
  <c r="HA94" i="15"/>
  <c r="HA93" i="15"/>
  <c r="HA88" i="15"/>
  <c r="HA86" i="15"/>
  <c r="HA85" i="15"/>
  <c r="HA84" i="15"/>
  <c r="HA76" i="15"/>
  <c r="HA75" i="15"/>
  <c r="HA74" i="15"/>
  <c r="HA73" i="15"/>
  <c r="HA69" i="15"/>
  <c r="HA68" i="15"/>
  <c r="HA67" i="15"/>
  <c r="HA66" i="15"/>
  <c r="HA65" i="15"/>
  <c r="HA64" i="15"/>
  <c r="GK104" i="15"/>
  <c r="GK103" i="15"/>
  <c r="GK102" i="15"/>
  <c r="GK96" i="15"/>
  <c r="GK95" i="15"/>
  <c r="GK94" i="15"/>
  <c r="GK93" i="15"/>
  <c r="GK88" i="15"/>
  <c r="GK86" i="15"/>
  <c r="GK85" i="15"/>
  <c r="GK84" i="15"/>
  <c r="GK76" i="15"/>
  <c r="GK75" i="15"/>
  <c r="GK74" i="15"/>
  <c r="GK73" i="15"/>
  <c r="GK69" i="15"/>
  <c r="GK68" i="15"/>
  <c r="GK67" i="15"/>
  <c r="GK66" i="15"/>
  <c r="GK65" i="15"/>
  <c r="GK64" i="15"/>
  <c r="FU104" i="15"/>
  <c r="FU103" i="15"/>
  <c r="FU102" i="15"/>
  <c r="FU96" i="15"/>
  <c r="FU95" i="15"/>
  <c r="FU94" i="15"/>
  <c r="FU93" i="15"/>
  <c r="FU88" i="15"/>
  <c r="FU86" i="15"/>
  <c r="FU85" i="15"/>
  <c r="FU84" i="15"/>
  <c r="FU76" i="15"/>
  <c r="FU75" i="15"/>
  <c r="FU74" i="15"/>
  <c r="FU73" i="15"/>
  <c r="FU69" i="15"/>
  <c r="FU68" i="15"/>
  <c r="FU67" i="15"/>
  <c r="FU66" i="15"/>
  <c r="FU65" i="15"/>
  <c r="FU64" i="15"/>
  <c r="FE104" i="15"/>
  <c r="FE103" i="15"/>
  <c r="FE102" i="15"/>
  <c r="FE96" i="15"/>
  <c r="FE95" i="15"/>
  <c r="FE94" i="15"/>
  <c r="FE93" i="15"/>
  <c r="FE88" i="15"/>
  <c r="FE86" i="15"/>
  <c r="FE85" i="15"/>
  <c r="FE84" i="15"/>
  <c r="FE76" i="15"/>
  <c r="FE75" i="15"/>
  <c r="FE74" i="15"/>
  <c r="FE73" i="15"/>
  <c r="FE69" i="15"/>
  <c r="FE68" i="15"/>
  <c r="FE67" i="15"/>
  <c r="FE66" i="15"/>
  <c r="FE65" i="15"/>
  <c r="FE64" i="15"/>
  <c r="EO104" i="15"/>
  <c r="EO103" i="15"/>
  <c r="EO102" i="15"/>
  <c r="EO96" i="15"/>
  <c r="EO95" i="15"/>
  <c r="EO94" i="15"/>
  <c r="EO93" i="15"/>
  <c r="EO88" i="15"/>
  <c r="EO86" i="15"/>
  <c r="EO85" i="15"/>
  <c r="EO84" i="15"/>
  <c r="EO76" i="15"/>
  <c r="EO75" i="15"/>
  <c r="EO74" i="15"/>
  <c r="EO73" i="15"/>
  <c r="EO69" i="15"/>
  <c r="EO68" i="15"/>
  <c r="EO67" i="15"/>
  <c r="EO66" i="15"/>
  <c r="EO65" i="15"/>
  <c r="EO64" i="15"/>
  <c r="DY104" i="15"/>
  <c r="DY103" i="15"/>
  <c r="DY102" i="15"/>
  <c r="DY96" i="15"/>
  <c r="DY95" i="15"/>
  <c r="DY94" i="15"/>
  <c r="DY93" i="15"/>
  <c r="DY88" i="15"/>
  <c r="DY86" i="15"/>
  <c r="DY85" i="15"/>
  <c r="DY84" i="15"/>
  <c r="DY76" i="15"/>
  <c r="DY75" i="15"/>
  <c r="DY74" i="15"/>
  <c r="DY73" i="15"/>
  <c r="DY69" i="15"/>
  <c r="DY68" i="15"/>
  <c r="DY67" i="15"/>
  <c r="DY66" i="15"/>
  <c r="DY65" i="15"/>
  <c r="DY64" i="15"/>
  <c r="DI104" i="15"/>
  <c r="DI103" i="15"/>
  <c r="DI102" i="15"/>
  <c r="DI96" i="15"/>
  <c r="DI95" i="15"/>
  <c r="DI94" i="15"/>
  <c r="DI93" i="15"/>
  <c r="DI88" i="15"/>
  <c r="DI86" i="15"/>
  <c r="DI85" i="15"/>
  <c r="DI84" i="15"/>
  <c r="DI76" i="15"/>
  <c r="DI75" i="15"/>
  <c r="DI74" i="15"/>
  <c r="DI73" i="15"/>
  <c r="DI69" i="15"/>
  <c r="DI68" i="15"/>
  <c r="DI67" i="15"/>
  <c r="DI66" i="15"/>
  <c r="DI65" i="15"/>
  <c r="DI64" i="15"/>
  <c r="CS104" i="15"/>
  <c r="CS103" i="15"/>
  <c r="CS102" i="15"/>
  <c r="CS96" i="15"/>
  <c r="CS95" i="15"/>
  <c r="CS94" i="15"/>
  <c r="CS93" i="15"/>
  <c r="CS88" i="15"/>
  <c r="CS86" i="15"/>
  <c r="CS85" i="15"/>
  <c r="CS84" i="15"/>
  <c r="CS76" i="15"/>
  <c r="CS75" i="15"/>
  <c r="CS74" i="15"/>
  <c r="CS73" i="15"/>
  <c r="CS69" i="15"/>
  <c r="CS68" i="15"/>
  <c r="CS67" i="15"/>
  <c r="CS66" i="15"/>
  <c r="CS65" i="15"/>
  <c r="CS64" i="15"/>
  <c r="CC104" i="15"/>
  <c r="CC103" i="15"/>
  <c r="CC102" i="15"/>
  <c r="CC96" i="15"/>
  <c r="CC95" i="15"/>
  <c r="CC94" i="15"/>
  <c r="CC93" i="15"/>
  <c r="CC88" i="15"/>
  <c r="CC86" i="15"/>
  <c r="CC85" i="15"/>
  <c r="CC84" i="15"/>
  <c r="CC76" i="15"/>
  <c r="CC75" i="15"/>
  <c r="CC74" i="15"/>
  <c r="CC73" i="15"/>
  <c r="CC69" i="15"/>
  <c r="CC68" i="15"/>
  <c r="CC67" i="15"/>
  <c r="CC66" i="15"/>
  <c r="CC65" i="15"/>
  <c r="CC64" i="15"/>
  <c r="BM104" i="15"/>
  <c r="BM103" i="15"/>
  <c r="BM102" i="15"/>
  <c r="BM96" i="15"/>
  <c r="BM95" i="15"/>
  <c r="BM94" i="15"/>
  <c r="BM93" i="15"/>
  <c r="BM88" i="15"/>
  <c r="BM86" i="15"/>
  <c r="BM85" i="15"/>
  <c r="BM84" i="15"/>
  <c r="BM76" i="15"/>
  <c r="BM75" i="15"/>
  <c r="BM74" i="15"/>
  <c r="BM73" i="15"/>
  <c r="BM69" i="15"/>
  <c r="BM68" i="15"/>
  <c r="BM67" i="15"/>
  <c r="BM66" i="15"/>
  <c r="BM65" i="15"/>
  <c r="BM64" i="15"/>
  <c r="OK104" i="13"/>
  <c r="OK103" i="13"/>
  <c r="OK102" i="13"/>
  <c r="OK96" i="13"/>
  <c r="OK95" i="13"/>
  <c r="OK94" i="13"/>
  <c r="OK93" i="13"/>
  <c r="OK88" i="13"/>
  <c r="OK86" i="13"/>
  <c r="OK85" i="13"/>
  <c r="OK84" i="13"/>
  <c r="OK76" i="13"/>
  <c r="OK75" i="13"/>
  <c r="OK74" i="13"/>
  <c r="OK73" i="13"/>
  <c r="OK69" i="13"/>
  <c r="OK68" i="13"/>
  <c r="OK67" i="13"/>
  <c r="OK66" i="13"/>
  <c r="OK65" i="13"/>
  <c r="OK64" i="13"/>
  <c r="NU104" i="13"/>
  <c r="NU103" i="13"/>
  <c r="NU102" i="13"/>
  <c r="NU96" i="13"/>
  <c r="NU95" i="13"/>
  <c r="NU94" i="13"/>
  <c r="NU93" i="13"/>
  <c r="NU88" i="13"/>
  <c r="NU86" i="13"/>
  <c r="NU85" i="13"/>
  <c r="NU84" i="13"/>
  <c r="NU76" i="13"/>
  <c r="NU75" i="13"/>
  <c r="NU74" i="13"/>
  <c r="NU73" i="13"/>
  <c r="NU69" i="13"/>
  <c r="NU68" i="13"/>
  <c r="NU67" i="13"/>
  <c r="NU66" i="13"/>
  <c r="NU65" i="13"/>
  <c r="NU64" i="13"/>
  <c r="NE104" i="13"/>
  <c r="NE103" i="13"/>
  <c r="NE102" i="13"/>
  <c r="NE96" i="13"/>
  <c r="NE95" i="13"/>
  <c r="NE94" i="13"/>
  <c r="NE93" i="13"/>
  <c r="NE88" i="13"/>
  <c r="NE86" i="13"/>
  <c r="NE85" i="13"/>
  <c r="NE84" i="13"/>
  <c r="NE76" i="13"/>
  <c r="NE75" i="13"/>
  <c r="NE74" i="13"/>
  <c r="NE73" i="13"/>
  <c r="NE69" i="13"/>
  <c r="NE68" i="13"/>
  <c r="NE67" i="13"/>
  <c r="NE66" i="13"/>
  <c r="NE65" i="13"/>
  <c r="NE64" i="13"/>
  <c r="MO104" i="13"/>
  <c r="MO103" i="13"/>
  <c r="MO102" i="13"/>
  <c r="MO96" i="13"/>
  <c r="MO95" i="13"/>
  <c r="MO94" i="13"/>
  <c r="MO93" i="13"/>
  <c r="MO88" i="13"/>
  <c r="MO86" i="13"/>
  <c r="MO85" i="13"/>
  <c r="MO84" i="13"/>
  <c r="MO76" i="13"/>
  <c r="MO75" i="13"/>
  <c r="MO74" i="13"/>
  <c r="MO73" i="13"/>
  <c r="MO69" i="13"/>
  <c r="MO68" i="13"/>
  <c r="MO67" i="13"/>
  <c r="MO66" i="13"/>
  <c r="MO65" i="13"/>
  <c r="MO64" i="13"/>
  <c r="LY104" i="13"/>
  <c r="LY103" i="13"/>
  <c r="LY102" i="13"/>
  <c r="LY96" i="13"/>
  <c r="LY95" i="13"/>
  <c r="LY94" i="13"/>
  <c r="LY93" i="13"/>
  <c r="LY88" i="13"/>
  <c r="LY86" i="13"/>
  <c r="LY85" i="13"/>
  <c r="LY84" i="13"/>
  <c r="LY76" i="13"/>
  <c r="LY75" i="13"/>
  <c r="LY74" i="13"/>
  <c r="LY73" i="13"/>
  <c r="LY69" i="13"/>
  <c r="LY68" i="13"/>
  <c r="LY67" i="13"/>
  <c r="LY66" i="13"/>
  <c r="LY65" i="13"/>
  <c r="LY64" i="13"/>
  <c r="LI104" i="13"/>
  <c r="LI103" i="13"/>
  <c r="LI102" i="13"/>
  <c r="LI96" i="13"/>
  <c r="LI95" i="13"/>
  <c r="LI94" i="13"/>
  <c r="LI93" i="13"/>
  <c r="LI88" i="13"/>
  <c r="LI86" i="13"/>
  <c r="LI85" i="13"/>
  <c r="LI84" i="13"/>
  <c r="LI76" i="13"/>
  <c r="LI75" i="13"/>
  <c r="LI74" i="13"/>
  <c r="LI73" i="13"/>
  <c r="LI69" i="13"/>
  <c r="LI68" i="13"/>
  <c r="LI67" i="13"/>
  <c r="LI66" i="13"/>
  <c r="LI65" i="13"/>
  <c r="LI64" i="13"/>
  <c r="KS104" i="13"/>
  <c r="KS103" i="13"/>
  <c r="KS102" i="13"/>
  <c r="KS96" i="13"/>
  <c r="KS95" i="13"/>
  <c r="KS94" i="13"/>
  <c r="KS93" i="13"/>
  <c r="KS88" i="13"/>
  <c r="KS86" i="13"/>
  <c r="KS85" i="13"/>
  <c r="KS84" i="13"/>
  <c r="KS76" i="13"/>
  <c r="KS75" i="13"/>
  <c r="KS74" i="13"/>
  <c r="KS73" i="13"/>
  <c r="KS69" i="13"/>
  <c r="KS68" i="13"/>
  <c r="KS67" i="13"/>
  <c r="KS66" i="13"/>
  <c r="KS65" i="13"/>
  <c r="KS64" i="13"/>
  <c r="KC104" i="13"/>
  <c r="KC103" i="13"/>
  <c r="KC102" i="13"/>
  <c r="KC96" i="13"/>
  <c r="KC95" i="13"/>
  <c r="KC94" i="13"/>
  <c r="KC93" i="13"/>
  <c r="KC88" i="13"/>
  <c r="KC86" i="13"/>
  <c r="KC85" i="13"/>
  <c r="KC84" i="13"/>
  <c r="KC76" i="13"/>
  <c r="KC75" i="13"/>
  <c r="KC74" i="13"/>
  <c r="KC73" i="13"/>
  <c r="KC69" i="13"/>
  <c r="KC68" i="13"/>
  <c r="KC67" i="13"/>
  <c r="KC66" i="13"/>
  <c r="KC65" i="13"/>
  <c r="KC64" i="13"/>
  <c r="JM104" i="13"/>
  <c r="JM103" i="13"/>
  <c r="JM102" i="13"/>
  <c r="JM96" i="13"/>
  <c r="JM95" i="13"/>
  <c r="JM94" i="13"/>
  <c r="JM93" i="13"/>
  <c r="JM88" i="13"/>
  <c r="JM86" i="13"/>
  <c r="JM85" i="13"/>
  <c r="JM84" i="13"/>
  <c r="JM76" i="13"/>
  <c r="JM75" i="13"/>
  <c r="JM74" i="13"/>
  <c r="JM73" i="13"/>
  <c r="JM69" i="13"/>
  <c r="JM68" i="13"/>
  <c r="JM67" i="13"/>
  <c r="JM66" i="13"/>
  <c r="JM65" i="13"/>
  <c r="JM64" i="13"/>
  <c r="IW104" i="13"/>
  <c r="IW103" i="13"/>
  <c r="IW102" i="13"/>
  <c r="IW96" i="13"/>
  <c r="IW95" i="13"/>
  <c r="IW94" i="13"/>
  <c r="IW93" i="13"/>
  <c r="IW88" i="13"/>
  <c r="IW86" i="13"/>
  <c r="IW85" i="13"/>
  <c r="IW84" i="13"/>
  <c r="IW76" i="13"/>
  <c r="IW75" i="13"/>
  <c r="IW74" i="13"/>
  <c r="IW73" i="13"/>
  <c r="IW69" i="13"/>
  <c r="IW68" i="13"/>
  <c r="IW67" i="13"/>
  <c r="IW66" i="13"/>
  <c r="IW65" i="13"/>
  <c r="IW64" i="13"/>
  <c r="IG104" i="13"/>
  <c r="IG103" i="13"/>
  <c r="IG102" i="13"/>
  <c r="IG96" i="13"/>
  <c r="IG95" i="13"/>
  <c r="IG94" i="13"/>
  <c r="IG93" i="13"/>
  <c r="IG88" i="13"/>
  <c r="IG86" i="13"/>
  <c r="IG85" i="13"/>
  <c r="IG84" i="13"/>
  <c r="IG76" i="13"/>
  <c r="IG75" i="13"/>
  <c r="IG74" i="13"/>
  <c r="IG73" i="13"/>
  <c r="IG69" i="13"/>
  <c r="IG68" i="13"/>
  <c r="IG67" i="13"/>
  <c r="IG66" i="13"/>
  <c r="IG65" i="13"/>
  <c r="IG64" i="13"/>
  <c r="HQ104" i="13"/>
  <c r="HQ103" i="13"/>
  <c r="HQ102" i="13"/>
  <c r="HQ96" i="13"/>
  <c r="HQ95" i="13"/>
  <c r="HQ94" i="13"/>
  <c r="HQ93" i="13"/>
  <c r="HQ88" i="13"/>
  <c r="HQ86" i="13"/>
  <c r="HQ85" i="13"/>
  <c r="HQ84" i="13"/>
  <c r="HQ76" i="13"/>
  <c r="HQ75" i="13"/>
  <c r="HQ74" i="13"/>
  <c r="HQ73" i="13"/>
  <c r="HQ69" i="13"/>
  <c r="HQ68" i="13"/>
  <c r="HQ67" i="13"/>
  <c r="HQ66" i="13"/>
  <c r="HQ65" i="13"/>
  <c r="HA104" i="13"/>
  <c r="HA103" i="13"/>
  <c r="HA102" i="13"/>
  <c r="HA96" i="13"/>
  <c r="HA95" i="13"/>
  <c r="HA94" i="13"/>
  <c r="HA93" i="13"/>
  <c r="HA88" i="13"/>
  <c r="HA86" i="13"/>
  <c r="HA85" i="13"/>
  <c r="HA84" i="13"/>
  <c r="HA76" i="13"/>
  <c r="HA75" i="13"/>
  <c r="HA74" i="13"/>
  <c r="HA73" i="13"/>
  <c r="HA69" i="13"/>
  <c r="HA68" i="13"/>
  <c r="HA67" i="13"/>
  <c r="HA66" i="13"/>
  <c r="HA65" i="13"/>
  <c r="HA64" i="13"/>
  <c r="GK104" i="13"/>
  <c r="GK103" i="13"/>
  <c r="GK102" i="13"/>
  <c r="GK96" i="13"/>
  <c r="GK95" i="13"/>
  <c r="GK94" i="13"/>
  <c r="GK93" i="13"/>
  <c r="GK88" i="13"/>
  <c r="GK86" i="13"/>
  <c r="GK85" i="13"/>
  <c r="GK84" i="13"/>
  <c r="GK76" i="13"/>
  <c r="GK75" i="13"/>
  <c r="GK74" i="13"/>
  <c r="GK73" i="13"/>
  <c r="GK69" i="13"/>
  <c r="GK68" i="13"/>
  <c r="GK67" i="13"/>
  <c r="GK66" i="13"/>
  <c r="GK65" i="13"/>
  <c r="GK64" i="13"/>
  <c r="FU104" i="13"/>
  <c r="FU103" i="13"/>
  <c r="FU102" i="13"/>
  <c r="FU96" i="13"/>
  <c r="FU95" i="13"/>
  <c r="FU94" i="13"/>
  <c r="FU93" i="13"/>
  <c r="FU88" i="13"/>
  <c r="FU86" i="13"/>
  <c r="FU85" i="13"/>
  <c r="FU84" i="13"/>
  <c r="FU76" i="13"/>
  <c r="FU75" i="13"/>
  <c r="FU74" i="13"/>
  <c r="FU73" i="13"/>
  <c r="FU69" i="13"/>
  <c r="FU68" i="13"/>
  <c r="FU67" i="13"/>
  <c r="FU66" i="13"/>
  <c r="FU65" i="13"/>
  <c r="FU64" i="13"/>
  <c r="FE104" i="13"/>
  <c r="FE103" i="13"/>
  <c r="FE102" i="13"/>
  <c r="FE96" i="13"/>
  <c r="FE95" i="13"/>
  <c r="FE94" i="13"/>
  <c r="FE93" i="13"/>
  <c r="FE88" i="13"/>
  <c r="FE86" i="13"/>
  <c r="FE85" i="13"/>
  <c r="FE84" i="13"/>
  <c r="FE76" i="13"/>
  <c r="FE75" i="13"/>
  <c r="FE74" i="13"/>
  <c r="FE73" i="13"/>
  <c r="FE69" i="13"/>
  <c r="FE68" i="13"/>
  <c r="FE67" i="13"/>
  <c r="FE66" i="13"/>
  <c r="FE65" i="13"/>
  <c r="FE64" i="13"/>
  <c r="EO104" i="13"/>
  <c r="EO103" i="13"/>
  <c r="EO102" i="13"/>
  <c r="EO96" i="13"/>
  <c r="EO95" i="13"/>
  <c r="EO94" i="13"/>
  <c r="EO93" i="13"/>
  <c r="EO88" i="13"/>
  <c r="EO86" i="13"/>
  <c r="EO85" i="13"/>
  <c r="EO84" i="13"/>
  <c r="EO76" i="13"/>
  <c r="EO75" i="13"/>
  <c r="EO74" i="13"/>
  <c r="EO73" i="13"/>
  <c r="EO69" i="13"/>
  <c r="EO68" i="13"/>
  <c r="EO67" i="13"/>
  <c r="EO66" i="13"/>
  <c r="EO65" i="13"/>
  <c r="DY104" i="13"/>
  <c r="DY103" i="13"/>
  <c r="DY102" i="13"/>
  <c r="DY96" i="13"/>
  <c r="DY95" i="13"/>
  <c r="DY94" i="13"/>
  <c r="DY93" i="13"/>
  <c r="DY88" i="13"/>
  <c r="DY86" i="13"/>
  <c r="DY85" i="13"/>
  <c r="DY84" i="13"/>
  <c r="DY76" i="13"/>
  <c r="DY75" i="13"/>
  <c r="DY74" i="13"/>
  <c r="DY73" i="13"/>
  <c r="DY69" i="13"/>
  <c r="DY68" i="13"/>
  <c r="DY67" i="13"/>
  <c r="DY66" i="13"/>
  <c r="DY65" i="13"/>
  <c r="DY64" i="13"/>
  <c r="DI104" i="13"/>
  <c r="DI103" i="13"/>
  <c r="DI102" i="13"/>
  <c r="DI96" i="13"/>
  <c r="DI95" i="13"/>
  <c r="DI94" i="13"/>
  <c r="DI93" i="13"/>
  <c r="DI88" i="13"/>
  <c r="DI86" i="13"/>
  <c r="DI85" i="13"/>
  <c r="DI84" i="13"/>
  <c r="DI76" i="13"/>
  <c r="DI75" i="13"/>
  <c r="DI74" i="13"/>
  <c r="DI73" i="13"/>
  <c r="DI69" i="13"/>
  <c r="DI68" i="13"/>
  <c r="DI67" i="13"/>
  <c r="DI66" i="13"/>
  <c r="DI65" i="13"/>
  <c r="DI64" i="13"/>
  <c r="CS104" i="13"/>
  <c r="CS103" i="13"/>
  <c r="CS102" i="13"/>
  <c r="CS96" i="13"/>
  <c r="CS95" i="13"/>
  <c r="CS94" i="13"/>
  <c r="CS93" i="13"/>
  <c r="CS88" i="13"/>
  <c r="CS86" i="13"/>
  <c r="CS85" i="13"/>
  <c r="CS84" i="13"/>
  <c r="CS76" i="13"/>
  <c r="CS75" i="13"/>
  <c r="CS74" i="13"/>
  <c r="CS73" i="13"/>
  <c r="CS69" i="13"/>
  <c r="CS68" i="13"/>
  <c r="CS67" i="13"/>
  <c r="CS66" i="13"/>
  <c r="CS65" i="13"/>
  <c r="CS64" i="13"/>
  <c r="FI4" i="13"/>
  <c r="BA4" i="13"/>
  <c r="BB4" i="13"/>
  <c r="CC104" i="13"/>
  <c r="CC103" i="13"/>
  <c r="CC102" i="13"/>
  <c r="CC96" i="13"/>
  <c r="CC95" i="13"/>
  <c r="CC94" i="13"/>
  <c r="CC93" i="13"/>
  <c r="CC88" i="13"/>
  <c r="CC86" i="13"/>
  <c r="CC85" i="13"/>
  <c r="CC84" i="13"/>
  <c r="CC76" i="13"/>
  <c r="CC75" i="13"/>
  <c r="CC74" i="13"/>
  <c r="CC73" i="13"/>
  <c r="CC69" i="13"/>
  <c r="CC68" i="13"/>
  <c r="CC67" i="13"/>
  <c r="CC66" i="13"/>
  <c r="CC65" i="13"/>
  <c r="CC64" i="13"/>
  <c r="BK65" i="13"/>
  <c r="AZ65" i="13" s="1"/>
  <c r="BM65" i="13"/>
  <c r="BA9" i="13"/>
  <c r="BM104" i="13"/>
  <c r="BM103" i="13"/>
  <c r="BM102" i="13"/>
  <c r="BM96" i="13"/>
  <c r="BM95" i="13"/>
  <c r="BM94" i="13"/>
  <c r="BM93" i="13"/>
  <c r="BM88" i="13"/>
  <c r="BM86" i="13"/>
  <c r="BM85" i="13"/>
  <c r="BM84" i="13"/>
  <c r="BM76" i="13"/>
  <c r="BM75" i="13"/>
  <c r="BM74" i="13"/>
  <c r="BM73" i="13"/>
  <c r="BM69" i="13"/>
  <c r="BM68" i="13"/>
  <c r="BM67" i="13"/>
  <c r="BM66" i="13"/>
  <c r="BM64" i="13"/>
  <c r="B33" i="12"/>
  <c r="B32" i="12"/>
  <c r="B31" i="12"/>
  <c r="B27" i="12"/>
  <c r="B24" i="12"/>
  <c r="B94" i="12" s="1"/>
  <c r="B23" i="12"/>
  <c r="B19" i="12"/>
  <c r="B18" i="12"/>
  <c r="B15" i="12"/>
  <c r="B9" i="12"/>
  <c r="B5" i="12"/>
  <c r="B24" i="26"/>
  <c r="B23" i="26"/>
  <c r="B22" i="26"/>
  <c r="B18" i="26"/>
  <c r="B17" i="26"/>
  <c r="B16" i="26"/>
  <c r="B12" i="26"/>
  <c r="B11" i="26"/>
  <c r="B10" i="26"/>
  <c r="B5" i="26"/>
  <c r="B6" i="26"/>
  <c r="B4" i="26"/>
  <c r="B84" i="12"/>
  <c r="BK64" i="15"/>
  <c r="BE64" i="15" s="1"/>
  <c r="CA64" i="15"/>
  <c r="BU64" i="15" s="1"/>
  <c r="DU104" i="9"/>
  <c r="DU103" i="9"/>
  <c r="DU102" i="9"/>
  <c r="DU96" i="9"/>
  <c r="DU95" i="9"/>
  <c r="DU94" i="9"/>
  <c r="DU93" i="9"/>
  <c r="DU88" i="9"/>
  <c r="DU86" i="9"/>
  <c r="DU85" i="9"/>
  <c r="DU84" i="9"/>
  <c r="DU76" i="9"/>
  <c r="DU75" i="9"/>
  <c r="DU74" i="9"/>
  <c r="DU73" i="9"/>
  <c r="DU69" i="9"/>
  <c r="DU68" i="9"/>
  <c r="DU67" i="9"/>
  <c r="DU66" i="9"/>
  <c r="DU65" i="9"/>
  <c r="DU64" i="9"/>
  <c r="DG104" i="9"/>
  <c r="DG103" i="9"/>
  <c r="DG102" i="9"/>
  <c r="DG96" i="9"/>
  <c r="DG95" i="9"/>
  <c r="DG94" i="9"/>
  <c r="DG93" i="9"/>
  <c r="DG88" i="9"/>
  <c r="DG86" i="9"/>
  <c r="DG85" i="9"/>
  <c r="DG84" i="9"/>
  <c r="DG76" i="9"/>
  <c r="DG75" i="9"/>
  <c r="DG74" i="9"/>
  <c r="DG73" i="9"/>
  <c r="DG69" i="9"/>
  <c r="DG68" i="9"/>
  <c r="DG67" i="9"/>
  <c r="DG66" i="9"/>
  <c r="DG65" i="9"/>
  <c r="DG64" i="9"/>
  <c r="CS104" i="9"/>
  <c r="CS103" i="9"/>
  <c r="CS102" i="9"/>
  <c r="CS96" i="9"/>
  <c r="CS95" i="9"/>
  <c r="CS94" i="9"/>
  <c r="CS93" i="9"/>
  <c r="CS88" i="9"/>
  <c r="CS86" i="9"/>
  <c r="CS85" i="9"/>
  <c r="CS84" i="9"/>
  <c r="CS76" i="9"/>
  <c r="CS75" i="9"/>
  <c r="CS74" i="9"/>
  <c r="CS73" i="9"/>
  <c r="CS69" i="9"/>
  <c r="CS68" i="9"/>
  <c r="CS67" i="9"/>
  <c r="CS66" i="9"/>
  <c r="CS65" i="9"/>
  <c r="CS64" i="9"/>
  <c r="CE104" i="9"/>
  <c r="CE103" i="9"/>
  <c r="CE102" i="9"/>
  <c r="CE96" i="9"/>
  <c r="CE95" i="9"/>
  <c r="CE94" i="9"/>
  <c r="CE93" i="9"/>
  <c r="CE88" i="9"/>
  <c r="CE86" i="9"/>
  <c r="CE85" i="9"/>
  <c r="CE84" i="9"/>
  <c r="CE76" i="9"/>
  <c r="CE75" i="9"/>
  <c r="CE74" i="9"/>
  <c r="CE73" i="9"/>
  <c r="CE68" i="9"/>
  <c r="CE67" i="9"/>
  <c r="CE65" i="9"/>
  <c r="CE64" i="9"/>
  <c r="BQ104" i="9"/>
  <c r="BQ103" i="9"/>
  <c r="BQ102" i="9"/>
  <c r="BQ96" i="9"/>
  <c r="BQ95" i="9"/>
  <c r="BQ94" i="9"/>
  <c r="BQ88" i="9"/>
  <c r="BQ86" i="9"/>
  <c r="BQ85" i="9"/>
  <c r="BQ84" i="9"/>
  <c r="BQ76" i="9"/>
  <c r="BQ75" i="9"/>
  <c r="BQ74" i="9"/>
  <c r="BQ73" i="9"/>
  <c r="BQ69" i="9"/>
  <c r="BQ68" i="9"/>
  <c r="BQ67" i="9"/>
  <c r="BQ66" i="9"/>
  <c r="BQ65" i="9"/>
  <c r="BQ64" i="9"/>
  <c r="BC104" i="9"/>
  <c r="BC103" i="9"/>
  <c r="BC102" i="9"/>
  <c r="BC96" i="9"/>
  <c r="BC95" i="9"/>
  <c r="BC94" i="9"/>
  <c r="BC93" i="9"/>
  <c r="BC88" i="9"/>
  <c r="BC86" i="9"/>
  <c r="BC85" i="9"/>
  <c r="BC84" i="9"/>
  <c r="BC74" i="9"/>
  <c r="BC73" i="9"/>
  <c r="BC69" i="9"/>
  <c r="BC68" i="9"/>
  <c r="BC67" i="9"/>
  <c r="BC64" i="9"/>
  <c r="AO104" i="9"/>
  <c r="AO103" i="9"/>
  <c r="AO102" i="9"/>
  <c r="AO96" i="9"/>
  <c r="AO95" i="9"/>
  <c r="AO94" i="9"/>
  <c r="AO93" i="9"/>
  <c r="AO88" i="9"/>
  <c r="AO86" i="9"/>
  <c r="AO85" i="9"/>
  <c r="AO84" i="9"/>
  <c r="AO76" i="9"/>
  <c r="AO75" i="9"/>
  <c r="AO74" i="9"/>
  <c r="AO73" i="9"/>
  <c r="AO69" i="9"/>
  <c r="AO68" i="9"/>
  <c r="AO67" i="9"/>
  <c r="AO66" i="9"/>
  <c r="AO65" i="9"/>
  <c r="AA104" i="9"/>
  <c r="AA102" i="9"/>
  <c r="AA96" i="9"/>
  <c r="AA95" i="9"/>
  <c r="AA94" i="9"/>
  <c r="AA93" i="9"/>
  <c r="AA88" i="9"/>
  <c r="AA86" i="9"/>
  <c r="AA85" i="9"/>
  <c r="AA84" i="9"/>
  <c r="AA76" i="9"/>
  <c r="AA75" i="9"/>
  <c r="AA73" i="9"/>
  <c r="AA69" i="9"/>
  <c r="AA68" i="9"/>
  <c r="AA67" i="9"/>
  <c r="AA66" i="9"/>
  <c r="AA65" i="9"/>
  <c r="AA64" i="9"/>
  <c r="DU104" i="25"/>
  <c r="DU103" i="25"/>
  <c r="DU102" i="25"/>
  <c r="DU96" i="25"/>
  <c r="DU95" i="25"/>
  <c r="DU94" i="25"/>
  <c r="DU93" i="25"/>
  <c r="DU88" i="25"/>
  <c r="DU86" i="25"/>
  <c r="DU85" i="25"/>
  <c r="DU84" i="25"/>
  <c r="DU76" i="25"/>
  <c r="DJ76" i="25" s="1"/>
  <c r="DU75" i="25"/>
  <c r="DU74" i="25"/>
  <c r="DU73" i="25"/>
  <c r="DU69" i="25"/>
  <c r="DU68" i="25"/>
  <c r="DU67" i="25"/>
  <c r="DU66" i="25"/>
  <c r="DJ66" i="25" s="1"/>
  <c r="DU65" i="25"/>
  <c r="DU64" i="25"/>
  <c r="DK6" i="25"/>
  <c r="DL6" i="25" s="1"/>
  <c r="DM6" i="25" s="1"/>
  <c r="DN6" i="25" s="1"/>
  <c r="DO6" i="25" s="1"/>
  <c r="DP6" i="25" s="1"/>
  <c r="DQ6" i="25" s="1"/>
  <c r="DR6" i="25" s="1"/>
  <c r="DJ5" i="25"/>
  <c r="DG104" i="25"/>
  <c r="DG103" i="25"/>
  <c r="DG102" i="25"/>
  <c r="DG96" i="25"/>
  <c r="DG95" i="25"/>
  <c r="DG94" i="25"/>
  <c r="DG93" i="25"/>
  <c r="DG88" i="25"/>
  <c r="DG86" i="25"/>
  <c r="DG85" i="25"/>
  <c r="DG84" i="25"/>
  <c r="DG76" i="25"/>
  <c r="DG75" i="25"/>
  <c r="DG74" i="25"/>
  <c r="DG73" i="25"/>
  <c r="DG69" i="25"/>
  <c r="DG68" i="25"/>
  <c r="DG67" i="25"/>
  <c r="DG66" i="25"/>
  <c r="DG65" i="25"/>
  <c r="DG64" i="25"/>
  <c r="CX6" i="25"/>
  <c r="CY6" i="25" s="1"/>
  <c r="CZ6" i="25" s="1"/>
  <c r="DA6" i="25" s="1"/>
  <c r="DB6" i="25" s="1"/>
  <c r="DC6" i="25" s="1"/>
  <c r="DD6" i="25" s="1"/>
  <c r="CW6" i="25"/>
  <c r="CV5" i="25"/>
  <c r="CS104" i="25"/>
  <c r="CS102" i="25"/>
  <c r="CS96" i="25"/>
  <c r="CS95" i="25"/>
  <c r="CS94" i="25"/>
  <c r="CS93" i="25"/>
  <c r="CS88" i="25"/>
  <c r="CS86" i="25"/>
  <c r="CS85" i="25"/>
  <c r="CS84" i="25"/>
  <c r="CH84" i="25" s="1"/>
  <c r="CS76" i="25"/>
  <c r="CS75" i="25"/>
  <c r="CS69" i="25"/>
  <c r="CS68" i="25"/>
  <c r="CS67" i="25"/>
  <c r="CS66" i="25"/>
  <c r="CS65" i="25"/>
  <c r="CH65" i="25" s="1"/>
  <c r="CS64" i="25"/>
  <c r="CI6" i="25"/>
  <c r="CJ6" i="25" s="1"/>
  <c r="CK6" i="25" s="1"/>
  <c r="CL6" i="25" s="1"/>
  <c r="CM6" i="25" s="1"/>
  <c r="CN6" i="25" s="1"/>
  <c r="CO6" i="25" s="1"/>
  <c r="CP6" i="25" s="1"/>
  <c r="CH5" i="25"/>
  <c r="CE104" i="25"/>
  <c r="CE103" i="25"/>
  <c r="CE102" i="25"/>
  <c r="CE96" i="25"/>
  <c r="CE95" i="25"/>
  <c r="CE94" i="25"/>
  <c r="CE93" i="25"/>
  <c r="CE88" i="25"/>
  <c r="BT88" i="25" s="1"/>
  <c r="CE86" i="25"/>
  <c r="CE85" i="25"/>
  <c r="CE84" i="25"/>
  <c r="CE76" i="25"/>
  <c r="CE75" i="25"/>
  <c r="CE74" i="25"/>
  <c r="CE73" i="25"/>
  <c r="CE69" i="25"/>
  <c r="CE68" i="25"/>
  <c r="CE67" i="25"/>
  <c r="CE66" i="25"/>
  <c r="CE65" i="25"/>
  <c r="CE64" i="25"/>
  <c r="BV6" i="25"/>
  <c r="BW6" i="25" s="1"/>
  <c r="BX6" i="25" s="1"/>
  <c r="BY6" i="25" s="1"/>
  <c r="BZ6" i="25" s="1"/>
  <c r="CA6" i="25" s="1"/>
  <c r="CB6" i="25" s="1"/>
  <c r="BU6" i="25"/>
  <c r="BT5" i="25"/>
  <c r="BQ104" i="25"/>
  <c r="BQ103" i="25"/>
  <c r="BQ102" i="25"/>
  <c r="BQ96" i="25"/>
  <c r="BQ95" i="25"/>
  <c r="BQ94" i="25"/>
  <c r="BQ93" i="25"/>
  <c r="BQ88" i="25"/>
  <c r="BQ86" i="25"/>
  <c r="BQ85" i="25"/>
  <c r="BQ84" i="25"/>
  <c r="BQ76" i="25"/>
  <c r="BQ75" i="25"/>
  <c r="BQ74" i="25"/>
  <c r="BQ73" i="25"/>
  <c r="BQ69" i="25"/>
  <c r="BQ68" i="25"/>
  <c r="BQ67" i="25"/>
  <c r="BQ66" i="25"/>
  <c r="BQ65" i="25"/>
  <c r="BQ64" i="25"/>
  <c r="BG6" i="25"/>
  <c r="BH6" i="25" s="1"/>
  <c r="BI6" i="25" s="1"/>
  <c r="BJ6" i="25" s="1"/>
  <c r="BK6" i="25" s="1"/>
  <c r="BL6" i="25" s="1"/>
  <c r="BM6" i="25" s="1"/>
  <c r="BN6" i="25" s="1"/>
  <c r="BF5" i="25"/>
  <c r="BC104" i="25"/>
  <c r="BC103" i="25"/>
  <c r="BC102" i="25"/>
  <c r="BC96" i="25"/>
  <c r="BC95" i="25"/>
  <c r="BC94" i="25"/>
  <c r="BC93" i="25"/>
  <c r="BC88" i="25"/>
  <c r="BC86" i="25"/>
  <c r="BC85" i="25"/>
  <c r="BC84" i="25"/>
  <c r="BC76" i="25"/>
  <c r="BC75" i="25"/>
  <c r="BC74" i="25"/>
  <c r="BC73" i="25"/>
  <c r="BC69" i="25"/>
  <c r="BC68" i="25"/>
  <c r="BC67" i="25"/>
  <c r="BC66" i="25"/>
  <c r="BC65" i="25"/>
  <c r="BC64" i="25"/>
  <c r="AS6" i="25"/>
  <c r="AT6" i="25" s="1"/>
  <c r="AU6" i="25" s="1"/>
  <c r="AV6" i="25" s="1"/>
  <c r="AW6" i="25" s="1"/>
  <c r="AX6" i="25" s="1"/>
  <c r="AY6" i="25" s="1"/>
  <c r="AZ6" i="25" s="1"/>
  <c r="AR5" i="25"/>
  <c r="AO104" i="25"/>
  <c r="AO103" i="25"/>
  <c r="AO102" i="25"/>
  <c r="AO96" i="25"/>
  <c r="AO95" i="25"/>
  <c r="AO94" i="25"/>
  <c r="AO93" i="25"/>
  <c r="AD93" i="25" s="1"/>
  <c r="AO88" i="25"/>
  <c r="AO86" i="25"/>
  <c r="AO85" i="25"/>
  <c r="AO84" i="25"/>
  <c r="AO76" i="25"/>
  <c r="AO75" i="25"/>
  <c r="AO74" i="25"/>
  <c r="AO73" i="25"/>
  <c r="AO69" i="25"/>
  <c r="AO68" i="25"/>
  <c r="AO67" i="25"/>
  <c r="AO66" i="25"/>
  <c r="AO65" i="25"/>
  <c r="AO64" i="25"/>
  <c r="AE6" i="25"/>
  <c r="AF6" i="25" s="1"/>
  <c r="AG6" i="25" s="1"/>
  <c r="AH6" i="25" s="1"/>
  <c r="AI6" i="25" s="1"/>
  <c r="AJ6" i="25" s="1"/>
  <c r="AK6" i="25" s="1"/>
  <c r="AL6" i="25" s="1"/>
  <c r="AD5" i="25"/>
  <c r="P5" i="25"/>
  <c r="Q6" i="25"/>
  <c r="R6" i="25" s="1"/>
  <c r="S6" i="25" s="1"/>
  <c r="T6" i="25" s="1"/>
  <c r="U6" i="25" s="1"/>
  <c r="V6" i="25" s="1"/>
  <c r="W6" i="25" s="1"/>
  <c r="X6" i="25" s="1"/>
  <c r="AA104" i="25"/>
  <c r="AA103" i="25"/>
  <c r="AA102" i="25"/>
  <c r="AA96" i="25"/>
  <c r="AA95" i="25"/>
  <c r="AA94" i="25"/>
  <c r="AA93" i="25"/>
  <c r="AA88" i="25"/>
  <c r="AA86" i="25"/>
  <c r="AA85" i="25"/>
  <c r="AA84" i="25"/>
  <c r="AA76" i="25"/>
  <c r="AA75" i="25"/>
  <c r="AA74" i="25"/>
  <c r="AA73" i="25"/>
  <c r="AA69" i="25"/>
  <c r="AA68" i="25"/>
  <c r="AA67" i="25"/>
  <c r="AA66" i="25"/>
  <c r="AA65" i="25"/>
  <c r="AA104" i="24"/>
  <c r="AA103" i="24"/>
  <c r="AA102" i="24"/>
  <c r="AA96" i="24"/>
  <c r="AA95" i="24"/>
  <c r="AA94" i="24"/>
  <c r="AA93" i="24"/>
  <c r="AA88" i="24"/>
  <c r="AA86" i="24"/>
  <c r="AA85" i="24"/>
  <c r="AA84" i="24"/>
  <c r="AA76" i="24"/>
  <c r="AA75" i="24"/>
  <c r="AA74" i="24"/>
  <c r="AA73" i="24"/>
  <c r="AA69" i="24"/>
  <c r="AA68" i="24"/>
  <c r="AA67" i="24"/>
  <c r="AA66" i="24"/>
  <c r="AA65" i="24"/>
  <c r="AA64" i="24"/>
  <c r="DU104" i="24"/>
  <c r="DU103" i="24"/>
  <c r="DU102" i="24"/>
  <c r="DU96" i="24"/>
  <c r="DU95" i="24"/>
  <c r="DU94" i="24"/>
  <c r="DU93" i="24"/>
  <c r="DU88" i="24"/>
  <c r="DU86" i="24"/>
  <c r="DU85" i="24"/>
  <c r="DU84" i="24"/>
  <c r="DU76" i="24"/>
  <c r="DU75" i="24"/>
  <c r="DU74" i="24"/>
  <c r="DU73" i="24"/>
  <c r="DU69" i="24"/>
  <c r="DU68" i="24"/>
  <c r="DU67" i="24"/>
  <c r="DU66" i="24"/>
  <c r="DU65" i="24"/>
  <c r="DU64" i="24"/>
  <c r="DG104" i="24"/>
  <c r="DG103" i="24"/>
  <c r="DG102" i="24"/>
  <c r="DG96" i="24"/>
  <c r="DG95" i="24"/>
  <c r="DG94" i="24"/>
  <c r="DG93" i="24"/>
  <c r="DG88" i="24"/>
  <c r="DG86" i="24"/>
  <c r="DG85" i="24"/>
  <c r="DG84" i="24"/>
  <c r="DG76" i="24"/>
  <c r="DG75" i="24"/>
  <c r="DG74" i="24"/>
  <c r="DG73" i="24"/>
  <c r="DG69" i="24"/>
  <c r="DG68" i="24"/>
  <c r="DG67" i="24"/>
  <c r="DG66" i="24"/>
  <c r="DG65" i="24"/>
  <c r="DG64" i="24"/>
  <c r="CS104" i="24"/>
  <c r="CS103" i="24"/>
  <c r="CS102" i="24"/>
  <c r="CS96" i="24"/>
  <c r="CS95" i="24"/>
  <c r="CS94" i="24"/>
  <c r="CS88" i="24"/>
  <c r="CS86" i="24"/>
  <c r="CS85" i="24"/>
  <c r="CS84" i="24"/>
  <c r="CS76" i="24"/>
  <c r="CS75" i="24"/>
  <c r="CS74" i="24"/>
  <c r="CS73" i="24"/>
  <c r="CS69" i="24"/>
  <c r="CS68" i="24"/>
  <c r="CS67" i="24"/>
  <c r="CS66" i="24"/>
  <c r="CE104" i="24"/>
  <c r="CE103" i="24"/>
  <c r="CE102" i="24"/>
  <c r="CE96" i="24"/>
  <c r="CE95" i="24"/>
  <c r="CE94" i="24"/>
  <c r="CE88" i="24"/>
  <c r="CE86" i="24"/>
  <c r="CE85" i="24"/>
  <c r="CE84" i="24"/>
  <c r="CE76" i="24"/>
  <c r="CE75" i="24"/>
  <c r="CE74" i="24"/>
  <c r="CE73" i="24"/>
  <c r="CE69" i="24"/>
  <c r="CE68" i="24"/>
  <c r="CE67" i="24"/>
  <c r="CE66" i="24"/>
  <c r="CE65" i="24"/>
  <c r="BQ104" i="24"/>
  <c r="BQ103" i="24"/>
  <c r="BQ102" i="24"/>
  <c r="BQ96" i="24"/>
  <c r="BQ95" i="24"/>
  <c r="BQ94" i="24"/>
  <c r="BQ88" i="24"/>
  <c r="BQ86" i="24"/>
  <c r="BQ85" i="24"/>
  <c r="BQ84" i="24"/>
  <c r="BQ76" i="24"/>
  <c r="BQ75" i="24"/>
  <c r="BQ74" i="24"/>
  <c r="BQ73" i="24"/>
  <c r="BQ69" i="24"/>
  <c r="BQ68" i="24"/>
  <c r="BQ67" i="24"/>
  <c r="BQ66" i="24"/>
  <c r="BQ65" i="24"/>
  <c r="BC104" i="24"/>
  <c r="BC103" i="24"/>
  <c r="BC102" i="24"/>
  <c r="BC96" i="24"/>
  <c r="BC95" i="24"/>
  <c r="BC93" i="24"/>
  <c r="BC88" i="24"/>
  <c r="BC86" i="24"/>
  <c r="BC85" i="24"/>
  <c r="BC84" i="24"/>
  <c r="BC76" i="24"/>
  <c r="BC75" i="24"/>
  <c r="BC74" i="24"/>
  <c r="BC73" i="24"/>
  <c r="BC69" i="24"/>
  <c r="BC68" i="24"/>
  <c r="BC67" i="24"/>
  <c r="BC66" i="24"/>
  <c r="AO104" i="24"/>
  <c r="AO103" i="24"/>
  <c r="AO102" i="24"/>
  <c r="AO96" i="24"/>
  <c r="AD96" i="24" s="1"/>
  <c r="AO95" i="24"/>
  <c r="AO88" i="24"/>
  <c r="AO86" i="24"/>
  <c r="AO85" i="24"/>
  <c r="AO84" i="24"/>
  <c r="AO76" i="24"/>
  <c r="AO75" i="24"/>
  <c r="AO74" i="24"/>
  <c r="AD74" i="24" s="1"/>
  <c r="AO69" i="24"/>
  <c r="AO68" i="24"/>
  <c r="AO67" i="24"/>
  <c r="CV94" i="24"/>
  <c r="DJ7" i="24"/>
  <c r="DC7" i="24"/>
  <c r="DB7" i="24"/>
  <c r="DA7" i="24"/>
  <c r="CV7" i="24"/>
  <c r="CO7" i="24"/>
  <c r="CI7" i="24"/>
  <c r="CH7" i="24"/>
  <c r="BT7" i="24"/>
  <c r="BM7" i="24"/>
  <c r="BG7" i="24"/>
  <c r="BF7" i="24"/>
  <c r="AR7" i="24"/>
  <c r="AD7" i="24"/>
  <c r="P7" i="24"/>
  <c r="DK6" i="24"/>
  <c r="DK7" i="24" s="1"/>
  <c r="DJ5" i="24"/>
  <c r="CW6" i="24"/>
  <c r="CX6" i="24" s="1"/>
  <c r="CY6" i="24" s="1"/>
  <c r="CZ6" i="24" s="1"/>
  <c r="DA6" i="24" s="1"/>
  <c r="DB6" i="24" s="1"/>
  <c r="DC6" i="24" s="1"/>
  <c r="DD6" i="24" s="1"/>
  <c r="DD7" i="24" s="1"/>
  <c r="CV5" i="24"/>
  <c r="CJ6" i="24"/>
  <c r="CK6" i="24" s="1"/>
  <c r="CL6" i="24" s="1"/>
  <c r="CM6" i="24" s="1"/>
  <c r="CN6" i="24" s="1"/>
  <c r="CO6" i="24" s="1"/>
  <c r="CP6" i="24" s="1"/>
  <c r="CP7" i="24" s="1"/>
  <c r="CI6" i="24"/>
  <c r="CH5" i="24"/>
  <c r="BU6" i="24"/>
  <c r="BU7" i="24" s="1"/>
  <c r="BT5" i="24"/>
  <c r="BG6" i="24"/>
  <c r="BH6" i="24" s="1"/>
  <c r="BI6" i="24" s="1"/>
  <c r="BJ6" i="24" s="1"/>
  <c r="BK6" i="24" s="1"/>
  <c r="BL6" i="24" s="1"/>
  <c r="BM6" i="24" s="1"/>
  <c r="BN6" i="24" s="1"/>
  <c r="BN7" i="24" s="1"/>
  <c r="BF5" i="24"/>
  <c r="AS6" i="24"/>
  <c r="AR5" i="24"/>
  <c r="AE6" i="24"/>
  <c r="AF6" i="24" s="1"/>
  <c r="AD5" i="24"/>
  <c r="KA64" i="13"/>
  <c r="JP64" i="13" s="1"/>
  <c r="CA64" i="13"/>
  <c r="BR64" i="13" s="1"/>
  <c r="AA64" i="13"/>
  <c r="KA64" i="15"/>
  <c r="AA64" i="15"/>
  <c r="KA64" i="16"/>
  <c r="CA64" i="16"/>
  <c r="BV64" i="16" s="1"/>
  <c r="AA64" i="16"/>
  <c r="KA64" i="17"/>
  <c r="AA64" i="17"/>
  <c r="P5" i="24"/>
  <c r="P102" i="24" s="1"/>
  <c r="Q6" i="24"/>
  <c r="OI84" i="17"/>
  <c r="NS84" i="17"/>
  <c r="NC84" i="17"/>
  <c r="MM84" i="17"/>
  <c r="LW84" i="17"/>
  <c r="LG84" i="17"/>
  <c r="KQ84" i="17"/>
  <c r="KA84" i="17"/>
  <c r="JK84" i="17"/>
  <c r="IU84" i="17"/>
  <c r="IE84" i="17"/>
  <c r="HO84" i="17"/>
  <c r="GY84" i="17"/>
  <c r="GS84" i="17" s="1"/>
  <c r="GI84" i="17"/>
  <c r="FS84" i="17"/>
  <c r="FC84" i="17"/>
  <c r="EM84" i="17"/>
  <c r="DW84" i="17"/>
  <c r="DG84" i="17"/>
  <c r="CQ84" i="17"/>
  <c r="CA84" i="17"/>
  <c r="BK84" i="17"/>
  <c r="AW84" i="17"/>
  <c r="AU84" i="17"/>
  <c r="AS84" i="17"/>
  <c r="AH84" i="17" a="1"/>
  <c r="AH84" i="17" s="1"/>
  <c r="AE84" i="17"/>
  <c r="AC84" i="17"/>
  <c r="AA84" i="17"/>
  <c r="P84" i="17" a="1"/>
  <c r="P84" i="17" s="1"/>
  <c r="OI84" i="16"/>
  <c r="NS84" i="16"/>
  <c r="NC84" i="16"/>
  <c r="MM84" i="16"/>
  <c r="LW84" i="16"/>
  <c r="LG84" i="16"/>
  <c r="KQ84" i="16"/>
  <c r="KA84" i="16"/>
  <c r="JK84" i="16"/>
  <c r="IU84" i="16"/>
  <c r="IE84" i="16"/>
  <c r="HO84" i="16"/>
  <c r="GY84" i="16"/>
  <c r="GI84" i="16"/>
  <c r="FS84" i="16"/>
  <c r="FC84" i="16"/>
  <c r="EM84" i="16"/>
  <c r="DW84" i="16"/>
  <c r="DG84" i="16"/>
  <c r="CQ84" i="16"/>
  <c r="CA84" i="16"/>
  <c r="BU84" i="16" s="1"/>
  <c r="BK84" i="16"/>
  <c r="AW84" i="16"/>
  <c r="AU84" i="16"/>
  <c r="AS84" i="16"/>
  <c r="AH84" i="16" a="1"/>
  <c r="AH84" i="16" s="1"/>
  <c r="AE84" i="16"/>
  <c r="AC84" i="16"/>
  <c r="AA84" i="16"/>
  <c r="P84" i="16" a="1"/>
  <c r="P84" i="16" s="1"/>
  <c r="OI84" i="15"/>
  <c r="NS84" i="15"/>
  <c r="NC84" i="15"/>
  <c r="MM84" i="15"/>
  <c r="LW84" i="15"/>
  <c r="LG84" i="15"/>
  <c r="KQ84" i="15"/>
  <c r="KA84" i="15"/>
  <c r="JK84" i="15"/>
  <c r="IU84" i="15"/>
  <c r="IK84" i="15" s="1"/>
  <c r="IE84" i="15"/>
  <c r="HY84" i="15" s="1"/>
  <c r="HO84" i="15"/>
  <c r="GY84" i="15"/>
  <c r="GI84" i="15"/>
  <c r="FS84" i="15"/>
  <c r="FK84" i="15" s="1"/>
  <c r="FC84" i="15"/>
  <c r="EX84" i="15" s="1"/>
  <c r="EM84" i="15"/>
  <c r="EC84" i="15" s="1"/>
  <c r="DW84" i="15"/>
  <c r="DG84" i="15"/>
  <c r="CQ84" i="15"/>
  <c r="CH84" i="15" s="1"/>
  <c r="CA84" i="15"/>
  <c r="BV84" i="15" s="1"/>
  <c r="BK84" i="15"/>
  <c r="BG84" i="15" s="1"/>
  <c r="AW84" i="15"/>
  <c r="AU84" i="15"/>
  <c r="AS84" i="15"/>
  <c r="AH84" i="15" a="1"/>
  <c r="AH84" i="15" s="1"/>
  <c r="AE84" i="15"/>
  <c r="AC84" i="15"/>
  <c r="AA84" i="15"/>
  <c r="P84" i="15" a="1"/>
  <c r="P84" i="15" s="1"/>
  <c r="OI84" i="13"/>
  <c r="OF84" i="13" s="1"/>
  <c r="NS84" i="13"/>
  <c r="NC84" i="13"/>
  <c r="MM84" i="13"/>
  <c r="LW84" i="13"/>
  <c r="LG84" i="13"/>
  <c r="KQ84" i="13"/>
  <c r="KI84" i="13" s="1"/>
  <c r="KA84" i="13"/>
  <c r="JW84" i="13" s="1"/>
  <c r="JK84" i="13"/>
  <c r="JH84" i="13" s="1"/>
  <c r="IU84" i="13"/>
  <c r="IE84" i="13"/>
  <c r="HO84" i="13"/>
  <c r="GY84" i="13"/>
  <c r="GI84" i="13"/>
  <c r="FS84" i="13"/>
  <c r="FP84" i="13" s="1"/>
  <c r="FC84" i="13"/>
  <c r="EX84" i="13" s="1"/>
  <c r="EM84" i="13"/>
  <c r="EI84" i="13" s="1"/>
  <c r="DW84" i="13"/>
  <c r="DQ84" i="13" s="1"/>
  <c r="DG84" i="13"/>
  <c r="CX84" i="13" s="1"/>
  <c r="CQ84" i="13"/>
  <c r="CA84" i="13"/>
  <c r="BP84" i="13" s="1"/>
  <c r="BK84" i="13"/>
  <c r="AZ84" i="13" s="1"/>
  <c r="AW84" i="13"/>
  <c r="AU84" i="13"/>
  <c r="AS84" i="13"/>
  <c r="AH84" i="13" a="1"/>
  <c r="AH84" i="13" s="1"/>
  <c r="AE84" i="13"/>
  <c r="AC84" i="13"/>
  <c r="AA84" i="13"/>
  <c r="P84" i="13" a="1"/>
  <c r="P84" i="13" s="1"/>
  <c r="CE66" i="9" l="1"/>
  <c r="BC66" i="9"/>
  <c r="BW64" i="17"/>
  <c r="BU64" i="17"/>
  <c r="BT64" i="17"/>
  <c r="BS64" i="17"/>
  <c r="BR64" i="17"/>
  <c r="CN64" i="17"/>
  <c r="CL64" i="17"/>
  <c r="BQ64" i="17"/>
  <c r="CM64" i="17"/>
  <c r="CK64" i="17"/>
  <c r="BX64" i="17"/>
  <c r="BP64" i="17"/>
  <c r="CH64" i="17"/>
  <c r="CG64" i="17"/>
  <c r="CF64" i="17"/>
  <c r="CJ64" i="17"/>
  <c r="CE93" i="24"/>
  <c r="AA74" i="9"/>
  <c r="AO73" i="24"/>
  <c r="AD73" i="24" s="1"/>
  <c r="CV73" i="24"/>
  <c r="BC65" i="9"/>
  <c r="AA103" i="9"/>
  <c r="DJ102" i="24"/>
  <c r="AR96" i="25"/>
  <c r="CS93" i="24"/>
  <c r="AR86" i="24"/>
  <c r="AO65" i="24"/>
  <c r="AD65" i="24" s="1"/>
  <c r="BQ64" i="24"/>
  <c r="BF64" i="24" s="1"/>
  <c r="CS64" i="24"/>
  <c r="CH64" i="24" s="1"/>
  <c r="BC64" i="24"/>
  <c r="AR64" i="24" s="1"/>
  <c r="CE64" i="24"/>
  <c r="BT64" i="24" s="1"/>
  <c r="DJ104" i="25"/>
  <c r="CV88" i="25"/>
  <c r="CV84" i="13"/>
  <c r="JU84" i="13"/>
  <c r="CW84" i="13"/>
  <c r="JV84" i="13"/>
  <c r="EJ84" i="13"/>
  <c r="KJ84" i="13"/>
  <c r="ET84" i="13"/>
  <c r="EU84" i="13"/>
  <c r="FK84" i="13"/>
  <c r="FL84" i="13"/>
  <c r="BF102" i="24"/>
  <c r="FO84" i="13"/>
  <c r="OD84" i="16"/>
  <c r="OC84" i="16"/>
  <c r="OB84" i="16"/>
  <c r="OA84" i="16"/>
  <c r="NY84" i="16"/>
  <c r="OF84" i="16"/>
  <c r="NX84" i="16"/>
  <c r="OE84" i="16"/>
  <c r="NZ84" i="16"/>
  <c r="DA84" i="15"/>
  <c r="DC84" i="15"/>
  <c r="DB84" i="15"/>
  <c r="GQ84" i="13"/>
  <c r="GV84" i="13"/>
  <c r="GN84" i="13"/>
  <c r="GU84" i="13"/>
  <c r="GT84" i="13"/>
  <c r="GS84" i="13"/>
  <c r="GR84" i="13"/>
  <c r="GP84" i="13"/>
  <c r="GO84" i="13"/>
  <c r="LO84" i="13"/>
  <c r="LN84" i="13"/>
  <c r="LM84" i="13"/>
  <c r="LT84" i="13"/>
  <c r="LL84" i="13"/>
  <c r="LS84" i="13"/>
  <c r="LR84" i="13"/>
  <c r="LQ84" i="13"/>
  <c r="LP84" i="13"/>
  <c r="MV84" i="15"/>
  <c r="MX84" i="15"/>
  <c r="MU84" i="15"/>
  <c r="MZ84" i="15"/>
  <c r="MY84" i="15"/>
  <c r="MW84" i="15"/>
  <c r="MT84" i="15"/>
  <c r="MS84" i="15"/>
  <c r="MR84" i="15"/>
  <c r="CN84" i="13"/>
  <c r="CF84" i="13"/>
  <c r="CK84" i="13"/>
  <c r="CJ84" i="13"/>
  <c r="CI84" i="13"/>
  <c r="CH84" i="13"/>
  <c r="CG84" i="13"/>
  <c r="HL84" i="13"/>
  <c r="HD84" i="13"/>
  <c r="HI84" i="13"/>
  <c r="HH84" i="13"/>
  <c r="HK84" i="13"/>
  <c r="HJ84" i="13"/>
  <c r="HG84" i="13"/>
  <c r="HF84" i="13"/>
  <c r="HE84" i="13"/>
  <c r="MJ84" i="13"/>
  <c r="MB84" i="13"/>
  <c r="MI84" i="13"/>
  <c r="MH84" i="13"/>
  <c r="MG84" i="13"/>
  <c r="MF84" i="13"/>
  <c r="ME84" i="13"/>
  <c r="MD84" i="13"/>
  <c r="MC84" i="13"/>
  <c r="EZ84" i="16"/>
  <c r="ER84" i="16"/>
  <c r="EW84" i="16"/>
  <c r="EV84" i="16"/>
  <c r="EU84" i="16"/>
  <c r="ET84" i="16"/>
  <c r="ES84" i="16"/>
  <c r="EX84" i="16"/>
  <c r="EY84" i="16"/>
  <c r="NL84" i="13"/>
  <c r="NH84" i="13"/>
  <c r="NN84" i="13"/>
  <c r="NM84" i="13"/>
  <c r="NK84" i="13"/>
  <c r="NJ84" i="13"/>
  <c r="NI84" i="13"/>
  <c r="NP84" i="13"/>
  <c r="NO84" i="13"/>
  <c r="JT84" i="15"/>
  <c r="JS84" i="15"/>
  <c r="JV84" i="15"/>
  <c r="JU84" i="15"/>
  <c r="JR84" i="15"/>
  <c r="JQ84" i="15"/>
  <c r="JP84" i="15"/>
  <c r="JX84" i="15"/>
  <c r="JW84" i="15"/>
  <c r="BC84" i="16"/>
  <c r="BH84" i="16"/>
  <c r="AZ84" i="16"/>
  <c r="BG84" i="16"/>
  <c r="BF84" i="16"/>
  <c r="BE84" i="16"/>
  <c r="BD84" i="16"/>
  <c r="BB84" i="16"/>
  <c r="BA84" i="16"/>
  <c r="KZ84" i="16"/>
  <c r="KY84" i="16"/>
  <c r="KX84" i="16"/>
  <c r="KW84" i="16"/>
  <c r="LD84" i="16"/>
  <c r="KV84" i="16"/>
  <c r="LC84" i="16"/>
  <c r="LB84" i="16"/>
  <c r="LA84" i="16"/>
  <c r="HI84" i="17"/>
  <c r="HG84" i="17"/>
  <c r="HF84" i="17"/>
  <c r="HL84" i="17"/>
  <c r="HK84" i="17"/>
  <c r="HJ84" i="17"/>
  <c r="HH84" i="17"/>
  <c r="HE84" i="17"/>
  <c r="HD84" i="17"/>
  <c r="CL84" i="13"/>
  <c r="DP84" i="13"/>
  <c r="DT84" i="15"/>
  <c r="DN84" i="15"/>
  <c r="DM84" i="15"/>
  <c r="JX84" i="16"/>
  <c r="JP84" i="16"/>
  <c r="JW84" i="16"/>
  <c r="JV84" i="16"/>
  <c r="JU84" i="16"/>
  <c r="JT84" i="16"/>
  <c r="JS84" i="16"/>
  <c r="JR84" i="16"/>
  <c r="JQ84" i="16"/>
  <c r="IL84" i="13"/>
  <c r="IQ84" i="13"/>
  <c r="IP84" i="13"/>
  <c r="IM84" i="13"/>
  <c r="IK84" i="13"/>
  <c r="IJ84" i="13"/>
  <c r="IR84" i="13"/>
  <c r="IO84" i="13"/>
  <c r="IN84" i="13"/>
  <c r="GA84" i="16"/>
  <c r="GF84" i="16"/>
  <c r="FX84" i="16"/>
  <c r="GC84" i="16"/>
  <c r="GB84" i="16"/>
  <c r="FZ84" i="16"/>
  <c r="FY84" i="16"/>
  <c r="GE84" i="16"/>
  <c r="GD84" i="16"/>
  <c r="CJ84" i="17"/>
  <c r="CI84" i="17"/>
  <c r="CH84" i="17"/>
  <c r="CG84" i="17"/>
  <c r="CN84" i="17"/>
  <c r="CM84" i="17"/>
  <c r="CL84" i="17"/>
  <c r="CK84" i="17"/>
  <c r="CF84" i="17"/>
  <c r="MF84" i="17"/>
  <c r="MD84" i="17"/>
  <c r="MJ84" i="17"/>
  <c r="MI84" i="17"/>
  <c r="MH84" i="17"/>
  <c r="MG84" i="17"/>
  <c r="ME84" i="17"/>
  <c r="MC84" i="17"/>
  <c r="MB84" i="17"/>
  <c r="DO84" i="13"/>
  <c r="CM84" i="13"/>
  <c r="EE84" i="16"/>
  <c r="ED84" i="16"/>
  <c r="EC84" i="16"/>
  <c r="EJ84" i="16"/>
  <c r="EB84" i="16"/>
  <c r="EI84" i="16"/>
  <c r="EF84" i="16"/>
  <c r="EH84" i="16"/>
  <c r="EG84" i="16"/>
  <c r="FY84" i="17"/>
  <c r="FZ84" i="17"/>
  <c r="GA84" i="17"/>
  <c r="GB84" i="17"/>
  <c r="DN84" i="13"/>
  <c r="DM84" i="13"/>
  <c r="DL84" i="13"/>
  <c r="DT84" i="13"/>
  <c r="DS84" i="13"/>
  <c r="DR84" i="13"/>
  <c r="GD84" i="13"/>
  <c r="GA84" i="13"/>
  <c r="FZ84" i="13"/>
  <c r="GC84" i="13"/>
  <c r="GB84" i="13"/>
  <c r="FY84" i="13"/>
  <c r="FX84" i="13"/>
  <c r="GF84" i="13"/>
  <c r="GE84" i="13"/>
  <c r="LB84" i="13"/>
  <c r="LA84" i="13"/>
  <c r="KZ84" i="13"/>
  <c r="KY84" i="13"/>
  <c r="KX84" i="13"/>
  <c r="LD84" i="13"/>
  <c r="LC84" i="13"/>
  <c r="KW84" i="13"/>
  <c r="KV84" i="13"/>
  <c r="HL84" i="15"/>
  <c r="HD84" i="15"/>
  <c r="HJ84" i="15"/>
  <c r="HI84" i="15"/>
  <c r="HH84" i="15"/>
  <c r="HG84" i="15"/>
  <c r="HF84" i="15"/>
  <c r="HK84" i="15"/>
  <c r="HE84" i="15"/>
  <c r="MD84" i="15"/>
  <c r="MJ84" i="15"/>
  <c r="MB84" i="15"/>
  <c r="MC84" i="15"/>
  <c r="MI84" i="15"/>
  <c r="MH84" i="15"/>
  <c r="MG84" i="15"/>
  <c r="MF84" i="15"/>
  <c r="ME84" i="15"/>
  <c r="DP84" i="16"/>
  <c r="DO84" i="16"/>
  <c r="DN84" i="16"/>
  <c r="DM84" i="16"/>
  <c r="DT84" i="16"/>
  <c r="DL84" i="16"/>
  <c r="DR84" i="16"/>
  <c r="DQ84" i="16"/>
  <c r="DS84" i="16"/>
  <c r="IO84" i="16"/>
  <c r="IN84" i="16"/>
  <c r="IM84" i="16"/>
  <c r="IL84" i="16"/>
  <c r="IK84" i="16"/>
  <c r="IR84" i="16"/>
  <c r="IJ84" i="16"/>
  <c r="IQ84" i="16"/>
  <c r="IP84" i="16"/>
  <c r="NI84" i="16"/>
  <c r="NP84" i="16"/>
  <c r="NH84" i="16"/>
  <c r="NO84" i="16"/>
  <c r="NN84" i="16"/>
  <c r="NL84" i="16"/>
  <c r="NK84" i="16"/>
  <c r="NM84" i="16"/>
  <c r="NJ84" i="16"/>
  <c r="EV84" i="17"/>
  <c r="EW84" i="17"/>
  <c r="ER84" i="17"/>
  <c r="ES84" i="17"/>
  <c r="EZ84" i="17"/>
  <c r="EY84" i="17"/>
  <c r="EX84" i="17"/>
  <c r="EU84" i="17"/>
  <c r="ET84" i="17"/>
  <c r="JS84" i="17"/>
  <c r="JR84" i="17"/>
  <c r="JQ84" i="17"/>
  <c r="JP84" i="17"/>
  <c r="JX84" i="17"/>
  <c r="JW84" i="17"/>
  <c r="JV84" i="17"/>
  <c r="JU84" i="17"/>
  <c r="JT84" i="17"/>
  <c r="FL84" i="17"/>
  <c r="FM84" i="17"/>
  <c r="BQ84" i="13"/>
  <c r="JC84" i="16"/>
  <c r="JB84" i="16"/>
  <c r="JA84" i="16"/>
  <c r="JH84" i="16"/>
  <c r="IZ84" i="16"/>
  <c r="JG84" i="16"/>
  <c r="JF84" i="16"/>
  <c r="JE84" i="16"/>
  <c r="JD84" i="16"/>
  <c r="NI84" i="15"/>
  <c r="NP84" i="15"/>
  <c r="NN84" i="15"/>
  <c r="NM84" i="15"/>
  <c r="NL84" i="15"/>
  <c r="NO84" i="15"/>
  <c r="NK84" i="15"/>
  <c r="NJ84" i="15"/>
  <c r="NH84" i="15"/>
  <c r="BC84" i="17"/>
  <c r="BB84" i="17"/>
  <c r="BA84" i="17"/>
  <c r="BH84" i="17"/>
  <c r="AZ84" i="17"/>
  <c r="BG84" i="17"/>
  <c r="BF84" i="17"/>
  <c r="BE84" i="17"/>
  <c r="BD84" i="17"/>
  <c r="BR84" i="13"/>
  <c r="KN84" i="17"/>
  <c r="KF84" i="17"/>
  <c r="KK84" i="17"/>
  <c r="KJ84" i="17"/>
  <c r="KI84" i="17"/>
  <c r="KH84" i="17"/>
  <c r="KG84" i="17"/>
  <c r="KL84" i="17"/>
  <c r="KM84" i="17"/>
  <c r="LA84" i="17"/>
  <c r="KZ84" i="17"/>
  <c r="KY84" i="17"/>
  <c r="KV84" i="17"/>
  <c r="LD84" i="17"/>
  <c r="LC84" i="17"/>
  <c r="LB84" i="17"/>
  <c r="KW84" i="17"/>
  <c r="KX84" i="17"/>
  <c r="DA84" i="13"/>
  <c r="DD84" i="13"/>
  <c r="DC84" i="13"/>
  <c r="DB84" i="13"/>
  <c r="CZ84" i="13"/>
  <c r="CY84" i="13"/>
  <c r="HY84" i="13"/>
  <c r="HV84" i="13"/>
  <c r="HU84" i="13"/>
  <c r="IA84" i="13"/>
  <c r="HZ84" i="13"/>
  <c r="HX84" i="13"/>
  <c r="HW84" i="13"/>
  <c r="HT84" i="13"/>
  <c r="IB84" i="13"/>
  <c r="MY84" i="13"/>
  <c r="MX84" i="13"/>
  <c r="MR84" i="13"/>
  <c r="MZ84" i="13"/>
  <c r="MW84" i="13"/>
  <c r="MV84" i="13"/>
  <c r="MU84" i="13"/>
  <c r="MT84" i="13"/>
  <c r="MS84" i="13"/>
  <c r="JG84" i="15"/>
  <c r="JF84" i="15"/>
  <c r="JE84" i="15"/>
  <c r="JD84" i="15"/>
  <c r="JC84" i="15"/>
  <c r="JB84" i="15"/>
  <c r="JA84" i="15"/>
  <c r="IZ84" i="15"/>
  <c r="JH84" i="15"/>
  <c r="OD84" i="15"/>
  <c r="NZ84" i="15"/>
  <c r="NX84" i="15"/>
  <c r="OF84" i="15"/>
  <c r="OE84" i="15"/>
  <c r="OC84" i="15"/>
  <c r="OB84" i="15"/>
  <c r="OA84" i="15"/>
  <c r="NY84" i="15"/>
  <c r="FM84" i="16"/>
  <c r="FN84" i="16"/>
  <c r="KM84" i="16"/>
  <c r="KL84" i="16"/>
  <c r="KK84" i="16"/>
  <c r="KJ84" i="16"/>
  <c r="KI84" i="16"/>
  <c r="KH84" i="16"/>
  <c r="KN84" i="16"/>
  <c r="KG84" i="16"/>
  <c r="KF84" i="16"/>
  <c r="BW84" i="17"/>
  <c r="BV84" i="17"/>
  <c r="BU84" i="17"/>
  <c r="BT84" i="17"/>
  <c r="BX84" i="17"/>
  <c r="BS84" i="17"/>
  <c r="BR84" i="17"/>
  <c r="BQ84" i="17"/>
  <c r="BP84" i="17"/>
  <c r="LM84" i="17"/>
  <c r="LO84" i="17"/>
  <c r="LN84" i="17"/>
  <c r="LL84" i="17"/>
  <c r="LT84" i="17"/>
  <c r="LS84" i="17"/>
  <c r="LR84" i="17"/>
  <c r="LQ84" i="17"/>
  <c r="LP84" i="17"/>
  <c r="BT67" i="24"/>
  <c r="EG84" i="13"/>
  <c r="JA84" i="13"/>
  <c r="KH84" i="13"/>
  <c r="EH84" i="13"/>
  <c r="JB84" i="13"/>
  <c r="OE84" i="13"/>
  <c r="EB84" i="13"/>
  <c r="EW84" i="13"/>
  <c r="JG84" i="13"/>
  <c r="JF84" i="13"/>
  <c r="JE84" i="13"/>
  <c r="JD84" i="13"/>
  <c r="JC84" i="13"/>
  <c r="KG84" i="15"/>
  <c r="KN84" i="15"/>
  <c r="KF84" i="15"/>
  <c r="KK84" i="15"/>
  <c r="KJ84" i="15"/>
  <c r="KI84" i="15"/>
  <c r="KH84" i="15"/>
  <c r="KM84" i="15"/>
  <c r="MU84" i="17"/>
  <c r="MS84" i="17"/>
  <c r="MY84" i="17"/>
  <c r="MR84" i="17"/>
  <c r="MZ84" i="17"/>
  <c r="MW84" i="17"/>
  <c r="MX84" i="17"/>
  <c r="MV84" i="17"/>
  <c r="MT84" i="17"/>
  <c r="EC84" i="13"/>
  <c r="LM84" i="16"/>
  <c r="LT84" i="16"/>
  <c r="LL84" i="16"/>
  <c r="LS84" i="16"/>
  <c r="LR84" i="16"/>
  <c r="LQ84" i="16"/>
  <c r="LP84" i="16"/>
  <c r="LO84" i="16"/>
  <c r="LN84" i="16"/>
  <c r="HX84" i="17"/>
  <c r="HW84" i="17"/>
  <c r="IA84" i="17"/>
  <c r="HZ84" i="17"/>
  <c r="HY84" i="17"/>
  <c r="HV84" i="17"/>
  <c r="HU84" i="17"/>
  <c r="IB84" i="17"/>
  <c r="HT84" i="17"/>
  <c r="AD104" i="24"/>
  <c r="EV84" i="13"/>
  <c r="ES84" i="13"/>
  <c r="EZ84" i="13"/>
  <c r="ER84" i="13"/>
  <c r="JT84" i="13"/>
  <c r="JS84" i="13"/>
  <c r="JR84" i="13"/>
  <c r="JQ84" i="13"/>
  <c r="JX84" i="13"/>
  <c r="JP84" i="13"/>
  <c r="BF84" i="15"/>
  <c r="BE84" i="15"/>
  <c r="BH84" i="15"/>
  <c r="BD84" i="15"/>
  <c r="BC84" i="15"/>
  <c r="BB84" i="15"/>
  <c r="BA84" i="15"/>
  <c r="AZ84" i="15"/>
  <c r="GD84" i="15"/>
  <c r="FZ84" i="15"/>
  <c r="FY84" i="15"/>
  <c r="FX84" i="15"/>
  <c r="GF84" i="15"/>
  <c r="GE84" i="15"/>
  <c r="GB84" i="15"/>
  <c r="GA84" i="15"/>
  <c r="GC84" i="15"/>
  <c r="LD84" i="15"/>
  <c r="KV84" i="15"/>
  <c r="KY84" i="15"/>
  <c r="KX84" i="15"/>
  <c r="KW84" i="15"/>
  <c r="LC84" i="15"/>
  <c r="LB84" i="15"/>
  <c r="KZ84" i="15"/>
  <c r="LA84" i="15"/>
  <c r="CM84" i="16"/>
  <c r="CL84" i="16"/>
  <c r="CK84" i="16"/>
  <c r="CJ84" i="16"/>
  <c r="CI84" i="16"/>
  <c r="CG84" i="16"/>
  <c r="CF84" i="16"/>
  <c r="CN84" i="16"/>
  <c r="CH84" i="16"/>
  <c r="HL84" i="16"/>
  <c r="HD84" i="16"/>
  <c r="HK84" i="16"/>
  <c r="HJ84" i="16"/>
  <c r="HI84" i="16"/>
  <c r="HH84" i="16"/>
  <c r="HG84" i="16"/>
  <c r="HF84" i="16"/>
  <c r="HE84" i="16"/>
  <c r="MH84" i="16"/>
  <c r="MG84" i="16"/>
  <c r="MF84" i="16"/>
  <c r="ME84" i="16"/>
  <c r="MD84" i="16"/>
  <c r="MC84" i="16"/>
  <c r="MJ84" i="16"/>
  <c r="MB84" i="16"/>
  <c r="MI84" i="16"/>
  <c r="DS84" i="17"/>
  <c r="DL84" i="17"/>
  <c r="DT84" i="17"/>
  <c r="DQ84" i="17"/>
  <c r="DP84" i="17"/>
  <c r="DO84" i="17"/>
  <c r="DN84" i="17"/>
  <c r="DM84" i="17"/>
  <c r="DR84" i="17"/>
  <c r="IK84" i="17"/>
  <c r="IP84" i="17"/>
  <c r="IM84" i="17"/>
  <c r="IR84" i="17"/>
  <c r="IQ84" i="17"/>
  <c r="IO84" i="17"/>
  <c r="IN84" i="17"/>
  <c r="IL84" i="17"/>
  <c r="IJ84" i="17"/>
  <c r="NP84" i="17"/>
  <c r="NH84" i="17"/>
  <c r="NN84" i="17"/>
  <c r="NL84" i="17"/>
  <c r="NO84" i="17"/>
  <c r="NM84" i="17"/>
  <c r="NK84" i="17"/>
  <c r="NJ84" i="17"/>
  <c r="NI84" i="17"/>
  <c r="ED84" i="13"/>
  <c r="EY84" i="13"/>
  <c r="NY84" i="13"/>
  <c r="OA84" i="13"/>
  <c r="OC84" i="13"/>
  <c r="OD84" i="13"/>
  <c r="OB84" i="13"/>
  <c r="NZ84" i="13"/>
  <c r="NX84" i="13"/>
  <c r="GP84" i="16"/>
  <c r="GO84" i="16"/>
  <c r="GV84" i="16"/>
  <c r="GN84" i="16"/>
  <c r="GU84" i="16"/>
  <c r="GQ84" i="16"/>
  <c r="GS84" i="16"/>
  <c r="GR84" i="16"/>
  <c r="GT84" i="16"/>
  <c r="CW84" i="17"/>
  <c r="DD84" i="17"/>
  <c r="CV84" i="17"/>
  <c r="DC84" i="17"/>
  <c r="DB84" i="17"/>
  <c r="CZ84" i="17"/>
  <c r="DA84" i="17"/>
  <c r="CY84" i="17"/>
  <c r="CX84" i="17"/>
  <c r="FI84" i="13"/>
  <c r="FN84" i="13"/>
  <c r="FM84" i="13"/>
  <c r="KG84" i="13"/>
  <c r="KN84" i="13"/>
  <c r="KF84" i="13"/>
  <c r="KM84" i="13"/>
  <c r="KL84" i="13"/>
  <c r="KK84" i="13"/>
  <c r="BS84" i="15"/>
  <c r="BX84" i="15"/>
  <c r="BQ84" i="15"/>
  <c r="BU84" i="15"/>
  <c r="BT84" i="15"/>
  <c r="BR84" i="15"/>
  <c r="BP84" i="15"/>
  <c r="GQ84" i="15"/>
  <c r="GO84" i="15"/>
  <c r="LQ84" i="15"/>
  <c r="LO84" i="15"/>
  <c r="LM84" i="15"/>
  <c r="LL84" i="15"/>
  <c r="LT84" i="15"/>
  <c r="LS84" i="15"/>
  <c r="LR84" i="15"/>
  <c r="LP84" i="15"/>
  <c r="LN84" i="15"/>
  <c r="DA84" i="16"/>
  <c r="CZ84" i="16"/>
  <c r="CY84" i="16"/>
  <c r="CX84" i="16"/>
  <c r="CW84" i="16"/>
  <c r="DD84" i="16"/>
  <c r="DC84" i="16"/>
  <c r="DB84" i="16"/>
  <c r="CV84" i="16"/>
  <c r="IA84" i="16"/>
  <c r="HZ84" i="16"/>
  <c r="HY84" i="16"/>
  <c r="HX84" i="16"/>
  <c r="HW84" i="16"/>
  <c r="HV84" i="16"/>
  <c r="IB84" i="16"/>
  <c r="HU84" i="16"/>
  <c r="HT84" i="16"/>
  <c r="MT84" i="16"/>
  <c r="MS84" i="16"/>
  <c r="MY84" i="16"/>
  <c r="MR84" i="16"/>
  <c r="MZ84" i="16"/>
  <c r="MX84" i="16"/>
  <c r="MW84" i="16"/>
  <c r="MV84" i="16"/>
  <c r="MU84" i="16"/>
  <c r="EF84" i="17"/>
  <c r="EG84" i="17"/>
  <c r="EE84" i="17"/>
  <c r="ED84" i="17"/>
  <c r="EC84" i="17"/>
  <c r="EJ84" i="17"/>
  <c r="EI84" i="17"/>
  <c r="EH84" i="17"/>
  <c r="EB84" i="17"/>
  <c r="JF84" i="17"/>
  <c r="IZ84" i="17"/>
  <c r="JH84" i="17"/>
  <c r="JG84" i="17"/>
  <c r="JE84" i="17"/>
  <c r="JA84" i="17"/>
  <c r="JD84" i="17"/>
  <c r="JC84" i="17"/>
  <c r="JB84" i="17"/>
  <c r="OC84" i="17"/>
  <c r="OA84" i="17"/>
  <c r="NY84" i="17"/>
  <c r="OB84" i="17"/>
  <c r="NZ84" i="17"/>
  <c r="NX84" i="17"/>
  <c r="OF84" i="17"/>
  <c r="OE84" i="17"/>
  <c r="OD84" i="17"/>
  <c r="EE84" i="13"/>
  <c r="FH84" i="13"/>
  <c r="BW84" i="15"/>
  <c r="KL84" i="15"/>
  <c r="EF84" i="13"/>
  <c r="FJ84" i="13"/>
  <c r="IZ84" i="13"/>
  <c r="BT64" i="15"/>
  <c r="BA64" i="15"/>
  <c r="JX64" i="15"/>
  <c r="JP64" i="15"/>
  <c r="JW64" i="15"/>
  <c r="JV64" i="15"/>
  <c r="JU64" i="15"/>
  <c r="JT64" i="15"/>
  <c r="JS64" i="15"/>
  <c r="BB64" i="15"/>
  <c r="BS64" i="15"/>
  <c r="BR64" i="15"/>
  <c r="BX64" i="15"/>
  <c r="BP64" i="15"/>
  <c r="BW64" i="15"/>
  <c r="BV64" i="15"/>
  <c r="BG64" i="15"/>
  <c r="BF64" i="15"/>
  <c r="BD64" i="15"/>
  <c r="BC64" i="15"/>
  <c r="BH64" i="15"/>
  <c r="JS64" i="17"/>
  <c r="JR64" i="17"/>
  <c r="JQ64" i="17"/>
  <c r="JX64" i="17"/>
  <c r="JP64" i="17"/>
  <c r="JW64" i="17"/>
  <c r="JV64" i="17"/>
  <c r="JU64" i="17"/>
  <c r="JT64" i="17"/>
  <c r="JW64" i="13"/>
  <c r="JV64" i="13"/>
  <c r="JT64" i="13"/>
  <c r="JS64" i="13"/>
  <c r="JQ64" i="13"/>
  <c r="BP64" i="13"/>
  <c r="JR64" i="13"/>
  <c r="JQ64" i="15"/>
  <c r="BQ64" i="13"/>
  <c r="JU64" i="13"/>
  <c r="JR64" i="15"/>
  <c r="JS64" i="16"/>
  <c r="JR64" i="16"/>
  <c r="JQ64" i="16"/>
  <c r="JX64" i="16"/>
  <c r="JP64" i="16"/>
  <c r="JW64" i="16"/>
  <c r="JV64" i="16"/>
  <c r="JU64" i="16"/>
  <c r="JT64" i="16"/>
  <c r="JX64" i="13"/>
  <c r="AZ64" i="15"/>
  <c r="BQ64" i="15"/>
  <c r="FO84" i="16"/>
  <c r="FH84" i="16"/>
  <c r="FP84" i="16"/>
  <c r="FI84" i="16"/>
  <c r="FJ84" i="16"/>
  <c r="FK84" i="16"/>
  <c r="FL84" i="16"/>
  <c r="BW64" i="16"/>
  <c r="BV84" i="16"/>
  <c r="BP64" i="16"/>
  <c r="BX64" i="16"/>
  <c r="BW84" i="16"/>
  <c r="BQ64" i="16"/>
  <c r="BP84" i="16"/>
  <c r="BX84" i="16"/>
  <c r="BR64" i="16"/>
  <c r="BQ84" i="16"/>
  <c r="BS64" i="16"/>
  <c r="BR84" i="16"/>
  <c r="BT64" i="16"/>
  <c r="BS84" i="16"/>
  <c r="BU64" i="16"/>
  <c r="BT84" i="16"/>
  <c r="CI84" i="15"/>
  <c r="CJ84" i="15"/>
  <c r="CK84" i="15"/>
  <c r="CL84" i="15"/>
  <c r="CM84" i="15"/>
  <c r="CF84" i="15"/>
  <c r="CN84" i="15"/>
  <c r="CG84" i="15"/>
  <c r="CV84" i="15"/>
  <c r="DD84" i="15"/>
  <c r="CW84" i="15"/>
  <c r="CX84" i="15"/>
  <c r="CY84" i="15"/>
  <c r="CZ84" i="15"/>
  <c r="DO84" i="15"/>
  <c r="DP84" i="15"/>
  <c r="DQ84" i="15"/>
  <c r="DR84" i="15"/>
  <c r="DS84" i="15"/>
  <c r="DL84" i="15"/>
  <c r="ED84" i="15"/>
  <c r="EE84" i="15"/>
  <c r="EF84" i="15"/>
  <c r="EG84" i="15"/>
  <c r="EH84" i="15"/>
  <c r="EI84" i="15"/>
  <c r="EB84" i="15"/>
  <c r="EJ84" i="15"/>
  <c r="EY84" i="15"/>
  <c r="ER84" i="15"/>
  <c r="EZ84" i="15"/>
  <c r="ES84" i="15"/>
  <c r="ET84" i="15"/>
  <c r="EU84" i="15"/>
  <c r="EV84" i="15"/>
  <c r="EW84" i="15"/>
  <c r="FL84" i="15"/>
  <c r="FM84" i="15"/>
  <c r="FN84" i="15"/>
  <c r="FO84" i="15"/>
  <c r="FH84" i="15"/>
  <c r="FP84" i="15"/>
  <c r="FI84" i="15"/>
  <c r="FJ84" i="15"/>
  <c r="GR84" i="15"/>
  <c r="GS84" i="15"/>
  <c r="GT84" i="15"/>
  <c r="GU84" i="15"/>
  <c r="GN84" i="15"/>
  <c r="GV84" i="15"/>
  <c r="GP84" i="15"/>
  <c r="IL84" i="15"/>
  <c r="IM84" i="15"/>
  <c r="IN84" i="15"/>
  <c r="IO84" i="15"/>
  <c r="IP84" i="15"/>
  <c r="IQ84" i="15"/>
  <c r="IJ84" i="15"/>
  <c r="IR84" i="15"/>
  <c r="HZ84" i="15"/>
  <c r="IA84" i="15"/>
  <c r="HT84" i="15"/>
  <c r="IB84" i="15"/>
  <c r="HU84" i="15"/>
  <c r="HV84" i="15"/>
  <c r="HW84" i="15"/>
  <c r="HX84" i="15"/>
  <c r="GT84" i="17"/>
  <c r="GU84" i="17"/>
  <c r="GN84" i="17"/>
  <c r="GO84" i="17"/>
  <c r="GP84" i="17"/>
  <c r="GR84" i="17"/>
  <c r="GV84" i="17"/>
  <c r="GQ84" i="17"/>
  <c r="GC84" i="17"/>
  <c r="GD84" i="17"/>
  <c r="GE84" i="17"/>
  <c r="FX84" i="17"/>
  <c r="GF84" i="17"/>
  <c r="BT104" i="25"/>
  <c r="FN84" i="17"/>
  <c r="FO84" i="17"/>
  <c r="FH84" i="17"/>
  <c r="FP84" i="17"/>
  <c r="FI84" i="17"/>
  <c r="FK84" i="17"/>
  <c r="FJ84" i="17"/>
  <c r="CH74" i="24"/>
  <c r="BT94" i="24"/>
  <c r="P66" i="24"/>
  <c r="AD103" i="24"/>
  <c r="BT104" i="24"/>
  <c r="CV94" i="25"/>
  <c r="DJ102" i="25"/>
  <c r="BV6" i="24"/>
  <c r="BV7" i="24" s="1"/>
  <c r="CW7" i="24"/>
  <c r="P68" i="24"/>
  <c r="CH73" i="24"/>
  <c r="BT65" i="25"/>
  <c r="CH104" i="25"/>
  <c r="CV65" i="25"/>
  <c r="DJ88" i="25"/>
  <c r="CZ7" i="24"/>
  <c r="CH103" i="25"/>
  <c r="CV66" i="24"/>
  <c r="AR66" i="25"/>
  <c r="BT84" i="25"/>
  <c r="CH88" i="25"/>
  <c r="CV96" i="25"/>
  <c r="DJ93" i="25"/>
  <c r="BT65" i="24"/>
  <c r="CM7" i="24"/>
  <c r="BT88" i="24"/>
  <c r="CV95" i="24"/>
  <c r="BI7" i="24"/>
  <c r="CN7" i="24"/>
  <c r="AD76" i="24"/>
  <c r="BT93" i="24"/>
  <c r="DJ65" i="24"/>
  <c r="AR69" i="25"/>
  <c r="BF65" i="25"/>
  <c r="BF73" i="25"/>
  <c r="BT103" i="25"/>
  <c r="DL6" i="24"/>
  <c r="AR96" i="24"/>
  <c r="AR65" i="24"/>
  <c r="AR104" i="24"/>
  <c r="AR102" i="24"/>
  <c r="AR85" i="24"/>
  <c r="AR68" i="24"/>
  <c r="CH88" i="24"/>
  <c r="CH68" i="24"/>
  <c r="CH103" i="24"/>
  <c r="CH84" i="24"/>
  <c r="CH102" i="24"/>
  <c r="CH76" i="24"/>
  <c r="CH104" i="24"/>
  <c r="CH96" i="24"/>
  <c r="CH85" i="24"/>
  <c r="CH75" i="24"/>
  <c r="CH65" i="24"/>
  <c r="CH86" i="24"/>
  <c r="CH67" i="24"/>
  <c r="CH93" i="24"/>
  <c r="CH95" i="24"/>
  <c r="CH69" i="24"/>
  <c r="CH94" i="24"/>
  <c r="CH66" i="24"/>
  <c r="P74" i="24"/>
  <c r="P86" i="24"/>
  <c r="P85" i="24"/>
  <c r="P84" i="24"/>
  <c r="P104" i="24"/>
  <c r="P73" i="24"/>
  <c r="AS7" i="24"/>
  <c r="AT6" i="24"/>
  <c r="P69" i="24"/>
  <c r="P95" i="24"/>
  <c r="BF103" i="24"/>
  <c r="BF68" i="24"/>
  <c r="BF66" i="24"/>
  <c r="BF95" i="24"/>
  <c r="BF67" i="24"/>
  <c r="BF65" i="24"/>
  <c r="BF104" i="24"/>
  <c r="P103" i="24"/>
  <c r="AR84" i="24"/>
  <c r="P67" i="24"/>
  <c r="AR66" i="24"/>
  <c r="AR67" i="24"/>
  <c r="AR103" i="24"/>
  <c r="BH7" i="24"/>
  <c r="AD69" i="24"/>
  <c r="CV103" i="24"/>
  <c r="CV96" i="24"/>
  <c r="CV75" i="24"/>
  <c r="CV65" i="24"/>
  <c r="CV88" i="24"/>
  <c r="CV86" i="24"/>
  <c r="CV69" i="24"/>
  <c r="CV104" i="24"/>
  <c r="CV85" i="24"/>
  <c r="CV64" i="24"/>
  <c r="CV68" i="24"/>
  <c r="CV102" i="24"/>
  <c r="CV93" i="24"/>
  <c r="CV76" i="24"/>
  <c r="BJ7" i="24"/>
  <c r="CJ7" i="24"/>
  <c r="AD75" i="24"/>
  <c r="CV67" i="24"/>
  <c r="BT96" i="24"/>
  <c r="BT95" i="24"/>
  <c r="BT86" i="24"/>
  <c r="BT85" i="24"/>
  <c r="BT84" i="24"/>
  <c r="BT76" i="24"/>
  <c r="BT68" i="24"/>
  <c r="BT103" i="24"/>
  <c r="BT74" i="24"/>
  <c r="BT66" i="24"/>
  <c r="BK7" i="24"/>
  <c r="CK7" i="24"/>
  <c r="CX7" i="24"/>
  <c r="AD94" i="24"/>
  <c r="BT69" i="24"/>
  <c r="CV74" i="24"/>
  <c r="DJ94" i="24"/>
  <c r="DJ74" i="24"/>
  <c r="DJ66" i="24"/>
  <c r="DJ88" i="24"/>
  <c r="DJ73" i="24"/>
  <c r="DJ104" i="24"/>
  <c r="DJ96" i="24"/>
  <c r="DJ86" i="24"/>
  <c r="DJ76" i="24"/>
  <c r="DJ64" i="24"/>
  <c r="DJ103" i="24"/>
  <c r="DJ68" i="24"/>
  <c r="DJ69" i="24"/>
  <c r="DJ84" i="24"/>
  <c r="DJ75" i="24"/>
  <c r="BL7" i="24"/>
  <c r="CL7" i="24"/>
  <c r="CY7" i="24"/>
  <c r="BT73" i="24"/>
  <c r="BT75" i="24"/>
  <c r="BT102" i="24"/>
  <c r="CV84" i="24"/>
  <c r="DJ67" i="24"/>
  <c r="DJ85" i="24"/>
  <c r="DJ95" i="24"/>
  <c r="AD104" i="25"/>
  <c r="AD76" i="25"/>
  <c r="AD88" i="25"/>
  <c r="AD69" i="25"/>
  <c r="AD65" i="25"/>
  <c r="AD96" i="25"/>
  <c r="AD84" i="25"/>
  <c r="AD66" i="24"/>
  <c r="AD102" i="25"/>
  <c r="AR65" i="25"/>
  <c r="BF69" i="25"/>
  <c r="BT73" i="25"/>
  <c r="BT94" i="25"/>
  <c r="CH73" i="25"/>
  <c r="CH94" i="25"/>
  <c r="CV74" i="25"/>
  <c r="DJ65" i="25"/>
  <c r="DJ73" i="25"/>
  <c r="DJ96" i="25"/>
  <c r="AR76" i="25"/>
  <c r="BF88" i="25"/>
  <c r="BT66" i="25"/>
  <c r="BT85" i="25"/>
  <c r="CH66" i="25"/>
  <c r="CH85" i="25"/>
  <c r="AD73" i="25"/>
  <c r="BT74" i="25"/>
  <c r="CH74" i="25"/>
  <c r="CV104" i="25"/>
  <c r="CV67" i="25"/>
  <c r="CV103" i="25"/>
  <c r="BT67" i="25"/>
  <c r="BT96" i="25"/>
  <c r="CH67" i="25"/>
  <c r="CH96" i="25"/>
  <c r="CV76" i="25"/>
  <c r="AD66" i="25"/>
  <c r="AR88" i="25"/>
  <c r="BF66" i="25"/>
  <c r="BF76" i="25"/>
  <c r="BT76" i="25"/>
  <c r="BT102" i="25"/>
  <c r="CH76" i="25"/>
  <c r="CH102" i="25"/>
  <c r="CV69" i="25"/>
  <c r="BF96" i="25"/>
  <c r="BT69" i="25"/>
  <c r="BT93" i="25"/>
  <c r="CH69" i="25"/>
  <c r="CH93" i="25"/>
  <c r="CV85" i="25"/>
  <c r="DJ69" i="25"/>
  <c r="DJ84" i="25"/>
  <c r="BF104" i="25"/>
  <c r="AR104" i="25"/>
  <c r="DJ67" i="25"/>
  <c r="DJ74" i="25"/>
  <c r="DJ85" i="25"/>
  <c r="DJ94" i="25"/>
  <c r="DJ103" i="25"/>
  <c r="DK5" i="25"/>
  <c r="DJ64" i="25"/>
  <c r="DJ68" i="25"/>
  <c r="DJ75" i="25"/>
  <c r="DJ86" i="25"/>
  <c r="DJ95" i="25"/>
  <c r="CV66" i="25"/>
  <c r="CV73" i="25"/>
  <c r="CV84" i="25"/>
  <c r="CV93" i="25"/>
  <c r="CV102" i="25"/>
  <c r="CW5" i="25"/>
  <c r="CV64" i="25"/>
  <c r="CV68" i="25"/>
  <c r="CV75" i="25"/>
  <c r="CV86" i="25"/>
  <c r="CV95" i="25"/>
  <c r="CI5" i="25"/>
  <c r="CH64" i="25"/>
  <c r="CH68" i="25"/>
  <c r="CH75" i="25"/>
  <c r="CH86" i="25"/>
  <c r="CH95" i="25"/>
  <c r="BU5" i="25"/>
  <c r="BT64" i="25"/>
  <c r="BT68" i="25"/>
  <c r="BT75" i="25"/>
  <c r="BT86" i="25"/>
  <c r="BT95" i="25"/>
  <c r="BF84" i="25"/>
  <c r="BF93" i="25"/>
  <c r="BF102" i="25"/>
  <c r="BF67" i="25"/>
  <c r="BF74" i="25"/>
  <c r="BF85" i="25"/>
  <c r="BF94" i="25"/>
  <c r="BF103" i="25"/>
  <c r="BG5" i="25"/>
  <c r="BF64" i="25"/>
  <c r="BF68" i="25"/>
  <c r="BF75" i="25"/>
  <c r="BF86" i="25"/>
  <c r="BF95" i="25"/>
  <c r="AR73" i="25"/>
  <c r="AR84" i="25"/>
  <c r="AR93" i="25"/>
  <c r="AR102" i="25"/>
  <c r="AR67" i="25"/>
  <c r="AR74" i="25"/>
  <c r="AR85" i="25"/>
  <c r="AR94" i="25"/>
  <c r="AR103" i="25"/>
  <c r="AS5" i="25"/>
  <c r="AR64" i="25"/>
  <c r="AR68" i="25"/>
  <c r="AR75" i="25"/>
  <c r="AR86" i="25"/>
  <c r="AR95" i="25"/>
  <c r="AD67" i="25"/>
  <c r="AD74" i="25"/>
  <c r="AD85" i="25"/>
  <c r="AD94" i="25"/>
  <c r="AD103" i="25"/>
  <c r="AE5" i="25"/>
  <c r="AD64" i="25"/>
  <c r="AD68" i="25"/>
  <c r="AD75" i="25"/>
  <c r="AD86" i="25"/>
  <c r="AD95" i="25"/>
  <c r="Q5" i="25"/>
  <c r="R5" i="25" s="1"/>
  <c r="S5" i="25" s="1"/>
  <c r="T5" i="25" s="1"/>
  <c r="U5" i="25" s="1"/>
  <c r="V5" i="25" s="1"/>
  <c r="W5" i="25" s="1"/>
  <c r="X5" i="25" s="1"/>
  <c r="P64" i="25"/>
  <c r="P67" i="25"/>
  <c r="P88" i="25"/>
  <c r="P69" i="25"/>
  <c r="P73" i="25"/>
  <c r="P84" i="25"/>
  <c r="P103" i="25"/>
  <c r="P102" i="25"/>
  <c r="P94" i="25"/>
  <c r="P93" i="25"/>
  <c r="P104" i="25"/>
  <c r="P86" i="25"/>
  <c r="P96" i="25"/>
  <c r="P66" i="25"/>
  <c r="P95" i="25"/>
  <c r="P75" i="25"/>
  <c r="P65" i="25"/>
  <c r="P85" i="25"/>
  <c r="P76" i="25"/>
  <c r="P74" i="25"/>
  <c r="P68" i="25"/>
  <c r="P88" i="24"/>
  <c r="DJ93" i="24"/>
  <c r="CI88" i="24"/>
  <c r="BF74" i="24"/>
  <c r="BF94" i="24"/>
  <c r="AR76" i="24"/>
  <c r="BF93" i="24"/>
  <c r="BF69" i="24"/>
  <c r="BF73" i="24"/>
  <c r="AR69" i="24"/>
  <c r="AR88" i="24"/>
  <c r="AR73" i="24"/>
  <c r="AR93" i="24"/>
  <c r="AR74" i="24"/>
  <c r="AR94" i="24"/>
  <c r="AR75" i="24"/>
  <c r="AR95" i="24"/>
  <c r="AD102" i="24"/>
  <c r="AD93" i="24"/>
  <c r="AD88" i="24"/>
  <c r="AD67" i="24"/>
  <c r="AD95" i="24"/>
  <c r="AD84" i="24"/>
  <c r="AD85" i="24"/>
  <c r="AE84" i="24"/>
  <c r="AE102" i="24"/>
  <c r="AD68" i="24"/>
  <c r="AD86" i="24"/>
  <c r="P93" i="24"/>
  <c r="P94" i="24"/>
  <c r="P75" i="24"/>
  <c r="P65" i="24"/>
  <c r="P76" i="24"/>
  <c r="P96" i="24"/>
  <c r="BF96" i="24"/>
  <c r="BF88" i="24"/>
  <c r="BF86" i="24"/>
  <c r="BF85" i="24"/>
  <c r="BF84" i="24"/>
  <c r="BF76" i="24"/>
  <c r="BF75" i="24"/>
  <c r="AG6" i="24"/>
  <c r="AF7" i="24"/>
  <c r="AE7" i="24"/>
  <c r="P64" i="24"/>
  <c r="Q5" i="24"/>
  <c r="Q7" i="24"/>
  <c r="DK5" i="24"/>
  <c r="DK96" i="24" s="1"/>
  <c r="CW5" i="24"/>
  <c r="CW69" i="24" s="1"/>
  <c r="CI5" i="24"/>
  <c r="BU5" i="24"/>
  <c r="BG5" i="24"/>
  <c r="AS5" i="24"/>
  <c r="AE5" i="24"/>
  <c r="AE86" i="24" s="1"/>
  <c r="R6" i="24"/>
  <c r="B104" i="12"/>
  <c r="B103" i="12"/>
  <c r="B102" i="12"/>
  <c r="B93" i="12"/>
  <c r="B88" i="12"/>
  <c r="B74" i="12"/>
  <c r="B73" i="12"/>
  <c r="AR8" i="9"/>
  <c r="AR5" i="9" s="1"/>
  <c r="BT8" i="9"/>
  <c r="BF8" i="9"/>
  <c r="BF5" i="9" s="1"/>
  <c r="AD8" i="9"/>
  <c r="AD5" i="9" s="1"/>
  <c r="AD88" i="9" s="1"/>
  <c r="DJ9" i="9"/>
  <c r="DK8" i="9"/>
  <c r="DL8" i="9" s="1"/>
  <c r="DM8" i="9" s="1"/>
  <c r="DN8" i="9" s="1"/>
  <c r="DO8" i="9" s="1"/>
  <c r="DP8" i="9" s="1"/>
  <c r="DQ8" i="9" s="1"/>
  <c r="DR8" i="9" s="1"/>
  <c r="DK7" i="9"/>
  <c r="DL7" i="9" s="1"/>
  <c r="DM7" i="9" s="1"/>
  <c r="DN7" i="9" s="1"/>
  <c r="DO7" i="9" s="1"/>
  <c r="DP7" i="9" s="1"/>
  <c r="DQ7" i="9" s="1"/>
  <c r="DR7" i="9" s="1"/>
  <c r="DJ5" i="9"/>
  <c r="CV9" i="9"/>
  <c r="CW8" i="9"/>
  <c r="CX8" i="9" s="1"/>
  <c r="CY8" i="9" s="1"/>
  <c r="CZ8" i="9" s="1"/>
  <c r="DA8" i="9" s="1"/>
  <c r="DB8" i="9" s="1"/>
  <c r="DC8" i="9" s="1"/>
  <c r="DD8" i="9" s="1"/>
  <c r="CW7" i="9"/>
  <c r="CX7" i="9" s="1"/>
  <c r="CY7" i="9" s="1"/>
  <c r="CZ7" i="9" s="1"/>
  <c r="DA7" i="9" s="1"/>
  <c r="DB7" i="9" s="1"/>
  <c r="DC7" i="9" s="1"/>
  <c r="DD7" i="9" s="1"/>
  <c r="CV5" i="9"/>
  <c r="CV95" i="9" s="1"/>
  <c r="CH9" i="9"/>
  <c r="CI8" i="9"/>
  <c r="CJ8" i="9" s="1"/>
  <c r="CK8" i="9" s="1"/>
  <c r="CL8" i="9" s="1"/>
  <c r="CM8" i="9" s="1"/>
  <c r="CN8" i="9" s="1"/>
  <c r="CO8" i="9" s="1"/>
  <c r="CP8" i="9" s="1"/>
  <c r="CI7" i="9"/>
  <c r="CJ7" i="9" s="1"/>
  <c r="CK7" i="9" s="1"/>
  <c r="CL7" i="9" s="1"/>
  <c r="CM7" i="9" s="1"/>
  <c r="CN7" i="9" s="1"/>
  <c r="CO7" i="9" s="1"/>
  <c r="CP7" i="9" s="1"/>
  <c r="CH5" i="9"/>
  <c r="BT9" i="9"/>
  <c r="BU7" i="9"/>
  <c r="BV7" i="9" s="1"/>
  <c r="BW7" i="9" s="1"/>
  <c r="BX7" i="9" s="1"/>
  <c r="BY7" i="9" s="1"/>
  <c r="BZ7" i="9" s="1"/>
  <c r="CA7" i="9" s="1"/>
  <c r="CB7" i="9" s="1"/>
  <c r="BT5" i="9"/>
  <c r="BF9" i="9"/>
  <c r="BG7" i="9"/>
  <c r="BH7" i="9" s="1"/>
  <c r="BI7" i="9" s="1"/>
  <c r="BJ7" i="9" s="1"/>
  <c r="BK7" i="9" s="1"/>
  <c r="BL7" i="9" s="1"/>
  <c r="BM7" i="9" s="1"/>
  <c r="BN7" i="9" s="1"/>
  <c r="AR9" i="9"/>
  <c r="AS7" i="9"/>
  <c r="AT7" i="9" s="1"/>
  <c r="AU7" i="9" s="1"/>
  <c r="AV7" i="9" s="1"/>
  <c r="AW7" i="9" s="1"/>
  <c r="AX7" i="9" s="1"/>
  <c r="AY7" i="9" s="1"/>
  <c r="AZ7" i="9" s="1"/>
  <c r="P9" i="9"/>
  <c r="Q7" i="9"/>
  <c r="R7" i="9" s="1"/>
  <c r="S7" i="9" s="1"/>
  <c r="T7" i="9" s="1"/>
  <c r="U7" i="9" s="1"/>
  <c r="V7" i="9" s="1"/>
  <c r="W7" i="9" s="1"/>
  <c r="X7" i="9" s="1"/>
  <c r="AE88" i="15"/>
  <c r="AC88" i="15"/>
  <c r="AA88" i="15"/>
  <c r="AE86" i="15"/>
  <c r="AC86" i="15"/>
  <c r="AA86" i="15"/>
  <c r="AE85" i="15"/>
  <c r="AC85" i="15"/>
  <c r="AA85" i="15"/>
  <c r="AE76" i="15"/>
  <c r="AC76" i="15"/>
  <c r="AA76" i="15"/>
  <c r="AE75" i="15"/>
  <c r="AC75" i="15"/>
  <c r="AA75" i="15"/>
  <c r="AE74" i="15"/>
  <c r="AC74" i="15"/>
  <c r="AA74" i="15"/>
  <c r="AE73" i="15"/>
  <c r="AC73" i="15"/>
  <c r="AA73" i="15"/>
  <c r="AE96" i="16"/>
  <c r="AC96" i="16"/>
  <c r="AA96" i="16"/>
  <c r="AE95" i="16"/>
  <c r="AC95" i="16"/>
  <c r="AA95" i="16"/>
  <c r="AE94" i="16"/>
  <c r="AC94" i="16"/>
  <c r="AA94" i="16"/>
  <c r="AE93" i="16"/>
  <c r="AC93" i="16"/>
  <c r="AA93" i="16"/>
  <c r="AW104" i="17"/>
  <c r="AU104" i="17"/>
  <c r="AS104" i="17"/>
  <c r="AW103" i="17"/>
  <c r="AU103" i="17"/>
  <c r="AS103" i="17"/>
  <c r="AW102" i="17"/>
  <c r="AU102" i="17"/>
  <c r="AS102" i="17"/>
  <c r="AH6" i="17"/>
  <c r="P6" i="17"/>
  <c r="AI5" i="17"/>
  <c r="Q5" i="17"/>
  <c r="AI84" i="17" a="1"/>
  <c r="AI84" i="17" s="1"/>
  <c r="Q6" i="17"/>
  <c r="AH6" i="16"/>
  <c r="P6" i="16"/>
  <c r="AI5" i="16"/>
  <c r="Q5" i="16"/>
  <c r="AI84" i="16" a="1"/>
  <c r="AI84" i="16" s="1"/>
  <c r="Q6" i="16"/>
  <c r="AH6" i="15"/>
  <c r="P6" i="15"/>
  <c r="AI5" i="15"/>
  <c r="Q5" i="15"/>
  <c r="Q6" i="15"/>
  <c r="EC7" i="15"/>
  <c r="EC8" i="15" s="1"/>
  <c r="J114" i="17"/>
  <c r="OI104" i="17"/>
  <c r="NS104" i="17"/>
  <c r="NC104" i="17"/>
  <c r="MM104" i="17"/>
  <c r="LW104" i="17"/>
  <c r="LG104" i="17"/>
  <c r="KQ104" i="17"/>
  <c r="KA104" i="17"/>
  <c r="JK104" i="17"/>
  <c r="IU104" i="17"/>
  <c r="IE104" i="17"/>
  <c r="HO104" i="17"/>
  <c r="GY104" i="17"/>
  <c r="GI104" i="17"/>
  <c r="FS104" i="17"/>
  <c r="FC104" i="17"/>
  <c r="EM104" i="17"/>
  <c r="DW104" i="17"/>
  <c r="DG104" i="17"/>
  <c r="CQ104" i="17"/>
  <c r="CA104" i="17"/>
  <c r="BK104" i="17"/>
  <c r="AH104" i="17" a="1"/>
  <c r="AH104" i="17" s="1"/>
  <c r="AI104" i="17" s="1" a="1"/>
  <c r="AI104" i="17" s="1"/>
  <c r="AE104" i="17"/>
  <c r="AC104" i="17"/>
  <c r="AA104" i="17"/>
  <c r="P104" i="17" a="1"/>
  <c r="P104" i="17" s="1"/>
  <c r="Q104" i="17" s="1" a="1"/>
  <c r="Q104" i="17" s="1"/>
  <c r="OI103" i="17"/>
  <c r="NS103" i="17"/>
  <c r="NC103" i="17"/>
  <c r="MM103" i="17"/>
  <c r="LW103" i="17"/>
  <c r="LG103" i="17"/>
  <c r="KQ103" i="17"/>
  <c r="KA103" i="17"/>
  <c r="JK103" i="17"/>
  <c r="IU103" i="17"/>
  <c r="IE103" i="17"/>
  <c r="HO103" i="17"/>
  <c r="GY103" i="17"/>
  <c r="GI103" i="17"/>
  <c r="FS103" i="17"/>
  <c r="FC103" i="17"/>
  <c r="EM103" i="17"/>
  <c r="DW103" i="17"/>
  <c r="DG103" i="17"/>
  <c r="CQ103" i="17"/>
  <c r="CA103" i="17"/>
  <c r="BK103" i="17"/>
  <c r="AH103" i="17" a="1"/>
  <c r="AH103" i="17" s="1"/>
  <c r="AI103" i="17" s="1" a="1"/>
  <c r="AI103" i="17" s="1"/>
  <c r="AE103" i="17"/>
  <c r="AC103" i="17"/>
  <c r="AA103" i="17"/>
  <c r="P103" i="17" a="1"/>
  <c r="P103" i="17" s="1"/>
  <c r="Q103" i="17" s="1" a="1"/>
  <c r="Q103" i="17" s="1"/>
  <c r="OI102" i="17"/>
  <c r="NS102" i="17"/>
  <c r="NC102" i="17"/>
  <c r="MM102" i="17"/>
  <c r="LW102" i="17"/>
  <c r="LG102" i="17"/>
  <c r="KQ102" i="17"/>
  <c r="KA102" i="17"/>
  <c r="JK102" i="17"/>
  <c r="IU102" i="17"/>
  <c r="IE102" i="17"/>
  <c r="HO102" i="17"/>
  <c r="GY102" i="17"/>
  <c r="GI102" i="17"/>
  <c r="FS102" i="17"/>
  <c r="FC102" i="17"/>
  <c r="EM102" i="17"/>
  <c r="DW102" i="17"/>
  <c r="DG102" i="17"/>
  <c r="CQ102" i="17"/>
  <c r="CA102" i="17"/>
  <c r="BK102" i="17"/>
  <c r="AH102" i="17" a="1"/>
  <c r="AH102" i="17" s="1"/>
  <c r="AI102" i="17" s="1" a="1"/>
  <c r="AI102" i="17" s="1"/>
  <c r="AE102" i="17"/>
  <c r="AC102" i="17"/>
  <c r="AA102" i="17"/>
  <c r="P102" i="17" a="1"/>
  <c r="P102" i="17" s="1"/>
  <c r="Q102" i="17" s="1" a="1"/>
  <c r="Q102" i="17" s="1"/>
  <c r="OI96" i="17"/>
  <c r="NS96" i="17"/>
  <c r="NC96" i="17"/>
  <c r="MM96" i="17"/>
  <c r="LW96" i="17"/>
  <c r="LG96" i="17"/>
  <c r="KQ96" i="17"/>
  <c r="KA96" i="17"/>
  <c r="JK96" i="17"/>
  <c r="IU96" i="17"/>
  <c r="IE96" i="17"/>
  <c r="HO96" i="17"/>
  <c r="GY96" i="17"/>
  <c r="GI96" i="17"/>
  <c r="FS96" i="17"/>
  <c r="FC96" i="17"/>
  <c r="EM96" i="17"/>
  <c r="DW96" i="17"/>
  <c r="DG96" i="17"/>
  <c r="CQ96" i="17"/>
  <c r="CA96" i="17"/>
  <c r="BK96" i="17"/>
  <c r="AW96" i="17"/>
  <c r="AU96" i="17"/>
  <c r="AS96" i="17"/>
  <c r="AH96" i="17" a="1"/>
  <c r="AH96" i="17" s="1"/>
  <c r="AI96" i="17" s="1" a="1"/>
  <c r="AI96" i="17" s="1"/>
  <c r="AE96" i="17"/>
  <c r="AC96" i="17"/>
  <c r="AA96" i="17"/>
  <c r="P96" i="17" a="1"/>
  <c r="P96" i="17" s="1"/>
  <c r="OI95" i="17"/>
  <c r="NS95" i="17"/>
  <c r="NC95" i="17"/>
  <c r="MM95" i="17"/>
  <c r="LW95" i="17"/>
  <c r="LG95" i="17"/>
  <c r="KQ95" i="17"/>
  <c r="KA95" i="17"/>
  <c r="JK95" i="17"/>
  <c r="IU95" i="17"/>
  <c r="IE95" i="17"/>
  <c r="HO95" i="17"/>
  <c r="GY95" i="17"/>
  <c r="GI95" i="17"/>
  <c r="FS95" i="17"/>
  <c r="FC95" i="17"/>
  <c r="EM95" i="17"/>
  <c r="DW95" i="17"/>
  <c r="DG95" i="17"/>
  <c r="CQ95" i="17"/>
  <c r="CA95" i="17"/>
  <c r="BK95" i="17"/>
  <c r="AW95" i="17"/>
  <c r="AU95" i="17"/>
  <c r="AS95" i="17"/>
  <c r="AH95" i="17" a="1"/>
  <c r="AH95" i="17" s="1"/>
  <c r="AI95" i="17" s="1" a="1"/>
  <c r="AI95" i="17" s="1"/>
  <c r="AE95" i="17"/>
  <c r="AC95" i="17"/>
  <c r="AA95" i="17"/>
  <c r="P95" i="17" a="1"/>
  <c r="P95" i="17" s="1"/>
  <c r="OI94" i="17"/>
  <c r="NS94" i="17"/>
  <c r="NC94" i="17"/>
  <c r="MM94" i="17"/>
  <c r="LW94" i="17"/>
  <c r="LG94" i="17"/>
  <c r="KQ94" i="17"/>
  <c r="KA94" i="17"/>
  <c r="JK94" i="17"/>
  <c r="IU94" i="17"/>
  <c r="IE94" i="17"/>
  <c r="HO94" i="17"/>
  <c r="GY94" i="17"/>
  <c r="GI94" i="17"/>
  <c r="FS94" i="17"/>
  <c r="FC94" i="17"/>
  <c r="EM94" i="17"/>
  <c r="DW94" i="17"/>
  <c r="DG94" i="17"/>
  <c r="CQ94" i="17"/>
  <c r="CA94" i="17"/>
  <c r="BK94" i="17"/>
  <c r="AW94" i="17"/>
  <c r="AU94" i="17"/>
  <c r="AS94" i="17"/>
  <c r="AH94" i="17" a="1"/>
  <c r="AH94" i="17" s="1"/>
  <c r="AI94" i="17" s="1" a="1"/>
  <c r="AI94" i="17" s="1"/>
  <c r="AE94" i="17"/>
  <c r="AC94" i="17"/>
  <c r="AA94" i="17"/>
  <c r="P94" i="17" a="1"/>
  <c r="P94" i="17" s="1"/>
  <c r="OI93" i="17"/>
  <c r="NS93" i="17"/>
  <c r="NC93" i="17"/>
  <c r="MM93" i="17"/>
  <c r="LW93" i="17"/>
  <c r="LG93" i="17"/>
  <c r="KQ93" i="17"/>
  <c r="KA93" i="17"/>
  <c r="JK93" i="17"/>
  <c r="IU93" i="17"/>
  <c r="IE93" i="17"/>
  <c r="HO93" i="17"/>
  <c r="GY93" i="17"/>
  <c r="GI93" i="17"/>
  <c r="FS93" i="17"/>
  <c r="FC93" i="17"/>
  <c r="EM93" i="17"/>
  <c r="DW93" i="17"/>
  <c r="DG93" i="17"/>
  <c r="CQ93" i="17"/>
  <c r="CA93" i="17"/>
  <c r="BK93" i="17"/>
  <c r="AW93" i="17"/>
  <c r="AU93" i="17"/>
  <c r="AS93" i="17"/>
  <c r="AH93" i="17" a="1"/>
  <c r="AH93" i="17" s="1"/>
  <c r="AI93" i="17" s="1" a="1"/>
  <c r="AI93" i="17" s="1"/>
  <c r="AE93" i="17"/>
  <c r="AC93" i="17"/>
  <c r="AA93" i="17"/>
  <c r="P93" i="17" a="1"/>
  <c r="P93" i="17" s="1"/>
  <c r="OI88" i="17"/>
  <c r="NS88" i="17"/>
  <c r="NC88" i="17"/>
  <c r="MM88" i="17"/>
  <c r="LW88" i="17"/>
  <c r="LG88" i="17"/>
  <c r="KQ88" i="17"/>
  <c r="KA88" i="17"/>
  <c r="JK88" i="17"/>
  <c r="IU88" i="17"/>
  <c r="IE88" i="17"/>
  <c r="HO88" i="17"/>
  <c r="GY88" i="17"/>
  <c r="GI88" i="17"/>
  <c r="FS88" i="17"/>
  <c r="FC88" i="17"/>
  <c r="EM88" i="17"/>
  <c r="DW88" i="17"/>
  <c r="DG88" i="17"/>
  <c r="CQ88" i="17"/>
  <c r="CA88" i="17"/>
  <c r="BK88" i="17"/>
  <c r="AW88" i="17"/>
  <c r="AU88" i="17"/>
  <c r="AS88" i="17"/>
  <c r="AH88" i="17" a="1"/>
  <c r="AH88" i="17" s="1"/>
  <c r="AI88" i="17" s="1" a="1"/>
  <c r="AI88" i="17" s="1"/>
  <c r="AE88" i="17"/>
  <c r="AC88" i="17"/>
  <c r="AA88" i="17"/>
  <c r="P88" i="17" a="1"/>
  <c r="P88" i="17" s="1"/>
  <c r="OI86" i="17"/>
  <c r="NS86" i="17"/>
  <c r="NC86" i="17"/>
  <c r="MM86" i="17"/>
  <c r="LW86" i="17"/>
  <c r="LG86" i="17"/>
  <c r="KQ86" i="17"/>
  <c r="KA86" i="17"/>
  <c r="JK86" i="17"/>
  <c r="IU86" i="17"/>
  <c r="IE86" i="17"/>
  <c r="HO86" i="17"/>
  <c r="GY86" i="17"/>
  <c r="GI86" i="17"/>
  <c r="FS86" i="17"/>
  <c r="FC86" i="17"/>
  <c r="EM86" i="17"/>
  <c r="DW86" i="17"/>
  <c r="DG86" i="17"/>
  <c r="CQ86" i="17"/>
  <c r="CA86" i="17"/>
  <c r="BK86" i="17"/>
  <c r="AW86" i="17"/>
  <c r="AU86" i="17"/>
  <c r="AS86" i="17"/>
  <c r="AH86" i="17" a="1"/>
  <c r="AH86" i="17" s="1"/>
  <c r="AI86" i="17" s="1" a="1"/>
  <c r="AI86" i="17" s="1"/>
  <c r="AE86" i="17"/>
  <c r="AC86" i="17"/>
  <c r="AA86" i="17"/>
  <c r="P86" i="17" a="1"/>
  <c r="P86" i="17" s="1"/>
  <c r="OI85" i="17"/>
  <c r="NS85" i="17"/>
  <c r="NC85" i="17"/>
  <c r="MM85" i="17"/>
  <c r="LW85" i="17"/>
  <c r="LG85" i="17"/>
  <c r="KQ85" i="17"/>
  <c r="KA85" i="17"/>
  <c r="JK85" i="17"/>
  <c r="IU85" i="17"/>
  <c r="IE85" i="17"/>
  <c r="HO85" i="17"/>
  <c r="GY85" i="17"/>
  <c r="GI85" i="17"/>
  <c r="FS85" i="17"/>
  <c r="FC85" i="17"/>
  <c r="EM85" i="17"/>
  <c r="DW85" i="17"/>
  <c r="DG85" i="17"/>
  <c r="CQ85" i="17"/>
  <c r="CA85" i="17"/>
  <c r="BK85" i="17"/>
  <c r="AW85" i="17"/>
  <c r="AU85" i="17"/>
  <c r="AS85" i="17"/>
  <c r="AH85" i="17" a="1"/>
  <c r="AH85" i="17" s="1"/>
  <c r="AI85" i="17" s="1" a="1"/>
  <c r="AI85" i="17" s="1"/>
  <c r="AE85" i="17"/>
  <c r="AC85" i="17"/>
  <c r="AA85" i="17"/>
  <c r="P85" i="17" a="1"/>
  <c r="P85" i="17" s="1"/>
  <c r="OI76" i="17"/>
  <c r="NS76" i="17"/>
  <c r="NC76" i="17"/>
  <c r="MM76" i="17"/>
  <c r="LW76" i="17"/>
  <c r="LG76" i="17"/>
  <c r="KQ76" i="17"/>
  <c r="KA76" i="17"/>
  <c r="JK76" i="17"/>
  <c r="IU76" i="17"/>
  <c r="IE76" i="17"/>
  <c r="HO76" i="17"/>
  <c r="GY76" i="17"/>
  <c r="GI76" i="17"/>
  <c r="FS76" i="17"/>
  <c r="FC76" i="17"/>
  <c r="EM76" i="17"/>
  <c r="DW76" i="17"/>
  <c r="DG76" i="17"/>
  <c r="CQ76" i="17"/>
  <c r="CA76" i="17"/>
  <c r="BK76" i="17"/>
  <c r="AW76" i="17"/>
  <c r="AU76" i="17"/>
  <c r="AS76" i="17"/>
  <c r="AH76" i="17" a="1"/>
  <c r="AH76" i="17" s="1"/>
  <c r="AI76" i="17" s="1" a="1"/>
  <c r="AI76" i="17" s="1"/>
  <c r="AE76" i="17"/>
  <c r="AC76" i="17"/>
  <c r="AA76" i="17"/>
  <c r="P76" i="17" a="1"/>
  <c r="P76" i="17" s="1"/>
  <c r="OI75" i="17"/>
  <c r="NS75" i="17"/>
  <c r="NC75" i="17"/>
  <c r="MM75" i="17"/>
  <c r="LW75" i="17"/>
  <c r="LG75" i="17"/>
  <c r="KQ75" i="17"/>
  <c r="KA75" i="17"/>
  <c r="JK75" i="17"/>
  <c r="IU75" i="17"/>
  <c r="IE75" i="17"/>
  <c r="HO75" i="17"/>
  <c r="GY75" i="17"/>
  <c r="GI75" i="17"/>
  <c r="FS75" i="17"/>
  <c r="FC75" i="17"/>
  <c r="EM75" i="17"/>
  <c r="DW75" i="17"/>
  <c r="DG75" i="17"/>
  <c r="CQ75" i="17"/>
  <c r="CA75" i="17"/>
  <c r="BK75" i="17"/>
  <c r="AW75" i="17"/>
  <c r="AU75" i="17"/>
  <c r="AS75" i="17"/>
  <c r="AH75" i="17" a="1"/>
  <c r="AH75" i="17" s="1"/>
  <c r="AI75" i="17" s="1" a="1"/>
  <c r="AI75" i="17" s="1"/>
  <c r="AE75" i="17"/>
  <c r="AC75" i="17"/>
  <c r="AA75" i="17"/>
  <c r="P75" i="17" a="1"/>
  <c r="P75" i="17" s="1"/>
  <c r="OI74" i="17"/>
  <c r="NS74" i="17"/>
  <c r="NC74" i="17"/>
  <c r="MM74" i="17"/>
  <c r="LW74" i="17"/>
  <c r="LG74" i="17"/>
  <c r="KQ74" i="17"/>
  <c r="KA74" i="17"/>
  <c r="JK74" i="17"/>
  <c r="IU74" i="17"/>
  <c r="IE74" i="17"/>
  <c r="HO74" i="17"/>
  <c r="GY74" i="17"/>
  <c r="GI74" i="17"/>
  <c r="FS74" i="17"/>
  <c r="FC74" i="17"/>
  <c r="EM74" i="17"/>
  <c r="DW74" i="17"/>
  <c r="DG74" i="17"/>
  <c r="CQ74" i="17"/>
  <c r="CA74" i="17"/>
  <c r="BK74" i="17"/>
  <c r="AW74" i="17"/>
  <c r="AU74" i="17"/>
  <c r="AS74" i="17"/>
  <c r="AH74" i="17" a="1"/>
  <c r="AH74" i="17" s="1"/>
  <c r="AI74" i="17" s="1" a="1"/>
  <c r="AI74" i="17" s="1"/>
  <c r="AE74" i="17"/>
  <c r="AC74" i="17"/>
  <c r="AA74" i="17"/>
  <c r="P74" i="17" a="1"/>
  <c r="P74" i="17" s="1"/>
  <c r="OI73" i="17"/>
  <c r="NS73" i="17"/>
  <c r="NC73" i="17"/>
  <c r="MM73" i="17"/>
  <c r="LW73" i="17"/>
  <c r="LG73" i="17"/>
  <c r="KQ73" i="17"/>
  <c r="KA73" i="17"/>
  <c r="JK73" i="17"/>
  <c r="IU73" i="17"/>
  <c r="IE73" i="17"/>
  <c r="HO73" i="17"/>
  <c r="GY73" i="17"/>
  <c r="GI73" i="17"/>
  <c r="FS73" i="17"/>
  <c r="FC73" i="17"/>
  <c r="EM73" i="17"/>
  <c r="DW73" i="17"/>
  <c r="DG73" i="17"/>
  <c r="CQ73" i="17"/>
  <c r="CA73" i="17"/>
  <c r="BK73" i="17"/>
  <c r="AW73" i="17"/>
  <c r="AU73" i="17"/>
  <c r="AS73" i="17"/>
  <c r="AH73" i="17" a="1"/>
  <c r="AH73" i="17" s="1"/>
  <c r="AI73" i="17" s="1" a="1"/>
  <c r="AI73" i="17" s="1"/>
  <c r="AE73" i="17"/>
  <c r="AC73" i="17"/>
  <c r="AA73" i="17"/>
  <c r="P73" i="17" a="1"/>
  <c r="P73" i="17" s="1"/>
  <c r="OI69" i="17"/>
  <c r="NS69" i="17"/>
  <c r="NC69" i="17"/>
  <c r="MM69" i="17"/>
  <c r="LW69" i="17"/>
  <c r="LG69" i="17"/>
  <c r="KQ69" i="17"/>
  <c r="KA69" i="17"/>
  <c r="JK69" i="17"/>
  <c r="IU69" i="17"/>
  <c r="IE69" i="17"/>
  <c r="HO69" i="17"/>
  <c r="GY69" i="17"/>
  <c r="GI69" i="17"/>
  <c r="FS69" i="17"/>
  <c r="FC69" i="17"/>
  <c r="EM69" i="17"/>
  <c r="DW69" i="17"/>
  <c r="DG69" i="17"/>
  <c r="CQ69" i="17"/>
  <c r="CA69" i="17"/>
  <c r="BK69" i="17"/>
  <c r="AW69" i="17"/>
  <c r="AU69" i="17"/>
  <c r="AS69" i="17"/>
  <c r="AH69" i="17" a="1"/>
  <c r="AH69" i="17" s="1"/>
  <c r="AI69" i="17" s="1" a="1"/>
  <c r="AI69" i="17" s="1"/>
  <c r="AE69" i="17"/>
  <c r="AC69" i="17"/>
  <c r="AA69" i="17"/>
  <c r="P69" i="17" a="1"/>
  <c r="P69" i="17" s="1"/>
  <c r="OI68" i="17"/>
  <c r="NS68" i="17"/>
  <c r="NC68" i="17"/>
  <c r="MM68" i="17"/>
  <c r="LW68" i="17"/>
  <c r="LG68" i="17"/>
  <c r="KQ68" i="17"/>
  <c r="KA68" i="17"/>
  <c r="JK68" i="17"/>
  <c r="IU68" i="17"/>
  <c r="IE68" i="17"/>
  <c r="HO68" i="17"/>
  <c r="GY68" i="17"/>
  <c r="GI68" i="17"/>
  <c r="FS68" i="17"/>
  <c r="FC68" i="17"/>
  <c r="EM68" i="17"/>
  <c r="DW68" i="17"/>
  <c r="DG68" i="17"/>
  <c r="CQ68" i="17"/>
  <c r="CA68" i="17"/>
  <c r="BK68" i="17"/>
  <c r="AW68" i="17"/>
  <c r="AU68" i="17"/>
  <c r="AS68" i="17"/>
  <c r="AH68" i="17" a="1"/>
  <c r="AH68" i="17" s="1"/>
  <c r="AE68" i="17"/>
  <c r="AC68" i="17"/>
  <c r="AA68" i="17"/>
  <c r="P68" i="17" a="1"/>
  <c r="P68" i="17" s="1"/>
  <c r="Q68" i="17" s="1" a="1"/>
  <c r="Q68" i="17" s="1"/>
  <c r="OI67" i="17"/>
  <c r="NS67" i="17"/>
  <c r="NC67" i="17"/>
  <c r="MM67" i="17"/>
  <c r="LW67" i="17"/>
  <c r="LG67" i="17"/>
  <c r="KQ67" i="17"/>
  <c r="KA67" i="17"/>
  <c r="JK67" i="17"/>
  <c r="IU67" i="17"/>
  <c r="IE67" i="17"/>
  <c r="HO67" i="17"/>
  <c r="GY67" i="17"/>
  <c r="GI67" i="17"/>
  <c r="FS67" i="17"/>
  <c r="FC67" i="17"/>
  <c r="EM67" i="17"/>
  <c r="DW67" i="17"/>
  <c r="DG67" i="17"/>
  <c r="CQ67" i="17"/>
  <c r="CA67" i="17"/>
  <c r="BK67" i="17"/>
  <c r="AW67" i="17"/>
  <c r="AU67" i="17"/>
  <c r="AS67" i="17"/>
  <c r="AH67" i="17" a="1"/>
  <c r="AH67" i="17" s="1"/>
  <c r="AI67" i="17" s="1" a="1"/>
  <c r="AI67" i="17" s="1"/>
  <c r="AE67" i="17"/>
  <c r="AC67" i="17"/>
  <c r="AA67" i="17"/>
  <c r="P67" i="17" a="1"/>
  <c r="P67" i="17" s="1"/>
  <c r="Q67" i="17" s="1" a="1"/>
  <c r="Q67" i="17" s="1"/>
  <c r="OI66" i="17"/>
  <c r="NS66" i="17"/>
  <c r="NC66" i="17"/>
  <c r="MM66" i="17"/>
  <c r="LW66" i="17"/>
  <c r="LG66" i="17"/>
  <c r="KQ66" i="17"/>
  <c r="KA66" i="17"/>
  <c r="JK66" i="17"/>
  <c r="IU66" i="17"/>
  <c r="IE66" i="17"/>
  <c r="HO66" i="17"/>
  <c r="GY66" i="17"/>
  <c r="GI66" i="17"/>
  <c r="FS66" i="17"/>
  <c r="FC66" i="17"/>
  <c r="EM66" i="17"/>
  <c r="DW66" i="17"/>
  <c r="DG66" i="17"/>
  <c r="CQ66" i="17"/>
  <c r="CA66" i="17"/>
  <c r="BK66" i="17"/>
  <c r="AW66" i="17"/>
  <c r="AU66" i="17"/>
  <c r="AS66" i="17"/>
  <c r="AH66" i="17" a="1"/>
  <c r="AH66" i="17" s="1"/>
  <c r="AI66" i="17" s="1" a="1"/>
  <c r="AI66" i="17" s="1"/>
  <c r="AE66" i="17"/>
  <c r="AC66" i="17"/>
  <c r="AA66" i="17"/>
  <c r="P66" i="17" a="1"/>
  <c r="P66" i="17" s="1"/>
  <c r="OI65" i="17"/>
  <c r="NS65" i="17"/>
  <c r="NC65" i="17"/>
  <c r="MM65" i="17"/>
  <c r="LW65" i="17"/>
  <c r="LG65" i="17"/>
  <c r="KQ65" i="17"/>
  <c r="KA65" i="17"/>
  <c r="JK65" i="17"/>
  <c r="IU65" i="17"/>
  <c r="IE65" i="17"/>
  <c r="HO65" i="17"/>
  <c r="GY65" i="17"/>
  <c r="GI65" i="17"/>
  <c r="FS65" i="17"/>
  <c r="FC65" i="17"/>
  <c r="EM65" i="17"/>
  <c r="DW65" i="17"/>
  <c r="DG65" i="17"/>
  <c r="CQ65" i="17"/>
  <c r="CA65" i="17"/>
  <c r="BK65" i="17"/>
  <c r="AW65" i="17"/>
  <c r="AU65" i="17"/>
  <c r="AS65" i="17"/>
  <c r="AH65" i="17" a="1"/>
  <c r="AH65" i="17" s="1"/>
  <c r="AI65" i="17" s="1" a="1"/>
  <c r="AI65" i="17" s="1"/>
  <c r="AE65" i="17"/>
  <c r="AC65" i="17"/>
  <c r="AA65" i="17"/>
  <c r="P65" i="17" a="1"/>
  <c r="P65" i="17" s="1"/>
  <c r="OI64" i="17"/>
  <c r="NS64" i="17"/>
  <c r="NC64" i="17"/>
  <c r="MM64" i="17"/>
  <c r="LW64" i="17"/>
  <c r="LG64" i="17"/>
  <c r="KQ64" i="17"/>
  <c r="JK64" i="17"/>
  <c r="IU64" i="17"/>
  <c r="IE64" i="17"/>
  <c r="HO64" i="17"/>
  <c r="GY64" i="17"/>
  <c r="GI64" i="17"/>
  <c r="FS64" i="17"/>
  <c r="FC64" i="17"/>
  <c r="EM64" i="17"/>
  <c r="DW64" i="17"/>
  <c r="DG64" i="17"/>
  <c r="AW64" i="17"/>
  <c r="AU64" i="17"/>
  <c r="AS64" i="17"/>
  <c r="AH64" i="17" a="1"/>
  <c r="AH64" i="17" s="1"/>
  <c r="AI64" i="17" s="1" a="1"/>
  <c r="AI64" i="17" s="1"/>
  <c r="AE64" i="17"/>
  <c r="AC64" i="17"/>
  <c r="P64" i="17" a="1"/>
  <c r="P64" i="17" s="1"/>
  <c r="J114" i="16"/>
  <c r="OI104" i="16"/>
  <c r="NS104" i="16"/>
  <c r="NC104" i="16"/>
  <c r="MM104" i="16"/>
  <c r="LW104" i="16"/>
  <c r="LG104" i="16"/>
  <c r="KQ104" i="16"/>
  <c r="KA104" i="16"/>
  <c r="JK104" i="16"/>
  <c r="IU104" i="16"/>
  <c r="IE104" i="16"/>
  <c r="HO104" i="16"/>
  <c r="GY104" i="16"/>
  <c r="GI104" i="16"/>
  <c r="FS104" i="16"/>
  <c r="FC104" i="16"/>
  <c r="EM104" i="16"/>
  <c r="DW104" i="16"/>
  <c r="DG104" i="16"/>
  <c r="CQ104" i="16"/>
  <c r="CA104" i="16"/>
  <c r="BK104" i="16"/>
  <c r="AW104" i="16"/>
  <c r="AU104" i="16"/>
  <c r="AS104" i="16"/>
  <c r="AH104" i="16" a="1"/>
  <c r="AH104" i="16" s="1"/>
  <c r="AI104" i="16" s="1" a="1"/>
  <c r="AI104" i="16" s="1"/>
  <c r="AE104" i="16"/>
  <c r="AC104" i="16"/>
  <c r="AA104" i="16"/>
  <c r="P104" i="16" a="1"/>
  <c r="P104" i="16" s="1"/>
  <c r="OI103" i="16"/>
  <c r="NS103" i="16"/>
  <c r="NC103" i="16"/>
  <c r="MM103" i="16"/>
  <c r="LW103" i="16"/>
  <c r="LG103" i="16"/>
  <c r="KQ103" i="16"/>
  <c r="KA103" i="16"/>
  <c r="JK103" i="16"/>
  <c r="IU103" i="16"/>
  <c r="IE103" i="16"/>
  <c r="HO103" i="16"/>
  <c r="GY103" i="16"/>
  <c r="GI103" i="16"/>
  <c r="FS103" i="16"/>
  <c r="FC103" i="16"/>
  <c r="EM103" i="16"/>
  <c r="DW103" i="16"/>
  <c r="DG103" i="16"/>
  <c r="CQ103" i="16"/>
  <c r="CA103" i="16"/>
  <c r="BK103" i="16"/>
  <c r="AW103" i="16"/>
  <c r="AU103" i="16"/>
  <c r="AS103" i="16"/>
  <c r="AH103" i="16" a="1"/>
  <c r="AH103" i="16" s="1"/>
  <c r="AI103" i="16" s="1" a="1"/>
  <c r="AI103" i="16" s="1"/>
  <c r="AE103" i="16"/>
  <c r="AC103" i="16"/>
  <c r="AA103" i="16"/>
  <c r="P103" i="16" a="1"/>
  <c r="P103" i="16" s="1"/>
  <c r="OI102" i="16"/>
  <c r="NS102" i="16"/>
  <c r="NC102" i="16"/>
  <c r="MM102" i="16"/>
  <c r="LW102" i="16"/>
  <c r="LG102" i="16"/>
  <c r="KQ102" i="16"/>
  <c r="KA102" i="16"/>
  <c r="JK102" i="16"/>
  <c r="IU102" i="16"/>
  <c r="IE102" i="16"/>
  <c r="HO102" i="16"/>
  <c r="GY102" i="16"/>
  <c r="GI102" i="16"/>
  <c r="FS102" i="16"/>
  <c r="FC102" i="16"/>
  <c r="EM102" i="16"/>
  <c r="DW102" i="16"/>
  <c r="DG102" i="16"/>
  <c r="CQ102" i="16"/>
  <c r="CA102" i="16"/>
  <c r="BK102" i="16"/>
  <c r="AW102" i="16"/>
  <c r="AU102" i="16"/>
  <c r="AS102" i="16"/>
  <c r="AH102" i="16" a="1"/>
  <c r="AH102" i="16" s="1"/>
  <c r="AI102" i="16" s="1" a="1"/>
  <c r="AI102" i="16" s="1"/>
  <c r="AE102" i="16"/>
  <c r="AC102" i="16"/>
  <c r="AA102" i="16"/>
  <c r="P102" i="16" a="1"/>
  <c r="P102" i="16" s="1"/>
  <c r="OI96" i="16"/>
  <c r="NS96" i="16"/>
  <c r="NC96" i="16"/>
  <c r="MM96" i="16"/>
  <c r="LW96" i="16"/>
  <c r="LG96" i="16"/>
  <c r="KQ96" i="16"/>
  <c r="KA96" i="16"/>
  <c r="JK96" i="16"/>
  <c r="IU96" i="16"/>
  <c r="IE96" i="16"/>
  <c r="HO96" i="16"/>
  <c r="GY96" i="16"/>
  <c r="GI96" i="16"/>
  <c r="FS96" i="16"/>
  <c r="FC96" i="16"/>
  <c r="EM96" i="16"/>
  <c r="DW96" i="16"/>
  <c r="DG96" i="16"/>
  <c r="CQ96" i="16"/>
  <c r="CA96" i="16"/>
  <c r="BK96" i="16"/>
  <c r="AW96" i="16"/>
  <c r="AU96" i="16"/>
  <c r="AS96" i="16"/>
  <c r="AH96" i="16" a="1"/>
  <c r="AH96" i="16" s="1"/>
  <c r="AI96" i="16" s="1" a="1"/>
  <c r="AI96" i="16" s="1"/>
  <c r="P96" i="16" a="1"/>
  <c r="P96" i="16" s="1"/>
  <c r="OI95" i="16"/>
  <c r="NS95" i="16"/>
  <c r="NC95" i="16"/>
  <c r="MM95" i="16"/>
  <c r="LW95" i="16"/>
  <c r="LG95" i="16"/>
  <c r="KQ95" i="16"/>
  <c r="KA95" i="16"/>
  <c r="JK95" i="16"/>
  <c r="IU95" i="16"/>
  <c r="IE95" i="16"/>
  <c r="HO95" i="16"/>
  <c r="GY95" i="16"/>
  <c r="GI95" i="16"/>
  <c r="FS95" i="16"/>
  <c r="FC95" i="16"/>
  <c r="EM95" i="16"/>
  <c r="DW95" i="16"/>
  <c r="DG95" i="16"/>
  <c r="CQ95" i="16"/>
  <c r="CA95" i="16"/>
  <c r="BK95" i="16"/>
  <c r="AW95" i="16"/>
  <c r="AU95" i="16"/>
  <c r="AS95" i="16"/>
  <c r="AH95" i="16" a="1"/>
  <c r="AH95" i="16" s="1"/>
  <c r="AI95" i="16" s="1" a="1"/>
  <c r="AI95" i="16" s="1"/>
  <c r="P95" i="16" a="1"/>
  <c r="P95" i="16" s="1"/>
  <c r="OI94" i="16"/>
  <c r="NS94" i="16"/>
  <c r="NC94" i="16"/>
  <c r="MM94" i="16"/>
  <c r="LW94" i="16"/>
  <c r="LG94" i="16"/>
  <c r="KQ94" i="16"/>
  <c r="KA94" i="16"/>
  <c r="JK94" i="16"/>
  <c r="IU94" i="16"/>
  <c r="IE94" i="16"/>
  <c r="HO94" i="16"/>
  <c r="GY94" i="16"/>
  <c r="GI94" i="16"/>
  <c r="FS94" i="16"/>
  <c r="FC94" i="16"/>
  <c r="EM94" i="16"/>
  <c r="DW94" i="16"/>
  <c r="DG94" i="16"/>
  <c r="CQ94" i="16"/>
  <c r="CA94" i="16"/>
  <c r="BK94" i="16"/>
  <c r="AW94" i="16"/>
  <c r="AU94" i="16"/>
  <c r="AS94" i="16"/>
  <c r="AH94" i="16" a="1"/>
  <c r="AH94" i="16" s="1"/>
  <c r="AI94" i="16" s="1" a="1"/>
  <c r="AI94" i="16" s="1"/>
  <c r="P94" i="16" a="1"/>
  <c r="P94" i="16" s="1"/>
  <c r="OI93" i="16"/>
  <c r="NS93" i="16"/>
  <c r="NC93" i="16"/>
  <c r="MM93" i="16"/>
  <c r="LW93" i="16"/>
  <c r="LG93" i="16"/>
  <c r="KQ93" i="16"/>
  <c r="KA93" i="16"/>
  <c r="JK93" i="16"/>
  <c r="IU93" i="16"/>
  <c r="IE93" i="16"/>
  <c r="HO93" i="16"/>
  <c r="GY93" i="16"/>
  <c r="GI93" i="16"/>
  <c r="FS93" i="16"/>
  <c r="FC93" i="16"/>
  <c r="EM93" i="16"/>
  <c r="DW93" i="16"/>
  <c r="DG93" i="16"/>
  <c r="CQ93" i="16"/>
  <c r="CA93" i="16"/>
  <c r="BK93" i="16"/>
  <c r="AW93" i="16"/>
  <c r="AU93" i="16"/>
  <c r="AS93" i="16"/>
  <c r="AH93" i="16" a="1"/>
  <c r="AH93" i="16" s="1"/>
  <c r="AI93" i="16" s="1" a="1"/>
  <c r="AI93" i="16" s="1"/>
  <c r="P93" i="16" a="1"/>
  <c r="P93" i="16" s="1"/>
  <c r="Q93" i="16" s="1" a="1"/>
  <c r="Q93" i="16" s="1"/>
  <c r="OI88" i="16"/>
  <c r="NS88" i="16"/>
  <c r="NC88" i="16"/>
  <c r="MM88" i="16"/>
  <c r="LW88" i="16"/>
  <c r="LG88" i="16"/>
  <c r="KQ88" i="16"/>
  <c r="KA88" i="16"/>
  <c r="JK88" i="16"/>
  <c r="IU88" i="16"/>
  <c r="IE88" i="16"/>
  <c r="HO88" i="16"/>
  <c r="GY88" i="16"/>
  <c r="GI88" i="16"/>
  <c r="FS88" i="16"/>
  <c r="FC88" i="16"/>
  <c r="EM88" i="16"/>
  <c r="DW88" i="16"/>
  <c r="DG88" i="16"/>
  <c r="CQ88" i="16"/>
  <c r="CA88" i="16"/>
  <c r="BK88" i="16"/>
  <c r="AW88" i="16"/>
  <c r="AU88" i="16"/>
  <c r="AS88" i="16"/>
  <c r="AH88" i="16" a="1"/>
  <c r="AH88" i="16" s="1"/>
  <c r="AI88" i="16" s="1" a="1"/>
  <c r="AI88" i="16" s="1"/>
  <c r="AE88" i="16"/>
  <c r="AC88" i="16"/>
  <c r="AA88" i="16"/>
  <c r="P88" i="16" a="1"/>
  <c r="P88" i="16" s="1"/>
  <c r="OI86" i="16"/>
  <c r="NS86" i="16"/>
  <c r="NC86" i="16"/>
  <c r="MM86" i="16"/>
  <c r="LW86" i="16"/>
  <c r="LG86" i="16"/>
  <c r="KQ86" i="16"/>
  <c r="KA86" i="16"/>
  <c r="JK86" i="16"/>
  <c r="IU86" i="16"/>
  <c r="IE86" i="16"/>
  <c r="HO86" i="16"/>
  <c r="GY86" i="16"/>
  <c r="GI86" i="16"/>
  <c r="FS86" i="16"/>
  <c r="FC86" i="16"/>
  <c r="EM86" i="16"/>
  <c r="DW86" i="16"/>
  <c r="DG86" i="16"/>
  <c r="CQ86" i="16"/>
  <c r="CA86" i="16"/>
  <c r="BK86" i="16"/>
  <c r="AW86" i="16"/>
  <c r="AU86" i="16"/>
  <c r="AS86" i="16"/>
  <c r="AH86" i="16" a="1"/>
  <c r="AH86" i="16" s="1"/>
  <c r="AI86" i="16" s="1" a="1"/>
  <c r="AI86" i="16" s="1"/>
  <c r="AE86" i="16"/>
  <c r="AC86" i="16"/>
  <c r="AA86" i="16"/>
  <c r="P86" i="16" a="1"/>
  <c r="P86" i="16" s="1"/>
  <c r="Q86" i="16" s="1" a="1"/>
  <c r="Q86" i="16" s="1"/>
  <c r="OI85" i="16"/>
  <c r="NS85" i="16"/>
  <c r="NC85" i="16"/>
  <c r="MM85" i="16"/>
  <c r="LW85" i="16"/>
  <c r="LG85" i="16"/>
  <c r="KQ85" i="16"/>
  <c r="KA85" i="16"/>
  <c r="JK85" i="16"/>
  <c r="IU85" i="16"/>
  <c r="IE85" i="16"/>
  <c r="HO85" i="16"/>
  <c r="GY85" i="16"/>
  <c r="GI85" i="16"/>
  <c r="FS85" i="16"/>
  <c r="FC85" i="16"/>
  <c r="EM85" i="16"/>
  <c r="DW85" i="16"/>
  <c r="DG85" i="16"/>
  <c r="CQ85" i="16"/>
  <c r="CA85" i="16"/>
  <c r="BK85" i="16"/>
  <c r="AW85" i="16"/>
  <c r="AU85" i="16"/>
  <c r="AS85" i="16"/>
  <c r="AH85" i="16" a="1"/>
  <c r="AH85" i="16" s="1"/>
  <c r="AI85" i="16" s="1" a="1"/>
  <c r="AI85" i="16" s="1"/>
  <c r="AE85" i="16"/>
  <c r="AC85" i="16"/>
  <c r="AA85" i="16"/>
  <c r="P85" i="16" a="1"/>
  <c r="P85" i="16" s="1"/>
  <c r="Q85" i="16" s="1" a="1"/>
  <c r="Q85" i="16" s="1"/>
  <c r="OI76" i="16"/>
  <c r="NS76" i="16"/>
  <c r="NC76" i="16"/>
  <c r="MM76" i="16"/>
  <c r="LW76" i="16"/>
  <c r="LG76" i="16"/>
  <c r="KQ76" i="16"/>
  <c r="KA76" i="16"/>
  <c r="JK76" i="16"/>
  <c r="IU76" i="16"/>
  <c r="IE76" i="16"/>
  <c r="HO76" i="16"/>
  <c r="GY76" i="16"/>
  <c r="GI76" i="16"/>
  <c r="FS76" i="16"/>
  <c r="FC76" i="16"/>
  <c r="EM76" i="16"/>
  <c r="DW76" i="16"/>
  <c r="DG76" i="16"/>
  <c r="CQ76" i="16"/>
  <c r="CA76" i="16"/>
  <c r="BK76" i="16"/>
  <c r="AW76" i="16"/>
  <c r="AU76" i="16"/>
  <c r="AS76" i="16"/>
  <c r="AH76" i="16" a="1"/>
  <c r="AH76" i="16" s="1"/>
  <c r="AI76" i="16" s="1" a="1"/>
  <c r="AI76" i="16" s="1"/>
  <c r="AE76" i="16"/>
  <c r="AC76" i="16"/>
  <c r="AA76" i="16"/>
  <c r="P76" i="16" a="1"/>
  <c r="P76" i="16" s="1"/>
  <c r="Q76" i="16" s="1" a="1"/>
  <c r="Q76" i="16" s="1"/>
  <c r="OI75" i="16"/>
  <c r="NS75" i="16"/>
  <c r="NC75" i="16"/>
  <c r="MM75" i="16"/>
  <c r="LW75" i="16"/>
  <c r="LG75" i="16"/>
  <c r="KQ75" i="16"/>
  <c r="KA75" i="16"/>
  <c r="JK75" i="16"/>
  <c r="IU75" i="16"/>
  <c r="IE75" i="16"/>
  <c r="HO75" i="16"/>
  <c r="GY75" i="16"/>
  <c r="GI75" i="16"/>
  <c r="FS75" i="16"/>
  <c r="FC75" i="16"/>
  <c r="EM75" i="16"/>
  <c r="DW75" i="16"/>
  <c r="DG75" i="16"/>
  <c r="CQ75" i="16"/>
  <c r="CA75" i="16"/>
  <c r="BK75" i="16"/>
  <c r="AW75" i="16"/>
  <c r="AU75" i="16"/>
  <c r="AS75" i="16"/>
  <c r="AH75" i="16" a="1"/>
  <c r="AH75" i="16" s="1"/>
  <c r="AI75" i="16" s="1" a="1"/>
  <c r="AI75" i="16" s="1"/>
  <c r="AE75" i="16"/>
  <c r="AC75" i="16"/>
  <c r="AA75" i="16"/>
  <c r="P75" i="16" a="1"/>
  <c r="P75" i="16" s="1"/>
  <c r="OI74" i="16"/>
  <c r="NS74" i="16"/>
  <c r="NC74" i="16"/>
  <c r="MM74" i="16"/>
  <c r="LW74" i="16"/>
  <c r="LG74" i="16"/>
  <c r="KQ74" i="16"/>
  <c r="KA74" i="16"/>
  <c r="JK74" i="16"/>
  <c r="IU74" i="16"/>
  <c r="IE74" i="16"/>
  <c r="HO74" i="16"/>
  <c r="GY74" i="16"/>
  <c r="GI74" i="16"/>
  <c r="FS74" i="16"/>
  <c r="FC74" i="16"/>
  <c r="EM74" i="16"/>
  <c r="DW74" i="16"/>
  <c r="DG74" i="16"/>
  <c r="CQ74" i="16"/>
  <c r="CA74" i="16"/>
  <c r="BK74" i="16"/>
  <c r="AW74" i="16"/>
  <c r="AU74" i="16"/>
  <c r="AS74" i="16"/>
  <c r="AH74" i="16" a="1"/>
  <c r="AH74" i="16" s="1"/>
  <c r="AE74" i="16"/>
  <c r="AC74" i="16"/>
  <c r="AA74" i="16"/>
  <c r="P74" i="16" a="1"/>
  <c r="P74" i="16" s="1"/>
  <c r="Q74" i="16" s="1" a="1"/>
  <c r="Q74" i="16" s="1"/>
  <c r="OI73" i="16"/>
  <c r="NS73" i="16"/>
  <c r="NC73" i="16"/>
  <c r="MM73" i="16"/>
  <c r="LW73" i="16"/>
  <c r="LG73" i="16"/>
  <c r="KQ73" i="16"/>
  <c r="KA73" i="16"/>
  <c r="JK73" i="16"/>
  <c r="IU73" i="16"/>
  <c r="IE73" i="16"/>
  <c r="HO73" i="16"/>
  <c r="GY73" i="16"/>
  <c r="GI73" i="16"/>
  <c r="FS73" i="16"/>
  <c r="FC73" i="16"/>
  <c r="EM73" i="16"/>
  <c r="DW73" i="16"/>
  <c r="DG73" i="16"/>
  <c r="CQ73" i="16"/>
  <c r="CA73" i="16"/>
  <c r="BK73" i="16"/>
  <c r="AW73" i="16"/>
  <c r="AU73" i="16"/>
  <c r="AS73" i="16"/>
  <c r="AH73" i="16" a="1"/>
  <c r="AH73" i="16" s="1"/>
  <c r="AI73" i="16" s="1" a="1"/>
  <c r="AI73" i="16" s="1"/>
  <c r="AE73" i="16"/>
  <c r="AC73" i="16"/>
  <c r="AA73" i="16"/>
  <c r="P73" i="16" a="1"/>
  <c r="P73" i="16" s="1"/>
  <c r="OI69" i="16"/>
  <c r="NS69" i="16"/>
  <c r="NC69" i="16"/>
  <c r="MM69" i="16"/>
  <c r="LW69" i="16"/>
  <c r="LG69" i="16"/>
  <c r="KQ69" i="16"/>
  <c r="KA69" i="16"/>
  <c r="JK69" i="16"/>
  <c r="IU69" i="16"/>
  <c r="IE69" i="16"/>
  <c r="HO69" i="16"/>
  <c r="GY69" i="16"/>
  <c r="GI69" i="16"/>
  <c r="FS69" i="16"/>
  <c r="FC69" i="16"/>
  <c r="EM69" i="16"/>
  <c r="DW69" i="16"/>
  <c r="DG69" i="16"/>
  <c r="CQ69" i="16"/>
  <c r="CA69" i="16"/>
  <c r="BK69" i="16"/>
  <c r="AW69" i="16"/>
  <c r="AU69" i="16"/>
  <c r="AS69" i="16"/>
  <c r="AH69" i="16" a="1"/>
  <c r="AH69" i="16" s="1"/>
  <c r="AI69" i="16" s="1" a="1"/>
  <c r="AI69" i="16" s="1"/>
  <c r="AE69" i="16"/>
  <c r="AC69" i="16"/>
  <c r="AA69" i="16"/>
  <c r="P69" i="16" a="1"/>
  <c r="P69" i="16" s="1"/>
  <c r="OI68" i="16"/>
  <c r="NS68" i="16"/>
  <c r="NC68" i="16"/>
  <c r="MM68" i="16"/>
  <c r="LW68" i="16"/>
  <c r="LG68" i="16"/>
  <c r="KQ68" i="16"/>
  <c r="KA68" i="16"/>
  <c r="JK68" i="16"/>
  <c r="IU68" i="16"/>
  <c r="IE68" i="16"/>
  <c r="HO68" i="16"/>
  <c r="GY68" i="16"/>
  <c r="GI68" i="16"/>
  <c r="FS68" i="16"/>
  <c r="FC68" i="16"/>
  <c r="EM68" i="16"/>
  <c r="DW68" i="16"/>
  <c r="DG68" i="16"/>
  <c r="CQ68" i="16"/>
  <c r="CA68" i="16"/>
  <c r="BK68" i="16"/>
  <c r="AW68" i="16"/>
  <c r="AU68" i="16"/>
  <c r="AS68" i="16"/>
  <c r="AH68" i="16" a="1"/>
  <c r="AH68" i="16" s="1"/>
  <c r="AI68" i="16" s="1" a="1"/>
  <c r="AI68" i="16" s="1"/>
  <c r="AE68" i="16"/>
  <c r="AC68" i="16"/>
  <c r="AA68" i="16"/>
  <c r="P68" i="16" a="1"/>
  <c r="P68" i="16" s="1"/>
  <c r="OI67" i="16"/>
  <c r="NS67" i="16"/>
  <c r="NC67" i="16"/>
  <c r="MM67" i="16"/>
  <c r="LW67" i="16"/>
  <c r="LG67" i="16"/>
  <c r="KQ67" i="16"/>
  <c r="KA67" i="16"/>
  <c r="JK67" i="16"/>
  <c r="IU67" i="16"/>
  <c r="IE67" i="16"/>
  <c r="HO67" i="16"/>
  <c r="GY67" i="16"/>
  <c r="GI67" i="16"/>
  <c r="FS67" i="16"/>
  <c r="FC67" i="16"/>
  <c r="EM67" i="16"/>
  <c r="DW67" i="16"/>
  <c r="DG67" i="16"/>
  <c r="CQ67" i="16"/>
  <c r="CA67" i="16"/>
  <c r="BK67" i="16"/>
  <c r="AW67" i="16"/>
  <c r="AU67" i="16"/>
  <c r="AS67" i="16"/>
  <c r="AH67" i="16" a="1"/>
  <c r="AH67" i="16" s="1"/>
  <c r="AI67" i="16" s="1" a="1"/>
  <c r="AI67" i="16" s="1"/>
  <c r="AE67" i="16"/>
  <c r="AC67" i="16"/>
  <c r="AA67" i="16"/>
  <c r="P67" i="16" a="1"/>
  <c r="P67" i="16" s="1"/>
  <c r="OI66" i="16"/>
  <c r="NS66" i="16"/>
  <c r="NC66" i="16"/>
  <c r="MM66" i="16"/>
  <c r="LW66" i="16"/>
  <c r="LG66" i="16"/>
  <c r="KQ66" i="16"/>
  <c r="KA66" i="16"/>
  <c r="JK66" i="16"/>
  <c r="IU66" i="16"/>
  <c r="IE66" i="16"/>
  <c r="HO66" i="16"/>
  <c r="GY66" i="16"/>
  <c r="GI66" i="16"/>
  <c r="FS66" i="16"/>
  <c r="FC66" i="16"/>
  <c r="EM66" i="16"/>
  <c r="DW66" i="16"/>
  <c r="DG66" i="16"/>
  <c r="CQ66" i="16"/>
  <c r="CA66" i="16"/>
  <c r="BK66" i="16"/>
  <c r="AW66" i="16"/>
  <c r="AU66" i="16"/>
  <c r="AS66" i="16"/>
  <c r="AH66" i="16" a="1"/>
  <c r="AH66" i="16" s="1"/>
  <c r="AI66" i="16" s="1" a="1"/>
  <c r="AI66" i="16" s="1"/>
  <c r="AE66" i="16"/>
  <c r="AC66" i="16"/>
  <c r="AA66" i="16"/>
  <c r="P66" i="16" a="1"/>
  <c r="P66" i="16" s="1"/>
  <c r="OI65" i="16"/>
  <c r="NS65" i="16"/>
  <c r="NC65" i="16"/>
  <c r="MM65" i="16"/>
  <c r="LW65" i="16"/>
  <c r="LG65" i="16"/>
  <c r="KQ65" i="16"/>
  <c r="KA65" i="16"/>
  <c r="JK65" i="16"/>
  <c r="IU65" i="16"/>
  <c r="IE65" i="16"/>
  <c r="HO65" i="16"/>
  <c r="GY65" i="16"/>
  <c r="GI65" i="16"/>
  <c r="FS65" i="16"/>
  <c r="FC65" i="16"/>
  <c r="EM65" i="16"/>
  <c r="DW65" i="16"/>
  <c r="DG65" i="16"/>
  <c r="CQ65" i="16"/>
  <c r="CA65" i="16"/>
  <c r="BK65" i="16"/>
  <c r="AW65" i="16"/>
  <c r="AU65" i="16"/>
  <c r="AS65" i="16"/>
  <c r="AH65" i="16" a="1"/>
  <c r="AH65" i="16" s="1"/>
  <c r="AI65" i="16" s="1" a="1"/>
  <c r="AI65" i="16" s="1"/>
  <c r="AE65" i="16"/>
  <c r="AC65" i="16"/>
  <c r="AA65" i="16"/>
  <c r="P65" i="16" a="1"/>
  <c r="P65" i="16" s="1"/>
  <c r="OI64" i="16"/>
  <c r="NS64" i="16"/>
  <c r="NC64" i="16"/>
  <c r="MM64" i="16"/>
  <c r="LW64" i="16"/>
  <c r="LG64" i="16"/>
  <c r="KQ64" i="16"/>
  <c r="JK64" i="16"/>
  <c r="IU64" i="16"/>
  <c r="IE64" i="16"/>
  <c r="HO64" i="16"/>
  <c r="GY64" i="16"/>
  <c r="GI64" i="16"/>
  <c r="FS64" i="16"/>
  <c r="FC64" i="16"/>
  <c r="EM64" i="16"/>
  <c r="DW64" i="16"/>
  <c r="DG64" i="16"/>
  <c r="CQ64" i="16"/>
  <c r="BK64" i="16"/>
  <c r="AW64" i="16"/>
  <c r="AU64" i="16"/>
  <c r="AS64" i="16"/>
  <c r="AH64" i="16" a="1"/>
  <c r="AH64" i="16" s="1"/>
  <c r="AI64" i="16" s="1" a="1"/>
  <c r="AI64" i="16" s="1"/>
  <c r="AE64" i="16"/>
  <c r="AC64" i="16"/>
  <c r="P64" i="16" a="1"/>
  <c r="P64" i="16" s="1"/>
  <c r="J114" i="15"/>
  <c r="OI104" i="15"/>
  <c r="NS104" i="15"/>
  <c r="NC104" i="15"/>
  <c r="MM104" i="15"/>
  <c r="LW104" i="15"/>
  <c r="LG104" i="15"/>
  <c r="KQ104" i="15"/>
  <c r="KA104" i="15"/>
  <c r="JK104" i="15"/>
  <c r="IU104" i="15"/>
  <c r="IE104" i="15"/>
  <c r="HO104" i="15"/>
  <c r="GY104" i="15"/>
  <c r="GI104" i="15"/>
  <c r="FS104" i="15"/>
  <c r="FC104" i="15"/>
  <c r="EM104" i="15"/>
  <c r="DW104" i="15"/>
  <c r="DG104" i="15"/>
  <c r="CQ104" i="15"/>
  <c r="CA104" i="15"/>
  <c r="BK104" i="15"/>
  <c r="AW104" i="15"/>
  <c r="AU104" i="15"/>
  <c r="AS104" i="15"/>
  <c r="AH104" i="15" a="1"/>
  <c r="AH104" i="15" s="1"/>
  <c r="AI104" i="15" s="1" a="1"/>
  <c r="AI104" i="15" s="1"/>
  <c r="AE104" i="15"/>
  <c r="AC104" i="15"/>
  <c r="AA104" i="15"/>
  <c r="P104" i="15" a="1"/>
  <c r="P104" i="15" s="1"/>
  <c r="OI103" i="15"/>
  <c r="NS103" i="15"/>
  <c r="NC103" i="15"/>
  <c r="MM103" i="15"/>
  <c r="LW103" i="15"/>
  <c r="LG103" i="15"/>
  <c r="KQ103" i="15"/>
  <c r="KA103" i="15"/>
  <c r="JK103" i="15"/>
  <c r="IU103" i="15"/>
  <c r="IE103" i="15"/>
  <c r="HO103" i="15"/>
  <c r="GY103" i="15"/>
  <c r="GI103" i="15"/>
  <c r="FS103" i="15"/>
  <c r="FC103" i="15"/>
  <c r="EM103" i="15"/>
  <c r="DW103" i="15"/>
  <c r="DG103" i="15"/>
  <c r="CQ103" i="15"/>
  <c r="CA103" i="15"/>
  <c r="BK103" i="15"/>
  <c r="AW103" i="15"/>
  <c r="AU103" i="15"/>
  <c r="AS103" i="15"/>
  <c r="AH103" i="15" a="1"/>
  <c r="AH103" i="15" s="1"/>
  <c r="AE103" i="15"/>
  <c r="AC103" i="15"/>
  <c r="AA103" i="15"/>
  <c r="P103" i="15" a="1"/>
  <c r="P103" i="15" s="1"/>
  <c r="Q103" i="15" s="1" a="1"/>
  <c r="Q103" i="15" s="1"/>
  <c r="OI102" i="15"/>
  <c r="NS102" i="15"/>
  <c r="NC102" i="15"/>
  <c r="MM102" i="15"/>
  <c r="LW102" i="15"/>
  <c r="LG102" i="15"/>
  <c r="KQ102" i="15"/>
  <c r="KA102" i="15"/>
  <c r="JK102" i="15"/>
  <c r="IU102" i="15"/>
  <c r="IE102" i="15"/>
  <c r="HO102" i="15"/>
  <c r="GY102" i="15"/>
  <c r="GI102" i="15"/>
  <c r="FS102" i="15"/>
  <c r="FC102" i="15"/>
  <c r="EM102" i="15"/>
  <c r="DW102" i="15"/>
  <c r="DG102" i="15"/>
  <c r="CQ102" i="15"/>
  <c r="CA102" i="15"/>
  <c r="BK102" i="15"/>
  <c r="AW102" i="15"/>
  <c r="AU102" i="15"/>
  <c r="AS102" i="15"/>
  <c r="AH102" i="15" a="1"/>
  <c r="AH102" i="15" s="1"/>
  <c r="AI102" i="15" s="1" a="1"/>
  <c r="AI102" i="15" s="1"/>
  <c r="AE102" i="15"/>
  <c r="AC102" i="15"/>
  <c r="AA102" i="15"/>
  <c r="P102" i="15" a="1"/>
  <c r="P102" i="15" s="1"/>
  <c r="OI96" i="15"/>
  <c r="NS96" i="15"/>
  <c r="NC96" i="15"/>
  <c r="MM96" i="15"/>
  <c r="LW96" i="15"/>
  <c r="LG96" i="15"/>
  <c r="KQ96" i="15"/>
  <c r="KA96" i="15"/>
  <c r="JK96" i="15"/>
  <c r="IU96" i="15"/>
  <c r="IE96" i="15"/>
  <c r="HO96" i="15"/>
  <c r="GY96" i="15"/>
  <c r="GI96" i="15"/>
  <c r="FS96" i="15"/>
  <c r="FC96" i="15"/>
  <c r="EM96" i="15"/>
  <c r="DW96" i="15"/>
  <c r="DG96" i="15"/>
  <c r="CQ96" i="15"/>
  <c r="CA96" i="15"/>
  <c r="BK96" i="15"/>
  <c r="AW96" i="15"/>
  <c r="AU96" i="15"/>
  <c r="AS96" i="15"/>
  <c r="AH96" i="15" a="1"/>
  <c r="AH96" i="15" s="1"/>
  <c r="AI96" i="15" s="1" a="1"/>
  <c r="AI96" i="15" s="1"/>
  <c r="AE96" i="15"/>
  <c r="AC96" i="15"/>
  <c r="AA96" i="15"/>
  <c r="P96" i="15" a="1"/>
  <c r="P96" i="15" s="1"/>
  <c r="Q96" i="15" s="1" a="1"/>
  <c r="Q96" i="15" s="1"/>
  <c r="OI95" i="15"/>
  <c r="NS95" i="15"/>
  <c r="NC95" i="15"/>
  <c r="MM95" i="15"/>
  <c r="LW95" i="15"/>
  <c r="LG95" i="15"/>
  <c r="KQ95" i="15"/>
  <c r="KA95" i="15"/>
  <c r="JK95" i="15"/>
  <c r="IU95" i="15"/>
  <c r="IE95" i="15"/>
  <c r="HO95" i="15"/>
  <c r="GY95" i="15"/>
  <c r="GI95" i="15"/>
  <c r="FS95" i="15"/>
  <c r="FC95" i="15"/>
  <c r="EM95" i="15"/>
  <c r="DW95" i="15"/>
  <c r="DG95" i="15"/>
  <c r="CQ95" i="15"/>
  <c r="CA95" i="15"/>
  <c r="BK95" i="15"/>
  <c r="AW95" i="15"/>
  <c r="AU95" i="15"/>
  <c r="AS95" i="15"/>
  <c r="AH95" i="15" a="1"/>
  <c r="AH95" i="15" s="1"/>
  <c r="AI95" i="15" s="1" a="1"/>
  <c r="AI95" i="15" s="1"/>
  <c r="AE95" i="15"/>
  <c r="AC95" i="15"/>
  <c r="AA95" i="15"/>
  <c r="P95" i="15" a="1"/>
  <c r="P95" i="15" s="1"/>
  <c r="Q95" i="15" s="1" a="1"/>
  <c r="Q95" i="15" s="1"/>
  <c r="OI94" i="15"/>
  <c r="NS94" i="15"/>
  <c r="NC94" i="15"/>
  <c r="MM94" i="15"/>
  <c r="LW94" i="15"/>
  <c r="LG94" i="15"/>
  <c r="KQ94" i="15"/>
  <c r="KA94" i="15"/>
  <c r="JK94" i="15"/>
  <c r="IU94" i="15"/>
  <c r="IE94" i="15"/>
  <c r="HO94" i="15"/>
  <c r="GY94" i="15"/>
  <c r="GI94" i="15"/>
  <c r="FS94" i="15"/>
  <c r="FC94" i="15"/>
  <c r="EM94" i="15"/>
  <c r="DW94" i="15"/>
  <c r="DG94" i="15"/>
  <c r="CQ94" i="15"/>
  <c r="CA94" i="15"/>
  <c r="BK94" i="15"/>
  <c r="AW94" i="15"/>
  <c r="AU94" i="15"/>
  <c r="AS94" i="15"/>
  <c r="AH94" i="15" a="1"/>
  <c r="AH94" i="15" s="1"/>
  <c r="AI94" i="15" s="1" a="1"/>
  <c r="AI94" i="15" s="1"/>
  <c r="AE94" i="15"/>
  <c r="AC94" i="15"/>
  <c r="AA94" i="15"/>
  <c r="P94" i="15" a="1"/>
  <c r="P94" i="15" s="1"/>
  <c r="OI93" i="15"/>
  <c r="NS93" i="15"/>
  <c r="NC93" i="15"/>
  <c r="MM93" i="15"/>
  <c r="LW93" i="15"/>
  <c r="LG93" i="15"/>
  <c r="KQ93" i="15"/>
  <c r="KA93" i="15"/>
  <c r="JK93" i="15"/>
  <c r="IU93" i="15"/>
  <c r="IE93" i="15"/>
  <c r="HO93" i="15"/>
  <c r="GY93" i="15"/>
  <c r="GI93" i="15"/>
  <c r="FS93" i="15"/>
  <c r="FC93" i="15"/>
  <c r="EM93" i="15"/>
  <c r="DW93" i="15"/>
  <c r="DG93" i="15"/>
  <c r="CQ93" i="15"/>
  <c r="CA93" i="15"/>
  <c r="BK93" i="15"/>
  <c r="AW93" i="15"/>
  <c r="AU93" i="15"/>
  <c r="AS93" i="15"/>
  <c r="AH93" i="15" a="1"/>
  <c r="AH93" i="15" s="1"/>
  <c r="AI93" i="15" s="1" a="1"/>
  <c r="AI93" i="15" s="1"/>
  <c r="AE93" i="15"/>
  <c r="AC93" i="15"/>
  <c r="AA93" i="15"/>
  <c r="P93" i="15" a="1"/>
  <c r="P93" i="15" s="1"/>
  <c r="OI88" i="15"/>
  <c r="NS88" i="15"/>
  <c r="NC88" i="15"/>
  <c r="MM88" i="15"/>
  <c r="LW88" i="15"/>
  <c r="LG88" i="15"/>
  <c r="KQ88" i="15"/>
  <c r="KA88" i="15"/>
  <c r="JK88" i="15"/>
  <c r="IU88" i="15"/>
  <c r="IE88" i="15"/>
  <c r="HO88" i="15"/>
  <c r="GY88" i="15"/>
  <c r="GI88" i="15"/>
  <c r="FS88" i="15"/>
  <c r="FC88" i="15"/>
  <c r="EM88" i="15"/>
  <c r="DW88" i="15"/>
  <c r="DG88" i="15"/>
  <c r="CQ88" i="15"/>
  <c r="CA88" i="15"/>
  <c r="BK88" i="15"/>
  <c r="AW88" i="15"/>
  <c r="AU88" i="15"/>
  <c r="AS88" i="15"/>
  <c r="AH88" i="15" a="1"/>
  <c r="AH88" i="15" s="1"/>
  <c r="AI88" i="15" s="1" a="1"/>
  <c r="AI88" i="15" s="1"/>
  <c r="P88" i="15" a="1"/>
  <c r="P88" i="15" s="1"/>
  <c r="Q88" i="15" s="1" a="1"/>
  <c r="Q88" i="15" s="1"/>
  <c r="OI86" i="15"/>
  <c r="NS86" i="15"/>
  <c r="NC86" i="15"/>
  <c r="MM86" i="15"/>
  <c r="LW86" i="15"/>
  <c r="LG86" i="15"/>
  <c r="KQ86" i="15"/>
  <c r="KA86" i="15"/>
  <c r="JK86" i="15"/>
  <c r="IU86" i="15"/>
  <c r="IE86" i="15"/>
  <c r="HO86" i="15"/>
  <c r="GY86" i="15"/>
  <c r="GI86" i="15"/>
  <c r="FS86" i="15"/>
  <c r="FC86" i="15"/>
  <c r="EM86" i="15"/>
  <c r="DW86" i="15"/>
  <c r="DG86" i="15"/>
  <c r="CQ86" i="15"/>
  <c r="CA86" i="15"/>
  <c r="BK86" i="15"/>
  <c r="AW86" i="15"/>
  <c r="AU86" i="15"/>
  <c r="AS86" i="15"/>
  <c r="AH86" i="15" a="1"/>
  <c r="AH86" i="15" s="1"/>
  <c r="AI86" i="15" s="1" a="1"/>
  <c r="AI86" i="15" s="1"/>
  <c r="P86" i="15" a="1"/>
  <c r="P86" i="15" s="1"/>
  <c r="Q86" i="15" s="1" a="1"/>
  <c r="Q86" i="15" s="1"/>
  <c r="OI85" i="15"/>
  <c r="NS85" i="15"/>
  <c r="NC85" i="15"/>
  <c r="MM85" i="15"/>
  <c r="LW85" i="15"/>
  <c r="LG85" i="15"/>
  <c r="KQ85" i="15"/>
  <c r="KA85" i="15"/>
  <c r="JK85" i="15"/>
  <c r="IU85" i="15"/>
  <c r="IE85" i="15"/>
  <c r="HO85" i="15"/>
  <c r="GY85" i="15"/>
  <c r="GI85" i="15"/>
  <c r="FS85" i="15"/>
  <c r="FC85" i="15"/>
  <c r="EM85" i="15"/>
  <c r="DW85" i="15"/>
  <c r="DG85" i="15"/>
  <c r="CQ85" i="15"/>
  <c r="CA85" i="15"/>
  <c r="BK85" i="15"/>
  <c r="AW85" i="15"/>
  <c r="AU85" i="15"/>
  <c r="AS85" i="15"/>
  <c r="AH85" i="15" a="1"/>
  <c r="AH85" i="15" s="1"/>
  <c r="AI85" i="15" s="1" a="1"/>
  <c r="AI85" i="15" s="1"/>
  <c r="P85" i="15" a="1"/>
  <c r="P85" i="15" s="1"/>
  <c r="OI76" i="15"/>
  <c r="NS76" i="15"/>
  <c r="NC76" i="15"/>
  <c r="MM76" i="15"/>
  <c r="LW76" i="15"/>
  <c r="LG76" i="15"/>
  <c r="KQ76" i="15"/>
  <c r="KA76" i="15"/>
  <c r="JK76" i="15"/>
  <c r="IU76" i="15"/>
  <c r="IE76" i="15"/>
  <c r="HO76" i="15"/>
  <c r="GY76" i="15"/>
  <c r="GI76" i="15"/>
  <c r="FS76" i="15"/>
  <c r="FC76" i="15"/>
  <c r="EM76" i="15"/>
  <c r="DW76" i="15"/>
  <c r="DG76" i="15"/>
  <c r="CQ76" i="15"/>
  <c r="CA76" i="15"/>
  <c r="BK76" i="15"/>
  <c r="AW76" i="15"/>
  <c r="AU76" i="15"/>
  <c r="AS76" i="15"/>
  <c r="AH76" i="15" a="1"/>
  <c r="AH76" i="15" s="1"/>
  <c r="AI76" i="15" s="1" a="1"/>
  <c r="AI76" i="15" s="1"/>
  <c r="P76" i="15" a="1"/>
  <c r="P76" i="15" s="1"/>
  <c r="Q76" i="15" s="1" a="1"/>
  <c r="Q76" i="15" s="1"/>
  <c r="OI75" i="15"/>
  <c r="NS75" i="15"/>
  <c r="NC75" i="15"/>
  <c r="MM75" i="15"/>
  <c r="LW75" i="15"/>
  <c r="LG75" i="15"/>
  <c r="KQ75" i="15"/>
  <c r="KA75" i="15"/>
  <c r="JK75" i="15"/>
  <c r="IU75" i="15"/>
  <c r="IE75" i="15"/>
  <c r="HO75" i="15"/>
  <c r="GY75" i="15"/>
  <c r="GI75" i="15"/>
  <c r="FS75" i="15"/>
  <c r="FC75" i="15"/>
  <c r="EM75" i="15"/>
  <c r="DW75" i="15"/>
  <c r="DG75" i="15"/>
  <c r="CQ75" i="15"/>
  <c r="CA75" i="15"/>
  <c r="BK75" i="15"/>
  <c r="AW75" i="15"/>
  <c r="AU75" i="15"/>
  <c r="AS75" i="15"/>
  <c r="AH75" i="15" a="1"/>
  <c r="AH75" i="15" s="1"/>
  <c r="AI75" i="15" s="1" a="1"/>
  <c r="AI75" i="15" s="1"/>
  <c r="P75" i="15" a="1"/>
  <c r="P75" i="15" s="1"/>
  <c r="Q75" i="15" s="1" a="1"/>
  <c r="Q75" i="15" s="1"/>
  <c r="OI74" i="15"/>
  <c r="NS74" i="15"/>
  <c r="NC74" i="15"/>
  <c r="MM74" i="15"/>
  <c r="LW74" i="15"/>
  <c r="LG74" i="15"/>
  <c r="KQ74" i="15"/>
  <c r="KA74" i="15"/>
  <c r="JK74" i="15"/>
  <c r="IU74" i="15"/>
  <c r="IE74" i="15"/>
  <c r="HO74" i="15"/>
  <c r="GY74" i="15"/>
  <c r="GI74" i="15"/>
  <c r="FS74" i="15"/>
  <c r="FC74" i="15"/>
  <c r="EM74" i="15"/>
  <c r="DW74" i="15"/>
  <c r="DG74" i="15"/>
  <c r="CQ74" i="15"/>
  <c r="CA74" i="15"/>
  <c r="BK74" i="15"/>
  <c r="AW74" i="15"/>
  <c r="AU74" i="15"/>
  <c r="AS74" i="15"/>
  <c r="AH74" i="15" a="1"/>
  <c r="AH74" i="15" s="1"/>
  <c r="AI74" i="15" s="1" a="1"/>
  <c r="AI74" i="15" s="1"/>
  <c r="P74" i="15" a="1"/>
  <c r="P74" i="15" s="1"/>
  <c r="OI73" i="15"/>
  <c r="NS73" i="15"/>
  <c r="NC73" i="15"/>
  <c r="MM73" i="15"/>
  <c r="LW73" i="15"/>
  <c r="LG73" i="15"/>
  <c r="KQ73" i="15"/>
  <c r="KA73" i="15"/>
  <c r="JK73" i="15"/>
  <c r="IU73" i="15"/>
  <c r="IE73" i="15"/>
  <c r="HO73" i="15"/>
  <c r="GY73" i="15"/>
  <c r="GI73" i="15"/>
  <c r="FS73" i="15"/>
  <c r="FC73" i="15"/>
  <c r="EM73" i="15"/>
  <c r="DW73" i="15"/>
  <c r="DG73" i="15"/>
  <c r="CQ73" i="15"/>
  <c r="CA73" i="15"/>
  <c r="BK73" i="15"/>
  <c r="AW73" i="15"/>
  <c r="AU73" i="15"/>
  <c r="AS73" i="15"/>
  <c r="AH73" i="15" a="1"/>
  <c r="AH73" i="15" s="1"/>
  <c r="AI73" i="15" s="1" a="1"/>
  <c r="AI73" i="15" s="1"/>
  <c r="P73" i="15" a="1"/>
  <c r="P73" i="15" s="1"/>
  <c r="Q73" i="15" s="1" a="1"/>
  <c r="Q73" i="15" s="1"/>
  <c r="OI69" i="15"/>
  <c r="NS69" i="15"/>
  <c r="NC69" i="15"/>
  <c r="MM69" i="15"/>
  <c r="LW69" i="15"/>
  <c r="LG69" i="15"/>
  <c r="KQ69" i="15"/>
  <c r="KA69" i="15"/>
  <c r="JK69" i="15"/>
  <c r="IU69" i="15"/>
  <c r="IE69" i="15"/>
  <c r="HO69" i="15"/>
  <c r="GY69" i="15"/>
  <c r="GI69" i="15"/>
  <c r="FS69" i="15"/>
  <c r="FC69" i="15"/>
  <c r="EM69" i="15"/>
  <c r="DW69" i="15"/>
  <c r="DG69" i="15"/>
  <c r="CQ69" i="15"/>
  <c r="CA69" i="15"/>
  <c r="BK69" i="15"/>
  <c r="AW69" i="15"/>
  <c r="AU69" i="15"/>
  <c r="AS69" i="15"/>
  <c r="AH69" i="15" a="1"/>
  <c r="AH69" i="15" s="1"/>
  <c r="AI69" i="15" s="1" a="1"/>
  <c r="AI69" i="15" s="1"/>
  <c r="AE69" i="15"/>
  <c r="AC69" i="15"/>
  <c r="AA69" i="15"/>
  <c r="P69" i="15" a="1"/>
  <c r="P69" i="15" s="1"/>
  <c r="OI68" i="15"/>
  <c r="NS68" i="15"/>
  <c r="NC68" i="15"/>
  <c r="MM68" i="15"/>
  <c r="LW68" i="15"/>
  <c r="LG68" i="15"/>
  <c r="KQ68" i="15"/>
  <c r="KA68" i="15"/>
  <c r="JK68" i="15"/>
  <c r="IU68" i="15"/>
  <c r="IE68" i="15"/>
  <c r="HO68" i="15"/>
  <c r="GY68" i="15"/>
  <c r="GI68" i="15"/>
  <c r="FS68" i="15"/>
  <c r="FC68" i="15"/>
  <c r="EM68" i="15"/>
  <c r="DW68" i="15"/>
  <c r="DG68" i="15"/>
  <c r="CQ68" i="15"/>
  <c r="CA68" i="15"/>
  <c r="BK68" i="15"/>
  <c r="AW68" i="15"/>
  <c r="AU68" i="15"/>
  <c r="AS68" i="15"/>
  <c r="AH68" i="15" a="1"/>
  <c r="AH68" i="15" s="1"/>
  <c r="AI68" i="15" s="1" a="1"/>
  <c r="AI68" i="15" s="1"/>
  <c r="AE68" i="15"/>
  <c r="AC68" i="15"/>
  <c r="AA68" i="15"/>
  <c r="P68" i="15" a="1"/>
  <c r="P68" i="15" s="1"/>
  <c r="Q68" i="15" s="1" a="1"/>
  <c r="Q68" i="15" s="1"/>
  <c r="OI67" i="15"/>
  <c r="NS67" i="15"/>
  <c r="NC67" i="15"/>
  <c r="MM67" i="15"/>
  <c r="LW67" i="15"/>
  <c r="LG67" i="15"/>
  <c r="KQ67" i="15"/>
  <c r="KA67" i="15"/>
  <c r="JK67" i="15"/>
  <c r="IU67" i="15"/>
  <c r="IE67" i="15"/>
  <c r="HO67" i="15"/>
  <c r="GY67" i="15"/>
  <c r="GI67" i="15"/>
  <c r="FS67" i="15"/>
  <c r="FC67" i="15"/>
  <c r="EM67" i="15"/>
  <c r="DW67" i="15"/>
  <c r="DG67" i="15"/>
  <c r="CQ67" i="15"/>
  <c r="CA67" i="15"/>
  <c r="BK67" i="15"/>
  <c r="AW67" i="15"/>
  <c r="AU67" i="15"/>
  <c r="AS67" i="15"/>
  <c r="AH67" i="15" a="1"/>
  <c r="AH67" i="15" s="1"/>
  <c r="AI67" i="15" s="1" a="1"/>
  <c r="AI67" i="15" s="1"/>
  <c r="AE67" i="15"/>
  <c r="AC67" i="15"/>
  <c r="AA67" i="15"/>
  <c r="P67" i="15" a="1"/>
  <c r="P67" i="15" s="1"/>
  <c r="Q67" i="15" s="1" a="1"/>
  <c r="Q67" i="15" s="1"/>
  <c r="OI66" i="15"/>
  <c r="NS66" i="15"/>
  <c r="NC66" i="15"/>
  <c r="MM66" i="15"/>
  <c r="LW66" i="15"/>
  <c r="LG66" i="15"/>
  <c r="KQ66" i="15"/>
  <c r="KA66" i="15"/>
  <c r="JK66" i="15"/>
  <c r="IU66" i="15"/>
  <c r="IE66" i="15"/>
  <c r="HO66" i="15"/>
  <c r="GY66" i="15"/>
  <c r="GI66" i="15"/>
  <c r="FS66" i="15"/>
  <c r="FC66" i="15"/>
  <c r="EM66" i="15"/>
  <c r="DW66" i="15"/>
  <c r="DG66" i="15"/>
  <c r="CQ66" i="15"/>
  <c r="CA66" i="15"/>
  <c r="BK66" i="15"/>
  <c r="AW66" i="15"/>
  <c r="AU66" i="15"/>
  <c r="AS66" i="15"/>
  <c r="AH66" i="15" a="1"/>
  <c r="AH66" i="15" s="1"/>
  <c r="AI66" i="15" s="1" a="1"/>
  <c r="AI66" i="15" s="1"/>
  <c r="AE66" i="15"/>
  <c r="AC66" i="15"/>
  <c r="AA66" i="15"/>
  <c r="P66" i="15" a="1"/>
  <c r="P66" i="15" s="1"/>
  <c r="Q66" i="15" s="1" a="1"/>
  <c r="Q66" i="15" s="1"/>
  <c r="OI65" i="15"/>
  <c r="NS65" i="15"/>
  <c r="NC65" i="15"/>
  <c r="MM65" i="15"/>
  <c r="LW65" i="15"/>
  <c r="LG65" i="15"/>
  <c r="KQ65" i="15"/>
  <c r="KA65" i="15"/>
  <c r="JK65" i="15"/>
  <c r="IU65" i="15"/>
  <c r="IE65" i="15"/>
  <c r="HO65" i="15"/>
  <c r="GY65" i="15"/>
  <c r="GI65" i="15"/>
  <c r="FS65" i="15"/>
  <c r="FC65" i="15"/>
  <c r="EM65" i="15"/>
  <c r="DW65" i="15"/>
  <c r="DG65" i="15"/>
  <c r="CQ65" i="15"/>
  <c r="CA65" i="15"/>
  <c r="BK65" i="15"/>
  <c r="AW65" i="15"/>
  <c r="AU65" i="15"/>
  <c r="AS65" i="15"/>
  <c r="AH65" i="15" a="1"/>
  <c r="AH65" i="15" s="1"/>
  <c r="AE65" i="15"/>
  <c r="AC65" i="15"/>
  <c r="AA65" i="15"/>
  <c r="P65" i="15" a="1"/>
  <c r="P65" i="15" s="1"/>
  <c r="Q65" i="15" s="1" a="1"/>
  <c r="Q65" i="15" s="1"/>
  <c r="OI64" i="15"/>
  <c r="NS64" i="15"/>
  <c r="NC64" i="15"/>
  <c r="MM64" i="15"/>
  <c r="LW64" i="15"/>
  <c r="LG64" i="15"/>
  <c r="KQ64" i="15"/>
  <c r="JK64" i="15"/>
  <c r="IU64" i="15"/>
  <c r="IE64" i="15"/>
  <c r="HO64" i="15"/>
  <c r="GY64" i="15"/>
  <c r="GI64" i="15"/>
  <c r="FS64" i="15"/>
  <c r="FC64" i="15"/>
  <c r="EM64" i="15"/>
  <c r="DW64" i="15"/>
  <c r="DG64" i="15"/>
  <c r="CQ64" i="15"/>
  <c r="AW64" i="15"/>
  <c r="AU64" i="15"/>
  <c r="AS64" i="15"/>
  <c r="AH64" i="15" a="1"/>
  <c r="AH64" i="15" s="1"/>
  <c r="AI64" i="15" s="1" a="1"/>
  <c r="AI64" i="15" s="1"/>
  <c r="AE64" i="15"/>
  <c r="AC64" i="15"/>
  <c r="P64" i="15" a="1"/>
  <c r="P64" i="15" s="1"/>
  <c r="AW104" i="13"/>
  <c r="AW103" i="13"/>
  <c r="AW102" i="13"/>
  <c r="AW96" i="13"/>
  <c r="AW95" i="13"/>
  <c r="AW94" i="13"/>
  <c r="AW93" i="13"/>
  <c r="AW88" i="13"/>
  <c r="AW86" i="13"/>
  <c r="AW85" i="13"/>
  <c r="AW76" i="13"/>
  <c r="AW75" i="13"/>
  <c r="AW74" i="13"/>
  <c r="AW73" i="13"/>
  <c r="AW69" i="13"/>
  <c r="AW68" i="13"/>
  <c r="AW67" i="13"/>
  <c r="AW66" i="13"/>
  <c r="AW65" i="13"/>
  <c r="AW64" i="13"/>
  <c r="AU104" i="13"/>
  <c r="AU103" i="13"/>
  <c r="AU102" i="13"/>
  <c r="AU96" i="13"/>
  <c r="AU95" i="13"/>
  <c r="AU94" i="13"/>
  <c r="AU93" i="13"/>
  <c r="AU88" i="13"/>
  <c r="AU86" i="13"/>
  <c r="AU85" i="13"/>
  <c r="AU76" i="13"/>
  <c r="AU75" i="13"/>
  <c r="AU74" i="13"/>
  <c r="AU73" i="13"/>
  <c r="AU69" i="13"/>
  <c r="AU68" i="13"/>
  <c r="AU67" i="13"/>
  <c r="AU66" i="13"/>
  <c r="AU65" i="13"/>
  <c r="AU64" i="13"/>
  <c r="AS104" i="13"/>
  <c r="AS103" i="13"/>
  <c r="AS102" i="13"/>
  <c r="AS96" i="13"/>
  <c r="AS95" i="13"/>
  <c r="AS94" i="13"/>
  <c r="AS93" i="13"/>
  <c r="AS88" i="13"/>
  <c r="AS86" i="13"/>
  <c r="AS85" i="13"/>
  <c r="AS76" i="13"/>
  <c r="AS75" i="13"/>
  <c r="AS74" i="13"/>
  <c r="AS73" i="13"/>
  <c r="AS69" i="13"/>
  <c r="AS68" i="13"/>
  <c r="AS67" i="13"/>
  <c r="AS66" i="13"/>
  <c r="AS65" i="13"/>
  <c r="AS64" i="13"/>
  <c r="AE104" i="13"/>
  <c r="AE103" i="13"/>
  <c r="AE102" i="13"/>
  <c r="AE96" i="13"/>
  <c r="AE95" i="13"/>
  <c r="AE94" i="13"/>
  <c r="AE93" i="13"/>
  <c r="AE88" i="13"/>
  <c r="AE86" i="13"/>
  <c r="AE85" i="13"/>
  <c r="AE76" i="13"/>
  <c r="AE75" i="13"/>
  <c r="AE74" i="13"/>
  <c r="AE73" i="13"/>
  <c r="AE69" i="13"/>
  <c r="AE68" i="13"/>
  <c r="AE67" i="13"/>
  <c r="AE66" i="13"/>
  <c r="AE65" i="13"/>
  <c r="AE64" i="13"/>
  <c r="AC104" i="13"/>
  <c r="AC103" i="13"/>
  <c r="AC102" i="13"/>
  <c r="AC96" i="13"/>
  <c r="AC95" i="13"/>
  <c r="AC94" i="13"/>
  <c r="AC93" i="13"/>
  <c r="AC88" i="13"/>
  <c r="AC86" i="13"/>
  <c r="AC85" i="13"/>
  <c r="AC76" i="13"/>
  <c r="AC75" i="13"/>
  <c r="AC74" i="13"/>
  <c r="AC73" i="13"/>
  <c r="AC69" i="13"/>
  <c r="AC68" i="13"/>
  <c r="AC67" i="13"/>
  <c r="AC66" i="13"/>
  <c r="AC65" i="13"/>
  <c r="AC64" i="13"/>
  <c r="AA65" i="13"/>
  <c r="AA66" i="13"/>
  <c r="AA67" i="13"/>
  <c r="AA68" i="13"/>
  <c r="AA69" i="13"/>
  <c r="AA73" i="13"/>
  <c r="AA74" i="13"/>
  <c r="AA75" i="13"/>
  <c r="AA76" i="13"/>
  <c r="AA85" i="13"/>
  <c r="AA86" i="13"/>
  <c r="AA88" i="13"/>
  <c r="AA93" i="13"/>
  <c r="AA94" i="13"/>
  <c r="AA95" i="13"/>
  <c r="AA96" i="13"/>
  <c r="AA102" i="13"/>
  <c r="AA103" i="13"/>
  <c r="AA104" i="13"/>
  <c r="AH104" i="13" a="1"/>
  <c r="AH104" i="13" s="1"/>
  <c r="AH103" i="13" a="1"/>
  <c r="AH103" i="13" s="1"/>
  <c r="AH102" i="13" a="1"/>
  <c r="AH102" i="13" s="1"/>
  <c r="AH96" i="13" a="1"/>
  <c r="AH96" i="13" s="1"/>
  <c r="AH95" i="13" a="1"/>
  <c r="AH95" i="13" s="1"/>
  <c r="AH94" i="13" a="1"/>
  <c r="AH94" i="13" s="1"/>
  <c r="AH93" i="13" a="1"/>
  <c r="AH93" i="13" s="1"/>
  <c r="AH88" i="13" a="1"/>
  <c r="AH88" i="13" s="1"/>
  <c r="AH86" i="13" a="1"/>
  <c r="AH86" i="13" s="1"/>
  <c r="AH85" i="13" a="1"/>
  <c r="AH85" i="13" s="1"/>
  <c r="AH76" i="13" a="1"/>
  <c r="AH76" i="13" s="1"/>
  <c r="AH75" i="13" a="1"/>
  <c r="AH75" i="13" s="1"/>
  <c r="AH74" i="13" a="1"/>
  <c r="AH74" i="13" s="1"/>
  <c r="AH73" i="13" a="1"/>
  <c r="AH73" i="13" s="1"/>
  <c r="AH69" i="13" a="1"/>
  <c r="AH69" i="13" s="1"/>
  <c r="AH68" i="13" a="1"/>
  <c r="AH68" i="13" s="1"/>
  <c r="AH67" i="13" a="1"/>
  <c r="AH67" i="13" s="1"/>
  <c r="AH66" i="13" a="1"/>
  <c r="AH66" i="13" s="1"/>
  <c r="AH65" i="13" a="1"/>
  <c r="AH65" i="13" s="1"/>
  <c r="AH64" i="13" a="1"/>
  <c r="AH64" i="13" s="1"/>
  <c r="P65" i="13" a="1"/>
  <c r="P65" i="13" s="1"/>
  <c r="P66" i="13" a="1"/>
  <c r="P66" i="13" s="1"/>
  <c r="P67" i="13" a="1"/>
  <c r="P67" i="13" s="1"/>
  <c r="P68" i="13" a="1"/>
  <c r="P68" i="13" s="1"/>
  <c r="P69" i="13" a="1"/>
  <c r="P69" i="13" s="1"/>
  <c r="P73" i="13" a="1"/>
  <c r="P73" i="13" s="1"/>
  <c r="P74" i="13" a="1"/>
  <c r="P74" i="13" s="1"/>
  <c r="P75" i="13" a="1"/>
  <c r="P75" i="13" s="1"/>
  <c r="P76" i="13" a="1"/>
  <c r="P76" i="13" s="1"/>
  <c r="P85" i="13" a="1"/>
  <c r="P85" i="13" s="1"/>
  <c r="P86" i="13" a="1"/>
  <c r="P86" i="13" s="1"/>
  <c r="P88" i="13" a="1"/>
  <c r="P88" i="13" s="1"/>
  <c r="P93" i="13" a="1"/>
  <c r="P93" i="13" s="1"/>
  <c r="P94" i="13" a="1"/>
  <c r="P94" i="13" s="1"/>
  <c r="P95" i="13" a="1"/>
  <c r="P95" i="13" s="1"/>
  <c r="P96" i="13" a="1"/>
  <c r="P96" i="13" s="1"/>
  <c r="P102" i="13" a="1"/>
  <c r="P102" i="13" s="1"/>
  <c r="P103" i="13" a="1"/>
  <c r="P103" i="13" s="1"/>
  <c r="P104" i="13" a="1"/>
  <c r="P104" i="13" s="1"/>
  <c r="P64" i="13" a="1"/>
  <c r="P64" i="13" s="1"/>
  <c r="OI104" i="13"/>
  <c r="OI103" i="13"/>
  <c r="OI102" i="13"/>
  <c r="OI96" i="13"/>
  <c r="OI95" i="13"/>
  <c r="OI94" i="13"/>
  <c r="OI93" i="13"/>
  <c r="OI88" i="13"/>
  <c r="OI86" i="13"/>
  <c r="OI85" i="13"/>
  <c r="OI76" i="13"/>
  <c r="OI75" i="13"/>
  <c r="OI74" i="13"/>
  <c r="OI73" i="13"/>
  <c r="OI69" i="13"/>
  <c r="OI68" i="13"/>
  <c r="OI67" i="13"/>
  <c r="OI66" i="13"/>
  <c r="OI65" i="13"/>
  <c r="OI64" i="13"/>
  <c r="NS104" i="13"/>
  <c r="NS103" i="13"/>
  <c r="NS102" i="13"/>
  <c r="NS96" i="13"/>
  <c r="NS95" i="13"/>
  <c r="NS94" i="13"/>
  <c r="NS93" i="13"/>
  <c r="NS88" i="13"/>
  <c r="NS86" i="13"/>
  <c r="NS85" i="13"/>
  <c r="NS76" i="13"/>
  <c r="NS75" i="13"/>
  <c r="NS74" i="13"/>
  <c r="NS73" i="13"/>
  <c r="NS69" i="13"/>
  <c r="NS68" i="13"/>
  <c r="NS67" i="13"/>
  <c r="NS66" i="13"/>
  <c r="NS65" i="13"/>
  <c r="NS64" i="13"/>
  <c r="NC104" i="13"/>
  <c r="NC103" i="13"/>
  <c r="NC102" i="13"/>
  <c r="NC96" i="13"/>
  <c r="NC95" i="13"/>
  <c r="NC94" i="13"/>
  <c r="NC93" i="13"/>
  <c r="NC88" i="13"/>
  <c r="NC86" i="13"/>
  <c r="NC85" i="13"/>
  <c r="NC76" i="13"/>
  <c r="NC75" i="13"/>
  <c r="NC74" i="13"/>
  <c r="NC73" i="13"/>
  <c r="NC69" i="13"/>
  <c r="NC68" i="13"/>
  <c r="NC67" i="13"/>
  <c r="NC66" i="13"/>
  <c r="NC65" i="13"/>
  <c r="NC64" i="13"/>
  <c r="MM104" i="13"/>
  <c r="MM103" i="13"/>
  <c r="MM102" i="13"/>
  <c r="MM96" i="13"/>
  <c r="MM95" i="13"/>
  <c r="MM94" i="13"/>
  <c r="MM93" i="13"/>
  <c r="MM88" i="13"/>
  <c r="MM86" i="13"/>
  <c r="MM85" i="13"/>
  <c r="MM76" i="13"/>
  <c r="MM75" i="13"/>
  <c r="MM74" i="13"/>
  <c r="MM73" i="13"/>
  <c r="MM69" i="13"/>
  <c r="MM68" i="13"/>
  <c r="MM67" i="13"/>
  <c r="MM66" i="13"/>
  <c r="MM65" i="13"/>
  <c r="MM64" i="13"/>
  <c r="LW104" i="13"/>
  <c r="LW103" i="13"/>
  <c r="LW102" i="13"/>
  <c r="LW96" i="13"/>
  <c r="LW95" i="13"/>
  <c r="LW94" i="13"/>
  <c r="LW93" i="13"/>
  <c r="LW88" i="13"/>
  <c r="LW86" i="13"/>
  <c r="LW85" i="13"/>
  <c r="LW76" i="13"/>
  <c r="LW75" i="13"/>
  <c r="LW74" i="13"/>
  <c r="LW73" i="13"/>
  <c r="LW69" i="13"/>
  <c r="LW68" i="13"/>
  <c r="LW67" i="13"/>
  <c r="LW66" i="13"/>
  <c r="LW65" i="13"/>
  <c r="LW64" i="13"/>
  <c r="LG104" i="13"/>
  <c r="LG103" i="13"/>
  <c r="LG102" i="13"/>
  <c r="LG96" i="13"/>
  <c r="LG95" i="13"/>
  <c r="LG94" i="13"/>
  <c r="LG93" i="13"/>
  <c r="LG88" i="13"/>
  <c r="LG86" i="13"/>
  <c r="LG85" i="13"/>
  <c r="LG76" i="13"/>
  <c r="LG75" i="13"/>
  <c r="LG74" i="13"/>
  <c r="LG73" i="13"/>
  <c r="LG69" i="13"/>
  <c r="LG68" i="13"/>
  <c r="LG67" i="13"/>
  <c r="LG66" i="13"/>
  <c r="LG65" i="13"/>
  <c r="LG64" i="13"/>
  <c r="KQ104" i="13"/>
  <c r="KQ103" i="13"/>
  <c r="KQ102" i="13"/>
  <c r="KQ96" i="13"/>
  <c r="KQ95" i="13"/>
  <c r="KQ94" i="13"/>
  <c r="KQ93" i="13"/>
  <c r="KQ88" i="13"/>
  <c r="KQ86" i="13"/>
  <c r="KQ85" i="13"/>
  <c r="KQ76" i="13"/>
  <c r="KQ75" i="13"/>
  <c r="KQ74" i="13"/>
  <c r="KQ73" i="13"/>
  <c r="KQ69" i="13"/>
  <c r="KQ68" i="13"/>
  <c r="KQ67" i="13"/>
  <c r="KQ66" i="13"/>
  <c r="KQ65" i="13"/>
  <c r="KQ64" i="13"/>
  <c r="KA104" i="13"/>
  <c r="KA103" i="13"/>
  <c r="KA102" i="13"/>
  <c r="KA96" i="13"/>
  <c r="KA95" i="13"/>
  <c r="KA94" i="13"/>
  <c r="KA93" i="13"/>
  <c r="KA88" i="13"/>
  <c r="KA86" i="13"/>
  <c r="KA85" i="13"/>
  <c r="KA76" i="13"/>
  <c r="KA75" i="13"/>
  <c r="KA74" i="13"/>
  <c r="KA73" i="13"/>
  <c r="KA69" i="13"/>
  <c r="KA68" i="13"/>
  <c r="KA67" i="13"/>
  <c r="KA66" i="13"/>
  <c r="KA65" i="13"/>
  <c r="JK104" i="13"/>
  <c r="JK103" i="13"/>
  <c r="JK102" i="13"/>
  <c r="JK96" i="13"/>
  <c r="JK95" i="13"/>
  <c r="JK94" i="13"/>
  <c r="JK93" i="13"/>
  <c r="JK88" i="13"/>
  <c r="JK86" i="13"/>
  <c r="JK85" i="13"/>
  <c r="JK76" i="13"/>
  <c r="JK75" i="13"/>
  <c r="JK74" i="13"/>
  <c r="JK73" i="13"/>
  <c r="JK69" i="13"/>
  <c r="JK68" i="13"/>
  <c r="JK67" i="13"/>
  <c r="JK66" i="13"/>
  <c r="JK65" i="13"/>
  <c r="JK64" i="13"/>
  <c r="BA10" i="13"/>
  <c r="BQ10" i="13"/>
  <c r="CG10" i="13"/>
  <c r="CW10" i="13"/>
  <c r="DM10" i="13"/>
  <c r="EC10" i="13"/>
  <c r="ES10" i="13"/>
  <c r="FI10" i="13"/>
  <c r="FY10" i="13"/>
  <c r="GO10" i="13"/>
  <c r="HE10" i="13"/>
  <c r="HU10" i="13"/>
  <c r="IK10" i="13"/>
  <c r="JA10" i="13"/>
  <c r="JQ10" i="13"/>
  <c r="KG10" i="13"/>
  <c r="KW10" i="13"/>
  <c r="LM10" i="13"/>
  <c r="MC10" i="13"/>
  <c r="MS10" i="13"/>
  <c r="NI10" i="13"/>
  <c r="NY10" i="13"/>
  <c r="NX5" i="13"/>
  <c r="NY6" i="13" s="1"/>
  <c r="NH5" i="13"/>
  <c r="NI6" i="13" s="1"/>
  <c r="MR5" i="13"/>
  <c r="MB5" i="13"/>
  <c r="LL5" i="13"/>
  <c r="LM6" i="13" s="1"/>
  <c r="KV5" i="13"/>
  <c r="KW6" i="13" s="1"/>
  <c r="KF5" i="13"/>
  <c r="JP5" i="13"/>
  <c r="IZ5" i="13"/>
  <c r="IJ5" i="13"/>
  <c r="HT5" i="13"/>
  <c r="HD5" i="13"/>
  <c r="GN5" i="13"/>
  <c r="FX5" i="13"/>
  <c r="FH5" i="13"/>
  <c r="ER5" i="13"/>
  <c r="EB5" i="13"/>
  <c r="DL5" i="13"/>
  <c r="CV5" i="13"/>
  <c r="CW6" i="13" s="1"/>
  <c r="CF5" i="13"/>
  <c r="BP5" i="13"/>
  <c r="BA10" i="15"/>
  <c r="BQ10" i="15"/>
  <c r="CG10" i="15"/>
  <c r="CW10" i="15"/>
  <c r="DM10" i="15"/>
  <c r="EC10" i="15"/>
  <c r="ES10" i="15"/>
  <c r="FI10" i="15"/>
  <c r="FY10" i="15"/>
  <c r="GO10" i="15"/>
  <c r="HE10" i="15"/>
  <c r="HU10" i="15"/>
  <c r="IK10" i="15"/>
  <c r="JA10" i="15"/>
  <c r="JQ10" i="15"/>
  <c r="KG10" i="15"/>
  <c r="KW10" i="15"/>
  <c r="LM10" i="15"/>
  <c r="MC10" i="15"/>
  <c r="MS10" i="15"/>
  <c r="NI10" i="15"/>
  <c r="NY10" i="15"/>
  <c r="NX5" i="15"/>
  <c r="NY6" i="15" s="1"/>
  <c r="NH5" i="15"/>
  <c r="NI6" i="15" s="1"/>
  <c r="MR5" i="15"/>
  <c r="MS6" i="15" s="1"/>
  <c r="MB5" i="15"/>
  <c r="MC6" i="15" s="1"/>
  <c r="LL5" i="15"/>
  <c r="LM6" i="15" s="1"/>
  <c r="KV5" i="15"/>
  <c r="KW6" i="15" s="1"/>
  <c r="KF5" i="15"/>
  <c r="KG6" i="15" s="1"/>
  <c r="JP5" i="15"/>
  <c r="IZ5" i="15"/>
  <c r="IJ5" i="15"/>
  <c r="HT5" i="15"/>
  <c r="HD5" i="15"/>
  <c r="GN5" i="15"/>
  <c r="FX5" i="15"/>
  <c r="FH5" i="15"/>
  <c r="ER5" i="15"/>
  <c r="EB5" i="15"/>
  <c r="DL5" i="15"/>
  <c r="DM6" i="15" s="1"/>
  <c r="CV5" i="15"/>
  <c r="CW6" i="15" s="1"/>
  <c r="CF5" i="15"/>
  <c r="BP5" i="15"/>
  <c r="BA10" i="16"/>
  <c r="BQ10" i="16"/>
  <c r="CG10" i="16"/>
  <c r="CW10" i="16"/>
  <c r="DM10" i="16"/>
  <c r="EC10" i="16"/>
  <c r="ES10" i="16"/>
  <c r="FI10" i="16"/>
  <c r="FY10" i="16"/>
  <c r="GO10" i="16"/>
  <c r="HE10" i="16"/>
  <c r="HU10" i="16"/>
  <c r="IK10" i="16"/>
  <c r="JA10" i="16"/>
  <c r="JQ10" i="16"/>
  <c r="KG10" i="16"/>
  <c r="KW10" i="16"/>
  <c r="LM10" i="16"/>
  <c r="MC10" i="16"/>
  <c r="MS10" i="16"/>
  <c r="NI10" i="16"/>
  <c r="NY10" i="16"/>
  <c r="NX5" i="16"/>
  <c r="NY6" i="16" s="1"/>
  <c r="NH5" i="16"/>
  <c r="NI6" i="16" s="1"/>
  <c r="MR5" i="16"/>
  <c r="MS6" i="16" s="1"/>
  <c r="MB5" i="16"/>
  <c r="LL5" i="16"/>
  <c r="LM6" i="16" s="1"/>
  <c r="KV5" i="16"/>
  <c r="KW6" i="16" s="1"/>
  <c r="KF5" i="16"/>
  <c r="KG6" i="16" s="1"/>
  <c r="JP5" i="16"/>
  <c r="IZ5" i="16"/>
  <c r="IJ5" i="16"/>
  <c r="HT5" i="16"/>
  <c r="HD5" i="16"/>
  <c r="GN5" i="16"/>
  <c r="FX5" i="16"/>
  <c r="FH5" i="16"/>
  <c r="ER5" i="16"/>
  <c r="EB5" i="16"/>
  <c r="DL5" i="16"/>
  <c r="CV5" i="16"/>
  <c r="CW6" i="16" s="1"/>
  <c r="CF5" i="16"/>
  <c r="BP5" i="16"/>
  <c r="BQ6" i="16" s="1"/>
  <c r="BA10" i="17"/>
  <c r="BQ10" i="17"/>
  <c r="CG10" i="17"/>
  <c r="CW10" i="17"/>
  <c r="DM10" i="17"/>
  <c r="EC10" i="17"/>
  <c r="ES10" i="17"/>
  <c r="FI10" i="17"/>
  <c r="FY10" i="17"/>
  <c r="GO10" i="17"/>
  <c r="HE10" i="17"/>
  <c r="HU10" i="17"/>
  <c r="IK10" i="17"/>
  <c r="JA10" i="17"/>
  <c r="JQ10" i="17"/>
  <c r="KG10" i="17"/>
  <c r="KW10" i="17"/>
  <c r="LM10" i="17"/>
  <c r="MC10" i="17"/>
  <c r="MS10" i="17"/>
  <c r="NI10" i="17"/>
  <c r="NY4" i="17"/>
  <c r="NY10" i="17"/>
  <c r="NX5" i="17"/>
  <c r="NY6" i="17" s="1"/>
  <c r="NH5" i="17"/>
  <c r="NI6" i="17" s="1"/>
  <c r="MR5" i="17"/>
  <c r="MS6" i="17" s="1"/>
  <c r="MB5" i="17"/>
  <c r="MC6" i="17" s="1"/>
  <c r="LL5" i="17"/>
  <c r="LM6" i="17" s="1"/>
  <c r="KV5" i="17"/>
  <c r="KW6" i="17" s="1"/>
  <c r="KF5" i="17"/>
  <c r="KG6" i="17" s="1"/>
  <c r="JP5" i="17"/>
  <c r="IZ5" i="17"/>
  <c r="IJ5" i="17"/>
  <c r="HT5" i="17"/>
  <c r="HD5" i="17"/>
  <c r="GN5" i="17"/>
  <c r="FX5" i="17"/>
  <c r="FH5" i="17"/>
  <c r="ER5" i="17"/>
  <c r="EB5" i="17"/>
  <c r="DL5" i="17"/>
  <c r="DM6" i="17" s="1"/>
  <c r="CV5" i="17"/>
  <c r="CW6" i="17" s="1"/>
  <c r="CF5" i="17"/>
  <c r="BP5" i="17"/>
  <c r="NX13" i="17"/>
  <c r="NH13" i="17"/>
  <c r="MR13" i="17"/>
  <c r="MB13" i="17"/>
  <c r="LL13" i="17"/>
  <c r="KV13" i="17"/>
  <c r="KF13" i="17"/>
  <c r="JP13" i="17"/>
  <c r="IZ13" i="17"/>
  <c r="IJ13" i="17"/>
  <c r="HT13" i="17"/>
  <c r="HD13" i="17"/>
  <c r="GN13" i="17"/>
  <c r="FX13" i="17"/>
  <c r="FH13" i="17"/>
  <c r="ER13" i="17"/>
  <c r="EB13" i="17"/>
  <c r="DL13" i="17"/>
  <c r="CV13" i="17"/>
  <c r="CF13" i="17"/>
  <c r="BP13" i="17"/>
  <c r="AZ13" i="17"/>
  <c r="NX14" i="17"/>
  <c r="NH14" i="17"/>
  <c r="MR14" i="17"/>
  <c r="MB14" i="17"/>
  <c r="LL14" i="17"/>
  <c r="KV14" i="17"/>
  <c r="KF14" i="17"/>
  <c r="JP14" i="17"/>
  <c r="IZ14" i="17"/>
  <c r="IJ14" i="17"/>
  <c r="HT14" i="17"/>
  <c r="HD14" i="17"/>
  <c r="GN14" i="17"/>
  <c r="FX14" i="17"/>
  <c r="FH14" i="17"/>
  <c r="NX13" i="16"/>
  <c r="NH13" i="16"/>
  <c r="MR13" i="16"/>
  <c r="MB13" i="16"/>
  <c r="LL13" i="16"/>
  <c r="KV13" i="16"/>
  <c r="KF13" i="16"/>
  <c r="JP13" i="16"/>
  <c r="IZ13" i="16"/>
  <c r="IJ13" i="16"/>
  <c r="HT13" i="16"/>
  <c r="HD13" i="16"/>
  <c r="GN13" i="16"/>
  <c r="FX13" i="16"/>
  <c r="FH13" i="16"/>
  <c r="ER13" i="16"/>
  <c r="EB13" i="16"/>
  <c r="DL13" i="16"/>
  <c r="CV13" i="16"/>
  <c r="CF13" i="16"/>
  <c r="BP13" i="16"/>
  <c r="NX14" i="16"/>
  <c r="NH14" i="16"/>
  <c r="MR14" i="16"/>
  <c r="MB14" i="16"/>
  <c r="LL14" i="16"/>
  <c r="KV14" i="16"/>
  <c r="KF14" i="16"/>
  <c r="JP14" i="16"/>
  <c r="IZ14" i="16"/>
  <c r="IJ14" i="16"/>
  <c r="HT14" i="16"/>
  <c r="HD14" i="16"/>
  <c r="GN14" i="16"/>
  <c r="FX14" i="16"/>
  <c r="FH14" i="16"/>
  <c r="AZ13" i="16"/>
  <c r="NX14" i="13"/>
  <c r="NX13" i="15"/>
  <c r="NH13" i="15"/>
  <c r="MR13" i="15"/>
  <c r="MB13" i="15"/>
  <c r="LL13" i="15"/>
  <c r="KV13" i="15"/>
  <c r="KF13" i="15"/>
  <c r="JP13" i="15"/>
  <c r="IZ13" i="15"/>
  <c r="IJ13" i="15"/>
  <c r="HT13" i="15"/>
  <c r="HD13" i="15"/>
  <c r="GN13" i="15"/>
  <c r="FX13" i="15"/>
  <c r="FH13" i="15"/>
  <c r="ER13" i="15"/>
  <c r="EB13" i="15"/>
  <c r="DL13" i="15"/>
  <c r="CV13" i="15"/>
  <c r="CF13" i="15"/>
  <c r="BP13" i="15"/>
  <c r="AZ13" i="15"/>
  <c r="NX14" i="15"/>
  <c r="NH14" i="15"/>
  <c r="MR14" i="15"/>
  <c r="MB14" i="15"/>
  <c r="LL14" i="15"/>
  <c r="KV14" i="15"/>
  <c r="KF14" i="15"/>
  <c r="JP14" i="15"/>
  <c r="IZ14" i="15"/>
  <c r="IJ14" i="15"/>
  <c r="HT14" i="15"/>
  <c r="HD14" i="15"/>
  <c r="GN14" i="15"/>
  <c r="FX14" i="15"/>
  <c r="FH14" i="15"/>
  <c r="ER14" i="15"/>
  <c r="EB14" i="15"/>
  <c r="DL14" i="15"/>
  <c r="CV14" i="15"/>
  <c r="CF14" i="15"/>
  <c r="BP14" i="15"/>
  <c r="AZ13" i="13"/>
  <c r="AZ14" i="15"/>
  <c r="AH6" i="13"/>
  <c r="P6" i="13"/>
  <c r="CX64" i="17" l="1"/>
  <c r="CW64" i="17"/>
  <c r="CV64" i="17"/>
  <c r="B66" i="24"/>
  <c r="JD88" i="13"/>
  <c r="JC88" i="13"/>
  <c r="JB88" i="13"/>
  <c r="JA88" i="13"/>
  <c r="JH88" i="13"/>
  <c r="IZ88" i="13"/>
  <c r="JG88" i="13"/>
  <c r="JF88" i="13"/>
  <c r="JE88" i="13"/>
  <c r="KK69" i="13"/>
  <c r="KJ69" i="13"/>
  <c r="KI69" i="13"/>
  <c r="KH69" i="13"/>
  <c r="KG69" i="13"/>
  <c r="KN69" i="13"/>
  <c r="KM69" i="13"/>
  <c r="KL69" i="13"/>
  <c r="KF69" i="13"/>
  <c r="LB102" i="13"/>
  <c r="LA102" i="13"/>
  <c r="KZ102" i="13"/>
  <c r="KY102" i="13"/>
  <c r="KX102" i="13"/>
  <c r="LD102" i="13"/>
  <c r="LC102" i="13"/>
  <c r="KW102" i="13"/>
  <c r="KV102" i="13"/>
  <c r="MC76" i="13"/>
  <c r="MJ76" i="13"/>
  <c r="MB76" i="13"/>
  <c r="MI76" i="13"/>
  <c r="MH76" i="13"/>
  <c r="MG76" i="13"/>
  <c r="MF76" i="13"/>
  <c r="ME76" i="13"/>
  <c r="MD76" i="13"/>
  <c r="MU93" i="13"/>
  <c r="MY93" i="13"/>
  <c r="MW93" i="13"/>
  <c r="MV93" i="13"/>
  <c r="MT93" i="13"/>
  <c r="MS93" i="13"/>
  <c r="MR93" i="13"/>
  <c r="MZ93" i="13"/>
  <c r="MX93" i="13"/>
  <c r="NM76" i="13"/>
  <c r="NH76" i="13"/>
  <c r="NL76" i="13"/>
  <c r="NK76" i="13"/>
  <c r="NJ76" i="13"/>
  <c r="NI76" i="13"/>
  <c r="NP76" i="13"/>
  <c r="NO76" i="13"/>
  <c r="NN76" i="13"/>
  <c r="JA95" i="13"/>
  <c r="JH95" i="13"/>
  <c r="IZ95" i="13"/>
  <c r="JG95" i="13"/>
  <c r="JF95" i="13"/>
  <c r="JE95" i="13"/>
  <c r="JD95" i="13"/>
  <c r="JC95" i="13"/>
  <c r="JB95" i="13"/>
  <c r="JQ68" i="13"/>
  <c r="JX68" i="13"/>
  <c r="JP68" i="13"/>
  <c r="JW68" i="13"/>
  <c r="JV68" i="13"/>
  <c r="JU68" i="13"/>
  <c r="JR68" i="13"/>
  <c r="JT68" i="13"/>
  <c r="JS68" i="13"/>
  <c r="JQ88" i="13"/>
  <c r="JX88" i="13"/>
  <c r="JP88" i="13"/>
  <c r="JW88" i="13"/>
  <c r="JV88" i="13"/>
  <c r="JU88" i="13"/>
  <c r="JT88" i="13"/>
  <c r="JS88" i="13"/>
  <c r="JR88" i="13"/>
  <c r="KI75" i="13"/>
  <c r="KH75" i="13"/>
  <c r="KG75" i="13"/>
  <c r="KN75" i="13"/>
  <c r="KF75" i="13"/>
  <c r="KM75" i="13"/>
  <c r="KL75" i="13"/>
  <c r="KK75" i="13"/>
  <c r="KJ75" i="13"/>
  <c r="KH96" i="13"/>
  <c r="KG96" i="13"/>
  <c r="KN96" i="13"/>
  <c r="KF96" i="13"/>
  <c r="KM96" i="13"/>
  <c r="KL96" i="13"/>
  <c r="KK96" i="13"/>
  <c r="KJ96" i="13"/>
  <c r="KI96" i="13"/>
  <c r="KY68" i="13"/>
  <c r="KX68" i="13"/>
  <c r="KW68" i="13"/>
  <c r="LD68" i="13"/>
  <c r="KV68" i="13"/>
  <c r="LC68" i="13"/>
  <c r="LB68" i="13"/>
  <c r="LA68" i="13"/>
  <c r="KZ68" i="13"/>
  <c r="KY88" i="13"/>
  <c r="KX88" i="13"/>
  <c r="KW88" i="13"/>
  <c r="LD88" i="13"/>
  <c r="KV88" i="13"/>
  <c r="LC88" i="13"/>
  <c r="LB88" i="13"/>
  <c r="LA88" i="13"/>
  <c r="KZ88" i="13"/>
  <c r="LQ75" i="13"/>
  <c r="LP75" i="13"/>
  <c r="LO75" i="13"/>
  <c r="LN75" i="13"/>
  <c r="LM75" i="13"/>
  <c r="LT75" i="13"/>
  <c r="LS75" i="13"/>
  <c r="LR75" i="13"/>
  <c r="LL75" i="13"/>
  <c r="LP96" i="13"/>
  <c r="LO96" i="13"/>
  <c r="LN96" i="13"/>
  <c r="LM96" i="13"/>
  <c r="LT96" i="13"/>
  <c r="LL96" i="13"/>
  <c r="LS96" i="13"/>
  <c r="LR96" i="13"/>
  <c r="LQ96" i="13"/>
  <c r="MG68" i="13"/>
  <c r="MF68" i="13"/>
  <c r="ME68" i="13"/>
  <c r="MD68" i="13"/>
  <c r="MC68" i="13"/>
  <c r="MJ68" i="13"/>
  <c r="MI68" i="13"/>
  <c r="MH68" i="13"/>
  <c r="MB68" i="13"/>
  <c r="MG88" i="13"/>
  <c r="MH88" i="13"/>
  <c r="MF88" i="13"/>
  <c r="ME88" i="13"/>
  <c r="MD88" i="13"/>
  <c r="MC88" i="13"/>
  <c r="MJ88" i="13"/>
  <c r="MI88" i="13"/>
  <c r="MB88" i="13"/>
  <c r="MY75" i="13"/>
  <c r="MZ75" i="13"/>
  <c r="MX75" i="13"/>
  <c r="MW75" i="13"/>
  <c r="MV75" i="13"/>
  <c r="MU75" i="13"/>
  <c r="MT75" i="13"/>
  <c r="MS75" i="13"/>
  <c r="MR75" i="13"/>
  <c r="MZ96" i="13"/>
  <c r="MR96" i="13"/>
  <c r="MY96" i="13"/>
  <c r="MX96" i="13"/>
  <c r="MW96" i="13"/>
  <c r="MV96" i="13"/>
  <c r="MU96" i="13"/>
  <c r="MT96" i="13"/>
  <c r="MS96" i="13"/>
  <c r="NI68" i="13"/>
  <c r="NP68" i="13"/>
  <c r="NO68" i="13"/>
  <c r="NN68" i="13"/>
  <c r="NM68" i="13"/>
  <c r="NL68" i="13"/>
  <c r="NK68" i="13"/>
  <c r="NJ68" i="13"/>
  <c r="NH68" i="13"/>
  <c r="NI88" i="13"/>
  <c r="NH88" i="13"/>
  <c r="NP88" i="13"/>
  <c r="NO88" i="13"/>
  <c r="NN88" i="13"/>
  <c r="NM88" i="13"/>
  <c r="NL88" i="13"/>
  <c r="NK88" i="13"/>
  <c r="NJ88" i="13"/>
  <c r="OA75" i="13"/>
  <c r="NZ75" i="13"/>
  <c r="OC75" i="13"/>
  <c r="OF75" i="13"/>
  <c r="OE75" i="13"/>
  <c r="OD75" i="13"/>
  <c r="OB75" i="13"/>
  <c r="NY75" i="13"/>
  <c r="NX75" i="13"/>
  <c r="NZ96" i="13"/>
  <c r="OB96" i="13"/>
  <c r="OD96" i="13"/>
  <c r="OA96" i="13"/>
  <c r="NY96" i="13"/>
  <c r="NX96" i="13"/>
  <c r="OF96" i="13"/>
  <c r="OE96" i="13"/>
  <c r="OC96" i="13"/>
  <c r="DB65" i="15"/>
  <c r="CY65" i="15"/>
  <c r="CX65" i="15"/>
  <c r="DD65" i="15"/>
  <c r="DC65" i="15"/>
  <c r="CV65" i="15"/>
  <c r="DA65" i="15"/>
  <c r="CW65" i="15"/>
  <c r="CZ65" i="15"/>
  <c r="MY65" i="15"/>
  <c r="MW65" i="15"/>
  <c r="MZ65" i="15"/>
  <c r="MX65" i="15"/>
  <c r="MV65" i="15"/>
  <c r="MU65" i="15"/>
  <c r="MT65" i="15"/>
  <c r="MS65" i="15"/>
  <c r="MR65" i="15"/>
  <c r="JF66" i="15"/>
  <c r="JE66" i="15"/>
  <c r="JD66" i="15"/>
  <c r="JC66" i="15"/>
  <c r="JB66" i="15"/>
  <c r="JA66" i="15"/>
  <c r="IZ66" i="15"/>
  <c r="JH66" i="15"/>
  <c r="JG66" i="15"/>
  <c r="OC66" i="15"/>
  <c r="NY66" i="15"/>
  <c r="OF66" i="15"/>
  <c r="OE66" i="15"/>
  <c r="OD66" i="15"/>
  <c r="OB66" i="15"/>
  <c r="OA66" i="15"/>
  <c r="NZ66" i="15"/>
  <c r="NX66" i="15"/>
  <c r="FK67" i="15"/>
  <c r="FJ67" i="15"/>
  <c r="FI67" i="15"/>
  <c r="FP67" i="15"/>
  <c r="FH67" i="15"/>
  <c r="FO67" i="15"/>
  <c r="FM67" i="15"/>
  <c r="FL67" i="15"/>
  <c r="FN67" i="15"/>
  <c r="KM67" i="15"/>
  <c r="KL67" i="15"/>
  <c r="KK67" i="15"/>
  <c r="KJ67" i="15"/>
  <c r="KI67" i="15"/>
  <c r="KH67" i="15"/>
  <c r="KG67" i="15"/>
  <c r="KN67" i="15"/>
  <c r="KF67" i="15"/>
  <c r="BX68" i="15"/>
  <c r="BP68" i="15"/>
  <c r="BW68" i="15"/>
  <c r="BQ68" i="15"/>
  <c r="BR68" i="15"/>
  <c r="BV68" i="15"/>
  <c r="BU68" i="15"/>
  <c r="BT68" i="15"/>
  <c r="BS68" i="15"/>
  <c r="GV68" i="15"/>
  <c r="GN68" i="15"/>
  <c r="GR68" i="15"/>
  <c r="GQ68" i="15"/>
  <c r="GP68" i="15"/>
  <c r="GO68" i="15"/>
  <c r="GU68" i="15"/>
  <c r="GT68" i="15"/>
  <c r="GS68" i="15"/>
  <c r="LN68" i="15"/>
  <c r="LT68" i="15"/>
  <c r="LL68" i="15"/>
  <c r="LP68" i="15"/>
  <c r="LO68" i="15"/>
  <c r="LM68" i="15"/>
  <c r="LS68" i="15"/>
  <c r="LR68" i="15"/>
  <c r="LQ68" i="15"/>
  <c r="CX69" i="15"/>
  <c r="DC69" i="15"/>
  <c r="DB69" i="15"/>
  <c r="CV69" i="15"/>
  <c r="DA69" i="15"/>
  <c r="CZ69" i="15"/>
  <c r="CY69" i="15"/>
  <c r="DD69" i="15"/>
  <c r="CW69" i="15"/>
  <c r="MZ69" i="15"/>
  <c r="MR69" i="15"/>
  <c r="MW69" i="15"/>
  <c r="MU69" i="15"/>
  <c r="MY69" i="15"/>
  <c r="MX69" i="15"/>
  <c r="MV69" i="15"/>
  <c r="MT69" i="15"/>
  <c r="MS69" i="15"/>
  <c r="BA73" i="15"/>
  <c r="BE73" i="15"/>
  <c r="BG73" i="15"/>
  <c r="BH73" i="15"/>
  <c r="BF73" i="15"/>
  <c r="BD73" i="15"/>
  <c r="BC73" i="15"/>
  <c r="BB73" i="15"/>
  <c r="AZ73" i="15"/>
  <c r="FY73" i="15"/>
  <c r="FZ73" i="15"/>
  <c r="FX73" i="15"/>
  <c r="GF73" i="15"/>
  <c r="GE73" i="15"/>
  <c r="GD73" i="15"/>
  <c r="GC73" i="15"/>
  <c r="GB73" i="15"/>
  <c r="GA73" i="15"/>
  <c r="KY73" i="15"/>
  <c r="KX73" i="15"/>
  <c r="KW73" i="15"/>
  <c r="KV73" i="15"/>
  <c r="LD73" i="15"/>
  <c r="LC73" i="15"/>
  <c r="LB73" i="15"/>
  <c r="LA73" i="15"/>
  <c r="KZ73" i="15"/>
  <c r="CH75" i="15"/>
  <c r="CM75" i="15"/>
  <c r="CL75" i="15"/>
  <c r="CI75" i="15"/>
  <c r="CG75" i="15"/>
  <c r="CF75" i="15"/>
  <c r="CK75" i="15"/>
  <c r="CN75" i="15"/>
  <c r="CJ75" i="15"/>
  <c r="HF75" i="15"/>
  <c r="HJ75" i="15"/>
  <c r="HI75" i="15"/>
  <c r="HH75" i="15"/>
  <c r="HG75" i="15"/>
  <c r="HE75" i="15"/>
  <c r="HK75" i="15"/>
  <c r="HD75" i="15"/>
  <c r="HL75" i="15"/>
  <c r="MF75" i="15"/>
  <c r="MD75" i="15"/>
  <c r="MJ75" i="15"/>
  <c r="MI75" i="15"/>
  <c r="MH75" i="15"/>
  <c r="MG75" i="15"/>
  <c r="ME75" i="15"/>
  <c r="MC75" i="15"/>
  <c r="MB75" i="15"/>
  <c r="FI76" i="15"/>
  <c r="FP76" i="15"/>
  <c r="FO76" i="15"/>
  <c r="FN76" i="15"/>
  <c r="FM76" i="15"/>
  <c r="FL76" i="15"/>
  <c r="FK76" i="15"/>
  <c r="FJ76" i="15"/>
  <c r="FH76" i="15"/>
  <c r="KH76" i="15"/>
  <c r="KG76" i="15"/>
  <c r="KJ76" i="15"/>
  <c r="KI76" i="15"/>
  <c r="KF76" i="15"/>
  <c r="KN76" i="15"/>
  <c r="KM76" i="15"/>
  <c r="KL76" i="15"/>
  <c r="KK76" i="15"/>
  <c r="DT85" i="15"/>
  <c r="DL85" i="15"/>
  <c r="DQ85" i="15"/>
  <c r="DP85" i="15"/>
  <c r="DN85" i="15"/>
  <c r="DM85" i="15"/>
  <c r="DS85" i="15"/>
  <c r="DR85" i="15"/>
  <c r="DO85" i="15"/>
  <c r="NP85" i="15"/>
  <c r="NH85" i="15"/>
  <c r="NN85" i="15"/>
  <c r="NM85" i="15"/>
  <c r="NL85" i="15"/>
  <c r="NI85" i="15"/>
  <c r="NO85" i="15"/>
  <c r="NJ85" i="15"/>
  <c r="NK85" i="15"/>
  <c r="BQ86" i="15"/>
  <c r="BV86" i="15"/>
  <c r="BR86" i="15"/>
  <c r="BX86" i="15"/>
  <c r="BW86" i="15"/>
  <c r="BU86" i="15"/>
  <c r="BT86" i="15"/>
  <c r="BS86" i="15"/>
  <c r="BP86" i="15"/>
  <c r="GO86" i="15"/>
  <c r="GR86" i="15"/>
  <c r="GQ86" i="15"/>
  <c r="GP86" i="15"/>
  <c r="GN86" i="15"/>
  <c r="GV86" i="15"/>
  <c r="GT86" i="15"/>
  <c r="GS86" i="15"/>
  <c r="GU86" i="15"/>
  <c r="LO86" i="15"/>
  <c r="LM86" i="15"/>
  <c r="LQ86" i="15"/>
  <c r="LP86" i="15"/>
  <c r="LN86" i="15"/>
  <c r="LL86" i="15"/>
  <c r="LT86" i="15"/>
  <c r="LS86" i="15"/>
  <c r="LR86" i="15"/>
  <c r="EW88" i="15"/>
  <c r="ET88" i="15"/>
  <c r="ES88" i="15"/>
  <c r="EU88" i="15"/>
  <c r="ER88" i="15"/>
  <c r="EZ88" i="15"/>
  <c r="EY88" i="15"/>
  <c r="EX88" i="15"/>
  <c r="EV88" i="15"/>
  <c r="JQ88" i="15"/>
  <c r="JX88" i="15"/>
  <c r="JP88" i="15"/>
  <c r="JW88" i="15"/>
  <c r="JV88" i="15"/>
  <c r="JU88" i="15"/>
  <c r="JS88" i="15"/>
  <c r="JR88" i="15"/>
  <c r="JT88" i="15"/>
  <c r="BB93" i="15"/>
  <c r="BF93" i="15"/>
  <c r="BH93" i="15"/>
  <c r="BE93" i="15"/>
  <c r="BD93" i="15"/>
  <c r="BC93" i="15"/>
  <c r="BA93" i="15"/>
  <c r="AZ93" i="15"/>
  <c r="BG93" i="15"/>
  <c r="FZ93" i="15"/>
  <c r="GA93" i="15"/>
  <c r="FY93" i="15"/>
  <c r="FX93" i="15"/>
  <c r="GF93" i="15"/>
  <c r="GE93" i="15"/>
  <c r="GC93" i="15"/>
  <c r="GB93" i="15"/>
  <c r="GD93" i="15"/>
  <c r="KZ93" i="15"/>
  <c r="KY93" i="15"/>
  <c r="KX93" i="15"/>
  <c r="KW93" i="15"/>
  <c r="KV93" i="15"/>
  <c r="LD93" i="15"/>
  <c r="LC93" i="15"/>
  <c r="LA93" i="15"/>
  <c r="LB93" i="15"/>
  <c r="CJ94" i="15"/>
  <c r="CG94" i="15"/>
  <c r="CN94" i="15"/>
  <c r="CF94" i="15"/>
  <c r="CI94" i="15"/>
  <c r="CM94" i="15"/>
  <c r="CL94" i="15"/>
  <c r="CK94" i="15"/>
  <c r="CH94" i="15"/>
  <c r="HG94" i="15"/>
  <c r="HK94" i="15"/>
  <c r="HJ94" i="15"/>
  <c r="HI94" i="15"/>
  <c r="HH94" i="15"/>
  <c r="HF94" i="15"/>
  <c r="HE94" i="15"/>
  <c r="HD94" i="15"/>
  <c r="HL94" i="15"/>
  <c r="MG94" i="15"/>
  <c r="ME94" i="15"/>
  <c r="MJ94" i="15"/>
  <c r="MI94" i="15"/>
  <c r="MH94" i="15"/>
  <c r="MF94" i="15"/>
  <c r="MD94" i="15"/>
  <c r="MC94" i="15"/>
  <c r="MB94" i="15"/>
  <c r="DO95" i="15"/>
  <c r="DT95" i="15"/>
  <c r="DL95" i="15"/>
  <c r="DS95" i="15"/>
  <c r="DR95" i="15"/>
  <c r="DQ95" i="15"/>
  <c r="DN95" i="15"/>
  <c r="DM95" i="15"/>
  <c r="DP95" i="15"/>
  <c r="IN95" i="15"/>
  <c r="IM95" i="15"/>
  <c r="IP95" i="15"/>
  <c r="IO95" i="15"/>
  <c r="IL95" i="15"/>
  <c r="IK95" i="15"/>
  <c r="IJ95" i="15"/>
  <c r="IQ95" i="15"/>
  <c r="IR95" i="15"/>
  <c r="NK95" i="15"/>
  <c r="NH95" i="15"/>
  <c r="NO95" i="15"/>
  <c r="NN95" i="15"/>
  <c r="NM95" i="15"/>
  <c r="NL95" i="15"/>
  <c r="NP95" i="15"/>
  <c r="NJ95" i="15"/>
  <c r="NI95" i="15"/>
  <c r="ES96" i="15"/>
  <c r="EX96" i="15"/>
  <c r="EW96" i="15"/>
  <c r="EV96" i="15"/>
  <c r="EU96" i="15"/>
  <c r="ET96" i="15"/>
  <c r="EZ96" i="15"/>
  <c r="EY96" i="15"/>
  <c r="ER96" i="15"/>
  <c r="JU96" i="15"/>
  <c r="JT96" i="15"/>
  <c r="JW96" i="15"/>
  <c r="JV96" i="15"/>
  <c r="JS96" i="15"/>
  <c r="JR96" i="15"/>
  <c r="JQ96" i="15"/>
  <c r="JX96" i="15"/>
  <c r="JP96" i="15"/>
  <c r="BF102" i="15"/>
  <c r="BG102" i="15"/>
  <c r="AZ102" i="15"/>
  <c r="BE102" i="15"/>
  <c r="BD102" i="15"/>
  <c r="BC102" i="15"/>
  <c r="BB102" i="15"/>
  <c r="BA102" i="15"/>
  <c r="BH102" i="15"/>
  <c r="GD102" i="15"/>
  <c r="GA102" i="15"/>
  <c r="FZ102" i="15"/>
  <c r="FY102" i="15"/>
  <c r="FX102" i="15"/>
  <c r="GF102" i="15"/>
  <c r="GC102" i="15"/>
  <c r="GB102" i="15"/>
  <c r="GE102" i="15"/>
  <c r="LD102" i="15"/>
  <c r="KV102" i="15"/>
  <c r="LB102" i="15"/>
  <c r="KZ102" i="15"/>
  <c r="KY102" i="15"/>
  <c r="KX102" i="15"/>
  <c r="KW102" i="15"/>
  <c r="LA102" i="15"/>
  <c r="LC102" i="15"/>
  <c r="CN103" i="15"/>
  <c r="CF103" i="15"/>
  <c r="CK103" i="15"/>
  <c r="CJ103" i="15"/>
  <c r="CH103" i="15"/>
  <c r="CG103" i="15"/>
  <c r="CL103" i="15"/>
  <c r="CM103" i="15"/>
  <c r="CI103" i="15"/>
  <c r="HK103" i="15"/>
  <c r="HJ103" i="15"/>
  <c r="HL103" i="15"/>
  <c r="HI103" i="15"/>
  <c r="HH103" i="15"/>
  <c r="HG103" i="15"/>
  <c r="HF103" i="15"/>
  <c r="HE103" i="15"/>
  <c r="HD103" i="15"/>
  <c r="MC103" i="15"/>
  <c r="MI103" i="15"/>
  <c r="MG103" i="15"/>
  <c r="MF103" i="15"/>
  <c r="ME103" i="15"/>
  <c r="MD103" i="15"/>
  <c r="MB103" i="15"/>
  <c r="MH103" i="15"/>
  <c r="MJ103" i="15"/>
  <c r="DS104" i="15"/>
  <c r="DP104" i="15"/>
  <c r="DO104" i="15"/>
  <c r="DT104" i="15"/>
  <c r="DQ104" i="15"/>
  <c r="DN104" i="15"/>
  <c r="DM104" i="15"/>
  <c r="DL104" i="15"/>
  <c r="DR104" i="15"/>
  <c r="IR104" i="15"/>
  <c r="IJ104" i="15"/>
  <c r="IQ104" i="15"/>
  <c r="IL104" i="15"/>
  <c r="IK104" i="15"/>
  <c r="IP104" i="15"/>
  <c r="IO104" i="15"/>
  <c r="IN104" i="15"/>
  <c r="IM104" i="15"/>
  <c r="NO104" i="15"/>
  <c r="NI104" i="15"/>
  <c r="NP104" i="15"/>
  <c r="NN104" i="15"/>
  <c r="NM104" i="15"/>
  <c r="NL104" i="15"/>
  <c r="NK104" i="15"/>
  <c r="NJ104" i="15"/>
  <c r="NH104" i="15"/>
  <c r="CM65" i="16"/>
  <c r="CJ65" i="16"/>
  <c r="CI65" i="16"/>
  <c r="CH65" i="16"/>
  <c r="CG65" i="16"/>
  <c r="CF65" i="16"/>
  <c r="CN65" i="16"/>
  <c r="CL65" i="16"/>
  <c r="CK65" i="16"/>
  <c r="HL65" i="16"/>
  <c r="HD65" i="16"/>
  <c r="HK65" i="16"/>
  <c r="HJ65" i="16"/>
  <c r="HI65" i="16"/>
  <c r="HH65" i="16"/>
  <c r="HG65" i="16"/>
  <c r="HF65" i="16"/>
  <c r="HE65" i="16"/>
  <c r="MH65" i="16"/>
  <c r="MG65" i="16"/>
  <c r="MF65" i="16"/>
  <c r="ME65" i="16"/>
  <c r="MD65" i="16"/>
  <c r="MC65" i="16"/>
  <c r="MJ65" i="16"/>
  <c r="MB65" i="16"/>
  <c r="MI65" i="16"/>
  <c r="DO66" i="16"/>
  <c r="DN66" i="16"/>
  <c r="DM66" i="16"/>
  <c r="DT66" i="16"/>
  <c r="DL66" i="16"/>
  <c r="DS66" i="16"/>
  <c r="DQ66" i="16"/>
  <c r="DP66" i="16"/>
  <c r="DR66" i="16"/>
  <c r="IN66" i="16"/>
  <c r="IM66" i="16"/>
  <c r="IL66" i="16"/>
  <c r="IK66" i="16"/>
  <c r="IR66" i="16"/>
  <c r="IJ66" i="16"/>
  <c r="IQ66" i="16"/>
  <c r="IP66" i="16"/>
  <c r="IO66" i="16"/>
  <c r="NP66" i="16"/>
  <c r="NH66" i="16"/>
  <c r="NO66" i="16"/>
  <c r="NN66" i="16"/>
  <c r="NM66" i="16"/>
  <c r="NK66" i="16"/>
  <c r="NL66" i="16"/>
  <c r="NJ66" i="16"/>
  <c r="NI66" i="16"/>
  <c r="EX67" i="16"/>
  <c r="EU67" i="16"/>
  <c r="EW67" i="16"/>
  <c r="EV67" i="16"/>
  <c r="ET67" i="16"/>
  <c r="ES67" i="16"/>
  <c r="ER67" i="16"/>
  <c r="EZ67" i="16"/>
  <c r="EY67" i="16"/>
  <c r="JV67" i="16"/>
  <c r="JU67" i="16"/>
  <c r="JT67" i="16"/>
  <c r="JS67" i="16"/>
  <c r="JR67" i="16"/>
  <c r="JQ67" i="16"/>
  <c r="JX67" i="16"/>
  <c r="JW67" i="16"/>
  <c r="JP67" i="16"/>
  <c r="BH68" i="16"/>
  <c r="AZ68" i="16"/>
  <c r="BE68" i="16"/>
  <c r="BD68" i="16"/>
  <c r="BB68" i="16"/>
  <c r="BA68" i="16"/>
  <c r="BG68" i="16"/>
  <c r="BF68" i="16"/>
  <c r="BC68" i="16"/>
  <c r="GF68" i="16"/>
  <c r="FX68" i="16"/>
  <c r="GC68" i="16"/>
  <c r="GE68" i="16"/>
  <c r="GD68" i="16"/>
  <c r="GB68" i="16"/>
  <c r="GA68" i="16"/>
  <c r="FZ68" i="16"/>
  <c r="FY68" i="16"/>
  <c r="KW68" i="16"/>
  <c r="LD68" i="16"/>
  <c r="KV68" i="16"/>
  <c r="LC68" i="16"/>
  <c r="LB68" i="16"/>
  <c r="LA68" i="16"/>
  <c r="KZ68" i="16"/>
  <c r="KY68" i="16"/>
  <c r="KX68" i="16"/>
  <c r="CI69" i="16"/>
  <c r="CN69" i="16"/>
  <c r="CF69" i="16"/>
  <c r="CM69" i="16"/>
  <c r="CK69" i="16"/>
  <c r="CJ69" i="16"/>
  <c r="CH69" i="16"/>
  <c r="CG69" i="16"/>
  <c r="CL69" i="16"/>
  <c r="HH69" i="16"/>
  <c r="HG69" i="16"/>
  <c r="HF69" i="16"/>
  <c r="HE69" i="16"/>
  <c r="HL69" i="16"/>
  <c r="HD69" i="16"/>
  <c r="HK69" i="16"/>
  <c r="HJ69" i="16"/>
  <c r="HI69" i="16"/>
  <c r="MD69" i="16"/>
  <c r="MC69" i="16"/>
  <c r="MJ69" i="16"/>
  <c r="MB69" i="16"/>
  <c r="MI69" i="16"/>
  <c r="MH69" i="16"/>
  <c r="MG69" i="16"/>
  <c r="MF69" i="16"/>
  <c r="ME69" i="16"/>
  <c r="DS73" i="16"/>
  <c r="DR73" i="16"/>
  <c r="DQ73" i="16"/>
  <c r="DP73" i="16"/>
  <c r="DO73" i="16"/>
  <c r="DT73" i="16"/>
  <c r="DN73" i="16"/>
  <c r="DM73" i="16"/>
  <c r="DL73" i="16"/>
  <c r="IR73" i="16"/>
  <c r="IJ73" i="16"/>
  <c r="IQ73" i="16"/>
  <c r="IP73" i="16"/>
  <c r="IO73" i="16"/>
  <c r="IN73" i="16"/>
  <c r="IM73" i="16"/>
  <c r="IL73" i="16"/>
  <c r="IK73" i="16"/>
  <c r="NL73" i="16"/>
  <c r="NK73" i="16"/>
  <c r="NJ73" i="16"/>
  <c r="NI73" i="16"/>
  <c r="NO73" i="16"/>
  <c r="NP73" i="16"/>
  <c r="NN73" i="16"/>
  <c r="NM73" i="16"/>
  <c r="NH73" i="16"/>
  <c r="BE75" i="16"/>
  <c r="BB75" i="16"/>
  <c r="BA75" i="16"/>
  <c r="AZ75" i="16"/>
  <c r="BH75" i="16"/>
  <c r="BG75" i="16"/>
  <c r="BF75" i="16"/>
  <c r="BD75" i="16"/>
  <c r="BC75" i="16"/>
  <c r="GC75" i="16"/>
  <c r="FZ75" i="16"/>
  <c r="FY75" i="16"/>
  <c r="FX75" i="16"/>
  <c r="GF75" i="16"/>
  <c r="GE75" i="16"/>
  <c r="GD75" i="16"/>
  <c r="GB75" i="16"/>
  <c r="GA75" i="16"/>
  <c r="LB75" i="16"/>
  <c r="LA75" i="16"/>
  <c r="KZ75" i="16"/>
  <c r="KY75" i="16"/>
  <c r="KX75" i="16"/>
  <c r="KW75" i="16"/>
  <c r="LD75" i="16"/>
  <c r="KV75" i="16"/>
  <c r="LC75" i="16"/>
  <c r="CN76" i="16"/>
  <c r="CF76" i="16"/>
  <c r="CM76" i="16"/>
  <c r="CL76" i="16"/>
  <c r="CK76" i="16"/>
  <c r="CJ76" i="16"/>
  <c r="CI76" i="16"/>
  <c r="CH76" i="16"/>
  <c r="CG76" i="16"/>
  <c r="HE76" i="16"/>
  <c r="HL76" i="16"/>
  <c r="HD76" i="16"/>
  <c r="HK76" i="16"/>
  <c r="HJ76" i="16"/>
  <c r="HI76" i="16"/>
  <c r="HH76" i="16"/>
  <c r="HG76" i="16"/>
  <c r="HF76" i="16"/>
  <c r="MI76" i="16"/>
  <c r="MH76" i="16"/>
  <c r="MG76" i="16"/>
  <c r="MF76" i="16"/>
  <c r="ME76" i="16"/>
  <c r="MD76" i="16"/>
  <c r="MC76" i="16"/>
  <c r="MJ76" i="16"/>
  <c r="MB76" i="16"/>
  <c r="DO85" i="16"/>
  <c r="DN85" i="16"/>
  <c r="DM85" i="16"/>
  <c r="DT85" i="16"/>
  <c r="DL85" i="16"/>
  <c r="DS85" i="16"/>
  <c r="DR85" i="16"/>
  <c r="DQ85" i="16"/>
  <c r="DP85" i="16"/>
  <c r="IN85" i="16"/>
  <c r="IM85" i="16"/>
  <c r="IL85" i="16"/>
  <c r="IK85" i="16"/>
  <c r="IR85" i="16"/>
  <c r="IJ85" i="16"/>
  <c r="IQ85" i="16"/>
  <c r="IP85" i="16"/>
  <c r="IO85" i="16"/>
  <c r="NP85" i="16"/>
  <c r="NH85" i="16"/>
  <c r="NO85" i="16"/>
  <c r="NN85" i="16"/>
  <c r="NM85" i="16"/>
  <c r="NK85" i="16"/>
  <c r="NJ85" i="16"/>
  <c r="NL85" i="16"/>
  <c r="NI85" i="16"/>
  <c r="EX86" i="16"/>
  <c r="EU86" i="16"/>
  <c r="EZ86" i="16"/>
  <c r="EY86" i="16"/>
  <c r="EW86" i="16"/>
  <c r="EV86" i="16"/>
  <c r="ET86" i="16"/>
  <c r="ES86" i="16"/>
  <c r="ER86" i="16"/>
  <c r="JV86" i="16"/>
  <c r="JU86" i="16"/>
  <c r="JT86" i="16"/>
  <c r="JS86" i="16"/>
  <c r="JR86" i="16"/>
  <c r="JQ86" i="16"/>
  <c r="JX86" i="16"/>
  <c r="JW86" i="16"/>
  <c r="JP86" i="16"/>
  <c r="BH88" i="16"/>
  <c r="AZ88" i="16"/>
  <c r="BE88" i="16"/>
  <c r="BD88" i="16"/>
  <c r="BG88" i="16"/>
  <c r="BF88" i="16"/>
  <c r="BC88" i="16"/>
  <c r="BB88" i="16"/>
  <c r="BA88" i="16"/>
  <c r="GF88" i="16"/>
  <c r="FX88" i="16"/>
  <c r="GC88" i="16"/>
  <c r="GE88" i="16"/>
  <c r="GD88" i="16"/>
  <c r="GB88" i="16"/>
  <c r="GA88" i="16"/>
  <c r="FZ88" i="16"/>
  <c r="FY88" i="16"/>
  <c r="KW88" i="16"/>
  <c r="LD88" i="16"/>
  <c r="KV88" i="16"/>
  <c r="LC88" i="16"/>
  <c r="LB88" i="16"/>
  <c r="LA88" i="16"/>
  <c r="KZ88" i="16"/>
  <c r="KY88" i="16"/>
  <c r="KX88" i="16"/>
  <c r="EI93" i="16"/>
  <c r="EH93" i="16"/>
  <c r="EG93" i="16"/>
  <c r="EF93" i="16"/>
  <c r="EE93" i="16"/>
  <c r="EJ93" i="16"/>
  <c r="ED93" i="16"/>
  <c r="EC93" i="16"/>
  <c r="EB93" i="16"/>
  <c r="JG93" i="16"/>
  <c r="JF93" i="16"/>
  <c r="JE93" i="16"/>
  <c r="JD93" i="16"/>
  <c r="JC93" i="16"/>
  <c r="JB93" i="16"/>
  <c r="JH93" i="16"/>
  <c r="JA93" i="16"/>
  <c r="IZ93" i="16"/>
  <c r="NZ93" i="16"/>
  <c r="NY93" i="16"/>
  <c r="OF93" i="16"/>
  <c r="NX93" i="16"/>
  <c r="OE93" i="16"/>
  <c r="OC93" i="16"/>
  <c r="OB93" i="16"/>
  <c r="OA93" i="16"/>
  <c r="OD93" i="16"/>
  <c r="CH94" i="16"/>
  <c r="CG94" i="16"/>
  <c r="CN94" i="16"/>
  <c r="CF94" i="16"/>
  <c r="CM94" i="16"/>
  <c r="CL94" i="16"/>
  <c r="CK94" i="16"/>
  <c r="CJ94" i="16"/>
  <c r="CI94" i="16"/>
  <c r="HG94" i="16"/>
  <c r="HF94" i="16"/>
  <c r="HE94" i="16"/>
  <c r="HL94" i="16"/>
  <c r="HD94" i="16"/>
  <c r="HK94" i="16"/>
  <c r="HJ94" i="16"/>
  <c r="HH94" i="16"/>
  <c r="HI94" i="16"/>
  <c r="MJ94" i="16"/>
  <c r="MB94" i="16"/>
  <c r="MF94" i="16"/>
  <c r="ME94" i="16"/>
  <c r="MD94" i="16"/>
  <c r="MC94" i="16"/>
  <c r="MI94" i="16"/>
  <c r="MH94" i="16"/>
  <c r="MG94" i="16"/>
  <c r="KG95" i="16"/>
  <c r="KN95" i="16"/>
  <c r="KF95" i="16"/>
  <c r="KM95" i="16"/>
  <c r="KL95" i="16"/>
  <c r="KK95" i="16"/>
  <c r="KJ95" i="16"/>
  <c r="KI95" i="16"/>
  <c r="KH95" i="16"/>
  <c r="NJ96" i="16"/>
  <c r="NI96" i="16"/>
  <c r="NP96" i="16"/>
  <c r="NH96" i="16"/>
  <c r="NO96" i="16"/>
  <c r="NM96" i="16"/>
  <c r="NL96" i="16"/>
  <c r="NN96" i="16"/>
  <c r="NK96" i="16"/>
  <c r="ET102" i="16"/>
  <c r="EY102" i="16"/>
  <c r="EV102" i="16"/>
  <c r="EU102" i="16"/>
  <c r="ES102" i="16"/>
  <c r="ER102" i="16"/>
  <c r="EX102" i="16"/>
  <c r="EW102" i="16"/>
  <c r="EZ102" i="16"/>
  <c r="JR102" i="16"/>
  <c r="JQ102" i="16"/>
  <c r="JX102" i="16"/>
  <c r="JP102" i="16"/>
  <c r="JW102" i="16"/>
  <c r="JV102" i="16"/>
  <c r="JU102" i="16"/>
  <c r="JT102" i="16"/>
  <c r="JS102" i="16"/>
  <c r="BD103" i="16"/>
  <c r="BA103" i="16"/>
  <c r="BH103" i="16"/>
  <c r="AZ103" i="16"/>
  <c r="BG103" i="16"/>
  <c r="BF103" i="16"/>
  <c r="BE103" i="16"/>
  <c r="BC103" i="16"/>
  <c r="BB103" i="16"/>
  <c r="GB103" i="16"/>
  <c r="FY103" i="16"/>
  <c r="GD103" i="16"/>
  <c r="GC103" i="16"/>
  <c r="GA103" i="16"/>
  <c r="FZ103" i="16"/>
  <c r="FX103" i="16"/>
  <c r="GF103" i="16"/>
  <c r="GE103" i="16"/>
  <c r="KY103" i="16"/>
  <c r="KX103" i="16"/>
  <c r="KW103" i="16"/>
  <c r="LD103" i="16"/>
  <c r="KV103" i="16"/>
  <c r="LC103" i="16"/>
  <c r="LB103" i="16"/>
  <c r="LA103" i="16"/>
  <c r="KZ103" i="16"/>
  <c r="CL104" i="16"/>
  <c r="CK104" i="16"/>
  <c r="CJ104" i="16"/>
  <c r="CI104" i="16"/>
  <c r="CH104" i="16"/>
  <c r="CM104" i="16"/>
  <c r="CG104" i="16"/>
  <c r="CF104" i="16"/>
  <c r="CN104" i="16"/>
  <c r="HL104" i="16"/>
  <c r="HD104" i="16"/>
  <c r="HK104" i="16"/>
  <c r="HJ104" i="16"/>
  <c r="HI104" i="16"/>
  <c r="HH104" i="16"/>
  <c r="HG104" i="16"/>
  <c r="HF104" i="16"/>
  <c r="HE104" i="16"/>
  <c r="ME104" i="16"/>
  <c r="MD104" i="16"/>
  <c r="MJ104" i="16"/>
  <c r="MI104" i="16"/>
  <c r="MH104" i="16"/>
  <c r="MG104" i="16"/>
  <c r="MF104" i="16"/>
  <c r="MC104" i="16"/>
  <c r="MB104" i="16"/>
  <c r="BC65" i="17"/>
  <c r="BB65" i="17"/>
  <c r="BA65" i="17"/>
  <c r="BH65" i="17"/>
  <c r="AZ65" i="17"/>
  <c r="BG65" i="17"/>
  <c r="BF65" i="17"/>
  <c r="BE65" i="17"/>
  <c r="BD65" i="17"/>
  <c r="LA65" i="17"/>
  <c r="KZ65" i="17"/>
  <c r="KY65" i="17"/>
  <c r="LD65" i="17"/>
  <c r="LC65" i="17"/>
  <c r="LB65" i="17"/>
  <c r="KX65" i="17"/>
  <c r="KW65" i="17"/>
  <c r="KV65" i="17"/>
  <c r="CI66" i="17"/>
  <c r="CH66" i="17"/>
  <c r="CG66" i="17"/>
  <c r="CN66" i="17"/>
  <c r="CF66" i="17"/>
  <c r="CM66" i="17"/>
  <c r="CL66" i="17"/>
  <c r="CK66" i="17"/>
  <c r="CJ66" i="17"/>
  <c r="HH66" i="17"/>
  <c r="HF66" i="17"/>
  <c r="HE66" i="17"/>
  <c r="HK66" i="17"/>
  <c r="HD66" i="17"/>
  <c r="HL66" i="17"/>
  <c r="HJ66" i="17"/>
  <c r="HI66" i="17"/>
  <c r="HG66" i="17"/>
  <c r="ME66" i="17"/>
  <c r="MC66" i="17"/>
  <c r="MI66" i="17"/>
  <c r="MH66" i="17"/>
  <c r="MJ66" i="17"/>
  <c r="MG66" i="17"/>
  <c r="MF66" i="17"/>
  <c r="MD66" i="17"/>
  <c r="MB66" i="17"/>
  <c r="DQ67" i="17"/>
  <c r="DT67" i="17"/>
  <c r="DS67" i="17"/>
  <c r="DL67" i="17"/>
  <c r="DR67" i="17"/>
  <c r="DP67" i="17"/>
  <c r="DO67" i="17"/>
  <c r="DN67" i="17"/>
  <c r="DM67" i="17"/>
  <c r="IQ67" i="17"/>
  <c r="IO67" i="17"/>
  <c r="IN67" i="17"/>
  <c r="IM67" i="17"/>
  <c r="IL67" i="17"/>
  <c r="IK67" i="17"/>
  <c r="IJ67" i="17"/>
  <c r="IR67" i="17"/>
  <c r="IP67" i="17"/>
  <c r="NN67" i="17"/>
  <c r="NL67" i="17"/>
  <c r="NJ67" i="17"/>
  <c r="NP67" i="17"/>
  <c r="NO67" i="17"/>
  <c r="NM67" i="17"/>
  <c r="NK67" i="17"/>
  <c r="NH67" i="17"/>
  <c r="NI67" i="17"/>
  <c r="ES68" i="17"/>
  <c r="EV68" i="17"/>
  <c r="EU68" i="17"/>
  <c r="ET68" i="17"/>
  <c r="ER68" i="17"/>
  <c r="EZ68" i="17"/>
  <c r="EY68" i="17"/>
  <c r="EX68" i="17"/>
  <c r="EW68" i="17"/>
  <c r="JX68" i="17"/>
  <c r="JP68" i="17"/>
  <c r="JR68" i="17"/>
  <c r="JQ68" i="17"/>
  <c r="JW68" i="17"/>
  <c r="JV68" i="17"/>
  <c r="JU68" i="17"/>
  <c r="JT68" i="17"/>
  <c r="JS68" i="17"/>
  <c r="BG69" i="17"/>
  <c r="BF69" i="17"/>
  <c r="BE69" i="17"/>
  <c r="BD69" i="17"/>
  <c r="BC69" i="17"/>
  <c r="BB69" i="17"/>
  <c r="BA69" i="17"/>
  <c r="BH69" i="17"/>
  <c r="AZ69" i="17"/>
  <c r="KW69" i="17"/>
  <c r="LD69" i="17"/>
  <c r="KV69" i="17"/>
  <c r="LC69" i="17"/>
  <c r="LB69" i="17"/>
  <c r="LA69" i="17"/>
  <c r="KZ69" i="17"/>
  <c r="KY69" i="17"/>
  <c r="KX69" i="17"/>
  <c r="CM73" i="17"/>
  <c r="CL73" i="17"/>
  <c r="CK73" i="17"/>
  <c r="CJ73" i="17"/>
  <c r="CN73" i="17"/>
  <c r="CI73" i="17"/>
  <c r="CH73" i="17"/>
  <c r="CG73" i="17"/>
  <c r="CF73" i="17"/>
  <c r="HL73" i="17"/>
  <c r="HD73" i="17"/>
  <c r="HG73" i="17"/>
  <c r="HF73" i="17"/>
  <c r="HK73" i="17"/>
  <c r="HJ73" i="17"/>
  <c r="HI73" i="17"/>
  <c r="HH73" i="17"/>
  <c r="HE73" i="17"/>
  <c r="MI73" i="17"/>
  <c r="MG73" i="17"/>
  <c r="ME73" i="17"/>
  <c r="MD73" i="17"/>
  <c r="MH73" i="17"/>
  <c r="MF73" i="17"/>
  <c r="MC73" i="17"/>
  <c r="MB73" i="17"/>
  <c r="MJ73" i="17"/>
  <c r="EX75" i="17"/>
  <c r="EV75" i="17"/>
  <c r="EZ75" i="17"/>
  <c r="EY75" i="17"/>
  <c r="EW75" i="17"/>
  <c r="EU75" i="17"/>
  <c r="ET75" i="17"/>
  <c r="ES75" i="17"/>
  <c r="ER75" i="17"/>
  <c r="JU75" i="17"/>
  <c r="JR75" i="17"/>
  <c r="JQ75" i="17"/>
  <c r="JP75" i="17"/>
  <c r="JX75" i="17"/>
  <c r="JW75" i="17"/>
  <c r="JV75" i="17"/>
  <c r="JS75" i="17"/>
  <c r="JT75" i="17"/>
  <c r="BD76" i="17"/>
  <c r="BC76" i="17"/>
  <c r="BB76" i="17"/>
  <c r="BA76" i="17"/>
  <c r="BH76" i="17"/>
  <c r="AZ76" i="17"/>
  <c r="BG76" i="17"/>
  <c r="BF76" i="17"/>
  <c r="BE76" i="17"/>
  <c r="LB76" i="17"/>
  <c r="LA76" i="17"/>
  <c r="KZ76" i="17"/>
  <c r="LD76" i="17"/>
  <c r="LC76" i="17"/>
  <c r="KY76" i="17"/>
  <c r="KX76" i="17"/>
  <c r="KW76" i="17"/>
  <c r="KV76" i="17"/>
  <c r="CI85" i="17"/>
  <c r="CH85" i="17"/>
  <c r="CG85" i="17"/>
  <c r="CN85" i="17"/>
  <c r="CF85" i="17"/>
  <c r="CK85" i="17"/>
  <c r="CJ85" i="17"/>
  <c r="CM85" i="17"/>
  <c r="CL85" i="17"/>
  <c r="HH85" i="17"/>
  <c r="HG85" i="17"/>
  <c r="HF85" i="17"/>
  <c r="HL85" i="17"/>
  <c r="HE85" i="17"/>
  <c r="HD85" i="17"/>
  <c r="HK85" i="17"/>
  <c r="HJ85" i="17"/>
  <c r="HI85" i="17"/>
  <c r="ME85" i="17"/>
  <c r="MC85" i="17"/>
  <c r="MJ85" i="17"/>
  <c r="MI85" i="17"/>
  <c r="MH85" i="17"/>
  <c r="MG85" i="17"/>
  <c r="MF85" i="17"/>
  <c r="MD85" i="17"/>
  <c r="MB85" i="17"/>
  <c r="DQ86" i="17"/>
  <c r="DL86" i="17"/>
  <c r="DT86" i="17"/>
  <c r="DM86" i="17"/>
  <c r="DS86" i="17"/>
  <c r="DR86" i="17"/>
  <c r="DP86" i="17"/>
  <c r="DO86" i="17"/>
  <c r="DN86" i="17"/>
  <c r="IQ86" i="17"/>
  <c r="IP86" i="17"/>
  <c r="IM86" i="17"/>
  <c r="IN86" i="17"/>
  <c r="IL86" i="17"/>
  <c r="IK86" i="17"/>
  <c r="IJ86" i="17"/>
  <c r="IR86" i="17"/>
  <c r="IO86" i="17"/>
  <c r="NN86" i="17"/>
  <c r="NL86" i="17"/>
  <c r="NJ86" i="17"/>
  <c r="NK86" i="17"/>
  <c r="NI86" i="17"/>
  <c r="NH86" i="17"/>
  <c r="NP86" i="17"/>
  <c r="NO86" i="17"/>
  <c r="NM86" i="17"/>
  <c r="ES88" i="17"/>
  <c r="EW88" i="17"/>
  <c r="EV88" i="17"/>
  <c r="ER88" i="17"/>
  <c r="EZ88" i="17"/>
  <c r="EY88" i="17"/>
  <c r="EX88" i="17"/>
  <c r="EU88" i="17"/>
  <c r="ET88" i="17"/>
  <c r="JX88" i="17"/>
  <c r="JP88" i="17"/>
  <c r="JS88" i="17"/>
  <c r="JR88" i="17"/>
  <c r="JQ88" i="17"/>
  <c r="JW88" i="17"/>
  <c r="JV88" i="17"/>
  <c r="JU88" i="17"/>
  <c r="JT88" i="17"/>
  <c r="BF93" i="17"/>
  <c r="BA93" i="17"/>
  <c r="AZ93" i="17"/>
  <c r="BH93" i="17"/>
  <c r="BG93" i="17"/>
  <c r="BE93" i="17"/>
  <c r="BD93" i="17"/>
  <c r="BC93" i="17"/>
  <c r="BB93" i="17"/>
  <c r="LD93" i="17"/>
  <c r="KW93" i="17"/>
  <c r="KV93" i="17"/>
  <c r="LC93" i="17"/>
  <c r="LB93" i="17"/>
  <c r="LA93" i="17"/>
  <c r="KZ93" i="17"/>
  <c r="KY93" i="17"/>
  <c r="KX93" i="17"/>
  <c r="CM94" i="17"/>
  <c r="CL94" i="17"/>
  <c r="CK94" i="17"/>
  <c r="CJ94" i="17"/>
  <c r="CH94" i="17"/>
  <c r="CI94" i="17"/>
  <c r="CG94" i="17"/>
  <c r="CF94" i="17"/>
  <c r="CN94" i="17"/>
  <c r="HL94" i="17"/>
  <c r="HD94" i="17"/>
  <c r="HH94" i="17"/>
  <c r="HG94" i="17"/>
  <c r="HK94" i="17"/>
  <c r="HJ94" i="17"/>
  <c r="HI94" i="17"/>
  <c r="HF94" i="17"/>
  <c r="HE94" i="17"/>
  <c r="MI94" i="17"/>
  <c r="MG94" i="17"/>
  <c r="MH94" i="17"/>
  <c r="MF94" i="17"/>
  <c r="ME94" i="17"/>
  <c r="MD94" i="17"/>
  <c r="MC94" i="17"/>
  <c r="MB94" i="17"/>
  <c r="MJ94" i="17"/>
  <c r="DM95" i="17"/>
  <c r="DL95" i="17"/>
  <c r="DT95" i="17"/>
  <c r="DN95" i="17"/>
  <c r="DS95" i="17"/>
  <c r="DR95" i="17"/>
  <c r="DQ95" i="17"/>
  <c r="DP95" i="17"/>
  <c r="DO95" i="17"/>
  <c r="IM95" i="17"/>
  <c r="IQ95" i="17"/>
  <c r="IN95" i="17"/>
  <c r="IO95" i="17"/>
  <c r="IL95" i="17"/>
  <c r="IK95" i="17"/>
  <c r="IJ95" i="17"/>
  <c r="IP95" i="17"/>
  <c r="IR95" i="17"/>
  <c r="NJ95" i="17"/>
  <c r="NP95" i="17"/>
  <c r="NH95" i="17"/>
  <c r="NN95" i="17"/>
  <c r="NM95" i="17"/>
  <c r="NL95" i="17"/>
  <c r="NK95" i="17"/>
  <c r="NI95" i="17"/>
  <c r="NO95" i="17"/>
  <c r="EW96" i="17"/>
  <c r="EX96" i="17"/>
  <c r="EV96" i="17"/>
  <c r="ES96" i="17"/>
  <c r="EY96" i="17"/>
  <c r="EU96" i="17"/>
  <c r="ET96" i="17"/>
  <c r="ER96" i="17"/>
  <c r="EZ96" i="17"/>
  <c r="JT96" i="17"/>
  <c r="JS96" i="17"/>
  <c r="JR96" i="17"/>
  <c r="JQ96" i="17"/>
  <c r="JP96" i="17"/>
  <c r="JX96" i="17"/>
  <c r="JW96" i="17"/>
  <c r="JV96" i="17"/>
  <c r="JU96" i="17"/>
  <c r="CX102" i="17"/>
  <c r="CZ102" i="17"/>
  <c r="CY102" i="17"/>
  <c r="CW102" i="17"/>
  <c r="CV102" i="17"/>
  <c r="DD102" i="17"/>
  <c r="DC102" i="17"/>
  <c r="DB102" i="17"/>
  <c r="DA102" i="17"/>
  <c r="HX102" i="17"/>
  <c r="HY102" i="17"/>
  <c r="IB102" i="17"/>
  <c r="IA102" i="17"/>
  <c r="HZ102" i="17"/>
  <c r="HW102" i="17"/>
  <c r="HV102" i="17"/>
  <c r="HU102" i="17"/>
  <c r="HT102" i="17"/>
  <c r="MU102" i="17"/>
  <c r="MS102" i="17"/>
  <c r="MY102" i="17"/>
  <c r="MW102" i="17"/>
  <c r="MV102" i="17"/>
  <c r="MT102" i="17"/>
  <c r="MR102" i="17"/>
  <c r="MZ102" i="17"/>
  <c r="MX102" i="17"/>
  <c r="BA103" i="17"/>
  <c r="BG103" i="17"/>
  <c r="BF103" i="17"/>
  <c r="BE103" i="17"/>
  <c r="BD103" i="17"/>
  <c r="BC103" i="17"/>
  <c r="BB103" i="17"/>
  <c r="AZ103" i="17"/>
  <c r="BH103" i="17"/>
  <c r="KY103" i="17"/>
  <c r="KW103" i="17"/>
  <c r="KV103" i="17"/>
  <c r="LD103" i="17"/>
  <c r="LC103" i="17"/>
  <c r="LB103" i="17"/>
  <c r="LA103" i="17"/>
  <c r="KZ103" i="17"/>
  <c r="KX103" i="17"/>
  <c r="EG104" i="17"/>
  <c r="EE104" i="17"/>
  <c r="EJ104" i="17"/>
  <c r="EI104" i="17"/>
  <c r="EH104" i="17"/>
  <c r="EF104" i="17"/>
  <c r="ED104" i="17"/>
  <c r="EC104" i="17"/>
  <c r="EB104" i="17"/>
  <c r="JD104" i="17"/>
  <c r="JA104" i="17"/>
  <c r="IZ104" i="17"/>
  <c r="JH104" i="17"/>
  <c r="JG104" i="17"/>
  <c r="JB104" i="17"/>
  <c r="JF104" i="17"/>
  <c r="JE104" i="17"/>
  <c r="JC104" i="17"/>
  <c r="OA104" i="17"/>
  <c r="NY104" i="17"/>
  <c r="OE104" i="17"/>
  <c r="OB104" i="17"/>
  <c r="NZ104" i="17"/>
  <c r="NX104" i="17"/>
  <c r="OF104" i="17"/>
  <c r="OD104" i="17"/>
  <c r="OC104" i="17"/>
  <c r="JA75" i="13"/>
  <c r="JH75" i="13"/>
  <c r="IZ75" i="13"/>
  <c r="JG75" i="13"/>
  <c r="JF75" i="13"/>
  <c r="JE75" i="13"/>
  <c r="JD75" i="13"/>
  <c r="JC75" i="13"/>
  <c r="JB75" i="13"/>
  <c r="JX69" i="13"/>
  <c r="JP69" i="13"/>
  <c r="JW69" i="13"/>
  <c r="JV69" i="13"/>
  <c r="JU69" i="13"/>
  <c r="JT69" i="13"/>
  <c r="JS69" i="13"/>
  <c r="JR69" i="13"/>
  <c r="JQ69" i="13"/>
  <c r="KG65" i="13"/>
  <c r="KN65" i="13"/>
  <c r="KF65" i="13"/>
  <c r="KM65" i="13"/>
  <c r="KL65" i="13"/>
  <c r="KK65" i="13"/>
  <c r="KJ65" i="13"/>
  <c r="KI65" i="13"/>
  <c r="KH65" i="13"/>
  <c r="KG102" i="13"/>
  <c r="KN102" i="13"/>
  <c r="KF102" i="13"/>
  <c r="KM102" i="13"/>
  <c r="KL102" i="13"/>
  <c r="KK102" i="13"/>
  <c r="KJ102" i="13"/>
  <c r="KI102" i="13"/>
  <c r="KH102" i="13"/>
  <c r="KX93" i="13"/>
  <c r="KW93" i="13"/>
  <c r="LD93" i="13"/>
  <c r="KV93" i="13"/>
  <c r="LC93" i="13"/>
  <c r="LB93" i="13"/>
  <c r="KZ93" i="13"/>
  <c r="KY93" i="13"/>
  <c r="LA93" i="13"/>
  <c r="LP76" i="13"/>
  <c r="LO76" i="13"/>
  <c r="LN76" i="13"/>
  <c r="LM76" i="13"/>
  <c r="LT76" i="13"/>
  <c r="LL76" i="13"/>
  <c r="LR76" i="13"/>
  <c r="LQ76" i="13"/>
  <c r="LS76" i="13"/>
  <c r="MF69" i="13"/>
  <c r="ME69" i="13"/>
  <c r="MD69" i="13"/>
  <c r="MC69" i="13"/>
  <c r="MJ69" i="13"/>
  <c r="MB69" i="13"/>
  <c r="MI69" i="13"/>
  <c r="MH69" i="13"/>
  <c r="MG69" i="13"/>
  <c r="MW65" i="13"/>
  <c r="MY65" i="13"/>
  <c r="MX65" i="13"/>
  <c r="MV65" i="13"/>
  <c r="MU65" i="13"/>
  <c r="MT65" i="13"/>
  <c r="MZ65" i="13"/>
  <c r="MS65" i="13"/>
  <c r="MR65" i="13"/>
  <c r="MZ76" i="13"/>
  <c r="MX76" i="13"/>
  <c r="MY76" i="13"/>
  <c r="MW76" i="13"/>
  <c r="MV76" i="13"/>
  <c r="MU76" i="13"/>
  <c r="MS76" i="13"/>
  <c r="MR76" i="13"/>
  <c r="MT76" i="13"/>
  <c r="NP69" i="13"/>
  <c r="NH69" i="13"/>
  <c r="NI69" i="13"/>
  <c r="NO69" i="13"/>
  <c r="NN69" i="13"/>
  <c r="NM69" i="13"/>
  <c r="NL69" i="13"/>
  <c r="NK69" i="13"/>
  <c r="NJ69" i="13"/>
  <c r="NZ76" i="13"/>
  <c r="OA76" i="13"/>
  <c r="OC76" i="13"/>
  <c r="NY76" i="13"/>
  <c r="NX76" i="13"/>
  <c r="OF76" i="13"/>
  <c r="OD76" i="13"/>
  <c r="OB76" i="13"/>
  <c r="OE76" i="13"/>
  <c r="DN65" i="15"/>
  <c r="DS65" i="15"/>
  <c r="DR65" i="15"/>
  <c r="DL65" i="15"/>
  <c r="DQ65" i="15"/>
  <c r="DP65" i="15"/>
  <c r="DO65" i="15"/>
  <c r="DM65" i="15"/>
  <c r="DT65" i="15"/>
  <c r="NI65" i="15"/>
  <c r="NO65" i="15"/>
  <c r="NM65" i="15"/>
  <c r="NL65" i="15"/>
  <c r="NK65" i="15"/>
  <c r="NP65" i="15"/>
  <c r="NN65" i="15"/>
  <c r="NJ65" i="15"/>
  <c r="NH65" i="15"/>
  <c r="JS66" i="15"/>
  <c r="JR66" i="15"/>
  <c r="JU66" i="15"/>
  <c r="JT66" i="15"/>
  <c r="JQ66" i="15"/>
  <c r="JP66" i="15"/>
  <c r="JW66" i="15"/>
  <c r="JV66" i="15"/>
  <c r="JX66" i="15"/>
  <c r="GB67" i="15"/>
  <c r="FY67" i="15"/>
  <c r="FX67" i="15"/>
  <c r="GF67" i="15"/>
  <c r="GE67" i="15"/>
  <c r="GD67" i="15"/>
  <c r="GC67" i="15"/>
  <c r="GA67" i="15"/>
  <c r="FZ67" i="15"/>
  <c r="CK68" i="15"/>
  <c r="CH68" i="15"/>
  <c r="CG68" i="15"/>
  <c r="CJ68" i="15"/>
  <c r="CI68" i="15"/>
  <c r="CF68" i="15"/>
  <c r="CM68" i="15"/>
  <c r="CL68" i="15"/>
  <c r="CN68" i="15"/>
  <c r="MI68" i="15"/>
  <c r="MG68" i="15"/>
  <c r="ME68" i="15"/>
  <c r="MD68" i="15"/>
  <c r="MC68" i="15"/>
  <c r="MB68" i="15"/>
  <c r="MJ68" i="15"/>
  <c r="MH68" i="15"/>
  <c r="MF68" i="15"/>
  <c r="DR69" i="15"/>
  <c r="DO69" i="15"/>
  <c r="DN69" i="15"/>
  <c r="DM69" i="15"/>
  <c r="DL69" i="15"/>
  <c r="DT69" i="15"/>
  <c r="DS69" i="15"/>
  <c r="DQ69" i="15"/>
  <c r="DP69" i="15"/>
  <c r="NM69" i="15"/>
  <c r="NP69" i="15"/>
  <c r="NN69" i="15"/>
  <c r="NL69" i="15"/>
  <c r="NK69" i="15"/>
  <c r="NO69" i="15"/>
  <c r="NJ69" i="15"/>
  <c r="NI69" i="15"/>
  <c r="NH69" i="15"/>
  <c r="GT73" i="15"/>
  <c r="GR73" i="15"/>
  <c r="GQ73" i="15"/>
  <c r="GP73" i="15"/>
  <c r="GO73" i="15"/>
  <c r="GN73" i="15"/>
  <c r="GU73" i="15"/>
  <c r="GS73" i="15"/>
  <c r="GV73" i="15"/>
  <c r="LT73" i="15"/>
  <c r="LL73" i="15"/>
  <c r="LR73" i="15"/>
  <c r="LS73" i="15"/>
  <c r="LQ73" i="15"/>
  <c r="LP73" i="15"/>
  <c r="LO73" i="15"/>
  <c r="LN73" i="15"/>
  <c r="LM73" i="15"/>
  <c r="DD75" i="15"/>
  <c r="CV75" i="15"/>
  <c r="DA75" i="15"/>
  <c r="CZ75" i="15"/>
  <c r="DC75" i="15"/>
  <c r="DB75" i="15"/>
  <c r="CY75" i="15"/>
  <c r="CW75" i="15"/>
  <c r="CX75" i="15"/>
  <c r="MX75" i="15"/>
  <c r="MW75" i="15"/>
  <c r="MU75" i="15"/>
  <c r="MS75" i="15"/>
  <c r="MR75" i="15"/>
  <c r="MZ75" i="15"/>
  <c r="MY75" i="15"/>
  <c r="MV75" i="15"/>
  <c r="MT75" i="15"/>
  <c r="BG76" i="15"/>
  <c r="BE76" i="15"/>
  <c r="BH76" i="15"/>
  <c r="BB76" i="15"/>
  <c r="BA76" i="15"/>
  <c r="AZ76" i="15"/>
  <c r="BF76" i="15"/>
  <c r="BD76" i="15"/>
  <c r="BC76" i="15"/>
  <c r="GE76" i="15"/>
  <c r="FZ76" i="15"/>
  <c r="FY76" i="15"/>
  <c r="FX76" i="15"/>
  <c r="GF76" i="15"/>
  <c r="GD76" i="15"/>
  <c r="GC76" i="15"/>
  <c r="GA76" i="15"/>
  <c r="GB76" i="15"/>
  <c r="KW76" i="15"/>
  <c r="KY76" i="15"/>
  <c r="KX76" i="15"/>
  <c r="KV76" i="15"/>
  <c r="LD76" i="15"/>
  <c r="LC76" i="15"/>
  <c r="LB76" i="15"/>
  <c r="LA76" i="15"/>
  <c r="KZ76" i="15"/>
  <c r="JF85" i="15"/>
  <c r="JE85" i="15"/>
  <c r="JH85" i="15"/>
  <c r="JG85" i="15"/>
  <c r="JD85" i="15"/>
  <c r="JC85" i="15"/>
  <c r="JB85" i="15"/>
  <c r="JA85" i="15"/>
  <c r="IZ85" i="15"/>
  <c r="OC85" i="15"/>
  <c r="NZ85" i="15"/>
  <c r="NX85" i="15"/>
  <c r="OF85" i="15"/>
  <c r="OE85" i="15"/>
  <c r="OD85" i="15"/>
  <c r="OB85" i="15"/>
  <c r="OA85" i="15"/>
  <c r="NY85" i="15"/>
  <c r="CM86" i="15"/>
  <c r="CJ86" i="15"/>
  <c r="CI86" i="15"/>
  <c r="CG86" i="15"/>
  <c r="CF86" i="15"/>
  <c r="CK86" i="15"/>
  <c r="CN86" i="15"/>
  <c r="CL86" i="15"/>
  <c r="CH86" i="15"/>
  <c r="HJ86" i="15"/>
  <c r="HK86" i="15"/>
  <c r="HI86" i="15"/>
  <c r="HH86" i="15"/>
  <c r="HG86" i="15"/>
  <c r="HF86" i="15"/>
  <c r="HL86" i="15"/>
  <c r="HE86" i="15"/>
  <c r="HD86" i="15"/>
  <c r="MJ86" i="15"/>
  <c r="MB86" i="15"/>
  <c r="MH86" i="15"/>
  <c r="MF86" i="15"/>
  <c r="ME86" i="15"/>
  <c r="MD86" i="15"/>
  <c r="MC86" i="15"/>
  <c r="MI86" i="15"/>
  <c r="MG86" i="15"/>
  <c r="FN88" i="15"/>
  <c r="FH88" i="15"/>
  <c r="FP88" i="15"/>
  <c r="FO88" i="15"/>
  <c r="FM88" i="15"/>
  <c r="FL88" i="15"/>
  <c r="FJ88" i="15"/>
  <c r="FI88" i="15"/>
  <c r="FK88" i="15"/>
  <c r="KN88" i="15"/>
  <c r="KF88" i="15"/>
  <c r="KG88" i="15"/>
  <c r="KM88" i="15"/>
  <c r="KL88" i="15"/>
  <c r="KK88" i="15"/>
  <c r="KJ88" i="15"/>
  <c r="KI88" i="15"/>
  <c r="KH88" i="15"/>
  <c r="BW93" i="15"/>
  <c r="BT93" i="15"/>
  <c r="BS93" i="15"/>
  <c r="BU93" i="15"/>
  <c r="BX93" i="15"/>
  <c r="BV93" i="15"/>
  <c r="BR93" i="15"/>
  <c r="BQ93" i="15"/>
  <c r="BP93" i="15"/>
  <c r="GU93" i="15"/>
  <c r="GR93" i="15"/>
  <c r="GQ93" i="15"/>
  <c r="GP93" i="15"/>
  <c r="GO93" i="15"/>
  <c r="GN93" i="15"/>
  <c r="GV93" i="15"/>
  <c r="GT93" i="15"/>
  <c r="GS93" i="15"/>
  <c r="LM93" i="15"/>
  <c r="LS93" i="15"/>
  <c r="LT93" i="15"/>
  <c r="LR93" i="15"/>
  <c r="LQ93" i="15"/>
  <c r="LP93" i="15"/>
  <c r="LO93" i="15"/>
  <c r="LN93" i="15"/>
  <c r="LL93" i="15"/>
  <c r="DD94" i="15"/>
  <c r="CV94" i="15"/>
  <c r="DA94" i="15"/>
  <c r="CZ94" i="15"/>
  <c r="CX94" i="15"/>
  <c r="CW94" i="15"/>
  <c r="DC94" i="15"/>
  <c r="DB94" i="15"/>
  <c r="CY94" i="15"/>
  <c r="HX94" i="15"/>
  <c r="HW94" i="15"/>
  <c r="HV94" i="15"/>
  <c r="HU94" i="15"/>
  <c r="HT94" i="15"/>
  <c r="IB94" i="15"/>
  <c r="HZ94" i="15"/>
  <c r="HY94" i="15"/>
  <c r="IA94" i="15"/>
  <c r="MY94" i="15"/>
  <c r="MX94" i="15"/>
  <c r="MV94" i="15"/>
  <c r="MR94" i="15"/>
  <c r="MZ94" i="15"/>
  <c r="MW94" i="15"/>
  <c r="MU94" i="15"/>
  <c r="MS94" i="15"/>
  <c r="MT94" i="15"/>
  <c r="EF95" i="15"/>
  <c r="EC95" i="15"/>
  <c r="EJ95" i="15"/>
  <c r="EB95" i="15"/>
  <c r="EI95" i="15"/>
  <c r="EH95" i="15"/>
  <c r="EE95" i="15"/>
  <c r="ED95" i="15"/>
  <c r="EG95" i="15"/>
  <c r="JA95" i="15"/>
  <c r="JH95" i="15"/>
  <c r="IZ95" i="15"/>
  <c r="JE95" i="15"/>
  <c r="JD95" i="15"/>
  <c r="JC95" i="15"/>
  <c r="JB95" i="15"/>
  <c r="JF95" i="15"/>
  <c r="JG95" i="15"/>
  <c r="OF95" i="15"/>
  <c r="NX95" i="15"/>
  <c r="OC95" i="15"/>
  <c r="OE95" i="15"/>
  <c r="OD95" i="15"/>
  <c r="OB95" i="15"/>
  <c r="OA95" i="15"/>
  <c r="NZ95" i="15"/>
  <c r="NY95" i="15"/>
  <c r="FJ96" i="15"/>
  <c r="FH96" i="15"/>
  <c r="FP96" i="15"/>
  <c r="FO96" i="15"/>
  <c r="FN96" i="15"/>
  <c r="FM96" i="15"/>
  <c r="FK96" i="15"/>
  <c r="FI96" i="15"/>
  <c r="FL96" i="15"/>
  <c r="KJ96" i="15"/>
  <c r="KG96" i="15"/>
  <c r="KF96" i="15"/>
  <c r="KN96" i="15"/>
  <c r="KM96" i="15"/>
  <c r="KL96" i="15"/>
  <c r="KK96" i="15"/>
  <c r="KI96" i="15"/>
  <c r="KH96" i="15"/>
  <c r="BS102" i="15"/>
  <c r="BX102" i="15"/>
  <c r="BP102" i="15"/>
  <c r="BW102" i="15"/>
  <c r="BV102" i="15"/>
  <c r="BU102" i="15"/>
  <c r="BT102" i="15"/>
  <c r="BR102" i="15"/>
  <c r="BQ102" i="15"/>
  <c r="GQ102" i="15"/>
  <c r="GS102" i="15"/>
  <c r="GR102" i="15"/>
  <c r="GP102" i="15"/>
  <c r="GO102" i="15"/>
  <c r="GN102" i="15"/>
  <c r="GV102" i="15"/>
  <c r="GU102" i="15"/>
  <c r="GT102" i="15"/>
  <c r="LQ102" i="15"/>
  <c r="LO102" i="15"/>
  <c r="LP102" i="15"/>
  <c r="LN102" i="15"/>
  <c r="LM102" i="15"/>
  <c r="LL102" i="15"/>
  <c r="LT102" i="15"/>
  <c r="LR102" i="15"/>
  <c r="LS102" i="15"/>
  <c r="CZ103" i="15"/>
  <c r="CW103" i="15"/>
  <c r="DD103" i="15"/>
  <c r="CV103" i="15"/>
  <c r="DA103" i="15"/>
  <c r="CY103" i="15"/>
  <c r="CX103" i="15"/>
  <c r="DC103" i="15"/>
  <c r="DB103" i="15"/>
  <c r="IB103" i="15"/>
  <c r="HT103" i="15"/>
  <c r="IA103" i="15"/>
  <c r="HZ103" i="15"/>
  <c r="HY103" i="15"/>
  <c r="HX103" i="15"/>
  <c r="HU103" i="15"/>
  <c r="HW103" i="15"/>
  <c r="HV103" i="15"/>
  <c r="MU103" i="15"/>
  <c r="MY103" i="15"/>
  <c r="MW103" i="15"/>
  <c r="MV103" i="15"/>
  <c r="MT103" i="15"/>
  <c r="MZ103" i="15"/>
  <c r="MX103" i="15"/>
  <c r="MS103" i="15"/>
  <c r="MR103" i="15"/>
  <c r="EJ104" i="15"/>
  <c r="EB104" i="15"/>
  <c r="EG104" i="15"/>
  <c r="EF104" i="15"/>
  <c r="EH104" i="15"/>
  <c r="EE104" i="15"/>
  <c r="ED104" i="15"/>
  <c r="EC104" i="15"/>
  <c r="EI104" i="15"/>
  <c r="JE104" i="15"/>
  <c r="JD104" i="15"/>
  <c r="JA104" i="15"/>
  <c r="IZ104" i="15"/>
  <c r="JH104" i="15"/>
  <c r="JG104" i="15"/>
  <c r="JF104" i="15"/>
  <c r="JC104" i="15"/>
  <c r="JB104" i="15"/>
  <c r="OB104" i="15"/>
  <c r="NY104" i="15"/>
  <c r="OF104" i="15"/>
  <c r="NX104" i="15"/>
  <c r="OE104" i="15"/>
  <c r="OD104" i="15"/>
  <c r="OC104" i="15"/>
  <c r="OA104" i="15"/>
  <c r="NZ104" i="15"/>
  <c r="DA65" i="16"/>
  <c r="CZ65" i="16"/>
  <c r="CY65" i="16"/>
  <c r="CX65" i="16"/>
  <c r="CW65" i="16"/>
  <c r="DD65" i="16"/>
  <c r="DC65" i="16"/>
  <c r="DB65" i="16"/>
  <c r="CV65" i="16"/>
  <c r="IA65" i="16"/>
  <c r="HZ65" i="16"/>
  <c r="HY65" i="16"/>
  <c r="HX65" i="16"/>
  <c r="HW65" i="16"/>
  <c r="HV65" i="16"/>
  <c r="HT65" i="16"/>
  <c r="IB65" i="16"/>
  <c r="HU65" i="16"/>
  <c r="MT65" i="16"/>
  <c r="MS65" i="16"/>
  <c r="MZ65" i="16"/>
  <c r="MY65" i="16"/>
  <c r="MX65" i="16"/>
  <c r="MW65" i="16"/>
  <c r="MV65" i="16"/>
  <c r="MU65" i="16"/>
  <c r="MR65" i="16"/>
  <c r="ED66" i="16"/>
  <c r="EC66" i="16"/>
  <c r="EJ66" i="16"/>
  <c r="EB66" i="16"/>
  <c r="EI66" i="16"/>
  <c r="EH66" i="16"/>
  <c r="EE66" i="16"/>
  <c r="EG66" i="16"/>
  <c r="EF66" i="16"/>
  <c r="JB66" i="16"/>
  <c r="JA66" i="16"/>
  <c r="JH66" i="16"/>
  <c r="IZ66" i="16"/>
  <c r="JG66" i="16"/>
  <c r="JF66" i="16"/>
  <c r="JE66" i="16"/>
  <c r="JD66" i="16"/>
  <c r="JC66" i="16"/>
  <c r="OC66" i="16"/>
  <c r="OB66" i="16"/>
  <c r="OA66" i="16"/>
  <c r="NZ66" i="16"/>
  <c r="OF66" i="16"/>
  <c r="NX66" i="16"/>
  <c r="OE66" i="16"/>
  <c r="OD66" i="16"/>
  <c r="NY66" i="16"/>
  <c r="KK67" i="16"/>
  <c r="KJ67" i="16"/>
  <c r="KI67" i="16"/>
  <c r="KH67" i="16"/>
  <c r="KN67" i="16"/>
  <c r="KM67" i="16"/>
  <c r="KL67" i="16"/>
  <c r="KF67" i="16"/>
  <c r="KG67" i="16"/>
  <c r="GU68" i="16"/>
  <c r="GT68" i="16"/>
  <c r="GS68" i="16"/>
  <c r="GR68" i="16"/>
  <c r="GN68" i="16"/>
  <c r="GV68" i="16"/>
  <c r="GQ68" i="16"/>
  <c r="GP68" i="16"/>
  <c r="GO68" i="16"/>
  <c r="LR68" i="16"/>
  <c r="LQ68" i="16"/>
  <c r="LP68" i="16"/>
  <c r="LO68" i="16"/>
  <c r="LN68" i="16"/>
  <c r="LM68" i="16"/>
  <c r="LT68" i="16"/>
  <c r="LL68" i="16"/>
  <c r="LS68" i="16"/>
  <c r="CW69" i="16"/>
  <c r="DD69" i="16"/>
  <c r="CV69" i="16"/>
  <c r="DC69" i="16"/>
  <c r="DB69" i="16"/>
  <c r="DA69" i="16"/>
  <c r="CY69" i="16"/>
  <c r="CX69" i="16"/>
  <c r="CZ69" i="16"/>
  <c r="HW69" i="16"/>
  <c r="HV69" i="16"/>
  <c r="HU69" i="16"/>
  <c r="IB69" i="16"/>
  <c r="HT69" i="16"/>
  <c r="IA69" i="16"/>
  <c r="HZ69" i="16"/>
  <c r="HY69" i="16"/>
  <c r="HX69" i="16"/>
  <c r="MX69" i="16"/>
  <c r="MW69" i="16"/>
  <c r="MU69" i="16"/>
  <c r="MZ69" i="16"/>
  <c r="MY69" i="16"/>
  <c r="MV69" i="16"/>
  <c r="MT69" i="16"/>
  <c r="MS69" i="16"/>
  <c r="MR69" i="16"/>
  <c r="EH73" i="16"/>
  <c r="EG73" i="16"/>
  <c r="EF73" i="16"/>
  <c r="EE73" i="16"/>
  <c r="ED73" i="16"/>
  <c r="EJ73" i="16"/>
  <c r="EI73" i="16"/>
  <c r="EC73" i="16"/>
  <c r="EB73" i="16"/>
  <c r="JF73" i="16"/>
  <c r="JE73" i="16"/>
  <c r="JD73" i="16"/>
  <c r="JC73" i="16"/>
  <c r="JB73" i="16"/>
  <c r="JA73" i="16"/>
  <c r="JH73" i="16"/>
  <c r="JG73" i="16"/>
  <c r="IZ73" i="16"/>
  <c r="NY73" i="16"/>
  <c r="OF73" i="16"/>
  <c r="NX73" i="16"/>
  <c r="OE73" i="16"/>
  <c r="OD73" i="16"/>
  <c r="OB73" i="16"/>
  <c r="OA73" i="16"/>
  <c r="NZ73" i="16"/>
  <c r="OC73" i="16"/>
  <c r="GR75" i="16"/>
  <c r="GQ75" i="16"/>
  <c r="GP75" i="16"/>
  <c r="GO75" i="16"/>
  <c r="GS75" i="16"/>
  <c r="GN75" i="16"/>
  <c r="GV75" i="16"/>
  <c r="GU75" i="16"/>
  <c r="GT75" i="16"/>
  <c r="LO75" i="16"/>
  <c r="LN75" i="16"/>
  <c r="LM75" i="16"/>
  <c r="LT75" i="16"/>
  <c r="LL75" i="16"/>
  <c r="LS75" i="16"/>
  <c r="LR75" i="16"/>
  <c r="LQ75" i="16"/>
  <c r="LP75" i="16"/>
  <c r="DB76" i="16"/>
  <c r="DA76" i="16"/>
  <c r="CZ76" i="16"/>
  <c r="CY76" i="16"/>
  <c r="CX76" i="16"/>
  <c r="DD76" i="16"/>
  <c r="DC76" i="16"/>
  <c r="CW76" i="16"/>
  <c r="CV76" i="16"/>
  <c r="IB76" i="16"/>
  <c r="HT76" i="16"/>
  <c r="IA76" i="16"/>
  <c r="HZ76" i="16"/>
  <c r="HY76" i="16"/>
  <c r="HX76" i="16"/>
  <c r="HW76" i="16"/>
  <c r="HU76" i="16"/>
  <c r="HV76" i="16"/>
  <c r="MU76" i="16"/>
  <c r="MT76" i="16"/>
  <c r="MZ76" i="16"/>
  <c r="MR76" i="16"/>
  <c r="MY76" i="16"/>
  <c r="MX76" i="16"/>
  <c r="MW76" i="16"/>
  <c r="MV76" i="16"/>
  <c r="MS76" i="16"/>
  <c r="ED85" i="16"/>
  <c r="EC85" i="16"/>
  <c r="EJ85" i="16"/>
  <c r="EB85" i="16"/>
  <c r="EI85" i="16"/>
  <c r="EH85" i="16"/>
  <c r="EG85" i="16"/>
  <c r="EF85" i="16"/>
  <c r="EE85" i="16"/>
  <c r="JB85" i="16"/>
  <c r="JA85" i="16"/>
  <c r="JH85" i="16"/>
  <c r="IZ85" i="16"/>
  <c r="JG85" i="16"/>
  <c r="JF85" i="16"/>
  <c r="JE85" i="16"/>
  <c r="JD85" i="16"/>
  <c r="JC85" i="16"/>
  <c r="OC85" i="16"/>
  <c r="OB85" i="16"/>
  <c r="OA85" i="16"/>
  <c r="NZ85" i="16"/>
  <c r="OF85" i="16"/>
  <c r="NX85" i="16"/>
  <c r="OE85" i="16"/>
  <c r="OD85" i="16"/>
  <c r="NY85" i="16"/>
  <c r="KK86" i="16"/>
  <c r="KJ86" i="16"/>
  <c r="KI86" i="16"/>
  <c r="KH86" i="16"/>
  <c r="KG86" i="16"/>
  <c r="KN86" i="16"/>
  <c r="KF86" i="16"/>
  <c r="KM86" i="16"/>
  <c r="KL86" i="16"/>
  <c r="GU88" i="16"/>
  <c r="GT88" i="16"/>
  <c r="GS88" i="16"/>
  <c r="GR88" i="16"/>
  <c r="GV88" i="16"/>
  <c r="GQ88" i="16"/>
  <c r="GP88" i="16"/>
  <c r="GO88" i="16"/>
  <c r="GN88" i="16"/>
  <c r="LR88" i="16"/>
  <c r="LQ88" i="16"/>
  <c r="LP88" i="16"/>
  <c r="LO88" i="16"/>
  <c r="LN88" i="16"/>
  <c r="LM88" i="16"/>
  <c r="LT88" i="16"/>
  <c r="LL88" i="16"/>
  <c r="LS88" i="16"/>
  <c r="EV93" i="16"/>
  <c r="ES93" i="16"/>
  <c r="ER93" i="16"/>
  <c r="EZ93" i="16"/>
  <c r="EY93" i="16"/>
  <c r="EX93" i="16"/>
  <c r="EW93" i="16"/>
  <c r="EU93" i="16"/>
  <c r="ET93" i="16"/>
  <c r="JV93" i="16"/>
  <c r="JU93" i="16"/>
  <c r="JT93" i="16"/>
  <c r="JS93" i="16"/>
  <c r="JP93" i="16"/>
  <c r="JX93" i="16"/>
  <c r="JW93" i="16"/>
  <c r="JR93" i="16"/>
  <c r="JQ93" i="16"/>
  <c r="DD94" i="16"/>
  <c r="CV94" i="16"/>
  <c r="DC94" i="16"/>
  <c r="DB94" i="16"/>
  <c r="DA94" i="16"/>
  <c r="CZ94" i="16"/>
  <c r="CY94" i="16"/>
  <c r="CX94" i="16"/>
  <c r="CW94" i="16"/>
  <c r="HV94" i="16"/>
  <c r="HU94" i="16"/>
  <c r="IB94" i="16"/>
  <c r="HT94" i="16"/>
  <c r="IA94" i="16"/>
  <c r="HZ94" i="16"/>
  <c r="HY94" i="16"/>
  <c r="HX94" i="16"/>
  <c r="HW94" i="16"/>
  <c r="MY94" i="16"/>
  <c r="MX94" i="16"/>
  <c r="MW94" i="16"/>
  <c r="MV94" i="16"/>
  <c r="MT94" i="16"/>
  <c r="MZ94" i="16"/>
  <c r="MU94" i="16"/>
  <c r="MS94" i="16"/>
  <c r="MR94" i="16"/>
  <c r="LB95" i="16"/>
  <c r="LA95" i="16"/>
  <c r="KZ95" i="16"/>
  <c r="KY95" i="16"/>
  <c r="KX95" i="16"/>
  <c r="KW95" i="16"/>
  <c r="LD95" i="16"/>
  <c r="KV95" i="16"/>
  <c r="LC95" i="16"/>
  <c r="JD96" i="16"/>
  <c r="JC96" i="16"/>
  <c r="JB96" i="16"/>
  <c r="JA96" i="16"/>
  <c r="JH96" i="16"/>
  <c r="IZ96" i="16"/>
  <c r="JG96" i="16"/>
  <c r="JF96" i="16"/>
  <c r="JE96" i="16"/>
  <c r="OE96" i="16"/>
  <c r="OD96" i="16"/>
  <c r="OC96" i="16"/>
  <c r="OB96" i="16"/>
  <c r="NZ96" i="16"/>
  <c r="NY96" i="16"/>
  <c r="OF96" i="16"/>
  <c r="NX96" i="16"/>
  <c r="OA96" i="16"/>
  <c r="FN102" i="16"/>
  <c r="FK102" i="16"/>
  <c r="FP102" i="16"/>
  <c r="FO102" i="16"/>
  <c r="FM102" i="16"/>
  <c r="FL102" i="16"/>
  <c r="FJ102" i="16"/>
  <c r="FI102" i="16"/>
  <c r="FH102" i="16"/>
  <c r="KM102" i="16"/>
  <c r="KL102" i="16"/>
  <c r="KK102" i="16"/>
  <c r="KJ102" i="16"/>
  <c r="KI102" i="16"/>
  <c r="KH102" i="16"/>
  <c r="KG102" i="16"/>
  <c r="KF102" i="16"/>
  <c r="KN102" i="16"/>
  <c r="BQ103" i="16"/>
  <c r="BV103" i="16"/>
  <c r="BU103" i="16"/>
  <c r="BX103" i="16"/>
  <c r="BW103" i="16"/>
  <c r="BT103" i="16"/>
  <c r="BS103" i="16"/>
  <c r="BR103" i="16"/>
  <c r="BP103" i="16"/>
  <c r="GP103" i="16"/>
  <c r="GO103" i="16"/>
  <c r="GV103" i="16"/>
  <c r="GN103" i="16"/>
  <c r="GU103" i="16"/>
  <c r="GT103" i="16"/>
  <c r="GS103" i="16"/>
  <c r="GR103" i="16"/>
  <c r="GQ103" i="16"/>
  <c r="LT103" i="16"/>
  <c r="LL103" i="16"/>
  <c r="LS103" i="16"/>
  <c r="LR103" i="16"/>
  <c r="LQ103" i="16"/>
  <c r="LP103" i="16"/>
  <c r="LO103" i="16"/>
  <c r="LN103" i="16"/>
  <c r="LM103" i="16"/>
  <c r="DA104" i="16"/>
  <c r="CZ104" i="16"/>
  <c r="CY104" i="16"/>
  <c r="CX104" i="16"/>
  <c r="CW104" i="16"/>
  <c r="CV104" i="16"/>
  <c r="DD104" i="16"/>
  <c r="DC104" i="16"/>
  <c r="DB104" i="16"/>
  <c r="HZ104" i="16"/>
  <c r="HY104" i="16"/>
  <c r="HX104" i="16"/>
  <c r="HW104" i="16"/>
  <c r="HV104" i="16"/>
  <c r="HU104" i="16"/>
  <c r="IA104" i="16"/>
  <c r="HT104" i="16"/>
  <c r="IB104" i="16"/>
  <c r="MT104" i="16"/>
  <c r="MS104" i="16"/>
  <c r="MZ104" i="16"/>
  <c r="MR104" i="16"/>
  <c r="MY104" i="16"/>
  <c r="MW104" i="16"/>
  <c r="MX104" i="16"/>
  <c r="MV104" i="16"/>
  <c r="MU104" i="16"/>
  <c r="BW65" i="17"/>
  <c r="BV65" i="17"/>
  <c r="BU65" i="17"/>
  <c r="BT65" i="17"/>
  <c r="BQ65" i="17"/>
  <c r="BP65" i="17"/>
  <c r="BX65" i="17"/>
  <c r="BS65" i="17"/>
  <c r="BR65" i="17"/>
  <c r="LM65" i="17"/>
  <c r="LN65" i="17"/>
  <c r="LL65" i="17"/>
  <c r="LT65" i="17"/>
  <c r="LS65" i="17"/>
  <c r="LR65" i="17"/>
  <c r="LQ65" i="17"/>
  <c r="LP65" i="17"/>
  <c r="LO65" i="17"/>
  <c r="DD66" i="17"/>
  <c r="CV66" i="17"/>
  <c r="DC66" i="17"/>
  <c r="DB66" i="17"/>
  <c r="DA66" i="17"/>
  <c r="CY66" i="17"/>
  <c r="CZ66" i="17"/>
  <c r="CX66" i="17"/>
  <c r="CW66" i="17"/>
  <c r="HW66" i="17"/>
  <c r="HV66" i="17"/>
  <c r="IA66" i="17"/>
  <c r="HZ66" i="17"/>
  <c r="HU66" i="17"/>
  <c r="IB66" i="17"/>
  <c r="HY66" i="17"/>
  <c r="HX66" i="17"/>
  <c r="HT66" i="17"/>
  <c r="MT66" i="17"/>
  <c r="MZ66" i="17"/>
  <c r="MR66" i="17"/>
  <c r="MX66" i="17"/>
  <c r="MU66" i="17"/>
  <c r="MS66" i="17"/>
  <c r="MY66" i="17"/>
  <c r="MW66" i="17"/>
  <c r="MV66" i="17"/>
  <c r="ED67" i="17"/>
  <c r="EF67" i="17"/>
  <c r="EE67" i="17"/>
  <c r="EC67" i="17"/>
  <c r="EB67" i="17"/>
  <c r="EI67" i="17"/>
  <c r="EH67" i="17"/>
  <c r="EG67" i="17"/>
  <c r="EJ67" i="17"/>
  <c r="JD67" i="17"/>
  <c r="JH67" i="17"/>
  <c r="JE67" i="17"/>
  <c r="JB67" i="17"/>
  <c r="JA67" i="17"/>
  <c r="IZ67" i="17"/>
  <c r="JF67" i="17"/>
  <c r="JC67" i="17"/>
  <c r="JG67" i="17"/>
  <c r="OA67" i="17"/>
  <c r="NY67" i="17"/>
  <c r="OE67" i="17"/>
  <c r="OD67" i="17"/>
  <c r="OC67" i="17"/>
  <c r="OB67" i="17"/>
  <c r="NZ67" i="17"/>
  <c r="NX67" i="17"/>
  <c r="OF67" i="17"/>
  <c r="KK68" i="17"/>
  <c r="KJ68" i="17"/>
  <c r="KI68" i="17"/>
  <c r="KH68" i="17"/>
  <c r="KG68" i="17"/>
  <c r="KF68" i="17"/>
  <c r="KN68" i="17"/>
  <c r="KL68" i="17"/>
  <c r="KM68" i="17"/>
  <c r="BS69" i="17"/>
  <c r="BR69" i="17"/>
  <c r="BQ69" i="17"/>
  <c r="BX69" i="17"/>
  <c r="BP69" i="17"/>
  <c r="BW69" i="17"/>
  <c r="BV69" i="17"/>
  <c r="BU69" i="17"/>
  <c r="BT69" i="17"/>
  <c r="LQ69" i="17"/>
  <c r="LN69" i="17"/>
  <c r="LM69" i="17"/>
  <c r="LL69" i="17"/>
  <c r="LT69" i="17"/>
  <c r="LS69" i="17"/>
  <c r="LR69" i="17"/>
  <c r="LP69" i="17"/>
  <c r="LO69" i="17"/>
  <c r="CZ73" i="17"/>
  <c r="CY73" i="17"/>
  <c r="CX73" i="17"/>
  <c r="CW73" i="17"/>
  <c r="DC73" i="17"/>
  <c r="DD73" i="17"/>
  <c r="DB73" i="17"/>
  <c r="DA73" i="17"/>
  <c r="CV73" i="17"/>
  <c r="IA73" i="17"/>
  <c r="HW73" i="17"/>
  <c r="HV73" i="17"/>
  <c r="HU73" i="17"/>
  <c r="HT73" i="17"/>
  <c r="IB73" i="17"/>
  <c r="HZ73" i="17"/>
  <c r="HY73" i="17"/>
  <c r="HX73" i="17"/>
  <c r="MX73" i="17"/>
  <c r="MV73" i="17"/>
  <c r="MT73" i="17"/>
  <c r="MS73" i="17"/>
  <c r="MR73" i="17"/>
  <c r="MZ73" i="17"/>
  <c r="MY73" i="17"/>
  <c r="MW73" i="17"/>
  <c r="MU73" i="17"/>
  <c r="KH75" i="17"/>
  <c r="KK75" i="17"/>
  <c r="KJ75" i="17"/>
  <c r="KI75" i="17"/>
  <c r="KG75" i="17"/>
  <c r="KF75" i="17"/>
  <c r="KN75" i="17"/>
  <c r="KM75" i="17"/>
  <c r="KL75" i="17"/>
  <c r="BX76" i="17"/>
  <c r="BP76" i="17"/>
  <c r="BW76" i="17"/>
  <c r="BV76" i="17"/>
  <c r="BU76" i="17"/>
  <c r="BR76" i="17"/>
  <c r="BQ76" i="17"/>
  <c r="BT76" i="17"/>
  <c r="BS76" i="17"/>
  <c r="LN76" i="17"/>
  <c r="LO76" i="17"/>
  <c r="LM76" i="17"/>
  <c r="LL76" i="17"/>
  <c r="LT76" i="17"/>
  <c r="LS76" i="17"/>
  <c r="LR76" i="17"/>
  <c r="LQ76" i="17"/>
  <c r="LP76" i="17"/>
  <c r="DD85" i="17"/>
  <c r="CV85" i="17"/>
  <c r="DC85" i="17"/>
  <c r="DB85" i="17"/>
  <c r="DA85" i="17"/>
  <c r="CY85" i="17"/>
  <c r="CZ85" i="17"/>
  <c r="CX85" i="17"/>
  <c r="CW85" i="17"/>
  <c r="HW85" i="17"/>
  <c r="HX85" i="17"/>
  <c r="IB85" i="17"/>
  <c r="IA85" i="17"/>
  <c r="HZ85" i="17"/>
  <c r="HY85" i="17"/>
  <c r="HV85" i="17"/>
  <c r="HU85" i="17"/>
  <c r="HT85" i="17"/>
  <c r="MT85" i="17"/>
  <c r="MZ85" i="17"/>
  <c r="MR85" i="17"/>
  <c r="MX85" i="17"/>
  <c r="MV85" i="17"/>
  <c r="MU85" i="17"/>
  <c r="MS85" i="17"/>
  <c r="MW85" i="17"/>
  <c r="MY85" i="17"/>
  <c r="ED86" i="17"/>
  <c r="EG86" i="17"/>
  <c r="EF86" i="17"/>
  <c r="EE86" i="17"/>
  <c r="EC86" i="17"/>
  <c r="EJ86" i="17"/>
  <c r="EI86" i="17"/>
  <c r="EH86" i="17"/>
  <c r="EB86" i="17"/>
  <c r="JD86" i="17"/>
  <c r="IZ86" i="17"/>
  <c r="JH86" i="17"/>
  <c r="JG86" i="17"/>
  <c r="JF86" i="17"/>
  <c r="JA86" i="17"/>
  <c r="JE86" i="17"/>
  <c r="JC86" i="17"/>
  <c r="JB86" i="17"/>
  <c r="OA86" i="17"/>
  <c r="NY86" i="17"/>
  <c r="OE86" i="17"/>
  <c r="OF86" i="17"/>
  <c r="OD86" i="17"/>
  <c r="OC86" i="17"/>
  <c r="OB86" i="17"/>
  <c r="NZ86" i="17"/>
  <c r="NX86" i="17"/>
  <c r="KK88" i="17"/>
  <c r="KL88" i="17"/>
  <c r="KJ88" i="17"/>
  <c r="KI88" i="17"/>
  <c r="KH88" i="17"/>
  <c r="KG88" i="17"/>
  <c r="KF88" i="17"/>
  <c r="KM88" i="17"/>
  <c r="KN88" i="17"/>
  <c r="BS93" i="17"/>
  <c r="BR93" i="17"/>
  <c r="BQ93" i="17"/>
  <c r="BX93" i="17"/>
  <c r="BP93" i="17"/>
  <c r="BU93" i="17"/>
  <c r="BT93" i="17"/>
  <c r="BW93" i="17"/>
  <c r="BV93" i="17"/>
  <c r="LQ93" i="17"/>
  <c r="LO93" i="17"/>
  <c r="LN93" i="17"/>
  <c r="LM93" i="17"/>
  <c r="LL93" i="17"/>
  <c r="LT93" i="17"/>
  <c r="LS93" i="17"/>
  <c r="LR93" i="17"/>
  <c r="LP93" i="17"/>
  <c r="CZ94" i="17"/>
  <c r="CY94" i="17"/>
  <c r="CX94" i="17"/>
  <c r="CW94" i="17"/>
  <c r="DC94" i="17"/>
  <c r="DA94" i="17"/>
  <c r="CV94" i="17"/>
  <c r="DD94" i="17"/>
  <c r="DB94" i="17"/>
  <c r="IA94" i="17"/>
  <c r="HX94" i="17"/>
  <c r="HW94" i="17"/>
  <c r="HV94" i="17"/>
  <c r="HU94" i="17"/>
  <c r="HT94" i="17"/>
  <c r="HY94" i="17"/>
  <c r="IB94" i="17"/>
  <c r="HZ94" i="17"/>
  <c r="MX94" i="17"/>
  <c r="MV94" i="17"/>
  <c r="MT94" i="17"/>
  <c r="MY94" i="17"/>
  <c r="MW94" i="17"/>
  <c r="MU94" i="17"/>
  <c r="MS94" i="17"/>
  <c r="MR94" i="17"/>
  <c r="MZ94" i="17"/>
  <c r="EH95" i="17"/>
  <c r="EG95" i="17"/>
  <c r="EF95" i="17"/>
  <c r="EE95" i="17"/>
  <c r="ED95" i="17"/>
  <c r="EC95" i="17"/>
  <c r="EB95" i="17"/>
  <c r="EI95" i="17"/>
  <c r="EJ95" i="17"/>
  <c r="JH95" i="17"/>
  <c r="IZ95" i="17"/>
  <c r="JA95" i="17"/>
  <c r="JG95" i="17"/>
  <c r="JF95" i="17"/>
  <c r="JB95" i="17"/>
  <c r="JE95" i="17"/>
  <c r="JD95" i="17"/>
  <c r="JC95" i="17"/>
  <c r="OE95" i="17"/>
  <c r="OC95" i="17"/>
  <c r="OA95" i="17"/>
  <c r="NY95" i="17"/>
  <c r="NX95" i="17"/>
  <c r="OF95" i="17"/>
  <c r="OD95" i="17"/>
  <c r="OB95" i="17"/>
  <c r="NZ95" i="17"/>
  <c r="KG96" i="17"/>
  <c r="KN96" i="17"/>
  <c r="KF96" i="17"/>
  <c r="KM96" i="17"/>
  <c r="KL96" i="17"/>
  <c r="KK96" i="17"/>
  <c r="KJ96" i="17"/>
  <c r="KI96" i="17"/>
  <c r="KH96" i="17"/>
  <c r="DS102" i="17"/>
  <c r="DM102" i="17"/>
  <c r="DL102" i="17"/>
  <c r="DR102" i="17"/>
  <c r="DQ102" i="17"/>
  <c r="DP102" i="17"/>
  <c r="DO102" i="17"/>
  <c r="DN102" i="17"/>
  <c r="DT102" i="17"/>
  <c r="IK102" i="17"/>
  <c r="IQ102" i="17"/>
  <c r="IN102" i="17"/>
  <c r="IR102" i="17"/>
  <c r="IP102" i="17"/>
  <c r="IO102" i="17"/>
  <c r="IM102" i="17"/>
  <c r="IL102" i="17"/>
  <c r="IJ102" i="17"/>
  <c r="NP102" i="17"/>
  <c r="NH102" i="17"/>
  <c r="NN102" i="17"/>
  <c r="NL102" i="17"/>
  <c r="NI102" i="17"/>
  <c r="NO102" i="17"/>
  <c r="NM102" i="17"/>
  <c r="NK102" i="17"/>
  <c r="NJ102" i="17"/>
  <c r="BV103" i="17"/>
  <c r="BU103" i="17"/>
  <c r="BT103" i="17"/>
  <c r="BS103" i="17"/>
  <c r="BX103" i="17"/>
  <c r="BW103" i="17"/>
  <c r="BR103" i="17"/>
  <c r="BQ103" i="17"/>
  <c r="BP103" i="17"/>
  <c r="LT103" i="17"/>
  <c r="LL103" i="17"/>
  <c r="LS103" i="17"/>
  <c r="LP103" i="17"/>
  <c r="LO103" i="17"/>
  <c r="LN103" i="17"/>
  <c r="LM103" i="17"/>
  <c r="LR103" i="17"/>
  <c r="LQ103" i="17"/>
  <c r="ET104" i="17"/>
  <c r="EX104" i="17"/>
  <c r="EW104" i="17"/>
  <c r="ES104" i="17"/>
  <c r="EZ104" i="17"/>
  <c r="EY104" i="17"/>
  <c r="EV104" i="17"/>
  <c r="EU104" i="17"/>
  <c r="ER104" i="17"/>
  <c r="JQ104" i="17"/>
  <c r="JT104" i="17"/>
  <c r="JS104" i="17"/>
  <c r="JR104" i="17"/>
  <c r="JP104" i="17"/>
  <c r="JX104" i="17"/>
  <c r="JW104" i="17"/>
  <c r="JU104" i="17"/>
  <c r="JV104" i="17"/>
  <c r="JH96" i="13"/>
  <c r="IZ96" i="13"/>
  <c r="JG96" i="13"/>
  <c r="JF96" i="13"/>
  <c r="JE96" i="13"/>
  <c r="JD96" i="13"/>
  <c r="JA96" i="13"/>
  <c r="JC96" i="13"/>
  <c r="JB96" i="13"/>
  <c r="JX93" i="13"/>
  <c r="JP93" i="13"/>
  <c r="JW93" i="13"/>
  <c r="JV93" i="13"/>
  <c r="JU93" i="13"/>
  <c r="JT93" i="13"/>
  <c r="JS93" i="13"/>
  <c r="JR93" i="13"/>
  <c r="JQ93" i="13"/>
  <c r="KH76" i="13"/>
  <c r="KG76" i="13"/>
  <c r="KN76" i="13"/>
  <c r="KF76" i="13"/>
  <c r="KM76" i="13"/>
  <c r="KL76" i="13"/>
  <c r="KK76" i="13"/>
  <c r="KJ76" i="13"/>
  <c r="KI76" i="13"/>
  <c r="KX69" i="13"/>
  <c r="KW69" i="13"/>
  <c r="LD69" i="13"/>
  <c r="KV69" i="13"/>
  <c r="LC69" i="13"/>
  <c r="LB69" i="13"/>
  <c r="LA69" i="13"/>
  <c r="KZ69" i="13"/>
  <c r="KY69" i="13"/>
  <c r="LO65" i="13"/>
  <c r="LN65" i="13"/>
  <c r="LM65" i="13"/>
  <c r="LT65" i="13"/>
  <c r="LL65" i="13"/>
  <c r="LS65" i="13"/>
  <c r="LQ65" i="13"/>
  <c r="LP65" i="13"/>
  <c r="LR65" i="13"/>
  <c r="LO102" i="13"/>
  <c r="LN102" i="13"/>
  <c r="LM102" i="13"/>
  <c r="LT102" i="13"/>
  <c r="LL102" i="13"/>
  <c r="LS102" i="13"/>
  <c r="LR102" i="13"/>
  <c r="LQ102" i="13"/>
  <c r="LP102" i="13"/>
  <c r="MF93" i="13"/>
  <c r="MH93" i="13"/>
  <c r="MG93" i="13"/>
  <c r="ME93" i="13"/>
  <c r="MD93" i="13"/>
  <c r="MC93" i="13"/>
  <c r="MI93" i="13"/>
  <c r="MB93" i="13"/>
  <c r="MJ93" i="13"/>
  <c r="MY102" i="13"/>
  <c r="MZ102" i="13"/>
  <c r="MS102" i="13"/>
  <c r="MR102" i="13"/>
  <c r="MX102" i="13"/>
  <c r="MW102" i="13"/>
  <c r="MU102" i="13"/>
  <c r="MT102" i="13"/>
  <c r="MV102" i="13"/>
  <c r="NP93" i="13"/>
  <c r="NH93" i="13"/>
  <c r="NI93" i="13"/>
  <c r="NJ93" i="13"/>
  <c r="NO93" i="13"/>
  <c r="NN93" i="13"/>
  <c r="NM93" i="13"/>
  <c r="NL93" i="13"/>
  <c r="NK93" i="13"/>
  <c r="NY65" i="13"/>
  <c r="NZ65" i="13"/>
  <c r="OB65" i="13"/>
  <c r="OC65" i="13"/>
  <c r="OA65" i="13"/>
  <c r="NX65" i="13"/>
  <c r="OD65" i="13"/>
  <c r="OF65" i="13"/>
  <c r="OE65" i="13"/>
  <c r="NY102" i="13"/>
  <c r="OB102" i="13"/>
  <c r="OD102" i="13"/>
  <c r="OE102" i="13"/>
  <c r="OC102" i="13"/>
  <c r="OA102" i="13"/>
  <c r="NZ102" i="13"/>
  <c r="NX102" i="13"/>
  <c r="OF102" i="13"/>
  <c r="EX66" i="15"/>
  <c r="EU66" i="15"/>
  <c r="ET66" i="15"/>
  <c r="EY66" i="15"/>
  <c r="EW66" i="15"/>
  <c r="EV66" i="15"/>
  <c r="ER66" i="15"/>
  <c r="EZ66" i="15"/>
  <c r="ES66" i="15"/>
  <c r="BD67" i="15"/>
  <c r="BE67" i="15"/>
  <c r="BG67" i="15"/>
  <c r="BH67" i="15"/>
  <c r="BF67" i="15"/>
  <c r="BC67" i="15"/>
  <c r="BB67" i="15"/>
  <c r="BA67" i="15"/>
  <c r="AZ67" i="15"/>
  <c r="LB67" i="15"/>
  <c r="KX67" i="15"/>
  <c r="KW67" i="15"/>
  <c r="KV67" i="15"/>
  <c r="LD67" i="15"/>
  <c r="LC67" i="15"/>
  <c r="LA67" i="15"/>
  <c r="KZ67" i="15"/>
  <c r="KY67" i="15"/>
  <c r="HI68" i="15"/>
  <c r="HJ68" i="15"/>
  <c r="HH68" i="15"/>
  <c r="HG68" i="15"/>
  <c r="HF68" i="15"/>
  <c r="HE68" i="15"/>
  <c r="HL68" i="15"/>
  <c r="HK68" i="15"/>
  <c r="HD68" i="15"/>
  <c r="BV73" i="15"/>
  <c r="BX73" i="15"/>
  <c r="BQ73" i="15"/>
  <c r="BW73" i="15"/>
  <c r="BU73" i="15"/>
  <c r="BT73" i="15"/>
  <c r="BS73" i="15"/>
  <c r="BR73" i="15"/>
  <c r="BP73" i="15"/>
  <c r="JG65" i="13"/>
  <c r="JD65" i="13"/>
  <c r="JC65" i="13"/>
  <c r="JF65" i="13"/>
  <c r="JE65" i="13"/>
  <c r="JB65" i="13"/>
  <c r="JA65" i="13"/>
  <c r="IZ65" i="13"/>
  <c r="JH65" i="13"/>
  <c r="JH76" i="13"/>
  <c r="IZ76" i="13"/>
  <c r="JG76" i="13"/>
  <c r="JF76" i="13"/>
  <c r="JE76" i="13"/>
  <c r="JD76" i="13"/>
  <c r="JC76" i="13"/>
  <c r="JB76" i="13"/>
  <c r="JA76" i="13"/>
  <c r="JG102" i="13"/>
  <c r="JF102" i="13"/>
  <c r="JE102" i="13"/>
  <c r="JD102" i="13"/>
  <c r="JC102" i="13"/>
  <c r="JH102" i="13"/>
  <c r="JB102" i="13"/>
  <c r="JA102" i="13"/>
  <c r="IZ102" i="13"/>
  <c r="JW73" i="13"/>
  <c r="JV73" i="13"/>
  <c r="JU73" i="13"/>
  <c r="JT73" i="13"/>
  <c r="JS73" i="13"/>
  <c r="JR73" i="13"/>
  <c r="JQ73" i="13"/>
  <c r="JP73" i="13"/>
  <c r="JX73" i="13"/>
  <c r="JW94" i="13"/>
  <c r="JV94" i="13"/>
  <c r="JU94" i="13"/>
  <c r="JT94" i="13"/>
  <c r="JS94" i="13"/>
  <c r="JX94" i="13"/>
  <c r="JR94" i="13"/>
  <c r="JQ94" i="13"/>
  <c r="JP94" i="13"/>
  <c r="KN66" i="13"/>
  <c r="KF66" i="13"/>
  <c r="KM66" i="13"/>
  <c r="KL66" i="13"/>
  <c r="KK66" i="13"/>
  <c r="KJ66" i="13"/>
  <c r="KI66" i="13"/>
  <c r="KH66" i="13"/>
  <c r="KG66" i="13"/>
  <c r="KN85" i="13"/>
  <c r="KF85" i="13"/>
  <c r="KM85" i="13"/>
  <c r="KL85" i="13"/>
  <c r="KK85" i="13"/>
  <c r="KJ85" i="13"/>
  <c r="KI85" i="13"/>
  <c r="KH85" i="13"/>
  <c r="KG85" i="13"/>
  <c r="KN103" i="13"/>
  <c r="KF103" i="13"/>
  <c r="KM103" i="13"/>
  <c r="KL103" i="13"/>
  <c r="KK103" i="13"/>
  <c r="KJ103" i="13"/>
  <c r="KH103" i="13"/>
  <c r="KG103" i="13"/>
  <c r="KI103" i="13"/>
  <c r="KW73" i="13"/>
  <c r="LD73" i="13"/>
  <c r="KV73" i="13"/>
  <c r="LC73" i="13"/>
  <c r="LB73" i="13"/>
  <c r="LA73" i="13"/>
  <c r="KY73" i="13"/>
  <c r="KX73" i="13"/>
  <c r="KZ73" i="13"/>
  <c r="KW94" i="13"/>
  <c r="LD94" i="13"/>
  <c r="KV94" i="13"/>
  <c r="LC94" i="13"/>
  <c r="LB94" i="13"/>
  <c r="LA94" i="13"/>
  <c r="KZ94" i="13"/>
  <c r="KY94" i="13"/>
  <c r="KX94" i="13"/>
  <c r="LN66" i="13"/>
  <c r="LM66" i="13"/>
  <c r="LT66" i="13"/>
  <c r="LL66" i="13"/>
  <c r="LS66" i="13"/>
  <c r="LR66" i="13"/>
  <c r="LQ66" i="13"/>
  <c r="LP66" i="13"/>
  <c r="LO66" i="13"/>
  <c r="LN85" i="13"/>
  <c r="LM85" i="13"/>
  <c r="LT85" i="13"/>
  <c r="LL85" i="13"/>
  <c r="LS85" i="13"/>
  <c r="LR85" i="13"/>
  <c r="LQ85" i="13"/>
  <c r="LP85" i="13"/>
  <c r="LO85" i="13"/>
  <c r="LN103" i="13"/>
  <c r="LM103" i="13"/>
  <c r="LT103" i="13"/>
  <c r="LL103" i="13"/>
  <c r="LS103" i="13"/>
  <c r="LR103" i="13"/>
  <c r="LO103" i="13"/>
  <c r="LQ103" i="13"/>
  <c r="LP103" i="13"/>
  <c r="ME73" i="13"/>
  <c r="MD73" i="13"/>
  <c r="MC73" i="13"/>
  <c r="MJ73" i="13"/>
  <c r="MB73" i="13"/>
  <c r="MI73" i="13"/>
  <c r="MF73" i="13"/>
  <c r="MH73" i="13"/>
  <c r="MG73" i="13"/>
  <c r="ME94" i="13"/>
  <c r="MH94" i="13"/>
  <c r="MG94" i="13"/>
  <c r="MF94" i="13"/>
  <c r="MD94" i="13"/>
  <c r="MC94" i="13"/>
  <c r="MJ94" i="13"/>
  <c r="MI94" i="13"/>
  <c r="MB94" i="13"/>
  <c r="MV66" i="13"/>
  <c r="MY66" i="13"/>
  <c r="MX66" i="13"/>
  <c r="MW66" i="13"/>
  <c r="MU66" i="13"/>
  <c r="MT66" i="13"/>
  <c r="MZ66" i="13"/>
  <c r="MS66" i="13"/>
  <c r="MR66" i="13"/>
  <c r="MX85" i="13"/>
  <c r="MY85" i="13"/>
  <c r="MS85" i="13"/>
  <c r="MR85" i="13"/>
  <c r="MZ85" i="13"/>
  <c r="MW85" i="13"/>
  <c r="MV85" i="13"/>
  <c r="MU85" i="13"/>
  <c r="MT85" i="13"/>
  <c r="MX103" i="13"/>
  <c r="MZ103" i="13"/>
  <c r="MT103" i="13"/>
  <c r="MS103" i="13"/>
  <c r="MR103" i="13"/>
  <c r="MY103" i="13"/>
  <c r="MW103" i="13"/>
  <c r="MV103" i="13"/>
  <c r="MU103" i="13"/>
  <c r="NO73" i="13"/>
  <c r="NH73" i="13"/>
  <c r="NJ73" i="13"/>
  <c r="NI73" i="13"/>
  <c r="NP73" i="13"/>
  <c r="NN73" i="13"/>
  <c r="NM73" i="13"/>
  <c r="NL73" i="13"/>
  <c r="NK73" i="13"/>
  <c r="NO94" i="13"/>
  <c r="NI94" i="13"/>
  <c r="NK94" i="13"/>
  <c r="NJ94" i="13"/>
  <c r="NH94" i="13"/>
  <c r="NP94" i="13"/>
  <c r="NN94" i="13"/>
  <c r="NM94" i="13"/>
  <c r="NL94" i="13"/>
  <c r="OF66" i="13"/>
  <c r="NX66" i="13"/>
  <c r="NZ66" i="13"/>
  <c r="OB66" i="13"/>
  <c r="OE66" i="13"/>
  <c r="OD66" i="13"/>
  <c r="OC66" i="13"/>
  <c r="OA66" i="13"/>
  <c r="NY66" i="13"/>
  <c r="OF85" i="13"/>
  <c r="NX85" i="13"/>
  <c r="OA85" i="13"/>
  <c r="OC85" i="13"/>
  <c r="OE85" i="13"/>
  <c r="OD85" i="13"/>
  <c r="OB85" i="13"/>
  <c r="NZ85" i="13"/>
  <c r="NY85" i="13"/>
  <c r="OF103" i="13"/>
  <c r="NX103" i="13"/>
  <c r="OB103" i="13"/>
  <c r="OD103" i="13"/>
  <c r="OE103" i="13"/>
  <c r="OC103" i="13"/>
  <c r="OA103" i="13"/>
  <c r="NZ103" i="13"/>
  <c r="NY103" i="13"/>
  <c r="JG65" i="15"/>
  <c r="JF65" i="15"/>
  <c r="JC65" i="15"/>
  <c r="JB65" i="15"/>
  <c r="JA65" i="15"/>
  <c r="IZ65" i="15"/>
  <c r="JD65" i="15"/>
  <c r="JH65" i="15"/>
  <c r="JE65" i="15"/>
  <c r="OD65" i="15"/>
  <c r="NY65" i="15"/>
  <c r="OF65" i="15"/>
  <c r="OE65" i="15"/>
  <c r="OC65" i="15"/>
  <c r="OB65" i="15"/>
  <c r="OA65" i="15"/>
  <c r="NX65" i="15"/>
  <c r="NZ65" i="15"/>
  <c r="FL66" i="15"/>
  <c r="FI66" i="15"/>
  <c r="FP66" i="15"/>
  <c r="FH66" i="15"/>
  <c r="FO66" i="15"/>
  <c r="FM66" i="15"/>
  <c r="FK66" i="15"/>
  <c r="FJ66" i="15"/>
  <c r="FN66" i="15"/>
  <c r="KN66" i="15"/>
  <c r="KF66" i="15"/>
  <c r="KM66" i="15"/>
  <c r="KJ66" i="15"/>
  <c r="KI66" i="15"/>
  <c r="KH66" i="15"/>
  <c r="KG66" i="15"/>
  <c r="KL66" i="15"/>
  <c r="KK66" i="15"/>
  <c r="BQ67" i="15"/>
  <c r="BW67" i="15"/>
  <c r="BP67" i="15"/>
  <c r="BX67" i="15"/>
  <c r="BV67" i="15"/>
  <c r="BU67" i="15"/>
  <c r="BT67" i="15"/>
  <c r="BR67" i="15"/>
  <c r="BS67" i="15"/>
  <c r="GO67" i="15"/>
  <c r="GR67" i="15"/>
  <c r="GQ67" i="15"/>
  <c r="GP67" i="15"/>
  <c r="GN67" i="15"/>
  <c r="GV67" i="15"/>
  <c r="GU67" i="15"/>
  <c r="GT67" i="15"/>
  <c r="GS67" i="15"/>
  <c r="LO67" i="15"/>
  <c r="LM67" i="15"/>
  <c r="LN67" i="15"/>
  <c r="LL67" i="15"/>
  <c r="LT67" i="15"/>
  <c r="LS67" i="15"/>
  <c r="LR67" i="15"/>
  <c r="LP67" i="15"/>
  <c r="LQ67" i="15"/>
  <c r="CY68" i="15"/>
  <c r="DD68" i="15"/>
  <c r="CV68" i="15"/>
  <c r="DC68" i="15"/>
  <c r="DB68" i="15"/>
  <c r="DA68" i="15"/>
  <c r="CX68" i="15"/>
  <c r="CW68" i="15"/>
  <c r="CZ68" i="15"/>
  <c r="MS68" i="15"/>
  <c r="MW68" i="15"/>
  <c r="MU68" i="15"/>
  <c r="MV68" i="15"/>
  <c r="MT68" i="15"/>
  <c r="MR68" i="15"/>
  <c r="MZ68" i="15"/>
  <c r="MY68" i="15"/>
  <c r="MX68" i="15"/>
  <c r="JC69" i="15"/>
  <c r="JB69" i="15"/>
  <c r="JH69" i="15"/>
  <c r="JG69" i="15"/>
  <c r="JF69" i="15"/>
  <c r="JE69" i="15"/>
  <c r="JD69" i="15"/>
  <c r="JA69" i="15"/>
  <c r="IZ69" i="15"/>
  <c r="NZ69" i="15"/>
  <c r="NY69" i="15"/>
  <c r="OF69" i="15"/>
  <c r="OE69" i="15"/>
  <c r="OD69" i="15"/>
  <c r="OC69" i="15"/>
  <c r="OB69" i="15"/>
  <c r="OA69" i="15"/>
  <c r="NX69" i="15"/>
  <c r="CI73" i="15"/>
  <c r="CN73" i="15"/>
  <c r="CF73" i="15"/>
  <c r="CM73" i="15"/>
  <c r="CH73" i="15"/>
  <c r="CL73" i="15"/>
  <c r="CK73" i="15"/>
  <c r="CJ73" i="15"/>
  <c r="CG73" i="15"/>
  <c r="HG73" i="15"/>
  <c r="HJ73" i="15"/>
  <c r="HI73" i="15"/>
  <c r="HH73" i="15"/>
  <c r="HF73" i="15"/>
  <c r="HE73" i="15"/>
  <c r="HL73" i="15"/>
  <c r="HD73" i="15"/>
  <c r="HK73" i="15"/>
  <c r="MG73" i="15"/>
  <c r="ME73" i="15"/>
  <c r="MI73" i="15"/>
  <c r="MH73" i="15"/>
  <c r="MF73" i="15"/>
  <c r="MD73" i="15"/>
  <c r="MC73" i="15"/>
  <c r="MB73" i="15"/>
  <c r="MJ73" i="15"/>
  <c r="DP75" i="15"/>
  <c r="DM75" i="15"/>
  <c r="DT75" i="15"/>
  <c r="DL75" i="15"/>
  <c r="DS75" i="15"/>
  <c r="DR75" i="15"/>
  <c r="DO75" i="15"/>
  <c r="DN75" i="15"/>
  <c r="DQ75" i="15"/>
  <c r="NK75" i="15"/>
  <c r="NP75" i="15"/>
  <c r="NN75" i="15"/>
  <c r="NM75" i="15"/>
  <c r="NL75" i="15"/>
  <c r="NO75" i="15"/>
  <c r="NJ75" i="15"/>
  <c r="NI75" i="15"/>
  <c r="NH75" i="15"/>
  <c r="BT76" i="15"/>
  <c r="BX76" i="15"/>
  <c r="BQ76" i="15"/>
  <c r="BR76" i="15"/>
  <c r="BP76" i="15"/>
  <c r="BW76" i="15"/>
  <c r="BV76" i="15"/>
  <c r="BU76" i="15"/>
  <c r="BS76" i="15"/>
  <c r="GR76" i="15"/>
  <c r="GS76" i="15"/>
  <c r="GQ76" i="15"/>
  <c r="GP76" i="15"/>
  <c r="GO76" i="15"/>
  <c r="GN76" i="15"/>
  <c r="GV76" i="15"/>
  <c r="GU76" i="15"/>
  <c r="GT76" i="15"/>
  <c r="LR76" i="15"/>
  <c r="LP76" i="15"/>
  <c r="LL76" i="15"/>
  <c r="LT76" i="15"/>
  <c r="LS76" i="15"/>
  <c r="LQ76" i="15"/>
  <c r="LO76" i="15"/>
  <c r="LM76" i="15"/>
  <c r="LN76" i="15"/>
  <c r="EY85" i="15"/>
  <c r="EV85" i="15"/>
  <c r="EU85" i="15"/>
  <c r="EZ85" i="15"/>
  <c r="EX85" i="15"/>
  <c r="EW85" i="15"/>
  <c r="ES85" i="15"/>
  <c r="ER85" i="15"/>
  <c r="ET85" i="15"/>
  <c r="JS85" i="15"/>
  <c r="JR85" i="15"/>
  <c r="JW85" i="15"/>
  <c r="JV85" i="15"/>
  <c r="JU85" i="15"/>
  <c r="JT85" i="15"/>
  <c r="JQ85" i="15"/>
  <c r="JX85" i="15"/>
  <c r="JP85" i="15"/>
  <c r="CY86" i="15"/>
  <c r="DD86" i="15"/>
  <c r="CV86" i="15"/>
  <c r="DC86" i="15"/>
  <c r="CZ86" i="15"/>
  <c r="CX86" i="15"/>
  <c r="CW86" i="15"/>
  <c r="DB86" i="15"/>
  <c r="DA86" i="15"/>
  <c r="MT86" i="15"/>
  <c r="MX86" i="15"/>
  <c r="MV86" i="15"/>
  <c r="MS86" i="15"/>
  <c r="MR86" i="15"/>
  <c r="MZ86" i="15"/>
  <c r="MY86" i="15"/>
  <c r="MW86" i="15"/>
  <c r="MU86" i="15"/>
  <c r="BC88" i="15"/>
  <c r="BF88" i="15"/>
  <c r="BH88" i="15"/>
  <c r="BB88" i="15"/>
  <c r="BA88" i="15"/>
  <c r="AZ88" i="15"/>
  <c r="BG88" i="15"/>
  <c r="BE88" i="15"/>
  <c r="BD88" i="15"/>
  <c r="GA88" i="15"/>
  <c r="FZ88" i="15"/>
  <c r="FY88" i="15"/>
  <c r="FX88" i="15"/>
  <c r="GF88" i="15"/>
  <c r="GE88" i="15"/>
  <c r="GB88" i="15"/>
  <c r="GD88" i="15"/>
  <c r="GC88" i="15"/>
  <c r="LA88" i="15"/>
  <c r="KY88" i="15"/>
  <c r="KX88" i="15"/>
  <c r="KW88" i="15"/>
  <c r="KV88" i="15"/>
  <c r="LD88" i="15"/>
  <c r="LC88" i="15"/>
  <c r="LB88" i="15"/>
  <c r="KZ88" i="15"/>
  <c r="CK93" i="15"/>
  <c r="CH93" i="15"/>
  <c r="CG93" i="15"/>
  <c r="CN93" i="15"/>
  <c r="CM93" i="15"/>
  <c r="CL93" i="15"/>
  <c r="CJ93" i="15"/>
  <c r="CI93" i="15"/>
  <c r="CF93" i="15"/>
  <c r="HH93" i="15"/>
  <c r="HK93" i="15"/>
  <c r="HJ93" i="15"/>
  <c r="HI93" i="15"/>
  <c r="HG93" i="15"/>
  <c r="HF93" i="15"/>
  <c r="HD93" i="15"/>
  <c r="HL93" i="15"/>
  <c r="HE93" i="15"/>
  <c r="MH93" i="15"/>
  <c r="MF93" i="15"/>
  <c r="MJ93" i="15"/>
  <c r="MI93" i="15"/>
  <c r="MG93" i="15"/>
  <c r="ME93" i="15"/>
  <c r="MD93" i="15"/>
  <c r="MC93" i="15"/>
  <c r="MB93" i="15"/>
  <c r="DP94" i="15"/>
  <c r="DM94" i="15"/>
  <c r="DT94" i="15"/>
  <c r="DL94" i="15"/>
  <c r="DQ94" i="15"/>
  <c r="DO94" i="15"/>
  <c r="DN94" i="15"/>
  <c r="DS94" i="15"/>
  <c r="DR94" i="15"/>
  <c r="IO94" i="15"/>
  <c r="IN94" i="15"/>
  <c r="IM94" i="15"/>
  <c r="IL94" i="15"/>
  <c r="IK94" i="15"/>
  <c r="IJ94" i="15"/>
  <c r="IR94" i="15"/>
  <c r="IQ94" i="15"/>
  <c r="IP94" i="15"/>
  <c r="NL94" i="15"/>
  <c r="NH94" i="15"/>
  <c r="NO94" i="15"/>
  <c r="NN94" i="15"/>
  <c r="NM94" i="15"/>
  <c r="NK94" i="15"/>
  <c r="NI94" i="15"/>
  <c r="NP94" i="15"/>
  <c r="NJ94" i="15"/>
  <c r="ET95" i="15"/>
  <c r="EY95" i="15"/>
  <c r="EX95" i="15"/>
  <c r="ES95" i="15"/>
  <c r="ER95" i="15"/>
  <c r="EZ95" i="15"/>
  <c r="EW95" i="15"/>
  <c r="EV95" i="15"/>
  <c r="EU95" i="15"/>
  <c r="JV95" i="15"/>
  <c r="JU95" i="15"/>
  <c r="JT95" i="15"/>
  <c r="JS95" i="15"/>
  <c r="JR95" i="15"/>
  <c r="JQ95" i="15"/>
  <c r="JP95" i="15"/>
  <c r="JW95" i="15"/>
  <c r="JX95" i="15"/>
  <c r="BG96" i="15"/>
  <c r="BF96" i="15"/>
  <c r="AZ96" i="15"/>
  <c r="BC96" i="15"/>
  <c r="BB96" i="15"/>
  <c r="BA96" i="15"/>
  <c r="BH96" i="15"/>
  <c r="BE96" i="15"/>
  <c r="BD96" i="15"/>
  <c r="GE96" i="15"/>
  <c r="GA96" i="15"/>
  <c r="FZ96" i="15"/>
  <c r="FY96" i="15"/>
  <c r="FX96" i="15"/>
  <c r="GF96" i="15"/>
  <c r="GD96" i="15"/>
  <c r="GB96" i="15"/>
  <c r="GC96" i="15"/>
  <c r="KW96" i="15"/>
  <c r="KZ96" i="15"/>
  <c r="KY96" i="15"/>
  <c r="KX96" i="15"/>
  <c r="KV96" i="15"/>
  <c r="LD96" i="15"/>
  <c r="LC96" i="15"/>
  <c r="LB96" i="15"/>
  <c r="LA96" i="15"/>
  <c r="CG102" i="15"/>
  <c r="CL102" i="15"/>
  <c r="CK102" i="15"/>
  <c r="CN102" i="15"/>
  <c r="CH102" i="15"/>
  <c r="CM102" i="15"/>
  <c r="CJ102" i="15"/>
  <c r="CI102" i="15"/>
  <c r="CF102" i="15"/>
  <c r="HL102" i="15"/>
  <c r="HD102" i="15"/>
  <c r="HK102" i="15"/>
  <c r="HJ102" i="15"/>
  <c r="HI102" i="15"/>
  <c r="HH102" i="15"/>
  <c r="HG102" i="15"/>
  <c r="HE102" i="15"/>
  <c r="HF102" i="15"/>
  <c r="MD102" i="15"/>
  <c r="MJ102" i="15"/>
  <c r="MB102" i="15"/>
  <c r="MF102" i="15"/>
  <c r="ME102" i="15"/>
  <c r="MC102" i="15"/>
  <c r="MI102" i="15"/>
  <c r="MG102" i="15"/>
  <c r="MH102" i="15"/>
  <c r="DT103" i="15"/>
  <c r="DL103" i="15"/>
  <c r="DQ103" i="15"/>
  <c r="DP103" i="15"/>
  <c r="DS103" i="15"/>
  <c r="DR103" i="15"/>
  <c r="DO103" i="15"/>
  <c r="DM103" i="15"/>
  <c r="DN103" i="15"/>
  <c r="IK103" i="15"/>
  <c r="IR103" i="15"/>
  <c r="IJ103" i="15"/>
  <c r="IQ103" i="15"/>
  <c r="IP103" i="15"/>
  <c r="IO103" i="15"/>
  <c r="IN103" i="15"/>
  <c r="IM103" i="15"/>
  <c r="IL103" i="15"/>
  <c r="NP103" i="15"/>
  <c r="NH103" i="15"/>
  <c r="NI103" i="15"/>
  <c r="NO103" i="15"/>
  <c r="NN103" i="15"/>
  <c r="NM103" i="15"/>
  <c r="NL103" i="15"/>
  <c r="NK103" i="15"/>
  <c r="NJ103" i="15"/>
  <c r="EX104" i="15"/>
  <c r="EU104" i="15"/>
  <c r="ET104" i="15"/>
  <c r="EV104" i="15"/>
  <c r="ES104" i="15"/>
  <c r="ER104" i="15"/>
  <c r="EZ104" i="15"/>
  <c r="EY104" i="15"/>
  <c r="EW104" i="15"/>
  <c r="JR104" i="15"/>
  <c r="JQ104" i="15"/>
  <c r="JP104" i="15"/>
  <c r="JX104" i="15"/>
  <c r="JW104" i="15"/>
  <c r="JV104" i="15"/>
  <c r="JU104" i="15"/>
  <c r="JT104" i="15"/>
  <c r="JS104" i="15"/>
  <c r="DP65" i="16"/>
  <c r="DO65" i="16"/>
  <c r="DN65" i="16"/>
  <c r="DM65" i="16"/>
  <c r="DT65" i="16"/>
  <c r="DL65" i="16"/>
  <c r="DS65" i="16"/>
  <c r="DR65" i="16"/>
  <c r="DQ65" i="16"/>
  <c r="IO65" i="16"/>
  <c r="IN65" i="16"/>
  <c r="IM65" i="16"/>
  <c r="IL65" i="16"/>
  <c r="IK65" i="16"/>
  <c r="IR65" i="16"/>
  <c r="IJ65" i="16"/>
  <c r="IQ65" i="16"/>
  <c r="IP65" i="16"/>
  <c r="NI65" i="16"/>
  <c r="NP65" i="16"/>
  <c r="NH65" i="16"/>
  <c r="NO65" i="16"/>
  <c r="NN65" i="16"/>
  <c r="NL65" i="16"/>
  <c r="NM65" i="16"/>
  <c r="NK65" i="16"/>
  <c r="NJ65" i="16"/>
  <c r="EY66" i="16"/>
  <c r="EV66" i="16"/>
  <c r="EU66" i="16"/>
  <c r="ET66" i="16"/>
  <c r="ES66" i="16"/>
  <c r="ER66" i="16"/>
  <c r="EZ66" i="16"/>
  <c r="EX66" i="16"/>
  <c r="EW66" i="16"/>
  <c r="JW66" i="16"/>
  <c r="JV66" i="16"/>
  <c r="JU66" i="16"/>
  <c r="JT66" i="16"/>
  <c r="JS66" i="16"/>
  <c r="JR66" i="16"/>
  <c r="JX66" i="16"/>
  <c r="JQ66" i="16"/>
  <c r="JP66" i="16"/>
  <c r="BA67" i="16"/>
  <c r="BF67" i="16"/>
  <c r="BE67" i="16"/>
  <c r="BH67" i="16"/>
  <c r="BG67" i="16"/>
  <c r="BD67" i="16"/>
  <c r="BC67" i="16"/>
  <c r="BB67" i="16"/>
  <c r="AZ67" i="16"/>
  <c r="FY67" i="16"/>
  <c r="GD67" i="16"/>
  <c r="GC67" i="16"/>
  <c r="GB67" i="16"/>
  <c r="GA67" i="16"/>
  <c r="FZ67" i="16"/>
  <c r="FX67" i="16"/>
  <c r="GF67" i="16"/>
  <c r="GE67" i="16"/>
  <c r="KX67" i="16"/>
  <c r="KW67" i="16"/>
  <c r="LD67" i="16"/>
  <c r="KV67" i="16"/>
  <c r="LC67" i="16"/>
  <c r="LB67" i="16"/>
  <c r="LA67" i="16"/>
  <c r="KZ67" i="16"/>
  <c r="KY67" i="16"/>
  <c r="CJ68" i="16"/>
  <c r="CG68" i="16"/>
  <c r="CN68" i="16"/>
  <c r="CF68" i="16"/>
  <c r="CH68" i="16"/>
  <c r="CM68" i="16"/>
  <c r="CL68" i="16"/>
  <c r="CK68" i="16"/>
  <c r="CI68" i="16"/>
  <c r="HI68" i="16"/>
  <c r="HH68" i="16"/>
  <c r="HG68" i="16"/>
  <c r="HF68" i="16"/>
  <c r="HE68" i="16"/>
  <c r="HL68" i="16"/>
  <c r="HD68" i="16"/>
  <c r="HK68" i="16"/>
  <c r="HJ68" i="16"/>
  <c r="ME68" i="16"/>
  <c r="MD68" i="16"/>
  <c r="MC68" i="16"/>
  <c r="MJ68" i="16"/>
  <c r="MB68" i="16"/>
  <c r="MI68" i="16"/>
  <c r="MH68" i="16"/>
  <c r="MG68" i="16"/>
  <c r="MF68" i="16"/>
  <c r="DT69" i="16"/>
  <c r="DL69" i="16"/>
  <c r="DS69" i="16"/>
  <c r="DR69" i="16"/>
  <c r="DQ69" i="16"/>
  <c r="DP69" i="16"/>
  <c r="DM69" i="16"/>
  <c r="DO69" i="16"/>
  <c r="DN69" i="16"/>
  <c r="IK69" i="16"/>
  <c r="IR69" i="16"/>
  <c r="IJ69" i="16"/>
  <c r="IQ69" i="16"/>
  <c r="IP69" i="16"/>
  <c r="IO69" i="16"/>
  <c r="IN69" i="16"/>
  <c r="IM69" i="16"/>
  <c r="IL69" i="16"/>
  <c r="NM69" i="16"/>
  <c r="NL69" i="16"/>
  <c r="NK69" i="16"/>
  <c r="NJ69" i="16"/>
  <c r="NP69" i="16"/>
  <c r="NH69" i="16"/>
  <c r="NN69" i="16"/>
  <c r="NI69" i="16"/>
  <c r="NO69" i="16"/>
  <c r="EU73" i="16"/>
  <c r="EZ73" i="16"/>
  <c r="ER73" i="16"/>
  <c r="EY73" i="16"/>
  <c r="EX73" i="16"/>
  <c r="EW73" i="16"/>
  <c r="ET73" i="16"/>
  <c r="ES73" i="16"/>
  <c r="EV73" i="16"/>
  <c r="JS73" i="16"/>
  <c r="JR73" i="16"/>
  <c r="JQ73" i="16"/>
  <c r="JX73" i="16"/>
  <c r="JP73" i="16"/>
  <c r="JW73" i="16"/>
  <c r="JV73" i="16"/>
  <c r="JT73" i="16"/>
  <c r="JU73" i="16"/>
  <c r="CG75" i="16"/>
  <c r="CN75" i="16"/>
  <c r="CM75" i="16"/>
  <c r="CL75" i="16"/>
  <c r="CK75" i="16"/>
  <c r="CF75" i="16"/>
  <c r="CJ75" i="16"/>
  <c r="CI75" i="16"/>
  <c r="CH75" i="16"/>
  <c r="HF75" i="16"/>
  <c r="HE75" i="16"/>
  <c r="HL75" i="16"/>
  <c r="HD75" i="16"/>
  <c r="HK75" i="16"/>
  <c r="HJ75" i="16"/>
  <c r="HI75" i="16"/>
  <c r="HG75" i="16"/>
  <c r="HH75" i="16"/>
  <c r="MJ75" i="16"/>
  <c r="MB75" i="16"/>
  <c r="MI75" i="16"/>
  <c r="MH75" i="16"/>
  <c r="MG75" i="16"/>
  <c r="MF75" i="16"/>
  <c r="ME75" i="16"/>
  <c r="MD75" i="16"/>
  <c r="MC75" i="16"/>
  <c r="DQ76" i="16"/>
  <c r="DP76" i="16"/>
  <c r="DO76" i="16"/>
  <c r="DN76" i="16"/>
  <c r="DM76" i="16"/>
  <c r="DT76" i="16"/>
  <c r="DS76" i="16"/>
  <c r="DR76" i="16"/>
  <c r="DL76" i="16"/>
  <c r="IP76" i="16"/>
  <c r="IO76" i="16"/>
  <c r="IN76" i="16"/>
  <c r="IM76" i="16"/>
  <c r="IL76" i="16"/>
  <c r="IK76" i="16"/>
  <c r="IQ76" i="16"/>
  <c r="IJ76" i="16"/>
  <c r="IR76" i="16"/>
  <c r="NJ76" i="16"/>
  <c r="NI76" i="16"/>
  <c r="NP76" i="16"/>
  <c r="NH76" i="16"/>
  <c r="NO76" i="16"/>
  <c r="NM76" i="16"/>
  <c r="NN76" i="16"/>
  <c r="NL76" i="16"/>
  <c r="NK76" i="16"/>
  <c r="EY85" i="16"/>
  <c r="EV85" i="16"/>
  <c r="EX85" i="16"/>
  <c r="EW85" i="16"/>
  <c r="EU85" i="16"/>
  <c r="ET85" i="16"/>
  <c r="ES85" i="16"/>
  <c r="EZ85" i="16"/>
  <c r="ER85" i="16"/>
  <c r="JW85" i="16"/>
  <c r="JV85" i="16"/>
  <c r="JU85" i="16"/>
  <c r="JT85" i="16"/>
  <c r="JS85" i="16"/>
  <c r="JR85" i="16"/>
  <c r="JP85" i="16"/>
  <c r="JQ85" i="16"/>
  <c r="JX85" i="16"/>
  <c r="BA86" i="16"/>
  <c r="BF86" i="16"/>
  <c r="BE86" i="16"/>
  <c r="BC86" i="16"/>
  <c r="BB86" i="16"/>
  <c r="AZ86" i="16"/>
  <c r="BH86" i="16"/>
  <c r="BD86" i="16"/>
  <c r="BG86" i="16"/>
  <c r="FY86" i="16"/>
  <c r="GD86" i="16"/>
  <c r="GF86" i="16"/>
  <c r="GE86" i="16"/>
  <c r="GC86" i="16"/>
  <c r="GB86" i="16"/>
  <c r="GA86" i="16"/>
  <c r="FZ86" i="16"/>
  <c r="FX86" i="16"/>
  <c r="KX86" i="16"/>
  <c r="KW86" i="16"/>
  <c r="LD86" i="16"/>
  <c r="KV86" i="16"/>
  <c r="LC86" i="16"/>
  <c r="LB86" i="16"/>
  <c r="LA86" i="16"/>
  <c r="KZ86" i="16"/>
  <c r="KY86" i="16"/>
  <c r="CJ88" i="16"/>
  <c r="CI88" i="16"/>
  <c r="CH88" i="16"/>
  <c r="CG88" i="16"/>
  <c r="CN88" i="16"/>
  <c r="CF88" i="16"/>
  <c r="CM88" i="16"/>
  <c r="CL88" i="16"/>
  <c r="CK88" i="16"/>
  <c r="HI88" i="16"/>
  <c r="HH88" i="16"/>
  <c r="HG88" i="16"/>
  <c r="HF88" i="16"/>
  <c r="HE88" i="16"/>
  <c r="HL88" i="16"/>
  <c r="HD88" i="16"/>
  <c r="HK88" i="16"/>
  <c r="HJ88" i="16"/>
  <c r="MD88" i="16"/>
  <c r="MF88" i="16"/>
  <c r="ME88" i="16"/>
  <c r="MC88" i="16"/>
  <c r="MB88" i="16"/>
  <c r="MJ88" i="16"/>
  <c r="MI88" i="16"/>
  <c r="MH88" i="16"/>
  <c r="MG88" i="16"/>
  <c r="KI93" i="16"/>
  <c r="KH93" i="16"/>
  <c r="KG93" i="16"/>
  <c r="KN93" i="16"/>
  <c r="KF93" i="16"/>
  <c r="KM93" i="16"/>
  <c r="KL93" i="16"/>
  <c r="KK93" i="16"/>
  <c r="KJ93" i="16"/>
  <c r="DS94" i="16"/>
  <c r="DR94" i="16"/>
  <c r="DQ94" i="16"/>
  <c r="DP94" i="16"/>
  <c r="DO94" i="16"/>
  <c r="DN94" i="16"/>
  <c r="DM94" i="16"/>
  <c r="DL94" i="16"/>
  <c r="DT94" i="16"/>
  <c r="IR94" i="16"/>
  <c r="IJ94" i="16"/>
  <c r="IQ94" i="16"/>
  <c r="IP94" i="16"/>
  <c r="IO94" i="16"/>
  <c r="IN94" i="16"/>
  <c r="IM94" i="16"/>
  <c r="IL94" i="16"/>
  <c r="IK94" i="16"/>
  <c r="NL94" i="16"/>
  <c r="NK94" i="16"/>
  <c r="NJ94" i="16"/>
  <c r="NI94" i="16"/>
  <c r="NO94" i="16"/>
  <c r="NN94" i="16"/>
  <c r="NM94" i="16"/>
  <c r="NH94" i="16"/>
  <c r="NP94" i="16"/>
  <c r="LO95" i="16"/>
  <c r="LN95" i="16"/>
  <c r="LM95" i="16"/>
  <c r="LT95" i="16"/>
  <c r="LL95" i="16"/>
  <c r="LS95" i="16"/>
  <c r="LR95" i="16"/>
  <c r="LQ95" i="16"/>
  <c r="LP95" i="16"/>
  <c r="JS96" i="16"/>
  <c r="JR96" i="16"/>
  <c r="JQ96" i="16"/>
  <c r="JX96" i="16"/>
  <c r="JP96" i="16"/>
  <c r="JU96" i="16"/>
  <c r="JT96" i="16"/>
  <c r="JW96" i="16"/>
  <c r="JV96" i="16"/>
  <c r="BE102" i="16"/>
  <c r="BB102" i="16"/>
  <c r="BA102" i="16"/>
  <c r="BF102" i="16"/>
  <c r="BD102" i="16"/>
  <c r="BC102" i="16"/>
  <c r="AZ102" i="16"/>
  <c r="BH102" i="16"/>
  <c r="BG102" i="16"/>
  <c r="GC102" i="16"/>
  <c r="FZ102" i="16"/>
  <c r="GB102" i="16"/>
  <c r="GA102" i="16"/>
  <c r="FY102" i="16"/>
  <c r="FX102" i="16"/>
  <c r="GF102" i="16"/>
  <c r="GE102" i="16"/>
  <c r="GD102" i="16"/>
  <c r="KZ102" i="16"/>
  <c r="KY102" i="16"/>
  <c r="KX102" i="16"/>
  <c r="KW102" i="16"/>
  <c r="LD102" i="16"/>
  <c r="KV102" i="16"/>
  <c r="LC102" i="16"/>
  <c r="LB102" i="16"/>
  <c r="LA102" i="16"/>
  <c r="CM103" i="16"/>
  <c r="CL103" i="16"/>
  <c r="CK103" i="16"/>
  <c r="CJ103" i="16"/>
  <c r="CI103" i="16"/>
  <c r="CN103" i="16"/>
  <c r="CH103" i="16"/>
  <c r="CG103" i="16"/>
  <c r="CF103" i="16"/>
  <c r="HE103" i="16"/>
  <c r="HL103" i="16"/>
  <c r="HD103" i="16"/>
  <c r="HK103" i="16"/>
  <c r="HJ103" i="16"/>
  <c r="HI103" i="16"/>
  <c r="HH103" i="16"/>
  <c r="HG103" i="16"/>
  <c r="HF103" i="16"/>
  <c r="MF103" i="16"/>
  <c r="ME103" i="16"/>
  <c r="MI103" i="16"/>
  <c r="MH103" i="16"/>
  <c r="MG103" i="16"/>
  <c r="MD103" i="16"/>
  <c r="MC103" i="16"/>
  <c r="MB103" i="16"/>
  <c r="MJ103" i="16"/>
  <c r="DP104" i="16"/>
  <c r="DO104" i="16"/>
  <c r="DN104" i="16"/>
  <c r="DM104" i="16"/>
  <c r="DT104" i="16"/>
  <c r="DL104" i="16"/>
  <c r="DS104" i="16"/>
  <c r="DR104" i="16"/>
  <c r="DQ104" i="16"/>
  <c r="IN104" i="16"/>
  <c r="IM104" i="16"/>
  <c r="IL104" i="16"/>
  <c r="IK104" i="16"/>
  <c r="IR104" i="16"/>
  <c r="IJ104" i="16"/>
  <c r="IQ104" i="16"/>
  <c r="IO104" i="16"/>
  <c r="IP104" i="16"/>
  <c r="NO104" i="16"/>
  <c r="NN104" i="16"/>
  <c r="NM104" i="16"/>
  <c r="NL104" i="16"/>
  <c r="NJ104" i="16"/>
  <c r="NI104" i="16"/>
  <c r="NP104" i="16"/>
  <c r="NK104" i="16"/>
  <c r="NH104" i="16"/>
  <c r="CJ65" i="17"/>
  <c r="CI65" i="17"/>
  <c r="CH65" i="17"/>
  <c r="CG65" i="17"/>
  <c r="CL65" i="17"/>
  <c r="CK65" i="17"/>
  <c r="CF65" i="17"/>
  <c r="CN65" i="17"/>
  <c r="CM65" i="17"/>
  <c r="HI65" i="17"/>
  <c r="HF65" i="17"/>
  <c r="HE65" i="17"/>
  <c r="HK65" i="17"/>
  <c r="HL65" i="17"/>
  <c r="HJ65" i="17"/>
  <c r="HH65" i="17"/>
  <c r="HG65" i="17"/>
  <c r="HD65" i="17"/>
  <c r="MH65" i="17"/>
  <c r="MG65" i="17"/>
  <c r="MJ65" i="17"/>
  <c r="MI65" i="17"/>
  <c r="MF65" i="17"/>
  <c r="ME65" i="17"/>
  <c r="MD65" i="17"/>
  <c r="MC65" i="17"/>
  <c r="MB65" i="17"/>
  <c r="DR66" i="17"/>
  <c r="DT66" i="17"/>
  <c r="DS66" i="17"/>
  <c r="DQ66" i="17"/>
  <c r="DP66" i="17"/>
  <c r="DO66" i="17"/>
  <c r="DN66" i="17"/>
  <c r="DM66" i="17"/>
  <c r="DL66" i="17"/>
  <c r="IR66" i="17"/>
  <c r="IJ66" i="17"/>
  <c r="IO66" i="17"/>
  <c r="IM66" i="17"/>
  <c r="IL66" i="17"/>
  <c r="IK66" i="17"/>
  <c r="IQ66" i="17"/>
  <c r="IP66" i="17"/>
  <c r="IN66" i="17"/>
  <c r="NO66" i="17"/>
  <c r="NM66" i="17"/>
  <c r="NK66" i="17"/>
  <c r="NP66" i="17"/>
  <c r="NN66" i="17"/>
  <c r="NL66" i="17"/>
  <c r="NJ66" i="17"/>
  <c r="NI66" i="17"/>
  <c r="NH66" i="17"/>
  <c r="ET67" i="17"/>
  <c r="EV67" i="17"/>
  <c r="ES67" i="17"/>
  <c r="ER67" i="17"/>
  <c r="EZ67" i="17"/>
  <c r="EY67" i="17"/>
  <c r="EX67" i="17"/>
  <c r="EW67" i="17"/>
  <c r="EU67" i="17"/>
  <c r="JQ67" i="17"/>
  <c r="JR67" i="17"/>
  <c r="JP67" i="17"/>
  <c r="JX67" i="17"/>
  <c r="JW67" i="17"/>
  <c r="JV67" i="17"/>
  <c r="JU67" i="17"/>
  <c r="JS67" i="17"/>
  <c r="JT67" i="17"/>
  <c r="BH68" i="17"/>
  <c r="AZ68" i="17"/>
  <c r="BG68" i="17"/>
  <c r="BF68" i="17"/>
  <c r="BE68" i="17"/>
  <c r="BD68" i="17"/>
  <c r="BC68" i="17"/>
  <c r="BB68" i="17"/>
  <c r="BA68" i="17"/>
  <c r="KX68" i="17"/>
  <c r="KW68" i="17"/>
  <c r="LD68" i="17"/>
  <c r="KV68" i="17"/>
  <c r="LB68" i="17"/>
  <c r="LA68" i="17"/>
  <c r="KZ68" i="17"/>
  <c r="KY68" i="17"/>
  <c r="LC68" i="17"/>
  <c r="CN69" i="17"/>
  <c r="CF69" i="17"/>
  <c r="CM69" i="17"/>
  <c r="CL69" i="17"/>
  <c r="CK69" i="17"/>
  <c r="CH69" i="17"/>
  <c r="CG69" i="17"/>
  <c r="CJ69" i="17"/>
  <c r="CI69" i="17"/>
  <c r="HE69" i="17"/>
  <c r="HG69" i="17"/>
  <c r="HF69" i="17"/>
  <c r="HK69" i="17"/>
  <c r="HH69" i="17"/>
  <c r="HD69" i="17"/>
  <c r="HL69" i="17"/>
  <c r="HJ69" i="17"/>
  <c r="HI69" i="17"/>
  <c r="MJ69" i="17"/>
  <c r="MB69" i="17"/>
  <c r="MH69" i="17"/>
  <c r="MD69" i="17"/>
  <c r="MC69" i="17"/>
  <c r="MI69" i="17"/>
  <c r="MG69" i="17"/>
  <c r="MF69" i="17"/>
  <c r="ME69" i="17"/>
  <c r="DN73" i="17"/>
  <c r="DT73" i="17"/>
  <c r="DS73" i="17"/>
  <c r="DR73" i="17"/>
  <c r="DQ73" i="17"/>
  <c r="DP73" i="17"/>
  <c r="DO73" i="17"/>
  <c r="DM73" i="17"/>
  <c r="DL73" i="17"/>
  <c r="IN73" i="17"/>
  <c r="IP73" i="17"/>
  <c r="IL73" i="17"/>
  <c r="IJ73" i="17"/>
  <c r="IR73" i="17"/>
  <c r="IQ73" i="17"/>
  <c r="IO73" i="17"/>
  <c r="IM73" i="17"/>
  <c r="IK73" i="17"/>
  <c r="NK73" i="17"/>
  <c r="NI73" i="17"/>
  <c r="NO73" i="17"/>
  <c r="NP73" i="17"/>
  <c r="NN73" i="17"/>
  <c r="NM73" i="17"/>
  <c r="NL73" i="17"/>
  <c r="NJ73" i="17"/>
  <c r="NH73" i="17"/>
  <c r="BE75" i="17"/>
  <c r="BD75" i="17"/>
  <c r="BC75" i="17"/>
  <c r="BB75" i="17"/>
  <c r="BA75" i="17"/>
  <c r="BH75" i="17"/>
  <c r="AZ75" i="17"/>
  <c r="BG75" i="17"/>
  <c r="BF75" i="17"/>
  <c r="LC75" i="17"/>
  <c r="LB75" i="17"/>
  <c r="LA75" i="17"/>
  <c r="KZ75" i="17"/>
  <c r="KY75" i="17"/>
  <c r="KX75" i="17"/>
  <c r="KW75" i="17"/>
  <c r="KV75" i="17"/>
  <c r="LD75" i="17"/>
  <c r="CK76" i="17"/>
  <c r="CJ76" i="17"/>
  <c r="CI76" i="17"/>
  <c r="CH76" i="17"/>
  <c r="CM76" i="17"/>
  <c r="CL76" i="17"/>
  <c r="CG76" i="17"/>
  <c r="CF76" i="17"/>
  <c r="CN76" i="17"/>
  <c r="HJ76" i="17"/>
  <c r="HG76" i="17"/>
  <c r="HF76" i="17"/>
  <c r="HL76" i="17"/>
  <c r="HI76" i="17"/>
  <c r="HH76" i="17"/>
  <c r="HE76" i="17"/>
  <c r="HD76" i="17"/>
  <c r="HK76" i="17"/>
  <c r="MG76" i="17"/>
  <c r="ME76" i="17"/>
  <c r="MI76" i="17"/>
  <c r="MH76" i="17"/>
  <c r="MC76" i="17"/>
  <c r="MB76" i="17"/>
  <c r="MJ76" i="17"/>
  <c r="MF76" i="17"/>
  <c r="MD76" i="17"/>
  <c r="DR85" i="17"/>
  <c r="DL85" i="17"/>
  <c r="DT85" i="17"/>
  <c r="DS85" i="17"/>
  <c r="DQ85" i="17"/>
  <c r="DP85" i="17"/>
  <c r="DO85" i="17"/>
  <c r="DN85" i="17"/>
  <c r="DM85" i="17"/>
  <c r="IR85" i="17"/>
  <c r="IJ85" i="17"/>
  <c r="IP85" i="17"/>
  <c r="IM85" i="17"/>
  <c r="IK85" i="17"/>
  <c r="IQ85" i="17"/>
  <c r="IO85" i="17"/>
  <c r="IN85" i="17"/>
  <c r="IL85" i="17"/>
  <c r="NO85" i="17"/>
  <c r="NM85" i="17"/>
  <c r="NK85" i="17"/>
  <c r="NH85" i="17"/>
  <c r="NP85" i="17"/>
  <c r="NN85" i="17"/>
  <c r="NL85" i="17"/>
  <c r="NJ85" i="17"/>
  <c r="NI85" i="17"/>
  <c r="ET86" i="17"/>
  <c r="EW86" i="17"/>
  <c r="ER86" i="17"/>
  <c r="EY86" i="17"/>
  <c r="EX86" i="17"/>
  <c r="EV86" i="17"/>
  <c r="EU86" i="17"/>
  <c r="ES86" i="17"/>
  <c r="EZ86" i="17"/>
  <c r="JQ86" i="17"/>
  <c r="JS86" i="17"/>
  <c r="JR86" i="17"/>
  <c r="JP86" i="17"/>
  <c r="JX86" i="17"/>
  <c r="JW86" i="17"/>
  <c r="JV86" i="17"/>
  <c r="JT86" i="17"/>
  <c r="JU86" i="17"/>
  <c r="BG88" i="17"/>
  <c r="BA88" i="17"/>
  <c r="AZ88" i="17"/>
  <c r="BH88" i="17"/>
  <c r="BF88" i="17"/>
  <c r="BE88" i="17"/>
  <c r="BD88" i="17"/>
  <c r="BC88" i="17"/>
  <c r="BB88" i="17"/>
  <c r="KX88" i="17"/>
  <c r="KW88" i="17"/>
  <c r="LD88" i="17"/>
  <c r="KV88" i="17"/>
  <c r="LC88" i="17"/>
  <c r="LB88" i="17"/>
  <c r="LA88" i="17"/>
  <c r="KZ88" i="17"/>
  <c r="KY88" i="17"/>
  <c r="CN93" i="17"/>
  <c r="CF93" i="17"/>
  <c r="CM93" i="17"/>
  <c r="CL93" i="17"/>
  <c r="CK93" i="17"/>
  <c r="CI93" i="17"/>
  <c r="CJ93" i="17"/>
  <c r="CH93" i="17"/>
  <c r="CG93" i="17"/>
  <c r="HE93" i="17"/>
  <c r="HH93" i="17"/>
  <c r="HG93" i="17"/>
  <c r="HL93" i="17"/>
  <c r="HI93" i="17"/>
  <c r="HF93" i="17"/>
  <c r="HD93" i="17"/>
  <c r="HK93" i="17"/>
  <c r="HJ93" i="17"/>
  <c r="MJ93" i="17"/>
  <c r="MB93" i="17"/>
  <c r="MH93" i="17"/>
  <c r="MF93" i="17"/>
  <c r="ME93" i="17"/>
  <c r="MI93" i="17"/>
  <c r="MG93" i="17"/>
  <c r="MD93" i="17"/>
  <c r="MC93" i="17"/>
  <c r="DN94" i="17"/>
  <c r="DL94" i="17"/>
  <c r="DT94" i="17"/>
  <c r="DS94" i="17"/>
  <c r="DR94" i="17"/>
  <c r="DQ94" i="17"/>
  <c r="DP94" i="17"/>
  <c r="DO94" i="17"/>
  <c r="DM94" i="17"/>
  <c r="IN94" i="17"/>
  <c r="IQ94" i="17"/>
  <c r="IM94" i="17"/>
  <c r="IK94" i="17"/>
  <c r="IJ94" i="17"/>
  <c r="IR94" i="17"/>
  <c r="IP94" i="17"/>
  <c r="IO94" i="17"/>
  <c r="IL94" i="17"/>
  <c r="NK94" i="17"/>
  <c r="NI94" i="17"/>
  <c r="NO94" i="17"/>
  <c r="NJ94" i="17"/>
  <c r="NH94" i="17"/>
  <c r="NP94" i="17"/>
  <c r="NN94" i="17"/>
  <c r="NL94" i="17"/>
  <c r="NM94" i="17"/>
  <c r="EX95" i="17"/>
  <c r="EW95" i="17"/>
  <c r="EV95" i="17"/>
  <c r="ES95" i="17"/>
  <c r="ER95" i="17"/>
  <c r="EZ95" i="17"/>
  <c r="EY95" i="17"/>
  <c r="EU95" i="17"/>
  <c r="ET95" i="17"/>
  <c r="JU95" i="17"/>
  <c r="JS95" i="17"/>
  <c r="JR95" i="17"/>
  <c r="JQ95" i="17"/>
  <c r="JP95" i="17"/>
  <c r="JX95" i="17"/>
  <c r="JW95" i="17"/>
  <c r="JT95" i="17"/>
  <c r="JV95" i="17"/>
  <c r="BC96" i="17"/>
  <c r="BH96" i="17"/>
  <c r="BA96" i="17"/>
  <c r="AZ96" i="17"/>
  <c r="BG96" i="17"/>
  <c r="BF96" i="17"/>
  <c r="BE96" i="17"/>
  <c r="BD96" i="17"/>
  <c r="BB96" i="17"/>
  <c r="LA96" i="17"/>
  <c r="KW96" i="17"/>
  <c r="KV96" i="17"/>
  <c r="LD96" i="17"/>
  <c r="LC96" i="17"/>
  <c r="LB96" i="17"/>
  <c r="KZ96" i="17"/>
  <c r="KY96" i="17"/>
  <c r="KX96" i="17"/>
  <c r="EF102" i="17"/>
  <c r="EH102" i="17"/>
  <c r="EG102" i="17"/>
  <c r="EE102" i="17"/>
  <c r="ED102" i="17"/>
  <c r="EC102" i="17"/>
  <c r="EB102" i="17"/>
  <c r="EJ102" i="17"/>
  <c r="EI102" i="17"/>
  <c r="JF102" i="17"/>
  <c r="JA102" i="17"/>
  <c r="IZ102" i="17"/>
  <c r="JH102" i="17"/>
  <c r="JG102" i="17"/>
  <c r="JB102" i="17"/>
  <c r="JD102" i="17"/>
  <c r="JC102" i="17"/>
  <c r="JE102" i="17"/>
  <c r="OC102" i="17"/>
  <c r="OA102" i="17"/>
  <c r="NY102" i="17"/>
  <c r="OF102" i="17"/>
  <c r="OE102" i="17"/>
  <c r="OD102" i="17"/>
  <c r="OB102" i="17"/>
  <c r="NZ102" i="17"/>
  <c r="NX102" i="17"/>
  <c r="CI103" i="17"/>
  <c r="CH103" i="17"/>
  <c r="CG103" i="17"/>
  <c r="CN103" i="17"/>
  <c r="CF103" i="17"/>
  <c r="CL103" i="17"/>
  <c r="CM103" i="17"/>
  <c r="CK103" i="17"/>
  <c r="CJ103" i="17"/>
  <c r="HH103" i="17"/>
  <c r="HI103" i="17"/>
  <c r="HG103" i="17"/>
  <c r="HD103" i="17"/>
  <c r="HF103" i="17"/>
  <c r="HE103" i="17"/>
  <c r="HL103" i="17"/>
  <c r="HK103" i="17"/>
  <c r="HJ103" i="17"/>
  <c r="ME103" i="17"/>
  <c r="MC103" i="17"/>
  <c r="MD103" i="17"/>
  <c r="MB103" i="17"/>
  <c r="MJ103" i="17"/>
  <c r="MI103" i="17"/>
  <c r="MH103" i="17"/>
  <c r="MG103" i="17"/>
  <c r="MF103" i="17"/>
  <c r="KL104" i="17"/>
  <c r="KK104" i="17"/>
  <c r="KJ104" i="17"/>
  <c r="KI104" i="17"/>
  <c r="KH104" i="17"/>
  <c r="KG104" i="17"/>
  <c r="KF104" i="17"/>
  <c r="KN104" i="17"/>
  <c r="KM104" i="17"/>
  <c r="JF85" i="13"/>
  <c r="JE85" i="13"/>
  <c r="JD85" i="13"/>
  <c r="JC85" i="13"/>
  <c r="JB85" i="13"/>
  <c r="JH85" i="13"/>
  <c r="JG85" i="13"/>
  <c r="JA85" i="13"/>
  <c r="IZ85" i="13"/>
  <c r="KM67" i="13"/>
  <c r="KL67" i="13"/>
  <c r="KK67" i="13"/>
  <c r="KJ67" i="13"/>
  <c r="KI67" i="13"/>
  <c r="KN67" i="13"/>
  <c r="KH67" i="13"/>
  <c r="KG67" i="13"/>
  <c r="KF67" i="13"/>
  <c r="KM104" i="13"/>
  <c r="KL104" i="13"/>
  <c r="KK104" i="13"/>
  <c r="KJ104" i="13"/>
  <c r="KI104" i="13"/>
  <c r="KN104" i="13"/>
  <c r="KH104" i="13"/>
  <c r="KG104" i="13"/>
  <c r="KF104" i="13"/>
  <c r="LD95" i="13"/>
  <c r="KV95" i="13"/>
  <c r="LC95" i="13"/>
  <c r="LB95" i="13"/>
  <c r="LA95" i="13"/>
  <c r="KZ95" i="13"/>
  <c r="KY95" i="13"/>
  <c r="KX95" i="13"/>
  <c r="KW95" i="13"/>
  <c r="LM86" i="13"/>
  <c r="LT86" i="13"/>
  <c r="LL86" i="13"/>
  <c r="LS86" i="13"/>
  <c r="LR86" i="13"/>
  <c r="LQ86" i="13"/>
  <c r="LN86" i="13"/>
  <c r="LP86" i="13"/>
  <c r="LO86" i="13"/>
  <c r="MU67" i="13"/>
  <c r="MY67" i="13"/>
  <c r="MX67" i="13"/>
  <c r="MW67" i="13"/>
  <c r="MV67" i="13"/>
  <c r="MT67" i="13"/>
  <c r="MZ67" i="13"/>
  <c r="MS67" i="13"/>
  <c r="MR67" i="13"/>
  <c r="MW104" i="13"/>
  <c r="MZ104" i="13"/>
  <c r="MU104" i="13"/>
  <c r="MT104" i="13"/>
  <c r="MS104" i="13"/>
  <c r="MR104" i="13"/>
  <c r="MY104" i="13"/>
  <c r="MX104" i="13"/>
  <c r="MV104" i="13"/>
  <c r="OE67" i="13"/>
  <c r="NZ67" i="13"/>
  <c r="OB67" i="13"/>
  <c r="OF67" i="13"/>
  <c r="OD67" i="13"/>
  <c r="OC67" i="13"/>
  <c r="OA67" i="13"/>
  <c r="NY67" i="13"/>
  <c r="NX67" i="13"/>
  <c r="EY65" i="15"/>
  <c r="EV65" i="15"/>
  <c r="EU65" i="15"/>
  <c r="ET65" i="15"/>
  <c r="ES65" i="15"/>
  <c r="ER65" i="15"/>
  <c r="EZ65" i="15"/>
  <c r="EX65" i="15"/>
  <c r="EW65" i="15"/>
  <c r="BE66" i="15"/>
  <c r="BD66" i="15"/>
  <c r="BG66" i="15"/>
  <c r="BH66" i="15"/>
  <c r="BF66" i="15"/>
  <c r="BC66" i="15"/>
  <c r="BB66" i="15"/>
  <c r="BA66" i="15"/>
  <c r="AZ66" i="15"/>
  <c r="LC66" i="15"/>
  <c r="KX66" i="15"/>
  <c r="KW66" i="15"/>
  <c r="KV66" i="15"/>
  <c r="LD66" i="15"/>
  <c r="KY66" i="15"/>
  <c r="LA66" i="15"/>
  <c r="KZ66" i="15"/>
  <c r="LB66" i="15"/>
  <c r="HJ67" i="15"/>
  <c r="HI67" i="15"/>
  <c r="HH67" i="15"/>
  <c r="HG67" i="15"/>
  <c r="HF67" i="15"/>
  <c r="HE67" i="15"/>
  <c r="HK67" i="15"/>
  <c r="HD67" i="15"/>
  <c r="HL67" i="15"/>
  <c r="DS68" i="15"/>
  <c r="DP68" i="15"/>
  <c r="DO68" i="15"/>
  <c r="DT68" i="15"/>
  <c r="DQ68" i="15"/>
  <c r="DN68" i="15"/>
  <c r="DM68" i="15"/>
  <c r="DL68" i="15"/>
  <c r="DR68" i="15"/>
  <c r="NN68" i="15"/>
  <c r="NP68" i="15"/>
  <c r="NM68" i="15"/>
  <c r="NL68" i="15"/>
  <c r="NK68" i="15"/>
  <c r="NH68" i="15"/>
  <c r="NO68" i="15"/>
  <c r="NI68" i="15"/>
  <c r="NJ68" i="15"/>
  <c r="EU69" i="15"/>
  <c r="EZ69" i="15"/>
  <c r="ER69" i="15"/>
  <c r="EY69" i="15"/>
  <c r="EW69" i="15"/>
  <c r="EV69" i="15"/>
  <c r="ET69" i="15"/>
  <c r="EX69" i="15"/>
  <c r="ES69" i="15"/>
  <c r="JX69" i="15"/>
  <c r="JP69" i="15"/>
  <c r="JW69" i="15"/>
  <c r="JV69" i="15"/>
  <c r="JU69" i="15"/>
  <c r="JT69" i="15"/>
  <c r="JS69" i="15"/>
  <c r="JR69" i="15"/>
  <c r="JQ69" i="15"/>
  <c r="CW73" i="15"/>
  <c r="DB73" i="15"/>
  <c r="DA73" i="15"/>
  <c r="CY73" i="15"/>
  <c r="CX73" i="15"/>
  <c r="CV73" i="15"/>
  <c r="DD73" i="15"/>
  <c r="DC73" i="15"/>
  <c r="CZ73" i="15"/>
  <c r="MY73" i="15"/>
  <c r="MW73" i="15"/>
  <c r="MU73" i="15"/>
  <c r="MZ73" i="15"/>
  <c r="MX73" i="15"/>
  <c r="MV73" i="15"/>
  <c r="MT73" i="15"/>
  <c r="MS73" i="15"/>
  <c r="MR73" i="15"/>
  <c r="JA75" i="15"/>
  <c r="JH75" i="15"/>
  <c r="IZ75" i="15"/>
  <c r="JC75" i="15"/>
  <c r="JB75" i="15"/>
  <c r="JG75" i="15"/>
  <c r="JE75" i="15"/>
  <c r="JD75" i="15"/>
  <c r="JF75" i="15"/>
  <c r="OF75" i="15"/>
  <c r="NX75" i="15"/>
  <c r="NZ75" i="15"/>
  <c r="OE75" i="15"/>
  <c r="OD75" i="15"/>
  <c r="OC75" i="15"/>
  <c r="OB75" i="15"/>
  <c r="OA75" i="15"/>
  <c r="NY75" i="15"/>
  <c r="CG76" i="15"/>
  <c r="CL76" i="15"/>
  <c r="CK76" i="15"/>
  <c r="CM76" i="15"/>
  <c r="CJ76" i="15"/>
  <c r="CI76" i="15"/>
  <c r="CN76" i="15"/>
  <c r="CH76" i="15"/>
  <c r="CF76" i="15"/>
  <c r="HE76" i="15"/>
  <c r="HJ76" i="15"/>
  <c r="HI76" i="15"/>
  <c r="HH76" i="15"/>
  <c r="HG76" i="15"/>
  <c r="HF76" i="15"/>
  <c r="HL76" i="15"/>
  <c r="HK76" i="15"/>
  <c r="HD76" i="15"/>
  <c r="ME76" i="15"/>
  <c r="MC76" i="15"/>
  <c r="MJ76" i="15"/>
  <c r="MI76" i="15"/>
  <c r="MH76" i="15"/>
  <c r="MG76" i="15"/>
  <c r="MF76" i="15"/>
  <c r="MB76" i="15"/>
  <c r="MD76" i="15"/>
  <c r="FP85" i="15"/>
  <c r="FH85" i="15"/>
  <c r="FO85" i="15"/>
  <c r="FN85" i="15"/>
  <c r="FM85" i="15"/>
  <c r="FL85" i="15"/>
  <c r="FK85" i="15"/>
  <c r="FJ85" i="15"/>
  <c r="FI85" i="15"/>
  <c r="KH85" i="15"/>
  <c r="KF85" i="15"/>
  <c r="KN85" i="15"/>
  <c r="KM85" i="15"/>
  <c r="KL85" i="15"/>
  <c r="KK85" i="15"/>
  <c r="KJ85" i="15"/>
  <c r="KI85" i="15"/>
  <c r="KG85" i="15"/>
  <c r="DS86" i="15"/>
  <c r="DP86" i="15"/>
  <c r="DO86" i="15"/>
  <c r="DR86" i="15"/>
  <c r="DQ86" i="15"/>
  <c r="DN86" i="15"/>
  <c r="DL86" i="15"/>
  <c r="DT86" i="15"/>
  <c r="DM86" i="15"/>
  <c r="NO86" i="15"/>
  <c r="NH86" i="15"/>
  <c r="NN86" i="15"/>
  <c r="NM86" i="15"/>
  <c r="NL86" i="15"/>
  <c r="NP86" i="15"/>
  <c r="NK86" i="15"/>
  <c r="NJ86" i="15"/>
  <c r="NI86" i="15"/>
  <c r="BX88" i="15"/>
  <c r="BP88" i="15"/>
  <c r="BU88" i="15"/>
  <c r="BT88" i="15"/>
  <c r="BQ88" i="15"/>
  <c r="BS88" i="15"/>
  <c r="BV88" i="15"/>
  <c r="BR88" i="15"/>
  <c r="BW88" i="15"/>
  <c r="GV88" i="15"/>
  <c r="GN88" i="15"/>
  <c r="GR88" i="15"/>
  <c r="GQ88" i="15"/>
  <c r="GP88" i="15"/>
  <c r="GO88" i="15"/>
  <c r="GU88" i="15"/>
  <c r="GT88" i="15"/>
  <c r="GS88" i="15"/>
  <c r="LN88" i="15"/>
  <c r="LT88" i="15"/>
  <c r="LL88" i="15"/>
  <c r="LR88" i="15"/>
  <c r="LQ88" i="15"/>
  <c r="LP88" i="15"/>
  <c r="LO88" i="15"/>
  <c r="LM88" i="15"/>
  <c r="LS88" i="15"/>
  <c r="CW93" i="15"/>
  <c r="DB93" i="15"/>
  <c r="DA93" i="15"/>
  <c r="DD93" i="15"/>
  <c r="CZ93" i="15"/>
  <c r="CY93" i="15"/>
  <c r="CX93" i="15"/>
  <c r="DC93" i="15"/>
  <c r="CV93" i="15"/>
  <c r="HY93" i="15"/>
  <c r="HX93" i="15"/>
  <c r="HU93" i="15"/>
  <c r="HT93" i="15"/>
  <c r="IB93" i="15"/>
  <c r="IA93" i="15"/>
  <c r="HZ93" i="15"/>
  <c r="HV93" i="15"/>
  <c r="HW93" i="15"/>
  <c r="MZ93" i="15"/>
  <c r="MR93" i="15"/>
  <c r="MX93" i="15"/>
  <c r="MV93" i="15"/>
  <c r="MY93" i="15"/>
  <c r="MW93" i="15"/>
  <c r="MU93" i="15"/>
  <c r="MT93" i="15"/>
  <c r="MS93" i="15"/>
  <c r="EG94" i="15"/>
  <c r="ED94" i="15"/>
  <c r="EC94" i="15"/>
  <c r="EH94" i="15"/>
  <c r="EF94" i="15"/>
  <c r="EE94" i="15"/>
  <c r="EJ94" i="15"/>
  <c r="EI94" i="15"/>
  <c r="EB94" i="15"/>
  <c r="JB94" i="15"/>
  <c r="JA94" i="15"/>
  <c r="JD94" i="15"/>
  <c r="JC94" i="15"/>
  <c r="IZ94" i="15"/>
  <c r="JH94" i="15"/>
  <c r="JG94" i="15"/>
  <c r="JF94" i="15"/>
  <c r="JE94" i="15"/>
  <c r="NY94" i="15"/>
  <c r="OD94" i="15"/>
  <c r="OF94" i="15"/>
  <c r="OC94" i="15"/>
  <c r="OB94" i="15"/>
  <c r="OA94" i="15"/>
  <c r="NZ94" i="15"/>
  <c r="OE94" i="15"/>
  <c r="NX94" i="15"/>
  <c r="FK95" i="15"/>
  <c r="FH95" i="15"/>
  <c r="FP95" i="15"/>
  <c r="FO95" i="15"/>
  <c r="FN95" i="15"/>
  <c r="FM95" i="15"/>
  <c r="FI95" i="15"/>
  <c r="FL95" i="15"/>
  <c r="FJ95" i="15"/>
  <c r="KK95" i="15"/>
  <c r="KG95" i="15"/>
  <c r="KF95" i="15"/>
  <c r="KN95" i="15"/>
  <c r="KM95" i="15"/>
  <c r="KH95" i="15"/>
  <c r="KL95" i="15"/>
  <c r="KJ95" i="15"/>
  <c r="KI95" i="15"/>
  <c r="BT96" i="15"/>
  <c r="BQ96" i="15"/>
  <c r="BX96" i="15"/>
  <c r="BP96" i="15"/>
  <c r="BS96" i="15"/>
  <c r="BR96" i="15"/>
  <c r="BV96" i="15"/>
  <c r="BW96" i="15"/>
  <c r="BU96" i="15"/>
  <c r="GR96" i="15"/>
  <c r="GS96" i="15"/>
  <c r="GQ96" i="15"/>
  <c r="GP96" i="15"/>
  <c r="GO96" i="15"/>
  <c r="GN96" i="15"/>
  <c r="GV96" i="15"/>
  <c r="GU96" i="15"/>
  <c r="GT96" i="15"/>
  <c r="LR96" i="15"/>
  <c r="LP96" i="15"/>
  <c r="LN96" i="15"/>
  <c r="LM96" i="15"/>
  <c r="LL96" i="15"/>
  <c r="LT96" i="15"/>
  <c r="LS96" i="15"/>
  <c r="LQ96" i="15"/>
  <c r="LO96" i="15"/>
  <c r="DA102" i="15"/>
  <c r="CX102" i="15"/>
  <c r="CW102" i="15"/>
  <c r="CV102" i="15"/>
  <c r="DC102" i="15"/>
  <c r="DB102" i="15"/>
  <c r="CZ102" i="15"/>
  <c r="CY102" i="15"/>
  <c r="DD102" i="15"/>
  <c r="HU102" i="15"/>
  <c r="IB102" i="15"/>
  <c r="HT102" i="15"/>
  <c r="IA102" i="15"/>
  <c r="HZ102" i="15"/>
  <c r="HY102" i="15"/>
  <c r="HX102" i="15"/>
  <c r="HW102" i="15"/>
  <c r="HV102" i="15"/>
  <c r="MV102" i="15"/>
  <c r="MY102" i="15"/>
  <c r="MW102" i="15"/>
  <c r="MU102" i="15"/>
  <c r="MT102" i="15"/>
  <c r="MZ102" i="15"/>
  <c r="MX102" i="15"/>
  <c r="MS102" i="15"/>
  <c r="MR102" i="15"/>
  <c r="EC103" i="15"/>
  <c r="EH103" i="15"/>
  <c r="EG103" i="15"/>
  <c r="EJ103" i="15"/>
  <c r="EI103" i="15"/>
  <c r="EF103" i="15"/>
  <c r="ED103" i="15"/>
  <c r="EB103" i="15"/>
  <c r="EE103" i="15"/>
  <c r="JF103" i="15"/>
  <c r="JE103" i="15"/>
  <c r="IZ103" i="15"/>
  <c r="JH103" i="15"/>
  <c r="JG103" i="15"/>
  <c r="JD103" i="15"/>
  <c r="JC103" i="15"/>
  <c r="JB103" i="15"/>
  <c r="JA103" i="15"/>
  <c r="OC103" i="15"/>
  <c r="NZ103" i="15"/>
  <c r="NY103" i="15"/>
  <c r="OF103" i="15"/>
  <c r="OE103" i="15"/>
  <c r="OD103" i="15"/>
  <c r="OB103" i="15"/>
  <c r="OA103" i="15"/>
  <c r="NX103" i="15"/>
  <c r="FO104" i="15"/>
  <c r="FI104" i="15"/>
  <c r="FH104" i="15"/>
  <c r="FP104" i="15"/>
  <c r="FN104" i="15"/>
  <c r="FM104" i="15"/>
  <c r="FL104" i="15"/>
  <c r="FJ104" i="15"/>
  <c r="FK104" i="15"/>
  <c r="KG104" i="15"/>
  <c r="KH104" i="15"/>
  <c r="KF104" i="15"/>
  <c r="KN104" i="15"/>
  <c r="KM104" i="15"/>
  <c r="KI104" i="15"/>
  <c r="KL104" i="15"/>
  <c r="KJ104" i="15"/>
  <c r="KK104" i="15"/>
  <c r="EE65" i="16"/>
  <c r="ED65" i="16"/>
  <c r="EC65" i="16"/>
  <c r="EJ65" i="16"/>
  <c r="EB65" i="16"/>
  <c r="EI65" i="16"/>
  <c r="EH65" i="16"/>
  <c r="EG65" i="16"/>
  <c r="EF65" i="16"/>
  <c r="JC65" i="16"/>
  <c r="JB65" i="16"/>
  <c r="JA65" i="16"/>
  <c r="JH65" i="16"/>
  <c r="IZ65" i="16"/>
  <c r="JG65" i="16"/>
  <c r="JF65" i="16"/>
  <c r="JE65" i="16"/>
  <c r="JD65" i="16"/>
  <c r="OD65" i="16"/>
  <c r="OC65" i="16"/>
  <c r="OB65" i="16"/>
  <c r="OA65" i="16"/>
  <c r="NY65" i="16"/>
  <c r="OF65" i="16"/>
  <c r="NX65" i="16"/>
  <c r="OE65" i="16"/>
  <c r="NZ65" i="16"/>
  <c r="KL66" i="16"/>
  <c r="KK66" i="16"/>
  <c r="KJ66" i="16"/>
  <c r="KI66" i="16"/>
  <c r="KN66" i="16"/>
  <c r="KM66" i="16"/>
  <c r="KH66" i="16"/>
  <c r="KG66" i="16"/>
  <c r="KF66" i="16"/>
  <c r="GV67" i="16"/>
  <c r="GN67" i="16"/>
  <c r="GU67" i="16"/>
  <c r="GT67" i="16"/>
  <c r="GS67" i="16"/>
  <c r="GR67" i="16"/>
  <c r="GQ67" i="16"/>
  <c r="GP67" i="16"/>
  <c r="GO67" i="16"/>
  <c r="LS67" i="16"/>
  <c r="LR67" i="16"/>
  <c r="LQ67" i="16"/>
  <c r="LP67" i="16"/>
  <c r="LO67" i="16"/>
  <c r="LN67" i="16"/>
  <c r="LM67" i="16"/>
  <c r="LT67" i="16"/>
  <c r="LL67" i="16"/>
  <c r="CX68" i="16"/>
  <c r="CW68" i="16"/>
  <c r="DD68" i="16"/>
  <c r="CV68" i="16"/>
  <c r="DC68" i="16"/>
  <c r="DB68" i="16"/>
  <c r="DA68" i="16"/>
  <c r="CZ68" i="16"/>
  <c r="CY68" i="16"/>
  <c r="HX68" i="16"/>
  <c r="HW68" i="16"/>
  <c r="HV68" i="16"/>
  <c r="HU68" i="16"/>
  <c r="IB68" i="16"/>
  <c r="HT68" i="16"/>
  <c r="IA68" i="16"/>
  <c r="HY68" i="16"/>
  <c r="HZ68" i="16"/>
  <c r="MY68" i="16"/>
  <c r="MX68" i="16"/>
  <c r="MV68" i="16"/>
  <c r="MZ68" i="16"/>
  <c r="MW68" i="16"/>
  <c r="MU68" i="16"/>
  <c r="MT68" i="16"/>
  <c r="MS68" i="16"/>
  <c r="MR68" i="16"/>
  <c r="EI69" i="16"/>
  <c r="EH69" i="16"/>
  <c r="EG69" i="16"/>
  <c r="EF69" i="16"/>
  <c r="EE69" i="16"/>
  <c r="EJ69" i="16"/>
  <c r="ED69" i="16"/>
  <c r="EC69" i="16"/>
  <c r="EB69" i="16"/>
  <c r="JG69" i="16"/>
  <c r="JF69" i="16"/>
  <c r="JE69" i="16"/>
  <c r="JD69" i="16"/>
  <c r="JC69" i="16"/>
  <c r="JB69" i="16"/>
  <c r="JH69" i="16"/>
  <c r="JA69" i="16"/>
  <c r="IZ69" i="16"/>
  <c r="NZ69" i="16"/>
  <c r="NY69" i="16"/>
  <c r="OF69" i="16"/>
  <c r="NX69" i="16"/>
  <c r="OE69" i="16"/>
  <c r="OC69" i="16"/>
  <c r="OB69" i="16"/>
  <c r="OD69" i="16"/>
  <c r="OA69" i="16"/>
  <c r="KH73" i="16"/>
  <c r="KG73" i="16"/>
  <c r="KN73" i="16"/>
  <c r="KF73" i="16"/>
  <c r="KM73" i="16"/>
  <c r="KL73" i="16"/>
  <c r="KK73" i="16"/>
  <c r="KJ73" i="16"/>
  <c r="KI73" i="16"/>
  <c r="DC75" i="16"/>
  <c r="DB75" i="16"/>
  <c r="DA75" i="16"/>
  <c r="CZ75" i="16"/>
  <c r="CY75" i="16"/>
  <c r="DD75" i="16"/>
  <c r="CX75" i="16"/>
  <c r="CW75" i="16"/>
  <c r="CV75" i="16"/>
  <c r="HU75" i="16"/>
  <c r="IB75" i="16"/>
  <c r="HT75" i="16"/>
  <c r="IA75" i="16"/>
  <c r="HZ75" i="16"/>
  <c r="HY75" i="16"/>
  <c r="HX75" i="16"/>
  <c r="HW75" i="16"/>
  <c r="HV75" i="16"/>
  <c r="MV75" i="16"/>
  <c r="MU75" i="16"/>
  <c r="MS75" i="16"/>
  <c r="MX75" i="16"/>
  <c r="MW75" i="16"/>
  <c r="MT75" i="16"/>
  <c r="MR75" i="16"/>
  <c r="MZ75" i="16"/>
  <c r="MY75" i="16"/>
  <c r="EF76" i="16"/>
  <c r="EE76" i="16"/>
  <c r="ED76" i="16"/>
  <c r="EC76" i="16"/>
  <c r="EJ76" i="16"/>
  <c r="EB76" i="16"/>
  <c r="EI76" i="16"/>
  <c r="EH76" i="16"/>
  <c r="EG76" i="16"/>
  <c r="JD76" i="16"/>
  <c r="JC76" i="16"/>
  <c r="JB76" i="16"/>
  <c r="JA76" i="16"/>
  <c r="JH76" i="16"/>
  <c r="IZ76" i="16"/>
  <c r="JG76" i="16"/>
  <c r="JF76" i="16"/>
  <c r="JE76" i="16"/>
  <c r="OE76" i="16"/>
  <c r="OD76" i="16"/>
  <c r="OC76" i="16"/>
  <c r="OB76" i="16"/>
  <c r="NZ76" i="16"/>
  <c r="NY76" i="16"/>
  <c r="OF76" i="16"/>
  <c r="OA76" i="16"/>
  <c r="NX76" i="16"/>
  <c r="KL85" i="16"/>
  <c r="KK85" i="16"/>
  <c r="KJ85" i="16"/>
  <c r="KI85" i="16"/>
  <c r="KH85" i="16"/>
  <c r="KG85" i="16"/>
  <c r="KF85" i="16"/>
  <c r="KN85" i="16"/>
  <c r="KM85" i="16"/>
  <c r="GV86" i="16"/>
  <c r="GN86" i="16"/>
  <c r="GU86" i="16"/>
  <c r="GT86" i="16"/>
  <c r="GS86" i="16"/>
  <c r="GO86" i="16"/>
  <c r="GR86" i="16"/>
  <c r="GQ86" i="16"/>
  <c r="GP86" i="16"/>
  <c r="LS86" i="16"/>
  <c r="LR86" i="16"/>
  <c r="LQ86" i="16"/>
  <c r="LP86" i="16"/>
  <c r="LO86" i="16"/>
  <c r="LN86" i="16"/>
  <c r="LM86" i="16"/>
  <c r="LT86" i="16"/>
  <c r="LL86" i="16"/>
  <c r="CX88" i="16"/>
  <c r="CW88" i="16"/>
  <c r="DD88" i="16"/>
  <c r="CV88" i="16"/>
  <c r="DC88" i="16"/>
  <c r="DB88" i="16"/>
  <c r="CZ88" i="16"/>
  <c r="CY88" i="16"/>
  <c r="DA88" i="16"/>
  <c r="HX88" i="16"/>
  <c r="HW88" i="16"/>
  <c r="HV88" i="16"/>
  <c r="HU88" i="16"/>
  <c r="IB88" i="16"/>
  <c r="HT88" i="16"/>
  <c r="IA88" i="16"/>
  <c r="HZ88" i="16"/>
  <c r="HY88" i="16"/>
  <c r="MS88" i="16"/>
  <c r="MZ88" i="16"/>
  <c r="MR88" i="16"/>
  <c r="MY88" i="16"/>
  <c r="MX88" i="16"/>
  <c r="MV88" i="16"/>
  <c r="MW88" i="16"/>
  <c r="MU88" i="16"/>
  <c r="MT88" i="16"/>
  <c r="BG93" i="16"/>
  <c r="BD93" i="16"/>
  <c r="BC93" i="16"/>
  <c r="BH93" i="16"/>
  <c r="BF93" i="16"/>
  <c r="BE93" i="16"/>
  <c r="BB93" i="16"/>
  <c r="BA93" i="16"/>
  <c r="AZ93" i="16"/>
  <c r="GE93" i="16"/>
  <c r="GB93" i="16"/>
  <c r="FY93" i="16"/>
  <c r="FX93" i="16"/>
  <c r="GF93" i="16"/>
  <c r="GD93" i="16"/>
  <c r="GC93" i="16"/>
  <c r="GA93" i="16"/>
  <c r="FZ93" i="16"/>
  <c r="LD93" i="16"/>
  <c r="KV93" i="16"/>
  <c r="LC93" i="16"/>
  <c r="LB93" i="16"/>
  <c r="LA93" i="16"/>
  <c r="KZ93" i="16"/>
  <c r="KY93" i="16"/>
  <c r="KX93" i="16"/>
  <c r="KW93" i="16"/>
  <c r="EH94" i="16"/>
  <c r="EG94" i="16"/>
  <c r="EF94" i="16"/>
  <c r="EE94" i="16"/>
  <c r="ED94" i="16"/>
  <c r="EB94" i="16"/>
  <c r="EJ94" i="16"/>
  <c r="EI94" i="16"/>
  <c r="EC94" i="16"/>
  <c r="JF94" i="16"/>
  <c r="JE94" i="16"/>
  <c r="JD94" i="16"/>
  <c r="JC94" i="16"/>
  <c r="JB94" i="16"/>
  <c r="JA94" i="16"/>
  <c r="JG94" i="16"/>
  <c r="IZ94" i="16"/>
  <c r="JH94" i="16"/>
  <c r="NY94" i="16"/>
  <c r="OF94" i="16"/>
  <c r="NX94" i="16"/>
  <c r="OE94" i="16"/>
  <c r="OD94" i="16"/>
  <c r="OB94" i="16"/>
  <c r="OA94" i="16"/>
  <c r="NZ94" i="16"/>
  <c r="OC94" i="16"/>
  <c r="CG95" i="16"/>
  <c r="CN95" i="16"/>
  <c r="CF95" i="16"/>
  <c r="CM95" i="16"/>
  <c r="CL95" i="16"/>
  <c r="CK95" i="16"/>
  <c r="CJ95" i="16"/>
  <c r="CI95" i="16"/>
  <c r="CH95" i="16"/>
  <c r="MI95" i="16"/>
  <c r="MF95" i="16"/>
  <c r="ME95" i="16"/>
  <c r="MD95" i="16"/>
  <c r="MC95" i="16"/>
  <c r="MB95" i="16"/>
  <c r="MJ95" i="16"/>
  <c r="MH95" i="16"/>
  <c r="MG95" i="16"/>
  <c r="KN96" i="16"/>
  <c r="KF96" i="16"/>
  <c r="KM96" i="16"/>
  <c r="KL96" i="16"/>
  <c r="KK96" i="16"/>
  <c r="KJ96" i="16"/>
  <c r="KI96" i="16"/>
  <c r="KH96" i="16"/>
  <c r="KG96" i="16"/>
  <c r="BR102" i="16"/>
  <c r="BW102" i="16"/>
  <c r="BV102" i="16"/>
  <c r="BT102" i="16"/>
  <c r="BS102" i="16"/>
  <c r="BQ102" i="16"/>
  <c r="BP102" i="16"/>
  <c r="BX102" i="16"/>
  <c r="BU102" i="16"/>
  <c r="GQ102" i="16"/>
  <c r="GP102" i="16"/>
  <c r="GO102" i="16"/>
  <c r="GV102" i="16"/>
  <c r="GN102" i="16"/>
  <c r="GU102" i="16"/>
  <c r="GT102" i="16"/>
  <c r="GS102" i="16"/>
  <c r="GR102" i="16"/>
  <c r="LM102" i="16"/>
  <c r="LT102" i="16"/>
  <c r="LL102" i="16"/>
  <c r="LS102" i="16"/>
  <c r="LR102" i="16"/>
  <c r="LQ102" i="16"/>
  <c r="LP102" i="16"/>
  <c r="LO102" i="16"/>
  <c r="LN102" i="16"/>
  <c r="DB103" i="16"/>
  <c r="DA103" i="16"/>
  <c r="CZ103" i="16"/>
  <c r="CY103" i="16"/>
  <c r="CX103" i="16"/>
  <c r="DD103" i="16"/>
  <c r="DC103" i="16"/>
  <c r="CW103" i="16"/>
  <c r="CV103" i="16"/>
  <c r="IA103" i="16"/>
  <c r="HZ103" i="16"/>
  <c r="HY103" i="16"/>
  <c r="HX103" i="16"/>
  <c r="HW103" i="16"/>
  <c r="HV103" i="16"/>
  <c r="IB103" i="16"/>
  <c r="HU103" i="16"/>
  <c r="HT103" i="16"/>
  <c r="MU103" i="16"/>
  <c r="MT103" i="16"/>
  <c r="MS103" i="16"/>
  <c r="MZ103" i="16"/>
  <c r="MR103" i="16"/>
  <c r="MX103" i="16"/>
  <c r="MY103" i="16"/>
  <c r="MW103" i="16"/>
  <c r="MV103" i="16"/>
  <c r="EC104" i="16"/>
  <c r="EH104" i="16"/>
  <c r="EB104" i="16"/>
  <c r="EJ104" i="16"/>
  <c r="EI104" i="16"/>
  <c r="EG104" i="16"/>
  <c r="ED104" i="16"/>
  <c r="EF104" i="16"/>
  <c r="EE104" i="16"/>
  <c r="JA104" i="16"/>
  <c r="JH104" i="16"/>
  <c r="IZ104" i="16"/>
  <c r="JG104" i="16"/>
  <c r="JF104" i="16"/>
  <c r="JE104" i="16"/>
  <c r="JD104" i="16"/>
  <c r="JB104" i="16"/>
  <c r="JC104" i="16"/>
  <c r="OB104" i="16"/>
  <c r="OA104" i="16"/>
  <c r="NZ104" i="16"/>
  <c r="NY104" i="16"/>
  <c r="OF104" i="16"/>
  <c r="OE104" i="16"/>
  <c r="OD104" i="16"/>
  <c r="OC104" i="16"/>
  <c r="NX104" i="16"/>
  <c r="CW65" i="17"/>
  <c r="DD65" i="17"/>
  <c r="CV65" i="17"/>
  <c r="DC65" i="17"/>
  <c r="DB65" i="17"/>
  <c r="CZ65" i="17"/>
  <c r="DA65" i="17"/>
  <c r="CY65" i="17"/>
  <c r="CX65" i="17"/>
  <c r="HX65" i="17"/>
  <c r="HV65" i="17"/>
  <c r="HZ65" i="17"/>
  <c r="HY65" i="17"/>
  <c r="HT65" i="17"/>
  <c r="IB65" i="17"/>
  <c r="IA65" i="17"/>
  <c r="HW65" i="17"/>
  <c r="HU65" i="17"/>
  <c r="MU65" i="17"/>
  <c r="MS65" i="17"/>
  <c r="MY65" i="17"/>
  <c r="MZ65" i="17"/>
  <c r="MX65" i="17"/>
  <c r="MW65" i="17"/>
  <c r="MV65" i="17"/>
  <c r="MT65" i="17"/>
  <c r="MR65" i="17"/>
  <c r="EE66" i="17"/>
  <c r="EF66" i="17"/>
  <c r="ED66" i="17"/>
  <c r="EC66" i="17"/>
  <c r="EB66" i="17"/>
  <c r="EJ66" i="17"/>
  <c r="EI66" i="17"/>
  <c r="EH66" i="17"/>
  <c r="EG66" i="17"/>
  <c r="JE66" i="17"/>
  <c r="JH66" i="17"/>
  <c r="JD66" i="17"/>
  <c r="IZ66" i="17"/>
  <c r="JG66" i="17"/>
  <c r="JF66" i="17"/>
  <c r="JC66" i="17"/>
  <c r="JB66" i="17"/>
  <c r="JA66" i="17"/>
  <c r="OB66" i="17"/>
  <c r="NZ66" i="17"/>
  <c r="OF66" i="17"/>
  <c r="NX66" i="17"/>
  <c r="OA66" i="17"/>
  <c r="NY66" i="17"/>
  <c r="OE66" i="17"/>
  <c r="OD66" i="17"/>
  <c r="OC66" i="17"/>
  <c r="KL67" i="17"/>
  <c r="KJ67" i="17"/>
  <c r="KI67" i="17"/>
  <c r="KH67" i="17"/>
  <c r="KG67" i="17"/>
  <c r="KF67" i="17"/>
  <c r="KN67" i="17"/>
  <c r="KM67" i="17"/>
  <c r="KK67" i="17"/>
  <c r="BT68" i="17"/>
  <c r="BS68" i="17"/>
  <c r="BR68" i="17"/>
  <c r="BQ68" i="17"/>
  <c r="BV68" i="17"/>
  <c r="BU68" i="17"/>
  <c r="BP68" i="17"/>
  <c r="BX68" i="17"/>
  <c r="BW68" i="17"/>
  <c r="LR68" i="17"/>
  <c r="LN68" i="17"/>
  <c r="LM68" i="17"/>
  <c r="LL68" i="17"/>
  <c r="LT68" i="17"/>
  <c r="LS68" i="17"/>
  <c r="LQ68" i="17"/>
  <c r="LP68" i="17"/>
  <c r="LO68" i="17"/>
  <c r="DA69" i="17"/>
  <c r="CZ69" i="17"/>
  <c r="CY69" i="17"/>
  <c r="CX69" i="17"/>
  <c r="DD69" i="17"/>
  <c r="CV69" i="17"/>
  <c r="DC69" i="17"/>
  <c r="DB69" i="17"/>
  <c r="CW69" i="17"/>
  <c r="IB69" i="17"/>
  <c r="HT69" i="17"/>
  <c r="HW69" i="17"/>
  <c r="HU69" i="17"/>
  <c r="IA69" i="17"/>
  <c r="HZ69" i="17"/>
  <c r="HV69" i="17"/>
  <c r="HY69" i="17"/>
  <c r="HX69" i="17"/>
  <c r="MY69" i="17"/>
  <c r="MW69" i="17"/>
  <c r="MU69" i="17"/>
  <c r="MZ69" i="17"/>
  <c r="MX69" i="17"/>
  <c r="MV69" i="17"/>
  <c r="MT69" i="17"/>
  <c r="MS69" i="17"/>
  <c r="MR69" i="17"/>
  <c r="EI73" i="17"/>
  <c r="EF73" i="17"/>
  <c r="EE73" i="17"/>
  <c r="ED73" i="17"/>
  <c r="EC73" i="17"/>
  <c r="EJ73" i="17"/>
  <c r="EH73" i="17"/>
  <c r="EG73" i="17"/>
  <c r="EB73" i="17"/>
  <c r="JA73" i="17"/>
  <c r="JH73" i="17"/>
  <c r="JE73" i="17"/>
  <c r="IZ73" i="17"/>
  <c r="JG73" i="17"/>
  <c r="JF73" i="17"/>
  <c r="JD73" i="17"/>
  <c r="JC73" i="17"/>
  <c r="JB73" i="17"/>
  <c r="OF73" i="17"/>
  <c r="NX73" i="17"/>
  <c r="OD73" i="17"/>
  <c r="OB73" i="17"/>
  <c r="OC73" i="17"/>
  <c r="OA73" i="17"/>
  <c r="NZ73" i="17"/>
  <c r="NY73" i="17"/>
  <c r="OE73" i="17"/>
  <c r="BQ75" i="17"/>
  <c r="BX75" i="17"/>
  <c r="BP75" i="17"/>
  <c r="BW75" i="17"/>
  <c r="BV75" i="17"/>
  <c r="BU75" i="17"/>
  <c r="BT75" i="17"/>
  <c r="BS75" i="17"/>
  <c r="BR75" i="17"/>
  <c r="LO75" i="17"/>
  <c r="LN75" i="17"/>
  <c r="LM75" i="17"/>
  <c r="LL75" i="17"/>
  <c r="LT75" i="17"/>
  <c r="LS75" i="17"/>
  <c r="LR75" i="17"/>
  <c r="LQ75" i="17"/>
  <c r="LP75" i="17"/>
  <c r="CX76" i="17"/>
  <c r="CW76" i="17"/>
  <c r="DD76" i="17"/>
  <c r="CV76" i="17"/>
  <c r="DC76" i="17"/>
  <c r="DA76" i="17"/>
  <c r="DB76" i="17"/>
  <c r="CZ76" i="17"/>
  <c r="CY76" i="17"/>
  <c r="HY76" i="17"/>
  <c r="HW76" i="17"/>
  <c r="HZ76" i="17"/>
  <c r="HX76" i="17"/>
  <c r="HV76" i="17"/>
  <c r="HU76" i="17"/>
  <c r="HT76" i="17"/>
  <c r="IB76" i="17"/>
  <c r="IA76" i="17"/>
  <c r="MV76" i="17"/>
  <c r="MT76" i="17"/>
  <c r="MZ76" i="17"/>
  <c r="MR76" i="17"/>
  <c r="MY76" i="17"/>
  <c r="MX76" i="17"/>
  <c r="MW76" i="17"/>
  <c r="MU76" i="17"/>
  <c r="MS76" i="17"/>
  <c r="EE85" i="17"/>
  <c r="EG85" i="17"/>
  <c r="EF85" i="17"/>
  <c r="ED85" i="17"/>
  <c r="EC85" i="17"/>
  <c r="EJ85" i="17"/>
  <c r="EI85" i="17"/>
  <c r="EH85" i="17"/>
  <c r="EB85" i="17"/>
  <c r="JE85" i="17"/>
  <c r="IZ85" i="17"/>
  <c r="JH85" i="17"/>
  <c r="JG85" i="17"/>
  <c r="JF85" i="17"/>
  <c r="JD85" i="17"/>
  <c r="JC85" i="17"/>
  <c r="JB85" i="17"/>
  <c r="JA85" i="17"/>
  <c r="OB85" i="17"/>
  <c r="NZ85" i="17"/>
  <c r="OF85" i="17"/>
  <c r="NX85" i="17"/>
  <c r="OE85" i="17"/>
  <c r="OD85" i="17"/>
  <c r="OC85" i="17"/>
  <c r="OA85" i="17"/>
  <c r="NY85" i="17"/>
  <c r="KL86" i="17"/>
  <c r="KK86" i="17"/>
  <c r="KJ86" i="17"/>
  <c r="KI86" i="17"/>
  <c r="KH86" i="17"/>
  <c r="KG86" i="17"/>
  <c r="KF86" i="17"/>
  <c r="KN86" i="17"/>
  <c r="KM86" i="17"/>
  <c r="BT88" i="17"/>
  <c r="BS88" i="17"/>
  <c r="BR88" i="17"/>
  <c r="BQ88" i="17"/>
  <c r="BX88" i="17"/>
  <c r="BW88" i="17"/>
  <c r="BV88" i="17"/>
  <c r="BU88" i="17"/>
  <c r="BP88" i="17"/>
  <c r="LR88" i="17"/>
  <c r="LO88" i="17"/>
  <c r="LN88" i="17"/>
  <c r="LM88" i="17"/>
  <c r="LL88" i="17"/>
  <c r="LT88" i="17"/>
  <c r="LS88" i="17"/>
  <c r="LQ88" i="17"/>
  <c r="LP88" i="17"/>
  <c r="DA93" i="17"/>
  <c r="CZ93" i="17"/>
  <c r="CY93" i="17"/>
  <c r="CX93" i="17"/>
  <c r="DD93" i="17"/>
  <c r="CV93" i="17"/>
  <c r="DC93" i="17"/>
  <c r="DB93" i="17"/>
  <c r="CW93" i="17"/>
  <c r="IB93" i="17"/>
  <c r="HT93" i="17"/>
  <c r="HX93" i="17"/>
  <c r="HV93" i="17"/>
  <c r="HU93" i="17"/>
  <c r="IA93" i="17"/>
  <c r="HZ93" i="17"/>
  <c r="HY93" i="17"/>
  <c r="HW93" i="17"/>
  <c r="MY93" i="17"/>
  <c r="MW93" i="17"/>
  <c r="MU93" i="17"/>
  <c r="MT93" i="17"/>
  <c r="MS93" i="17"/>
  <c r="MR93" i="17"/>
  <c r="MZ93" i="17"/>
  <c r="MX93" i="17"/>
  <c r="MV93" i="17"/>
  <c r="EI94" i="17"/>
  <c r="EG94" i="17"/>
  <c r="EF94" i="17"/>
  <c r="EE94" i="17"/>
  <c r="ED94" i="17"/>
  <c r="EC94" i="17"/>
  <c r="EB94" i="17"/>
  <c r="EJ94" i="17"/>
  <c r="EH94" i="17"/>
  <c r="JA94" i="17"/>
  <c r="IZ94" i="17"/>
  <c r="JH94" i="17"/>
  <c r="JG94" i="17"/>
  <c r="JF94" i="17"/>
  <c r="JE94" i="17"/>
  <c r="JD94" i="17"/>
  <c r="JC94" i="17"/>
  <c r="JB94" i="17"/>
  <c r="OF94" i="17"/>
  <c r="NX94" i="17"/>
  <c r="OD94" i="17"/>
  <c r="OB94" i="17"/>
  <c r="OE94" i="17"/>
  <c r="OC94" i="17"/>
  <c r="OA94" i="17"/>
  <c r="NZ94" i="17"/>
  <c r="NY94" i="17"/>
  <c r="KH95" i="17"/>
  <c r="KL95" i="17"/>
  <c r="KK95" i="17"/>
  <c r="KJ95" i="17"/>
  <c r="KI95" i="17"/>
  <c r="KG95" i="17"/>
  <c r="KF95" i="17"/>
  <c r="KN95" i="17"/>
  <c r="KM95" i="17"/>
  <c r="BX96" i="17"/>
  <c r="BP96" i="17"/>
  <c r="BW96" i="17"/>
  <c r="BV96" i="17"/>
  <c r="BU96" i="17"/>
  <c r="BT96" i="17"/>
  <c r="BS96" i="17"/>
  <c r="BR96" i="17"/>
  <c r="BQ96" i="17"/>
  <c r="LN96" i="17"/>
  <c r="LP96" i="17"/>
  <c r="LO96" i="17"/>
  <c r="LM96" i="17"/>
  <c r="LL96" i="17"/>
  <c r="LT96" i="17"/>
  <c r="LS96" i="17"/>
  <c r="LR96" i="17"/>
  <c r="LQ96" i="17"/>
  <c r="EV102" i="17"/>
  <c r="EX102" i="17"/>
  <c r="EW102" i="17"/>
  <c r="ES102" i="17"/>
  <c r="EZ102" i="17"/>
  <c r="EY102" i="17"/>
  <c r="EU102" i="17"/>
  <c r="ET102" i="17"/>
  <c r="ER102" i="17"/>
  <c r="JS102" i="17"/>
  <c r="JT102" i="17"/>
  <c r="JR102" i="17"/>
  <c r="JQ102" i="17"/>
  <c r="JP102" i="17"/>
  <c r="JX102" i="17"/>
  <c r="JW102" i="17"/>
  <c r="JV102" i="17"/>
  <c r="JU102" i="17"/>
  <c r="CW103" i="17"/>
  <c r="CZ103" i="17"/>
  <c r="CY103" i="17"/>
  <c r="CX103" i="17"/>
  <c r="CV103" i="17"/>
  <c r="DD103" i="17"/>
  <c r="DC103" i="17"/>
  <c r="DB103" i="17"/>
  <c r="DA103" i="17"/>
  <c r="HW103" i="17"/>
  <c r="HY103" i="17"/>
  <c r="IB103" i="17"/>
  <c r="IA103" i="17"/>
  <c r="HZ103" i="17"/>
  <c r="HX103" i="17"/>
  <c r="HV103" i="17"/>
  <c r="HU103" i="17"/>
  <c r="HT103" i="17"/>
  <c r="MT103" i="17"/>
  <c r="MZ103" i="17"/>
  <c r="MR103" i="17"/>
  <c r="MX103" i="17"/>
  <c r="MY103" i="17"/>
  <c r="MW103" i="17"/>
  <c r="MV103" i="17"/>
  <c r="MU103" i="17"/>
  <c r="MS103" i="17"/>
  <c r="BH104" i="17"/>
  <c r="AZ104" i="17"/>
  <c r="BF104" i="17"/>
  <c r="BE104" i="17"/>
  <c r="BG104" i="17"/>
  <c r="BD104" i="17"/>
  <c r="BC104" i="17"/>
  <c r="BB104" i="17"/>
  <c r="BA104" i="17"/>
  <c r="KX104" i="17"/>
  <c r="KW104" i="17"/>
  <c r="KV104" i="17"/>
  <c r="LD104" i="17"/>
  <c r="LC104" i="17"/>
  <c r="LB104" i="17"/>
  <c r="LA104" i="17"/>
  <c r="KZ104" i="17"/>
  <c r="KY104" i="17"/>
  <c r="JF66" i="13"/>
  <c r="JC66" i="13"/>
  <c r="JB66" i="13"/>
  <c r="JH66" i="13"/>
  <c r="JG66" i="13"/>
  <c r="JE66" i="13"/>
  <c r="JD66" i="13"/>
  <c r="JA66" i="13"/>
  <c r="IZ66" i="13"/>
  <c r="JF103" i="13"/>
  <c r="JE103" i="13"/>
  <c r="JD103" i="13"/>
  <c r="JC103" i="13"/>
  <c r="JB103" i="13"/>
  <c r="JA103" i="13"/>
  <c r="IZ103" i="13"/>
  <c r="JH103" i="13"/>
  <c r="JG103" i="13"/>
  <c r="JV95" i="13"/>
  <c r="JU95" i="13"/>
  <c r="JT95" i="13"/>
  <c r="JS95" i="13"/>
  <c r="JR95" i="13"/>
  <c r="JX95" i="13"/>
  <c r="JW95" i="13"/>
  <c r="JQ95" i="13"/>
  <c r="JP95" i="13"/>
  <c r="KM86" i="13"/>
  <c r="KL86" i="13"/>
  <c r="KK86" i="13"/>
  <c r="KJ86" i="13"/>
  <c r="KI86" i="13"/>
  <c r="KG86" i="13"/>
  <c r="KF86" i="13"/>
  <c r="KN86" i="13"/>
  <c r="KH86" i="13"/>
  <c r="LM67" i="13"/>
  <c r="LT67" i="13"/>
  <c r="LL67" i="13"/>
  <c r="LS67" i="13"/>
  <c r="LR67" i="13"/>
  <c r="LQ67" i="13"/>
  <c r="LP67" i="13"/>
  <c r="LO67" i="13"/>
  <c r="LN67" i="13"/>
  <c r="LM104" i="13"/>
  <c r="LT104" i="13"/>
  <c r="LL104" i="13"/>
  <c r="LS104" i="13"/>
  <c r="LR104" i="13"/>
  <c r="LQ104" i="13"/>
  <c r="LP104" i="13"/>
  <c r="LO104" i="13"/>
  <c r="LN104" i="13"/>
  <c r="MD95" i="13"/>
  <c r="MH95" i="13"/>
  <c r="MG95" i="13"/>
  <c r="MF95" i="13"/>
  <c r="ME95" i="13"/>
  <c r="MC95" i="13"/>
  <c r="MJ95" i="13"/>
  <c r="MI95" i="13"/>
  <c r="MB95" i="13"/>
  <c r="MW86" i="13"/>
  <c r="MY86" i="13"/>
  <c r="MT86" i="13"/>
  <c r="MS86" i="13"/>
  <c r="MR86" i="13"/>
  <c r="MZ86" i="13"/>
  <c r="MU86" i="13"/>
  <c r="MX86" i="13"/>
  <c r="MV86" i="13"/>
  <c r="NN95" i="13"/>
  <c r="NI95" i="13"/>
  <c r="NL95" i="13"/>
  <c r="NK95" i="13"/>
  <c r="NJ95" i="13"/>
  <c r="NH95" i="13"/>
  <c r="NP95" i="13"/>
  <c r="NO95" i="13"/>
  <c r="NM95" i="13"/>
  <c r="OE86" i="13"/>
  <c r="OA86" i="13"/>
  <c r="OC86" i="13"/>
  <c r="NX86" i="13"/>
  <c r="OF86" i="13"/>
  <c r="OD86" i="13"/>
  <c r="OB86" i="13"/>
  <c r="NZ86" i="13"/>
  <c r="NY86" i="13"/>
  <c r="OE104" i="13"/>
  <c r="OB104" i="13"/>
  <c r="OD104" i="13"/>
  <c r="NY104" i="13"/>
  <c r="NX104" i="13"/>
  <c r="OF104" i="13"/>
  <c r="OA104" i="13"/>
  <c r="NZ104" i="13"/>
  <c r="OC104" i="13"/>
  <c r="JT65" i="15"/>
  <c r="JS65" i="15"/>
  <c r="JR65" i="15"/>
  <c r="JQ65" i="15"/>
  <c r="JP65" i="15"/>
  <c r="JX65" i="15"/>
  <c r="JU65" i="15"/>
  <c r="JW65" i="15"/>
  <c r="JV65" i="15"/>
  <c r="GC66" i="15"/>
  <c r="FY66" i="15"/>
  <c r="FX66" i="15"/>
  <c r="GF66" i="15"/>
  <c r="GE66" i="15"/>
  <c r="GD66" i="15"/>
  <c r="GB66" i="15"/>
  <c r="GA66" i="15"/>
  <c r="FZ66" i="15"/>
  <c r="CL67" i="15"/>
  <c r="CI67" i="15"/>
  <c r="CH67" i="15"/>
  <c r="CF67" i="15"/>
  <c r="CJ67" i="15"/>
  <c r="CN67" i="15"/>
  <c r="CM67" i="15"/>
  <c r="CK67" i="15"/>
  <c r="CG67" i="15"/>
  <c r="MJ67" i="15"/>
  <c r="MB67" i="15"/>
  <c r="MH67" i="15"/>
  <c r="MD67" i="15"/>
  <c r="MC67" i="15"/>
  <c r="MI67" i="15"/>
  <c r="MG67" i="15"/>
  <c r="ME67" i="15"/>
  <c r="MF67" i="15"/>
  <c r="JE67" i="13"/>
  <c r="JB67" i="13"/>
  <c r="JA67" i="13"/>
  <c r="IZ67" i="13"/>
  <c r="JH67" i="13"/>
  <c r="JG67" i="13"/>
  <c r="JF67" i="13"/>
  <c r="JD67" i="13"/>
  <c r="JC67" i="13"/>
  <c r="JE86" i="13"/>
  <c r="JD86" i="13"/>
  <c r="JC86" i="13"/>
  <c r="JB86" i="13"/>
  <c r="JA86" i="13"/>
  <c r="IZ86" i="13"/>
  <c r="JH86" i="13"/>
  <c r="JG86" i="13"/>
  <c r="JF86" i="13"/>
  <c r="JE104" i="13"/>
  <c r="JD104" i="13"/>
  <c r="JC104" i="13"/>
  <c r="JB104" i="13"/>
  <c r="JA104" i="13"/>
  <c r="JH104" i="13"/>
  <c r="JG104" i="13"/>
  <c r="JF104" i="13"/>
  <c r="IZ104" i="13"/>
  <c r="JV75" i="13"/>
  <c r="JU75" i="13"/>
  <c r="JT75" i="13"/>
  <c r="JS75" i="13"/>
  <c r="JR75" i="13"/>
  <c r="JX75" i="13"/>
  <c r="JW75" i="13"/>
  <c r="JQ75" i="13"/>
  <c r="JP75" i="13"/>
  <c r="JU96" i="13"/>
  <c r="JT96" i="13"/>
  <c r="JS96" i="13"/>
  <c r="JR96" i="13"/>
  <c r="JQ96" i="13"/>
  <c r="JX96" i="13"/>
  <c r="JW96" i="13"/>
  <c r="JV96" i="13"/>
  <c r="JP96" i="13"/>
  <c r="KL68" i="13"/>
  <c r="KK68" i="13"/>
  <c r="KJ68" i="13"/>
  <c r="KI68" i="13"/>
  <c r="KH68" i="13"/>
  <c r="KF68" i="13"/>
  <c r="KN68" i="13"/>
  <c r="KM68" i="13"/>
  <c r="KG68" i="13"/>
  <c r="KL88" i="13"/>
  <c r="KK88" i="13"/>
  <c r="KJ88" i="13"/>
  <c r="KI88" i="13"/>
  <c r="KH88" i="13"/>
  <c r="KN88" i="13"/>
  <c r="KM88" i="13"/>
  <c r="KG88" i="13"/>
  <c r="KF88" i="13"/>
  <c r="LD75" i="13"/>
  <c r="KV75" i="13"/>
  <c r="LC75" i="13"/>
  <c r="LB75" i="13"/>
  <c r="LA75" i="13"/>
  <c r="KZ75" i="13"/>
  <c r="KY75" i="13"/>
  <c r="KX75" i="13"/>
  <c r="KW75" i="13"/>
  <c r="LC96" i="13"/>
  <c r="LB96" i="13"/>
  <c r="LA96" i="13"/>
  <c r="KZ96" i="13"/>
  <c r="KY96" i="13"/>
  <c r="KV96" i="13"/>
  <c r="LD96" i="13"/>
  <c r="KX96" i="13"/>
  <c r="KW96" i="13"/>
  <c r="LT68" i="13"/>
  <c r="LL68" i="13"/>
  <c r="LS68" i="13"/>
  <c r="LR68" i="13"/>
  <c r="LQ68" i="13"/>
  <c r="LP68" i="13"/>
  <c r="LM68" i="13"/>
  <c r="LO68" i="13"/>
  <c r="LN68" i="13"/>
  <c r="LT88" i="13"/>
  <c r="LL88" i="13"/>
  <c r="LS88" i="13"/>
  <c r="LR88" i="13"/>
  <c r="LQ88" i="13"/>
  <c r="LP88" i="13"/>
  <c r="LO88" i="13"/>
  <c r="LN88" i="13"/>
  <c r="LM88" i="13"/>
  <c r="MD75" i="13"/>
  <c r="MC75" i="13"/>
  <c r="MJ75" i="13"/>
  <c r="MB75" i="13"/>
  <c r="MI75" i="13"/>
  <c r="MH75" i="13"/>
  <c r="MG75" i="13"/>
  <c r="MF75" i="13"/>
  <c r="ME75" i="13"/>
  <c r="MC96" i="13"/>
  <c r="MH96" i="13"/>
  <c r="MG96" i="13"/>
  <c r="MF96" i="13"/>
  <c r="ME96" i="13"/>
  <c r="MD96" i="13"/>
  <c r="MB96" i="13"/>
  <c r="MJ96" i="13"/>
  <c r="MI96" i="13"/>
  <c r="MT68" i="13"/>
  <c r="MY68" i="13"/>
  <c r="MX68" i="13"/>
  <c r="MW68" i="13"/>
  <c r="MV68" i="13"/>
  <c r="MU68" i="13"/>
  <c r="MZ68" i="13"/>
  <c r="MS68" i="13"/>
  <c r="MR68" i="13"/>
  <c r="MV88" i="13"/>
  <c r="MY88" i="13"/>
  <c r="MU88" i="13"/>
  <c r="MT88" i="13"/>
  <c r="MS88" i="13"/>
  <c r="MR88" i="13"/>
  <c r="MZ88" i="13"/>
  <c r="MX88" i="13"/>
  <c r="MW88" i="13"/>
  <c r="NN75" i="13"/>
  <c r="NH75" i="13"/>
  <c r="NK75" i="13"/>
  <c r="NJ75" i="13"/>
  <c r="NI75" i="13"/>
  <c r="NP75" i="13"/>
  <c r="NM75" i="13"/>
  <c r="NL75" i="13"/>
  <c r="NO75" i="13"/>
  <c r="NM96" i="13"/>
  <c r="NI96" i="13"/>
  <c r="NN96" i="13"/>
  <c r="NL96" i="13"/>
  <c r="NK96" i="13"/>
  <c r="NJ96" i="13"/>
  <c r="NH96" i="13"/>
  <c r="NP96" i="13"/>
  <c r="NO96" i="13"/>
  <c r="OD68" i="13"/>
  <c r="NZ68" i="13"/>
  <c r="OB68" i="13"/>
  <c r="NY68" i="13"/>
  <c r="NX68" i="13"/>
  <c r="OF68" i="13"/>
  <c r="OE68" i="13"/>
  <c r="OC68" i="13"/>
  <c r="OA68" i="13"/>
  <c r="OD88" i="13"/>
  <c r="OA88" i="13"/>
  <c r="OC88" i="13"/>
  <c r="NZ88" i="13"/>
  <c r="NY88" i="13"/>
  <c r="NX88" i="13"/>
  <c r="OB88" i="13"/>
  <c r="OF88" i="13"/>
  <c r="OE88" i="13"/>
  <c r="FM65" i="15"/>
  <c r="FJ65" i="15"/>
  <c r="FI65" i="15"/>
  <c r="FO65" i="15"/>
  <c r="FN65" i="15"/>
  <c r="FL65" i="15"/>
  <c r="FH65" i="15"/>
  <c r="FP65" i="15"/>
  <c r="FK65" i="15"/>
  <c r="KG65" i="15"/>
  <c r="KN65" i="15"/>
  <c r="KF65" i="15"/>
  <c r="KI65" i="15"/>
  <c r="KH65" i="15"/>
  <c r="KM65" i="15"/>
  <c r="KJ65" i="15"/>
  <c r="KL65" i="15"/>
  <c r="KK65" i="15"/>
  <c r="BR66" i="15"/>
  <c r="BW66" i="15"/>
  <c r="BP66" i="15"/>
  <c r="BV66" i="15"/>
  <c r="BU66" i="15"/>
  <c r="BT66" i="15"/>
  <c r="BS66" i="15"/>
  <c r="BQ66" i="15"/>
  <c r="BX66" i="15"/>
  <c r="GP66" i="15"/>
  <c r="GR66" i="15"/>
  <c r="GQ66" i="15"/>
  <c r="GO66" i="15"/>
  <c r="GN66" i="15"/>
  <c r="GV66" i="15"/>
  <c r="GT66" i="15"/>
  <c r="GS66" i="15"/>
  <c r="GU66" i="15"/>
  <c r="LP66" i="15"/>
  <c r="LN66" i="15"/>
  <c r="LL66" i="15"/>
  <c r="LT66" i="15"/>
  <c r="LS66" i="15"/>
  <c r="LR66" i="15"/>
  <c r="LQ66" i="15"/>
  <c r="LO66" i="15"/>
  <c r="LM66" i="15"/>
  <c r="CZ67" i="15"/>
  <c r="CW67" i="15"/>
  <c r="DD67" i="15"/>
  <c r="CV67" i="15"/>
  <c r="DA67" i="15"/>
  <c r="CY67" i="15"/>
  <c r="CX67" i="15"/>
  <c r="DC67" i="15"/>
  <c r="DB67" i="15"/>
  <c r="MW67" i="15"/>
  <c r="MU67" i="15"/>
  <c r="MS67" i="15"/>
  <c r="MR67" i="15"/>
  <c r="MZ67" i="15"/>
  <c r="MY67" i="15"/>
  <c r="MX67" i="15"/>
  <c r="MT67" i="15"/>
  <c r="MV67" i="15"/>
  <c r="JD68" i="15"/>
  <c r="JC68" i="15"/>
  <c r="JH68" i="15"/>
  <c r="JG68" i="15"/>
  <c r="JF68" i="15"/>
  <c r="JE68" i="15"/>
  <c r="JB68" i="15"/>
  <c r="JA68" i="15"/>
  <c r="IZ68" i="15"/>
  <c r="OA68" i="15"/>
  <c r="NY68" i="15"/>
  <c r="OF68" i="15"/>
  <c r="OE68" i="15"/>
  <c r="OD68" i="15"/>
  <c r="OC68" i="15"/>
  <c r="OB68" i="15"/>
  <c r="NZ68" i="15"/>
  <c r="NX68" i="15"/>
  <c r="FI69" i="15"/>
  <c r="FP69" i="15"/>
  <c r="FH69" i="15"/>
  <c r="FO69" i="15"/>
  <c r="FN69" i="15"/>
  <c r="FM69" i="15"/>
  <c r="FL69" i="15"/>
  <c r="FK69" i="15"/>
  <c r="FJ69" i="15"/>
  <c r="KK69" i="15"/>
  <c r="KJ69" i="15"/>
  <c r="KN69" i="15"/>
  <c r="KM69" i="15"/>
  <c r="KL69" i="15"/>
  <c r="KI69" i="15"/>
  <c r="KH69" i="15"/>
  <c r="KG69" i="15"/>
  <c r="KF69" i="15"/>
  <c r="DQ73" i="15"/>
  <c r="DN73" i="15"/>
  <c r="DM73" i="15"/>
  <c r="DR73" i="15"/>
  <c r="DP73" i="15"/>
  <c r="DO73" i="15"/>
  <c r="DT73" i="15"/>
  <c r="DS73" i="15"/>
  <c r="DL73" i="15"/>
  <c r="NL73" i="15"/>
  <c r="NP73" i="15"/>
  <c r="NN73" i="15"/>
  <c r="NM73" i="15"/>
  <c r="NK73" i="15"/>
  <c r="NH73" i="15"/>
  <c r="NO73" i="15"/>
  <c r="NJ73" i="15"/>
  <c r="NI73" i="15"/>
  <c r="ES75" i="15"/>
  <c r="EX75" i="15"/>
  <c r="EW75" i="15"/>
  <c r="ER75" i="15"/>
  <c r="EY75" i="15"/>
  <c r="EV75" i="15"/>
  <c r="EU75" i="15"/>
  <c r="ET75" i="15"/>
  <c r="EZ75" i="15"/>
  <c r="JV75" i="15"/>
  <c r="JU75" i="15"/>
  <c r="JR75" i="15"/>
  <c r="JQ75" i="15"/>
  <c r="JP75" i="15"/>
  <c r="JX75" i="15"/>
  <c r="JT75" i="15"/>
  <c r="JS75" i="15"/>
  <c r="JW75" i="15"/>
  <c r="DC76" i="15"/>
  <c r="CZ76" i="15"/>
  <c r="CY76" i="15"/>
  <c r="DD76" i="15"/>
  <c r="DA76" i="15"/>
  <c r="CX76" i="15"/>
  <c r="CW76" i="15"/>
  <c r="DB76" i="15"/>
  <c r="CV76" i="15"/>
  <c r="MW76" i="15"/>
  <c r="MX76" i="15"/>
  <c r="MU76" i="15"/>
  <c r="MV76" i="15"/>
  <c r="MT76" i="15"/>
  <c r="MS76" i="15"/>
  <c r="MR76" i="15"/>
  <c r="MY76" i="15"/>
  <c r="MZ76" i="15"/>
  <c r="BE85" i="15"/>
  <c r="BF85" i="15"/>
  <c r="BH85" i="15"/>
  <c r="BG85" i="15"/>
  <c r="BD85" i="15"/>
  <c r="BC85" i="15"/>
  <c r="BB85" i="15"/>
  <c r="BA85" i="15"/>
  <c r="AZ85" i="15"/>
  <c r="GC85" i="15"/>
  <c r="FZ85" i="15"/>
  <c r="FY85" i="15"/>
  <c r="FX85" i="15"/>
  <c r="GF85" i="15"/>
  <c r="GE85" i="15"/>
  <c r="GD85" i="15"/>
  <c r="GB85" i="15"/>
  <c r="GA85" i="15"/>
  <c r="LC85" i="15"/>
  <c r="KY85" i="15"/>
  <c r="KX85" i="15"/>
  <c r="KW85" i="15"/>
  <c r="KV85" i="15"/>
  <c r="LD85" i="15"/>
  <c r="LB85" i="15"/>
  <c r="LA85" i="15"/>
  <c r="KZ85" i="15"/>
  <c r="JE86" i="15"/>
  <c r="JD86" i="15"/>
  <c r="JH86" i="15"/>
  <c r="JG86" i="15"/>
  <c r="JF86" i="15"/>
  <c r="JC86" i="15"/>
  <c r="IZ86" i="15"/>
  <c r="JB86" i="15"/>
  <c r="JA86" i="15"/>
  <c r="OB86" i="15"/>
  <c r="NY86" i="15"/>
  <c r="OA86" i="15"/>
  <c r="NX86" i="15"/>
  <c r="OF86" i="15"/>
  <c r="OE86" i="15"/>
  <c r="OC86" i="15"/>
  <c r="NZ86" i="15"/>
  <c r="OD86" i="15"/>
  <c r="CL88" i="15"/>
  <c r="CI88" i="15"/>
  <c r="CH88" i="15"/>
  <c r="CK88" i="15"/>
  <c r="CJ88" i="15"/>
  <c r="CG88" i="15"/>
  <c r="CN88" i="15"/>
  <c r="CM88" i="15"/>
  <c r="CF88" i="15"/>
  <c r="HI88" i="15"/>
  <c r="HK88" i="15"/>
  <c r="HJ88" i="15"/>
  <c r="HH88" i="15"/>
  <c r="HG88" i="15"/>
  <c r="HF88" i="15"/>
  <c r="HL88" i="15"/>
  <c r="HE88" i="15"/>
  <c r="HD88" i="15"/>
  <c r="MI88" i="15"/>
  <c r="MG88" i="15"/>
  <c r="MH88" i="15"/>
  <c r="MF88" i="15"/>
  <c r="ME88" i="15"/>
  <c r="MD88" i="15"/>
  <c r="MC88" i="15"/>
  <c r="MB88" i="15"/>
  <c r="MJ88" i="15"/>
  <c r="DQ93" i="15"/>
  <c r="DN93" i="15"/>
  <c r="DM93" i="15"/>
  <c r="DL93" i="15"/>
  <c r="DS93" i="15"/>
  <c r="DR93" i="15"/>
  <c r="DP93" i="15"/>
  <c r="DO93" i="15"/>
  <c r="DT93" i="15"/>
  <c r="IP93" i="15"/>
  <c r="IO93" i="15"/>
  <c r="IL93" i="15"/>
  <c r="IK93" i="15"/>
  <c r="IJ93" i="15"/>
  <c r="IR93" i="15"/>
  <c r="IQ93" i="15"/>
  <c r="IN93" i="15"/>
  <c r="IM93" i="15"/>
  <c r="NM93" i="15"/>
  <c r="NH93" i="15"/>
  <c r="NO93" i="15"/>
  <c r="NN93" i="15"/>
  <c r="NL93" i="15"/>
  <c r="NP93" i="15"/>
  <c r="NK93" i="15"/>
  <c r="NJ93" i="15"/>
  <c r="NI93" i="15"/>
  <c r="EU94" i="15"/>
  <c r="EZ94" i="15"/>
  <c r="ER94" i="15"/>
  <c r="EY94" i="15"/>
  <c r="EX94" i="15"/>
  <c r="EV94" i="15"/>
  <c r="ET94" i="15"/>
  <c r="ES94" i="15"/>
  <c r="EW94" i="15"/>
  <c r="JW94" i="15"/>
  <c r="JV94" i="15"/>
  <c r="JS94" i="15"/>
  <c r="JR94" i="15"/>
  <c r="JQ94" i="15"/>
  <c r="JP94" i="15"/>
  <c r="JX94" i="15"/>
  <c r="JU94" i="15"/>
  <c r="JT94" i="15"/>
  <c r="BH95" i="15"/>
  <c r="AZ95" i="15"/>
  <c r="BF95" i="15"/>
  <c r="BA95" i="15"/>
  <c r="BG95" i="15"/>
  <c r="BE95" i="15"/>
  <c r="BB95" i="15"/>
  <c r="BD95" i="15"/>
  <c r="BC95" i="15"/>
  <c r="GF95" i="15"/>
  <c r="FX95" i="15"/>
  <c r="GA95" i="15"/>
  <c r="FZ95" i="15"/>
  <c r="FY95" i="15"/>
  <c r="GE95" i="15"/>
  <c r="GD95" i="15"/>
  <c r="GC95" i="15"/>
  <c r="GB95" i="15"/>
  <c r="KX95" i="15"/>
  <c r="KZ95" i="15"/>
  <c r="KY95" i="15"/>
  <c r="KW95" i="15"/>
  <c r="KV95" i="15"/>
  <c r="LD95" i="15"/>
  <c r="LC95" i="15"/>
  <c r="LB95" i="15"/>
  <c r="LA95" i="15"/>
  <c r="CH96" i="15"/>
  <c r="CM96" i="15"/>
  <c r="CL96" i="15"/>
  <c r="CN96" i="15"/>
  <c r="CK96" i="15"/>
  <c r="CJ96" i="15"/>
  <c r="CI96" i="15"/>
  <c r="CG96" i="15"/>
  <c r="CF96" i="15"/>
  <c r="HE96" i="15"/>
  <c r="HK96" i="15"/>
  <c r="HJ96" i="15"/>
  <c r="HI96" i="15"/>
  <c r="HH96" i="15"/>
  <c r="HG96" i="15"/>
  <c r="HL96" i="15"/>
  <c r="HF96" i="15"/>
  <c r="HD96" i="15"/>
  <c r="ME96" i="15"/>
  <c r="MC96" i="15"/>
  <c r="MD96" i="15"/>
  <c r="MB96" i="15"/>
  <c r="MJ96" i="15"/>
  <c r="MI96" i="15"/>
  <c r="MH96" i="15"/>
  <c r="MG96" i="15"/>
  <c r="MF96" i="15"/>
  <c r="DM102" i="15"/>
  <c r="DR102" i="15"/>
  <c r="DQ102" i="15"/>
  <c r="DO102" i="15"/>
  <c r="DN102" i="15"/>
  <c r="DL102" i="15"/>
  <c r="DT102" i="15"/>
  <c r="DS102" i="15"/>
  <c r="DP102" i="15"/>
  <c r="IL102" i="15"/>
  <c r="IK102" i="15"/>
  <c r="IR102" i="15"/>
  <c r="IQ102" i="15"/>
  <c r="IP102" i="15"/>
  <c r="IO102" i="15"/>
  <c r="IN102" i="15"/>
  <c r="IJ102" i="15"/>
  <c r="IM102" i="15"/>
  <c r="NI102" i="15"/>
  <c r="NH102" i="15"/>
  <c r="NO102" i="15"/>
  <c r="NN102" i="15"/>
  <c r="NM102" i="15"/>
  <c r="NL102" i="15"/>
  <c r="NP102" i="15"/>
  <c r="NK102" i="15"/>
  <c r="NJ102" i="15"/>
  <c r="EY103" i="15"/>
  <c r="EV103" i="15"/>
  <c r="EU103" i="15"/>
  <c r="ER103" i="15"/>
  <c r="EX103" i="15"/>
  <c r="EW103" i="15"/>
  <c r="ET103" i="15"/>
  <c r="ES103" i="15"/>
  <c r="EZ103" i="15"/>
  <c r="JS103" i="15"/>
  <c r="JR103" i="15"/>
  <c r="JX103" i="15"/>
  <c r="JW103" i="15"/>
  <c r="JV103" i="15"/>
  <c r="JU103" i="15"/>
  <c r="JT103" i="15"/>
  <c r="JQ103" i="15"/>
  <c r="JP103" i="15"/>
  <c r="BD104" i="15"/>
  <c r="BG104" i="15"/>
  <c r="AZ104" i="15"/>
  <c r="BA104" i="15"/>
  <c r="BH104" i="15"/>
  <c r="BF104" i="15"/>
  <c r="BE104" i="15"/>
  <c r="BC104" i="15"/>
  <c r="BB104" i="15"/>
  <c r="GB104" i="15"/>
  <c r="GA104" i="15"/>
  <c r="FZ104" i="15"/>
  <c r="FY104" i="15"/>
  <c r="FX104" i="15"/>
  <c r="GF104" i="15"/>
  <c r="GE104" i="15"/>
  <c r="GD104" i="15"/>
  <c r="GC104" i="15"/>
  <c r="LB104" i="15"/>
  <c r="KZ104" i="15"/>
  <c r="LD104" i="15"/>
  <c r="LC104" i="15"/>
  <c r="LA104" i="15"/>
  <c r="KY104" i="15"/>
  <c r="KX104" i="15"/>
  <c r="KW104" i="15"/>
  <c r="KV104" i="15"/>
  <c r="EZ65" i="16"/>
  <c r="ER65" i="16"/>
  <c r="EW65" i="16"/>
  <c r="ET65" i="16"/>
  <c r="ES65" i="16"/>
  <c r="EY65" i="16"/>
  <c r="EX65" i="16"/>
  <c r="EV65" i="16"/>
  <c r="EU65" i="16"/>
  <c r="JX65" i="16"/>
  <c r="JP65" i="16"/>
  <c r="JW65" i="16"/>
  <c r="JV65" i="16"/>
  <c r="JU65" i="16"/>
  <c r="JT65" i="16"/>
  <c r="JS65" i="16"/>
  <c r="JR65" i="16"/>
  <c r="JQ65" i="16"/>
  <c r="BB66" i="16"/>
  <c r="BG66" i="16"/>
  <c r="BF66" i="16"/>
  <c r="BH66" i="16"/>
  <c r="BE66" i="16"/>
  <c r="BD66" i="16"/>
  <c r="BC66" i="16"/>
  <c r="BA66" i="16"/>
  <c r="AZ66" i="16"/>
  <c r="FZ66" i="16"/>
  <c r="GE66" i="16"/>
  <c r="GB66" i="16"/>
  <c r="GA66" i="16"/>
  <c r="FY66" i="16"/>
  <c r="FX66" i="16"/>
  <c r="GF66" i="16"/>
  <c r="GD66" i="16"/>
  <c r="GC66" i="16"/>
  <c r="KY66" i="16"/>
  <c r="KX66" i="16"/>
  <c r="KW66" i="16"/>
  <c r="LD66" i="16"/>
  <c r="KV66" i="16"/>
  <c r="LC66" i="16"/>
  <c r="LB66" i="16"/>
  <c r="LA66" i="16"/>
  <c r="KZ66" i="16"/>
  <c r="CK67" i="16"/>
  <c r="CH67" i="16"/>
  <c r="CG67" i="16"/>
  <c r="CN67" i="16"/>
  <c r="CM67" i="16"/>
  <c r="CL67" i="16"/>
  <c r="CJ67" i="16"/>
  <c r="CI67" i="16"/>
  <c r="CF67" i="16"/>
  <c r="HJ67" i="16"/>
  <c r="HI67" i="16"/>
  <c r="HH67" i="16"/>
  <c r="HG67" i="16"/>
  <c r="HF67" i="16"/>
  <c r="HE67" i="16"/>
  <c r="HK67" i="16"/>
  <c r="HD67" i="16"/>
  <c r="HL67" i="16"/>
  <c r="MF67" i="16"/>
  <c r="ME67" i="16"/>
  <c r="MD67" i="16"/>
  <c r="MC67" i="16"/>
  <c r="MJ67" i="16"/>
  <c r="MB67" i="16"/>
  <c r="MI67" i="16"/>
  <c r="MH67" i="16"/>
  <c r="MG67" i="16"/>
  <c r="DM68" i="16"/>
  <c r="DT68" i="16"/>
  <c r="DL68" i="16"/>
  <c r="DS68" i="16"/>
  <c r="DR68" i="16"/>
  <c r="DQ68" i="16"/>
  <c r="DP68" i="16"/>
  <c r="DO68" i="16"/>
  <c r="DN68" i="16"/>
  <c r="IL68" i="16"/>
  <c r="IK68" i="16"/>
  <c r="IR68" i="16"/>
  <c r="IJ68" i="16"/>
  <c r="IQ68" i="16"/>
  <c r="IP68" i="16"/>
  <c r="IO68" i="16"/>
  <c r="IM68" i="16"/>
  <c r="IN68" i="16"/>
  <c r="NN68" i="16"/>
  <c r="NM68" i="16"/>
  <c r="NL68" i="16"/>
  <c r="NK68" i="16"/>
  <c r="NI68" i="16"/>
  <c r="NP68" i="16"/>
  <c r="NO68" i="16"/>
  <c r="NJ68" i="16"/>
  <c r="NH68" i="16"/>
  <c r="EV69" i="16"/>
  <c r="ES69" i="16"/>
  <c r="EZ69" i="16"/>
  <c r="EY69" i="16"/>
  <c r="EX69" i="16"/>
  <c r="EW69" i="16"/>
  <c r="EU69" i="16"/>
  <c r="ET69" i="16"/>
  <c r="ER69" i="16"/>
  <c r="JT69" i="16"/>
  <c r="JS69" i="16"/>
  <c r="JR69" i="16"/>
  <c r="JQ69" i="16"/>
  <c r="JX69" i="16"/>
  <c r="JP69" i="16"/>
  <c r="JW69" i="16"/>
  <c r="JV69" i="16"/>
  <c r="JU69" i="16"/>
  <c r="BF73" i="16"/>
  <c r="BC73" i="16"/>
  <c r="BB73" i="16"/>
  <c r="BH73" i="16"/>
  <c r="BG73" i="16"/>
  <c r="BE73" i="16"/>
  <c r="BD73" i="16"/>
  <c r="BA73" i="16"/>
  <c r="AZ73" i="16"/>
  <c r="GD73" i="16"/>
  <c r="GA73" i="16"/>
  <c r="FX73" i="16"/>
  <c r="GF73" i="16"/>
  <c r="GE73" i="16"/>
  <c r="GC73" i="16"/>
  <c r="GB73" i="16"/>
  <c r="FZ73" i="16"/>
  <c r="FY73" i="16"/>
  <c r="LC73" i="16"/>
  <c r="LB73" i="16"/>
  <c r="LA73" i="16"/>
  <c r="KZ73" i="16"/>
  <c r="KY73" i="16"/>
  <c r="KX73" i="16"/>
  <c r="KW73" i="16"/>
  <c r="LD73" i="16"/>
  <c r="KV73" i="16"/>
  <c r="DR75" i="16"/>
  <c r="DQ75" i="16"/>
  <c r="DP75" i="16"/>
  <c r="DO75" i="16"/>
  <c r="DN75" i="16"/>
  <c r="DM75" i="16"/>
  <c r="DL75" i="16"/>
  <c r="DT75" i="16"/>
  <c r="DS75" i="16"/>
  <c r="IQ75" i="16"/>
  <c r="IP75" i="16"/>
  <c r="IO75" i="16"/>
  <c r="IN75" i="16"/>
  <c r="IM75" i="16"/>
  <c r="IL75" i="16"/>
  <c r="IR75" i="16"/>
  <c r="IK75" i="16"/>
  <c r="IJ75" i="16"/>
  <c r="NK75" i="16"/>
  <c r="NJ75" i="16"/>
  <c r="NI75" i="16"/>
  <c r="NP75" i="16"/>
  <c r="NH75" i="16"/>
  <c r="NN75" i="16"/>
  <c r="NO75" i="16"/>
  <c r="NM75" i="16"/>
  <c r="NL75" i="16"/>
  <c r="ES76" i="16"/>
  <c r="EX76" i="16"/>
  <c r="EU76" i="16"/>
  <c r="ET76" i="16"/>
  <c r="ER76" i="16"/>
  <c r="EZ76" i="16"/>
  <c r="EY76" i="16"/>
  <c r="EW76" i="16"/>
  <c r="EV76" i="16"/>
  <c r="JQ76" i="16"/>
  <c r="JX76" i="16"/>
  <c r="JP76" i="16"/>
  <c r="JW76" i="16"/>
  <c r="JV76" i="16"/>
  <c r="JU76" i="16"/>
  <c r="JT76" i="16"/>
  <c r="JS76" i="16"/>
  <c r="JR76" i="16"/>
  <c r="BB85" i="16"/>
  <c r="BG85" i="16"/>
  <c r="BF85" i="16"/>
  <c r="AZ85" i="16"/>
  <c r="BH85" i="16"/>
  <c r="BE85" i="16"/>
  <c r="BD85" i="16"/>
  <c r="BC85" i="16"/>
  <c r="BA85" i="16"/>
  <c r="FZ85" i="16"/>
  <c r="GE85" i="16"/>
  <c r="GD85" i="16"/>
  <c r="GC85" i="16"/>
  <c r="GB85" i="16"/>
  <c r="GA85" i="16"/>
  <c r="FY85" i="16"/>
  <c r="GF85" i="16"/>
  <c r="FX85" i="16"/>
  <c r="KY85" i="16"/>
  <c r="KX85" i="16"/>
  <c r="KW85" i="16"/>
  <c r="LD85" i="16"/>
  <c r="KV85" i="16"/>
  <c r="LC85" i="16"/>
  <c r="LB85" i="16"/>
  <c r="LA85" i="16"/>
  <c r="KZ85" i="16"/>
  <c r="CK86" i="16"/>
  <c r="CJ86" i="16"/>
  <c r="CI86" i="16"/>
  <c r="CH86" i="16"/>
  <c r="CG86" i="16"/>
  <c r="CL86" i="16"/>
  <c r="CF86" i="16"/>
  <c r="CN86" i="16"/>
  <c r="CM86" i="16"/>
  <c r="HJ86" i="16"/>
  <c r="HI86" i="16"/>
  <c r="HH86" i="16"/>
  <c r="HG86" i="16"/>
  <c r="HF86" i="16"/>
  <c r="HE86" i="16"/>
  <c r="HL86" i="16"/>
  <c r="HK86" i="16"/>
  <c r="HD86" i="16"/>
  <c r="MF86" i="16"/>
  <c r="ME86" i="16"/>
  <c r="MD86" i="16"/>
  <c r="MC86" i="16"/>
  <c r="MJ86" i="16"/>
  <c r="MB86" i="16"/>
  <c r="MI86" i="16"/>
  <c r="MH86" i="16"/>
  <c r="MG86" i="16"/>
  <c r="DM88" i="16"/>
  <c r="DT88" i="16"/>
  <c r="DL88" i="16"/>
  <c r="DS88" i="16"/>
  <c r="DR88" i="16"/>
  <c r="DQ88" i="16"/>
  <c r="DN88" i="16"/>
  <c r="DP88" i="16"/>
  <c r="DO88" i="16"/>
  <c r="IL88" i="16"/>
  <c r="IK88" i="16"/>
  <c r="IR88" i="16"/>
  <c r="IJ88" i="16"/>
  <c r="IQ88" i="16"/>
  <c r="IP88" i="16"/>
  <c r="IO88" i="16"/>
  <c r="IN88" i="16"/>
  <c r="IM88" i="16"/>
  <c r="NN88" i="16"/>
  <c r="NM88" i="16"/>
  <c r="NL88" i="16"/>
  <c r="NK88" i="16"/>
  <c r="NI88" i="16"/>
  <c r="NP88" i="16"/>
  <c r="NH88" i="16"/>
  <c r="NO88" i="16"/>
  <c r="NJ88" i="16"/>
  <c r="GT93" i="16"/>
  <c r="GS93" i="16"/>
  <c r="GR93" i="16"/>
  <c r="GQ93" i="16"/>
  <c r="GV93" i="16"/>
  <c r="GU93" i="16"/>
  <c r="GP93" i="16"/>
  <c r="GO93" i="16"/>
  <c r="GN93" i="16"/>
  <c r="LQ93" i="16"/>
  <c r="LP93" i="16"/>
  <c r="LO93" i="16"/>
  <c r="LN93" i="16"/>
  <c r="LM93" i="16"/>
  <c r="LT93" i="16"/>
  <c r="LL93" i="16"/>
  <c r="LS93" i="16"/>
  <c r="LR93" i="16"/>
  <c r="EU94" i="16"/>
  <c r="EZ94" i="16"/>
  <c r="ER94" i="16"/>
  <c r="ET94" i="16"/>
  <c r="ES94" i="16"/>
  <c r="EY94" i="16"/>
  <c r="EX94" i="16"/>
  <c r="EW94" i="16"/>
  <c r="EV94" i="16"/>
  <c r="JU94" i="16"/>
  <c r="JT94" i="16"/>
  <c r="JS94" i="16"/>
  <c r="JR94" i="16"/>
  <c r="JW94" i="16"/>
  <c r="JV94" i="16"/>
  <c r="JQ94" i="16"/>
  <c r="JP94" i="16"/>
  <c r="JX94" i="16"/>
  <c r="MX95" i="16"/>
  <c r="MW95" i="16"/>
  <c r="MV95" i="16"/>
  <c r="MU95" i="16"/>
  <c r="MS95" i="16"/>
  <c r="MR95" i="16"/>
  <c r="MZ95" i="16"/>
  <c r="MY95" i="16"/>
  <c r="MT95" i="16"/>
  <c r="LA96" i="16"/>
  <c r="KZ96" i="16"/>
  <c r="KY96" i="16"/>
  <c r="KX96" i="16"/>
  <c r="KW96" i="16"/>
  <c r="LD96" i="16"/>
  <c r="KV96" i="16"/>
  <c r="LC96" i="16"/>
  <c r="LB96" i="16"/>
  <c r="CN102" i="16"/>
  <c r="CF102" i="16"/>
  <c r="CM102" i="16"/>
  <c r="CL102" i="16"/>
  <c r="CK102" i="16"/>
  <c r="CJ102" i="16"/>
  <c r="CH102" i="16"/>
  <c r="CG102" i="16"/>
  <c r="CI102" i="16"/>
  <c r="HF102" i="16"/>
  <c r="HE102" i="16"/>
  <c r="HL102" i="16"/>
  <c r="HD102" i="16"/>
  <c r="HK102" i="16"/>
  <c r="HJ102" i="16"/>
  <c r="HI102" i="16"/>
  <c r="HG102" i="16"/>
  <c r="HH102" i="16"/>
  <c r="MG102" i="16"/>
  <c r="MF102" i="16"/>
  <c r="MH102" i="16"/>
  <c r="ME102" i="16"/>
  <c r="MD102" i="16"/>
  <c r="MC102" i="16"/>
  <c r="MB102" i="16"/>
  <c r="MJ102" i="16"/>
  <c r="MI102" i="16"/>
  <c r="DQ103" i="16"/>
  <c r="DP103" i="16"/>
  <c r="DO103" i="16"/>
  <c r="DN103" i="16"/>
  <c r="DM103" i="16"/>
  <c r="DS103" i="16"/>
  <c r="DR103" i="16"/>
  <c r="DL103" i="16"/>
  <c r="DT103" i="16"/>
  <c r="IO103" i="16"/>
  <c r="IN103" i="16"/>
  <c r="IM103" i="16"/>
  <c r="IL103" i="16"/>
  <c r="IK103" i="16"/>
  <c r="IR103" i="16"/>
  <c r="IJ103" i="16"/>
  <c r="IQ103" i="16"/>
  <c r="IP103" i="16"/>
  <c r="NP103" i="16"/>
  <c r="NH103" i="16"/>
  <c r="NO103" i="16"/>
  <c r="NN103" i="16"/>
  <c r="NM103" i="16"/>
  <c r="NK103" i="16"/>
  <c r="NJ103" i="16"/>
  <c r="NI103" i="16"/>
  <c r="NL103" i="16"/>
  <c r="EZ104" i="16"/>
  <c r="ER104" i="16"/>
  <c r="EW104" i="16"/>
  <c r="EY104" i="16"/>
  <c r="EX104" i="16"/>
  <c r="EV104" i="16"/>
  <c r="EU104" i="16"/>
  <c r="ET104" i="16"/>
  <c r="ES104" i="16"/>
  <c r="JX104" i="16"/>
  <c r="JP104" i="16"/>
  <c r="JW104" i="16"/>
  <c r="JV104" i="16"/>
  <c r="JU104" i="16"/>
  <c r="JT104" i="16"/>
  <c r="JS104" i="16"/>
  <c r="JR104" i="16"/>
  <c r="JQ104" i="16"/>
  <c r="DS65" i="17"/>
  <c r="DT65" i="17"/>
  <c r="DQ65" i="17"/>
  <c r="DP65" i="17"/>
  <c r="DO65" i="17"/>
  <c r="DN65" i="17"/>
  <c r="DM65" i="17"/>
  <c r="DL65" i="17"/>
  <c r="DR65" i="17"/>
  <c r="IK65" i="17"/>
  <c r="IO65" i="17"/>
  <c r="IL65" i="17"/>
  <c r="IJ65" i="17"/>
  <c r="IR65" i="17"/>
  <c r="IQ65" i="17"/>
  <c r="IN65" i="17"/>
  <c r="IM65" i="17"/>
  <c r="IP65" i="17"/>
  <c r="NP65" i="17"/>
  <c r="NH65" i="17"/>
  <c r="NN65" i="17"/>
  <c r="NL65" i="17"/>
  <c r="NK65" i="17"/>
  <c r="NJ65" i="17"/>
  <c r="NI65" i="17"/>
  <c r="NO65" i="17"/>
  <c r="NM65" i="17"/>
  <c r="EU66" i="17"/>
  <c r="EV66" i="17"/>
  <c r="ER66" i="17"/>
  <c r="EZ66" i="17"/>
  <c r="EY66" i="17"/>
  <c r="EX66" i="17"/>
  <c r="EW66" i="17"/>
  <c r="ET66" i="17"/>
  <c r="ES66" i="17"/>
  <c r="JR66" i="17"/>
  <c r="JQ66" i="17"/>
  <c r="JP66" i="17"/>
  <c r="JX66" i="17"/>
  <c r="JW66" i="17"/>
  <c r="JV66" i="17"/>
  <c r="JU66" i="17"/>
  <c r="JT66" i="17"/>
  <c r="JS66" i="17"/>
  <c r="BA67" i="17"/>
  <c r="BH67" i="17"/>
  <c r="AZ67" i="17"/>
  <c r="BG67" i="17"/>
  <c r="BF67" i="17"/>
  <c r="BE67" i="17"/>
  <c r="BD67" i="17"/>
  <c r="BC67" i="17"/>
  <c r="BB67" i="17"/>
  <c r="KY67" i="17"/>
  <c r="KX67" i="17"/>
  <c r="KW67" i="17"/>
  <c r="KZ67" i="17"/>
  <c r="KV67" i="17"/>
  <c r="LD67" i="17"/>
  <c r="LC67" i="17"/>
  <c r="LA67" i="17"/>
  <c r="LB67" i="17"/>
  <c r="CG68" i="17"/>
  <c r="CN68" i="17"/>
  <c r="CF68" i="17"/>
  <c r="CM68" i="17"/>
  <c r="CL68" i="17"/>
  <c r="CK68" i="17"/>
  <c r="CJ68" i="17"/>
  <c r="CI68" i="17"/>
  <c r="CH68" i="17"/>
  <c r="HF68" i="17"/>
  <c r="HG68" i="17"/>
  <c r="HE68" i="17"/>
  <c r="HK68" i="17"/>
  <c r="HL68" i="17"/>
  <c r="HJ68" i="17"/>
  <c r="HI68" i="17"/>
  <c r="HH68" i="17"/>
  <c r="HD68" i="17"/>
  <c r="MC68" i="17"/>
  <c r="MI68" i="17"/>
  <c r="MB68" i="17"/>
  <c r="MJ68" i="17"/>
  <c r="MH68" i="17"/>
  <c r="MG68" i="17"/>
  <c r="MF68" i="17"/>
  <c r="ME68" i="17"/>
  <c r="MD68" i="17"/>
  <c r="DO69" i="17"/>
  <c r="DT69" i="17"/>
  <c r="DS69" i="17"/>
  <c r="DQ69" i="17"/>
  <c r="DP69" i="17"/>
  <c r="DN69" i="17"/>
  <c r="DM69" i="17"/>
  <c r="DL69" i="17"/>
  <c r="DR69" i="17"/>
  <c r="IO69" i="17"/>
  <c r="IP69" i="17"/>
  <c r="IL69" i="17"/>
  <c r="IR69" i="17"/>
  <c r="IQ69" i="17"/>
  <c r="IN69" i="17"/>
  <c r="IM69" i="17"/>
  <c r="IK69" i="17"/>
  <c r="IJ69" i="17"/>
  <c r="NL69" i="17"/>
  <c r="NJ69" i="17"/>
  <c r="NP69" i="17"/>
  <c r="NH69" i="17"/>
  <c r="NN69" i="17"/>
  <c r="NM69" i="17"/>
  <c r="NK69" i="17"/>
  <c r="NI69" i="17"/>
  <c r="NO69" i="17"/>
  <c r="EY73" i="17"/>
  <c r="EV73" i="17"/>
  <c r="EX73" i="17"/>
  <c r="EW73" i="17"/>
  <c r="EU73" i="17"/>
  <c r="ET73" i="17"/>
  <c r="ES73" i="17"/>
  <c r="ER73" i="17"/>
  <c r="EZ73" i="17"/>
  <c r="JV73" i="17"/>
  <c r="JR73" i="17"/>
  <c r="JQ73" i="17"/>
  <c r="JP73" i="17"/>
  <c r="JX73" i="17"/>
  <c r="JW73" i="17"/>
  <c r="JU73" i="17"/>
  <c r="JT73" i="17"/>
  <c r="JS73" i="17"/>
  <c r="CL75" i="17"/>
  <c r="CK75" i="17"/>
  <c r="CJ75" i="17"/>
  <c r="CI75" i="17"/>
  <c r="CF75" i="17"/>
  <c r="CN75" i="17"/>
  <c r="CM75" i="17"/>
  <c r="CH75" i="17"/>
  <c r="CG75" i="17"/>
  <c r="HK75" i="17"/>
  <c r="HG75" i="17"/>
  <c r="HF75" i="17"/>
  <c r="HL75" i="17"/>
  <c r="HD75" i="17"/>
  <c r="HJ75" i="17"/>
  <c r="HI75" i="17"/>
  <c r="HH75" i="17"/>
  <c r="HE75" i="17"/>
  <c r="MH75" i="17"/>
  <c r="MF75" i="17"/>
  <c r="MG75" i="17"/>
  <c r="ME75" i="17"/>
  <c r="MJ75" i="17"/>
  <c r="MI75" i="17"/>
  <c r="MD75" i="17"/>
  <c r="MC75" i="17"/>
  <c r="MB75" i="17"/>
  <c r="DT76" i="17"/>
  <c r="DL76" i="17"/>
  <c r="DS76" i="17"/>
  <c r="DO76" i="17"/>
  <c r="DN76" i="17"/>
  <c r="DM76" i="17"/>
  <c r="DR76" i="17"/>
  <c r="DQ76" i="17"/>
  <c r="DP76" i="17"/>
  <c r="IL76" i="17"/>
  <c r="IP76" i="17"/>
  <c r="IM76" i="17"/>
  <c r="IQ76" i="17"/>
  <c r="IO76" i="17"/>
  <c r="IN76" i="17"/>
  <c r="IK76" i="17"/>
  <c r="IJ76" i="17"/>
  <c r="IR76" i="17"/>
  <c r="NI76" i="17"/>
  <c r="NO76" i="17"/>
  <c r="NM76" i="17"/>
  <c r="NL76" i="17"/>
  <c r="NK76" i="17"/>
  <c r="NJ76" i="17"/>
  <c r="NH76" i="17"/>
  <c r="NN76" i="17"/>
  <c r="NP76" i="17"/>
  <c r="EU85" i="17"/>
  <c r="EW85" i="17"/>
  <c r="ER85" i="17"/>
  <c r="EV85" i="17"/>
  <c r="ET85" i="17"/>
  <c r="ES85" i="17"/>
  <c r="EZ85" i="17"/>
  <c r="EY85" i="17"/>
  <c r="EX85" i="17"/>
  <c r="JR85" i="17"/>
  <c r="JS85" i="17"/>
  <c r="JQ85" i="17"/>
  <c r="JP85" i="17"/>
  <c r="JX85" i="17"/>
  <c r="JW85" i="17"/>
  <c r="JV85" i="17"/>
  <c r="JU85" i="17"/>
  <c r="JT85" i="17"/>
  <c r="BH86" i="17"/>
  <c r="BA86" i="17"/>
  <c r="AZ86" i="17"/>
  <c r="BG86" i="17"/>
  <c r="BF86" i="17"/>
  <c r="BE86" i="17"/>
  <c r="BD86" i="17"/>
  <c r="BC86" i="17"/>
  <c r="BB86" i="17"/>
  <c r="KY86" i="17"/>
  <c r="KX86" i="17"/>
  <c r="KW86" i="17"/>
  <c r="LD86" i="17"/>
  <c r="KV86" i="17"/>
  <c r="LC86" i="17"/>
  <c r="LB86" i="17"/>
  <c r="LA86" i="17"/>
  <c r="KZ86" i="17"/>
  <c r="CG88" i="17"/>
  <c r="CN88" i="17"/>
  <c r="CF88" i="17"/>
  <c r="CM88" i="17"/>
  <c r="CL88" i="17"/>
  <c r="CI88" i="17"/>
  <c r="CH88" i="17"/>
  <c r="CK88" i="17"/>
  <c r="CJ88" i="17"/>
  <c r="HF88" i="17"/>
  <c r="HH88" i="17"/>
  <c r="HG88" i="17"/>
  <c r="HL88" i="17"/>
  <c r="HK88" i="17"/>
  <c r="HJ88" i="17"/>
  <c r="HI88" i="17"/>
  <c r="HE88" i="17"/>
  <c r="HD88" i="17"/>
  <c r="MC88" i="17"/>
  <c r="MI88" i="17"/>
  <c r="ME88" i="17"/>
  <c r="MD88" i="17"/>
  <c r="MJ88" i="17"/>
  <c r="MH88" i="17"/>
  <c r="MG88" i="17"/>
  <c r="MF88" i="17"/>
  <c r="MB88" i="17"/>
  <c r="DO93" i="17"/>
  <c r="DL93" i="17"/>
  <c r="DT93" i="17"/>
  <c r="DR93" i="17"/>
  <c r="DQ93" i="17"/>
  <c r="DP93" i="17"/>
  <c r="DN93" i="17"/>
  <c r="DM93" i="17"/>
  <c r="DS93" i="17"/>
  <c r="IO93" i="17"/>
  <c r="IQ93" i="17"/>
  <c r="IM93" i="17"/>
  <c r="IR93" i="17"/>
  <c r="IP93" i="17"/>
  <c r="IN93" i="17"/>
  <c r="IL93" i="17"/>
  <c r="IK93" i="17"/>
  <c r="IJ93" i="17"/>
  <c r="NL93" i="17"/>
  <c r="NJ93" i="17"/>
  <c r="NP93" i="17"/>
  <c r="NH93" i="17"/>
  <c r="NO93" i="17"/>
  <c r="NN93" i="17"/>
  <c r="NM93" i="17"/>
  <c r="NK93" i="17"/>
  <c r="NI93" i="17"/>
  <c r="EY94" i="17"/>
  <c r="EW94" i="17"/>
  <c r="EV94" i="17"/>
  <c r="ES94" i="17"/>
  <c r="EZ94" i="17"/>
  <c r="EX94" i="17"/>
  <c r="EU94" i="17"/>
  <c r="ET94" i="17"/>
  <c r="ER94" i="17"/>
  <c r="JV94" i="17"/>
  <c r="JS94" i="17"/>
  <c r="JR94" i="17"/>
  <c r="JQ94" i="17"/>
  <c r="JP94" i="17"/>
  <c r="JX94" i="17"/>
  <c r="JW94" i="17"/>
  <c r="JU94" i="17"/>
  <c r="JT94" i="17"/>
  <c r="BD95" i="17"/>
  <c r="BA95" i="17"/>
  <c r="AZ95" i="17"/>
  <c r="BH95" i="17"/>
  <c r="BG95" i="17"/>
  <c r="BF95" i="17"/>
  <c r="BE95" i="17"/>
  <c r="BC95" i="17"/>
  <c r="BB95" i="17"/>
  <c r="LB95" i="17"/>
  <c r="KW95" i="17"/>
  <c r="KV95" i="17"/>
  <c r="LD95" i="17"/>
  <c r="LC95" i="17"/>
  <c r="LA95" i="17"/>
  <c r="KY95" i="17"/>
  <c r="KX95" i="17"/>
  <c r="KZ95" i="17"/>
  <c r="CK96" i="17"/>
  <c r="CJ96" i="17"/>
  <c r="CI96" i="17"/>
  <c r="CH96" i="17"/>
  <c r="CN96" i="17"/>
  <c r="CF96" i="17"/>
  <c r="CM96" i="17"/>
  <c r="CL96" i="17"/>
  <c r="CG96" i="17"/>
  <c r="HJ96" i="17"/>
  <c r="HH96" i="17"/>
  <c r="HG96" i="17"/>
  <c r="HD96" i="17"/>
  <c r="HK96" i="17"/>
  <c r="HI96" i="17"/>
  <c r="HF96" i="17"/>
  <c r="HE96" i="17"/>
  <c r="HL96" i="17"/>
  <c r="MG96" i="17"/>
  <c r="ME96" i="17"/>
  <c r="MJ96" i="17"/>
  <c r="MC96" i="17"/>
  <c r="MB96" i="17"/>
  <c r="MI96" i="17"/>
  <c r="MH96" i="17"/>
  <c r="MF96" i="17"/>
  <c r="MD96" i="17"/>
  <c r="KN102" i="17"/>
  <c r="KF102" i="17"/>
  <c r="KM102" i="17"/>
  <c r="KL102" i="17"/>
  <c r="KK102" i="17"/>
  <c r="KJ102" i="17"/>
  <c r="KI102" i="17"/>
  <c r="KG102" i="17"/>
  <c r="KH102" i="17"/>
  <c r="DR103" i="17"/>
  <c r="DM103" i="17"/>
  <c r="DL103" i="17"/>
  <c r="DT103" i="17"/>
  <c r="DS103" i="17"/>
  <c r="DQ103" i="17"/>
  <c r="DP103" i="17"/>
  <c r="DO103" i="17"/>
  <c r="DN103" i="17"/>
  <c r="IR103" i="17"/>
  <c r="IJ103" i="17"/>
  <c r="IQ103" i="17"/>
  <c r="IN103" i="17"/>
  <c r="IL103" i="17"/>
  <c r="IK103" i="17"/>
  <c r="IP103" i="17"/>
  <c r="IO103" i="17"/>
  <c r="IM103" i="17"/>
  <c r="NO103" i="17"/>
  <c r="NM103" i="17"/>
  <c r="NK103" i="17"/>
  <c r="NL103" i="17"/>
  <c r="NJ103" i="17"/>
  <c r="NI103" i="17"/>
  <c r="NH103" i="17"/>
  <c r="NP103" i="17"/>
  <c r="NN103" i="17"/>
  <c r="BU104" i="17"/>
  <c r="BT104" i="17"/>
  <c r="BS104" i="17"/>
  <c r="BR104" i="17"/>
  <c r="BX104" i="17"/>
  <c r="BW104" i="17"/>
  <c r="BV104" i="17"/>
  <c r="BQ104" i="17"/>
  <c r="BP104" i="17"/>
  <c r="LS104" i="17"/>
  <c r="LR104" i="17"/>
  <c r="LQ104" i="17"/>
  <c r="LP104" i="17"/>
  <c r="LO104" i="17"/>
  <c r="LN104" i="17"/>
  <c r="LM104" i="17"/>
  <c r="LL104" i="17"/>
  <c r="LT104" i="17"/>
  <c r="JD68" i="13"/>
  <c r="JA68" i="13"/>
  <c r="JH68" i="13"/>
  <c r="IZ68" i="13"/>
  <c r="JE68" i="13"/>
  <c r="JC68" i="13"/>
  <c r="JB68" i="13"/>
  <c r="JG68" i="13"/>
  <c r="JF68" i="13"/>
  <c r="JT102" i="13"/>
  <c r="JS102" i="13"/>
  <c r="JR102" i="13"/>
  <c r="JQ102" i="13"/>
  <c r="JX102" i="13"/>
  <c r="JP102" i="13"/>
  <c r="JW102" i="13"/>
  <c r="JV102" i="13"/>
  <c r="JU102" i="13"/>
  <c r="LC76" i="13"/>
  <c r="LB76" i="13"/>
  <c r="LA76" i="13"/>
  <c r="KZ76" i="13"/>
  <c r="KY76" i="13"/>
  <c r="LD76" i="13"/>
  <c r="KX76" i="13"/>
  <c r="KW76" i="13"/>
  <c r="KV76" i="13"/>
  <c r="MJ65" i="13"/>
  <c r="MB65" i="13"/>
  <c r="MI65" i="13"/>
  <c r="MH65" i="13"/>
  <c r="MG65" i="13"/>
  <c r="MF65" i="13"/>
  <c r="ME65" i="13"/>
  <c r="MD65" i="13"/>
  <c r="MC65" i="13"/>
  <c r="NL102" i="13"/>
  <c r="NI102" i="13"/>
  <c r="NO102" i="13"/>
  <c r="NN102" i="13"/>
  <c r="NM102" i="13"/>
  <c r="NK102" i="13"/>
  <c r="NJ102" i="13"/>
  <c r="NP102" i="13"/>
  <c r="NH102" i="13"/>
  <c r="GD65" i="15"/>
  <c r="FY65" i="15"/>
  <c r="FX65" i="15"/>
  <c r="GF65" i="15"/>
  <c r="GE65" i="15"/>
  <c r="GC65" i="15"/>
  <c r="GA65" i="15"/>
  <c r="FZ65" i="15"/>
  <c r="GB65" i="15"/>
  <c r="LD65" i="15"/>
  <c r="KV65" i="15"/>
  <c r="KX65" i="15"/>
  <c r="KW65" i="15"/>
  <c r="LC65" i="15"/>
  <c r="LB65" i="15"/>
  <c r="LA65" i="15"/>
  <c r="KZ65" i="15"/>
  <c r="KY65" i="15"/>
  <c r="HK66" i="15"/>
  <c r="HI66" i="15"/>
  <c r="HH66" i="15"/>
  <c r="HG66" i="15"/>
  <c r="HF66" i="15"/>
  <c r="HE66" i="15"/>
  <c r="HD66" i="15"/>
  <c r="HL66" i="15"/>
  <c r="HJ66" i="15"/>
  <c r="DT67" i="15"/>
  <c r="DL67" i="15"/>
  <c r="DQ67" i="15"/>
  <c r="DP67" i="15"/>
  <c r="DS67" i="15"/>
  <c r="DR67" i="15"/>
  <c r="DO67" i="15"/>
  <c r="DM67" i="15"/>
  <c r="DN67" i="15"/>
  <c r="NO67" i="15"/>
  <c r="NP67" i="15"/>
  <c r="NM67" i="15"/>
  <c r="NL67" i="15"/>
  <c r="NK67" i="15"/>
  <c r="NN67" i="15"/>
  <c r="NJ67" i="15"/>
  <c r="NI67" i="15"/>
  <c r="NH67" i="15"/>
  <c r="EV68" i="15"/>
  <c r="ES68" i="15"/>
  <c r="EZ68" i="15"/>
  <c r="ER68" i="15"/>
  <c r="ET68" i="15"/>
  <c r="EY68" i="15"/>
  <c r="EX68" i="15"/>
  <c r="EW68" i="15"/>
  <c r="EU68" i="15"/>
  <c r="JQ68" i="15"/>
  <c r="JX68" i="15"/>
  <c r="JP68" i="15"/>
  <c r="JW68" i="15"/>
  <c r="JV68" i="15"/>
  <c r="JU68" i="15"/>
  <c r="JT68" i="15"/>
  <c r="JS68" i="15"/>
  <c r="JR68" i="15"/>
  <c r="BB69" i="15"/>
  <c r="BE69" i="15"/>
  <c r="BG69" i="15"/>
  <c r="BD69" i="15"/>
  <c r="BC69" i="15"/>
  <c r="BA69" i="15"/>
  <c r="AZ69" i="15"/>
  <c r="BH69" i="15"/>
  <c r="BF69" i="15"/>
  <c r="FZ69" i="15"/>
  <c r="FY69" i="15"/>
  <c r="FX69" i="15"/>
  <c r="GF69" i="15"/>
  <c r="GE69" i="15"/>
  <c r="GD69" i="15"/>
  <c r="GB69" i="15"/>
  <c r="GA69" i="15"/>
  <c r="GC69" i="15"/>
  <c r="KZ69" i="15"/>
  <c r="KX69" i="15"/>
  <c r="KW69" i="15"/>
  <c r="KV69" i="15"/>
  <c r="LD69" i="15"/>
  <c r="LC69" i="15"/>
  <c r="LB69" i="15"/>
  <c r="KY69" i="15"/>
  <c r="LA69" i="15"/>
  <c r="JB73" i="15"/>
  <c r="JA73" i="15"/>
  <c r="IZ73" i="15"/>
  <c r="JH73" i="15"/>
  <c r="JG73" i="15"/>
  <c r="JF73" i="15"/>
  <c r="JE73" i="15"/>
  <c r="JC73" i="15"/>
  <c r="JD73" i="15"/>
  <c r="NY73" i="15"/>
  <c r="NZ73" i="15"/>
  <c r="OF73" i="15"/>
  <c r="OE73" i="15"/>
  <c r="OD73" i="15"/>
  <c r="OC73" i="15"/>
  <c r="NX73" i="15"/>
  <c r="OB73" i="15"/>
  <c r="OA73" i="15"/>
  <c r="FJ75" i="15"/>
  <c r="FP75" i="15"/>
  <c r="FO75" i="15"/>
  <c r="FN75" i="15"/>
  <c r="FM75" i="15"/>
  <c r="FL75" i="15"/>
  <c r="FI75" i="15"/>
  <c r="FH75" i="15"/>
  <c r="FK75" i="15"/>
  <c r="KI75" i="15"/>
  <c r="KH75" i="15"/>
  <c r="KG75" i="15"/>
  <c r="KF75" i="15"/>
  <c r="KN75" i="15"/>
  <c r="KM75" i="15"/>
  <c r="KK75" i="15"/>
  <c r="KJ75" i="15"/>
  <c r="KL75" i="15"/>
  <c r="DO76" i="15"/>
  <c r="DT76" i="15"/>
  <c r="DL76" i="15"/>
  <c r="DS76" i="15"/>
  <c r="DM76" i="15"/>
  <c r="DR76" i="15"/>
  <c r="DQ76" i="15"/>
  <c r="DP76" i="15"/>
  <c r="DN76" i="15"/>
  <c r="NJ76" i="15"/>
  <c r="NP76" i="15"/>
  <c r="NN76" i="15"/>
  <c r="NM76" i="15"/>
  <c r="NL76" i="15"/>
  <c r="NH76" i="15"/>
  <c r="NO76" i="15"/>
  <c r="NK76" i="15"/>
  <c r="NI76" i="15"/>
  <c r="BR85" i="15"/>
  <c r="BX85" i="15"/>
  <c r="BQ85" i="15"/>
  <c r="BW85" i="15"/>
  <c r="BV85" i="15"/>
  <c r="BU85" i="15"/>
  <c r="BT85" i="15"/>
  <c r="BS85" i="15"/>
  <c r="BP85" i="15"/>
  <c r="GP85" i="15"/>
  <c r="GR85" i="15"/>
  <c r="GQ85" i="15"/>
  <c r="GO85" i="15"/>
  <c r="GN85" i="15"/>
  <c r="GV85" i="15"/>
  <c r="GS85" i="15"/>
  <c r="GU85" i="15"/>
  <c r="GT85" i="15"/>
  <c r="LP85" i="15"/>
  <c r="LN85" i="15"/>
  <c r="LO85" i="15"/>
  <c r="LM85" i="15"/>
  <c r="LL85" i="15"/>
  <c r="LT85" i="15"/>
  <c r="LS85" i="15"/>
  <c r="LR85" i="15"/>
  <c r="LQ85" i="15"/>
  <c r="EX86" i="15"/>
  <c r="EU86" i="15"/>
  <c r="ET86" i="15"/>
  <c r="EZ86" i="15"/>
  <c r="EW86" i="15"/>
  <c r="EV86" i="15"/>
  <c r="ES86" i="15"/>
  <c r="ER86" i="15"/>
  <c r="EY86" i="15"/>
  <c r="JR86" i="15"/>
  <c r="JQ86" i="15"/>
  <c r="JX86" i="15"/>
  <c r="JW86" i="15"/>
  <c r="JV86" i="15"/>
  <c r="JU86" i="15"/>
  <c r="JT86" i="15"/>
  <c r="JS86" i="15"/>
  <c r="JP86" i="15"/>
  <c r="CX88" i="15"/>
  <c r="DC88" i="15"/>
  <c r="DB88" i="15"/>
  <c r="DD88" i="15"/>
  <c r="DA88" i="15"/>
  <c r="CZ88" i="15"/>
  <c r="CW88" i="15"/>
  <c r="CV88" i="15"/>
  <c r="CY88" i="15"/>
  <c r="MS88" i="15"/>
  <c r="MX88" i="15"/>
  <c r="MV88" i="15"/>
  <c r="MW88" i="15"/>
  <c r="MU88" i="15"/>
  <c r="MT88" i="15"/>
  <c r="MR88" i="15"/>
  <c r="MZ88" i="15"/>
  <c r="MY88" i="15"/>
  <c r="EH93" i="15"/>
  <c r="EE93" i="15"/>
  <c r="ED93" i="15"/>
  <c r="EC93" i="15"/>
  <c r="EB93" i="15"/>
  <c r="EJ93" i="15"/>
  <c r="EI93" i="15"/>
  <c r="EG93" i="15"/>
  <c r="EF93" i="15"/>
  <c r="JC93" i="15"/>
  <c r="JB93" i="15"/>
  <c r="JA93" i="15"/>
  <c r="IZ93" i="15"/>
  <c r="JH93" i="15"/>
  <c r="JG93" i="15"/>
  <c r="JF93" i="15"/>
  <c r="JE93" i="15"/>
  <c r="JD93" i="15"/>
  <c r="NZ93" i="15"/>
  <c r="OE93" i="15"/>
  <c r="OD93" i="15"/>
  <c r="OB93" i="15"/>
  <c r="OA93" i="15"/>
  <c r="NY93" i="15"/>
  <c r="NX93" i="15"/>
  <c r="OF93" i="15"/>
  <c r="OC93" i="15"/>
  <c r="FL94" i="15"/>
  <c r="FH94" i="15"/>
  <c r="FP94" i="15"/>
  <c r="FO94" i="15"/>
  <c r="FN94" i="15"/>
  <c r="FM94" i="15"/>
  <c r="FK94" i="15"/>
  <c r="FJ94" i="15"/>
  <c r="FI94" i="15"/>
  <c r="KL94" i="15"/>
  <c r="KG94" i="15"/>
  <c r="KF94" i="15"/>
  <c r="KN94" i="15"/>
  <c r="KM94" i="15"/>
  <c r="KK94" i="15"/>
  <c r="KJ94" i="15"/>
  <c r="KI94" i="15"/>
  <c r="KH94" i="15"/>
  <c r="BU95" i="15"/>
  <c r="BR95" i="15"/>
  <c r="BQ95" i="15"/>
  <c r="BX95" i="15"/>
  <c r="BS95" i="15"/>
  <c r="BW95" i="15"/>
  <c r="BT95" i="15"/>
  <c r="BP95" i="15"/>
  <c r="BV95" i="15"/>
  <c r="GS95" i="15"/>
  <c r="GR95" i="15"/>
  <c r="GQ95" i="15"/>
  <c r="GP95" i="15"/>
  <c r="GO95" i="15"/>
  <c r="GN95" i="15"/>
  <c r="GU95" i="15"/>
  <c r="GT95" i="15"/>
  <c r="GV95" i="15"/>
  <c r="LS95" i="15"/>
  <c r="LQ95" i="15"/>
  <c r="LM95" i="15"/>
  <c r="LL95" i="15"/>
  <c r="LT95" i="15"/>
  <c r="LR95" i="15"/>
  <c r="LP95" i="15"/>
  <c r="LO95" i="15"/>
  <c r="LN95" i="15"/>
  <c r="DB96" i="15"/>
  <c r="CY96" i="15"/>
  <c r="CX96" i="15"/>
  <c r="DD96" i="15"/>
  <c r="DC96" i="15"/>
  <c r="CZ96" i="15"/>
  <c r="CW96" i="15"/>
  <c r="CV96" i="15"/>
  <c r="DA96" i="15"/>
  <c r="HV96" i="15"/>
  <c r="HU96" i="15"/>
  <c r="HZ96" i="15"/>
  <c r="HY96" i="15"/>
  <c r="HX96" i="15"/>
  <c r="HW96" i="15"/>
  <c r="HT96" i="15"/>
  <c r="IB96" i="15"/>
  <c r="IA96" i="15"/>
  <c r="MW96" i="15"/>
  <c r="MY96" i="15"/>
  <c r="MV96" i="15"/>
  <c r="MU96" i="15"/>
  <c r="MZ96" i="15"/>
  <c r="MX96" i="15"/>
  <c r="MT96" i="15"/>
  <c r="MS96" i="15"/>
  <c r="MR96" i="15"/>
  <c r="ED102" i="15"/>
  <c r="EI102" i="15"/>
  <c r="EH102" i="15"/>
  <c r="EF102" i="15"/>
  <c r="EE102" i="15"/>
  <c r="EC102" i="15"/>
  <c r="EJ102" i="15"/>
  <c r="EG102" i="15"/>
  <c r="EB102" i="15"/>
  <c r="JG102" i="15"/>
  <c r="JF102" i="15"/>
  <c r="JH102" i="15"/>
  <c r="JE102" i="15"/>
  <c r="JD102" i="15"/>
  <c r="JC102" i="15"/>
  <c r="JA102" i="15"/>
  <c r="IZ102" i="15"/>
  <c r="JB102" i="15"/>
  <c r="OD102" i="15"/>
  <c r="OA102" i="15"/>
  <c r="NZ102" i="15"/>
  <c r="OC102" i="15"/>
  <c r="NY102" i="15"/>
  <c r="NX102" i="15"/>
  <c r="OF102" i="15"/>
  <c r="OE102" i="15"/>
  <c r="OB102" i="15"/>
  <c r="FP103" i="15"/>
  <c r="FH103" i="15"/>
  <c r="FI103" i="15"/>
  <c r="FO103" i="15"/>
  <c r="FN103" i="15"/>
  <c r="FM103" i="15"/>
  <c r="FL103" i="15"/>
  <c r="FK103" i="15"/>
  <c r="FJ103" i="15"/>
  <c r="KH103" i="15"/>
  <c r="KG103" i="15"/>
  <c r="KF103" i="15"/>
  <c r="KN103" i="15"/>
  <c r="KM103" i="15"/>
  <c r="KL103" i="15"/>
  <c r="KK103" i="15"/>
  <c r="KJ103" i="15"/>
  <c r="KI103" i="15"/>
  <c r="BQ104" i="15"/>
  <c r="BV104" i="15"/>
  <c r="BU104" i="15"/>
  <c r="BR104" i="15"/>
  <c r="BP104" i="15"/>
  <c r="BT104" i="15"/>
  <c r="BX104" i="15"/>
  <c r="BW104" i="15"/>
  <c r="BS104" i="15"/>
  <c r="GO104" i="15"/>
  <c r="GS104" i="15"/>
  <c r="GR104" i="15"/>
  <c r="GQ104" i="15"/>
  <c r="GP104" i="15"/>
  <c r="GN104" i="15"/>
  <c r="GU104" i="15"/>
  <c r="GT104" i="15"/>
  <c r="GV104" i="15"/>
  <c r="LO104" i="15"/>
  <c r="LM104" i="15"/>
  <c r="LS104" i="15"/>
  <c r="LR104" i="15"/>
  <c r="LQ104" i="15"/>
  <c r="LP104" i="15"/>
  <c r="LN104" i="15"/>
  <c r="LL104" i="15"/>
  <c r="LT104" i="15"/>
  <c r="KM65" i="16"/>
  <c r="KL65" i="16"/>
  <c r="KK65" i="16"/>
  <c r="KJ65" i="16"/>
  <c r="KG65" i="16"/>
  <c r="KF65" i="16"/>
  <c r="KN65" i="16"/>
  <c r="KI65" i="16"/>
  <c r="KH65" i="16"/>
  <c r="GO66" i="16"/>
  <c r="GV66" i="16"/>
  <c r="GN66" i="16"/>
  <c r="GU66" i="16"/>
  <c r="GT66" i="16"/>
  <c r="GP66" i="16"/>
  <c r="GS66" i="16"/>
  <c r="GR66" i="16"/>
  <c r="GQ66" i="16"/>
  <c r="LT66" i="16"/>
  <c r="LL66" i="16"/>
  <c r="LS66" i="16"/>
  <c r="LR66" i="16"/>
  <c r="LQ66" i="16"/>
  <c r="LP66" i="16"/>
  <c r="LO66" i="16"/>
  <c r="LN66" i="16"/>
  <c r="LM66" i="16"/>
  <c r="CY67" i="16"/>
  <c r="CX67" i="16"/>
  <c r="CW67" i="16"/>
  <c r="DD67" i="16"/>
  <c r="CV67" i="16"/>
  <c r="DC67" i="16"/>
  <c r="DB67" i="16"/>
  <c r="DA67" i="16"/>
  <c r="CZ67" i="16"/>
  <c r="HY67" i="16"/>
  <c r="HX67" i="16"/>
  <c r="HW67" i="16"/>
  <c r="HV67" i="16"/>
  <c r="HU67" i="16"/>
  <c r="IB67" i="16"/>
  <c r="HT67" i="16"/>
  <c r="IA67" i="16"/>
  <c r="HZ67" i="16"/>
  <c r="MZ67" i="16"/>
  <c r="MR67" i="16"/>
  <c r="MY67" i="16"/>
  <c r="MW67" i="16"/>
  <c r="MU67" i="16"/>
  <c r="MT67" i="16"/>
  <c r="MS67" i="16"/>
  <c r="MX67" i="16"/>
  <c r="MV67" i="16"/>
  <c r="EJ68" i="16"/>
  <c r="EB68" i="16"/>
  <c r="EI68" i="16"/>
  <c r="EH68" i="16"/>
  <c r="EG68" i="16"/>
  <c r="EF68" i="16"/>
  <c r="EE68" i="16"/>
  <c r="ED68" i="16"/>
  <c r="EC68" i="16"/>
  <c r="JH68" i="16"/>
  <c r="IZ68" i="16"/>
  <c r="JG68" i="16"/>
  <c r="JF68" i="16"/>
  <c r="JE68" i="16"/>
  <c r="JD68" i="16"/>
  <c r="JC68" i="16"/>
  <c r="JA68" i="16"/>
  <c r="JB68" i="16"/>
  <c r="OA68" i="16"/>
  <c r="NZ68" i="16"/>
  <c r="NY68" i="16"/>
  <c r="OF68" i="16"/>
  <c r="NX68" i="16"/>
  <c r="OD68" i="16"/>
  <c r="OC68" i="16"/>
  <c r="OE68" i="16"/>
  <c r="OB68" i="16"/>
  <c r="KI69" i="16"/>
  <c r="KH69" i="16"/>
  <c r="KG69" i="16"/>
  <c r="KN69" i="16"/>
  <c r="KF69" i="16"/>
  <c r="KM69" i="16"/>
  <c r="KL69" i="16"/>
  <c r="KK69" i="16"/>
  <c r="KJ69" i="16"/>
  <c r="GS73" i="16"/>
  <c r="GR73" i="16"/>
  <c r="GQ73" i="16"/>
  <c r="GP73" i="16"/>
  <c r="GV73" i="16"/>
  <c r="GU73" i="16"/>
  <c r="GT73" i="16"/>
  <c r="GO73" i="16"/>
  <c r="GN73" i="16"/>
  <c r="LP73" i="16"/>
  <c r="LO73" i="16"/>
  <c r="LN73" i="16"/>
  <c r="LM73" i="16"/>
  <c r="LT73" i="16"/>
  <c r="LL73" i="16"/>
  <c r="LS73" i="16"/>
  <c r="LR73" i="16"/>
  <c r="LQ73" i="16"/>
  <c r="EG75" i="16"/>
  <c r="EF75" i="16"/>
  <c r="EE75" i="16"/>
  <c r="ED75" i="16"/>
  <c r="EC75" i="16"/>
  <c r="EJ75" i="16"/>
  <c r="EI75" i="16"/>
  <c r="EH75" i="16"/>
  <c r="EB75" i="16"/>
  <c r="JE75" i="16"/>
  <c r="JD75" i="16"/>
  <c r="JC75" i="16"/>
  <c r="JB75" i="16"/>
  <c r="JA75" i="16"/>
  <c r="JH75" i="16"/>
  <c r="IZ75" i="16"/>
  <c r="JF75" i="16"/>
  <c r="JG75" i="16"/>
  <c r="OF75" i="16"/>
  <c r="NX75" i="16"/>
  <c r="OE75" i="16"/>
  <c r="OD75" i="16"/>
  <c r="OC75" i="16"/>
  <c r="OA75" i="16"/>
  <c r="NZ75" i="16"/>
  <c r="OB75" i="16"/>
  <c r="NY75" i="16"/>
  <c r="KN76" i="16"/>
  <c r="KF76" i="16"/>
  <c r="KM76" i="16"/>
  <c r="KL76" i="16"/>
  <c r="KK76" i="16"/>
  <c r="KJ76" i="16"/>
  <c r="KI76" i="16"/>
  <c r="KH76" i="16"/>
  <c r="KG76" i="16"/>
  <c r="GO85" i="16"/>
  <c r="GV85" i="16"/>
  <c r="GN85" i="16"/>
  <c r="GU85" i="16"/>
  <c r="GT85" i="16"/>
  <c r="GS85" i="16"/>
  <c r="GR85" i="16"/>
  <c r="GQ85" i="16"/>
  <c r="GP85" i="16"/>
  <c r="LT85" i="16"/>
  <c r="LL85" i="16"/>
  <c r="LS85" i="16"/>
  <c r="LR85" i="16"/>
  <c r="LQ85" i="16"/>
  <c r="LP85" i="16"/>
  <c r="LO85" i="16"/>
  <c r="LN85" i="16"/>
  <c r="LM85" i="16"/>
  <c r="CY86" i="16"/>
  <c r="CX86" i="16"/>
  <c r="CW86" i="16"/>
  <c r="DD86" i="16"/>
  <c r="CV86" i="16"/>
  <c r="DC86" i="16"/>
  <c r="DB86" i="16"/>
  <c r="DA86" i="16"/>
  <c r="CZ86" i="16"/>
  <c r="HY86" i="16"/>
  <c r="HX86" i="16"/>
  <c r="HW86" i="16"/>
  <c r="HV86" i="16"/>
  <c r="HU86" i="16"/>
  <c r="IB86" i="16"/>
  <c r="HT86" i="16"/>
  <c r="HZ86" i="16"/>
  <c r="IA86" i="16"/>
  <c r="MS86" i="16"/>
  <c r="MZ86" i="16"/>
  <c r="MR86" i="16"/>
  <c r="MY86" i="16"/>
  <c r="MW86" i="16"/>
  <c r="MX86" i="16"/>
  <c r="MV86" i="16"/>
  <c r="MU86" i="16"/>
  <c r="MT86" i="16"/>
  <c r="EJ88" i="16"/>
  <c r="EB88" i="16"/>
  <c r="EI88" i="16"/>
  <c r="EH88" i="16"/>
  <c r="EG88" i="16"/>
  <c r="EF88" i="16"/>
  <c r="EE88" i="16"/>
  <c r="ED88" i="16"/>
  <c r="EC88" i="16"/>
  <c r="JH88" i="16"/>
  <c r="IZ88" i="16"/>
  <c r="JG88" i="16"/>
  <c r="JF88" i="16"/>
  <c r="JE88" i="16"/>
  <c r="JD88" i="16"/>
  <c r="JC88" i="16"/>
  <c r="JB88" i="16"/>
  <c r="JA88" i="16"/>
  <c r="OA88" i="16"/>
  <c r="NZ88" i="16"/>
  <c r="NY88" i="16"/>
  <c r="OF88" i="16"/>
  <c r="NX88" i="16"/>
  <c r="OD88" i="16"/>
  <c r="OC88" i="16"/>
  <c r="OB88" i="16"/>
  <c r="OE88" i="16"/>
  <c r="CI93" i="16"/>
  <c r="CH93" i="16"/>
  <c r="CG93" i="16"/>
  <c r="CN93" i="16"/>
  <c r="CF93" i="16"/>
  <c r="CM93" i="16"/>
  <c r="CL93" i="16"/>
  <c r="CK93" i="16"/>
  <c r="CJ93" i="16"/>
  <c r="HH93" i="16"/>
  <c r="HG93" i="16"/>
  <c r="HF93" i="16"/>
  <c r="HE93" i="16"/>
  <c r="HL93" i="16"/>
  <c r="HD93" i="16"/>
  <c r="HK93" i="16"/>
  <c r="HJ93" i="16"/>
  <c r="HI93" i="16"/>
  <c r="MC93" i="16"/>
  <c r="MF93" i="16"/>
  <c r="ME93" i="16"/>
  <c r="MD93" i="16"/>
  <c r="MB93" i="16"/>
  <c r="MJ93" i="16"/>
  <c r="MI93" i="16"/>
  <c r="MH93" i="16"/>
  <c r="MG93" i="16"/>
  <c r="KH94" i="16"/>
  <c r="KG94" i="16"/>
  <c r="KN94" i="16"/>
  <c r="KF94" i="16"/>
  <c r="KM94" i="16"/>
  <c r="KL94" i="16"/>
  <c r="KK94" i="16"/>
  <c r="KI94" i="16"/>
  <c r="KJ94" i="16"/>
  <c r="IQ95" i="16"/>
  <c r="IP95" i="16"/>
  <c r="IO95" i="16"/>
  <c r="IN95" i="16"/>
  <c r="IM95" i="16"/>
  <c r="IL95" i="16"/>
  <c r="IJ95" i="16"/>
  <c r="IR95" i="16"/>
  <c r="IK95" i="16"/>
  <c r="NK95" i="16"/>
  <c r="NJ95" i="16"/>
  <c r="NI95" i="16"/>
  <c r="NP95" i="16"/>
  <c r="NH95" i="16"/>
  <c r="NN95" i="16"/>
  <c r="NM95" i="16"/>
  <c r="NO95" i="16"/>
  <c r="NL95" i="16"/>
  <c r="GR96" i="16"/>
  <c r="GQ96" i="16"/>
  <c r="GP96" i="16"/>
  <c r="GO96" i="16"/>
  <c r="GV96" i="16"/>
  <c r="GN96" i="16"/>
  <c r="GU96" i="16"/>
  <c r="GT96" i="16"/>
  <c r="GS96" i="16"/>
  <c r="LN96" i="16"/>
  <c r="LM96" i="16"/>
  <c r="LT96" i="16"/>
  <c r="LL96" i="16"/>
  <c r="LS96" i="16"/>
  <c r="LR96" i="16"/>
  <c r="LQ96" i="16"/>
  <c r="LP96" i="16"/>
  <c r="LO96" i="16"/>
  <c r="DC102" i="16"/>
  <c r="DB102" i="16"/>
  <c r="DA102" i="16"/>
  <c r="CZ102" i="16"/>
  <c r="CY102" i="16"/>
  <c r="CV102" i="16"/>
  <c r="DD102" i="16"/>
  <c r="CX102" i="16"/>
  <c r="CW102" i="16"/>
  <c r="IB102" i="16"/>
  <c r="HT102" i="16"/>
  <c r="IA102" i="16"/>
  <c r="HZ102" i="16"/>
  <c r="HY102" i="16"/>
  <c r="HX102" i="16"/>
  <c r="HW102" i="16"/>
  <c r="HV102" i="16"/>
  <c r="HU102" i="16"/>
  <c r="MV102" i="16"/>
  <c r="MU102" i="16"/>
  <c r="MT102" i="16"/>
  <c r="MS102" i="16"/>
  <c r="MY102" i="16"/>
  <c r="MW102" i="16"/>
  <c r="MR102" i="16"/>
  <c r="MZ102" i="16"/>
  <c r="MX102" i="16"/>
  <c r="ED103" i="16"/>
  <c r="EI103" i="16"/>
  <c r="EJ103" i="16"/>
  <c r="EH103" i="16"/>
  <c r="EG103" i="16"/>
  <c r="EF103" i="16"/>
  <c r="EE103" i="16"/>
  <c r="EC103" i="16"/>
  <c r="EB103" i="16"/>
  <c r="JB103" i="16"/>
  <c r="JA103" i="16"/>
  <c r="JH103" i="16"/>
  <c r="IZ103" i="16"/>
  <c r="JG103" i="16"/>
  <c r="JF103" i="16"/>
  <c r="JE103" i="16"/>
  <c r="JC103" i="16"/>
  <c r="JD103" i="16"/>
  <c r="OC103" i="16"/>
  <c r="OB103" i="16"/>
  <c r="OA103" i="16"/>
  <c r="NZ103" i="16"/>
  <c r="OF103" i="16"/>
  <c r="NX103" i="16"/>
  <c r="OE103" i="16"/>
  <c r="OD103" i="16"/>
  <c r="NY103" i="16"/>
  <c r="FL104" i="16"/>
  <c r="FI104" i="16"/>
  <c r="FH104" i="16"/>
  <c r="FP104" i="16"/>
  <c r="FO104" i="16"/>
  <c r="FN104" i="16"/>
  <c r="FM104" i="16"/>
  <c r="FK104" i="16"/>
  <c r="FJ104" i="16"/>
  <c r="KK104" i="16"/>
  <c r="KJ104" i="16"/>
  <c r="KI104" i="16"/>
  <c r="KH104" i="16"/>
  <c r="KG104" i="16"/>
  <c r="KN104" i="16"/>
  <c r="KF104" i="16"/>
  <c r="KM104" i="16"/>
  <c r="KL104" i="16"/>
  <c r="EF65" i="17"/>
  <c r="EE65" i="17"/>
  <c r="ED65" i="17"/>
  <c r="EC65" i="17"/>
  <c r="EB65" i="17"/>
  <c r="EI65" i="17"/>
  <c r="EH65" i="17"/>
  <c r="EG65" i="17"/>
  <c r="EJ65" i="17"/>
  <c r="JF65" i="17"/>
  <c r="JH65" i="17"/>
  <c r="JD65" i="17"/>
  <c r="JG65" i="17"/>
  <c r="JE65" i="17"/>
  <c r="JC65" i="17"/>
  <c r="JB65" i="17"/>
  <c r="JA65" i="17"/>
  <c r="IZ65" i="17"/>
  <c r="OC65" i="17"/>
  <c r="OA65" i="17"/>
  <c r="NY65" i="17"/>
  <c r="OF65" i="17"/>
  <c r="OE65" i="17"/>
  <c r="OD65" i="17"/>
  <c r="OB65" i="17"/>
  <c r="NX65" i="17"/>
  <c r="NZ65" i="17"/>
  <c r="KM66" i="17"/>
  <c r="KJ66" i="17"/>
  <c r="KI66" i="17"/>
  <c r="KH66" i="17"/>
  <c r="KG66" i="17"/>
  <c r="KF66" i="17"/>
  <c r="KN66" i="17"/>
  <c r="KL66" i="17"/>
  <c r="KK66" i="17"/>
  <c r="BU67" i="17"/>
  <c r="BT67" i="17"/>
  <c r="BS67" i="17"/>
  <c r="BR67" i="17"/>
  <c r="BX67" i="17"/>
  <c r="BW67" i="17"/>
  <c r="BV67" i="17"/>
  <c r="BQ67" i="17"/>
  <c r="BP67" i="17"/>
  <c r="LS67" i="17"/>
  <c r="LN67" i="17"/>
  <c r="LM67" i="17"/>
  <c r="LL67" i="17"/>
  <c r="LT67" i="17"/>
  <c r="LR67" i="17"/>
  <c r="LQ67" i="17"/>
  <c r="LP67" i="17"/>
  <c r="LO67" i="17"/>
  <c r="DB68" i="17"/>
  <c r="DA68" i="17"/>
  <c r="CZ68" i="17"/>
  <c r="CY68" i="17"/>
  <c r="CW68" i="17"/>
  <c r="DD68" i="17"/>
  <c r="DC68" i="17"/>
  <c r="CX68" i="17"/>
  <c r="CV68" i="17"/>
  <c r="HU68" i="17"/>
  <c r="HW68" i="17"/>
  <c r="IB68" i="17"/>
  <c r="IA68" i="17"/>
  <c r="HZ68" i="17"/>
  <c r="HY68" i="17"/>
  <c r="HX68" i="17"/>
  <c r="HV68" i="17"/>
  <c r="HT68" i="17"/>
  <c r="MZ68" i="17"/>
  <c r="MR68" i="17"/>
  <c r="MX68" i="17"/>
  <c r="MV68" i="17"/>
  <c r="MY68" i="17"/>
  <c r="MW68" i="17"/>
  <c r="MU68" i="17"/>
  <c r="MT68" i="17"/>
  <c r="MS68" i="17"/>
  <c r="EJ69" i="17"/>
  <c r="EB69" i="17"/>
  <c r="EF69" i="17"/>
  <c r="EE69" i="17"/>
  <c r="ED69" i="17"/>
  <c r="EC69" i="17"/>
  <c r="EI69" i="17"/>
  <c r="EH69" i="17"/>
  <c r="EG69" i="17"/>
  <c r="JB69" i="17"/>
  <c r="JH69" i="17"/>
  <c r="JE69" i="17"/>
  <c r="JG69" i="17"/>
  <c r="JF69" i="17"/>
  <c r="JD69" i="17"/>
  <c r="JC69" i="17"/>
  <c r="JA69" i="17"/>
  <c r="IZ69" i="17"/>
  <c r="NY69" i="17"/>
  <c r="OE69" i="17"/>
  <c r="OC69" i="17"/>
  <c r="NZ69" i="17"/>
  <c r="NX69" i="17"/>
  <c r="OF69" i="17"/>
  <c r="OD69" i="17"/>
  <c r="OB69" i="17"/>
  <c r="OA69" i="17"/>
  <c r="KI73" i="17"/>
  <c r="KK73" i="17"/>
  <c r="KJ73" i="17"/>
  <c r="KH73" i="17"/>
  <c r="KG73" i="17"/>
  <c r="KF73" i="17"/>
  <c r="KN73" i="17"/>
  <c r="KM73" i="17"/>
  <c r="KL73" i="17"/>
  <c r="CY75" i="17"/>
  <c r="CX75" i="17"/>
  <c r="CW75" i="17"/>
  <c r="DD75" i="17"/>
  <c r="CV75" i="17"/>
  <c r="DB75" i="17"/>
  <c r="CZ75" i="17"/>
  <c r="DC75" i="17"/>
  <c r="DA75" i="17"/>
  <c r="HZ75" i="17"/>
  <c r="HW75" i="17"/>
  <c r="HX75" i="17"/>
  <c r="HV75" i="17"/>
  <c r="HU75" i="17"/>
  <c r="HT75" i="17"/>
  <c r="IB75" i="17"/>
  <c r="IA75" i="17"/>
  <c r="HY75" i="17"/>
  <c r="MW75" i="17"/>
  <c r="MU75" i="17"/>
  <c r="MS75" i="17"/>
  <c r="MX75" i="17"/>
  <c r="MV75" i="17"/>
  <c r="MT75" i="17"/>
  <c r="MR75" i="17"/>
  <c r="MZ75" i="17"/>
  <c r="MY75" i="17"/>
  <c r="EG76" i="17"/>
  <c r="EF76" i="17"/>
  <c r="EE76" i="17"/>
  <c r="ED76" i="17"/>
  <c r="EC76" i="17"/>
  <c r="EJ76" i="17"/>
  <c r="EI76" i="17"/>
  <c r="EH76" i="17"/>
  <c r="EB76" i="17"/>
  <c r="JG76" i="17"/>
  <c r="IZ76" i="17"/>
  <c r="JH76" i="17"/>
  <c r="JE76" i="17"/>
  <c r="JF76" i="17"/>
  <c r="JD76" i="17"/>
  <c r="JC76" i="17"/>
  <c r="JB76" i="17"/>
  <c r="JA76" i="17"/>
  <c r="OD76" i="17"/>
  <c r="OB76" i="17"/>
  <c r="NZ76" i="17"/>
  <c r="NX76" i="17"/>
  <c r="OF76" i="17"/>
  <c r="OE76" i="17"/>
  <c r="OC76" i="17"/>
  <c r="OA76" i="17"/>
  <c r="NY76" i="17"/>
  <c r="KM85" i="17"/>
  <c r="KK85" i="17"/>
  <c r="KJ85" i="17"/>
  <c r="KI85" i="17"/>
  <c r="KH85" i="17"/>
  <c r="KG85" i="17"/>
  <c r="KF85" i="17"/>
  <c r="KN85" i="17"/>
  <c r="KL85" i="17"/>
  <c r="BU86" i="17"/>
  <c r="BT86" i="17"/>
  <c r="BS86" i="17"/>
  <c r="BR86" i="17"/>
  <c r="BW86" i="17"/>
  <c r="BV86" i="17"/>
  <c r="BQ86" i="17"/>
  <c r="BP86" i="17"/>
  <c r="BX86" i="17"/>
  <c r="LS86" i="17"/>
  <c r="LO86" i="17"/>
  <c r="LN86" i="17"/>
  <c r="LM86" i="17"/>
  <c r="LL86" i="17"/>
  <c r="LT86" i="17"/>
  <c r="LR86" i="17"/>
  <c r="LQ86" i="17"/>
  <c r="LP86" i="17"/>
  <c r="DB88" i="17"/>
  <c r="DA88" i="17"/>
  <c r="CZ88" i="17"/>
  <c r="CY88" i="17"/>
  <c r="CW88" i="17"/>
  <c r="CV88" i="17"/>
  <c r="DD88" i="17"/>
  <c r="DC88" i="17"/>
  <c r="CX88" i="17"/>
  <c r="HU88" i="17"/>
  <c r="HX88" i="17"/>
  <c r="HT88" i="17"/>
  <c r="IB88" i="17"/>
  <c r="IA88" i="17"/>
  <c r="HZ88" i="17"/>
  <c r="HY88" i="17"/>
  <c r="HW88" i="17"/>
  <c r="HV88" i="17"/>
  <c r="MZ88" i="17"/>
  <c r="MR88" i="17"/>
  <c r="MX88" i="17"/>
  <c r="MV88" i="17"/>
  <c r="MY88" i="17"/>
  <c r="MW88" i="17"/>
  <c r="MU88" i="17"/>
  <c r="MT88" i="17"/>
  <c r="MS88" i="17"/>
  <c r="EJ93" i="17"/>
  <c r="EB93" i="17"/>
  <c r="EG93" i="17"/>
  <c r="EF93" i="17"/>
  <c r="EE93" i="17"/>
  <c r="ED93" i="17"/>
  <c r="EI93" i="17"/>
  <c r="EH93" i="17"/>
  <c r="EC93" i="17"/>
  <c r="JB93" i="17"/>
  <c r="IZ93" i="17"/>
  <c r="JH93" i="17"/>
  <c r="JG93" i="17"/>
  <c r="JF93" i="17"/>
  <c r="JA93" i="17"/>
  <c r="JE93" i="17"/>
  <c r="JD93" i="17"/>
  <c r="JC93" i="17"/>
  <c r="NY93" i="17"/>
  <c r="OE93" i="17"/>
  <c r="OC93" i="17"/>
  <c r="OD93" i="17"/>
  <c r="OB93" i="17"/>
  <c r="OA93" i="17"/>
  <c r="NZ93" i="17"/>
  <c r="NX93" i="17"/>
  <c r="OF93" i="17"/>
  <c r="KI94" i="17"/>
  <c r="KL94" i="17"/>
  <c r="KK94" i="17"/>
  <c r="KJ94" i="17"/>
  <c r="KH94" i="17"/>
  <c r="KG94" i="17"/>
  <c r="KF94" i="17"/>
  <c r="KN94" i="17"/>
  <c r="KM94" i="17"/>
  <c r="BQ95" i="17"/>
  <c r="BX95" i="17"/>
  <c r="BP95" i="17"/>
  <c r="BW95" i="17"/>
  <c r="BV95" i="17"/>
  <c r="BS95" i="17"/>
  <c r="BR95" i="17"/>
  <c r="BU95" i="17"/>
  <c r="BT95" i="17"/>
  <c r="LO95" i="17"/>
  <c r="LP95" i="17"/>
  <c r="LN95" i="17"/>
  <c r="LM95" i="17"/>
  <c r="LL95" i="17"/>
  <c r="LT95" i="17"/>
  <c r="LS95" i="17"/>
  <c r="LR95" i="17"/>
  <c r="LQ95" i="17"/>
  <c r="CY96" i="17"/>
  <c r="CZ96" i="17"/>
  <c r="CX96" i="17"/>
  <c r="CW96" i="17"/>
  <c r="CV96" i="17"/>
  <c r="DC96" i="17"/>
  <c r="DD96" i="17"/>
  <c r="DB96" i="17"/>
  <c r="DA96" i="17"/>
  <c r="HY96" i="17"/>
  <c r="HX96" i="17"/>
  <c r="IA96" i="17"/>
  <c r="HZ96" i="17"/>
  <c r="HW96" i="17"/>
  <c r="HV96" i="17"/>
  <c r="HU96" i="17"/>
  <c r="IB96" i="17"/>
  <c r="HT96" i="17"/>
  <c r="MV96" i="17"/>
  <c r="MT96" i="17"/>
  <c r="MZ96" i="17"/>
  <c r="MR96" i="17"/>
  <c r="MS96" i="17"/>
  <c r="MY96" i="17"/>
  <c r="MX96" i="17"/>
  <c r="MU96" i="17"/>
  <c r="MW96" i="17"/>
  <c r="BB102" i="17"/>
  <c r="BH102" i="17"/>
  <c r="BG102" i="17"/>
  <c r="BC102" i="17"/>
  <c r="BA102" i="17"/>
  <c r="AZ102" i="17"/>
  <c r="BF102" i="17"/>
  <c r="BE102" i="17"/>
  <c r="BD102" i="17"/>
  <c r="KZ102" i="17"/>
  <c r="KW102" i="17"/>
  <c r="KV102" i="17"/>
  <c r="LD102" i="17"/>
  <c r="LC102" i="17"/>
  <c r="LB102" i="17"/>
  <c r="LA102" i="17"/>
  <c r="KY102" i="17"/>
  <c r="KX102" i="17"/>
  <c r="EH103" i="17"/>
  <c r="EE103" i="17"/>
  <c r="EI103" i="17"/>
  <c r="EG103" i="17"/>
  <c r="EF103" i="17"/>
  <c r="ED103" i="17"/>
  <c r="EC103" i="17"/>
  <c r="EB103" i="17"/>
  <c r="EJ103" i="17"/>
  <c r="JE103" i="17"/>
  <c r="JA103" i="17"/>
  <c r="IZ103" i="17"/>
  <c r="JH103" i="17"/>
  <c r="JG103" i="17"/>
  <c r="JF103" i="17"/>
  <c r="JD103" i="17"/>
  <c r="JC103" i="17"/>
  <c r="JB103" i="17"/>
  <c r="OB103" i="17"/>
  <c r="NZ103" i="17"/>
  <c r="OF103" i="17"/>
  <c r="NX103" i="17"/>
  <c r="OE103" i="17"/>
  <c r="OD103" i="17"/>
  <c r="OC103" i="17"/>
  <c r="NY103" i="17"/>
  <c r="OA103" i="17"/>
  <c r="CH104" i="17"/>
  <c r="CG104" i="17"/>
  <c r="CN104" i="17"/>
  <c r="CF104" i="17"/>
  <c r="CM104" i="17"/>
  <c r="CK104" i="17"/>
  <c r="CI104" i="17"/>
  <c r="CL104" i="17"/>
  <c r="CJ104" i="17"/>
  <c r="HG104" i="17"/>
  <c r="HI104" i="17"/>
  <c r="HH104" i="17"/>
  <c r="HD104" i="17"/>
  <c r="HL104" i="17"/>
  <c r="HK104" i="17"/>
  <c r="HJ104" i="17"/>
  <c r="HF104" i="17"/>
  <c r="HE104" i="17"/>
  <c r="MF104" i="17"/>
  <c r="MD104" i="17"/>
  <c r="MJ104" i="17"/>
  <c r="MB104" i="17"/>
  <c r="MG104" i="17"/>
  <c r="ME104" i="17"/>
  <c r="MC104" i="17"/>
  <c r="MI104" i="17"/>
  <c r="MH104" i="17"/>
  <c r="JT65" i="13"/>
  <c r="JS65" i="13"/>
  <c r="JR65" i="13"/>
  <c r="JQ65" i="13"/>
  <c r="JX65" i="13"/>
  <c r="JP65" i="13"/>
  <c r="JV65" i="13"/>
  <c r="JU65" i="13"/>
  <c r="JW65" i="13"/>
  <c r="KK93" i="13"/>
  <c r="KJ93" i="13"/>
  <c r="KI93" i="13"/>
  <c r="KH93" i="13"/>
  <c r="KG93" i="13"/>
  <c r="KL93" i="13"/>
  <c r="KF93" i="13"/>
  <c r="KN93" i="13"/>
  <c r="KM93" i="13"/>
  <c r="LS69" i="13"/>
  <c r="LR69" i="13"/>
  <c r="LQ69" i="13"/>
  <c r="LP69" i="13"/>
  <c r="LO69" i="13"/>
  <c r="LT69" i="13"/>
  <c r="LN69" i="13"/>
  <c r="LM69" i="13"/>
  <c r="LL69" i="13"/>
  <c r="MJ102" i="13"/>
  <c r="MB102" i="13"/>
  <c r="MH102" i="13"/>
  <c r="MG102" i="13"/>
  <c r="MF102" i="13"/>
  <c r="ME102" i="13"/>
  <c r="MD102" i="13"/>
  <c r="MI102" i="13"/>
  <c r="MC102" i="13"/>
  <c r="MS69" i="13"/>
  <c r="MY69" i="13"/>
  <c r="MX69" i="13"/>
  <c r="MW69" i="13"/>
  <c r="MV69" i="13"/>
  <c r="MU69" i="13"/>
  <c r="MT69" i="13"/>
  <c r="MR69" i="13"/>
  <c r="MZ69" i="13"/>
  <c r="NL65" i="13"/>
  <c r="NP65" i="13"/>
  <c r="NM65" i="13"/>
  <c r="NK65" i="13"/>
  <c r="NJ65" i="13"/>
  <c r="NI65" i="13"/>
  <c r="NH65" i="13"/>
  <c r="NN65" i="13"/>
  <c r="NO65" i="13"/>
  <c r="OC93" i="13"/>
  <c r="OA93" i="13"/>
  <c r="OD93" i="13"/>
  <c r="OE93" i="13"/>
  <c r="OB93" i="13"/>
  <c r="NZ93" i="13"/>
  <c r="NY93" i="13"/>
  <c r="NX93" i="13"/>
  <c r="OF93" i="13"/>
  <c r="CM66" i="15"/>
  <c r="CJ66" i="15"/>
  <c r="CI66" i="15"/>
  <c r="CN66" i="15"/>
  <c r="CL66" i="15"/>
  <c r="CF66" i="15"/>
  <c r="CK66" i="15"/>
  <c r="CH66" i="15"/>
  <c r="CG66" i="15"/>
  <c r="JC69" i="13"/>
  <c r="JA69" i="13"/>
  <c r="JH69" i="13"/>
  <c r="IZ69" i="13"/>
  <c r="JG69" i="13"/>
  <c r="JF69" i="13"/>
  <c r="JE69" i="13"/>
  <c r="JD69" i="13"/>
  <c r="JB69" i="13"/>
  <c r="JS66" i="13"/>
  <c r="JR66" i="13"/>
  <c r="JQ66" i="13"/>
  <c r="JX66" i="13"/>
  <c r="JP66" i="13"/>
  <c r="JW66" i="13"/>
  <c r="JV66" i="13"/>
  <c r="JU66" i="13"/>
  <c r="JT66" i="13"/>
  <c r="JS103" i="13"/>
  <c r="JR103" i="13"/>
  <c r="JQ103" i="13"/>
  <c r="JX103" i="13"/>
  <c r="JP103" i="13"/>
  <c r="JW103" i="13"/>
  <c r="JT103" i="13"/>
  <c r="JV103" i="13"/>
  <c r="JU103" i="13"/>
  <c r="KJ94" i="13"/>
  <c r="KI94" i="13"/>
  <c r="KH94" i="13"/>
  <c r="KG94" i="13"/>
  <c r="KN94" i="13"/>
  <c r="KF94" i="13"/>
  <c r="KM94" i="13"/>
  <c r="KL94" i="13"/>
  <c r="KK94" i="13"/>
  <c r="LA103" i="13"/>
  <c r="KZ103" i="13"/>
  <c r="KY103" i="13"/>
  <c r="KX103" i="13"/>
  <c r="KW103" i="13"/>
  <c r="KV103" i="13"/>
  <c r="LD103" i="13"/>
  <c r="LC103" i="13"/>
  <c r="LB103" i="13"/>
  <c r="LR94" i="13"/>
  <c r="LQ94" i="13"/>
  <c r="LP94" i="13"/>
  <c r="LO94" i="13"/>
  <c r="LN94" i="13"/>
  <c r="LT94" i="13"/>
  <c r="LS94" i="13"/>
  <c r="LM94" i="13"/>
  <c r="LL94" i="13"/>
  <c r="MI85" i="13"/>
  <c r="MH85" i="13"/>
  <c r="MG85" i="13"/>
  <c r="MF85" i="13"/>
  <c r="ME85" i="13"/>
  <c r="MJ85" i="13"/>
  <c r="MD85" i="13"/>
  <c r="MC85" i="13"/>
  <c r="MB85" i="13"/>
  <c r="MI103" i="13"/>
  <c r="MH103" i="13"/>
  <c r="MG103" i="13"/>
  <c r="MF103" i="13"/>
  <c r="ME103" i="13"/>
  <c r="MD103" i="13"/>
  <c r="MJ103" i="13"/>
  <c r="MC103" i="13"/>
  <c r="MB103" i="13"/>
  <c r="MT94" i="13"/>
  <c r="MY94" i="13"/>
  <c r="MX94" i="13"/>
  <c r="MW94" i="13"/>
  <c r="MV94" i="13"/>
  <c r="MU94" i="13"/>
  <c r="MS94" i="13"/>
  <c r="MR94" i="13"/>
  <c r="MZ94" i="13"/>
  <c r="NK103" i="13"/>
  <c r="NI103" i="13"/>
  <c r="NL103" i="13"/>
  <c r="NP103" i="13"/>
  <c r="NO103" i="13"/>
  <c r="NN103" i="13"/>
  <c r="NM103" i="13"/>
  <c r="NJ103" i="13"/>
  <c r="NH103" i="13"/>
  <c r="OB94" i="13"/>
  <c r="OA94" i="13"/>
  <c r="OD94" i="13"/>
  <c r="OF94" i="13"/>
  <c r="OE94" i="13"/>
  <c r="OC94" i="13"/>
  <c r="NZ94" i="13"/>
  <c r="NY94" i="13"/>
  <c r="NX94" i="13"/>
  <c r="BS65" i="15"/>
  <c r="BW65" i="15"/>
  <c r="BP65" i="15"/>
  <c r="BT65" i="15"/>
  <c r="BR65" i="15"/>
  <c r="BQ65" i="15"/>
  <c r="BX65" i="15"/>
  <c r="BV65" i="15"/>
  <c r="BU65" i="15"/>
  <c r="LQ65" i="15"/>
  <c r="LO65" i="15"/>
  <c r="LT65" i="15"/>
  <c r="LS65" i="15"/>
  <c r="LR65" i="15"/>
  <c r="LP65" i="15"/>
  <c r="LN65" i="15"/>
  <c r="LM65" i="15"/>
  <c r="LL65" i="15"/>
  <c r="FJ68" i="15"/>
  <c r="FI68" i="15"/>
  <c r="FP68" i="15"/>
  <c r="FH68" i="15"/>
  <c r="FO68" i="15"/>
  <c r="FN68" i="15"/>
  <c r="FM68" i="15"/>
  <c r="FL68" i="15"/>
  <c r="FK68" i="15"/>
  <c r="BW69" i="15"/>
  <c r="BX69" i="15"/>
  <c r="BQ69" i="15"/>
  <c r="BT69" i="15"/>
  <c r="BS69" i="15"/>
  <c r="BR69" i="15"/>
  <c r="BP69" i="15"/>
  <c r="BV69" i="15"/>
  <c r="BU69" i="15"/>
  <c r="LM69" i="15"/>
  <c r="LS69" i="15"/>
  <c r="LQ69" i="15"/>
  <c r="LP69" i="15"/>
  <c r="LO69" i="15"/>
  <c r="LN69" i="15"/>
  <c r="LL69" i="15"/>
  <c r="LT69" i="15"/>
  <c r="LR69" i="15"/>
  <c r="JW73" i="15"/>
  <c r="JV73" i="15"/>
  <c r="JQ73" i="15"/>
  <c r="JP73" i="15"/>
  <c r="JX73" i="15"/>
  <c r="JU73" i="15"/>
  <c r="JT73" i="15"/>
  <c r="JR73" i="15"/>
  <c r="JS73" i="15"/>
  <c r="BH75" i="15"/>
  <c r="AZ75" i="15"/>
  <c r="BE75" i="15"/>
  <c r="BG75" i="15"/>
  <c r="BF75" i="15"/>
  <c r="BD75" i="15"/>
  <c r="BC75" i="15"/>
  <c r="BB75" i="15"/>
  <c r="BA75" i="15"/>
  <c r="GF75" i="15"/>
  <c r="FX75" i="15"/>
  <c r="FZ75" i="15"/>
  <c r="FY75" i="15"/>
  <c r="GE75" i="15"/>
  <c r="GD75" i="15"/>
  <c r="GC75" i="15"/>
  <c r="GB75" i="15"/>
  <c r="GA75" i="15"/>
  <c r="KX75" i="15"/>
  <c r="KY75" i="15"/>
  <c r="KW75" i="15"/>
  <c r="KV75" i="15"/>
  <c r="LD75" i="15"/>
  <c r="LC75" i="15"/>
  <c r="LB75" i="15"/>
  <c r="LA75" i="15"/>
  <c r="KZ75" i="15"/>
  <c r="OE76" i="15"/>
  <c r="NZ76" i="15"/>
  <c r="NX76" i="15"/>
  <c r="OF76" i="15"/>
  <c r="OD76" i="15"/>
  <c r="OC76" i="15"/>
  <c r="OB76" i="15"/>
  <c r="OA76" i="15"/>
  <c r="NY76" i="15"/>
  <c r="CN85" i="15"/>
  <c r="CF85" i="15"/>
  <c r="CK85" i="15"/>
  <c r="CJ85" i="15"/>
  <c r="CM85" i="15"/>
  <c r="CG85" i="15"/>
  <c r="CL85" i="15"/>
  <c r="CI85" i="15"/>
  <c r="CH85" i="15"/>
  <c r="HK85" i="15"/>
  <c r="HJ85" i="15"/>
  <c r="HI85" i="15"/>
  <c r="HH85" i="15"/>
  <c r="HG85" i="15"/>
  <c r="HF85" i="15"/>
  <c r="HE85" i="15"/>
  <c r="HD85" i="15"/>
  <c r="HL85" i="15"/>
  <c r="MC85" i="15"/>
  <c r="MI85" i="15"/>
  <c r="ME85" i="15"/>
  <c r="MD85" i="15"/>
  <c r="MB85" i="15"/>
  <c r="MJ85" i="15"/>
  <c r="MH85" i="15"/>
  <c r="MG85" i="15"/>
  <c r="MF85" i="15"/>
  <c r="FO86" i="15"/>
  <c r="FH86" i="15"/>
  <c r="FP86" i="15"/>
  <c r="FN86" i="15"/>
  <c r="FM86" i="15"/>
  <c r="FL86" i="15"/>
  <c r="FK86" i="15"/>
  <c r="FI86" i="15"/>
  <c r="FJ86" i="15"/>
  <c r="KG86" i="15"/>
  <c r="KF86" i="15"/>
  <c r="KN86" i="15"/>
  <c r="KM86" i="15"/>
  <c r="KL86" i="15"/>
  <c r="KH86" i="15"/>
  <c r="KI86" i="15"/>
  <c r="KK86" i="15"/>
  <c r="KJ86" i="15"/>
  <c r="DR88" i="15"/>
  <c r="DO88" i="15"/>
  <c r="DN88" i="15"/>
  <c r="DT88" i="15"/>
  <c r="DS88" i="15"/>
  <c r="DP88" i="15"/>
  <c r="DM88" i="15"/>
  <c r="DL88" i="15"/>
  <c r="DQ88" i="15"/>
  <c r="NN88" i="15"/>
  <c r="NH88" i="15"/>
  <c r="NO88" i="15"/>
  <c r="NM88" i="15"/>
  <c r="NL88" i="15"/>
  <c r="NI88" i="15"/>
  <c r="NP88" i="15"/>
  <c r="NK88" i="15"/>
  <c r="NJ88" i="15"/>
  <c r="EV93" i="15"/>
  <c r="ES93" i="15"/>
  <c r="EZ93" i="15"/>
  <c r="ER93" i="15"/>
  <c r="EX93" i="15"/>
  <c r="EW93" i="15"/>
  <c r="EU93" i="15"/>
  <c r="EY93" i="15"/>
  <c r="ET93" i="15"/>
  <c r="JX93" i="15"/>
  <c r="JP93" i="15"/>
  <c r="JW93" i="15"/>
  <c r="JR93" i="15"/>
  <c r="JQ93" i="15"/>
  <c r="JV93" i="15"/>
  <c r="JU93" i="15"/>
  <c r="JT93" i="15"/>
  <c r="JS93" i="15"/>
  <c r="BA94" i="15"/>
  <c r="BF94" i="15"/>
  <c r="BH94" i="15"/>
  <c r="BG94" i="15"/>
  <c r="BE94" i="15"/>
  <c r="BD94" i="15"/>
  <c r="BC94" i="15"/>
  <c r="BB94" i="15"/>
  <c r="AZ94" i="15"/>
  <c r="FY94" i="15"/>
  <c r="GA94" i="15"/>
  <c r="FZ94" i="15"/>
  <c r="FX94" i="15"/>
  <c r="GF94" i="15"/>
  <c r="GE94" i="15"/>
  <c r="GD94" i="15"/>
  <c r="GC94" i="15"/>
  <c r="GB94" i="15"/>
  <c r="KY94" i="15"/>
  <c r="KZ94" i="15"/>
  <c r="KX94" i="15"/>
  <c r="KW94" i="15"/>
  <c r="KV94" i="15"/>
  <c r="LD94" i="15"/>
  <c r="LC94" i="15"/>
  <c r="LB94" i="15"/>
  <c r="LA94" i="15"/>
  <c r="CI95" i="15"/>
  <c r="CN95" i="15"/>
  <c r="CF95" i="15"/>
  <c r="CM95" i="15"/>
  <c r="CJ95" i="15"/>
  <c r="CH95" i="15"/>
  <c r="CG95" i="15"/>
  <c r="CL95" i="15"/>
  <c r="CK95" i="15"/>
  <c r="HF95" i="15"/>
  <c r="HK95" i="15"/>
  <c r="HJ95" i="15"/>
  <c r="HI95" i="15"/>
  <c r="HH95" i="15"/>
  <c r="HG95" i="15"/>
  <c r="HL95" i="15"/>
  <c r="HE95" i="15"/>
  <c r="HD95" i="15"/>
  <c r="MF95" i="15"/>
  <c r="MD95" i="15"/>
  <c r="MB95" i="15"/>
  <c r="MJ95" i="15"/>
  <c r="MI95" i="15"/>
  <c r="MH95" i="15"/>
  <c r="MG95" i="15"/>
  <c r="ME95" i="15"/>
  <c r="MC95" i="15"/>
  <c r="DN96" i="15"/>
  <c r="DS96" i="15"/>
  <c r="DR96" i="15"/>
  <c r="DL96" i="15"/>
  <c r="DQ96" i="15"/>
  <c r="DP96" i="15"/>
  <c r="DO96" i="15"/>
  <c r="DM96" i="15"/>
  <c r="DT96" i="15"/>
  <c r="IM96" i="15"/>
  <c r="IL96" i="15"/>
  <c r="IQ96" i="15"/>
  <c r="IP96" i="15"/>
  <c r="IO96" i="15"/>
  <c r="IN96" i="15"/>
  <c r="IK96" i="15"/>
  <c r="IR96" i="15"/>
  <c r="IJ96" i="15"/>
  <c r="NJ96" i="15"/>
  <c r="NH96" i="15"/>
  <c r="NO96" i="15"/>
  <c r="NN96" i="15"/>
  <c r="NM96" i="15"/>
  <c r="NL96" i="15"/>
  <c r="NP96" i="15"/>
  <c r="NK96" i="15"/>
  <c r="NI96" i="15"/>
  <c r="EZ102" i="15"/>
  <c r="ER102" i="15"/>
  <c r="EW102" i="15"/>
  <c r="EV102" i="15"/>
  <c r="EY102" i="15"/>
  <c r="EX102" i="15"/>
  <c r="ET102" i="15"/>
  <c r="ES102" i="15"/>
  <c r="EU102" i="15"/>
  <c r="JT102" i="15"/>
  <c r="JS102" i="15"/>
  <c r="JX102" i="15"/>
  <c r="JW102" i="15"/>
  <c r="JV102" i="15"/>
  <c r="JU102" i="15"/>
  <c r="JR102" i="15"/>
  <c r="JP102" i="15"/>
  <c r="JQ102" i="15"/>
  <c r="BE103" i="15"/>
  <c r="BG103" i="15"/>
  <c r="AZ103" i="15"/>
  <c r="BH103" i="15"/>
  <c r="BF103" i="15"/>
  <c r="BD103" i="15"/>
  <c r="BC103" i="15"/>
  <c r="BB103" i="15"/>
  <c r="BA103" i="15"/>
  <c r="GC103" i="15"/>
  <c r="GA103" i="15"/>
  <c r="FZ103" i="15"/>
  <c r="FY103" i="15"/>
  <c r="FX103" i="15"/>
  <c r="GF103" i="15"/>
  <c r="GE103" i="15"/>
  <c r="GD103" i="15"/>
  <c r="GB103" i="15"/>
  <c r="LC103" i="15"/>
  <c r="LA103" i="15"/>
  <c r="LB103" i="15"/>
  <c r="KZ103" i="15"/>
  <c r="KY103" i="15"/>
  <c r="KX103" i="15"/>
  <c r="KW103" i="15"/>
  <c r="KV103" i="15"/>
  <c r="LD103" i="15"/>
  <c r="CM104" i="15"/>
  <c r="CJ104" i="15"/>
  <c r="CI104" i="15"/>
  <c r="CL104" i="15"/>
  <c r="CK104" i="15"/>
  <c r="CH104" i="15"/>
  <c r="CG104" i="15"/>
  <c r="CF104" i="15"/>
  <c r="CN104" i="15"/>
  <c r="HJ104" i="15"/>
  <c r="HI104" i="15"/>
  <c r="HD104" i="15"/>
  <c r="HL104" i="15"/>
  <c r="HK104" i="15"/>
  <c r="HH104" i="15"/>
  <c r="HG104" i="15"/>
  <c r="HF104" i="15"/>
  <c r="HE104" i="15"/>
  <c r="MJ104" i="15"/>
  <c r="MB104" i="15"/>
  <c r="MH104" i="15"/>
  <c r="MI104" i="15"/>
  <c r="MG104" i="15"/>
  <c r="MF104" i="15"/>
  <c r="ME104" i="15"/>
  <c r="MD104" i="15"/>
  <c r="MC104" i="15"/>
  <c r="BC65" i="16"/>
  <c r="BH65" i="16"/>
  <c r="AZ65" i="16"/>
  <c r="BG65" i="16"/>
  <c r="BD65" i="16"/>
  <c r="BB65" i="16"/>
  <c r="BA65" i="16"/>
  <c r="BF65" i="16"/>
  <c r="BE65" i="16"/>
  <c r="GA65" i="16"/>
  <c r="GF65" i="16"/>
  <c r="FX65" i="16"/>
  <c r="FZ65" i="16"/>
  <c r="FY65" i="16"/>
  <c r="GE65" i="16"/>
  <c r="GD65" i="16"/>
  <c r="GC65" i="16"/>
  <c r="GB65" i="16"/>
  <c r="KZ65" i="16"/>
  <c r="KY65" i="16"/>
  <c r="KX65" i="16"/>
  <c r="KW65" i="16"/>
  <c r="LD65" i="16"/>
  <c r="KV65" i="16"/>
  <c r="LC65" i="16"/>
  <c r="LB65" i="16"/>
  <c r="LA65" i="16"/>
  <c r="CL66" i="16"/>
  <c r="CI66" i="16"/>
  <c r="CH66" i="16"/>
  <c r="CM66" i="16"/>
  <c r="CK66" i="16"/>
  <c r="CJ66" i="16"/>
  <c r="CG66" i="16"/>
  <c r="CF66" i="16"/>
  <c r="CN66" i="16"/>
  <c r="HK66" i="16"/>
  <c r="HJ66" i="16"/>
  <c r="HI66" i="16"/>
  <c r="HH66" i="16"/>
  <c r="HG66" i="16"/>
  <c r="HF66" i="16"/>
  <c r="HL66" i="16"/>
  <c r="HE66" i="16"/>
  <c r="HD66" i="16"/>
  <c r="MG66" i="16"/>
  <c r="MF66" i="16"/>
  <c r="ME66" i="16"/>
  <c r="MD66" i="16"/>
  <c r="MC66" i="16"/>
  <c r="MJ66" i="16"/>
  <c r="MB66" i="16"/>
  <c r="MI66" i="16"/>
  <c r="MH66" i="16"/>
  <c r="DN67" i="16"/>
  <c r="DM67" i="16"/>
  <c r="DT67" i="16"/>
  <c r="DL67" i="16"/>
  <c r="DS67" i="16"/>
  <c r="DR67" i="16"/>
  <c r="DQ67" i="16"/>
  <c r="DP67" i="16"/>
  <c r="DO67" i="16"/>
  <c r="IM67" i="16"/>
  <c r="IL67" i="16"/>
  <c r="IK67" i="16"/>
  <c r="IR67" i="16"/>
  <c r="IJ67" i="16"/>
  <c r="IQ67" i="16"/>
  <c r="IP67" i="16"/>
  <c r="IO67" i="16"/>
  <c r="IN67" i="16"/>
  <c r="NO67" i="16"/>
  <c r="NN67" i="16"/>
  <c r="NM67" i="16"/>
  <c r="NL67" i="16"/>
  <c r="NJ67" i="16"/>
  <c r="NI67" i="16"/>
  <c r="NH67" i="16"/>
  <c r="NP67" i="16"/>
  <c r="NK67" i="16"/>
  <c r="EW68" i="16"/>
  <c r="ET68" i="16"/>
  <c r="EY68" i="16"/>
  <c r="EX68" i="16"/>
  <c r="EV68" i="16"/>
  <c r="EU68" i="16"/>
  <c r="ES68" i="16"/>
  <c r="EZ68" i="16"/>
  <c r="ER68" i="16"/>
  <c r="JU68" i="16"/>
  <c r="JT68" i="16"/>
  <c r="JS68" i="16"/>
  <c r="JR68" i="16"/>
  <c r="JQ68" i="16"/>
  <c r="JX68" i="16"/>
  <c r="JP68" i="16"/>
  <c r="JW68" i="16"/>
  <c r="JV68" i="16"/>
  <c r="BG69" i="16"/>
  <c r="BD69" i="16"/>
  <c r="BC69" i="16"/>
  <c r="BF69" i="16"/>
  <c r="BE69" i="16"/>
  <c r="BB69" i="16"/>
  <c r="BA69" i="16"/>
  <c r="AZ69" i="16"/>
  <c r="BH69" i="16"/>
  <c r="GE69" i="16"/>
  <c r="GB69" i="16"/>
  <c r="GF69" i="16"/>
  <c r="GD69" i="16"/>
  <c r="GC69" i="16"/>
  <c r="GA69" i="16"/>
  <c r="FY69" i="16"/>
  <c r="FX69" i="16"/>
  <c r="FZ69" i="16"/>
  <c r="LD69" i="16"/>
  <c r="KV69" i="16"/>
  <c r="LC69" i="16"/>
  <c r="LB69" i="16"/>
  <c r="LA69" i="16"/>
  <c r="KZ69" i="16"/>
  <c r="KY69" i="16"/>
  <c r="KX69" i="16"/>
  <c r="KW69" i="16"/>
  <c r="CH73" i="16"/>
  <c r="CM73" i="16"/>
  <c r="CL73" i="16"/>
  <c r="CN73" i="16"/>
  <c r="CK73" i="16"/>
  <c r="CJ73" i="16"/>
  <c r="CI73" i="16"/>
  <c r="CG73" i="16"/>
  <c r="CF73" i="16"/>
  <c r="HG73" i="16"/>
  <c r="HF73" i="16"/>
  <c r="HE73" i="16"/>
  <c r="HL73" i="16"/>
  <c r="HD73" i="16"/>
  <c r="HK73" i="16"/>
  <c r="HJ73" i="16"/>
  <c r="HI73" i="16"/>
  <c r="HH73" i="16"/>
  <c r="MC73" i="16"/>
  <c r="MJ73" i="16"/>
  <c r="MB73" i="16"/>
  <c r="MI73" i="16"/>
  <c r="MH73" i="16"/>
  <c r="MG73" i="16"/>
  <c r="MF73" i="16"/>
  <c r="ME73" i="16"/>
  <c r="MD73" i="16"/>
  <c r="ET75" i="16"/>
  <c r="EY75" i="16"/>
  <c r="ES75" i="16"/>
  <c r="ER75" i="16"/>
  <c r="EZ75" i="16"/>
  <c r="EX75" i="16"/>
  <c r="EW75" i="16"/>
  <c r="EV75" i="16"/>
  <c r="EU75" i="16"/>
  <c r="JR75" i="16"/>
  <c r="JQ75" i="16"/>
  <c r="JX75" i="16"/>
  <c r="JP75" i="16"/>
  <c r="JW75" i="16"/>
  <c r="JV75" i="16"/>
  <c r="JU75" i="16"/>
  <c r="JT75" i="16"/>
  <c r="JS75" i="16"/>
  <c r="BD76" i="16"/>
  <c r="BA76" i="16"/>
  <c r="BH76" i="16"/>
  <c r="AZ76" i="16"/>
  <c r="BE76" i="16"/>
  <c r="BC76" i="16"/>
  <c r="BB76" i="16"/>
  <c r="BG76" i="16"/>
  <c r="BF76" i="16"/>
  <c r="GB76" i="16"/>
  <c r="FY76" i="16"/>
  <c r="GA76" i="16"/>
  <c r="FZ76" i="16"/>
  <c r="FX76" i="16"/>
  <c r="GF76" i="16"/>
  <c r="GC76" i="16"/>
  <c r="GE76" i="16"/>
  <c r="GD76" i="16"/>
  <c r="LA76" i="16"/>
  <c r="KZ76" i="16"/>
  <c r="KY76" i="16"/>
  <c r="KX76" i="16"/>
  <c r="KW76" i="16"/>
  <c r="LD76" i="16"/>
  <c r="KV76" i="16"/>
  <c r="LC76" i="16"/>
  <c r="LB76" i="16"/>
  <c r="CL85" i="16"/>
  <c r="CK85" i="16"/>
  <c r="CJ85" i="16"/>
  <c r="CI85" i="16"/>
  <c r="CH85" i="16"/>
  <c r="CN85" i="16"/>
  <c r="CM85" i="16"/>
  <c r="CG85" i="16"/>
  <c r="CF85" i="16"/>
  <c r="HK85" i="16"/>
  <c r="HJ85" i="16"/>
  <c r="HI85" i="16"/>
  <c r="HH85" i="16"/>
  <c r="HG85" i="16"/>
  <c r="HF85" i="16"/>
  <c r="HL85" i="16"/>
  <c r="HE85" i="16"/>
  <c r="HD85" i="16"/>
  <c r="MG85" i="16"/>
  <c r="MF85" i="16"/>
  <c r="ME85" i="16"/>
  <c r="MD85" i="16"/>
  <c r="MC85" i="16"/>
  <c r="MJ85" i="16"/>
  <c r="MB85" i="16"/>
  <c r="MI85" i="16"/>
  <c r="MH85" i="16"/>
  <c r="DN86" i="16"/>
  <c r="DM86" i="16"/>
  <c r="DT86" i="16"/>
  <c r="DL86" i="16"/>
  <c r="DS86" i="16"/>
  <c r="DR86" i="16"/>
  <c r="DQ86" i="16"/>
  <c r="DP86" i="16"/>
  <c r="DO86" i="16"/>
  <c r="IM86" i="16"/>
  <c r="IL86" i="16"/>
  <c r="IK86" i="16"/>
  <c r="IR86" i="16"/>
  <c r="IJ86" i="16"/>
  <c r="IQ86" i="16"/>
  <c r="IP86" i="16"/>
  <c r="IN86" i="16"/>
  <c r="IO86" i="16"/>
  <c r="NO86" i="16"/>
  <c r="NN86" i="16"/>
  <c r="NM86" i="16"/>
  <c r="NL86" i="16"/>
  <c r="NJ86" i="16"/>
  <c r="NI86" i="16"/>
  <c r="NH86" i="16"/>
  <c r="NP86" i="16"/>
  <c r="NK86" i="16"/>
  <c r="EW88" i="16"/>
  <c r="ET88" i="16"/>
  <c r="EZ88" i="16"/>
  <c r="EY88" i="16"/>
  <c r="EX88" i="16"/>
  <c r="EV88" i="16"/>
  <c r="EU88" i="16"/>
  <c r="ES88" i="16"/>
  <c r="ER88" i="16"/>
  <c r="JW88" i="16"/>
  <c r="JV88" i="16"/>
  <c r="JU88" i="16"/>
  <c r="JT88" i="16"/>
  <c r="JX88" i="16"/>
  <c r="JS88" i="16"/>
  <c r="JR88" i="16"/>
  <c r="JQ88" i="16"/>
  <c r="JP88" i="16"/>
  <c r="CW93" i="16"/>
  <c r="DD93" i="16"/>
  <c r="CV93" i="16"/>
  <c r="DC93" i="16"/>
  <c r="DB93" i="16"/>
  <c r="DA93" i="16"/>
  <c r="CZ93" i="16"/>
  <c r="CY93" i="16"/>
  <c r="CX93" i="16"/>
  <c r="HW93" i="16"/>
  <c r="HV93" i="16"/>
  <c r="HU93" i="16"/>
  <c r="IB93" i="16"/>
  <c r="HT93" i="16"/>
  <c r="IA93" i="16"/>
  <c r="HZ93" i="16"/>
  <c r="HY93" i="16"/>
  <c r="HX93" i="16"/>
  <c r="MZ93" i="16"/>
  <c r="MR93" i="16"/>
  <c r="MY93" i="16"/>
  <c r="MX93" i="16"/>
  <c r="MW93" i="16"/>
  <c r="MU93" i="16"/>
  <c r="MV93" i="16"/>
  <c r="MT93" i="16"/>
  <c r="MS93" i="16"/>
  <c r="BF94" i="16"/>
  <c r="BC94" i="16"/>
  <c r="BB94" i="16"/>
  <c r="BA94" i="16"/>
  <c r="AZ94" i="16"/>
  <c r="BH94" i="16"/>
  <c r="BG94" i="16"/>
  <c r="BE94" i="16"/>
  <c r="BD94" i="16"/>
  <c r="GD94" i="16"/>
  <c r="GA94" i="16"/>
  <c r="FZ94" i="16"/>
  <c r="FY94" i="16"/>
  <c r="FX94" i="16"/>
  <c r="GF94" i="16"/>
  <c r="GC94" i="16"/>
  <c r="GB94" i="16"/>
  <c r="GE94" i="16"/>
  <c r="LC94" i="16"/>
  <c r="LB94" i="16"/>
  <c r="LA94" i="16"/>
  <c r="KZ94" i="16"/>
  <c r="KY94" i="16"/>
  <c r="KX94" i="16"/>
  <c r="KW94" i="16"/>
  <c r="LD94" i="16"/>
  <c r="KV94" i="16"/>
  <c r="JE95" i="16"/>
  <c r="JD95" i="16"/>
  <c r="JC95" i="16"/>
  <c r="JB95" i="16"/>
  <c r="JA95" i="16"/>
  <c r="JH95" i="16"/>
  <c r="IZ95" i="16"/>
  <c r="JG95" i="16"/>
  <c r="JF95" i="16"/>
  <c r="OF95" i="16"/>
  <c r="NX95" i="16"/>
  <c r="OE95" i="16"/>
  <c r="OD95" i="16"/>
  <c r="OC95" i="16"/>
  <c r="OA95" i="16"/>
  <c r="NZ95" i="16"/>
  <c r="NY95" i="16"/>
  <c r="OB95" i="16"/>
  <c r="MH96" i="16"/>
  <c r="MF96" i="16"/>
  <c r="ME96" i="16"/>
  <c r="MD96" i="16"/>
  <c r="MC96" i="16"/>
  <c r="MB96" i="16"/>
  <c r="MJ96" i="16"/>
  <c r="MI96" i="16"/>
  <c r="MG96" i="16"/>
  <c r="DR102" i="16"/>
  <c r="DQ102" i="16"/>
  <c r="DP102" i="16"/>
  <c r="DO102" i="16"/>
  <c r="DN102" i="16"/>
  <c r="DT102" i="16"/>
  <c r="DS102" i="16"/>
  <c r="DM102" i="16"/>
  <c r="DL102" i="16"/>
  <c r="IP102" i="16"/>
  <c r="IO102" i="16"/>
  <c r="IN102" i="16"/>
  <c r="IM102" i="16"/>
  <c r="IL102" i="16"/>
  <c r="IK102" i="16"/>
  <c r="IR102" i="16"/>
  <c r="IQ102" i="16"/>
  <c r="IJ102" i="16"/>
  <c r="NI102" i="16"/>
  <c r="NP102" i="16"/>
  <c r="NH102" i="16"/>
  <c r="NO102" i="16"/>
  <c r="NN102" i="16"/>
  <c r="NL102" i="16"/>
  <c r="NK102" i="16"/>
  <c r="NM102" i="16"/>
  <c r="NJ102" i="16"/>
  <c r="ES103" i="16"/>
  <c r="EX103" i="16"/>
  <c r="EW103" i="16"/>
  <c r="EV103" i="16"/>
  <c r="EU103" i="16"/>
  <c r="ET103" i="16"/>
  <c r="ER103" i="16"/>
  <c r="EZ103" i="16"/>
  <c r="EY103" i="16"/>
  <c r="JQ103" i="16"/>
  <c r="JX103" i="16"/>
  <c r="JP103" i="16"/>
  <c r="JW103" i="16"/>
  <c r="JV103" i="16"/>
  <c r="JS103" i="16"/>
  <c r="JR103" i="16"/>
  <c r="JU103" i="16"/>
  <c r="JT103" i="16"/>
  <c r="BC104" i="16"/>
  <c r="BH104" i="16"/>
  <c r="AZ104" i="16"/>
  <c r="BG104" i="16"/>
  <c r="BA104" i="16"/>
  <c r="BF104" i="16"/>
  <c r="BE104" i="16"/>
  <c r="BD104" i="16"/>
  <c r="BB104" i="16"/>
  <c r="GA104" i="16"/>
  <c r="GF104" i="16"/>
  <c r="FX104" i="16"/>
  <c r="GE104" i="16"/>
  <c r="GD104" i="16"/>
  <c r="GC104" i="16"/>
  <c r="GB104" i="16"/>
  <c r="FZ104" i="16"/>
  <c r="FY104" i="16"/>
  <c r="KX104" i="16"/>
  <c r="KW104" i="16"/>
  <c r="LD104" i="16"/>
  <c r="KV104" i="16"/>
  <c r="LC104" i="16"/>
  <c r="LB104" i="16"/>
  <c r="LA104" i="16"/>
  <c r="KZ104" i="16"/>
  <c r="KY104" i="16"/>
  <c r="EV65" i="17"/>
  <c r="EU65" i="17"/>
  <c r="EZ65" i="17"/>
  <c r="EY65" i="17"/>
  <c r="EX65" i="17"/>
  <c r="EW65" i="17"/>
  <c r="ET65" i="17"/>
  <c r="ER65" i="17"/>
  <c r="ES65" i="17"/>
  <c r="JS65" i="17"/>
  <c r="JQ65" i="17"/>
  <c r="JP65" i="17"/>
  <c r="JX65" i="17"/>
  <c r="JW65" i="17"/>
  <c r="JV65" i="17"/>
  <c r="JU65" i="17"/>
  <c r="JT65" i="17"/>
  <c r="JR65" i="17"/>
  <c r="BB66" i="17"/>
  <c r="BA66" i="17"/>
  <c r="BH66" i="17"/>
  <c r="AZ66" i="17"/>
  <c r="BG66" i="17"/>
  <c r="BF66" i="17"/>
  <c r="BE66" i="17"/>
  <c r="BD66" i="17"/>
  <c r="BC66" i="17"/>
  <c r="KZ66" i="17"/>
  <c r="KY66" i="17"/>
  <c r="KX66" i="17"/>
  <c r="LD66" i="17"/>
  <c r="LC66" i="17"/>
  <c r="LB66" i="17"/>
  <c r="LA66" i="17"/>
  <c r="KW66" i="17"/>
  <c r="KV66" i="17"/>
  <c r="CH67" i="17"/>
  <c r="CG67" i="17"/>
  <c r="CN67" i="17"/>
  <c r="CF67" i="17"/>
  <c r="CM67" i="17"/>
  <c r="CJ67" i="17"/>
  <c r="CI67" i="17"/>
  <c r="CL67" i="17"/>
  <c r="CK67" i="17"/>
  <c r="HG67" i="17"/>
  <c r="HF67" i="17"/>
  <c r="HE67" i="17"/>
  <c r="HK67" i="17"/>
  <c r="HJ67" i="17"/>
  <c r="HI67" i="17"/>
  <c r="HH67" i="17"/>
  <c r="HD67" i="17"/>
  <c r="HL67" i="17"/>
  <c r="MD67" i="17"/>
  <c r="MJ67" i="17"/>
  <c r="MB67" i="17"/>
  <c r="MI67" i="17"/>
  <c r="MF67" i="17"/>
  <c r="ME67" i="17"/>
  <c r="MC67" i="17"/>
  <c r="MH67" i="17"/>
  <c r="MG67" i="17"/>
  <c r="DP68" i="17"/>
  <c r="DT68" i="17"/>
  <c r="DS68" i="17"/>
  <c r="DN68" i="17"/>
  <c r="DM68" i="17"/>
  <c r="DL68" i="17"/>
  <c r="DR68" i="17"/>
  <c r="DQ68" i="17"/>
  <c r="DO68" i="17"/>
  <c r="IP68" i="17"/>
  <c r="IO68" i="17"/>
  <c r="IQ68" i="17"/>
  <c r="IN68" i="17"/>
  <c r="IM68" i="17"/>
  <c r="IL68" i="17"/>
  <c r="IK68" i="17"/>
  <c r="IR68" i="17"/>
  <c r="IJ68" i="17"/>
  <c r="NM68" i="17"/>
  <c r="NK68" i="17"/>
  <c r="NI68" i="17"/>
  <c r="NJ68" i="17"/>
  <c r="NH68" i="17"/>
  <c r="NP68" i="17"/>
  <c r="NO68" i="17"/>
  <c r="NN68" i="17"/>
  <c r="NL68" i="17"/>
  <c r="EZ69" i="17"/>
  <c r="ER69" i="17"/>
  <c r="EV69" i="17"/>
  <c r="EW69" i="17"/>
  <c r="EU69" i="17"/>
  <c r="ET69" i="17"/>
  <c r="ES69" i="17"/>
  <c r="EY69" i="17"/>
  <c r="EX69" i="17"/>
  <c r="JW69" i="17"/>
  <c r="JR69" i="17"/>
  <c r="JQ69" i="17"/>
  <c r="JP69" i="17"/>
  <c r="JX69" i="17"/>
  <c r="JV69" i="17"/>
  <c r="JU69" i="17"/>
  <c r="JT69" i="17"/>
  <c r="JS69" i="17"/>
  <c r="BF73" i="17"/>
  <c r="BE73" i="17"/>
  <c r="BD73" i="17"/>
  <c r="BC73" i="17"/>
  <c r="BB73" i="17"/>
  <c r="BA73" i="17"/>
  <c r="BH73" i="17"/>
  <c r="AZ73" i="17"/>
  <c r="BG73" i="17"/>
  <c r="LD73" i="17"/>
  <c r="KV73" i="17"/>
  <c r="LC73" i="17"/>
  <c r="LB73" i="17"/>
  <c r="KX73" i="17"/>
  <c r="KW73" i="17"/>
  <c r="LA73" i="17"/>
  <c r="KZ73" i="17"/>
  <c r="KY73" i="17"/>
  <c r="DM75" i="17"/>
  <c r="DT75" i="17"/>
  <c r="DS75" i="17"/>
  <c r="DL75" i="17"/>
  <c r="DR75" i="17"/>
  <c r="DQ75" i="17"/>
  <c r="DP75" i="17"/>
  <c r="DO75" i="17"/>
  <c r="DN75" i="17"/>
  <c r="IM75" i="17"/>
  <c r="IP75" i="17"/>
  <c r="IL75" i="17"/>
  <c r="IN75" i="17"/>
  <c r="IK75" i="17"/>
  <c r="IJ75" i="17"/>
  <c r="IR75" i="17"/>
  <c r="IQ75" i="17"/>
  <c r="IO75" i="17"/>
  <c r="NJ75" i="17"/>
  <c r="NP75" i="17"/>
  <c r="NH75" i="17"/>
  <c r="NN75" i="17"/>
  <c r="NI75" i="17"/>
  <c r="NO75" i="17"/>
  <c r="NM75" i="17"/>
  <c r="NL75" i="17"/>
  <c r="NK75" i="17"/>
  <c r="EW76" i="17"/>
  <c r="EV76" i="17"/>
  <c r="EZ76" i="17"/>
  <c r="EY76" i="17"/>
  <c r="EX76" i="17"/>
  <c r="EU76" i="17"/>
  <c r="ET76" i="17"/>
  <c r="ES76" i="17"/>
  <c r="ER76" i="17"/>
  <c r="JT76" i="17"/>
  <c r="JR76" i="17"/>
  <c r="JQ76" i="17"/>
  <c r="JP76" i="17"/>
  <c r="JX76" i="17"/>
  <c r="JW76" i="17"/>
  <c r="JV76" i="17"/>
  <c r="JU76" i="17"/>
  <c r="JS76" i="17"/>
  <c r="BB85" i="17"/>
  <c r="BA85" i="17"/>
  <c r="BH85" i="17"/>
  <c r="AZ85" i="17"/>
  <c r="BG85" i="17"/>
  <c r="BF85" i="17"/>
  <c r="BE85" i="17"/>
  <c r="BD85" i="17"/>
  <c r="BC85" i="17"/>
  <c r="KZ85" i="17"/>
  <c r="KY85" i="17"/>
  <c r="KX85" i="17"/>
  <c r="KW85" i="17"/>
  <c r="LB85" i="17"/>
  <c r="LA85" i="17"/>
  <c r="KV85" i="17"/>
  <c r="LD85" i="17"/>
  <c r="LC85" i="17"/>
  <c r="CH86" i="17"/>
  <c r="CG86" i="17"/>
  <c r="CN86" i="17"/>
  <c r="CF86" i="17"/>
  <c r="CM86" i="17"/>
  <c r="CL86" i="17"/>
  <c r="CK86" i="17"/>
  <c r="CJ86" i="17"/>
  <c r="CI86" i="17"/>
  <c r="HG86" i="17"/>
  <c r="HH86" i="17"/>
  <c r="HF86" i="17"/>
  <c r="HL86" i="17"/>
  <c r="HK86" i="17"/>
  <c r="HJ86" i="17"/>
  <c r="HI86" i="17"/>
  <c r="HE86" i="17"/>
  <c r="HD86" i="17"/>
  <c r="MD86" i="17"/>
  <c r="MJ86" i="17"/>
  <c r="MB86" i="17"/>
  <c r="MC86" i="17"/>
  <c r="MF86" i="17"/>
  <c r="ME86" i="17"/>
  <c r="MI86" i="17"/>
  <c r="MH86" i="17"/>
  <c r="MG86" i="17"/>
  <c r="DP88" i="17"/>
  <c r="DL88" i="17"/>
  <c r="DT88" i="17"/>
  <c r="DO88" i="17"/>
  <c r="DN88" i="17"/>
  <c r="DM88" i="17"/>
  <c r="DS88" i="17"/>
  <c r="DR88" i="17"/>
  <c r="DQ88" i="17"/>
  <c r="IP88" i="17"/>
  <c r="IQ88" i="17"/>
  <c r="IM88" i="17"/>
  <c r="IR88" i="17"/>
  <c r="IO88" i="17"/>
  <c r="IN88" i="17"/>
  <c r="IL88" i="17"/>
  <c r="IK88" i="17"/>
  <c r="IJ88" i="17"/>
  <c r="NM88" i="17"/>
  <c r="NK88" i="17"/>
  <c r="NI88" i="17"/>
  <c r="NO88" i="17"/>
  <c r="NN88" i="17"/>
  <c r="NL88" i="17"/>
  <c r="NJ88" i="17"/>
  <c r="NH88" i="17"/>
  <c r="NP88" i="17"/>
  <c r="EZ93" i="17"/>
  <c r="ER93" i="17"/>
  <c r="EW93" i="17"/>
  <c r="EV93" i="17"/>
  <c r="ES93" i="17"/>
  <c r="EU93" i="17"/>
  <c r="ET93" i="17"/>
  <c r="EY93" i="17"/>
  <c r="EX93" i="17"/>
  <c r="JW93" i="17"/>
  <c r="JS93" i="17"/>
  <c r="JR93" i="17"/>
  <c r="JQ93" i="17"/>
  <c r="JP93" i="17"/>
  <c r="JX93" i="17"/>
  <c r="JV93" i="17"/>
  <c r="JU93" i="17"/>
  <c r="JT93" i="17"/>
  <c r="BE94" i="17"/>
  <c r="BA94" i="17"/>
  <c r="AZ94" i="17"/>
  <c r="BH94" i="17"/>
  <c r="BG94" i="17"/>
  <c r="BF94" i="17"/>
  <c r="BD94" i="17"/>
  <c r="BC94" i="17"/>
  <c r="BB94" i="17"/>
  <c r="LC94" i="17"/>
  <c r="KW94" i="17"/>
  <c r="KV94" i="17"/>
  <c r="LD94" i="17"/>
  <c r="LB94" i="17"/>
  <c r="LA94" i="17"/>
  <c r="KZ94" i="17"/>
  <c r="KY94" i="17"/>
  <c r="KX94" i="17"/>
  <c r="CL95" i="17"/>
  <c r="CK95" i="17"/>
  <c r="CJ95" i="17"/>
  <c r="CI95" i="17"/>
  <c r="CG95" i="17"/>
  <c r="CN95" i="17"/>
  <c r="CM95" i="17"/>
  <c r="CH95" i="17"/>
  <c r="CF95" i="17"/>
  <c r="HK95" i="17"/>
  <c r="HH95" i="17"/>
  <c r="HG95" i="17"/>
  <c r="HD95" i="17"/>
  <c r="HE95" i="17"/>
  <c r="HL95" i="17"/>
  <c r="HJ95" i="17"/>
  <c r="HI95" i="17"/>
  <c r="HF95" i="17"/>
  <c r="MH95" i="17"/>
  <c r="MF95" i="17"/>
  <c r="MJ95" i="17"/>
  <c r="MI95" i="17"/>
  <c r="MG95" i="17"/>
  <c r="ME95" i="17"/>
  <c r="MD95" i="17"/>
  <c r="MC95" i="17"/>
  <c r="MB95" i="17"/>
  <c r="DT96" i="17"/>
  <c r="DL96" i="17"/>
  <c r="DM96" i="17"/>
  <c r="DP96" i="17"/>
  <c r="DO96" i="17"/>
  <c r="DN96" i="17"/>
  <c r="DS96" i="17"/>
  <c r="DR96" i="17"/>
  <c r="DQ96" i="17"/>
  <c r="IL96" i="17"/>
  <c r="IQ96" i="17"/>
  <c r="IN96" i="17"/>
  <c r="IR96" i="17"/>
  <c r="IP96" i="17"/>
  <c r="IO96" i="17"/>
  <c r="IM96" i="17"/>
  <c r="IK96" i="17"/>
  <c r="IJ96" i="17"/>
  <c r="NI96" i="17"/>
  <c r="NO96" i="17"/>
  <c r="NM96" i="17"/>
  <c r="NP96" i="17"/>
  <c r="NN96" i="17"/>
  <c r="NL96" i="17"/>
  <c r="NK96" i="17"/>
  <c r="NJ96" i="17"/>
  <c r="NH96" i="17"/>
  <c r="BW102" i="17"/>
  <c r="BV102" i="17"/>
  <c r="BU102" i="17"/>
  <c r="BT102" i="17"/>
  <c r="BQ102" i="17"/>
  <c r="BP102" i="17"/>
  <c r="BX102" i="17"/>
  <c r="BS102" i="17"/>
  <c r="BR102" i="17"/>
  <c r="LM102" i="17"/>
  <c r="LP102" i="17"/>
  <c r="LO102" i="17"/>
  <c r="LN102" i="17"/>
  <c r="LL102" i="17"/>
  <c r="LT102" i="17"/>
  <c r="LS102" i="17"/>
  <c r="LR102" i="17"/>
  <c r="LQ102" i="17"/>
  <c r="EU103" i="17"/>
  <c r="EX103" i="17"/>
  <c r="EW103" i="17"/>
  <c r="ES103" i="17"/>
  <c r="ET103" i="17"/>
  <c r="ER103" i="17"/>
  <c r="EZ103" i="17"/>
  <c r="EY103" i="17"/>
  <c r="EV103" i="17"/>
  <c r="JR103" i="17"/>
  <c r="JT103" i="17"/>
  <c r="JS103" i="17"/>
  <c r="JQ103" i="17"/>
  <c r="JP103" i="17"/>
  <c r="JX103" i="17"/>
  <c r="JW103" i="17"/>
  <c r="JV103" i="17"/>
  <c r="JU103" i="17"/>
  <c r="DD104" i="17"/>
  <c r="CV104" i="17"/>
  <c r="DC104" i="17"/>
  <c r="CZ104" i="17"/>
  <c r="CY104" i="17"/>
  <c r="CX104" i="17"/>
  <c r="CW104" i="17"/>
  <c r="DB104" i="17"/>
  <c r="DA104" i="17"/>
  <c r="HV104" i="17"/>
  <c r="HY104" i="17"/>
  <c r="HT104" i="17"/>
  <c r="IB104" i="17"/>
  <c r="IA104" i="17"/>
  <c r="HZ104" i="17"/>
  <c r="HX104" i="17"/>
  <c r="HW104" i="17"/>
  <c r="HU104" i="17"/>
  <c r="MS104" i="17"/>
  <c r="MY104" i="17"/>
  <c r="MW104" i="17"/>
  <c r="MR104" i="17"/>
  <c r="MZ104" i="17"/>
  <c r="MX104" i="17"/>
  <c r="MV104" i="17"/>
  <c r="MU104" i="17"/>
  <c r="MT104" i="17"/>
  <c r="JU76" i="13"/>
  <c r="JT76" i="13"/>
  <c r="JS76" i="13"/>
  <c r="JR76" i="13"/>
  <c r="JQ76" i="13"/>
  <c r="JW76" i="13"/>
  <c r="JV76" i="13"/>
  <c r="JP76" i="13"/>
  <c r="JX76" i="13"/>
  <c r="LB65" i="13"/>
  <c r="LA65" i="13"/>
  <c r="KZ65" i="13"/>
  <c r="KY65" i="13"/>
  <c r="KX65" i="13"/>
  <c r="LC65" i="13"/>
  <c r="KW65" i="13"/>
  <c r="KV65" i="13"/>
  <c r="LD65" i="13"/>
  <c r="LS93" i="13"/>
  <c r="LR93" i="13"/>
  <c r="LQ93" i="13"/>
  <c r="LP93" i="13"/>
  <c r="LO93" i="13"/>
  <c r="LN93" i="13"/>
  <c r="LM93" i="13"/>
  <c r="LL93" i="13"/>
  <c r="LT93" i="13"/>
  <c r="OC69" i="13"/>
  <c r="NZ69" i="13"/>
  <c r="OB69" i="13"/>
  <c r="OD69" i="13"/>
  <c r="OA69" i="13"/>
  <c r="NY69" i="13"/>
  <c r="NX69" i="13"/>
  <c r="OF69" i="13"/>
  <c r="OE69" i="13"/>
  <c r="BF65" i="15"/>
  <c r="BD65" i="15"/>
  <c r="BG65" i="15"/>
  <c r="BC65" i="15"/>
  <c r="BB65" i="15"/>
  <c r="BA65" i="15"/>
  <c r="AZ65" i="15"/>
  <c r="BH65" i="15"/>
  <c r="BE65" i="15"/>
  <c r="MC66" i="15"/>
  <c r="MI66" i="15"/>
  <c r="MB66" i="15"/>
  <c r="MJ66" i="15"/>
  <c r="MH66" i="15"/>
  <c r="MG66" i="15"/>
  <c r="MF66" i="15"/>
  <c r="ME66" i="15"/>
  <c r="MD66" i="15"/>
  <c r="JC93" i="13"/>
  <c r="JB93" i="13"/>
  <c r="JA93" i="13"/>
  <c r="JH93" i="13"/>
  <c r="IZ93" i="13"/>
  <c r="JG93" i="13"/>
  <c r="JE93" i="13"/>
  <c r="JD93" i="13"/>
  <c r="JF93" i="13"/>
  <c r="JS85" i="13"/>
  <c r="JR85" i="13"/>
  <c r="JQ85" i="13"/>
  <c r="JX85" i="13"/>
  <c r="JP85" i="13"/>
  <c r="JW85" i="13"/>
  <c r="JV85" i="13"/>
  <c r="JU85" i="13"/>
  <c r="JT85" i="13"/>
  <c r="KJ73" i="13"/>
  <c r="KI73" i="13"/>
  <c r="KH73" i="13"/>
  <c r="KG73" i="13"/>
  <c r="KN73" i="13"/>
  <c r="KF73" i="13"/>
  <c r="KK73" i="13"/>
  <c r="KM73" i="13"/>
  <c r="KL73" i="13"/>
  <c r="LA66" i="13"/>
  <c r="KZ66" i="13"/>
  <c r="KY66" i="13"/>
  <c r="KX66" i="13"/>
  <c r="KW66" i="13"/>
  <c r="LD66" i="13"/>
  <c r="LC66" i="13"/>
  <c r="LB66" i="13"/>
  <c r="KV66" i="13"/>
  <c r="LA85" i="13"/>
  <c r="KZ85" i="13"/>
  <c r="KY85" i="13"/>
  <c r="KX85" i="13"/>
  <c r="KW85" i="13"/>
  <c r="LD85" i="13"/>
  <c r="LC85" i="13"/>
  <c r="LB85" i="13"/>
  <c r="KV85" i="13"/>
  <c r="LR73" i="13"/>
  <c r="LQ73" i="13"/>
  <c r="LP73" i="13"/>
  <c r="LO73" i="13"/>
  <c r="LN73" i="13"/>
  <c r="LM73" i="13"/>
  <c r="LL73" i="13"/>
  <c r="LT73" i="13"/>
  <c r="LS73" i="13"/>
  <c r="MI66" i="13"/>
  <c r="MH66" i="13"/>
  <c r="MG66" i="13"/>
  <c r="MF66" i="13"/>
  <c r="ME66" i="13"/>
  <c r="MJ66" i="13"/>
  <c r="MD66" i="13"/>
  <c r="MC66" i="13"/>
  <c r="MB66" i="13"/>
  <c r="MZ73" i="13"/>
  <c r="MR73" i="13"/>
  <c r="MY73" i="13"/>
  <c r="MX73" i="13"/>
  <c r="MW73" i="13"/>
  <c r="MV73" i="13"/>
  <c r="MU73" i="13"/>
  <c r="MT73" i="13"/>
  <c r="MS73" i="13"/>
  <c r="NK66" i="13"/>
  <c r="NP66" i="13"/>
  <c r="NN66" i="13"/>
  <c r="NM66" i="13"/>
  <c r="NL66" i="13"/>
  <c r="NJ66" i="13"/>
  <c r="NI66" i="13"/>
  <c r="NO66" i="13"/>
  <c r="NH66" i="13"/>
  <c r="NK85" i="13"/>
  <c r="NH85" i="13"/>
  <c r="NO85" i="13"/>
  <c r="NN85" i="13"/>
  <c r="NM85" i="13"/>
  <c r="NL85" i="13"/>
  <c r="NJ85" i="13"/>
  <c r="NP85" i="13"/>
  <c r="NI85" i="13"/>
  <c r="OB73" i="13"/>
  <c r="NZ73" i="13"/>
  <c r="OC73" i="13"/>
  <c r="OF73" i="13"/>
  <c r="OE73" i="13"/>
  <c r="OD73" i="13"/>
  <c r="OA73" i="13"/>
  <c r="NY73" i="13"/>
  <c r="NX73" i="13"/>
  <c r="GQ65" i="15"/>
  <c r="GR65" i="15"/>
  <c r="GP65" i="15"/>
  <c r="GO65" i="15"/>
  <c r="GN65" i="15"/>
  <c r="GV65" i="15"/>
  <c r="GS65" i="15"/>
  <c r="GU65" i="15"/>
  <c r="GT65" i="15"/>
  <c r="DA66" i="15"/>
  <c r="CX66" i="15"/>
  <c r="CW66" i="15"/>
  <c r="CV66" i="15"/>
  <c r="DC66" i="15"/>
  <c r="DB66" i="15"/>
  <c r="CZ66" i="15"/>
  <c r="DD66" i="15"/>
  <c r="CY66" i="15"/>
  <c r="MX66" i="15"/>
  <c r="MV66" i="15"/>
  <c r="MR66" i="15"/>
  <c r="MZ66" i="15"/>
  <c r="MY66" i="15"/>
  <c r="MW66" i="15"/>
  <c r="MU66" i="15"/>
  <c r="MT66" i="15"/>
  <c r="MS66" i="15"/>
  <c r="JE67" i="15"/>
  <c r="JD67" i="15"/>
  <c r="JG67" i="15"/>
  <c r="JF67" i="15"/>
  <c r="JC67" i="15"/>
  <c r="JB67" i="15"/>
  <c r="JA67" i="15"/>
  <c r="JH67" i="15"/>
  <c r="IZ67" i="15"/>
  <c r="OB67" i="15"/>
  <c r="NY67" i="15"/>
  <c r="OF67" i="15"/>
  <c r="OE67" i="15"/>
  <c r="OD67" i="15"/>
  <c r="OC67" i="15"/>
  <c r="NZ67" i="15"/>
  <c r="NX67" i="15"/>
  <c r="OA67" i="15"/>
  <c r="KL68" i="15"/>
  <c r="KK68" i="15"/>
  <c r="KN68" i="15"/>
  <c r="KM68" i="15"/>
  <c r="KJ68" i="15"/>
  <c r="KI68" i="15"/>
  <c r="KH68" i="15"/>
  <c r="KG68" i="15"/>
  <c r="KF68" i="15"/>
  <c r="GU69" i="15"/>
  <c r="GR69" i="15"/>
  <c r="GQ69" i="15"/>
  <c r="GP69" i="15"/>
  <c r="GO69" i="15"/>
  <c r="GN69" i="15"/>
  <c r="GV69" i="15"/>
  <c r="GS69" i="15"/>
  <c r="GT69" i="15"/>
  <c r="ET73" i="15"/>
  <c r="EY73" i="15"/>
  <c r="EX73" i="15"/>
  <c r="EZ73" i="15"/>
  <c r="EW73" i="15"/>
  <c r="EU73" i="15"/>
  <c r="ES73" i="15"/>
  <c r="ER73" i="15"/>
  <c r="EV73" i="15"/>
  <c r="JH76" i="15"/>
  <c r="IZ76" i="15"/>
  <c r="JG76" i="15"/>
  <c r="JD76" i="15"/>
  <c r="JC76" i="15"/>
  <c r="JB76" i="15"/>
  <c r="JA76" i="15"/>
  <c r="JF76" i="15"/>
  <c r="JE76" i="15"/>
  <c r="JB73" i="13"/>
  <c r="JA73" i="13"/>
  <c r="JH73" i="13"/>
  <c r="IZ73" i="13"/>
  <c r="JG73" i="13"/>
  <c r="JF73" i="13"/>
  <c r="JD73" i="13"/>
  <c r="JC73" i="13"/>
  <c r="JE73" i="13"/>
  <c r="JB94" i="13"/>
  <c r="JA94" i="13"/>
  <c r="JH94" i="13"/>
  <c r="IZ94" i="13"/>
  <c r="JG94" i="13"/>
  <c r="JF94" i="13"/>
  <c r="JE94" i="13"/>
  <c r="JD94" i="13"/>
  <c r="JC94" i="13"/>
  <c r="JR67" i="13"/>
  <c r="JQ67" i="13"/>
  <c r="JX67" i="13"/>
  <c r="JP67" i="13"/>
  <c r="JW67" i="13"/>
  <c r="JV67" i="13"/>
  <c r="JU67" i="13"/>
  <c r="JT67" i="13"/>
  <c r="JS67" i="13"/>
  <c r="JR86" i="13"/>
  <c r="JQ86" i="13"/>
  <c r="JX86" i="13"/>
  <c r="JP86" i="13"/>
  <c r="JW86" i="13"/>
  <c r="JV86" i="13"/>
  <c r="JS86" i="13"/>
  <c r="JU86" i="13"/>
  <c r="JT86" i="13"/>
  <c r="JR104" i="13"/>
  <c r="JQ104" i="13"/>
  <c r="JX104" i="13"/>
  <c r="JP104" i="13"/>
  <c r="JW104" i="13"/>
  <c r="JV104" i="13"/>
  <c r="JU104" i="13"/>
  <c r="JT104" i="13"/>
  <c r="JS104" i="13"/>
  <c r="KI95" i="13"/>
  <c r="KH95" i="13"/>
  <c r="KG95" i="13"/>
  <c r="KN95" i="13"/>
  <c r="KF95" i="13"/>
  <c r="KM95" i="13"/>
  <c r="KL95" i="13"/>
  <c r="KK95" i="13"/>
  <c r="KJ95" i="13"/>
  <c r="KZ67" i="13"/>
  <c r="KY67" i="13"/>
  <c r="KX67" i="13"/>
  <c r="KW67" i="13"/>
  <c r="LD67" i="13"/>
  <c r="KV67" i="13"/>
  <c r="LC67" i="13"/>
  <c r="LB67" i="13"/>
  <c r="LA67" i="13"/>
  <c r="KZ86" i="13"/>
  <c r="KY86" i="13"/>
  <c r="KX86" i="13"/>
  <c r="KW86" i="13"/>
  <c r="LD86" i="13"/>
  <c r="KV86" i="13"/>
  <c r="LC86" i="13"/>
  <c r="LB86" i="13"/>
  <c r="LA86" i="13"/>
  <c r="KZ104" i="13"/>
  <c r="KY104" i="13"/>
  <c r="KX104" i="13"/>
  <c r="KW104" i="13"/>
  <c r="LD104" i="13"/>
  <c r="KV104" i="13"/>
  <c r="LC104" i="13"/>
  <c r="LB104" i="13"/>
  <c r="LA104" i="13"/>
  <c r="LQ95" i="13"/>
  <c r="LP95" i="13"/>
  <c r="LO95" i="13"/>
  <c r="LN95" i="13"/>
  <c r="LM95" i="13"/>
  <c r="LS95" i="13"/>
  <c r="LR95" i="13"/>
  <c r="LL95" i="13"/>
  <c r="LT95" i="13"/>
  <c r="MH67" i="13"/>
  <c r="MG67" i="13"/>
  <c r="MF67" i="13"/>
  <c r="ME67" i="13"/>
  <c r="MD67" i="13"/>
  <c r="MJ67" i="13"/>
  <c r="MI67" i="13"/>
  <c r="MC67" i="13"/>
  <c r="MB67" i="13"/>
  <c r="MH86" i="13"/>
  <c r="MG86" i="13"/>
  <c r="MF86" i="13"/>
  <c r="ME86" i="13"/>
  <c r="MD86" i="13"/>
  <c r="MB86" i="13"/>
  <c r="MJ86" i="13"/>
  <c r="MI86" i="13"/>
  <c r="MC86" i="13"/>
  <c r="MH104" i="13"/>
  <c r="MI104" i="13"/>
  <c r="MG104" i="13"/>
  <c r="MF104" i="13"/>
  <c r="ME104" i="13"/>
  <c r="MD104" i="13"/>
  <c r="MB104" i="13"/>
  <c r="MJ104" i="13"/>
  <c r="MC104" i="13"/>
  <c r="MS95" i="13"/>
  <c r="MY95" i="13"/>
  <c r="MZ95" i="13"/>
  <c r="MX95" i="13"/>
  <c r="MW95" i="13"/>
  <c r="MV95" i="13"/>
  <c r="MU95" i="13"/>
  <c r="MT95" i="13"/>
  <c r="MR95" i="13"/>
  <c r="NJ67" i="13"/>
  <c r="NP67" i="13"/>
  <c r="NO67" i="13"/>
  <c r="NN67" i="13"/>
  <c r="NM67" i="13"/>
  <c r="NL67" i="13"/>
  <c r="NK67" i="13"/>
  <c r="NI67" i="13"/>
  <c r="NH67" i="13"/>
  <c r="NJ86" i="13"/>
  <c r="NH86" i="13"/>
  <c r="NP86" i="13"/>
  <c r="NO86" i="13"/>
  <c r="NN86" i="13"/>
  <c r="NM86" i="13"/>
  <c r="NL86" i="13"/>
  <c r="NK86" i="13"/>
  <c r="NI86" i="13"/>
  <c r="NJ104" i="13"/>
  <c r="NI104" i="13"/>
  <c r="NL104" i="13"/>
  <c r="NH104" i="13"/>
  <c r="NP104" i="13"/>
  <c r="NO104" i="13"/>
  <c r="NN104" i="13"/>
  <c r="NM104" i="13"/>
  <c r="NK104" i="13"/>
  <c r="OA95" i="13"/>
  <c r="OB95" i="13"/>
  <c r="OD95" i="13"/>
  <c r="NX95" i="13"/>
  <c r="OF95" i="13"/>
  <c r="OE95" i="13"/>
  <c r="OC95" i="13"/>
  <c r="NZ95" i="13"/>
  <c r="NY95" i="13"/>
  <c r="CN65" i="15"/>
  <c r="CF65" i="15"/>
  <c r="CK65" i="15"/>
  <c r="CJ65" i="15"/>
  <c r="CL65" i="15"/>
  <c r="CI65" i="15"/>
  <c r="CH65" i="15"/>
  <c r="CG65" i="15"/>
  <c r="CM65" i="15"/>
  <c r="HL65" i="15"/>
  <c r="HD65" i="15"/>
  <c r="HI65" i="15"/>
  <c r="HH65" i="15"/>
  <c r="HG65" i="15"/>
  <c r="HF65" i="15"/>
  <c r="HE65" i="15"/>
  <c r="HK65" i="15"/>
  <c r="HJ65" i="15"/>
  <c r="MD65" i="15"/>
  <c r="MJ65" i="15"/>
  <c r="MB65" i="15"/>
  <c r="MI65" i="15"/>
  <c r="MH65" i="15"/>
  <c r="MG65" i="15"/>
  <c r="MF65" i="15"/>
  <c r="ME65" i="15"/>
  <c r="MC65" i="15"/>
  <c r="DM66" i="15"/>
  <c r="DR66" i="15"/>
  <c r="DQ66" i="15"/>
  <c r="DO66" i="15"/>
  <c r="DN66" i="15"/>
  <c r="DL66" i="15"/>
  <c r="DT66" i="15"/>
  <c r="DS66" i="15"/>
  <c r="DP66" i="15"/>
  <c r="NP66" i="15"/>
  <c r="NH66" i="15"/>
  <c r="NO66" i="15"/>
  <c r="NM66" i="15"/>
  <c r="NL66" i="15"/>
  <c r="NK66" i="15"/>
  <c r="NN66" i="15"/>
  <c r="NI66" i="15"/>
  <c r="NJ66" i="15"/>
  <c r="EW67" i="15"/>
  <c r="ET67" i="15"/>
  <c r="ES67" i="15"/>
  <c r="EZ67" i="15"/>
  <c r="EY67" i="15"/>
  <c r="EV67" i="15"/>
  <c r="EU67" i="15"/>
  <c r="ER67" i="15"/>
  <c r="EX67" i="15"/>
  <c r="JR67" i="15"/>
  <c r="JQ67" i="15"/>
  <c r="JV67" i="15"/>
  <c r="JU67" i="15"/>
  <c r="JT67" i="15"/>
  <c r="JS67" i="15"/>
  <c r="JP67" i="15"/>
  <c r="JX67" i="15"/>
  <c r="JW67" i="15"/>
  <c r="BC68" i="15"/>
  <c r="BE68" i="15"/>
  <c r="BG68" i="15"/>
  <c r="BA68" i="15"/>
  <c r="AZ68" i="15"/>
  <c r="BH68" i="15"/>
  <c r="BB68" i="15"/>
  <c r="BF68" i="15"/>
  <c r="BD68" i="15"/>
  <c r="GA68" i="15"/>
  <c r="FY68" i="15"/>
  <c r="FX68" i="15"/>
  <c r="GF68" i="15"/>
  <c r="GE68" i="15"/>
  <c r="GD68" i="15"/>
  <c r="FZ68" i="15"/>
  <c r="GC68" i="15"/>
  <c r="GB68" i="15"/>
  <c r="LA68" i="15"/>
  <c r="KX68" i="15"/>
  <c r="KW68" i="15"/>
  <c r="KV68" i="15"/>
  <c r="LD68" i="15"/>
  <c r="LC68" i="15"/>
  <c r="LB68" i="15"/>
  <c r="KZ68" i="15"/>
  <c r="KY68" i="15"/>
  <c r="CJ69" i="15"/>
  <c r="CG69" i="15"/>
  <c r="CN69" i="15"/>
  <c r="CF69" i="15"/>
  <c r="CM69" i="15"/>
  <c r="CL69" i="15"/>
  <c r="CK69" i="15"/>
  <c r="CI69" i="15"/>
  <c r="CH69" i="15"/>
  <c r="HH69" i="15"/>
  <c r="HJ69" i="15"/>
  <c r="HI69" i="15"/>
  <c r="HG69" i="15"/>
  <c r="HF69" i="15"/>
  <c r="HE69" i="15"/>
  <c r="HL69" i="15"/>
  <c r="HK69" i="15"/>
  <c r="HD69" i="15"/>
  <c r="MH69" i="15"/>
  <c r="MF69" i="15"/>
  <c r="MG69" i="15"/>
  <c r="ME69" i="15"/>
  <c r="MD69" i="15"/>
  <c r="MC69" i="15"/>
  <c r="MB69" i="15"/>
  <c r="MJ69" i="15"/>
  <c r="MI69" i="15"/>
  <c r="FP73" i="15"/>
  <c r="FH73" i="15"/>
  <c r="FO73" i="15"/>
  <c r="FN73" i="15"/>
  <c r="FM73" i="15"/>
  <c r="FL73" i="15"/>
  <c r="FI73" i="15"/>
  <c r="FK73" i="15"/>
  <c r="FJ73" i="15"/>
  <c r="KJ73" i="15"/>
  <c r="KI73" i="15"/>
  <c r="KF73" i="15"/>
  <c r="KN73" i="15"/>
  <c r="KM73" i="15"/>
  <c r="KL73" i="15"/>
  <c r="KK73" i="15"/>
  <c r="KG73" i="15"/>
  <c r="KH73" i="15"/>
  <c r="BU75" i="15"/>
  <c r="BX75" i="15"/>
  <c r="BQ75" i="15"/>
  <c r="BW75" i="15"/>
  <c r="BV75" i="15"/>
  <c r="BT75" i="15"/>
  <c r="BP75" i="15"/>
  <c r="BS75" i="15"/>
  <c r="BR75" i="15"/>
  <c r="GS75" i="15"/>
  <c r="GR75" i="15"/>
  <c r="GQ75" i="15"/>
  <c r="GP75" i="15"/>
  <c r="GO75" i="15"/>
  <c r="GN75" i="15"/>
  <c r="GV75" i="15"/>
  <c r="GU75" i="15"/>
  <c r="GT75" i="15"/>
  <c r="LS75" i="15"/>
  <c r="LQ75" i="15"/>
  <c r="LT75" i="15"/>
  <c r="LR75" i="15"/>
  <c r="LP75" i="15"/>
  <c r="LO75" i="15"/>
  <c r="LN75" i="15"/>
  <c r="LM75" i="15"/>
  <c r="LL75" i="15"/>
  <c r="EZ76" i="15"/>
  <c r="ER76" i="15"/>
  <c r="EW76" i="15"/>
  <c r="EV76" i="15"/>
  <c r="EU76" i="15"/>
  <c r="ET76" i="15"/>
  <c r="ES76" i="15"/>
  <c r="EY76" i="15"/>
  <c r="EX76" i="15"/>
  <c r="JU76" i="15"/>
  <c r="JT76" i="15"/>
  <c r="JS76" i="15"/>
  <c r="JR76" i="15"/>
  <c r="JQ76" i="15"/>
  <c r="JP76" i="15"/>
  <c r="JX76" i="15"/>
  <c r="JW76" i="15"/>
  <c r="JV76" i="15"/>
  <c r="CZ85" i="15"/>
  <c r="CW85" i="15"/>
  <c r="DD85" i="15"/>
  <c r="CV85" i="15"/>
  <c r="DB85" i="15"/>
  <c r="DA85" i="15"/>
  <c r="CY85" i="15"/>
  <c r="DC85" i="15"/>
  <c r="CX85" i="15"/>
  <c r="MU85" i="15"/>
  <c r="MX85" i="15"/>
  <c r="MV85" i="15"/>
  <c r="MZ85" i="15"/>
  <c r="MY85" i="15"/>
  <c r="MW85" i="15"/>
  <c r="MT85" i="15"/>
  <c r="MS85" i="15"/>
  <c r="MR85" i="15"/>
  <c r="BD86" i="15"/>
  <c r="BF86" i="15"/>
  <c r="BH86" i="15"/>
  <c r="AZ86" i="15"/>
  <c r="BG86" i="15"/>
  <c r="BE86" i="15"/>
  <c r="BB86" i="15"/>
  <c r="BA86" i="15"/>
  <c r="BC86" i="15"/>
  <c r="GB86" i="15"/>
  <c r="FZ86" i="15"/>
  <c r="FY86" i="15"/>
  <c r="FX86" i="15"/>
  <c r="GF86" i="15"/>
  <c r="GE86" i="15"/>
  <c r="GD86" i="15"/>
  <c r="GC86" i="15"/>
  <c r="GA86" i="15"/>
  <c r="LB86" i="15"/>
  <c r="KY86" i="15"/>
  <c r="KX86" i="15"/>
  <c r="KW86" i="15"/>
  <c r="KV86" i="15"/>
  <c r="LD86" i="15"/>
  <c r="LC86" i="15"/>
  <c r="LA86" i="15"/>
  <c r="KZ86" i="15"/>
  <c r="JD88" i="15"/>
  <c r="JC88" i="15"/>
  <c r="IZ88" i="15"/>
  <c r="JH88" i="15"/>
  <c r="JG88" i="15"/>
  <c r="JF88" i="15"/>
  <c r="JB88" i="15"/>
  <c r="JA88" i="15"/>
  <c r="JE88" i="15"/>
  <c r="OA88" i="15"/>
  <c r="OF88" i="15"/>
  <c r="NX88" i="15"/>
  <c r="OC88" i="15"/>
  <c r="NZ88" i="15"/>
  <c r="NY88" i="15"/>
  <c r="OE88" i="15"/>
  <c r="OD88" i="15"/>
  <c r="OB88" i="15"/>
  <c r="FM93" i="15"/>
  <c r="FH93" i="15"/>
  <c r="FP93" i="15"/>
  <c r="FO93" i="15"/>
  <c r="FN93" i="15"/>
  <c r="FL93" i="15"/>
  <c r="FK93" i="15"/>
  <c r="FJ93" i="15"/>
  <c r="FI93" i="15"/>
  <c r="KM93" i="15"/>
  <c r="KG93" i="15"/>
  <c r="KF93" i="15"/>
  <c r="KN93" i="15"/>
  <c r="KL93" i="15"/>
  <c r="KH93" i="15"/>
  <c r="KJ93" i="15"/>
  <c r="KI93" i="15"/>
  <c r="KK93" i="15"/>
  <c r="BV94" i="15"/>
  <c r="BS94" i="15"/>
  <c r="BR94" i="15"/>
  <c r="BX94" i="15"/>
  <c r="BW94" i="15"/>
  <c r="BU94" i="15"/>
  <c r="BT94" i="15"/>
  <c r="BQ94" i="15"/>
  <c r="BP94" i="15"/>
  <c r="GT94" i="15"/>
  <c r="GR94" i="15"/>
  <c r="GQ94" i="15"/>
  <c r="GP94" i="15"/>
  <c r="GO94" i="15"/>
  <c r="GN94" i="15"/>
  <c r="GV94" i="15"/>
  <c r="GS94" i="15"/>
  <c r="GU94" i="15"/>
  <c r="LT94" i="15"/>
  <c r="LL94" i="15"/>
  <c r="LR94" i="15"/>
  <c r="LS94" i="15"/>
  <c r="LQ94" i="15"/>
  <c r="LP94" i="15"/>
  <c r="LO94" i="15"/>
  <c r="LN94" i="15"/>
  <c r="LM94" i="15"/>
  <c r="DC95" i="15"/>
  <c r="CZ95" i="15"/>
  <c r="CY95" i="15"/>
  <c r="DB95" i="15"/>
  <c r="DA95" i="15"/>
  <c r="CX95" i="15"/>
  <c r="CV95" i="15"/>
  <c r="DD95" i="15"/>
  <c r="CW95" i="15"/>
  <c r="HW95" i="15"/>
  <c r="HV95" i="15"/>
  <c r="HY95" i="15"/>
  <c r="HX95" i="15"/>
  <c r="HU95" i="15"/>
  <c r="HT95" i="15"/>
  <c r="IB95" i="15"/>
  <c r="IA95" i="15"/>
  <c r="HZ95" i="15"/>
  <c r="MX95" i="15"/>
  <c r="MY95" i="15"/>
  <c r="MV95" i="15"/>
  <c r="MT95" i="15"/>
  <c r="MS95" i="15"/>
  <c r="MR95" i="15"/>
  <c r="MZ95" i="15"/>
  <c r="MW95" i="15"/>
  <c r="MU95" i="15"/>
  <c r="EE96" i="15"/>
  <c r="EJ96" i="15"/>
  <c r="EB96" i="15"/>
  <c r="EI96" i="15"/>
  <c r="EC96" i="15"/>
  <c r="EH96" i="15"/>
  <c r="EG96" i="15"/>
  <c r="EF96" i="15"/>
  <c r="ED96" i="15"/>
  <c r="JH96" i="15"/>
  <c r="IZ96" i="15"/>
  <c r="JG96" i="15"/>
  <c r="JF96" i="15"/>
  <c r="JE96" i="15"/>
  <c r="JD96" i="15"/>
  <c r="JC96" i="15"/>
  <c r="JB96" i="15"/>
  <c r="JA96" i="15"/>
  <c r="OE96" i="15"/>
  <c r="OB96" i="15"/>
  <c r="OA96" i="15"/>
  <c r="NY96" i="15"/>
  <c r="OF96" i="15"/>
  <c r="OD96" i="15"/>
  <c r="OC96" i="15"/>
  <c r="NZ96" i="15"/>
  <c r="NX96" i="15"/>
  <c r="FI102" i="15"/>
  <c r="FH102" i="15"/>
  <c r="FP102" i="15"/>
  <c r="FO102" i="15"/>
  <c r="FN102" i="15"/>
  <c r="FM102" i="15"/>
  <c r="FL102" i="15"/>
  <c r="FK102" i="15"/>
  <c r="FJ102" i="15"/>
  <c r="KI102" i="15"/>
  <c r="KG102" i="15"/>
  <c r="KF102" i="15"/>
  <c r="KN102" i="15"/>
  <c r="KM102" i="15"/>
  <c r="KH102" i="15"/>
  <c r="KL102" i="15"/>
  <c r="KK102" i="15"/>
  <c r="KJ102" i="15"/>
  <c r="BR103" i="15"/>
  <c r="BW103" i="15"/>
  <c r="BV103" i="15"/>
  <c r="BX103" i="15"/>
  <c r="BQ103" i="15"/>
  <c r="BU103" i="15"/>
  <c r="BT103" i="15"/>
  <c r="BS103" i="15"/>
  <c r="BP103" i="15"/>
  <c r="GP103" i="15"/>
  <c r="GS103" i="15"/>
  <c r="GR103" i="15"/>
  <c r="GQ103" i="15"/>
  <c r="GO103" i="15"/>
  <c r="GN103" i="15"/>
  <c r="GT103" i="15"/>
  <c r="GV103" i="15"/>
  <c r="GU103" i="15"/>
  <c r="LP103" i="15"/>
  <c r="LN103" i="15"/>
  <c r="LR103" i="15"/>
  <c r="LQ103" i="15"/>
  <c r="LO103" i="15"/>
  <c r="LM103" i="15"/>
  <c r="LL103" i="15"/>
  <c r="LS103" i="15"/>
  <c r="LT103" i="15"/>
  <c r="CY104" i="15"/>
  <c r="DD104" i="15"/>
  <c r="CV104" i="15"/>
  <c r="DC104" i="15"/>
  <c r="DB104" i="15"/>
  <c r="DA104" i="15"/>
  <c r="CX104" i="15"/>
  <c r="CW104" i="15"/>
  <c r="CZ104" i="15"/>
  <c r="IA104" i="15"/>
  <c r="HZ104" i="15"/>
  <c r="HU104" i="15"/>
  <c r="HT104" i="15"/>
  <c r="IB104" i="15"/>
  <c r="HY104" i="15"/>
  <c r="HW104" i="15"/>
  <c r="HV104" i="15"/>
  <c r="HX104" i="15"/>
  <c r="MT104" i="15"/>
  <c r="MY104" i="15"/>
  <c r="MW104" i="15"/>
  <c r="MV104" i="15"/>
  <c r="MU104" i="15"/>
  <c r="MZ104" i="15"/>
  <c r="MX104" i="15"/>
  <c r="MS104" i="15"/>
  <c r="MR104" i="15"/>
  <c r="GP65" i="16"/>
  <c r="GU65" i="16"/>
  <c r="GV65" i="16"/>
  <c r="GT65" i="16"/>
  <c r="GS65" i="16"/>
  <c r="GR65" i="16"/>
  <c r="GN65" i="16"/>
  <c r="GQ65" i="16"/>
  <c r="GO65" i="16"/>
  <c r="LM65" i="16"/>
  <c r="LT65" i="16"/>
  <c r="LL65" i="16"/>
  <c r="LS65" i="16"/>
  <c r="LR65" i="16"/>
  <c r="LQ65" i="16"/>
  <c r="LP65" i="16"/>
  <c r="LO65" i="16"/>
  <c r="LN65" i="16"/>
  <c r="CZ66" i="16"/>
  <c r="CY66" i="16"/>
  <c r="CX66" i="16"/>
  <c r="CW66" i="16"/>
  <c r="DD66" i="16"/>
  <c r="CV66" i="16"/>
  <c r="DC66" i="16"/>
  <c r="DB66" i="16"/>
  <c r="DA66" i="16"/>
  <c r="HZ66" i="16"/>
  <c r="HY66" i="16"/>
  <c r="HX66" i="16"/>
  <c r="HW66" i="16"/>
  <c r="HV66" i="16"/>
  <c r="HU66" i="16"/>
  <c r="IB66" i="16"/>
  <c r="IA66" i="16"/>
  <c r="HT66" i="16"/>
  <c r="MS66" i="16"/>
  <c r="MZ66" i="16"/>
  <c r="MR66" i="16"/>
  <c r="MT66" i="16"/>
  <c r="MY66" i="16"/>
  <c r="MX66" i="16"/>
  <c r="MW66" i="16"/>
  <c r="MV66" i="16"/>
  <c r="MU66" i="16"/>
  <c r="EC67" i="16"/>
  <c r="EJ67" i="16"/>
  <c r="EB67" i="16"/>
  <c r="EI67" i="16"/>
  <c r="EH67" i="16"/>
  <c r="EG67" i="16"/>
  <c r="EF67" i="16"/>
  <c r="EE67" i="16"/>
  <c r="ED67" i="16"/>
  <c r="JA67" i="16"/>
  <c r="JH67" i="16"/>
  <c r="IZ67" i="16"/>
  <c r="JG67" i="16"/>
  <c r="JF67" i="16"/>
  <c r="JE67" i="16"/>
  <c r="JD67" i="16"/>
  <c r="JC67" i="16"/>
  <c r="JB67" i="16"/>
  <c r="OB67" i="16"/>
  <c r="OA67" i="16"/>
  <c r="NZ67" i="16"/>
  <c r="NY67" i="16"/>
  <c r="OE67" i="16"/>
  <c r="OD67" i="16"/>
  <c r="OF67" i="16"/>
  <c r="OC67" i="16"/>
  <c r="NX67" i="16"/>
  <c r="KJ68" i="16"/>
  <c r="KI68" i="16"/>
  <c r="KH68" i="16"/>
  <c r="KG68" i="16"/>
  <c r="KL68" i="16"/>
  <c r="KK68" i="16"/>
  <c r="KF68" i="16"/>
  <c r="KN68" i="16"/>
  <c r="KM68" i="16"/>
  <c r="GT69" i="16"/>
  <c r="GS69" i="16"/>
  <c r="GR69" i="16"/>
  <c r="GQ69" i="16"/>
  <c r="GU69" i="16"/>
  <c r="GP69" i="16"/>
  <c r="GO69" i="16"/>
  <c r="GN69" i="16"/>
  <c r="GV69" i="16"/>
  <c r="LQ69" i="16"/>
  <c r="LP69" i="16"/>
  <c r="LO69" i="16"/>
  <c r="LN69" i="16"/>
  <c r="LM69" i="16"/>
  <c r="LT69" i="16"/>
  <c r="LL69" i="16"/>
  <c r="LS69" i="16"/>
  <c r="LR69" i="16"/>
  <c r="DD73" i="16"/>
  <c r="CV73" i="16"/>
  <c r="DC73" i="16"/>
  <c r="DB73" i="16"/>
  <c r="DA73" i="16"/>
  <c r="CZ73" i="16"/>
  <c r="CY73" i="16"/>
  <c r="CX73" i="16"/>
  <c r="CW73" i="16"/>
  <c r="HV73" i="16"/>
  <c r="HU73" i="16"/>
  <c r="IB73" i="16"/>
  <c r="HT73" i="16"/>
  <c r="IA73" i="16"/>
  <c r="HZ73" i="16"/>
  <c r="HY73" i="16"/>
  <c r="HX73" i="16"/>
  <c r="HW73" i="16"/>
  <c r="MW73" i="16"/>
  <c r="MV73" i="16"/>
  <c r="MT73" i="16"/>
  <c r="MS73" i="16"/>
  <c r="MR73" i="16"/>
  <c r="MZ73" i="16"/>
  <c r="MY73" i="16"/>
  <c r="MX73" i="16"/>
  <c r="MU73" i="16"/>
  <c r="KG75" i="16"/>
  <c r="KN75" i="16"/>
  <c r="KF75" i="16"/>
  <c r="KM75" i="16"/>
  <c r="KL75" i="16"/>
  <c r="KK75" i="16"/>
  <c r="KJ75" i="16"/>
  <c r="KI75" i="16"/>
  <c r="KH75" i="16"/>
  <c r="GQ76" i="16"/>
  <c r="GP76" i="16"/>
  <c r="GO76" i="16"/>
  <c r="GV76" i="16"/>
  <c r="GN76" i="16"/>
  <c r="GU76" i="16"/>
  <c r="GT76" i="16"/>
  <c r="GS76" i="16"/>
  <c r="GR76" i="16"/>
  <c r="LN76" i="16"/>
  <c r="LM76" i="16"/>
  <c r="LT76" i="16"/>
  <c r="LL76" i="16"/>
  <c r="LS76" i="16"/>
  <c r="LR76" i="16"/>
  <c r="LQ76" i="16"/>
  <c r="LP76" i="16"/>
  <c r="LO76" i="16"/>
  <c r="CZ85" i="16"/>
  <c r="CY85" i="16"/>
  <c r="CX85" i="16"/>
  <c r="CW85" i="16"/>
  <c r="DD85" i="16"/>
  <c r="CV85" i="16"/>
  <c r="DC85" i="16"/>
  <c r="DB85" i="16"/>
  <c r="DA85" i="16"/>
  <c r="HZ85" i="16"/>
  <c r="HY85" i="16"/>
  <c r="HX85" i="16"/>
  <c r="HW85" i="16"/>
  <c r="HV85" i="16"/>
  <c r="HU85" i="16"/>
  <c r="IB85" i="16"/>
  <c r="IA85" i="16"/>
  <c r="HT85" i="16"/>
  <c r="MT85" i="16"/>
  <c r="MS85" i="16"/>
  <c r="MZ85" i="16"/>
  <c r="MR85" i="16"/>
  <c r="MX85" i="16"/>
  <c r="MW85" i="16"/>
  <c r="MV85" i="16"/>
  <c r="MU85" i="16"/>
  <c r="MY85" i="16"/>
  <c r="EC86" i="16"/>
  <c r="EJ86" i="16"/>
  <c r="EB86" i="16"/>
  <c r="EI86" i="16"/>
  <c r="EH86" i="16"/>
  <c r="EG86" i="16"/>
  <c r="EF86" i="16"/>
  <c r="EE86" i="16"/>
  <c r="ED86" i="16"/>
  <c r="JA86" i="16"/>
  <c r="JH86" i="16"/>
  <c r="IZ86" i="16"/>
  <c r="JG86" i="16"/>
  <c r="JF86" i="16"/>
  <c r="JE86" i="16"/>
  <c r="JD86" i="16"/>
  <c r="JB86" i="16"/>
  <c r="JC86" i="16"/>
  <c r="OB86" i="16"/>
  <c r="OA86" i="16"/>
  <c r="NZ86" i="16"/>
  <c r="NY86" i="16"/>
  <c r="OE86" i="16"/>
  <c r="OD86" i="16"/>
  <c r="OC86" i="16"/>
  <c r="OF86" i="16"/>
  <c r="NX86" i="16"/>
  <c r="KJ88" i="16"/>
  <c r="KI88" i="16"/>
  <c r="KH88" i="16"/>
  <c r="KG88" i="16"/>
  <c r="KN88" i="16"/>
  <c r="KF88" i="16"/>
  <c r="KM88" i="16"/>
  <c r="KL88" i="16"/>
  <c r="KK88" i="16"/>
  <c r="DT93" i="16"/>
  <c r="DL93" i="16"/>
  <c r="DS93" i="16"/>
  <c r="DR93" i="16"/>
  <c r="DQ93" i="16"/>
  <c r="DP93" i="16"/>
  <c r="DO93" i="16"/>
  <c r="DN93" i="16"/>
  <c r="DM93" i="16"/>
  <c r="IK93" i="16"/>
  <c r="IR93" i="16"/>
  <c r="IJ93" i="16"/>
  <c r="IQ93" i="16"/>
  <c r="IP93" i="16"/>
  <c r="IO93" i="16"/>
  <c r="IN93" i="16"/>
  <c r="IM93" i="16"/>
  <c r="IL93" i="16"/>
  <c r="NM93" i="16"/>
  <c r="NL93" i="16"/>
  <c r="NK93" i="16"/>
  <c r="NJ93" i="16"/>
  <c r="NP93" i="16"/>
  <c r="NH93" i="16"/>
  <c r="NO93" i="16"/>
  <c r="NN93" i="16"/>
  <c r="NI93" i="16"/>
  <c r="GS94" i="16"/>
  <c r="GR94" i="16"/>
  <c r="GQ94" i="16"/>
  <c r="GP94" i="16"/>
  <c r="GV94" i="16"/>
  <c r="GT94" i="16"/>
  <c r="GO94" i="16"/>
  <c r="GN94" i="16"/>
  <c r="GU94" i="16"/>
  <c r="LP94" i="16"/>
  <c r="LO94" i="16"/>
  <c r="LN94" i="16"/>
  <c r="LM94" i="16"/>
  <c r="LT94" i="16"/>
  <c r="LL94" i="16"/>
  <c r="LS94" i="16"/>
  <c r="LR94" i="16"/>
  <c r="LQ94" i="16"/>
  <c r="JT95" i="16"/>
  <c r="JS95" i="16"/>
  <c r="JR95" i="16"/>
  <c r="JQ95" i="16"/>
  <c r="JX95" i="16"/>
  <c r="JW95" i="16"/>
  <c r="JV95" i="16"/>
  <c r="JU95" i="16"/>
  <c r="JP95" i="16"/>
  <c r="HU96" i="16"/>
  <c r="IB96" i="16"/>
  <c r="HT96" i="16"/>
  <c r="IA96" i="16"/>
  <c r="HZ96" i="16"/>
  <c r="HY96" i="16"/>
  <c r="HX96" i="16"/>
  <c r="HV96" i="16"/>
  <c r="HW96" i="16"/>
  <c r="MW96" i="16"/>
  <c r="MV96" i="16"/>
  <c r="MU96" i="16"/>
  <c r="MT96" i="16"/>
  <c r="MZ96" i="16"/>
  <c r="MR96" i="16"/>
  <c r="MY96" i="16"/>
  <c r="MX96" i="16"/>
  <c r="MS96" i="16"/>
  <c r="EE102" i="16"/>
  <c r="EJ102" i="16"/>
  <c r="EB102" i="16"/>
  <c r="EI102" i="16"/>
  <c r="EH102" i="16"/>
  <c r="EG102" i="16"/>
  <c r="EF102" i="16"/>
  <c r="ED102" i="16"/>
  <c r="EC102" i="16"/>
  <c r="JC102" i="16"/>
  <c r="JB102" i="16"/>
  <c r="JA102" i="16"/>
  <c r="JH102" i="16"/>
  <c r="IZ102" i="16"/>
  <c r="JG102" i="16"/>
  <c r="JF102" i="16"/>
  <c r="JE102" i="16"/>
  <c r="JD102" i="16"/>
  <c r="OD102" i="16"/>
  <c r="OC102" i="16"/>
  <c r="OB102" i="16"/>
  <c r="OA102" i="16"/>
  <c r="NY102" i="16"/>
  <c r="OF102" i="16"/>
  <c r="NX102" i="16"/>
  <c r="OE102" i="16"/>
  <c r="NZ102" i="16"/>
  <c r="FM103" i="16"/>
  <c r="FJ103" i="16"/>
  <c r="FP103" i="16"/>
  <c r="FO103" i="16"/>
  <c r="FN103" i="16"/>
  <c r="FL103" i="16"/>
  <c r="FH103" i="16"/>
  <c r="FK103" i="16"/>
  <c r="FI103" i="16"/>
  <c r="KL103" i="16"/>
  <c r="KK103" i="16"/>
  <c r="KJ103" i="16"/>
  <c r="KI103" i="16"/>
  <c r="KH103" i="16"/>
  <c r="KG103" i="16"/>
  <c r="KN103" i="16"/>
  <c r="KM103" i="16"/>
  <c r="KF103" i="16"/>
  <c r="BX104" i="16"/>
  <c r="BP104" i="16"/>
  <c r="BU104" i="16"/>
  <c r="BT104" i="16"/>
  <c r="BW104" i="16"/>
  <c r="BV104" i="16"/>
  <c r="BS104" i="16"/>
  <c r="BR104" i="16"/>
  <c r="BQ104" i="16"/>
  <c r="GO104" i="16"/>
  <c r="GV104" i="16"/>
  <c r="GN104" i="16"/>
  <c r="GU104" i="16"/>
  <c r="GT104" i="16"/>
  <c r="GS104" i="16"/>
  <c r="GR104" i="16"/>
  <c r="GP104" i="16"/>
  <c r="GQ104" i="16"/>
  <c r="LS104" i="16"/>
  <c r="LR104" i="16"/>
  <c r="LQ104" i="16"/>
  <c r="LP104" i="16"/>
  <c r="LO104" i="16"/>
  <c r="LN104" i="16"/>
  <c r="LM104" i="16"/>
  <c r="LT104" i="16"/>
  <c r="LL104" i="16"/>
  <c r="KN65" i="17"/>
  <c r="KF65" i="17"/>
  <c r="KJ65" i="17"/>
  <c r="KI65" i="17"/>
  <c r="KH65" i="17"/>
  <c r="KG65" i="17"/>
  <c r="KM65" i="17"/>
  <c r="KL65" i="17"/>
  <c r="KK65" i="17"/>
  <c r="BV66" i="17"/>
  <c r="BU66" i="17"/>
  <c r="BT66" i="17"/>
  <c r="BS66" i="17"/>
  <c r="BX66" i="17"/>
  <c r="BW66" i="17"/>
  <c r="BR66" i="17"/>
  <c r="BQ66" i="17"/>
  <c r="BP66" i="17"/>
  <c r="LT66" i="17"/>
  <c r="LL66" i="17"/>
  <c r="LN66" i="17"/>
  <c r="LM66" i="17"/>
  <c r="LS66" i="17"/>
  <c r="LR66" i="17"/>
  <c r="LQ66" i="17"/>
  <c r="LP66" i="17"/>
  <c r="LO66" i="17"/>
  <c r="DC67" i="17"/>
  <c r="DB67" i="17"/>
  <c r="DA67" i="17"/>
  <c r="CZ67" i="17"/>
  <c r="CX67" i="17"/>
  <c r="DD67" i="17"/>
  <c r="CY67" i="17"/>
  <c r="CW67" i="17"/>
  <c r="CV67" i="17"/>
  <c r="HV67" i="17"/>
  <c r="HW67" i="17"/>
  <c r="IB67" i="17"/>
  <c r="IA67" i="17"/>
  <c r="HX67" i="17"/>
  <c r="HZ67" i="17"/>
  <c r="HY67" i="17"/>
  <c r="HU67" i="17"/>
  <c r="HT67" i="17"/>
  <c r="MS67" i="17"/>
  <c r="MY67" i="17"/>
  <c r="MW67" i="17"/>
  <c r="MU67" i="17"/>
  <c r="MT67" i="17"/>
  <c r="MZ67" i="17"/>
  <c r="MX67" i="17"/>
  <c r="MV67" i="17"/>
  <c r="MR67" i="17"/>
  <c r="EC68" i="17"/>
  <c r="EF68" i="17"/>
  <c r="EE68" i="17"/>
  <c r="ED68" i="17"/>
  <c r="EB68" i="17"/>
  <c r="EJ68" i="17"/>
  <c r="EI68" i="17"/>
  <c r="EH68" i="17"/>
  <c r="EG68" i="17"/>
  <c r="JC68" i="17"/>
  <c r="JH68" i="17"/>
  <c r="JE68" i="17"/>
  <c r="JF68" i="17"/>
  <c r="JD68" i="17"/>
  <c r="JB68" i="17"/>
  <c r="JA68" i="17"/>
  <c r="IZ68" i="17"/>
  <c r="JG68" i="17"/>
  <c r="NZ68" i="17"/>
  <c r="OF68" i="17"/>
  <c r="NX68" i="17"/>
  <c r="OD68" i="17"/>
  <c r="OE68" i="17"/>
  <c r="OC68" i="17"/>
  <c r="OB68" i="17"/>
  <c r="OA68" i="17"/>
  <c r="NY68" i="17"/>
  <c r="KJ69" i="17"/>
  <c r="KK69" i="17"/>
  <c r="KI69" i="17"/>
  <c r="KH69" i="17"/>
  <c r="KG69" i="17"/>
  <c r="KF69" i="17"/>
  <c r="KN69" i="17"/>
  <c r="KM69" i="17"/>
  <c r="KL69" i="17"/>
  <c r="BR73" i="17"/>
  <c r="BQ73" i="17"/>
  <c r="BX73" i="17"/>
  <c r="BP73" i="17"/>
  <c r="BW73" i="17"/>
  <c r="BT73" i="17"/>
  <c r="BS73" i="17"/>
  <c r="BV73" i="17"/>
  <c r="BU73" i="17"/>
  <c r="LP73" i="17"/>
  <c r="LN73" i="17"/>
  <c r="LM73" i="17"/>
  <c r="LL73" i="17"/>
  <c r="LT73" i="17"/>
  <c r="LS73" i="17"/>
  <c r="LR73" i="17"/>
  <c r="LQ73" i="17"/>
  <c r="LO73" i="17"/>
  <c r="EH75" i="17"/>
  <c r="EF75" i="17"/>
  <c r="EE75" i="17"/>
  <c r="ED75" i="17"/>
  <c r="EC75" i="17"/>
  <c r="EJ75" i="17"/>
  <c r="EI75" i="17"/>
  <c r="EG75" i="17"/>
  <c r="EB75" i="17"/>
  <c r="JH75" i="17"/>
  <c r="IZ75" i="17"/>
  <c r="JG75" i="17"/>
  <c r="JE75" i="17"/>
  <c r="JC75" i="17"/>
  <c r="JB75" i="17"/>
  <c r="JA75" i="17"/>
  <c r="JD75" i="17"/>
  <c r="JF75" i="17"/>
  <c r="OE75" i="17"/>
  <c r="OC75" i="17"/>
  <c r="OA75" i="17"/>
  <c r="OF75" i="17"/>
  <c r="OD75" i="17"/>
  <c r="OB75" i="17"/>
  <c r="NZ75" i="17"/>
  <c r="NY75" i="17"/>
  <c r="NX75" i="17"/>
  <c r="KG76" i="17"/>
  <c r="KK76" i="17"/>
  <c r="KJ76" i="17"/>
  <c r="KI76" i="17"/>
  <c r="KH76" i="17"/>
  <c r="KF76" i="17"/>
  <c r="KN76" i="17"/>
  <c r="KL76" i="17"/>
  <c r="KM76" i="17"/>
  <c r="BV85" i="17"/>
  <c r="BU85" i="17"/>
  <c r="BT85" i="17"/>
  <c r="BS85" i="17"/>
  <c r="BP85" i="17"/>
  <c r="BX85" i="17"/>
  <c r="BW85" i="17"/>
  <c r="BR85" i="17"/>
  <c r="BQ85" i="17"/>
  <c r="LT85" i="17"/>
  <c r="LL85" i="17"/>
  <c r="LO85" i="17"/>
  <c r="LN85" i="17"/>
  <c r="LM85" i="17"/>
  <c r="LS85" i="17"/>
  <c r="LR85" i="17"/>
  <c r="LQ85" i="17"/>
  <c r="LP85" i="17"/>
  <c r="DC86" i="17"/>
  <c r="DB86" i="17"/>
  <c r="DA86" i="17"/>
  <c r="CZ86" i="17"/>
  <c r="CX86" i="17"/>
  <c r="DD86" i="17"/>
  <c r="CY86" i="17"/>
  <c r="CW86" i="17"/>
  <c r="CV86" i="17"/>
  <c r="HV86" i="17"/>
  <c r="HX86" i="17"/>
  <c r="IB86" i="17"/>
  <c r="IA86" i="17"/>
  <c r="HZ86" i="17"/>
  <c r="HY86" i="17"/>
  <c r="HU86" i="17"/>
  <c r="HT86" i="17"/>
  <c r="HW86" i="17"/>
  <c r="MS86" i="17"/>
  <c r="MY86" i="17"/>
  <c r="MW86" i="17"/>
  <c r="MZ86" i="17"/>
  <c r="MX86" i="17"/>
  <c r="MV86" i="17"/>
  <c r="MU86" i="17"/>
  <c r="MT86" i="17"/>
  <c r="MR86" i="17"/>
  <c r="EC88" i="17"/>
  <c r="EG88" i="17"/>
  <c r="EF88" i="17"/>
  <c r="EE88" i="17"/>
  <c r="ED88" i="17"/>
  <c r="EJ88" i="17"/>
  <c r="EB88" i="17"/>
  <c r="EI88" i="17"/>
  <c r="EH88" i="17"/>
  <c r="JC88" i="17"/>
  <c r="IZ88" i="17"/>
  <c r="JH88" i="17"/>
  <c r="JG88" i="17"/>
  <c r="JF88" i="17"/>
  <c r="JE88" i="17"/>
  <c r="JD88" i="17"/>
  <c r="JB88" i="17"/>
  <c r="JA88" i="17"/>
  <c r="NZ88" i="17"/>
  <c r="OF88" i="17"/>
  <c r="NX88" i="17"/>
  <c r="OD88" i="17"/>
  <c r="OA88" i="17"/>
  <c r="NY88" i="17"/>
  <c r="OE88" i="17"/>
  <c r="OB88" i="17"/>
  <c r="OC88" i="17"/>
  <c r="KJ93" i="17"/>
  <c r="KL93" i="17"/>
  <c r="KK93" i="17"/>
  <c r="KI93" i="17"/>
  <c r="KH93" i="17"/>
  <c r="KG93" i="17"/>
  <c r="KF93" i="17"/>
  <c r="KN93" i="17"/>
  <c r="KM93" i="17"/>
  <c r="BR94" i="17"/>
  <c r="BQ94" i="17"/>
  <c r="BX94" i="17"/>
  <c r="BP94" i="17"/>
  <c r="BW94" i="17"/>
  <c r="BV94" i="17"/>
  <c r="BU94" i="17"/>
  <c r="BT94" i="17"/>
  <c r="BS94" i="17"/>
  <c r="LP94" i="17"/>
  <c r="LO94" i="17"/>
  <c r="LN94" i="17"/>
  <c r="LM94" i="17"/>
  <c r="LL94" i="17"/>
  <c r="LT94" i="17"/>
  <c r="LS94" i="17"/>
  <c r="LR94" i="17"/>
  <c r="LQ94" i="17"/>
  <c r="CZ95" i="17"/>
  <c r="CY95" i="17"/>
  <c r="CX95" i="17"/>
  <c r="CW95" i="17"/>
  <c r="CV95" i="17"/>
  <c r="DC95" i="17"/>
  <c r="DD95" i="17"/>
  <c r="DB95" i="17"/>
  <c r="DA95" i="17"/>
  <c r="HZ95" i="17"/>
  <c r="HX95" i="17"/>
  <c r="HY95" i="17"/>
  <c r="HW95" i="17"/>
  <c r="HV95" i="17"/>
  <c r="HU95" i="17"/>
  <c r="HT95" i="17"/>
  <c r="IB95" i="17"/>
  <c r="IA95" i="17"/>
  <c r="MW95" i="17"/>
  <c r="MU95" i="17"/>
  <c r="MS95" i="17"/>
  <c r="MZ95" i="17"/>
  <c r="MY95" i="17"/>
  <c r="MX95" i="17"/>
  <c r="MV95" i="17"/>
  <c r="MT95" i="17"/>
  <c r="MR95" i="17"/>
  <c r="EG96" i="17"/>
  <c r="EH96" i="17"/>
  <c r="EF96" i="17"/>
  <c r="EE96" i="17"/>
  <c r="ED96" i="17"/>
  <c r="EC96" i="17"/>
  <c r="EB96" i="17"/>
  <c r="EJ96" i="17"/>
  <c r="EI96" i="17"/>
  <c r="JG96" i="17"/>
  <c r="JA96" i="17"/>
  <c r="IZ96" i="17"/>
  <c r="JH96" i="17"/>
  <c r="JF96" i="17"/>
  <c r="JE96" i="17"/>
  <c r="JD96" i="17"/>
  <c r="JC96" i="17"/>
  <c r="JB96" i="17"/>
  <c r="OD96" i="17"/>
  <c r="OB96" i="17"/>
  <c r="NZ96" i="17"/>
  <c r="OC96" i="17"/>
  <c r="OA96" i="17"/>
  <c r="NY96" i="17"/>
  <c r="NX96" i="17"/>
  <c r="OF96" i="17"/>
  <c r="OE96" i="17"/>
  <c r="CJ102" i="17"/>
  <c r="CI102" i="17"/>
  <c r="CH102" i="17"/>
  <c r="CG102" i="17"/>
  <c r="CM102" i="17"/>
  <c r="CN102" i="17"/>
  <c r="CL102" i="17"/>
  <c r="CK102" i="17"/>
  <c r="CF102" i="17"/>
  <c r="HI102" i="17"/>
  <c r="HH102" i="17"/>
  <c r="HG102" i="17"/>
  <c r="HD102" i="17"/>
  <c r="HL102" i="17"/>
  <c r="HK102" i="17"/>
  <c r="HJ102" i="17"/>
  <c r="HF102" i="17"/>
  <c r="HE102" i="17"/>
  <c r="MF102" i="17"/>
  <c r="MD102" i="17"/>
  <c r="MB102" i="17"/>
  <c r="MH102" i="17"/>
  <c r="MG102" i="17"/>
  <c r="ME102" i="17"/>
  <c r="MC102" i="17"/>
  <c r="MJ102" i="17"/>
  <c r="MI102" i="17"/>
  <c r="KM103" i="17"/>
  <c r="KL103" i="17"/>
  <c r="KK103" i="17"/>
  <c r="KG103" i="17"/>
  <c r="KF103" i="17"/>
  <c r="KN103" i="17"/>
  <c r="KJ103" i="17"/>
  <c r="KI103" i="17"/>
  <c r="KH103" i="17"/>
  <c r="DQ104" i="17"/>
  <c r="DM104" i="17"/>
  <c r="DL104" i="17"/>
  <c r="DN104" i="17"/>
  <c r="DT104" i="17"/>
  <c r="DS104" i="17"/>
  <c r="DR104" i="17"/>
  <c r="DP104" i="17"/>
  <c r="DO104" i="17"/>
  <c r="IQ104" i="17"/>
  <c r="IR104" i="17"/>
  <c r="IN104" i="17"/>
  <c r="IO104" i="17"/>
  <c r="IM104" i="17"/>
  <c r="IL104" i="17"/>
  <c r="IK104" i="17"/>
  <c r="IJ104" i="17"/>
  <c r="IP104" i="17"/>
  <c r="NN104" i="17"/>
  <c r="NL104" i="17"/>
  <c r="NJ104" i="17"/>
  <c r="NP104" i="17"/>
  <c r="NO104" i="17"/>
  <c r="NM104" i="17"/>
  <c r="NK104" i="17"/>
  <c r="NI104" i="17"/>
  <c r="NH104" i="17"/>
  <c r="ET64" i="16"/>
  <c r="ES64" i="16"/>
  <c r="EZ64" i="16"/>
  <c r="ER64" i="16"/>
  <c r="EY64" i="16"/>
  <c r="EX64" i="16"/>
  <c r="EW64" i="16"/>
  <c r="EV64" i="16"/>
  <c r="EU64" i="16"/>
  <c r="KM64" i="16"/>
  <c r="KL64" i="16"/>
  <c r="KK64" i="16"/>
  <c r="KJ64" i="16"/>
  <c r="KI64" i="16"/>
  <c r="KH64" i="16"/>
  <c r="KG64" i="16"/>
  <c r="KN64" i="16"/>
  <c r="KF64" i="16"/>
  <c r="DO64" i="17"/>
  <c r="DN64" i="17"/>
  <c r="DM64" i="17"/>
  <c r="DT64" i="17"/>
  <c r="DL64" i="17"/>
  <c r="DS64" i="17"/>
  <c r="DR64" i="17"/>
  <c r="DQ64" i="17"/>
  <c r="DP64" i="17"/>
  <c r="IM64" i="17"/>
  <c r="IL64" i="17"/>
  <c r="IK64" i="17"/>
  <c r="IR64" i="17"/>
  <c r="IJ64" i="17"/>
  <c r="IQ64" i="17"/>
  <c r="IP64" i="17"/>
  <c r="IO64" i="17"/>
  <c r="IN64" i="17"/>
  <c r="OE64" i="17"/>
  <c r="OD64" i="17"/>
  <c r="OC64" i="17"/>
  <c r="OB64" i="17"/>
  <c r="OA64" i="17"/>
  <c r="NZ64" i="17"/>
  <c r="NY64" i="17"/>
  <c r="OF64" i="17"/>
  <c r="NX64" i="17"/>
  <c r="MU64" i="13"/>
  <c r="MT64" i="13"/>
  <c r="MZ64" i="13"/>
  <c r="MR64" i="13"/>
  <c r="MY64" i="13"/>
  <c r="MX64" i="13"/>
  <c r="MW64" i="13"/>
  <c r="MV64" i="13"/>
  <c r="MS64" i="13"/>
  <c r="OA64" i="13"/>
  <c r="NZ64" i="13"/>
  <c r="OF64" i="13"/>
  <c r="NX64" i="13"/>
  <c r="OE64" i="13"/>
  <c r="OD64" i="13"/>
  <c r="OC64" i="13"/>
  <c r="NY64" i="13"/>
  <c r="OB64" i="13"/>
  <c r="GC64" i="15"/>
  <c r="GB64" i="15"/>
  <c r="FZ64" i="15"/>
  <c r="FY64" i="15"/>
  <c r="GF64" i="15"/>
  <c r="GE64" i="15"/>
  <c r="GD64" i="15"/>
  <c r="GA64" i="15"/>
  <c r="FX64" i="15"/>
  <c r="LP64" i="15"/>
  <c r="LO64" i="15"/>
  <c r="LN64" i="15"/>
  <c r="LM64" i="15"/>
  <c r="LT64" i="15"/>
  <c r="LL64" i="15"/>
  <c r="LS64" i="15"/>
  <c r="LQ64" i="15"/>
  <c r="LR64" i="15"/>
  <c r="KY64" i="16"/>
  <c r="KX64" i="16"/>
  <c r="KW64" i="16"/>
  <c r="LD64" i="16"/>
  <c r="KV64" i="16"/>
  <c r="LC64" i="16"/>
  <c r="LB64" i="16"/>
  <c r="LA64" i="16"/>
  <c r="KZ64" i="16"/>
  <c r="EI64" i="17"/>
  <c r="EH64" i="17"/>
  <c r="EG64" i="17"/>
  <c r="EF64" i="17"/>
  <c r="EE64" i="17"/>
  <c r="ED64" i="17"/>
  <c r="EC64" i="17"/>
  <c r="EJ64" i="17"/>
  <c r="EB64" i="17"/>
  <c r="JG64" i="17"/>
  <c r="JF64" i="17"/>
  <c r="JE64" i="17"/>
  <c r="JD64" i="17"/>
  <c r="JC64" i="17"/>
  <c r="JB64" i="17"/>
  <c r="JA64" i="17"/>
  <c r="JH64" i="17"/>
  <c r="IZ64" i="17"/>
  <c r="MJ64" i="15"/>
  <c r="MB64" i="15"/>
  <c r="MI64" i="15"/>
  <c r="MH64" i="15"/>
  <c r="MG64" i="15"/>
  <c r="MF64" i="15"/>
  <c r="ME64" i="15"/>
  <c r="MC64" i="15"/>
  <c r="MD64" i="15"/>
  <c r="GB64" i="16"/>
  <c r="GA64" i="16"/>
  <c r="FZ64" i="16"/>
  <c r="FY64" i="16"/>
  <c r="GF64" i="16"/>
  <c r="FX64" i="16"/>
  <c r="GE64" i="16"/>
  <c r="GD64" i="16"/>
  <c r="GC64" i="16"/>
  <c r="LS64" i="16"/>
  <c r="LR64" i="16"/>
  <c r="LQ64" i="16"/>
  <c r="LP64" i="16"/>
  <c r="LO64" i="16"/>
  <c r="LN64" i="16"/>
  <c r="LM64" i="16"/>
  <c r="LT64" i="16"/>
  <c r="LL64" i="16"/>
  <c r="EU64" i="17"/>
  <c r="ET64" i="17"/>
  <c r="ES64" i="17"/>
  <c r="EZ64" i="17"/>
  <c r="ER64" i="17"/>
  <c r="EY64" i="17"/>
  <c r="EX64" i="17"/>
  <c r="EW64" i="17"/>
  <c r="EV64" i="17"/>
  <c r="KM64" i="17"/>
  <c r="KL64" i="17"/>
  <c r="KK64" i="17"/>
  <c r="KJ64" i="17"/>
  <c r="KI64" i="17"/>
  <c r="KH64" i="17"/>
  <c r="KG64" i="17"/>
  <c r="KN64" i="17"/>
  <c r="KF64" i="17"/>
  <c r="FP64" i="15"/>
  <c r="FH64" i="15"/>
  <c r="FO64" i="15"/>
  <c r="FM64" i="15"/>
  <c r="FL64" i="15"/>
  <c r="FN64" i="15"/>
  <c r="FK64" i="15"/>
  <c r="FJ64" i="15"/>
  <c r="FI64" i="15"/>
  <c r="KI64" i="13"/>
  <c r="KH64" i="13"/>
  <c r="KN64" i="13"/>
  <c r="KF64" i="13"/>
  <c r="KM64" i="13"/>
  <c r="KL64" i="13"/>
  <c r="KK64" i="13"/>
  <c r="KJ64" i="13"/>
  <c r="KG64" i="13"/>
  <c r="JC64" i="13"/>
  <c r="JB64" i="13"/>
  <c r="JH64" i="13"/>
  <c r="IZ64" i="13"/>
  <c r="JG64" i="13"/>
  <c r="JF64" i="13"/>
  <c r="JE64" i="13"/>
  <c r="JD64" i="13"/>
  <c r="JA64" i="13"/>
  <c r="CM64" i="15"/>
  <c r="CL64" i="15"/>
  <c r="CJ64" i="15"/>
  <c r="CI64" i="15"/>
  <c r="CG64" i="15"/>
  <c r="CH64" i="15"/>
  <c r="CF64" i="15"/>
  <c r="CN64" i="15"/>
  <c r="CK64" i="15"/>
  <c r="HI64" i="15"/>
  <c r="HH64" i="15"/>
  <c r="HF64" i="15"/>
  <c r="HE64" i="15"/>
  <c r="HL64" i="15"/>
  <c r="HK64" i="15"/>
  <c r="HJ64" i="15"/>
  <c r="HD64" i="15"/>
  <c r="HG64" i="15"/>
  <c r="MV64" i="15"/>
  <c r="MU64" i="15"/>
  <c r="MT64" i="15"/>
  <c r="MS64" i="15"/>
  <c r="MZ64" i="15"/>
  <c r="MR64" i="15"/>
  <c r="MY64" i="15"/>
  <c r="MW64" i="15"/>
  <c r="MX64" i="15"/>
  <c r="BH64" i="16"/>
  <c r="AZ64" i="16"/>
  <c r="BG64" i="16"/>
  <c r="BF64" i="16"/>
  <c r="BE64" i="16"/>
  <c r="BD64" i="16"/>
  <c r="BC64" i="16"/>
  <c r="BB64" i="16"/>
  <c r="BA64" i="16"/>
  <c r="GP64" i="16"/>
  <c r="GO64" i="16"/>
  <c r="GV64" i="16"/>
  <c r="GN64" i="16"/>
  <c r="GU64" i="16"/>
  <c r="GT64" i="16"/>
  <c r="GS64" i="16"/>
  <c r="GR64" i="16"/>
  <c r="GQ64" i="16"/>
  <c r="ME64" i="16"/>
  <c r="MD64" i="16"/>
  <c r="MC64" i="16"/>
  <c r="MJ64" i="16"/>
  <c r="MB64" i="16"/>
  <c r="MI64" i="16"/>
  <c r="MH64" i="16"/>
  <c r="MG64" i="16"/>
  <c r="MF64" i="16"/>
  <c r="KY64" i="17"/>
  <c r="KX64" i="17"/>
  <c r="KW64" i="17"/>
  <c r="LD64" i="17"/>
  <c r="KV64" i="17"/>
  <c r="LC64" i="17"/>
  <c r="LB64" i="17"/>
  <c r="LA64" i="17"/>
  <c r="KZ64" i="17"/>
  <c r="LO64" i="13"/>
  <c r="LN64" i="13"/>
  <c r="LT64" i="13"/>
  <c r="LL64" i="13"/>
  <c r="LS64" i="13"/>
  <c r="LR64" i="13"/>
  <c r="LQ64" i="13"/>
  <c r="LP64" i="13"/>
  <c r="LM64" i="13"/>
  <c r="CZ64" i="15"/>
  <c r="CY64" i="15"/>
  <c r="CW64" i="15"/>
  <c r="DD64" i="15"/>
  <c r="CV64" i="15"/>
  <c r="DB64" i="15"/>
  <c r="DA64" i="15"/>
  <c r="CX64" i="15"/>
  <c r="DC64" i="15"/>
  <c r="NP64" i="15"/>
  <c r="NH64" i="15"/>
  <c r="NO64" i="15"/>
  <c r="NN64" i="15"/>
  <c r="NM64" i="15"/>
  <c r="NL64" i="15"/>
  <c r="NK64" i="15"/>
  <c r="NI64" i="15"/>
  <c r="NJ64" i="15"/>
  <c r="CI64" i="16"/>
  <c r="CH64" i="16"/>
  <c r="CG64" i="16"/>
  <c r="CN64" i="16"/>
  <c r="CF64" i="16"/>
  <c r="CM64" i="16"/>
  <c r="CL64" i="16"/>
  <c r="CK64" i="16"/>
  <c r="CJ64" i="16"/>
  <c r="HK64" i="16"/>
  <c r="HJ64" i="16"/>
  <c r="HI64" i="16"/>
  <c r="HH64" i="16"/>
  <c r="HG64" i="16"/>
  <c r="HF64" i="16"/>
  <c r="HE64" i="16"/>
  <c r="HL64" i="16"/>
  <c r="HD64" i="16"/>
  <c r="MY64" i="16"/>
  <c r="MX64" i="16"/>
  <c r="MW64" i="16"/>
  <c r="MV64" i="16"/>
  <c r="MU64" i="16"/>
  <c r="MT64" i="16"/>
  <c r="MS64" i="16"/>
  <c r="MZ64" i="16"/>
  <c r="MR64" i="16"/>
  <c r="LS64" i="17"/>
  <c r="LR64" i="17"/>
  <c r="LQ64" i="17"/>
  <c r="LP64" i="17"/>
  <c r="LO64" i="17"/>
  <c r="LN64" i="17"/>
  <c r="LM64" i="17"/>
  <c r="LT64" i="17"/>
  <c r="LL64" i="17"/>
  <c r="LD64" i="15"/>
  <c r="KV64" i="15"/>
  <c r="LC64" i="15"/>
  <c r="LB64" i="15"/>
  <c r="LA64" i="15"/>
  <c r="KZ64" i="15"/>
  <c r="KY64" i="15"/>
  <c r="KW64" i="15"/>
  <c r="KX64" i="15"/>
  <c r="GO64" i="15"/>
  <c r="GV64" i="15"/>
  <c r="GN64" i="15"/>
  <c r="GT64" i="15"/>
  <c r="GS64" i="15"/>
  <c r="GU64" i="15"/>
  <c r="GR64" i="15"/>
  <c r="GQ64" i="15"/>
  <c r="GP64" i="15"/>
  <c r="LC64" i="13"/>
  <c r="LB64" i="13"/>
  <c r="KZ64" i="13"/>
  <c r="KY64" i="13"/>
  <c r="LD64" i="13"/>
  <c r="LA64" i="13"/>
  <c r="KX64" i="13"/>
  <c r="KW64" i="13"/>
  <c r="KV64" i="13"/>
  <c r="MI64" i="13"/>
  <c r="MH64" i="13"/>
  <c r="MF64" i="13"/>
  <c r="ME64" i="13"/>
  <c r="MJ64" i="13"/>
  <c r="MG64" i="13"/>
  <c r="MD64" i="13"/>
  <c r="MC64" i="13"/>
  <c r="MB64" i="13"/>
  <c r="NO64" i="13"/>
  <c r="NN64" i="13"/>
  <c r="NL64" i="13"/>
  <c r="NK64" i="13"/>
  <c r="NP64" i="13"/>
  <c r="NM64" i="13"/>
  <c r="NJ64" i="13"/>
  <c r="NI64" i="13"/>
  <c r="NH64" i="13"/>
  <c r="DS64" i="15"/>
  <c r="DR64" i="15"/>
  <c r="DP64" i="15"/>
  <c r="DO64" i="15"/>
  <c r="DN64" i="15"/>
  <c r="DM64" i="15"/>
  <c r="DL64" i="15"/>
  <c r="DQ64" i="15"/>
  <c r="DT64" i="15"/>
  <c r="OB64" i="15"/>
  <c r="OA64" i="15"/>
  <c r="NZ64" i="15"/>
  <c r="NY64" i="15"/>
  <c r="OF64" i="15"/>
  <c r="NX64" i="15"/>
  <c r="OE64" i="15"/>
  <c r="OC64" i="15"/>
  <c r="OD64" i="15"/>
  <c r="DD64" i="16"/>
  <c r="CV64" i="16"/>
  <c r="DC64" i="16"/>
  <c r="DB64" i="16"/>
  <c r="DA64" i="16"/>
  <c r="CZ64" i="16"/>
  <c r="CY64" i="16"/>
  <c r="CX64" i="16"/>
  <c r="CW64" i="16"/>
  <c r="HY64" i="16"/>
  <c r="HX64" i="16"/>
  <c r="HW64" i="16"/>
  <c r="HV64" i="16"/>
  <c r="HU64" i="16"/>
  <c r="IB64" i="16"/>
  <c r="HT64" i="16"/>
  <c r="IA64" i="16"/>
  <c r="HZ64" i="16"/>
  <c r="NK64" i="16"/>
  <c r="NJ64" i="16"/>
  <c r="NI64" i="16"/>
  <c r="NP64" i="16"/>
  <c r="NH64" i="16"/>
  <c r="NO64" i="16"/>
  <c r="NN64" i="16"/>
  <c r="NM64" i="16"/>
  <c r="NL64" i="16"/>
  <c r="BC64" i="17"/>
  <c r="BB64" i="17"/>
  <c r="BA64" i="17"/>
  <c r="BH64" i="17"/>
  <c r="AZ64" i="17"/>
  <c r="BG64" i="17"/>
  <c r="BF64" i="17"/>
  <c r="BE64" i="17"/>
  <c r="BD64" i="17"/>
  <c r="ME64" i="17"/>
  <c r="MD64" i="17"/>
  <c r="MC64" i="17"/>
  <c r="MJ64" i="17"/>
  <c r="MB64" i="17"/>
  <c r="MI64" i="17"/>
  <c r="MH64" i="17"/>
  <c r="MG64" i="17"/>
  <c r="MF64" i="17"/>
  <c r="JC64" i="15"/>
  <c r="JB64" i="15"/>
  <c r="JH64" i="15"/>
  <c r="IZ64" i="15"/>
  <c r="JG64" i="15"/>
  <c r="JD64" i="15"/>
  <c r="JA64" i="15"/>
  <c r="JE64" i="15"/>
  <c r="JF64" i="15"/>
  <c r="DR64" i="16"/>
  <c r="DQ64" i="16"/>
  <c r="DP64" i="16"/>
  <c r="DO64" i="16"/>
  <c r="DN64" i="16"/>
  <c r="DM64" i="16"/>
  <c r="DT64" i="16"/>
  <c r="DL64" i="16"/>
  <c r="DS64" i="16"/>
  <c r="IL64" i="16"/>
  <c r="IK64" i="16"/>
  <c r="IR64" i="16"/>
  <c r="IJ64" i="16"/>
  <c r="IQ64" i="16"/>
  <c r="IP64" i="16"/>
  <c r="IO64" i="16"/>
  <c r="IN64" i="16"/>
  <c r="IM64" i="16"/>
  <c r="OE64" i="16"/>
  <c r="OD64" i="16"/>
  <c r="OC64" i="16"/>
  <c r="OB64" i="16"/>
  <c r="OA64" i="16"/>
  <c r="NZ64" i="16"/>
  <c r="NY64" i="16"/>
  <c r="OF64" i="16"/>
  <c r="NX64" i="16"/>
  <c r="HG64" i="17"/>
  <c r="HF64" i="17"/>
  <c r="HE64" i="17"/>
  <c r="HL64" i="17"/>
  <c r="HD64" i="17"/>
  <c r="HK64" i="17"/>
  <c r="HJ64" i="17"/>
  <c r="HI64" i="17"/>
  <c r="HH64" i="17"/>
  <c r="MY64" i="17"/>
  <c r="MX64" i="17"/>
  <c r="MW64" i="17"/>
  <c r="MV64" i="17"/>
  <c r="MU64" i="17"/>
  <c r="MT64" i="17"/>
  <c r="MS64" i="17"/>
  <c r="MZ64" i="17"/>
  <c r="MR64" i="17"/>
  <c r="EU64" i="15"/>
  <c r="ET64" i="15"/>
  <c r="EZ64" i="15"/>
  <c r="ER64" i="15"/>
  <c r="EY64" i="15"/>
  <c r="EW64" i="15"/>
  <c r="EV64" i="15"/>
  <c r="ES64" i="15"/>
  <c r="EX64" i="15"/>
  <c r="KJ64" i="15"/>
  <c r="KI64" i="15"/>
  <c r="KH64" i="15"/>
  <c r="KG64" i="15"/>
  <c r="KN64" i="15"/>
  <c r="KF64" i="15"/>
  <c r="KM64" i="15"/>
  <c r="KK64" i="15"/>
  <c r="KL64" i="15"/>
  <c r="EF64" i="16"/>
  <c r="EE64" i="16"/>
  <c r="ED64" i="16"/>
  <c r="EC64" i="16"/>
  <c r="EJ64" i="16"/>
  <c r="EB64" i="16"/>
  <c r="EI64" i="16"/>
  <c r="EH64" i="16"/>
  <c r="EG64" i="16"/>
  <c r="JG64" i="16"/>
  <c r="JF64" i="16"/>
  <c r="JE64" i="16"/>
  <c r="JD64" i="16"/>
  <c r="JC64" i="16"/>
  <c r="JB64" i="16"/>
  <c r="JA64" i="16"/>
  <c r="JH64" i="16"/>
  <c r="IZ64" i="16"/>
  <c r="DC64" i="17"/>
  <c r="DB64" i="17"/>
  <c r="DA64" i="17"/>
  <c r="CZ64" i="17"/>
  <c r="CY64" i="17"/>
  <c r="DD64" i="17"/>
  <c r="IA64" i="17"/>
  <c r="HZ64" i="17"/>
  <c r="HY64" i="17"/>
  <c r="HX64" i="17"/>
  <c r="HW64" i="17"/>
  <c r="HV64" i="17"/>
  <c r="HU64" i="17"/>
  <c r="IB64" i="17"/>
  <c r="HT64" i="17"/>
  <c r="NK64" i="17"/>
  <c r="NJ64" i="17"/>
  <c r="NI64" i="17"/>
  <c r="NP64" i="17"/>
  <c r="NH64" i="17"/>
  <c r="NO64" i="17"/>
  <c r="NN64" i="17"/>
  <c r="NM64" i="17"/>
  <c r="NL64" i="17"/>
  <c r="BA96" i="16"/>
  <c r="BH96" i="16"/>
  <c r="AZ96" i="16"/>
  <c r="BG96" i="16"/>
  <c r="BF96" i="16"/>
  <c r="BB96" i="16"/>
  <c r="BE96" i="16"/>
  <c r="BC96" i="16"/>
  <c r="BD96" i="16"/>
  <c r="BB95" i="16"/>
  <c r="BA95" i="16"/>
  <c r="BH95" i="16"/>
  <c r="AZ95" i="16"/>
  <c r="BG95" i="16"/>
  <c r="BF95" i="16"/>
  <c r="BE95" i="16"/>
  <c r="BD95" i="16"/>
  <c r="BC95" i="16"/>
  <c r="CI96" i="16"/>
  <c r="CH96" i="16"/>
  <c r="CG96" i="16"/>
  <c r="CN96" i="16"/>
  <c r="CF96" i="16"/>
  <c r="CM96" i="16"/>
  <c r="CL96" i="16"/>
  <c r="CK96" i="16"/>
  <c r="CJ96" i="16"/>
  <c r="CW96" i="16"/>
  <c r="DD96" i="16"/>
  <c r="CV96" i="16"/>
  <c r="DC96" i="16"/>
  <c r="DB96" i="16"/>
  <c r="DA96" i="16"/>
  <c r="CZ96" i="16"/>
  <c r="CY96" i="16"/>
  <c r="CX96" i="16"/>
  <c r="CX95" i="16"/>
  <c r="CW95" i="16"/>
  <c r="DD95" i="16"/>
  <c r="CV95" i="16"/>
  <c r="DC95" i="16"/>
  <c r="DB95" i="16"/>
  <c r="DA95" i="16"/>
  <c r="CZ95" i="16"/>
  <c r="CY95" i="16"/>
  <c r="DS96" i="16"/>
  <c r="DR96" i="16"/>
  <c r="DQ96" i="16"/>
  <c r="DP96" i="16"/>
  <c r="DO96" i="16"/>
  <c r="DN96" i="16"/>
  <c r="DM96" i="16"/>
  <c r="DT96" i="16"/>
  <c r="DL96" i="16"/>
  <c r="DT95" i="16"/>
  <c r="DL95" i="16"/>
  <c r="DS95" i="16"/>
  <c r="DR95" i="16"/>
  <c r="DQ95" i="16"/>
  <c r="DP95" i="16"/>
  <c r="DO95" i="16"/>
  <c r="DN95" i="16"/>
  <c r="DM95" i="16"/>
  <c r="EG96" i="16"/>
  <c r="EF96" i="16"/>
  <c r="EE96" i="16"/>
  <c r="EH96" i="16"/>
  <c r="ED96" i="16"/>
  <c r="EI96" i="16"/>
  <c r="EC96" i="16"/>
  <c r="EJ96" i="16"/>
  <c r="EB96" i="16"/>
  <c r="EH95" i="16"/>
  <c r="EG95" i="16"/>
  <c r="EF95" i="16"/>
  <c r="EE95" i="16"/>
  <c r="ED95" i="16"/>
  <c r="EC95" i="16"/>
  <c r="EJ95" i="16"/>
  <c r="EB95" i="16"/>
  <c r="EI95" i="16"/>
  <c r="EU96" i="16"/>
  <c r="ET96" i="16"/>
  <c r="ES96" i="16"/>
  <c r="EZ96" i="16"/>
  <c r="ER96" i="16"/>
  <c r="EY96" i="16"/>
  <c r="EX96" i="16"/>
  <c r="EW96" i="16"/>
  <c r="EV96" i="16"/>
  <c r="EV95" i="16"/>
  <c r="EU95" i="16"/>
  <c r="ET95" i="16"/>
  <c r="ES95" i="16"/>
  <c r="EZ95" i="16"/>
  <c r="ER95" i="16"/>
  <c r="EY95" i="16"/>
  <c r="EX95" i="16"/>
  <c r="EW95" i="16"/>
  <c r="GC95" i="16"/>
  <c r="GB95" i="16"/>
  <c r="GA95" i="16"/>
  <c r="FZ95" i="16"/>
  <c r="FY95" i="16"/>
  <c r="GF95" i="16"/>
  <c r="FX95" i="16"/>
  <c r="GE95" i="16"/>
  <c r="GD95" i="16"/>
  <c r="GC96" i="16"/>
  <c r="GB96" i="16"/>
  <c r="GA96" i="16"/>
  <c r="FZ96" i="16"/>
  <c r="FY96" i="16"/>
  <c r="GD96" i="16"/>
  <c r="GF96" i="16"/>
  <c r="FX96" i="16"/>
  <c r="GE96" i="16"/>
  <c r="GQ95" i="16"/>
  <c r="GP95" i="16"/>
  <c r="GO95" i="16"/>
  <c r="GV95" i="16"/>
  <c r="GN95" i="16"/>
  <c r="GU95" i="16"/>
  <c r="GT95" i="16"/>
  <c r="GS95" i="16"/>
  <c r="GR95" i="16"/>
  <c r="HL95" i="16"/>
  <c r="HD95" i="16"/>
  <c r="HK95" i="16"/>
  <c r="HJ95" i="16"/>
  <c r="HI95" i="16"/>
  <c r="HH95" i="16"/>
  <c r="HG95" i="16"/>
  <c r="HF95" i="16"/>
  <c r="HE95" i="16"/>
  <c r="HL96" i="16"/>
  <c r="HD96" i="16"/>
  <c r="HK96" i="16"/>
  <c r="HJ96" i="16"/>
  <c r="HI96" i="16"/>
  <c r="HH96" i="16"/>
  <c r="HG96" i="16"/>
  <c r="HF96" i="16"/>
  <c r="HE96" i="16"/>
  <c r="HZ95" i="16"/>
  <c r="HY95" i="16"/>
  <c r="HX95" i="16"/>
  <c r="HT95" i="16"/>
  <c r="IA95" i="16"/>
  <c r="HW95" i="16"/>
  <c r="HV95" i="16"/>
  <c r="IB95" i="16"/>
  <c r="HU95" i="16"/>
  <c r="IL96" i="16"/>
  <c r="IK96" i="16"/>
  <c r="IR96" i="16"/>
  <c r="IJ96" i="16"/>
  <c r="IQ96" i="16"/>
  <c r="IP96" i="16"/>
  <c r="IO96" i="16"/>
  <c r="IN96" i="16"/>
  <c r="IM96" i="16"/>
  <c r="FN76" i="16"/>
  <c r="FM76" i="16"/>
  <c r="FL76" i="16"/>
  <c r="FK76" i="16"/>
  <c r="FJ76" i="16"/>
  <c r="FO76" i="16"/>
  <c r="FI76" i="16"/>
  <c r="FP76" i="16"/>
  <c r="FH76" i="16"/>
  <c r="FL66" i="16"/>
  <c r="FK66" i="16"/>
  <c r="FJ66" i="16"/>
  <c r="FI66" i="16"/>
  <c r="FP66" i="16"/>
  <c r="FH66" i="16"/>
  <c r="FM66" i="16"/>
  <c r="FO66" i="16"/>
  <c r="FN66" i="16"/>
  <c r="FP73" i="16"/>
  <c r="FH73" i="16"/>
  <c r="FO73" i="16"/>
  <c r="FN73" i="16"/>
  <c r="FM73" i="16"/>
  <c r="FL73" i="16"/>
  <c r="FI73" i="16"/>
  <c r="FK73" i="16"/>
  <c r="FJ73" i="16"/>
  <c r="FL85" i="16"/>
  <c r="FK85" i="16"/>
  <c r="FJ85" i="16"/>
  <c r="FI85" i="16"/>
  <c r="FM85" i="16"/>
  <c r="FP85" i="16"/>
  <c r="FH85" i="16"/>
  <c r="FO85" i="16"/>
  <c r="FN85" i="16"/>
  <c r="FN96" i="16"/>
  <c r="FM96" i="16"/>
  <c r="FL96" i="16"/>
  <c r="FK96" i="16"/>
  <c r="FJ96" i="16"/>
  <c r="FO96" i="16"/>
  <c r="FI96" i="16"/>
  <c r="FP96" i="16"/>
  <c r="FH96" i="16"/>
  <c r="FI69" i="16"/>
  <c r="FP69" i="16"/>
  <c r="FH69" i="16"/>
  <c r="FO69" i="16"/>
  <c r="FN69" i="16"/>
  <c r="FM69" i="16"/>
  <c r="FL69" i="16"/>
  <c r="FJ69" i="16"/>
  <c r="FK69" i="16"/>
  <c r="FJ68" i="16"/>
  <c r="FI68" i="16"/>
  <c r="FP68" i="16"/>
  <c r="FH68" i="16"/>
  <c r="FO68" i="16"/>
  <c r="FN68" i="16"/>
  <c r="FK68" i="16"/>
  <c r="FM68" i="16"/>
  <c r="FL68" i="16"/>
  <c r="FO75" i="16"/>
  <c r="FN75" i="16"/>
  <c r="FM75" i="16"/>
  <c r="FL75" i="16"/>
  <c r="FK75" i="16"/>
  <c r="FP75" i="16"/>
  <c r="FH75" i="16"/>
  <c r="FJ75" i="16"/>
  <c r="FI75" i="16"/>
  <c r="FJ88" i="16"/>
  <c r="FI88" i="16"/>
  <c r="FP88" i="16"/>
  <c r="FH88" i="16"/>
  <c r="FO88" i="16"/>
  <c r="FN88" i="16"/>
  <c r="FK88" i="16"/>
  <c r="FM88" i="16"/>
  <c r="FL88" i="16"/>
  <c r="FN64" i="16"/>
  <c r="FM64" i="16"/>
  <c r="FL64" i="16"/>
  <c r="FK64" i="16"/>
  <c r="FJ64" i="16"/>
  <c r="FI64" i="16"/>
  <c r="FO64" i="16"/>
  <c r="FP64" i="16"/>
  <c r="FH64" i="16"/>
  <c r="FO95" i="16"/>
  <c r="FN95" i="16"/>
  <c r="FM95" i="16"/>
  <c r="FL95" i="16"/>
  <c r="FK95" i="16"/>
  <c r="FJ95" i="16"/>
  <c r="FP95" i="16"/>
  <c r="FI95" i="16"/>
  <c r="FH95" i="16"/>
  <c r="FM65" i="16"/>
  <c r="FL65" i="16"/>
  <c r="FK65" i="16"/>
  <c r="FJ65" i="16"/>
  <c r="FN65" i="16"/>
  <c r="FI65" i="16"/>
  <c r="FP65" i="16"/>
  <c r="FH65" i="16"/>
  <c r="FO65" i="16"/>
  <c r="FK67" i="16"/>
  <c r="FJ67" i="16"/>
  <c r="FI67" i="16"/>
  <c r="FP67" i="16"/>
  <c r="FH67" i="16"/>
  <c r="FO67" i="16"/>
  <c r="FN67" i="16"/>
  <c r="FL67" i="16"/>
  <c r="FM67" i="16"/>
  <c r="FK86" i="16"/>
  <c r="FJ86" i="16"/>
  <c r="FI86" i="16"/>
  <c r="FP86" i="16"/>
  <c r="FH86" i="16"/>
  <c r="FO86" i="16"/>
  <c r="FL86" i="16"/>
  <c r="FN86" i="16"/>
  <c r="FM86" i="16"/>
  <c r="FP94" i="16"/>
  <c r="FH94" i="16"/>
  <c r="FO94" i="16"/>
  <c r="FN94" i="16"/>
  <c r="FM94" i="16"/>
  <c r="FL94" i="16"/>
  <c r="FI94" i="16"/>
  <c r="FK94" i="16"/>
  <c r="FJ94" i="16"/>
  <c r="FI93" i="16"/>
  <c r="FP93" i="16"/>
  <c r="FH93" i="16"/>
  <c r="FJ93" i="16"/>
  <c r="FO93" i="16"/>
  <c r="FN93" i="16"/>
  <c r="FM93" i="16"/>
  <c r="FL93" i="16"/>
  <c r="FK93" i="16"/>
  <c r="BQ93" i="16"/>
  <c r="BX93" i="16"/>
  <c r="BP93" i="16"/>
  <c r="BW93" i="16"/>
  <c r="BV93" i="16"/>
  <c r="BU93" i="16"/>
  <c r="BT93" i="16"/>
  <c r="BS93" i="16"/>
  <c r="BR93" i="16"/>
  <c r="BT66" i="16"/>
  <c r="BS66" i="16"/>
  <c r="BR66" i="16"/>
  <c r="BQ66" i="16"/>
  <c r="BX66" i="16"/>
  <c r="BP66" i="16"/>
  <c r="BW66" i="16"/>
  <c r="BV66" i="16"/>
  <c r="BU66" i="16"/>
  <c r="BX73" i="16"/>
  <c r="BP73" i="16"/>
  <c r="BW73" i="16"/>
  <c r="BV73" i="16"/>
  <c r="BU73" i="16"/>
  <c r="BT73" i="16"/>
  <c r="BS73" i="16"/>
  <c r="BR73" i="16"/>
  <c r="BQ73" i="16"/>
  <c r="BT85" i="16"/>
  <c r="BS85" i="16"/>
  <c r="BR85" i="16"/>
  <c r="BQ85" i="16"/>
  <c r="BX85" i="16"/>
  <c r="BP85" i="16"/>
  <c r="BW85" i="16"/>
  <c r="BV85" i="16"/>
  <c r="BU85" i="16"/>
  <c r="BV96" i="16"/>
  <c r="BU96" i="16"/>
  <c r="BT96" i="16"/>
  <c r="BS96" i="16"/>
  <c r="BR96" i="16"/>
  <c r="BQ96" i="16"/>
  <c r="BX96" i="16"/>
  <c r="BP96" i="16"/>
  <c r="BW96" i="16"/>
  <c r="BU65" i="16"/>
  <c r="BT65" i="16"/>
  <c r="BS65" i="16"/>
  <c r="BR65" i="16"/>
  <c r="BQ65" i="16"/>
  <c r="BX65" i="16"/>
  <c r="BP65" i="16"/>
  <c r="BW65" i="16"/>
  <c r="BV65" i="16"/>
  <c r="BQ69" i="16"/>
  <c r="BX69" i="16"/>
  <c r="BP69" i="16"/>
  <c r="BW69" i="16"/>
  <c r="BV69" i="16"/>
  <c r="BU69" i="16"/>
  <c r="BT69" i="16"/>
  <c r="BS69" i="16"/>
  <c r="BR69" i="16"/>
  <c r="BV76" i="16"/>
  <c r="BU76" i="16"/>
  <c r="BT76" i="16"/>
  <c r="BS76" i="16"/>
  <c r="BR76" i="16"/>
  <c r="BQ76" i="16"/>
  <c r="BX76" i="16"/>
  <c r="BP76" i="16"/>
  <c r="BW76" i="16"/>
  <c r="BX94" i="16"/>
  <c r="BP94" i="16"/>
  <c r="BW94" i="16"/>
  <c r="BV94" i="16"/>
  <c r="BU94" i="16"/>
  <c r="BT94" i="16"/>
  <c r="BS94" i="16"/>
  <c r="BR94" i="16"/>
  <c r="BQ94" i="16"/>
  <c r="BR68" i="16"/>
  <c r="BQ68" i="16"/>
  <c r="BX68" i="16"/>
  <c r="BP68" i="16"/>
  <c r="BW68" i="16"/>
  <c r="BV68" i="16"/>
  <c r="BU68" i="16"/>
  <c r="BT68" i="16"/>
  <c r="BS68" i="16"/>
  <c r="BW75" i="16"/>
  <c r="BV75" i="16"/>
  <c r="BU75" i="16"/>
  <c r="BT75" i="16"/>
  <c r="BS75" i="16"/>
  <c r="BR75" i="16"/>
  <c r="BQ75" i="16"/>
  <c r="BX75" i="16"/>
  <c r="BP75" i="16"/>
  <c r="BR88" i="16"/>
  <c r="BQ88" i="16"/>
  <c r="BX88" i="16"/>
  <c r="BP88" i="16"/>
  <c r="BW88" i="16"/>
  <c r="BV88" i="16"/>
  <c r="BU88" i="16"/>
  <c r="BT88" i="16"/>
  <c r="BS88" i="16"/>
  <c r="BW95" i="16"/>
  <c r="BV95" i="16"/>
  <c r="BU95" i="16"/>
  <c r="BT95" i="16"/>
  <c r="BS95" i="16"/>
  <c r="BR95" i="16"/>
  <c r="BQ95" i="16"/>
  <c r="BX95" i="16"/>
  <c r="BP95" i="16"/>
  <c r="BS67" i="16"/>
  <c r="BR67" i="16"/>
  <c r="BQ67" i="16"/>
  <c r="BX67" i="16"/>
  <c r="BP67" i="16"/>
  <c r="BW67" i="16"/>
  <c r="BV67" i="16"/>
  <c r="BU67" i="16"/>
  <c r="BT67" i="16"/>
  <c r="BS86" i="16"/>
  <c r="BR86" i="16"/>
  <c r="BQ86" i="16"/>
  <c r="BX86" i="16"/>
  <c r="BP86" i="16"/>
  <c r="BW86" i="16"/>
  <c r="BV86" i="16"/>
  <c r="BU86" i="16"/>
  <c r="BT86" i="16"/>
  <c r="EJ66" i="15"/>
  <c r="EB66" i="15"/>
  <c r="EI66" i="15"/>
  <c r="EH66" i="15"/>
  <c r="EG66" i="15"/>
  <c r="EF66" i="15"/>
  <c r="EE66" i="15"/>
  <c r="ED66" i="15"/>
  <c r="EC66" i="15"/>
  <c r="EJ85" i="15"/>
  <c r="EB85" i="15"/>
  <c r="EI85" i="15"/>
  <c r="EH85" i="15"/>
  <c r="EG85" i="15"/>
  <c r="EF85" i="15"/>
  <c r="EE85" i="15"/>
  <c r="ED85" i="15"/>
  <c r="EC85" i="15"/>
  <c r="EC65" i="15"/>
  <c r="EJ65" i="15"/>
  <c r="EB65" i="15"/>
  <c r="EI65" i="15"/>
  <c r="EH65" i="15"/>
  <c r="EG65" i="15"/>
  <c r="EF65" i="15"/>
  <c r="EE65" i="15"/>
  <c r="ED65" i="15"/>
  <c r="EG69" i="15"/>
  <c r="EF69" i="15"/>
  <c r="EE69" i="15"/>
  <c r="ED69" i="15"/>
  <c r="EC69" i="15"/>
  <c r="EJ69" i="15"/>
  <c r="EB69" i="15"/>
  <c r="EI69" i="15"/>
  <c r="EH69" i="15"/>
  <c r="B84" i="15"/>
  <c r="EE75" i="15"/>
  <c r="ED75" i="15"/>
  <c r="EC75" i="15"/>
  <c r="EJ75" i="15"/>
  <c r="EB75" i="15"/>
  <c r="EI75" i="15"/>
  <c r="EH75" i="15"/>
  <c r="EG75" i="15"/>
  <c r="EF75" i="15"/>
  <c r="EH68" i="15"/>
  <c r="EG68" i="15"/>
  <c r="EF68" i="15"/>
  <c r="EE68" i="15"/>
  <c r="ED68" i="15"/>
  <c r="EC68" i="15"/>
  <c r="EJ68" i="15"/>
  <c r="EB68" i="15"/>
  <c r="EI68" i="15"/>
  <c r="EI86" i="15"/>
  <c r="EH86" i="15"/>
  <c r="EG86" i="15"/>
  <c r="EF86" i="15"/>
  <c r="EE86" i="15"/>
  <c r="ED86" i="15"/>
  <c r="EC86" i="15"/>
  <c r="EJ86" i="15"/>
  <c r="EB86" i="15"/>
  <c r="ED64" i="15"/>
  <c r="EC64" i="15"/>
  <c r="EJ64" i="15"/>
  <c r="EB64" i="15"/>
  <c r="EI64" i="15"/>
  <c r="EH64" i="15"/>
  <c r="EG64" i="15"/>
  <c r="EF64" i="15"/>
  <c r="EE64" i="15"/>
  <c r="EF73" i="15"/>
  <c r="EE73" i="15"/>
  <c r="ED73" i="15"/>
  <c r="EC73" i="15"/>
  <c r="EJ73" i="15"/>
  <c r="EB73" i="15"/>
  <c r="EI73" i="15"/>
  <c r="EH73" i="15"/>
  <c r="EG73" i="15"/>
  <c r="EI67" i="15"/>
  <c r="EH67" i="15"/>
  <c r="EG67" i="15"/>
  <c r="EF67" i="15"/>
  <c r="EE67" i="15"/>
  <c r="ED67" i="15"/>
  <c r="EC67" i="15"/>
  <c r="EJ67" i="15"/>
  <c r="EB67" i="15"/>
  <c r="ED76" i="15"/>
  <c r="EC76" i="15"/>
  <c r="EJ76" i="15"/>
  <c r="EB76" i="15"/>
  <c r="EI76" i="15"/>
  <c r="EH76" i="15"/>
  <c r="EG76" i="15"/>
  <c r="EF76" i="15"/>
  <c r="EE76" i="15"/>
  <c r="EH88" i="15"/>
  <c r="EG88" i="15"/>
  <c r="EF88" i="15"/>
  <c r="EE88" i="15"/>
  <c r="ED88" i="15"/>
  <c r="EC88" i="15"/>
  <c r="EJ88" i="15"/>
  <c r="EB88" i="15"/>
  <c r="EI88" i="15"/>
  <c r="IL64" i="15"/>
  <c r="IK64" i="15"/>
  <c r="IR64" i="15"/>
  <c r="IJ64" i="15"/>
  <c r="IQ64" i="15"/>
  <c r="IP64" i="15"/>
  <c r="IO64" i="15"/>
  <c r="IN64" i="15"/>
  <c r="IM64" i="15"/>
  <c r="IN73" i="15"/>
  <c r="IM73" i="15"/>
  <c r="IL73" i="15"/>
  <c r="IK73" i="15"/>
  <c r="IR73" i="15"/>
  <c r="IJ73" i="15"/>
  <c r="IQ73" i="15"/>
  <c r="IP73" i="15"/>
  <c r="IO73" i="15"/>
  <c r="IQ67" i="15"/>
  <c r="IP67" i="15"/>
  <c r="IO67" i="15"/>
  <c r="IN67" i="15"/>
  <c r="IM67" i="15"/>
  <c r="IL67" i="15"/>
  <c r="IK67" i="15"/>
  <c r="IR67" i="15"/>
  <c r="IJ67" i="15"/>
  <c r="IL76" i="15"/>
  <c r="IK76" i="15"/>
  <c r="IR76" i="15"/>
  <c r="IJ76" i="15"/>
  <c r="IQ76" i="15"/>
  <c r="IP76" i="15"/>
  <c r="IO76" i="15"/>
  <c r="IN76" i="15"/>
  <c r="IM76" i="15"/>
  <c r="IM75" i="15"/>
  <c r="IL75" i="15"/>
  <c r="IK75" i="15"/>
  <c r="IR75" i="15"/>
  <c r="IJ75" i="15"/>
  <c r="IQ75" i="15"/>
  <c r="IP75" i="15"/>
  <c r="IO75" i="15"/>
  <c r="IN75" i="15"/>
  <c r="IP68" i="15"/>
  <c r="IO68" i="15"/>
  <c r="IN68" i="15"/>
  <c r="IM68" i="15"/>
  <c r="IL68" i="15"/>
  <c r="IK68" i="15"/>
  <c r="IR68" i="15"/>
  <c r="IJ68" i="15"/>
  <c r="IQ68" i="15"/>
  <c r="IP88" i="15"/>
  <c r="IO88" i="15"/>
  <c r="IN88" i="15"/>
  <c r="IM88" i="15"/>
  <c r="IL88" i="15"/>
  <c r="IK88" i="15"/>
  <c r="IR88" i="15"/>
  <c r="IJ88" i="15"/>
  <c r="IQ88" i="15"/>
  <c r="IR66" i="15"/>
  <c r="IJ66" i="15"/>
  <c r="IQ66" i="15"/>
  <c r="IP66" i="15"/>
  <c r="IO66" i="15"/>
  <c r="IN66" i="15"/>
  <c r="IM66" i="15"/>
  <c r="IL66" i="15"/>
  <c r="IK66" i="15"/>
  <c r="IR85" i="15"/>
  <c r="IJ85" i="15"/>
  <c r="IQ85" i="15"/>
  <c r="IP85" i="15"/>
  <c r="IO85" i="15"/>
  <c r="IN85" i="15"/>
  <c r="IM85" i="15"/>
  <c r="IL85" i="15"/>
  <c r="IK85" i="15"/>
  <c r="IQ86" i="15"/>
  <c r="IM86" i="15"/>
  <c r="IP86" i="15"/>
  <c r="IO86" i="15"/>
  <c r="IN86" i="15"/>
  <c r="IL86" i="15"/>
  <c r="IK86" i="15"/>
  <c r="IR86" i="15"/>
  <c r="IJ86" i="15"/>
  <c r="IK65" i="15"/>
  <c r="IR65" i="15"/>
  <c r="IJ65" i="15"/>
  <c r="IQ65" i="15"/>
  <c r="IP65" i="15"/>
  <c r="IO65" i="15"/>
  <c r="IN65" i="15"/>
  <c r="IM65" i="15"/>
  <c r="IL65" i="15"/>
  <c r="IO69" i="15"/>
  <c r="IN69" i="15"/>
  <c r="IM69" i="15"/>
  <c r="IL69" i="15"/>
  <c r="IK69" i="15"/>
  <c r="IR69" i="15"/>
  <c r="IJ69" i="15"/>
  <c r="IQ69" i="15"/>
  <c r="IP69" i="15"/>
  <c r="HV68" i="15"/>
  <c r="HU68" i="15"/>
  <c r="IB68" i="15"/>
  <c r="HT68" i="15"/>
  <c r="IA68" i="15"/>
  <c r="HZ68" i="15"/>
  <c r="HY68" i="15"/>
  <c r="HX68" i="15"/>
  <c r="HW68" i="15"/>
  <c r="HW86" i="15"/>
  <c r="HV86" i="15"/>
  <c r="HU86" i="15"/>
  <c r="IB86" i="15"/>
  <c r="HT86" i="15"/>
  <c r="IA86" i="15"/>
  <c r="HZ86" i="15"/>
  <c r="HY86" i="15"/>
  <c r="HX86" i="15"/>
  <c r="HZ64" i="15"/>
  <c r="HY64" i="15"/>
  <c r="HX64" i="15"/>
  <c r="HW64" i="15"/>
  <c r="HV64" i="15"/>
  <c r="HU64" i="15"/>
  <c r="IB64" i="15"/>
  <c r="HT64" i="15"/>
  <c r="IA64" i="15"/>
  <c r="IB73" i="15"/>
  <c r="HT73" i="15"/>
  <c r="IA73" i="15"/>
  <c r="HZ73" i="15"/>
  <c r="HY73" i="15"/>
  <c r="HX73" i="15"/>
  <c r="HW73" i="15"/>
  <c r="HV73" i="15"/>
  <c r="HU73" i="15"/>
  <c r="HW67" i="15"/>
  <c r="HV67" i="15"/>
  <c r="HU67" i="15"/>
  <c r="IB67" i="15"/>
  <c r="HT67" i="15"/>
  <c r="IA67" i="15"/>
  <c r="HZ67" i="15"/>
  <c r="HY67" i="15"/>
  <c r="HX67" i="15"/>
  <c r="HZ76" i="15"/>
  <c r="HY76" i="15"/>
  <c r="HX76" i="15"/>
  <c r="HW76" i="15"/>
  <c r="HV76" i="15"/>
  <c r="HU76" i="15"/>
  <c r="IB76" i="15"/>
  <c r="HT76" i="15"/>
  <c r="IA76" i="15"/>
  <c r="HV88" i="15"/>
  <c r="HU88" i="15"/>
  <c r="IB88" i="15"/>
  <c r="HT88" i="15"/>
  <c r="IA88" i="15"/>
  <c r="HZ88" i="15"/>
  <c r="HY88" i="15"/>
  <c r="HX88" i="15"/>
  <c r="HW88" i="15"/>
  <c r="HX66" i="15"/>
  <c r="HW66" i="15"/>
  <c r="HV66" i="15"/>
  <c r="HU66" i="15"/>
  <c r="IB66" i="15"/>
  <c r="HT66" i="15"/>
  <c r="IA66" i="15"/>
  <c r="HZ66" i="15"/>
  <c r="HY66" i="15"/>
  <c r="HX85" i="15"/>
  <c r="HW85" i="15"/>
  <c r="HV85" i="15"/>
  <c r="HU85" i="15"/>
  <c r="IB85" i="15"/>
  <c r="HT85" i="15"/>
  <c r="IA85" i="15"/>
  <c r="HZ85" i="15"/>
  <c r="HY85" i="15"/>
  <c r="HY65" i="15"/>
  <c r="HX65" i="15"/>
  <c r="HW65" i="15"/>
  <c r="HV65" i="15"/>
  <c r="HU65" i="15"/>
  <c r="IB65" i="15"/>
  <c r="HT65" i="15"/>
  <c r="IA65" i="15"/>
  <c r="HZ65" i="15"/>
  <c r="HU69" i="15"/>
  <c r="IB69" i="15"/>
  <c r="HT69" i="15"/>
  <c r="IA69" i="15"/>
  <c r="HZ69" i="15"/>
  <c r="HY69" i="15"/>
  <c r="HX69" i="15"/>
  <c r="HW69" i="15"/>
  <c r="HV69" i="15"/>
  <c r="IA75" i="15"/>
  <c r="HZ75" i="15"/>
  <c r="HY75" i="15"/>
  <c r="HX75" i="15"/>
  <c r="HW75" i="15"/>
  <c r="HV75" i="15"/>
  <c r="HU75" i="15"/>
  <c r="IB75" i="15"/>
  <c r="HT75" i="15"/>
  <c r="GQ104" i="17"/>
  <c r="GP104" i="17"/>
  <c r="GO104" i="17"/>
  <c r="GV104" i="17"/>
  <c r="GN104" i="17"/>
  <c r="GU104" i="17"/>
  <c r="GT104" i="17"/>
  <c r="GS104" i="17"/>
  <c r="GR104" i="17"/>
  <c r="GQ67" i="17"/>
  <c r="GO67" i="17"/>
  <c r="GT67" i="17"/>
  <c r="GP67" i="17"/>
  <c r="GV67" i="17"/>
  <c r="GN67" i="17"/>
  <c r="GU67" i="17"/>
  <c r="GS67" i="17"/>
  <c r="GR67" i="17"/>
  <c r="GQ86" i="17"/>
  <c r="GO86" i="17"/>
  <c r="GP86" i="17"/>
  <c r="GV86" i="17"/>
  <c r="GN86" i="17"/>
  <c r="GU86" i="17"/>
  <c r="GT86" i="17"/>
  <c r="GS86" i="17"/>
  <c r="GR86" i="17"/>
  <c r="GU95" i="17"/>
  <c r="GS95" i="17"/>
  <c r="GT95" i="17"/>
  <c r="GP95" i="17"/>
  <c r="GR95" i="17"/>
  <c r="GQ95" i="17"/>
  <c r="GO95" i="17"/>
  <c r="GV95" i="17"/>
  <c r="GN95" i="17"/>
  <c r="GT96" i="17"/>
  <c r="GR96" i="17"/>
  <c r="GO96" i="17"/>
  <c r="GS96" i="17"/>
  <c r="GV96" i="17"/>
  <c r="GQ96" i="17"/>
  <c r="GP96" i="17"/>
  <c r="GN96" i="17"/>
  <c r="GU96" i="17"/>
  <c r="GS102" i="17"/>
  <c r="GQ102" i="17"/>
  <c r="GV102" i="17"/>
  <c r="GU102" i="17"/>
  <c r="GR102" i="17"/>
  <c r="GP102" i="17"/>
  <c r="GO102" i="17"/>
  <c r="GN102" i="17"/>
  <c r="GT102" i="17"/>
  <c r="GP88" i="17"/>
  <c r="GV88" i="17"/>
  <c r="GN88" i="17"/>
  <c r="GS88" i="17"/>
  <c r="GO88" i="17"/>
  <c r="GR88" i="17"/>
  <c r="GU88" i="17"/>
  <c r="GT88" i="17"/>
  <c r="GQ88" i="17"/>
  <c r="GR66" i="17"/>
  <c r="GT66" i="17"/>
  <c r="GQ66" i="17"/>
  <c r="GP66" i="17"/>
  <c r="GO66" i="17"/>
  <c r="GV66" i="17"/>
  <c r="GN66" i="17"/>
  <c r="GU66" i="17"/>
  <c r="GS66" i="17"/>
  <c r="GV73" i="17"/>
  <c r="GN73" i="17"/>
  <c r="GT73" i="17"/>
  <c r="GP73" i="17"/>
  <c r="GU73" i="17"/>
  <c r="GS73" i="17"/>
  <c r="GR73" i="17"/>
  <c r="GQ73" i="17"/>
  <c r="GO73" i="17"/>
  <c r="GR85" i="17"/>
  <c r="GQ85" i="17"/>
  <c r="GP85" i="17"/>
  <c r="GU85" i="17"/>
  <c r="GT85" i="17"/>
  <c r="GO85" i="17"/>
  <c r="GV85" i="17"/>
  <c r="GN85" i="17"/>
  <c r="GS85" i="17"/>
  <c r="GV94" i="17"/>
  <c r="GN94" i="17"/>
  <c r="GT94" i="17"/>
  <c r="GQ94" i="17"/>
  <c r="GU94" i="17"/>
  <c r="GP94" i="17"/>
  <c r="GS94" i="17"/>
  <c r="GR94" i="17"/>
  <c r="GO94" i="17"/>
  <c r="GT64" i="17"/>
  <c r="GN64" i="17"/>
  <c r="GS64" i="17"/>
  <c r="GR64" i="17"/>
  <c r="GQ64" i="17"/>
  <c r="GP64" i="17"/>
  <c r="GO64" i="17"/>
  <c r="GV64" i="17"/>
  <c r="GU64" i="17"/>
  <c r="GP68" i="17"/>
  <c r="GN68" i="17"/>
  <c r="GO68" i="17"/>
  <c r="GV68" i="17"/>
  <c r="GR68" i="17"/>
  <c r="GU68" i="17"/>
  <c r="GT68" i="17"/>
  <c r="GS68" i="17"/>
  <c r="GQ68" i="17"/>
  <c r="GS65" i="17"/>
  <c r="GQ65" i="17"/>
  <c r="GN65" i="17"/>
  <c r="GR65" i="17"/>
  <c r="GV65" i="17"/>
  <c r="GU65" i="17"/>
  <c r="GP65" i="17"/>
  <c r="GO65" i="17"/>
  <c r="GT65" i="17"/>
  <c r="GO69" i="17"/>
  <c r="GU69" i="17"/>
  <c r="GV69" i="17"/>
  <c r="GN69" i="17"/>
  <c r="GR69" i="17"/>
  <c r="GT69" i="17"/>
  <c r="GS69" i="17"/>
  <c r="GQ69" i="17"/>
  <c r="GP69" i="17"/>
  <c r="GT76" i="17"/>
  <c r="GR76" i="17"/>
  <c r="GS76" i="17"/>
  <c r="GO76" i="17"/>
  <c r="GV76" i="17"/>
  <c r="GQ76" i="17"/>
  <c r="GP76" i="17"/>
  <c r="GN76" i="17"/>
  <c r="GU76" i="17"/>
  <c r="GO93" i="17"/>
  <c r="GU93" i="17"/>
  <c r="GV93" i="17"/>
  <c r="GN93" i="17"/>
  <c r="GR93" i="17"/>
  <c r="GT93" i="17"/>
  <c r="GS93" i="17"/>
  <c r="GQ93" i="17"/>
  <c r="GP93" i="17"/>
  <c r="GR103" i="17"/>
  <c r="GQ103" i="17"/>
  <c r="GP103" i="17"/>
  <c r="GU103" i="17"/>
  <c r="GO103" i="17"/>
  <c r="GV103" i="17"/>
  <c r="GN103" i="17"/>
  <c r="GT103" i="17"/>
  <c r="GS103" i="17"/>
  <c r="GU75" i="17"/>
  <c r="GP75" i="17"/>
  <c r="GT75" i="17"/>
  <c r="GS75" i="17"/>
  <c r="GO75" i="17"/>
  <c r="GR75" i="17"/>
  <c r="GQ75" i="17"/>
  <c r="GV75" i="17"/>
  <c r="GN75" i="17"/>
  <c r="FY102" i="17"/>
  <c r="GB102" i="17"/>
  <c r="GA102" i="17"/>
  <c r="FZ102" i="17"/>
  <c r="GF102" i="17"/>
  <c r="FX102" i="17"/>
  <c r="GE102" i="17"/>
  <c r="GD102" i="17"/>
  <c r="GC102" i="17"/>
  <c r="GA75" i="17"/>
  <c r="FZ75" i="17"/>
  <c r="FY75" i="17"/>
  <c r="GC75" i="17"/>
  <c r="GF75" i="17"/>
  <c r="FX75" i="17"/>
  <c r="GD75" i="17"/>
  <c r="GB75" i="17"/>
  <c r="GE75" i="17"/>
  <c r="FZ64" i="17"/>
  <c r="GA64" i="17"/>
  <c r="FY64" i="17"/>
  <c r="GF64" i="17"/>
  <c r="FX64" i="17"/>
  <c r="GC64" i="17"/>
  <c r="GE64" i="17"/>
  <c r="GD64" i="17"/>
  <c r="GB64" i="17"/>
  <c r="GE104" i="17"/>
  <c r="GD104" i="17"/>
  <c r="GC104" i="17"/>
  <c r="FZ104" i="17"/>
  <c r="FY104" i="17"/>
  <c r="FX104" i="17"/>
  <c r="GB104" i="17"/>
  <c r="GA104" i="17"/>
  <c r="GF104" i="17"/>
  <c r="GE67" i="17"/>
  <c r="GD67" i="17"/>
  <c r="GC67" i="17"/>
  <c r="FY67" i="17"/>
  <c r="FX67" i="17"/>
  <c r="GB67" i="17"/>
  <c r="GF67" i="17"/>
  <c r="GA67" i="17"/>
  <c r="FZ67" i="17"/>
  <c r="GF66" i="17"/>
  <c r="FX66" i="17"/>
  <c r="GE66" i="17"/>
  <c r="GD66" i="17"/>
  <c r="GC66" i="17"/>
  <c r="GA66" i="17"/>
  <c r="GB66" i="17"/>
  <c r="FZ66" i="17"/>
  <c r="FY66" i="17"/>
  <c r="GB73" i="17"/>
  <c r="GA73" i="17"/>
  <c r="FZ73" i="17"/>
  <c r="FY73" i="17"/>
  <c r="GD73" i="17"/>
  <c r="GF73" i="17"/>
  <c r="FX73" i="17"/>
  <c r="GE73" i="17"/>
  <c r="GC73" i="17"/>
  <c r="GF85" i="17"/>
  <c r="FX85" i="17"/>
  <c r="GE85" i="17"/>
  <c r="GD85" i="17"/>
  <c r="GC85" i="17"/>
  <c r="FZ85" i="17"/>
  <c r="GB85" i="17"/>
  <c r="GA85" i="17"/>
  <c r="FY85" i="17"/>
  <c r="GB94" i="17"/>
  <c r="GA94" i="17"/>
  <c r="FZ94" i="17"/>
  <c r="GE94" i="17"/>
  <c r="GD94" i="17"/>
  <c r="GC94" i="17"/>
  <c r="FY94" i="17"/>
  <c r="GF94" i="17"/>
  <c r="FX94" i="17"/>
  <c r="GD88" i="17"/>
  <c r="GC88" i="17"/>
  <c r="GB88" i="17"/>
  <c r="GA88" i="17"/>
  <c r="FY88" i="17"/>
  <c r="FX88" i="17"/>
  <c r="GE88" i="17"/>
  <c r="FZ88" i="17"/>
  <c r="GF88" i="17"/>
  <c r="GA95" i="17"/>
  <c r="FZ95" i="17"/>
  <c r="FY95" i="17"/>
  <c r="GF95" i="17"/>
  <c r="FX95" i="17"/>
  <c r="GE95" i="17"/>
  <c r="GD95" i="17"/>
  <c r="GC95" i="17"/>
  <c r="GB95" i="17"/>
  <c r="FY65" i="17"/>
  <c r="GB65" i="17"/>
  <c r="GF65" i="17"/>
  <c r="FX65" i="17"/>
  <c r="GE65" i="17"/>
  <c r="GA65" i="17"/>
  <c r="FZ65" i="17"/>
  <c r="GD65" i="17"/>
  <c r="GC65" i="17"/>
  <c r="GC69" i="17"/>
  <c r="GB69" i="17"/>
  <c r="GA69" i="17"/>
  <c r="GF69" i="17"/>
  <c r="GE69" i="17"/>
  <c r="FZ69" i="17"/>
  <c r="FY69" i="17"/>
  <c r="FX69" i="17"/>
  <c r="GD69" i="17"/>
  <c r="FZ76" i="17"/>
  <c r="GB76" i="17"/>
  <c r="GA76" i="17"/>
  <c r="FY76" i="17"/>
  <c r="GF76" i="17"/>
  <c r="FX76" i="17"/>
  <c r="GC76" i="17"/>
  <c r="GE76" i="17"/>
  <c r="GD76" i="17"/>
  <c r="GC93" i="17"/>
  <c r="FX93" i="17"/>
  <c r="GE93" i="17"/>
  <c r="GD93" i="17"/>
  <c r="GB93" i="17"/>
  <c r="GA93" i="17"/>
  <c r="FZ93" i="17"/>
  <c r="FY93" i="17"/>
  <c r="GF93" i="17"/>
  <c r="GF103" i="17"/>
  <c r="FX103" i="17"/>
  <c r="GE103" i="17"/>
  <c r="GD103" i="17"/>
  <c r="GC103" i="17"/>
  <c r="FY103" i="17"/>
  <c r="GB103" i="17"/>
  <c r="GA103" i="17"/>
  <c r="FZ103" i="17"/>
  <c r="GD68" i="17"/>
  <c r="GF68" i="17"/>
  <c r="GE68" i="17"/>
  <c r="GC68" i="17"/>
  <c r="GB68" i="17"/>
  <c r="FY68" i="17"/>
  <c r="GA68" i="17"/>
  <c r="FZ68" i="17"/>
  <c r="FX68" i="17"/>
  <c r="GE86" i="17"/>
  <c r="GD86" i="17"/>
  <c r="GC86" i="17"/>
  <c r="FZ86" i="17"/>
  <c r="FY86" i="17"/>
  <c r="FX86" i="17"/>
  <c r="GB86" i="17"/>
  <c r="GA86" i="17"/>
  <c r="GF86" i="17"/>
  <c r="FZ96" i="17"/>
  <c r="FY96" i="17"/>
  <c r="GF96" i="17"/>
  <c r="FX96" i="17"/>
  <c r="GA96" i="17"/>
  <c r="GE96" i="17"/>
  <c r="GC96" i="17"/>
  <c r="GB96" i="17"/>
  <c r="GD96" i="17"/>
  <c r="FK66" i="17"/>
  <c r="FI66" i="17"/>
  <c r="FJ66" i="17"/>
  <c r="FP66" i="17"/>
  <c r="FH66" i="17"/>
  <c r="FO66" i="17"/>
  <c r="FN66" i="17"/>
  <c r="FM66" i="17"/>
  <c r="FL66" i="17"/>
  <c r="FO73" i="17"/>
  <c r="FM73" i="17"/>
  <c r="FN73" i="17"/>
  <c r="FL73" i="17"/>
  <c r="FK73" i="17"/>
  <c r="FJ73" i="17"/>
  <c r="FI73" i="17"/>
  <c r="FP73" i="17"/>
  <c r="FH73" i="17"/>
  <c r="FK85" i="17"/>
  <c r="FI85" i="17"/>
  <c r="FJ85" i="17"/>
  <c r="FP85" i="17"/>
  <c r="FH85" i="17"/>
  <c r="FO85" i="17"/>
  <c r="FN85" i="17"/>
  <c r="FM85" i="17"/>
  <c r="FL85" i="17"/>
  <c r="FO94" i="17"/>
  <c r="FM94" i="17"/>
  <c r="FN94" i="17"/>
  <c r="FL94" i="17"/>
  <c r="FK94" i="17"/>
  <c r="FJ94" i="17"/>
  <c r="FI94" i="17"/>
  <c r="FP94" i="17"/>
  <c r="FH94" i="17"/>
  <c r="FL65" i="17"/>
  <c r="FJ65" i="17"/>
  <c r="FK65" i="17"/>
  <c r="FI65" i="17"/>
  <c r="FP65" i="17"/>
  <c r="FH65" i="17"/>
  <c r="FO65" i="17"/>
  <c r="FN65" i="17"/>
  <c r="FM65" i="17"/>
  <c r="FP69" i="17"/>
  <c r="FH69" i="17"/>
  <c r="FN69" i="17"/>
  <c r="FO69" i="17"/>
  <c r="FM69" i="17"/>
  <c r="FL69" i="17"/>
  <c r="FK69" i="17"/>
  <c r="FJ69" i="17"/>
  <c r="FI69" i="17"/>
  <c r="FM76" i="17"/>
  <c r="FK76" i="17"/>
  <c r="FL76" i="17"/>
  <c r="FJ76" i="17"/>
  <c r="FI76" i="17"/>
  <c r="FP76" i="17"/>
  <c r="FH76" i="17"/>
  <c r="FO76" i="17"/>
  <c r="FN76" i="17"/>
  <c r="FP93" i="17"/>
  <c r="FH93" i="17"/>
  <c r="FN93" i="17"/>
  <c r="FO93" i="17"/>
  <c r="FM93" i="17"/>
  <c r="FL93" i="17"/>
  <c r="FK93" i="17"/>
  <c r="FJ93" i="17"/>
  <c r="FI93" i="17"/>
  <c r="FK103" i="17"/>
  <c r="FI103" i="17"/>
  <c r="FJ103" i="17"/>
  <c r="FP103" i="17"/>
  <c r="FH103" i="17"/>
  <c r="FO103" i="17"/>
  <c r="FN103" i="17"/>
  <c r="FM103" i="17"/>
  <c r="FL103" i="17"/>
  <c r="FI68" i="17"/>
  <c r="FO68" i="17"/>
  <c r="FP68" i="17"/>
  <c r="FH68" i="17"/>
  <c r="FN68" i="17"/>
  <c r="FM68" i="17"/>
  <c r="FJ68" i="17"/>
  <c r="FL68" i="17"/>
  <c r="FK68" i="17"/>
  <c r="FN75" i="17"/>
  <c r="FL75" i="17"/>
  <c r="FM75" i="17"/>
  <c r="FK75" i="17"/>
  <c r="FJ75" i="17"/>
  <c r="FI75" i="17"/>
  <c r="FP75" i="17"/>
  <c r="FH75" i="17"/>
  <c r="FO75" i="17"/>
  <c r="FI88" i="17"/>
  <c r="FO88" i="17"/>
  <c r="FP88" i="17"/>
  <c r="FH88" i="17"/>
  <c r="FN88" i="17"/>
  <c r="FM88" i="17"/>
  <c r="FL88" i="17"/>
  <c r="FK88" i="17"/>
  <c r="FJ88" i="17"/>
  <c r="FM96" i="17"/>
  <c r="FK96" i="17"/>
  <c r="FL96" i="17"/>
  <c r="FJ96" i="17"/>
  <c r="FI96" i="17"/>
  <c r="FP96" i="17"/>
  <c r="FH96" i="17"/>
  <c r="FO96" i="17"/>
  <c r="FN96" i="17"/>
  <c r="FM64" i="17"/>
  <c r="FK64" i="17"/>
  <c r="FL64" i="17"/>
  <c r="FJ64" i="17"/>
  <c r="FI64" i="17"/>
  <c r="FO64" i="17"/>
  <c r="FP64" i="17"/>
  <c r="FH64" i="17"/>
  <c r="FN64" i="17"/>
  <c r="FJ104" i="17"/>
  <c r="FH104" i="17"/>
  <c r="FI104" i="17"/>
  <c r="FP104" i="17"/>
  <c r="FO104" i="17"/>
  <c r="FN104" i="17"/>
  <c r="FM104" i="17"/>
  <c r="FL104" i="17"/>
  <c r="FK104" i="17"/>
  <c r="FJ67" i="17"/>
  <c r="FP67" i="17"/>
  <c r="FH67" i="17"/>
  <c r="FI67" i="17"/>
  <c r="FK67" i="17"/>
  <c r="FO67" i="17"/>
  <c r="FN67" i="17"/>
  <c r="FM67" i="17"/>
  <c r="FL67" i="17"/>
  <c r="FJ86" i="17"/>
  <c r="FP86" i="17"/>
  <c r="FH86" i="17"/>
  <c r="FI86" i="17"/>
  <c r="FO86" i="17"/>
  <c r="FN86" i="17"/>
  <c r="FM86" i="17"/>
  <c r="FL86" i="17"/>
  <c r="FK86" i="17"/>
  <c r="FN95" i="17"/>
  <c r="FL95" i="17"/>
  <c r="FM95" i="17"/>
  <c r="FK95" i="17"/>
  <c r="FJ95" i="17"/>
  <c r="FI95" i="17"/>
  <c r="FP95" i="17"/>
  <c r="FH95" i="17"/>
  <c r="FO95" i="17"/>
  <c r="FL102" i="17"/>
  <c r="FJ102" i="17"/>
  <c r="FK102" i="17"/>
  <c r="FI102" i="17"/>
  <c r="FP102" i="17"/>
  <c r="FH102" i="17"/>
  <c r="FO102" i="17"/>
  <c r="FN102" i="17"/>
  <c r="FM102" i="17"/>
  <c r="CG74" i="15"/>
  <c r="CN74" i="15"/>
  <c r="CF74" i="15"/>
  <c r="CM74" i="15"/>
  <c r="CL74" i="15"/>
  <c r="CK74" i="15"/>
  <c r="CJ74" i="15"/>
  <c r="CI74" i="15"/>
  <c r="CH74" i="15"/>
  <c r="HE74" i="15"/>
  <c r="HL74" i="15"/>
  <c r="HD74" i="15"/>
  <c r="HK74" i="15"/>
  <c r="HJ74" i="15"/>
  <c r="HI74" i="15"/>
  <c r="HH74" i="15"/>
  <c r="HG74" i="15"/>
  <c r="HF74" i="15"/>
  <c r="MC74" i="15"/>
  <c r="MJ74" i="15"/>
  <c r="MB74" i="15"/>
  <c r="MI74" i="15"/>
  <c r="MH74" i="15"/>
  <c r="MG74" i="15"/>
  <c r="MF74" i="15"/>
  <c r="ME74" i="15"/>
  <c r="MD74" i="15"/>
  <c r="DB74" i="16"/>
  <c r="DA74" i="16"/>
  <c r="CZ74" i="16"/>
  <c r="CY74" i="16"/>
  <c r="CV74" i="16"/>
  <c r="DD74" i="16"/>
  <c r="DC74" i="16"/>
  <c r="CX74" i="16"/>
  <c r="CW74" i="16"/>
  <c r="HZ74" i="16"/>
  <c r="HY74" i="16"/>
  <c r="HX74" i="16"/>
  <c r="HW74" i="16"/>
  <c r="HU74" i="16"/>
  <c r="IA74" i="16"/>
  <c r="HV74" i="16"/>
  <c r="HT74" i="16"/>
  <c r="IB74" i="16"/>
  <c r="MX74" i="16"/>
  <c r="MW74" i="16"/>
  <c r="MV74" i="16"/>
  <c r="MU74" i="16"/>
  <c r="MS74" i="16"/>
  <c r="MZ74" i="16"/>
  <c r="MY74" i="16"/>
  <c r="MT74" i="16"/>
  <c r="MR74" i="16"/>
  <c r="BR74" i="17"/>
  <c r="BQ74" i="17"/>
  <c r="BX74" i="17"/>
  <c r="BP74" i="17"/>
  <c r="BW74" i="17"/>
  <c r="BU74" i="17"/>
  <c r="BS74" i="17"/>
  <c r="BV74" i="17"/>
  <c r="BT74" i="17"/>
  <c r="GP74" i="17"/>
  <c r="GO74" i="17"/>
  <c r="GV74" i="17"/>
  <c r="GN74" i="17"/>
  <c r="GU74" i="17"/>
  <c r="GS74" i="17"/>
  <c r="GT74" i="17"/>
  <c r="GR74" i="17"/>
  <c r="GQ74" i="17"/>
  <c r="LN74" i="17"/>
  <c r="LM74" i="17"/>
  <c r="LT74" i="17"/>
  <c r="LL74" i="17"/>
  <c r="LS74" i="17"/>
  <c r="LQ74" i="17"/>
  <c r="LR74" i="17"/>
  <c r="LP74" i="17"/>
  <c r="LO74" i="17"/>
  <c r="CZ74" i="15"/>
  <c r="CY74" i="15"/>
  <c r="CX74" i="15"/>
  <c r="DD74" i="15"/>
  <c r="DC74" i="15"/>
  <c r="DB74" i="15"/>
  <c r="DA74" i="15"/>
  <c r="CW74" i="15"/>
  <c r="CV74" i="15"/>
  <c r="HX74" i="15"/>
  <c r="HW74" i="15"/>
  <c r="HV74" i="15"/>
  <c r="HU74" i="15"/>
  <c r="IB74" i="15"/>
  <c r="IA74" i="15"/>
  <c r="HZ74" i="15"/>
  <c r="HY74" i="15"/>
  <c r="HT74" i="15"/>
  <c r="MV74" i="15"/>
  <c r="MU74" i="15"/>
  <c r="MT74" i="15"/>
  <c r="MS74" i="15"/>
  <c r="MY74" i="15"/>
  <c r="MX74" i="15"/>
  <c r="MW74" i="15"/>
  <c r="MR74" i="15"/>
  <c r="MZ74" i="15"/>
  <c r="DM74" i="16"/>
  <c r="DT74" i="16"/>
  <c r="DL74" i="16"/>
  <c r="DS74" i="16"/>
  <c r="DR74" i="16"/>
  <c r="DQ74" i="16"/>
  <c r="DP74" i="16"/>
  <c r="DO74" i="16"/>
  <c r="DN74" i="16"/>
  <c r="IK74" i="16"/>
  <c r="IR74" i="16"/>
  <c r="IJ74" i="16"/>
  <c r="IQ74" i="16"/>
  <c r="IP74" i="16"/>
  <c r="IN74" i="16"/>
  <c r="IO74" i="16"/>
  <c r="IM74" i="16"/>
  <c r="IL74" i="16"/>
  <c r="NI74" i="16"/>
  <c r="NP74" i="16"/>
  <c r="NH74" i="16"/>
  <c r="NO74" i="16"/>
  <c r="NN74" i="16"/>
  <c r="NL74" i="16"/>
  <c r="NM74" i="16"/>
  <c r="NK74" i="16"/>
  <c r="NJ74" i="16"/>
  <c r="CK74" i="17"/>
  <c r="CJ74" i="17"/>
  <c r="CI74" i="17"/>
  <c r="CH74" i="17"/>
  <c r="CN74" i="17"/>
  <c r="CF74" i="17"/>
  <c r="CL74" i="17"/>
  <c r="CG74" i="17"/>
  <c r="CM74" i="17"/>
  <c r="HI74" i="17"/>
  <c r="HH74" i="17"/>
  <c r="HG74" i="17"/>
  <c r="HF74" i="17"/>
  <c r="HL74" i="17"/>
  <c r="HD74" i="17"/>
  <c r="HK74" i="17"/>
  <c r="HJ74" i="17"/>
  <c r="HE74" i="17"/>
  <c r="MG74" i="17"/>
  <c r="MF74" i="17"/>
  <c r="ME74" i="17"/>
  <c r="MD74" i="17"/>
  <c r="MJ74" i="17"/>
  <c r="MB74" i="17"/>
  <c r="MI74" i="17"/>
  <c r="MH74" i="17"/>
  <c r="MC74" i="17"/>
  <c r="KL74" i="13"/>
  <c r="KK74" i="13"/>
  <c r="KJ74" i="13"/>
  <c r="KN74" i="13"/>
  <c r="KM74" i="13"/>
  <c r="KI74" i="13"/>
  <c r="KH74" i="13"/>
  <c r="KG74" i="13"/>
  <c r="KF74" i="13"/>
  <c r="LP74" i="13"/>
  <c r="LO74" i="13"/>
  <c r="LN74" i="13"/>
  <c r="LR74" i="13"/>
  <c r="LQ74" i="13"/>
  <c r="LM74" i="13"/>
  <c r="LL74" i="13"/>
  <c r="LT74" i="13"/>
  <c r="LS74" i="13"/>
  <c r="MT74" i="13"/>
  <c r="MS74" i="13"/>
  <c r="MZ74" i="13"/>
  <c r="MR74" i="13"/>
  <c r="MY74" i="13"/>
  <c r="MX74" i="13"/>
  <c r="MW74" i="13"/>
  <c r="MV74" i="13"/>
  <c r="MU74" i="13"/>
  <c r="OF74" i="13"/>
  <c r="NX74" i="13"/>
  <c r="OE74" i="13"/>
  <c r="OD74" i="13"/>
  <c r="OC74" i="13"/>
  <c r="OB74" i="13"/>
  <c r="OA74" i="13"/>
  <c r="NZ74" i="13"/>
  <c r="NY74" i="13"/>
  <c r="DS74" i="15"/>
  <c r="DR74" i="15"/>
  <c r="DQ74" i="15"/>
  <c r="DP74" i="15"/>
  <c r="DO74" i="15"/>
  <c r="DN74" i="15"/>
  <c r="DM74" i="15"/>
  <c r="DL74" i="15"/>
  <c r="DT74" i="15"/>
  <c r="IQ74" i="15"/>
  <c r="IP74" i="15"/>
  <c r="IO74" i="15"/>
  <c r="IN74" i="15"/>
  <c r="IR74" i="15"/>
  <c r="IM74" i="15"/>
  <c r="IL74" i="15"/>
  <c r="IK74" i="15"/>
  <c r="IJ74" i="15"/>
  <c r="NO74" i="15"/>
  <c r="NN74" i="15"/>
  <c r="NM74" i="15"/>
  <c r="NL74" i="15"/>
  <c r="NJ74" i="15"/>
  <c r="NI74" i="15"/>
  <c r="NH74" i="15"/>
  <c r="NP74" i="15"/>
  <c r="NK74" i="15"/>
  <c r="EF74" i="16"/>
  <c r="EE74" i="16"/>
  <c r="ED74" i="16"/>
  <c r="EC74" i="16"/>
  <c r="EJ74" i="16"/>
  <c r="EI74" i="16"/>
  <c r="EH74" i="16"/>
  <c r="EG74" i="16"/>
  <c r="EB74" i="16"/>
  <c r="JD74" i="16"/>
  <c r="JC74" i="16"/>
  <c r="JB74" i="16"/>
  <c r="JA74" i="16"/>
  <c r="JG74" i="16"/>
  <c r="JH74" i="16"/>
  <c r="JF74" i="16"/>
  <c r="JE74" i="16"/>
  <c r="IZ74" i="16"/>
  <c r="OB74" i="16"/>
  <c r="OA74" i="16"/>
  <c r="NZ74" i="16"/>
  <c r="NY74" i="16"/>
  <c r="OE74" i="16"/>
  <c r="NX74" i="16"/>
  <c r="OF74" i="16"/>
  <c r="OD74" i="16"/>
  <c r="OC74" i="16"/>
  <c r="DD74" i="17"/>
  <c r="CV74" i="17"/>
  <c r="DC74" i="17"/>
  <c r="DB74" i="17"/>
  <c r="DA74" i="17"/>
  <c r="CY74" i="17"/>
  <c r="CZ74" i="17"/>
  <c r="CX74" i="17"/>
  <c r="CW74" i="17"/>
  <c r="IB74" i="17"/>
  <c r="HT74" i="17"/>
  <c r="IA74" i="17"/>
  <c r="HZ74" i="17"/>
  <c r="HY74" i="17"/>
  <c r="HW74" i="17"/>
  <c r="HX74" i="17"/>
  <c r="HV74" i="17"/>
  <c r="HU74" i="17"/>
  <c r="MZ74" i="17"/>
  <c r="MR74" i="17"/>
  <c r="MY74" i="17"/>
  <c r="MX74" i="17"/>
  <c r="MW74" i="17"/>
  <c r="MU74" i="17"/>
  <c r="MV74" i="17"/>
  <c r="MT74" i="17"/>
  <c r="MS74" i="17"/>
  <c r="JG74" i="13"/>
  <c r="JD74" i="13"/>
  <c r="JC74" i="13"/>
  <c r="JB74" i="13"/>
  <c r="JA74" i="13"/>
  <c r="IZ74" i="13"/>
  <c r="JH74" i="13"/>
  <c r="JF74" i="13"/>
  <c r="JE74" i="13"/>
  <c r="ED74" i="15"/>
  <c r="EC74" i="15"/>
  <c r="EJ74" i="15"/>
  <c r="EB74" i="15"/>
  <c r="EG74" i="15"/>
  <c r="EF74" i="15"/>
  <c r="EE74" i="15"/>
  <c r="EI74" i="15"/>
  <c r="EH74" i="15"/>
  <c r="JB74" i="15"/>
  <c r="JA74" i="15"/>
  <c r="JH74" i="15"/>
  <c r="IZ74" i="15"/>
  <c r="JG74" i="15"/>
  <c r="JF74" i="15"/>
  <c r="JE74" i="15"/>
  <c r="JD74" i="15"/>
  <c r="JC74" i="15"/>
  <c r="NZ74" i="15"/>
  <c r="NY74" i="15"/>
  <c r="OF74" i="15"/>
  <c r="NX74" i="15"/>
  <c r="OE74" i="15"/>
  <c r="OB74" i="15"/>
  <c r="OA74" i="15"/>
  <c r="OD74" i="15"/>
  <c r="OC74" i="15"/>
  <c r="EY74" i="16"/>
  <c r="EX74" i="16"/>
  <c r="EW74" i="16"/>
  <c r="EV74" i="16"/>
  <c r="ET74" i="16"/>
  <c r="EZ74" i="16"/>
  <c r="EU74" i="16"/>
  <c r="ES74" i="16"/>
  <c r="ER74" i="16"/>
  <c r="JW74" i="16"/>
  <c r="JV74" i="16"/>
  <c r="JU74" i="16"/>
  <c r="JT74" i="16"/>
  <c r="JR74" i="16"/>
  <c r="JX74" i="16"/>
  <c r="JS74" i="16"/>
  <c r="JQ74" i="16"/>
  <c r="JP74" i="16"/>
  <c r="DO74" i="17"/>
  <c r="DN74" i="17"/>
  <c r="DM74" i="17"/>
  <c r="DT74" i="17"/>
  <c r="DL74" i="17"/>
  <c r="DR74" i="17"/>
  <c r="DS74" i="17"/>
  <c r="DQ74" i="17"/>
  <c r="DP74" i="17"/>
  <c r="IM74" i="17"/>
  <c r="IL74" i="17"/>
  <c r="IK74" i="17"/>
  <c r="IR74" i="17"/>
  <c r="IJ74" i="17"/>
  <c r="IP74" i="17"/>
  <c r="IN74" i="17"/>
  <c r="IQ74" i="17"/>
  <c r="IO74" i="17"/>
  <c r="NK74" i="17"/>
  <c r="NJ74" i="17"/>
  <c r="NI74" i="17"/>
  <c r="NP74" i="17"/>
  <c r="NH74" i="17"/>
  <c r="NN74" i="17"/>
  <c r="NO74" i="17"/>
  <c r="NM74" i="17"/>
  <c r="NL74" i="17"/>
  <c r="EW74" i="15"/>
  <c r="EV74" i="15"/>
  <c r="EU74" i="15"/>
  <c r="ET74" i="15"/>
  <c r="ES74" i="15"/>
  <c r="ER74" i="15"/>
  <c r="EZ74" i="15"/>
  <c r="EY74" i="15"/>
  <c r="EX74" i="15"/>
  <c r="JU74" i="15"/>
  <c r="JT74" i="15"/>
  <c r="JS74" i="15"/>
  <c r="JR74" i="15"/>
  <c r="JX74" i="15"/>
  <c r="JW74" i="15"/>
  <c r="JV74" i="15"/>
  <c r="JQ74" i="15"/>
  <c r="JP74" i="15"/>
  <c r="FJ74" i="16"/>
  <c r="FI74" i="16"/>
  <c r="FP74" i="16"/>
  <c r="FH74" i="16"/>
  <c r="FO74" i="16"/>
  <c r="FM74" i="16"/>
  <c r="FN74" i="16"/>
  <c r="FL74" i="16"/>
  <c r="FK74" i="16"/>
  <c r="KH74" i="16"/>
  <c r="KG74" i="16"/>
  <c r="KN74" i="16"/>
  <c r="KF74" i="16"/>
  <c r="KM74" i="16"/>
  <c r="KK74" i="16"/>
  <c r="KL74" i="16"/>
  <c r="KJ74" i="16"/>
  <c r="KI74" i="16"/>
  <c r="EH74" i="17"/>
  <c r="EG74" i="17"/>
  <c r="EF74" i="17"/>
  <c r="EE74" i="17"/>
  <c r="EC74" i="17"/>
  <c r="EJ74" i="17"/>
  <c r="EI74" i="17"/>
  <c r="ED74" i="17"/>
  <c r="EB74" i="17"/>
  <c r="JF74" i="17"/>
  <c r="JE74" i="17"/>
  <c r="JD74" i="17"/>
  <c r="JC74" i="17"/>
  <c r="JA74" i="17"/>
  <c r="JB74" i="17"/>
  <c r="IZ74" i="17"/>
  <c r="JH74" i="17"/>
  <c r="JG74" i="17"/>
  <c r="OD74" i="17"/>
  <c r="OC74" i="17"/>
  <c r="OB74" i="17"/>
  <c r="OA74" i="17"/>
  <c r="NZ74" i="17"/>
  <c r="NY74" i="17"/>
  <c r="OF74" i="17"/>
  <c r="OE74" i="17"/>
  <c r="NX74" i="17"/>
  <c r="FP74" i="15"/>
  <c r="FH74" i="15"/>
  <c r="FO74" i="15"/>
  <c r="FN74" i="15"/>
  <c r="FM74" i="15"/>
  <c r="FI74" i="15"/>
  <c r="FL74" i="15"/>
  <c r="FK74" i="15"/>
  <c r="FJ74" i="15"/>
  <c r="KN74" i="15"/>
  <c r="KF74" i="15"/>
  <c r="KM74" i="15"/>
  <c r="KL74" i="15"/>
  <c r="KK74" i="15"/>
  <c r="KJ74" i="15"/>
  <c r="KI74" i="15"/>
  <c r="KH74" i="15"/>
  <c r="KG74" i="15"/>
  <c r="BE74" i="16"/>
  <c r="BD74" i="16"/>
  <c r="BC74" i="16"/>
  <c r="BB74" i="16"/>
  <c r="BA74" i="16"/>
  <c r="AZ74" i="16"/>
  <c r="BH74" i="16"/>
  <c r="BG74" i="16"/>
  <c r="BF74" i="16"/>
  <c r="GC74" i="16"/>
  <c r="GB74" i="16"/>
  <c r="GA74" i="16"/>
  <c r="FZ74" i="16"/>
  <c r="GF74" i="16"/>
  <c r="FX74" i="16"/>
  <c r="GE74" i="16"/>
  <c r="GD74" i="16"/>
  <c r="FY74" i="16"/>
  <c r="LA74" i="16"/>
  <c r="KZ74" i="16"/>
  <c r="KY74" i="16"/>
  <c r="KX74" i="16"/>
  <c r="LD74" i="16"/>
  <c r="KV74" i="16"/>
  <c r="LC74" i="16"/>
  <c r="LB74" i="16"/>
  <c r="KW74" i="16"/>
  <c r="ES74" i="17"/>
  <c r="EZ74" i="17"/>
  <c r="ER74" i="17"/>
  <c r="EY74" i="17"/>
  <c r="EX74" i="17"/>
  <c r="EV74" i="17"/>
  <c r="EW74" i="17"/>
  <c r="EU74" i="17"/>
  <c r="ET74" i="17"/>
  <c r="JQ74" i="17"/>
  <c r="JX74" i="17"/>
  <c r="JP74" i="17"/>
  <c r="JW74" i="17"/>
  <c r="JV74" i="17"/>
  <c r="JT74" i="17"/>
  <c r="JS74" i="17"/>
  <c r="JR74" i="17"/>
  <c r="JU74" i="17"/>
  <c r="JS74" i="13"/>
  <c r="JR74" i="13"/>
  <c r="JQ74" i="13"/>
  <c r="JP74" i="13"/>
  <c r="JX74" i="13"/>
  <c r="JW74" i="13"/>
  <c r="JV74" i="13"/>
  <c r="JU74" i="13"/>
  <c r="JT74" i="13"/>
  <c r="KW74" i="13"/>
  <c r="LD74" i="13"/>
  <c r="KV74" i="13"/>
  <c r="LC74" i="13"/>
  <c r="LB74" i="13"/>
  <c r="LA74" i="13"/>
  <c r="KZ74" i="13"/>
  <c r="KY74" i="13"/>
  <c r="KX74" i="13"/>
  <c r="MI74" i="13"/>
  <c r="MH74" i="13"/>
  <c r="MG74" i="13"/>
  <c r="MC74" i="13"/>
  <c r="MB74" i="13"/>
  <c r="MJ74" i="13"/>
  <c r="MF74" i="13"/>
  <c r="ME74" i="13"/>
  <c r="MD74" i="13"/>
  <c r="NM74" i="13"/>
  <c r="NL74" i="13"/>
  <c r="NK74" i="13"/>
  <c r="NP74" i="13"/>
  <c r="NO74" i="13"/>
  <c r="NN74" i="13"/>
  <c r="NJ74" i="13"/>
  <c r="NI74" i="13"/>
  <c r="NH74" i="13"/>
  <c r="BC74" i="15"/>
  <c r="BB74" i="15"/>
  <c r="BA74" i="15"/>
  <c r="BF74" i="15"/>
  <c r="BE74" i="15"/>
  <c r="BD74" i="15"/>
  <c r="AZ74" i="15"/>
  <c r="BH74" i="15"/>
  <c r="BG74" i="15"/>
  <c r="GA74" i="15"/>
  <c r="FZ74" i="15"/>
  <c r="FY74" i="15"/>
  <c r="GF74" i="15"/>
  <c r="FX74" i="15"/>
  <c r="GB74" i="15"/>
  <c r="GE74" i="15"/>
  <c r="GD74" i="15"/>
  <c r="GC74" i="15"/>
  <c r="KY74" i="15"/>
  <c r="KX74" i="15"/>
  <c r="KW74" i="15"/>
  <c r="LD74" i="15"/>
  <c r="KV74" i="15"/>
  <c r="LC74" i="15"/>
  <c r="LB74" i="15"/>
  <c r="LA74" i="15"/>
  <c r="KZ74" i="15"/>
  <c r="BX74" i="16"/>
  <c r="BP74" i="16"/>
  <c r="BW74" i="16"/>
  <c r="BV74" i="16"/>
  <c r="BU74" i="16"/>
  <c r="BQ74" i="16"/>
  <c r="BT74" i="16"/>
  <c r="BS74" i="16"/>
  <c r="BR74" i="16"/>
  <c r="GV74" i="16"/>
  <c r="GN74" i="16"/>
  <c r="GU74" i="16"/>
  <c r="GT74" i="16"/>
  <c r="GS74" i="16"/>
  <c r="GQ74" i="16"/>
  <c r="GO74" i="16"/>
  <c r="GR74" i="16"/>
  <c r="GP74" i="16"/>
  <c r="LT74" i="16"/>
  <c r="LL74" i="16"/>
  <c r="LS74" i="16"/>
  <c r="LR74" i="16"/>
  <c r="LQ74" i="16"/>
  <c r="LO74" i="16"/>
  <c r="LP74" i="16"/>
  <c r="LN74" i="16"/>
  <c r="LM74" i="16"/>
  <c r="FL74" i="17"/>
  <c r="FK74" i="17"/>
  <c r="FJ74" i="17"/>
  <c r="FI74" i="17"/>
  <c r="FO74" i="17"/>
  <c r="FP74" i="17"/>
  <c r="FN74" i="17"/>
  <c r="FM74" i="17"/>
  <c r="FH74" i="17"/>
  <c r="KJ74" i="17"/>
  <c r="KI74" i="17"/>
  <c r="KH74" i="17"/>
  <c r="KG74" i="17"/>
  <c r="KM74" i="17"/>
  <c r="KL74" i="17"/>
  <c r="KK74" i="17"/>
  <c r="KF74" i="17"/>
  <c r="KN74" i="17"/>
  <c r="BV74" i="15"/>
  <c r="BU74" i="15"/>
  <c r="BT74" i="15"/>
  <c r="BQ74" i="15"/>
  <c r="BP74" i="15"/>
  <c r="BX74" i="15"/>
  <c r="BW74" i="15"/>
  <c r="BS74" i="15"/>
  <c r="BR74" i="15"/>
  <c r="GT74" i="15"/>
  <c r="GS74" i="15"/>
  <c r="GR74" i="15"/>
  <c r="GQ74" i="15"/>
  <c r="GN74" i="15"/>
  <c r="GV74" i="15"/>
  <c r="GU74" i="15"/>
  <c r="GP74" i="15"/>
  <c r="GO74" i="15"/>
  <c r="LR74" i="15"/>
  <c r="LQ74" i="15"/>
  <c r="LP74" i="15"/>
  <c r="LO74" i="15"/>
  <c r="LT74" i="15"/>
  <c r="LS74" i="15"/>
  <c r="LN74" i="15"/>
  <c r="LM74" i="15"/>
  <c r="LL74" i="15"/>
  <c r="CI74" i="16"/>
  <c r="CH74" i="16"/>
  <c r="CG74" i="16"/>
  <c r="CN74" i="16"/>
  <c r="CF74" i="16"/>
  <c r="CJ74" i="16"/>
  <c r="CM74" i="16"/>
  <c r="CL74" i="16"/>
  <c r="CK74" i="16"/>
  <c r="HG74" i="16"/>
  <c r="HF74" i="16"/>
  <c r="HE74" i="16"/>
  <c r="HL74" i="16"/>
  <c r="HD74" i="16"/>
  <c r="HJ74" i="16"/>
  <c r="HI74" i="16"/>
  <c r="HH74" i="16"/>
  <c r="HK74" i="16"/>
  <c r="ME74" i="16"/>
  <c r="MD74" i="16"/>
  <c r="MC74" i="16"/>
  <c r="MJ74" i="16"/>
  <c r="MB74" i="16"/>
  <c r="MH74" i="16"/>
  <c r="MI74" i="16"/>
  <c r="MG74" i="16"/>
  <c r="MF74" i="16"/>
  <c r="BG74" i="17"/>
  <c r="BF74" i="17"/>
  <c r="BE74" i="17"/>
  <c r="BD74" i="17"/>
  <c r="BB74" i="17"/>
  <c r="AZ74" i="17"/>
  <c r="BH74" i="17"/>
  <c r="BC74" i="17"/>
  <c r="BA74" i="17"/>
  <c r="GE74" i="17"/>
  <c r="GD74" i="17"/>
  <c r="GC74" i="17"/>
  <c r="GB74" i="17"/>
  <c r="FZ74" i="17"/>
  <c r="GF74" i="17"/>
  <c r="GA74" i="17"/>
  <c r="FY74" i="17"/>
  <c r="FX74" i="17"/>
  <c r="LC74" i="17"/>
  <c r="LB74" i="17"/>
  <c r="LA74" i="17"/>
  <c r="KZ74" i="17"/>
  <c r="KX74" i="17"/>
  <c r="KY74" i="17"/>
  <c r="KW74" i="17"/>
  <c r="KV74" i="17"/>
  <c r="LD74" i="17"/>
  <c r="DK73" i="24"/>
  <c r="DK88" i="24"/>
  <c r="CW88" i="24"/>
  <c r="Q84" i="16" a="1"/>
  <c r="Q84" i="16" s="1"/>
  <c r="DK76" i="24"/>
  <c r="DK69" i="24"/>
  <c r="BW6" i="24"/>
  <c r="AI6" i="13"/>
  <c r="AI84" i="13" a="1"/>
  <c r="AI84" i="13" s="1"/>
  <c r="CH84" i="9"/>
  <c r="CH67" i="9"/>
  <c r="CH85" i="9"/>
  <c r="CH103" i="9"/>
  <c r="CH68" i="9"/>
  <c r="CH86" i="9"/>
  <c r="CH104" i="9"/>
  <c r="CH88" i="9"/>
  <c r="CH93" i="9"/>
  <c r="CH65" i="9"/>
  <c r="CH69" i="9"/>
  <c r="CH76" i="9"/>
  <c r="CH102" i="9"/>
  <c r="CH94" i="9"/>
  <c r="CH95" i="9"/>
  <c r="CH96" i="9"/>
  <c r="CH73" i="9"/>
  <c r="CH64" i="9"/>
  <c r="CH66" i="9"/>
  <c r="CH74" i="9"/>
  <c r="CH75" i="9"/>
  <c r="DK5" i="9"/>
  <c r="DJ88" i="9"/>
  <c r="DJ65" i="9"/>
  <c r="DJ102" i="9"/>
  <c r="DJ103" i="9"/>
  <c r="DJ104" i="9"/>
  <c r="DJ93" i="9"/>
  <c r="DJ94" i="9"/>
  <c r="DJ64" i="9"/>
  <c r="DJ75" i="9"/>
  <c r="DJ69" i="9"/>
  <c r="DJ95" i="9"/>
  <c r="DJ76" i="9"/>
  <c r="DJ96" i="9"/>
  <c r="DJ86" i="9"/>
  <c r="DJ85" i="9"/>
  <c r="DJ67" i="9"/>
  <c r="DJ66" i="9"/>
  <c r="DJ73" i="9"/>
  <c r="DJ84" i="9"/>
  <c r="DJ74" i="9"/>
  <c r="DJ68" i="9"/>
  <c r="AR94" i="9"/>
  <c r="AR103" i="9"/>
  <c r="AR69" i="9"/>
  <c r="AR88" i="9"/>
  <c r="AR95" i="9"/>
  <c r="AR65" i="9"/>
  <c r="AR96" i="9"/>
  <c r="AR74" i="9"/>
  <c r="AR73" i="9"/>
  <c r="AR68" i="9"/>
  <c r="AR64" i="9"/>
  <c r="AR66" i="9"/>
  <c r="AR104" i="9"/>
  <c r="AR67" i="9"/>
  <c r="AR93" i="9"/>
  <c r="AR102" i="9"/>
  <c r="AR85" i="9"/>
  <c r="AR86" i="9"/>
  <c r="AR84" i="9"/>
  <c r="P5" i="9"/>
  <c r="NY13" i="17"/>
  <c r="AJ5" i="15"/>
  <c r="AI84" i="15" a="1"/>
  <c r="AI84" i="15" s="1"/>
  <c r="AI6" i="15"/>
  <c r="BF75" i="9"/>
  <c r="BF69" i="9"/>
  <c r="BF86" i="9"/>
  <c r="BF104" i="9"/>
  <c r="BF95" i="9"/>
  <c r="BF68" i="9"/>
  <c r="BF64" i="9"/>
  <c r="BF84" i="9"/>
  <c r="BF93" i="9"/>
  <c r="BF74" i="9"/>
  <c r="BF94" i="9"/>
  <c r="BF85" i="9"/>
  <c r="BF76" i="9"/>
  <c r="BF66" i="9"/>
  <c r="BF67" i="9"/>
  <c r="BF88" i="9"/>
  <c r="BF102" i="9"/>
  <c r="BF73" i="9"/>
  <c r="BF103" i="9"/>
  <c r="BF65" i="9"/>
  <c r="BF96" i="9"/>
  <c r="AS102" i="24"/>
  <c r="AS104" i="24"/>
  <c r="AS85" i="24"/>
  <c r="AS68" i="24"/>
  <c r="AS75" i="24"/>
  <c r="AS86" i="24"/>
  <c r="AS66" i="24"/>
  <c r="AS67" i="24"/>
  <c r="AS84" i="24"/>
  <c r="AS96" i="24"/>
  <c r="AS65" i="24"/>
  <c r="AS103" i="24"/>
  <c r="AS74" i="24"/>
  <c r="AS76" i="24"/>
  <c r="AS88" i="24"/>
  <c r="AS73" i="24"/>
  <c r="AS64" i="24"/>
  <c r="AS94" i="24"/>
  <c r="AS69" i="24"/>
  <c r="AS93" i="24"/>
  <c r="AS95" i="24"/>
  <c r="Q64" i="24"/>
  <c r="Q65" i="24"/>
  <c r="Q88" i="24"/>
  <c r="Q86" i="24"/>
  <c r="Q85" i="24"/>
  <c r="Q84" i="24"/>
  <c r="Q104" i="24"/>
  <c r="Q103" i="24"/>
  <c r="Q76" i="24"/>
  <c r="Q96" i="24"/>
  <c r="Q67" i="24"/>
  <c r="Q66" i="24"/>
  <c r="Q102" i="24"/>
  <c r="Q68" i="24"/>
  <c r="Q75" i="24"/>
  <c r="Q95" i="24"/>
  <c r="Q74" i="24"/>
  <c r="Q69" i="24"/>
  <c r="Q93" i="24"/>
  <c r="Q73" i="24"/>
  <c r="Q94" i="24"/>
  <c r="AD84" i="9"/>
  <c r="BG94" i="24"/>
  <c r="BG65" i="24"/>
  <c r="BG96" i="24"/>
  <c r="BG67" i="24"/>
  <c r="BG103" i="24"/>
  <c r="BG95" i="24"/>
  <c r="BG84" i="24"/>
  <c r="BG104" i="24"/>
  <c r="BG68" i="24"/>
  <c r="BG64" i="24"/>
  <c r="BG102" i="24"/>
  <c r="BG85" i="24"/>
  <c r="BG66" i="24"/>
  <c r="BG74" i="24"/>
  <c r="BG73" i="24"/>
  <c r="BG93" i="24"/>
  <c r="BG75" i="24"/>
  <c r="BG69" i="24"/>
  <c r="AD67" i="9"/>
  <c r="AD73" i="9"/>
  <c r="BU95" i="24"/>
  <c r="BU104" i="24"/>
  <c r="BU102" i="24"/>
  <c r="BU75" i="24"/>
  <c r="BU67" i="24"/>
  <c r="BU65" i="24"/>
  <c r="BU85" i="24"/>
  <c r="BU66" i="24"/>
  <c r="BU76" i="24"/>
  <c r="BU103" i="24"/>
  <c r="BU86" i="24"/>
  <c r="BU96" i="24"/>
  <c r="BU94" i="24"/>
  <c r="BU64" i="24"/>
  <c r="BU68" i="24"/>
  <c r="BU74" i="24"/>
  <c r="BU84" i="24"/>
  <c r="BU69" i="24"/>
  <c r="AE94" i="24"/>
  <c r="BU93" i="24"/>
  <c r="AD103" i="9"/>
  <c r="AD95" i="9"/>
  <c r="AD86" i="9"/>
  <c r="AD75" i="9"/>
  <c r="AD65" i="9"/>
  <c r="AD64" i="9"/>
  <c r="AD104" i="9"/>
  <c r="AD96" i="9"/>
  <c r="AD74" i="9"/>
  <c r="AD94" i="9"/>
  <c r="AD69" i="9"/>
  <c r="AD93" i="9"/>
  <c r="AD68" i="9"/>
  <c r="AD76" i="9"/>
  <c r="AD66" i="9"/>
  <c r="CW5" i="9"/>
  <c r="CV96" i="9"/>
  <c r="CV86" i="9"/>
  <c r="CV69" i="9"/>
  <c r="CV65" i="9"/>
  <c r="CV88" i="9"/>
  <c r="CV64" i="9"/>
  <c r="CV66" i="9"/>
  <c r="CV76" i="9"/>
  <c r="CV84" i="9"/>
  <c r="CV104" i="9"/>
  <c r="CV68" i="9"/>
  <c r="CV94" i="9"/>
  <c r="CV73" i="9"/>
  <c r="CV75" i="9"/>
  <c r="CV85" i="9"/>
  <c r="CV93" i="9"/>
  <c r="CV103" i="9"/>
  <c r="Q84" i="15" a="1"/>
  <c r="Q84" i="15" s="1"/>
  <c r="CI86" i="24"/>
  <c r="CI67" i="24"/>
  <c r="CI102" i="24"/>
  <c r="CI76" i="24"/>
  <c r="CI96" i="24"/>
  <c r="CI75" i="24"/>
  <c r="CI73" i="24"/>
  <c r="CI66" i="24"/>
  <c r="CI93" i="24"/>
  <c r="CI68" i="24"/>
  <c r="CI85" i="24"/>
  <c r="CI64" i="24"/>
  <c r="CI84" i="24"/>
  <c r="CI95" i="24"/>
  <c r="CI104" i="24"/>
  <c r="CI65" i="24"/>
  <c r="CI103" i="24"/>
  <c r="CI69" i="24"/>
  <c r="BG88" i="24"/>
  <c r="AE85" i="24"/>
  <c r="AE95" i="24"/>
  <c r="AE73" i="24"/>
  <c r="BU73" i="24"/>
  <c r="CI94" i="24"/>
  <c r="CV74" i="9"/>
  <c r="BT69" i="9"/>
  <c r="BT67" i="9"/>
  <c r="BT66" i="9"/>
  <c r="BT73" i="9"/>
  <c r="BT103" i="9"/>
  <c r="BT75" i="9"/>
  <c r="BT88" i="9"/>
  <c r="BT93" i="9"/>
  <c r="BT74" i="9"/>
  <c r="BT76" i="9"/>
  <c r="BT65" i="9"/>
  <c r="BT96" i="9"/>
  <c r="BT85" i="9"/>
  <c r="BT68" i="9"/>
  <c r="BT104" i="9"/>
  <c r="BT86" i="9"/>
  <c r="BT102" i="9"/>
  <c r="BT94" i="9"/>
  <c r="BT95" i="9"/>
  <c r="BT64" i="9"/>
  <c r="BT84" i="9"/>
  <c r="B84" i="16"/>
  <c r="Q84" i="17" a="1"/>
  <c r="Q84" i="17" s="1"/>
  <c r="CW95" i="24"/>
  <c r="CW93" i="24"/>
  <c r="CW74" i="24"/>
  <c r="CW64" i="24"/>
  <c r="CW86" i="24"/>
  <c r="CW104" i="24"/>
  <c r="CW85" i="24"/>
  <c r="CW68" i="24"/>
  <c r="CW67" i="24"/>
  <c r="CW102" i="24"/>
  <c r="CW76" i="24"/>
  <c r="CW73" i="24"/>
  <c r="CW65" i="24"/>
  <c r="CW96" i="24"/>
  <c r="CW103" i="24"/>
  <c r="CW66" i="24"/>
  <c r="CW75" i="24"/>
  <c r="CW84" i="24"/>
  <c r="BG86" i="24"/>
  <c r="CW94" i="24"/>
  <c r="CV67" i="9"/>
  <c r="B84" i="13"/>
  <c r="B84" i="17"/>
  <c r="DK104" i="24"/>
  <c r="DK86" i="24"/>
  <c r="DK64" i="24"/>
  <c r="DK103" i="24"/>
  <c r="DK85" i="24"/>
  <c r="DK84" i="24"/>
  <c r="DK75" i="24"/>
  <c r="DK66" i="24"/>
  <c r="DK74" i="24"/>
  <c r="DK94" i="24"/>
  <c r="DK102" i="24"/>
  <c r="DK95" i="24"/>
  <c r="DK67" i="24"/>
  <c r="DK68" i="24"/>
  <c r="DK93" i="24"/>
  <c r="DK65" i="24"/>
  <c r="BG76" i="24"/>
  <c r="BU88" i="24"/>
  <c r="CI74" i="24"/>
  <c r="AD102" i="9"/>
  <c r="CV102" i="9"/>
  <c r="AE67" i="24"/>
  <c r="AE96" i="24"/>
  <c r="AE75" i="24"/>
  <c r="AE68" i="24"/>
  <c r="AE65" i="24"/>
  <c r="AE64" i="24"/>
  <c r="AE69" i="24"/>
  <c r="AE66" i="24"/>
  <c r="AE103" i="24"/>
  <c r="AE76" i="24"/>
  <c r="AE74" i="24"/>
  <c r="AE104" i="24"/>
  <c r="AE88" i="24"/>
  <c r="AE93" i="24"/>
  <c r="AD85" i="9"/>
  <c r="DL7" i="24"/>
  <c r="DM6" i="24"/>
  <c r="BX6" i="24"/>
  <c r="BW7" i="24"/>
  <c r="AU6" i="24"/>
  <c r="AT7" i="24"/>
  <c r="DK104" i="25"/>
  <c r="DK95" i="25"/>
  <c r="DK86" i="25"/>
  <c r="DK75" i="25"/>
  <c r="DK68" i="25"/>
  <c r="DK64" i="25"/>
  <c r="DL5" i="25"/>
  <c r="DK88" i="25"/>
  <c r="DK76" i="25"/>
  <c r="DK93" i="25"/>
  <c r="DK96" i="25"/>
  <c r="DK69" i="25"/>
  <c r="DK65" i="25"/>
  <c r="DK103" i="25"/>
  <c r="DK94" i="25"/>
  <c r="DK85" i="25"/>
  <c r="DK74" i="25"/>
  <c r="DK67" i="25"/>
  <c r="DK102" i="25"/>
  <c r="DK73" i="25"/>
  <c r="DK66" i="25"/>
  <c r="DK84" i="25"/>
  <c r="CW104" i="25"/>
  <c r="CW95" i="25"/>
  <c r="CW86" i="25"/>
  <c r="CW75" i="25"/>
  <c r="CW68" i="25"/>
  <c r="CW64" i="25"/>
  <c r="CX5" i="25"/>
  <c r="CW103" i="25"/>
  <c r="CW94" i="25"/>
  <c r="CW85" i="25"/>
  <c r="CW74" i="25"/>
  <c r="CW67" i="25"/>
  <c r="CW102" i="25"/>
  <c r="CW93" i="25"/>
  <c r="CW84" i="25"/>
  <c r="CW73" i="25"/>
  <c r="CW66" i="25"/>
  <c r="CW96" i="25"/>
  <c r="CW88" i="25"/>
  <c r="CW76" i="25"/>
  <c r="CW69" i="25"/>
  <c r="CW65" i="25"/>
  <c r="CI104" i="25"/>
  <c r="CI95" i="25"/>
  <c r="CI86" i="25"/>
  <c r="CI75" i="25"/>
  <c r="CI68" i="25"/>
  <c r="CI64" i="25"/>
  <c r="CJ5" i="25"/>
  <c r="CI76" i="25"/>
  <c r="CI103" i="25"/>
  <c r="CI94" i="25"/>
  <c r="CI85" i="25"/>
  <c r="CI74" i="25"/>
  <c r="CI67" i="25"/>
  <c r="CI96" i="25"/>
  <c r="CI88" i="25"/>
  <c r="CI69" i="25"/>
  <c r="CI102" i="25"/>
  <c r="CI93" i="25"/>
  <c r="CI84" i="25"/>
  <c r="CI73" i="25"/>
  <c r="CI66" i="25"/>
  <c r="CI65" i="25"/>
  <c r="BU104" i="25"/>
  <c r="BU95" i="25"/>
  <c r="BU86" i="25"/>
  <c r="BU75" i="25"/>
  <c r="BU68" i="25"/>
  <c r="BU64" i="25"/>
  <c r="BV5" i="25"/>
  <c r="BU73" i="25"/>
  <c r="BU96" i="25"/>
  <c r="BU76" i="25"/>
  <c r="BU103" i="25"/>
  <c r="BU94" i="25"/>
  <c r="BU85" i="25"/>
  <c r="BU74" i="25"/>
  <c r="BU67" i="25"/>
  <c r="BU93" i="25"/>
  <c r="BU84" i="25"/>
  <c r="BU66" i="25"/>
  <c r="BU69" i="25"/>
  <c r="BU65" i="25"/>
  <c r="BU102" i="25"/>
  <c r="BU88" i="25"/>
  <c r="BG104" i="25"/>
  <c r="BG95" i="25"/>
  <c r="BG86" i="25"/>
  <c r="BG75" i="25"/>
  <c r="BG68" i="25"/>
  <c r="BG64" i="25"/>
  <c r="BH5" i="25"/>
  <c r="BG88" i="25"/>
  <c r="BG76" i="25"/>
  <c r="BG96" i="25"/>
  <c r="BG69" i="25"/>
  <c r="BG103" i="25"/>
  <c r="BG94" i="25"/>
  <c r="BG85" i="25"/>
  <c r="BG74" i="25"/>
  <c r="BG67" i="25"/>
  <c r="BG102" i="25"/>
  <c r="BG93" i="25"/>
  <c r="BG84" i="25"/>
  <c r="BG73" i="25"/>
  <c r="BG66" i="25"/>
  <c r="BG65" i="25"/>
  <c r="AS104" i="25"/>
  <c r="AS95" i="25"/>
  <c r="AS86" i="25"/>
  <c r="AS75" i="25"/>
  <c r="AS68" i="25"/>
  <c r="AS64" i="25"/>
  <c r="AT5" i="25"/>
  <c r="AS103" i="25"/>
  <c r="AS94" i="25"/>
  <c r="AS85" i="25"/>
  <c r="AS74" i="25"/>
  <c r="AS67" i="25"/>
  <c r="AS102" i="25"/>
  <c r="AS93" i="25"/>
  <c r="AS84" i="25"/>
  <c r="AS73" i="25"/>
  <c r="AS66" i="25"/>
  <c r="AS96" i="25"/>
  <c r="AS88" i="25"/>
  <c r="AS76" i="25"/>
  <c r="AS69" i="25"/>
  <c r="AS65" i="25"/>
  <c r="AE104" i="25"/>
  <c r="AE95" i="25"/>
  <c r="AE86" i="25"/>
  <c r="AE75" i="25"/>
  <c r="AE68" i="25"/>
  <c r="AE64" i="25"/>
  <c r="AF5" i="25"/>
  <c r="AE76" i="25"/>
  <c r="AE69" i="25"/>
  <c r="AE103" i="25"/>
  <c r="AE94" i="25"/>
  <c r="AE85" i="25"/>
  <c r="AE74" i="25"/>
  <c r="AE67" i="25"/>
  <c r="AE96" i="25"/>
  <c r="AE65" i="25"/>
  <c r="AE102" i="25"/>
  <c r="AE93" i="25"/>
  <c r="AE84" i="25"/>
  <c r="AE73" i="25"/>
  <c r="AE66" i="25"/>
  <c r="AE88" i="25"/>
  <c r="B68" i="25"/>
  <c r="B64" i="25"/>
  <c r="B103" i="25"/>
  <c r="B73" i="25"/>
  <c r="Q96" i="25"/>
  <c r="Q93" i="25"/>
  <c r="Q88" i="25"/>
  <c r="Q104" i="25"/>
  <c r="Q103" i="25"/>
  <c r="Q102" i="25"/>
  <c r="Q95" i="25"/>
  <c r="Q85" i="25"/>
  <c r="Q94" i="25"/>
  <c r="Q75" i="25"/>
  <c r="Q65" i="25"/>
  <c r="Q64" i="25"/>
  <c r="Q76" i="25"/>
  <c r="Q74" i="25"/>
  <c r="Q73" i="25"/>
  <c r="Q86" i="25"/>
  <c r="Q84" i="25"/>
  <c r="Q68" i="25"/>
  <c r="Q66" i="25"/>
  <c r="Q69" i="25"/>
  <c r="Q67" i="25"/>
  <c r="B66" i="25"/>
  <c r="B69" i="25"/>
  <c r="B95" i="25"/>
  <c r="B96" i="25"/>
  <c r="B74" i="25"/>
  <c r="B86" i="25"/>
  <c r="B76" i="25"/>
  <c r="B104" i="25"/>
  <c r="B85" i="25"/>
  <c r="B93" i="25"/>
  <c r="B65" i="25"/>
  <c r="B94" i="25"/>
  <c r="B88" i="25"/>
  <c r="B75" i="25"/>
  <c r="B102" i="25"/>
  <c r="B84" i="25"/>
  <c r="B67" i="25"/>
  <c r="B84" i="24"/>
  <c r="B73" i="24"/>
  <c r="AH6" i="24"/>
  <c r="AG7" i="24"/>
  <c r="S6" i="24"/>
  <c r="R7" i="24"/>
  <c r="DL5" i="24"/>
  <c r="CX5" i="24"/>
  <c r="CJ5" i="24"/>
  <c r="BV5" i="24"/>
  <c r="BH5" i="24"/>
  <c r="B74" i="24"/>
  <c r="AT5" i="24"/>
  <c r="AF5" i="24"/>
  <c r="B103" i="24"/>
  <c r="R5" i="24"/>
  <c r="B88" i="24"/>
  <c r="B76" i="24"/>
  <c r="B86" i="24"/>
  <c r="B67" i="24"/>
  <c r="B75" i="24"/>
  <c r="B94" i="24"/>
  <c r="B96" i="24"/>
  <c r="B64" i="24"/>
  <c r="B95" i="24"/>
  <c r="B65" i="24"/>
  <c r="B102" i="24"/>
  <c r="B68" i="24"/>
  <c r="B85" i="24"/>
  <c r="B69" i="24"/>
  <c r="B93" i="24"/>
  <c r="B104" i="24"/>
  <c r="B105" i="12"/>
  <c r="B110" i="16"/>
  <c r="B111" i="16" s="1"/>
  <c r="MS6" i="13"/>
  <c r="KG6" i="13"/>
  <c r="MC6" i="13"/>
  <c r="AJ5" i="17"/>
  <c r="AI6" i="17"/>
  <c r="AJ5" i="16"/>
  <c r="AI6" i="16"/>
  <c r="CI5" i="9"/>
  <c r="CJ5" i="9" s="1"/>
  <c r="AI86" i="13" a="1"/>
  <c r="AI86" i="13" s="1"/>
  <c r="AI103" i="13" a="1"/>
  <c r="AI103" i="13" s="1"/>
  <c r="AI64" i="13" a="1"/>
  <c r="AI64" i="13" s="1"/>
  <c r="AI93" i="13" a="1"/>
  <c r="AI93" i="13" s="1"/>
  <c r="AI88" i="13" a="1"/>
  <c r="AI88" i="13" s="1"/>
  <c r="AI76" i="13" a="1"/>
  <c r="AI76" i="13" s="1"/>
  <c r="AI94" i="13" a="1"/>
  <c r="AI94" i="13" s="1"/>
  <c r="AI66" i="13" a="1"/>
  <c r="AI66" i="13" s="1"/>
  <c r="AI104" i="13" a="1"/>
  <c r="AI104" i="13" s="1"/>
  <c r="AI96" i="13" a="1"/>
  <c r="AI96" i="13" s="1"/>
  <c r="AI102" i="13" a="1"/>
  <c r="AI102" i="13" s="1"/>
  <c r="DK6" i="9"/>
  <c r="DK9" i="9" s="1"/>
  <c r="DL5" i="9"/>
  <c r="CW6" i="9"/>
  <c r="CW9" i="9" s="1"/>
  <c r="CX5" i="9"/>
  <c r="B110" i="17"/>
  <c r="B111" i="17" s="1"/>
  <c r="B110" i="15"/>
  <c r="B111" i="15" s="1"/>
  <c r="AJ66" i="17" a="1"/>
  <c r="AJ66" i="17" s="1"/>
  <c r="AJ93" i="17" a="1"/>
  <c r="AJ93" i="17" s="1"/>
  <c r="AJ96" i="17" a="1"/>
  <c r="AJ96" i="17" s="1"/>
  <c r="R102" i="17" a="1"/>
  <c r="R102" i="17" s="1"/>
  <c r="AJ85" i="17" a="1"/>
  <c r="AJ85" i="17" s="1"/>
  <c r="R5" i="17"/>
  <c r="R84" i="16" a="1"/>
  <c r="R84" i="16" s="1"/>
  <c r="AJ66" i="16" a="1"/>
  <c r="AJ66" i="16" s="1"/>
  <c r="R5" i="16"/>
  <c r="R84" i="15" a="1"/>
  <c r="R84" i="15" s="1"/>
  <c r="AJ66" i="15" a="1"/>
  <c r="AJ66" i="15" s="1"/>
  <c r="R5" i="15"/>
  <c r="Q66" i="17" a="1"/>
  <c r="Q66" i="17" s="1"/>
  <c r="AI68" i="17" a="1"/>
  <c r="AI68" i="17" s="1"/>
  <c r="AJ68" i="17" s="1" a="1"/>
  <c r="AJ68" i="17" s="1"/>
  <c r="Q64" i="17" a="1"/>
  <c r="Q64" i="17" s="1"/>
  <c r="Q69" i="17" a="1"/>
  <c r="Q69" i="17" s="1"/>
  <c r="Q75" i="17" a="1"/>
  <c r="Q75" i="17" s="1"/>
  <c r="Q65" i="17" a="1"/>
  <c r="Q65" i="17" s="1"/>
  <c r="Q85" i="17" a="1"/>
  <c r="Q85" i="17" s="1"/>
  <c r="Q73" i="17" a="1"/>
  <c r="Q73" i="17" s="1"/>
  <c r="Q76" i="17" a="1"/>
  <c r="Q76" i="17" s="1"/>
  <c r="Q74" i="17" a="1"/>
  <c r="Q74" i="17" s="1"/>
  <c r="Q88" i="17" a="1"/>
  <c r="Q88" i="17" s="1"/>
  <c r="Q94" i="17" a="1"/>
  <c r="Q94" i="17" s="1"/>
  <c r="Q86" i="17" a="1"/>
  <c r="Q86" i="17" s="1"/>
  <c r="Q96" i="17" a="1"/>
  <c r="Q96" i="17" s="1"/>
  <c r="Q93" i="17" a="1"/>
  <c r="Q93" i="17" s="1"/>
  <c r="Q95" i="17" a="1"/>
  <c r="Q95" i="17" s="1"/>
  <c r="Q67" i="16" a="1"/>
  <c r="Q67" i="16" s="1"/>
  <c r="AI74" i="16" a="1"/>
  <c r="AI74" i="16" s="1"/>
  <c r="Q73" i="16" a="1"/>
  <c r="Q73" i="16" s="1"/>
  <c r="Q65" i="16" a="1"/>
  <c r="Q65" i="16" s="1"/>
  <c r="Q66" i="16" a="1"/>
  <c r="Q66" i="16" s="1"/>
  <c r="Q64" i="16" a="1"/>
  <c r="Q64" i="16" s="1"/>
  <c r="Q68" i="16" a="1"/>
  <c r="Q68" i="16" s="1"/>
  <c r="Q75" i="16" a="1"/>
  <c r="Q75" i="16" s="1"/>
  <c r="Q69" i="16" a="1"/>
  <c r="Q69" i="16" s="1"/>
  <c r="Q88" i="16" a="1"/>
  <c r="Q88" i="16" s="1"/>
  <c r="Q94" i="16" a="1"/>
  <c r="Q94" i="16" s="1"/>
  <c r="Q102" i="16" a="1"/>
  <c r="Q102" i="16" s="1"/>
  <c r="Q96" i="16" a="1"/>
  <c r="Q96" i="16" s="1"/>
  <c r="Q95" i="16" a="1"/>
  <c r="Q95" i="16" s="1"/>
  <c r="R93" i="16" a="1"/>
  <c r="R93" i="16" s="1"/>
  <c r="Q103" i="16" a="1"/>
  <c r="Q103" i="16" s="1"/>
  <c r="Q104" i="16" a="1"/>
  <c r="Q104" i="16" s="1"/>
  <c r="Q69" i="15" a="1"/>
  <c r="Q69" i="15" s="1"/>
  <c r="R66" i="15" a="1"/>
  <c r="R66" i="15" s="1"/>
  <c r="R67" i="15" a="1"/>
  <c r="R67" i="15" s="1"/>
  <c r="R65" i="15" a="1"/>
  <c r="R65" i="15" s="1"/>
  <c r="R75" i="15" a="1"/>
  <c r="R75" i="15" s="1"/>
  <c r="Q64" i="15" a="1"/>
  <c r="Q64" i="15" s="1"/>
  <c r="AI65" i="15" a="1"/>
  <c r="AI65" i="15" s="1"/>
  <c r="AJ65" i="15" s="1" a="1"/>
  <c r="AJ65" i="15" s="1"/>
  <c r="Q85" i="15" a="1"/>
  <c r="Q85" i="15" s="1"/>
  <c r="R76" i="15" a="1"/>
  <c r="R76" i="15" s="1"/>
  <c r="Q74" i="15" a="1"/>
  <c r="Q74" i="15" s="1"/>
  <c r="R86" i="15" a="1"/>
  <c r="R86" i="15" s="1"/>
  <c r="R88" i="15" a="1"/>
  <c r="R88" i="15" s="1"/>
  <c r="Q93" i="15" a="1"/>
  <c r="Q93" i="15" s="1"/>
  <c r="Q102" i="15" a="1"/>
  <c r="Q102" i="15" s="1"/>
  <c r="Q94" i="15" a="1"/>
  <c r="Q94" i="15" s="1"/>
  <c r="R96" i="15" a="1"/>
  <c r="R96" i="15" s="1"/>
  <c r="R103" i="15" a="1"/>
  <c r="R103" i="15" s="1"/>
  <c r="R95" i="15" a="1"/>
  <c r="R95" i="15" s="1"/>
  <c r="AI103" i="15" a="1"/>
  <c r="AI103" i="15" s="1"/>
  <c r="AJ103" i="15" s="1" a="1"/>
  <c r="AJ103" i="15" s="1"/>
  <c r="Q104" i="15" a="1"/>
  <c r="Q104" i="15" s="1"/>
  <c r="NY5" i="17"/>
  <c r="NZ6" i="17" s="1"/>
  <c r="MC6" i="16"/>
  <c r="AI67" i="13" a="1"/>
  <c r="AI67" i="13" s="1"/>
  <c r="AI68" i="13" a="1"/>
  <c r="AI68" i="13" s="1"/>
  <c r="AI85" i="13" a="1"/>
  <c r="AI85" i="13" s="1"/>
  <c r="AI95" i="13" a="1"/>
  <c r="AI95" i="13" s="1"/>
  <c r="AI73" i="13" a="1"/>
  <c r="AI73" i="13" s="1"/>
  <c r="AI69" i="13" a="1"/>
  <c r="AI69" i="13" s="1"/>
  <c r="AI74" i="13" a="1"/>
  <c r="AI74" i="13" s="1"/>
  <c r="AI75" i="13" a="1"/>
  <c r="AI75" i="13" s="1"/>
  <c r="AI65" i="13" a="1"/>
  <c r="AI65" i="13" s="1"/>
  <c r="AI5" i="13"/>
  <c r="Q5" i="13"/>
  <c r="R73" i="15" l="1" a="1"/>
  <c r="R73" i="15" s="1"/>
  <c r="R68" i="15" a="1"/>
  <c r="R68" i="15" s="1"/>
  <c r="B64" i="16"/>
  <c r="AJ67" i="17" a="1"/>
  <c r="AJ67" i="17" s="1"/>
  <c r="CX67" i="9"/>
  <c r="CX64" i="9"/>
  <c r="CX68" i="9"/>
  <c r="CX74" i="9"/>
  <c r="CX85" i="9"/>
  <c r="CX66" i="9"/>
  <c r="CX84" i="9"/>
  <c r="CX102" i="9"/>
  <c r="CX95" i="9"/>
  <c r="CX65" i="9"/>
  <c r="CX94" i="9"/>
  <c r="CX76" i="9"/>
  <c r="CX86" i="9"/>
  <c r="CX103" i="9"/>
  <c r="CX75" i="9"/>
  <c r="CX104" i="9"/>
  <c r="CX73" i="9"/>
  <c r="CX69" i="9"/>
  <c r="CX88" i="9"/>
  <c r="CX96" i="9"/>
  <c r="CX93" i="9"/>
  <c r="AT96" i="24"/>
  <c r="AT65" i="24"/>
  <c r="AT104" i="24"/>
  <c r="AT94" i="24"/>
  <c r="AT86" i="24"/>
  <c r="AT85" i="24"/>
  <c r="AT84" i="24"/>
  <c r="AT75" i="24"/>
  <c r="AT68" i="24"/>
  <c r="AT102" i="24"/>
  <c r="AT66" i="24"/>
  <c r="AT103" i="24"/>
  <c r="AT67" i="24"/>
  <c r="AT74" i="24"/>
  <c r="AT76" i="24"/>
  <c r="AT95" i="24"/>
  <c r="AT69" i="24"/>
  <c r="AT93" i="24"/>
  <c r="AT73" i="24"/>
  <c r="AT64" i="24"/>
  <c r="AT88" i="24"/>
  <c r="AJ64" i="15" a="1"/>
  <c r="AJ64" i="15" s="1"/>
  <c r="R84" i="17" a="1"/>
  <c r="R84" i="17" s="1"/>
  <c r="DK88" i="9"/>
  <c r="DK85" i="9"/>
  <c r="DK67" i="9"/>
  <c r="DK104" i="9"/>
  <c r="DK102" i="9"/>
  <c r="DK75" i="9"/>
  <c r="DK68" i="9"/>
  <c r="DK84" i="9"/>
  <c r="DK64" i="9"/>
  <c r="DK95" i="9"/>
  <c r="DK73" i="9"/>
  <c r="DK65" i="9"/>
  <c r="DK94" i="9"/>
  <c r="DK96" i="9"/>
  <c r="DK103" i="9"/>
  <c r="DK66" i="9"/>
  <c r="DK76" i="9"/>
  <c r="DK93" i="9"/>
  <c r="DK74" i="9"/>
  <c r="DK69" i="9"/>
  <c r="DK86" i="9"/>
  <c r="DL104" i="9"/>
  <c r="DL75" i="9"/>
  <c r="DL64" i="9"/>
  <c r="DL95" i="9"/>
  <c r="DL67" i="9"/>
  <c r="DL69" i="9"/>
  <c r="DL73" i="9"/>
  <c r="DL65" i="9"/>
  <c r="DL66" i="9"/>
  <c r="DL76" i="9"/>
  <c r="DL96" i="9"/>
  <c r="DL84" i="9"/>
  <c r="DL102" i="9"/>
  <c r="DL74" i="9"/>
  <c r="DL86" i="9"/>
  <c r="DL85" i="9"/>
  <c r="DL94" i="9"/>
  <c r="DL68" i="9"/>
  <c r="DL103" i="9"/>
  <c r="DL88" i="9"/>
  <c r="DL93" i="9"/>
  <c r="CI6" i="9"/>
  <c r="CI9" i="9" s="1"/>
  <c r="CI85" i="9"/>
  <c r="CI104" i="9"/>
  <c r="CI75" i="9"/>
  <c r="CI73" i="9"/>
  <c r="CI102" i="9"/>
  <c r="CI93" i="9"/>
  <c r="CI86" i="9"/>
  <c r="CI84" i="9"/>
  <c r="CI88" i="9"/>
  <c r="CI103" i="9"/>
  <c r="CI74" i="9"/>
  <c r="CI67" i="9"/>
  <c r="CI94" i="9"/>
  <c r="CI69" i="9"/>
  <c r="CI76" i="9"/>
  <c r="CI65" i="9"/>
  <c r="CI95" i="9"/>
  <c r="CI66" i="9"/>
  <c r="CI68" i="9"/>
  <c r="CI96" i="9"/>
  <c r="CI64" i="9"/>
  <c r="BH73" i="24"/>
  <c r="BH68" i="24"/>
  <c r="BH66" i="24"/>
  <c r="BH64" i="24"/>
  <c r="BH67" i="24"/>
  <c r="BH65" i="24"/>
  <c r="BH104" i="24"/>
  <c r="BH86" i="24"/>
  <c r="BH102" i="24"/>
  <c r="BH85" i="24"/>
  <c r="BH103" i="24"/>
  <c r="BH96" i="24"/>
  <c r="BH69" i="24"/>
  <c r="BH88" i="24"/>
  <c r="BH76" i="24"/>
  <c r="BH94" i="24"/>
  <c r="BH84" i="24"/>
  <c r="BH93" i="24"/>
  <c r="BH75" i="24"/>
  <c r="BH74" i="24"/>
  <c r="BH95" i="24"/>
  <c r="AJ84" i="15" a="1"/>
  <c r="AJ84" i="15" s="1"/>
  <c r="BV94" i="24"/>
  <c r="BV103" i="24"/>
  <c r="BV96" i="24"/>
  <c r="BV86" i="24"/>
  <c r="BV85" i="24"/>
  <c r="BV84" i="24"/>
  <c r="BV76" i="24"/>
  <c r="BV68" i="24"/>
  <c r="BV74" i="24"/>
  <c r="BV66" i="24"/>
  <c r="BV104" i="24"/>
  <c r="BV64" i="24"/>
  <c r="BV95" i="24"/>
  <c r="BV67" i="24"/>
  <c r="BV75" i="24"/>
  <c r="BV102" i="24"/>
  <c r="BV65" i="24"/>
  <c r="BV88" i="24"/>
  <c r="BV93" i="24"/>
  <c r="BV69" i="24"/>
  <c r="BV73" i="24"/>
  <c r="AV6" i="24"/>
  <c r="AU7" i="24"/>
  <c r="AJ84" i="17" a="1"/>
  <c r="AJ84" i="17" s="1"/>
  <c r="R104" i="17" a="1"/>
  <c r="R104" i="17" s="1"/>
  <c r="B64" i="17"/>
  <c r="CJ104" i="24"/>
  <c r="CJ85" i="24"/>
  <c r="CJ66" i="24"/>
  <c r="CJ96" i="24"/>
  <c r="CJ75" i="24"/>
  <c r="CJ95" i="24"/>
  <c r="CJ102" i="24"/>
  <c r="CJ76" i="24"/>
  <c r="CJ103" i="24"/>
  <c r="CJ84" i="24"/>
  <c r="CJ68" i="24"/>
  <c r="CJ64" i="24"/>
  <c r="CJ86" i="24"/>
  <c r="CJ67" i="24"/>
  <c r="CJ65" i="24"/>
  <c r="CJ93" i="24"/>
  <c r="CJ88" i="24"/>
  <c r="CJ74" i="24"/>
  <c r="CJ73" i="24"/>
  <c r="CJ94" i="24"/>
  <c r="CJ69" i="24"/>
  <c r="AJ68" i="16" a="1"/>
  <c r="AJ68" i="16" s="1"/>
  <c r="R86" i="24"/>
  <c r="R85" i="24"/>
  <c r="R84" i="24"/>
  <c r="R64" i="24"/>
  <c r="R104" i="24"/>
  <c r="R103" i="24"/>
  <c r="R76" i="24"/>
  <c r="R102" i="24"/>
  <c r="R96" i="24"/>
  <c r="R95" i="24"/>
  <c r="R68" i="24"/>
  <c r="R67" i="24"/>
  <c r="R66" i="24"/>
  <c r="R75" i="24"/>
  <c r="R65" i="24"/>
  <c r="R94" i="24"/>
  <c r="R74" i="24"/>
  <c r="R88" i="24"/>
  <c r="R93" i="24"/>
  <c r="R73" i="24"/>
  <c r="R69" i="24"/>
  <c r="CX73" i="24"/>
  <c r="CX104" i="24"/>
  <c r="CX85" i="24"/>
  <c r="CX68" i="24"/>
  <c r="CX103" i="24"/>
  <c r="CX84" i="24"/>
  <c r="CX67" i="24"/>
  <c r="CX96" i="24"/>
  <c r="CX75" i="24"/>
  <c r="CX102" i="24"/>
  <c r="CX86" i="24"/>
  <c r="CX76" i="24"/>
  <c r="CX65" i="24"/>
  <c r="CX74" i="24"/>
  <c r="CX64" i="24"/>
  <c r="CX66" i="24"/>
  <c r="CX95" i="24"/>
  <c r="CX88" i="24"/>
  <c r="CX93" i="24"/>
  <c r="CX94" i="24"/>
  <c r="CX69" i="24"/>
  <c r="BY6" i="24"/>
  <c r="BX7" i="24"/>
  <c r="AJ74" i="16" a="1"/>
  <c r="AJ74" i="16" s="1"/>
  <c r="AJ102" i="16" a="1"/>
  <c r="AJ102" i="16" s="1"/>
  <c r="P94" i="9"/>
  <c r="P75" i="9"/>
  <c r="B75" i="9" s="1"/>
  <c r="P64" i="9"/>
  <c r="P95" i="9"/>
  <c r="P74" i="9"/>
  <c r="B74" i="9" s="1"/>
  <c r="P84" i="9"/>
  <c r="B84" i="9" s="1"/>
  <c r="P86" i="9"/>
  <c r="P65" i="9"/>
  <c r="P68" i="9"/>
  <c r="P103" i="9"/>
  <c r="P85" i="9"/>
  <c r="P76" i="9"/>
  <c r="B76" i="9" s="1"/>
  <c r="P67" i="9"/>
  <c r="P66" i="9"/>
  <c r="P104" i="9"/>
  <c r="P88" i="9"/>
  <c r="P69" i="9"/>
  <c r="P73" i="9"/>
  <c r="P102" i="9"/>
  <c r="P93" i="9"/>
  <c r="P96" i="9"/>
  <c r="DL103" i="24"/>
  <c r="DL85" i="24"/>
  <c r="DL102" i="24"/>
  <c r="DL84" i="24"/>
  <c r="DL68" i="24"/>
  <c r="DL94" i="24"/>
  <c r="DL86" i="24"/>
  <c r="DL104" i="24"/>
  <c r="DL66" i="24"/>
  <c r="DL67" i="24"/>
  <c r="DL74" i="24"/>
  <c r="DL95" i="24"/>
  <c r="DL88" i="24"/>
  <c r="DL76" i="24"/>
  <c r="DL64" i="24"/>
  <c r="DL73" i="24"/>
  <c r="DL65" i="24"/>
  <c r="DL96" i="24"/>
  <c r="DL93" i="24"/>
  <c r="DL75" i="24"/>
  <c r="DL69" i="24"/>
  <c r="DN6" i="24"/>
  <c r="DM7" i="24"/>
  <c r="Q84" i="13" a="1"/>
  <c r="Q84" i="13" s="1"/>
  <c r="B64" i="15"/>
  <c r="R76" i="16" a="1"/>
  <c r="R76" i="16" s="1"/>
  <c r="AJ76" i="16" a="1"/>
  <c r="AJ76" i="16" s="1"/>
  <c r="AJ65" i="17" a="1"/>
  <c r="AJ65" i="17" s="1"/>
  <c r="B85" i="15"/>
  <c r="CJ68" i="9"/>
  <c r="CJ64" i="9"/>
  <c r="CJ75" i="9"/>
  <c r="CJ104" i="9"/>
  <c r="CJ65" i="9"/>
  <c r="CJ95" i="9"/>
  <c r="CJ73" i="9"/>
  <c r="CJ93" i="9"/>
  <c r="CJ74" i="9"/>
  <c r="CJ94" i="9"/>
  <c r="CJ88" i="9"/>
  <c r="CJ84" i="9"/>
  <c r="CJ85" i="9"/>
  <c r="CJ86" i="9"/>
  <c r="CJ96" i="9"/>
  <c r="CJ66" i="9"/>
  <c r="CJ67" i="9"/>
  <c r="CJ69" i="9"/>
  <c r="CJ103" i="9"/>
  <c r="CJ102" i="9"/>
  <c r="CJ76" i="9"/>
  <c r="AF66" i="24"/>
  <c r="AF75" i="24"/>
  <c r="AF68" i="24"/>
  <c r="AF65" i="24"/>
  <c r="AF64" i="24"/>
  <c r="AF76" i="24"/>
  <c r="AF103" i="24"/>
  <c r="AF96" i="24"/>
  <c r="AF104" i="24"/>
  <c r="AF88" i="24"/>
  <c r="AF74" i="24"/>
  <c r="AF69" i="24"/>
  <c r="AF85" i="24"/>
  <c r="AF102" i="24"/>
  <c r="AF86" i="24"/>
  <c r="AF95" i="24"/>
  <c r="AF93" i="24"/>
  <c r="AF73" i="24"/>
  <c r="AF67" i="24"/>
  <c r="AF84" i="24"/>
  <c r="AF94" i="24"/>
  <c r="AJ84" i="16" a="1"/>
  <c r="AJ84" i="16" s="1"/>
  <c r="CW86" i="9"/>
  <c r="CW67" i="9"/>
  <c r="CW103" i="9"/>
  <c r="CW64" i="9"/>
  <c r="CW68" i="9"/>
  <c r="CW95" i="9"/>
  <c r="CW74" i="9"/>
  <c r="CW75" i="9"/>
  <c r="CW104" i="9"/>
  <c r="CW76" i="9"/>
  <c r="CW96" i="9"/>
  <c r="CW66" i="9"/>
  <c r="CW94" i="9"/>
  <c r="CW73" i="9"/>
  <c r="CW85" i="9"/>
  <c r="CW65" i="9"/>
  <c r="CW69" i="9"/>
  <c r="CW93" i="9"/>
  <c r="CW88" i="9"/>
  <c r="CW84" i="9"/>
  <c r="CW102" i="9"/>
  <c r="DL69" i="25"/>
  <c r="DL104" i="25"/>
  <c r="DL95" i="25"/>
  <c r="DL75" i="25"/>
  <c r="DL68" i="25"/>
  <c r="DL103" i="25"/>
  <c r="DL94" i="25"/>
  <c r="DL85" i="25"/>
  <c r="DL74" i="25"/>
  <c r="DL67" i="25"/>
  <c r="DL96" i="25"/>
  <c r="DL88" i="25"/>
  <c r="DL76" i="25"/>
  <c r="DL65" i="25"/>
  <c r="DL86" i="25"/>
  <c r="DL64" i="25"/>
  <c r="DL102" i="25"/>
  <c r="DL93" i="25"/>
  <c r="DL84" i="25"/>
  <c r="DL73" i="25"/>
  <c r="DL66" i="25"/>
  <c r="DM5" i="25"/>
  <c r="CX93" i="25"/>
  <c r="CX84" i="25"/>
  <c r="CX103" i="25"/>
  <c r="CX94" i="25"/>
  <c r="CX85" i="25"/>
  <c r="CX74" i="25"/>
  <c r="CX67" i="25"/>
  <c r="CX73" i="25"/>
  <c r="CX66" i="25"/>
  <c r="CX102" i="25"/>
  <c r="CX96" i="25"/>
  <c r="CX88" i="25"/>
  <c r="CX76" i="25"/>
  <c r="CX69" i="25"/>
  <c r="CX65" i="25"/>
  <c r="CX104" i="25"/>
  <c r="CX95" i="25"/>
  <c r="CX86" i="25"/>
  <c r="CX75" i="25"/>
  <c r="CX68" i="25"/>
  <c r="CX64" i="25"/>
  <c r="CY5" i="25"/>
  <c r="CJ104" i="25"/>
  <c r="CJ103" i="25"/>
  <c r="CJ94" i="25"/>
  <c r="CJ85" i="25"/>
  <c r="CJ74" i="25"/>
  <c r="CJ67" i="25"/>
  <c r="CJ95" i="25"/>
  <c r="CK5" i="25"/>
  <c r="CJ64" i="25"/>
  <c r="CJ102" i="25"/>
  <c r="CJ93" i="25"/>
  <c r="CJ84" i="25"/>
  <c r="CJ73" i="25"/>
  <c r="CJ66" i="25"/>
  <c r="CJ96" i="25"/>
  <c r="CJ88" i="25"/>
  <c r="CJ76" i="25"/>
  <c r="CJ69" i="25"/>
  <c r="CJ65" i="25"/>
  <c r="CJ86" i="25"/>
  <c r="CJ75" i="25"/>
  <c r="CJ68" i="25"/>
  <c r="BV88" i="25"/>
  <c r="BV76" i="25"/>
  <c r="BV69" i="25"/>
  <c r="BV65" i="25"/>
  <c r="BV95" i="25"/>
  <c r="BV68" i="25"/>
  <c r="BV103" i="25"/>
  <c r="BV94" i="25"/>
  <c r="BV85" i="25"/>
  <c r="BV74" i="25"/>
  <c r="BV67" i="25"/>
  <c r="BV104" i="25"/>
  <c r="BV86" i="25"/>
  <c r="BW5" i="25"/>
  <c r="BV96" i="25"/>
  <c r="BV102" i="25"/>
  <c r="BV93" i="25"/>
  <c r="BV84" i="25"/>
  <c r="BV73" i="25"/>
  <c r="BV66" i="25"/>
  <c r="BV75" i="25"/>
  <c r="BV64" i="25"/>
  <c r="BH95" i="25"/>
  <c r="BH75" i="25"/>
  <c r="BH64" i="25"/>
  <c r="BH103" i="25"/>
  <c r="BH94" i="25"/>
  <c r="BH85" i="25"/>
  <c r="BH74" i="25"/>
  <c r="BH67" i="25"/>
  <c r="BH104" i="25"/>
  <c r="BH86" i="25"/>
  <c r="BH102" i="25"/>
  <c r="BH93" i="25"/>
  <c r="BH84" i="25"/>
  <c r="BH73" i="25"/>
  <c r="BH66" i="25"/>
  <c r="BH68" i="25"/>
  <c r="BI5" i="25"/>
  <c r="BH96" i="25"/>
  <c r="BH88" i="25"/>
  <c r="BH76" i="25"/>
  <c r="BH69" i="25"/>
  <c r="BH65" i="25"/>
  <c r="AT104" i="25"/>
  <c r="AT68" i="25"/>
  <c r="AT103" i="25"/>
  <c r="AT94" i="25"/>
  <c r="AT85" i="25"/>
  <c r="AT74" i="25"/>
  <c r="AT67" i="25"/>
  <c r="AT95" i="25"/>
  <c r="AT86" i="25"/>
  <c r="AT75" i="25"/>
  <c r="AT102" i="25"/>
  <c r="AT93" i="25"/>
  <c r="AT84" i="25"/>
  <c r="AT73" i="25"/>
  <c r="AT66" i="25"/>
  <c r="AT96" i="25"/>
  <c r="AT88" i="25"/>
  <c r="AT76" i="25"/>
  <c r="AT69" i="25"/>
  <c r="AT65" i="25"/>
  <c r="AU5" i="25"/>
  <c r="AT64" i="25"/>
  <c r="AF104" i="25"/>
  <c r="AF86" i="25"/>
  <c r="AG5" i="25"/>
  <c r="AF103" i="25"/>
  <c r="AF94" i="25"/>
  <c r="AF85" i="25"/>
  <c r="AF74" i="25"/>
  <c r="AF67" i="25"/>
  <c r="AF95" i="25"/>
  <c r="AF102" i="25"/>
  <c r="AF93" i="25"/>
  <c r="AF84" i="25"/>
  <c r="AF73" i="25"/>
  <c r="AF66" i="25"/>
  <c r="AF96" i="25"/>
  <c r="AF88" i="25"/>
  <c r="AF76" i="25"/>
  <c r="AF69" i="25"/>
  <c r="AF65" i="25"/>
  <c r="AF75" i="25"/>
  <c r="AF68" i="25"/>
  <c r="AF64" i="25"/>
  <c r="C67" i="25"/>
  <c r="C76" i="25"/>
  <c r="C102" i="25"/>
  <c r="C69" i="25"/>
  <c r="R95" i="25"/>
  <c r="R88" i="25"/>
  <c r="R104" i="25"/>
  <c r="R103" i="25"/>
  <c r="R102" i="25"/>
  <c r="R86" i="25"/>
  <c r="R84" i="25"/>
  <c r="R94" i="25"/>
  <c r="R64" i="25"/>
  <c r="R96" i="25"/>
  <c r="R93" i="25"/>
  <c r="R76" i="25"/>
  <c r="R74" i="25"/>
  <c r="R85" i="25"/>
  <c r="R73" i="25"/>
  <c r="R66" i="25"/>
  <c r="R69" i="25"/>
  <c r="R67" i="25"/>
  <c r="R75" i="25"/>
  <c r="R65" i="25"/>
  <c r="R68" i="25"/>
  <c r="C103" i="25"/>
  <c r="C66" i="25"/>
  <c r="C64" i="25"/>
  <c r="C104" i="25"/>
  <c r="C68" i="25"/>
  <c r="C65" i="25"/>
  <c r="C88" i="25"/>
  <c r="C84" i="25"/>
  <c r="C75" i="25"/>
  <c r="C93" i="25"/>
  <c r="C86" i="25"/>
  <c r="C94" i="25"/>
  <c r="C96" i="25"/>
  <c r="C73" i="25"/>
  <c r="C85" i="25"/>
  <c r="C74" i="25"/>
  <c r="C95" i="25"/>
  <c r="AI6" i="24"/>
  <c r="AH7" i="24"/>
  <c r="T6" i="24"/>
  <c r="S7" i="24"/>
  <c r="DM5" i="24"/>
  <c r="C95" i="24"/>
  <c r="CY5" i="24"/>
  <c r="CK5" i="24"/>
  <c r="C93" i="24"/>
  <c r="BW5" i="24"/>
  <c r="C74" i="24"/>
  <c r="BI5" i="24"/>
  <c r="AU5" i="24"/>
  <c r="AG5" i="24"/>
  <c r="S5" i="24"/>
  <c r="C86" i="24"/>
  <c r="C65" i="24"/>
  <c r="C96" i="24"/>
  <c r="C88" i="24"/>
  <c r="C73" i="24"/>
  <c r="C102" i="24"/>
  <c r="C69" i="24"/>
  <c r="C76" i="24"/>
  <c r="C94" i="24"/>
  <c r="C68" i="24"/>
  <c r="C84" i="24"/>
  <c r="C64" i="24"/>
  <c r="C103" i="24"/>
  <c r="C75" i="24"/>
  <c r="C104" i="24"/>
  <c r="C67" i="24"/>
  <c r="C66" i="24"/>
  <c r="C85" i="24"/>
  <c r="AJ68" i="15" a="1"/>
  <c r="AJ68" i="15" s="1"/>
  <c r="AJ76" i="15" a="1"/>
  <c r="AJ76" i="15" s="1"/>
  <c r="AJ85" i="15" a="1"/>
  <c r="AJ85" i="15" s="1"/>
  <c r="AJ86" i="15" a="1"/>
  <c r="AJ86" i="15" s="1"/>
  <c r="AJ95" i="15" a="1"/>
  <c r="AJ95" i="15" s="1"/>
  <c r="AJ102" i="15" a="1"/>
  <c r="AJ102" i="15" s="1"/>
  <c r="R67" i="17" a="1"/>
  <c r="R67" i="17" s="1"/>
  <c r="AJ74" i="15" a="1"/>
  <c r="AJ74" i="15" s="1"/>
  <c r="R103" i="17" a="1"/>
  <c r="R103" i="17" s="1"/>
  <c r="AJ67" i="15" a="1"/>
  <c r="AJ67" i="15" s="1"/>
  <c r="R68" i="17" a="1"/>
  <c r="R68" i="17" s="1"/>
  <c r="AJ73" i="17" a="1"/>
  <c r="AJ73" i="17" s="1"/>
  <c r="AJ95" i="16" a="1"/>
  <c r="AJ95" i="16" s="1"/>
  <c r="AJ96" i="16" a="1"/>
  <c r="AJ96" i="16" s="1"/>
  <c r="AJ88" i="17" a="1"/>
  <c r="AJ88" i="17" s="1"/>
  <c r="B67" i="17"/>
  <c r="B69" i="17"/>
  <c r="B74" i="15"/>
  <c r="Q76" i="13" a="1"/>
  <c r="Q76" i="13" s="1"/>
  <c r="R76" i="13" s="1" a="1"/>
  <c r="R76" i="13" s="1"/>
  <c r="Q95" i="13" a="1"/>
  <c r="Q95" i="13" s="1"/>
  <c r="Q73" i="13" a="1"/>
  <c r="Q73" i="13" s="1"/>
  <c r="R73" i="13" s="1" a="1"/>
  <c r="R73" i="13" s="1"/>
  <c r="Q86" i="13" a="1"/>
  <c r="Q86" i="13" s="1"/>
  <c r="Q74" i="13" a="1"/>
  <c r="Q74" i="13" s="1"/>
  <c r="Q103" i="13" a="1"/>
  <c r="Q103" i="13" s="1"/>
  <c r="Q75" i="13" a="1"/>
  <c r="Q75" i="13" s="1"/>
  <c r="R75" i="13" s="1" a="1"/>
  <c r="R75" i="13" s="1"/>
  <c r="Q67" i="13" a="1"/>
  <c r="Q67" i="13" s="1"/>
  <c r="R67" i="13" s="1" a="1"/>
  <c r="R67" i="13" s="1"/>
  <c r="Q93" i="13" a="1"/>
  <c r="Q93" i="13" s="1"/>
  <c r="R93" i="13" s="1" a="1"/>
  <c r="R93" i="13" s="1"/>
  <c r="Q102" i="13" a="1"/>
  <c r="Q102" i="13" s="1"/>
  <c r="Q68" i="13" a="1"/>
  <c r="Q68" i="13" s="1"/>
  <c r="R68" i="13" s="1" a="1"/>
  <c r="R68" i="13" s="1"/>
  <c r="Q88" i="13" a="1"/>
  <c r="Q88" i="13" s="1"/>
  <c r="R88" i="13" s="1" a="1"/>
  <c r="R88" i="13" s="1"/>
  <c r="Q85" i="13" a="1"/>
  <c r="Q85" i="13" s="1"/>
  <c r="R85" i="13" s="1" a="1"/>
  <c r="R85" i="13" s="1"/>
  <c r="Q65" i="13" a="1"/>
  <c r="Q65" i="13" s="1"/>
  <c r="Q66" i="13" a="1"/>
  <c r="Q66" i="13" s="1"/>
  <c r="Q64" i="13" a="1"/>
  <c r="Q64" i="13" s="1"/>
  <c r="R64" i="13" s="1" a="1"/>
  <c r="R64" i="13" s="1"/>
  <c r="Q94" i="13" a="1"/>
  <c r="Q94" i="13" s="1"/>
  <c r="R94" i="13" s="1" a="1"/>
  <c r="R94" i="13" s="1"/>
  <c r="Q104" i="13" a="1"/>
  <c r="Q104" i="13" s="1"/>
  <c r="Q96" i="13" a="1"/>
  <c r="Q96" i="13" s="1"/>
  <c r="R96" i="13" s="1" a="1"/>
  <c r="R96" i="13" s="1"/>
  <c r="Q69" i="13" a="1"/>
  <c r="Q69" i="13" s="1"/>
  <c r="R69" i="13" s="1" a="1"/>
  <c r="R69" i="13" s="1"/>
  <c r="DL6" i="9"/>
  <c r="DL9" i="9" s="1"/>
  <c r="DM5" i="9"/>
  <c r="CY5" i="9"/>
  <c r="CX6" i="9"/>
  <c r="CX9" i="9" s="1"/>
  <c r="CK5" i="9"/>
  <c r="CJ6" i="9"/>
  <c r="CJ9" i="9" s="1"/>
  <c r="B102" i="16"/>
  <c r="B93" i="17"/>
  <c r="B103" i="15"/>
  <c r="B88" i="16"/>
  <c r="B85" i="16"/>
  <c r="B86" i="16"/>
  <c r="B74" i="17"/>
  <c r="B68" i="17"/>
  <c r="B93" i="15"/>
  <c r="B69" i="15"/>
  <c r="B85" i="17"/>
  <c r="B65" i="17"/>
  <c r="B95" i="17"/>
  <c r="B94" i="17"/>
  <c r="B76" i="17"/>
  <c r="B86" i="17"/>
  <c r="B96" i="17"/>
  <c r="B88" i="17"/>
  <c r="B66" i="17"/>
  <c r="B73" i="17"/>
  <c r="B75" i="17"/>
  <c r="B94" i="16"/>
  <c r="B68" i="16"/>
  <c r="B66" i="16"/>
  <c r="B75" i="16"/>
  <c r="B65" i="16"/>
  <c r="B96" i="16"/>
  <c r="B103" i="16"/>
  <c r="B76" i="16"/>
  <c r="B95" i="16"/>
  <c r="B69" i="16"/>
  <c r="B67" i="16"/>
  <c r="B104" i="16"/>
  <c r="B74" i="16"/>
  <c r="B73" i="16"/>
  <c r="B86" i="15"/>
  <c r="B95" i="15"/>
  <c r="B104" i="15"/>
  <c r="B102" i="15"/>
  <c r="B94" i="15"/>
  <c r="B76" i="15"/>
  <c r="B67" i="15"/>
  <c r="B65" i="15"/>
  <c r="B68" i="15"/>
  <c r="AJ103" i="17" a="1"/>
  <c r="AJ103" i="17" s="1"/>
  <c r="AJ95" i="17" a="1"/>
  <c r="AJ95" i="17" s="1"/>
  <c r="AJ6" i="17"/>
  <c r="AK5" i="17"/>
  <c r="AJ86" i="17" a="1"/>
  <c r="AJ86" i="17" s="1"/>
  <c r="AJ94" i="17" a="1"/>
  <c r="AJ94" i="17" s="1"/>
  <c r="AK66" i="17" a="1"/>
  <c r="AK66" i="17" s="1"/>
  <c r="S5" i="17"/>
  <c r="R6" i="17"/>
  <c r="S67" i="17" a="1"/>
  <c r="S67" i="17" s="1"/>
  <c r="AJ76" i="17" a="1"/>
  <c r="AJ76" i="17" s="1"/>
  <c r="AJ75" i="17" a="1"/>
  <c r="AJ75" i="17" s="1"/>
  <c r="AJ74" i="17" a="1"/>
  <c r="AJ74" i="17" s="1"/>
  <c r="AK96" i="17" a="1"/>
  <c r="AK96" i="17" s="1"/>
  <c r="AJ102" i="17" a="1"/>
  <c r="AJ102" i="17" s="1"/>
  <c r="AK102" i="17" s="1" a="1"/>
  <c r="AK102" i="17" s="1"/>
  <c r="AJ104" i="17" a="1"/>
  <c r="AJ104" i="17" s="1"/>
  <c r="AJ69" i="17" a="1"/>
  <c r="AJ69" i="17" s="1"/>
  <c r="AK69" i="17" s="1" a="1"/>
  <c r="AK69" i="17" s="1"/>
  <c r="AJ64" i="17" a="1"/>
  <c r="AJ64" i="17" s="1"/>
  <c r="R6" i="16"/>
  <c r="S5" i="16"/>
  <c r="AJ73" i="16" a="1"/>
  <c r="AJ73" i="16" s="1"/>
  <c r="AJ103" i="16" a="1"/>
  <c r="AJ103" i="16" s="1"/>
  <c r="AJ69" i="16" a="1"/>
  <c r="AJ69" i="16" s="1"/>
  <c r="AJ64" i="16" a="1"/>
  <c r="AJ64" i="16" s="1"/>
  <c r="R74" i="16" a="1"/>
  <c r="R74" i="16" s="1"/>
  <c r="AJ67" i="16" a="1"/>
  <c r="AJ67" i="16" s="1"/>
  <c r="AJ86" i="16" a="1"/>
  <c r="AJ86" i="16" s="1"/>
  <c r="AJ65" i="16" a="1"/>
  <c r="AJ65" i="16" s="1"/>
  <c r="AJ93" i="16" a="1"/>
  <c r="AJ93" i="16" s="1"/>
  <c r="AJ88" i="16" a="1"/>
  <c r="AJ88" i="16" s="1"/>
  <c r="AJ75" i="16" a="1"/>
  <c r="AJ75" i="16" s="1"/>
  <c r="R86" i="16" a="1"/>
  <c r="R86" i="16" s="1"/>
  <c r="R85" i="16" a="1"/>
  <c r="R85" i="16" s="1"/>
  <c r="S85" i="16" s="1" a="1"/>
  <c r="S85" i="16" s="1"/>
  <c r="AJ6" i="16"/>
  <c r="AK5" i="16"/>
  <c r="AJ85" i="16" a="1"/>
  <c r="AJ85" i="16" s="1"/>
  <c r="AJ104" i="16" a="1"/>
  <c r="AJ104" i="16" s="1"/>
  <c r="AJ94" i="16" a="1"/>
  <c r="AJ94" i="16" s="1"/>
  <c r="AK66" i="15" a="1"/>
  <c r="AK66" i="15" s="1"/>
  <c r="AK5" i="15"/>
  <c r="AJ6" i="15"/>
  <c r="AJ75" i="15" a="1"/>
  <c r="AJ75" i="15" s="1"/>
  <c r="AJ93" i="15" a="1"/>
  <c r="AJ93" i="15" s="1"/>
  <c r="S84" i="15" a="1"/>
  <c r="S84" i="15" s="1"/>
  <c r="R6" i="15"/>
  <c r="S5" i="15"/>
  <c r="AJ88" i="15" a="1"/>
  <c r="AJ88" i="15" s="1"/>
  <c r="AJ69" i="15" a="1"/>
  <c r="AJ69" i="15" s="1"/>
  <c r="AJ104" i="15" a="1"/>
  <c r="AJ104" i="15" s="1"/>
  <c r="AJ94" i="15" a="1"/>
  <c r="AJ94" i="15" s="1"/>
  <c r="AJ96" i="15" a="1"/>
  <c r="AJ96" i="15" s="1"/>
  <c r="AJ73" i="15" a="1"/>
  <c r="AJ73" i="15" s="1"/>
  <c r="B104" i="17"/>
  <c r="R96" i="17" a="1"/>
  <c r="R96" i="17" s="1"/>
  <c r="R74" i="17" a="1"/>
  <c r="R74" i="17" s="1"/>
  <c r="R65" i="17" a="1"/>
  <c r="R65" i="17" s="1"/>
  <c r="R64" i="17" a="1"/>
  <c r="R64" i="17" s="1"/>
  <c r="R88" i="17" a="1"/>
  <c r="R88" i="17" s="1"/>
  <c r="R66" i="17" a="1"/>
  <c r="R66" i="17" s="1"/>
  <c r="R85" i="17" a="1"/>
  <c r="R85" i="17" s="1"/>
  <c r="B103" i="17"/>
  <c r="B102" i="17"/>
  <c r="R95" i="17" a="1"/>
  <c r="R95" i="17" s="1"/>
  <c r="R93" i="17" a="1"/>
  <c r="R93" i="17" s="1"/>
  <c r="R86" i="17" a="1"/>
  <c r="R86" i="17" s="1"/>
  <c r="R76" i="17" a="1"/>
  <c r="R76" i="17" s="1"/>
  <c r="R73" i="17" a="1"/>
  <c r="R73" i="17" s="1"/>
  <c r="R75" i="17" a="1"/>
  <c r="R75" i="17" s="1"/>
  <c r="R69" i="17" a="1"/>
  <c r="R69" i="17" s="1"/>
  <c r="R94" i="17" a="1"/>
  <c r="R94" i="17" s="1"/>
  <c r="R104" i="16" a="1"/>
  <c r="R104" i="16" s="1"/>
  <c r="R66" i="16" a="1"/>
  <c r="R66" i="16" s="1"/>
  <c r="R65" i="16" a="1"/>
  <c r="R65" i="16" s="1"/>
  <c r="R96" i="16" a="1"/>
  <c r="R96" i="16" s="1"/>
  <c r="R88" i="16" a="1"/>
  <c r="R88" i="16" s="1"/>
  <c r="R95" i="16" a="1"/>
  <c r="R95" i="16" s="1"/>
  <c r="R64" i="16" a="1"/>
  <c r="R64" i="16" s="1"/>
  <c r="R102" i="16" a="1"/>
  <c r="R102" i="16" s="1"/>
  <c r="R73" i="16" a="1"/>
  <c r="R73" i="16" s="1"/>
  <c r="R94" i="16" a="1"/>
  <c r="R94" i="16" s="1"/>
  <c r="R68" i="16" a="1"/>
  <c r="R68" i="16" s="1"/>
  <c r="R103" i="16" a="1"/>
  <c r="R103" i="16" s="1"/>
  <c r="R69" i="16" a="1"/>
  <c r="R69" i="16" s="1"/>
  <c r="B93" i="16"/>
  <c r="R75" i="16" a="1"/>
  <c r="R75" i="16" s="1"/>
  <c r="R67" i="16" a="1"/>
  <c r="R67" i="16" s="1"/>
  <c r="B73" i="15"/>
  <c r="R85" i="15" a="1"/>
  <c r="R85" i="15" s="1"/>
  <c r="B75" i="15"/>
  <c r="S65" i="15" a="1"/>
  <c r="S65" i="15" s="1"/>
  <c r="S75" i="15" a="1"/>
  <c r="S75" i="15" s="1"/>
  <c r="R102" i="15" a="1"/>
  <c r="R102" i="15" s="1"/>
  <c r="B66" i="15"/>
  <c r="B88" i="15"/>
  <c r="S86" i="15" a="1"/>
  <c r="S86" i="15" s="1"/>
  <c r="B96" i="15"/>
  <c r="S67" i="15" a="1"/>
  <c r="S67" i="15" s="1"/>
  <c r="R104" i="15" a="1"/>
  <c r="R104" i="15" s="1"/>
  <c r="S88" i="15" a="1"/>
  <c r="S88" i="15" s="1"/>
  <c r="R69" i="15" a="1"/>
  <c r="R69" i="15" s="1"/>
  <c r="R74" i="15" a="1"/>
  <c r="R74" i="15" s="1"/>
  <c r="R94" i="15" a="1"/>
  <c r="R94" i="15" s="1"/>
  <c r="R93" i="15" a="1"/>
  <c r="R93" i="15" s="1"/>
  <c r="R64" i="15" a="1"/>
  <c r="R64" i="15" s="1"/>
  <c r="Q6" i="13"/>
  <c r="Q8" i="9" s="1"/>
  <c r="AJ69" i="13" a="1"/>
  <c r="AJ69" i="13" s="1"/>
  <c r="AJ5" i="13"/>
  <c r="R5" i="13"/>
  <c r="R104" i="13" l="1" a="1"/>
  <c r="R104" i="13" s="1"/>
  <c r="R102" i="13" a="1"/>
  <c r="R102" i="13" s="1"/>
  <c r="R95" i="13" a="1"/>
  <c r="R95" i="13" s="1"/>
  <c r="R66" i="13" a="1"/>
  <c r="R66" i="13" s="1"/>
  <c r="R65" i="13" a="1"/>
  <c r="R65" i="13" s="1"/>
  <c r="R103" i="13" a="1"/>
  <c r="R103" i="13" s="1"/>
  <c r="R74" i="13" a="1"/>
  <c r="R74" i="13" s="1"/>
  <c r="R86" i="13" a="1"/>
  <c r="R86" i="13" s="1"/>
  <c r="R84" i="13" a="1"/>
  <c r="R84" i="13" s="1"/>
  <c r="S96" i="15" a="1"/>
  <c r="S96" i="15" s="1"/>
  <c r="S104" i="17" a="1"/>
  <c r="S104" i="17" s="1"/>
  <c r="AK65" i="17" a="1"/>
  <c r="AK65" i="17" s="1"/>
  <c r="S86" i="16" a="1"/>
  <c r="S86" i="16" s="1"/>
  <c r="S93" i="16" a="1"/>
  <c r="S93" i="16" s="1"/>
  <c r="S76" i="16" a="1"/>
  <c r="S76" i="16" s="1"/>
  <c r="T76" i="16" s="1" a="1"/>
  <c r="T76" i="16" s="1"/>
  <c r="S84" i="16" a="1"/>
  <c r="S84" i="16" s="1"/>
  <c r="AU102" i="24"/>
  <c r="AU76" i="24"/>
  <c r="AU103" i="24"/>
  <c r="AU68" i="24"/>
  <c r="AU67" i="24"/>
  <c r="AU75" i="24"/>
  <c r="AU66" i="24"/>
  <c r="AU86" i="24"/>
  <c r="AU96" i="24"/>
  <c r="AU84" i="24"/>
  <c r="AU65" i="24"/>
  <c r="AU94" i="24"/>
  <c r="AU104" i="24"/>
  <c r="AU74" i="24"/>
  <c r="AU93" i="24"/>
  <c r="AU88" i="24"/>
  <c r="AU69" i="24"/>
  <c r="AU85" i="24"/>
  <c r="AU95" i="24"/>
  <c r="AU64" i="24"/>
  <c r="AU73" i="24"/>
  <c r="DM102" i="24"/>
  <c r="DM84" i="24"/>
  <c r="DM68" i="24"/>
  <c r="DM67" i="24"/>
  <c r="DM103" i="24"/>
  <c r="DM66" i="24"/>
  <c r="DM104" i="24"/>
  <c r="DM85" i="24"/>
  <c r="DM86" i="24"/>
  <c r="DM65" i="24"/>
  <c r="DM76" i="24"/>
  <c r="DM96" i="24"/>
  <c r="DM74" i="24"/>
  <c r="DM64" i="24"/>
  <c r="DM88" i="24"/>
  <c r="DM73" i="24"/>
  <c r="DM75" i="24"/>
  <c r="DM93" i="24"/>
  <c r="DM94" i="24"/>
  <c r="DM69" i="24"/>
  <c r="DM95" i="24"/>
  <c r="BI84" i="24"/>
  <c r="BI96" i="24"/>
  <c r="BI75" i="24"/>
  <c r="BI67" i="24"/>
  <c r="BI104" i="24"/>
  <c r="BI102" i="24"/>
  <c r="BI85" i="24"/>
  <c r="BI76" i="24"/>
  <c r="BI68" i="24"/>
  <c r="BI64" i="24"/>
  <c r="BI86" i="24"/>
  <c r="BI66" i="24"/>
  <c r="BI103" i="24"/>
  <c r="BI65" i="24"/>
  <c r="BI69" i="24"/>
  <c r="BI94" i="24"/>
  <c r="BI88" i="24"/>
  <c r="BI74" i="24"/>
  <c r="BI73" i="24"/>
  <c r="BI93" i="24"/>
  <c r="BI95" i="24"/>
  <c r="DO6" i="24"/>
  <c r="DN7" i="24"/>
  <c r="AJ65" i="13" a="1"/>
  <c r="AJ65" i="13" s="1"/>
  <c r="S95" i="15" a="1"/>
  <c r="S95" i="15" s="1"/>
  <c r="T95" i="15" s="1" a="1"/>
  <c r="T95" i="15" s="1"/>
  <c r="S84" i="17" a="1"/>
  <c r="S84" i="17" s="1"/>
  <c r="CK104" i="9"/>
  <c r="CK86" i="9"/>
  <c r="CK68" i="9"/>
  <c r="CK94" i="9"/>
  <c r="CK67" i="9"/>
  <c r="CK65" i="9"/>
  <c r="CK74" i="9"/>
  <c r="CK88" i="9"/>
  <c r="CK66" i="9"/>
  <c r="CK102" i="9"/>
  <c r="CK103" i="9"/>
  <c r="CK75" i="9"/>
  <c r="CK73" i="9"/>
  <c r="CK85" i="9"/>
  <c r="CK84" i="9"/>
  <c r="CK64" i="9"/>
  <c r="CK93" i="9"/>
  <c r="CK95" i="9"/>
  <c r="CK96" i="9"/>
  <c r="CK69" i="9"/>
  <c r="CK76" i="9"/>
  <c r="BW102" i="24"/>
  <c r="BW75" i="24"/>
  <c r="BW67" i="24"/>
  <c r="BW103" i="24"/>
  <c r="BW65" i="24"/>
  <c r="BW66" i="24"/>
  <c r="BW76" i="24"/>
  <c r="BW86" i="24"/>
  <c r="BW96" i="24"/>
  <c r="BW94" i="24"/>
  <c r="BW64" i="24"/>
  <c r="BW84" i="24"/>
  <c r="BW74" i="24"/>
  <c r="BW104" i="24"/>
  <c r="BW85" i="24"/>
  <c r="BW95" i="24"/>
  <c r="BW68" i="24"/>
  <c r="BW73" i="24"/>
  <c r="BW93" i="24"/>
  <c r="BW69" i="24"/>
  <c r="BW88" i="24"/>
  <c r="AK84" i="17" a="1"/>
  <c r="AK84" i="17" s="1"/>
  <c r="AJ84" i="13" a="1"/>
  <c r="AJ84" i="13" s="1"/>
  <c r="CY64" i="9"/>
  <c r="CY67" i="9"/>
  <c r="CY85" i="9"/>
  <c r="CY76" i="9"/>
  <c r="CY93" i="9"/>
  <c r="CY94" i="9"/>
  <c r="CY68" i="9"/>
  <c r="CY103" i="9"/>
  <c r="CY104" i="9"/>
  <c r="CY102" i="9"/>
  <c r="CY88" i="9"/>
  <c r="CY66" i="9"/>
  <c r="CY73" i="9"/>
  <c r="CY86" i="9"/>
  <c r="CY74" i="9"/>
  <c r="CY65" i="9"/>
  <c r="CY75" i="9"/>
  <c r="CY69" i="9"/>
  <c r="CY84" i="9"/>
  <c r="CY96" i="9"/>
  <c r="CY95" i="9"/>
  <c r="CK103" i="24"/>
  <c r="CK84" i="24"/>
  <c r="CK65" i="24"/>
  <c r="CK95" i="24"/>
  <c r="CK86" i="24"/>
  <c r="CK67" i="24"/>
  <c r="CK68" i="24"/>
  <c r="CK64" i="24"/>
  <c r="CK85" i="24"/>
  <c r="CK102" i="24"/>
  <c r="CK66" i="24"/>
  <c r="CK75" i="24"/>
  <c r="CK104" i="24"/>
  <c r="CK96" i="24"/>
  <c r="CK76" i="24"/>
  <c r="CK94" i="24"/>
  <c r="CK88" i="24"/>
  <c r="CK74" i="24"/>
  <c r="CK73" i="24"/>
  <c r="CK69" i="24"/>
  <c r="CK93" i="24"/>
  <c r="AK84" i="15" a="1"/>
  <c r="AK84" i="15" s="1"/>
  <c r="AK67" i="16" a="1"/>
  <c r="AK67" i="16" s="1"/>
  <c r="DM88" i="9"/>
  <c r="DM85" i="9"/>
  <c r="DM65" i="9"/>
  <c r="DM76" i="9"/>
  <c r="DM67" i="9"/>
  <c r="DM73" i="9"/>
  <c r="DM94" i="9"/>
  <c r="DM74" i="9"/>
  <c r="DM75" i="9"/>
  <c r="DM84" i="9"/>
  <c r="DM64" i="9"/>
  <c r="DM93" i="9"/>
  <c r="DM103" i="9"/>
  <c r="DM68" i="9"/>
  <c r="DM69" i="9"/>
  <c r="DM86" i="9"/>
  <c r="DM104" i="9"/>
  <c r="DM95" i="9"/>
  <c r="DM66" i="9"/>
  <c r="DM96" i="9"/>
  <c r="DM102" i="9"/>
  <c r="T5" i="24"/>
  <c r="S104" i="24"/>
  <c r="S103" i="24"/>
  <c r="S102" i="24"/>
  <c r="S96" i="24"/>
  <c r="S95" i="24"/>
  <c r="S68" i="24"/>
  <c r="S67" i="24"/>
  <c r="S66" i="24"/>
  <c r="S86" i="24"/>
  <c r="S85" i="24"/>
  <c r="S94" i="24"/>
  <c r="S84" i="24"/>
  <c r="S93" i="24"/>
  <c r="S74" i="24"/>
  <c r="S73" i="24"/>
  <c r="S64" i="24"/>
  <c r="S75" i="24"/>
  <c r="S88" i="24"/>
  <c r="S69" i="24"/>
  <c r="S65" i="24"/>
  <c r="S76" i="24"/>
  <c r="CY103" i="24"/>
  <c r="CY84" i="24"/>
  <c r="CY67" i="24"/>
  <c r="CY102" i="24"/>
  <c r="CY76" i="24"/>
  <c r="CY66" i="24"/>
  <c r="CY64" i="24"/>
  <c r="CY68" i="24"/>
  <c r="CY65" i="24"/>
  <c r="CY73" i="24"/>
  <c r="CY104" i="24"/>
  <c r="CY96" i="24"/>
  <c r="CY86" i="24"/>
  <c r="CY95" i="24"/>
  <c r="CY75" i="24"/>
  <c r="CY74" i="24"/>
  <c r="CY85" i="24"/>
  <c r="CY69" i="24"/>
  <c r="CY88" i="24"/>
  <c r="CY94" i="24"/>
  <c r="CY93" i="24"/>
  <c r="AK84" i="16" a="1"/>
  <c r="AK84" i="16" s="1"/>
  <c r="AW6" i="24"/>
  <c r="AV7" i="24"/>
  <c r="S66" i="15" a="1"/>
  <c r="S66" i="15" s="1"/>
  <c r="S103" i="15" a="1"/>
  <c r="S103" i="15" s="1"/>
  <c r="S76" i="15" a="1"/>
  <c r="S76" i="15" s="1"/>
  <c r="S74" i="16" a="1"/>
  <c r="S74" i="16" s="1"/>
  <c r="T74" i="16" s="1" a="1"/>
  <c r="T74" i="16" s="1"/>
  <c r="AG76" i="24"/>
  <c r="AG94" i="24"/>
  <c r="AG68" i="24"/>
  <c r="AG64" i="24"/>
  <c r="AG65" i="24"/>
  <c r="AG66" i="24"/>
  <c r="AG103" i="24"/>
  <c r="AG104" i="24"/>
  <c r="AG96" i="24"/>
  <c r="AG85" i="24"/>
  <c r="AG84" i="24"/>
  <c r="AG95" i="24"/>
  <c r="AG88" i="24"/>
  <c r="AG74" i="24"/>
  <c r="AG69" i="24"/>
  <c r="AG102" i="24"/>
  <c r="AG93" i="24"/>
  <c r="AG86" i="24"/>
  <c r="AG73" i="24"/>
  <c r="AG67" i="24"/>
  <c r="AG75" i="24"/>
  <c r="BZ6" i="24"/>
  <c r="BY7" i="24"/>
  <c r="DM103" i="25"/>
  <c r="DM94" i="25"/>
  <c r="DM85" i="25"/>
  <c r="DM74" i="25"/>
  <c r="DM67" i="25"/>
  <c r="DM69" i="25"/>
  <c r="DM95" i="25"/>
  <c r="DN5" i="25"/>
  <c r="DM102" i="25"/>
  <c r="DM93" i="25"/>
  <c r="DM84" i="25"/>
  <c r="DM73" i="25"/>
  <c r="DM66" i="25"/>
  <c r="DM65" i="25"/>
  <c r="DM104" i="25"/>
  <c r="DM86" i="25"/>
  <c r="DM64" i="25"/>
  <c r="DM96" i="25"/>
  <c r="DM88" i="25"/>
  <c r="DM76" i="25"/>
  <c r="DM75" i="25"/>
  <c r="DM68" i="25"/>
  <c r="CY103" i="25"/>
  <c r="CY94" i="25"/>
  <c r="CY85" i="25"/>
  <c r="CY74" i="25"/>
  <c r="CY67" i="25"/>
  <c r="CY102" i="25"/>
  <c r="CY93" i="25"/>
  <c r="CY84" i="25"/>
  <c r="CY73" i="25"/>
  <c r="CY66" i="25"/>
  <c r="CY96" i="25"/>
  <c r="CY88" i="25"/>
  <c r="CY76" i="25"/>
  <c r="CY69" i="25"/>
  <c r="CY65" i="25"/>
  <c r="CY104" i="25"/>
  <c r="CY95" i="25"/>
  <c r="CY86" i="25"/>
  <c r="CY75" i="25"/>
  <c r="CY68" i="25"/>
  <c r="CY64" i="25"/>
  <c r="CZ5" i="25"/>
  <c r="CK103" i="25"/>
  <c r="CK94" i="25"/>
  <c r="CK85" i="25"/>
  <c r="CK74" i="25"/>
  <c r="CK67" i="25"/>
  <c r="CK104" i="25"/>
  <c r="CK64" i="25"/>
  <c r="CK102" i="25"/>
  <c r="CK93" i="25"/>
  <c r="CK84" i="25"/>
  <c r="CK73" i="25"/>
  <c r="CK66" i="25"/>
  <c r="CK75" i="25"/>
  <c r="CK68" i="25"/>
  <c r="CK96" i="25"/>
  <c r="CK88" i="25"/>
  <c r="CK76" i="25"/>
  <c r="CK69" i="25"/>
  <c r="CK65" i="25"/>
  <c r="CK86" i="25"/>
  <c r="CK95" i="25"/>
  <c r="CL5" i="25"/>
  <c r="BW103" i="25"/>
  <c r="BW94" i="25"/>
  <c r="BW85" i="25"/>
  <c r="BW74" i="25"/>
  <c r="BW67" i="25"/>
  <c r="BW88" i="25"/>
  <c r="BW69" i="25"/>
  <c r="BW68" i="25"/>
  <c r="BW95" i="25"/>
  <c r="BW86" i="25"/>
  <c r="BW75" i="25"/>
  <c r="BW102" i="25"/>
  <c r="BW93" i="25"/>
  <c r="BW84" i="25"/>
  <c r="BW73" i="25"/>
  <c r="BW66" i="25"/>
  <c r="BW96" i="25"/>
  <c r="BW76" i="25"/>
  <c r="BW65" i="25"/>
  <c r="BX5" i="25"/>
  <c r="BW104" i="25"/>
  <c r="BW64" i="25"/>
  <c r="BI103" i="25"/>
  <c r="BI94" i="25"/>
  <c r="BI85" i="25"/>
  <c r="BI74" i="25"/>
  <c r="BI67" i="25"/>
  <c r="BI75" i="25"/>
  <c r="BI68" i="25"/>
  <c r="BI64" i="25"/>
  <c r="BJ5" i="25"/>
  <c r="BI102" i="25"/>
  <c r="BI93" i="25"/>
  <c r="BI84" i="25"/>
  <c r="BI73" i="25"/>
  <c r="BI66" i="25"/>
  <c r="BI86" i="25"/>
  <c r="BI96" i="25"/>
  <c r="BI88" i="25"/>
  <c r="BI76" i="25"/>
  <c r="BI69" i="25"/>
  <c r="BI65" i="25"/>
  <c r="BI95" i="25"/>
  <c r="BI104" i="25"/>
  <c r="AU103" i="25"/>
  <c r="AU94" i="25"/>
  <c r="AU85" i="25"/>
  <c r="AU74" i="25"/>
  <c r="AU67" i="25"/>
  <c r="AU102" i="25"/>
  <c r="AU93" i="25"/>
  <c r="AU84" i="25"/>
  <c r="AU73" i="25"/>
  <c r="AU66" i="25"/>
  <c r="AU96" i="25"/>
  <c r="AU88" i="25"/>
  <c r="AU76" i="25"/>
  <c r="AU69" i="25"/>
  <c r="AU65" i="25"/>
  <c r="AU104" i="25"/>
  <c r="AU95" i="25"/>
  <c r="AU86" i="25"/>
  <c r="AU75" i="25"/>
  <c r="AU68" i="25"/>
  <c r="AU64" i="25"/>
  <c r="AV5" i="25"/>
  <c r="AG103" i="25"/>
  <c r="AG94" i="25"/>
  <c r="AG85" i="25"/>
  <c r="AG74" i="25"/>
  <c r="AG67" i="25"/>
  <c r="AG64" i="25"/>
  <c r="AH5" i="25"/>
  <c r="AG95" i="25"/>
  <c r="AG75" i="25"/>
  <c r="AG102" i="25"/>
  <c r="AG93" i="25"/>
  <c r="AG84" i="25"/>
  <c r="AG73" i="25"/>
  <c r="AG66" i="25"/>
  <c r="AG68" i="25"/>
  <c r="AG96" i="25"/>
  <c r="AG88" i="25"/>
  <c r="AG76" i="25"/>
  <c r="AG69" i="25"/>
  <c r="AG65" i="25"/>
  <c r="AG104" i="25"/>
  <c r="AG86" i="25"/>
  <c r="D69" i="25"/>
  <c r="D88" i="25"/>
  <c r="D95" i="25"/>
  <c r="S94" i="25"/>
  <c r="S104" i="25"/>
  <c r="S103" i="25"/>
  <c r="S96" i="25"/>
  <c r="S85" i="25"/>
  <c r="S102" i="25"/>
  <c r="S93" i="25"/>
  <c r="S88" i="25"/>
  <c r="S95" i="25"/>
  <c r="S76" i="25"/>
  <c r="S74" i="25"/>
  <c r="S73" i="25"/>
  <c r="S86" i="25"/>
  <c r="S66" i="25"/>
  <c r="S64" i="25"/>
  <c r="S69" i="25"/>
  <c r="S84" i="25"/>
  <c r="S67" i="25"/>
  <c r="S75" i="25"/>
  <c r="S65" i="25"/>
  <c r="S68" i="25"/>
  <c r="D64" i="25"/>
  <c r="D73" i="25"/>
  <c r="D94" i="25"/>
  <c r="D66" i="25"/>
  <c r="D85" i="25"/>
  <c r="D84" i="25"/>
  <c r="D68" i="25"/>
  <c r="D74" i="25"/>
  <c r="D86" i="25"/>
  <c r="D65" i="25"/>
  <c r="D76" i="25"/>
  <c r="D102" i="25"/>
  <c r="D75" i="25"/>
  <c r="D93" i="25"/>
  <c r="D103" i="25"/>
  <c r="D67" i="25"/>
  <c r="D96" i="25"/>
  <c r="D104" i="25"/>
  <c r="AJ6" i="24"/>
  <c r="AI7" i="24"/>
  <c r="U6" i="24"/>
  <c r="U5" i="24" s="1"/>
  <c r="T7" i="24"/>
  <c r="DN5" i="24"/>
  <c r="CZ5" i="24"/>
  <c r="CL5" i="24"/>
  <c r="BX5" i="24"/>
  <c r="BJ5" i="24"/>
  <c r="AV5" i="24"/>
  <c r="AH5" i="24"/>
  <c r="D76" i="24"/>
  <c r="D88" i="24"/>
  <c r="D93" i="24"/>
  <c r="D69" i="24"/>
  <c r="D68" i="24"/>
  <c r="D73" i="24"/>
  <c r="D65" i="24"/>
  <c r="D64" i="24"/>
  <c r="D102" i="24"/>
  <c r="D85" i="24"/>
  <c r="D84" i="24"/>
  <c r="D86" i="24"/>
  <c r="D67" i="24"/>
  <c r="D75" i="24"/>
  <c r="D96" i="24"/>
  <c r="D74" i="24"/>
  <c r="D66" i="24"/>
  <c r="D103" i="24"/>
  <c r="D95" i="24"/>
  <c r="D104" i="24"/>
  <c r="D94" i="24"/>
  <c r="AK88" i="15" a="1"/>
  <c r="AK88" i="15" s="1"/>
  <c r="AK104" i="17" a="1"/>
  <c r="AK104" i="17" s="1"/>
  <c r="AK86" i="15" a="1"/>
  <c r="AK86" i="15" s="1"/>
  <c r="AJ64" i="13" a="1"/>
  <c r="AJ64" i="13" s="1"/>
  <c r="AK73" i="17" a="1"/>
  <c r="AK73" i="17" s="1"/>
  <c r="AK68" i="17" a="1"/>
  <c r="AK68" i="17" s="1"/>
  <c r="AK88" i="17" a="1"/>
  <c r="AK88" i="17" s="1"/>
  <c r="AK93" i="17" a="1"/>
  <c r="AK93" i="17" s="1"/>
  <c r="AK74" i="17" a="1"/>
  <c r="AK74" i="17" s="1"/>
  <c r="AK95" i="17" a="1"/>
  <c r="AK95" i="17" s="1"/>
  <c r="AK73" i="15" a="1"/>
  <c r="AK73" i="15" s="1"/>
  <c r="AK104" i="15" a="1"/>
  <c r="AK104" i="15" s="1"/>
  <c r="AK93" i="15" a="1"/>
  <c r="AK93" i="15" s="1"/>
  <c r="AK85" i="16" a="1"/>
  <c r="AK85" i="16" s="1"/>
  <c r="AK75" i="17" a="1"/>
  <c r="AK75" i="17" s="1"/>
  <c r="AK94" i="17" a="1"/>
  <c r="AK94" i="17" s="1"/>
  <c r="AK94" i="15" a="1"/>
  <c r="AK94" i="15" s="1"/>
  <c r="AK65" i="15" a="1"/>
  <c r="AK65" i="15" s="1"/>
  <c r="AK64" i="17" a="1"/>
  <c r="AK64" i="17" s="1"/>
  <c r="AK76" i="17" a="1"/>
  <c r="AK76" i="17" s="1"/>
  <c r="AK86" i="17" a="1"/>
  <c r="AK86" i="17" s="1"/>
  <c r="Q5" i="9"/>
  <c r="AJ85" i="13" a="1"/>
  <c r="AJ85" i="13" s="1"/>
  <c r="AJ74" i="13" a="1"/>
  <c r="AJ74" i="13" s="1"/>
  <c r="AJ66" i="13" a="1"/>
  <c r="AJ66" i="13" s="1"/>
  <c r="AJ88" i="13" a="1"/>
  <c r="AJ88" i="13" s="1"/>
  <c r="AJ86" i="13" a="1"/>
  <c r="AJ86" i="13" s="1"/>
  <c r="AJ94" i="13" a="1"/>
  <c r="AJ94" i="13" s="1"/>
  <c r="AJ103" i="13" a="1"/>
  <c r="AJ103" i="13" s="1"/>
  <c r="AJ96" i="13" a="1"/>
  <c r="AJ96" i="13" s="1"/>
  <c r="AJ68" i="13" a="1"/>
  <c r="AJ68" i="13" s="1"/>
  <c r="AJ93" i="13" a="1"/>
  <c r="AJ93" i="13" s="1"/>
  <c r="AJ73" i="13" a="1"/>
  <c r="AJ73" i="13" s="1"/>
  <c r="AJ104" i="13" a="1"/>
  <c r="AJ104" i="13" s="1"/>
  <c r="AJ95" i="13" a="1"/>
  <c r="AJ95" i="13" s="1"/>
  <c r="AJ76" i="13" a="1"/>
  <c r="AJ76" i="13" s="1"/>
  <c r="AJ102" i="13" a="1"/>
  <c r="AJ102" i="13" s="1"/>
  <c r="AJ67" i="13" a="1"/>
  <c r="AJ67" i="13" s="1"/>
  <c r="AJ75" i="13" a="1"/>
  <c r="AJ75" i="13" s="1"/>
  <c r="DM6" i="9"/>
  <c r="DM9" i="9" s="1"/>
  <c r="DN5" i="9"/>
  <c r="CY6" i="9"/>
  <c r="CY9" i="9" s="1"/>
  <c r="CZ5" i="9"/>
  <c r="CL5" i="9"/>
  <c r="CK6" i="9"/>
  <c r="CK9" i="9" s="1"/>
  <c r="AK103" i="17" a="1"/>
  <c r="AK103" i="17" s="1"/>
  <c r="S6" i="17"/>
  <c r="T5" i="17"/>
  <c r="T84" i="17" a="1"/>
  <c r="T84" i="17" s="1"/>
  <c r="S102" i="17" a="1"/>
  <c r="S102" i="17" s="1"/>
  <c r="S103" i="17" a="1"/>
  <c r="S103" i="17" s="1"/>
  <c r="S68" i="17" a="1"/>
  <c r="S68" i="17" s="1"/>
  <c r="AK6" i="17"/>
  <c r="AL5" i="17"/>
  <c r="AL69" i="17" a="1"/>
  <c r="AL69" i="17" s="1"/>
  <c r="AK67" i="17" a="1"/>
  <c r="AK67" i="17" s="1"/>
  <c r="AK85" i="17" a="1"/>
  <c r="AK85" i="17" s="1"/>
  <c r="AK6" i="16"/>
  <c r="AK73" i="16" a="1"/>
  <c r="AK73" i="16" s="1"/>
  <c r="AL5" i="16"/>
  <c r="AK65" i="16" a="1"/>
  <c r="AK65" i="16" s="1"/>
  <c r="AK76" i="16" a="1"/>
  <c r="AK76" i="16" s="1"/>
  <c r="AK86" i="16" a="1"/>
  <c r="AK86" i="16" s="1"/>
  <c r="AK96" i="16" a="1"/>
  <c r="AK96" i="16" s="1"/>
  <c r="AK74" i="16" a="1"/>
  <c r="AK74" i="16" s="1"/>
  <c r="AK68" i="16" a="1"/>
  <c r="AK68" i="16" s="1"/>
  <c r="AK102" i="16" a="1"/>
  <c r="AK102" i="16" s="1"/>
  <c r="AK64" i="16" a="1"/>
  <c r="AK64" i="16" s="1"/>
  <c r="AK95" i="16" a="1"/>
  <c r="AK95" i="16" s="1"/>
  <c r="AK94" i="16" a="1"/>
  <c r="AK94" i="16" s="1"/>
  <c r="AK75" i="16" a="1"/>
  <c r="AK75" i="16" s="1"/>
  <c r="T5" i="16"/>
  <c r="S6" i="16"/>
  <c r="AK104" i="16" a="1"/>
  <c r="AK104" i="16" s="1"/>
  <c r="AK88" i="16" a="1"/>
  <c r="AK88" i="16" s="1"/>
  <c r="AK69" i="16" a="1"/>
  <c r="AK69" i="16" s="1"/>
  <c r="AK93" i="16" a="1"/>
  <c r="AK93" i="16" s="1"/>
  <c r="AK103" i="16" a="1"/>
  <c r="AK103" i="16" s="1"/>
  <c r="AK66" i="16" a="1"/>
  <c r="AK66" i="16" s="1"/>
  <c r="AK6" i="15"/>
  <c r="AL5" i="15"/>
  <c r="AK102" i="15" a="1"/>
  <c r="AK102" i="15" s="1"/>
  <c r="AL102" i="15" s="1" a="1"/>
  <c r="AL102" i="15" s="1"/>
  <c r="AK96" i="15" a="1"/>
  <c r="AK96" i="15" s="1"/>
  <c r="S6" i="15"/>
  <c r="T5" i="15"/>
  <c r="S68" i="15" a="1"/>
  <c r="S68" i="15" s="1"/>
  <c r="S73" i="15" a="1"/>
  <c r="S73" i="15" s="1"/>
  <c r="AK64" i="15" a="1"/>
  <c r="AK64" i="15" s="1"/>
  <c r="AL64" i="15" s="1" a="1"/>
  <c r="AL64" i="15" s="1"/>
  <c r="AK76" i="15" a="1"/>
  <c r="AK76" i="15" s="1"/>
  <c r="AK74" i="15" a="1"/>
  <c r="AK74" i="15" s="1"/>
  <c r="AK67" i="15" a="1"/>
  <c r="AK67" i="15" s="1"/>
  <c r="AL67" i="15" s="1" a="1"/>
  <c r="AL67" i="15" s="1"/>
  <c r="AK103" i="15" a="1"/>
  <c r="AK103" i="15" s="1"/>
  <c r="AL103" i="15" s="1" a="1"/>
  <c r="AL103" i="15" s="1"/>
  <c r="AK95" i="15" a="1"/>
  <c r="AK95" i="15" s="1"/>
  <c r="AK69" i="15" a="1"/>
  <c r="AK69" i="15" s="1"/>
  <c r="AK75" i="15" a="1"/>
  <c r="AK75" i="15" s="1"/>
  <c r="AK85" i="15" a="1"/>
  <c r="AK85" i="15" s="1"/>
  <c r="AL85" i="15" s="1" a="1"/>
  <c r="AL85" i="15" s="1"/>
  <c r="AK68" i="15" a="1"/>
  <c r="AK68" i="15" s="1"/>
  <c r="AL68" i="15" s="1" a="1"/>
  <c r="AL68" i="15" s="1"/>
  <c r="S95" i="17" a="1"/>
  <c r="S95" i="17" s="1"/>
  <c r="S86" i="17" a="1"/>
  <c r="S86" i="17" s="1"/>
  <c r="S88" i="17" a="1"/>
  <c r="S88" i="17" s="1"/>
  <c r="S76" i="17" a="1"/>
  <c r="S76" i="17" s="1"/>
  <c r="S74" i="17" a="1"/>
  <c r="S74" i="17" s="1"/>
  <c r="S93" i="17" a="1"/>
  <c r="S93" i="17" s="1"/>
  <c r="S69" i="17" a="1"/>
  <c r="S69" i="17" s="1"/>
  <c r="S75" i="17" a="1"/>
  <c r="S75" i="17" s="1"/>
  <c r="S85" i="17" a="1"/>
  <c r="S85" i="17" s="1"/>
  <c r="S64" i="17" a="1"/>
  <c r="S64" i="17" s="1"/>
  <c r="S96" i="17" a="1"/>
  <c r="S96" i="17" s="1"/>
  <c r="S94" i="17" a="1"/>
  <c r="S94" i="17" s="1"/>
  <c r="S73" i="17" a="1"/>
  <c r="S73" i="17" s="1"/>
  <c r="S66" i="17" a="1"/>
  <c r="S66" i="17" s="1"/>
  <c r="S65" i="17" a="1"/>
  <c r="S65" i="17" s="1"/>
  <c r="S66" i="16" a="1"/>
  <c r="S66" i="16" s="1"/>
  <c r="S102" i="16" a="1"/>
  <c r="S102" i="16" s="1"/>
  <c r="S88" i="16" a="1"/>
  <c r="S88" i="16" s="1"/>
  <c r="S104" i="16" a="1"/>
  <c r="S104" i="16" s="1"/>
  <c r="S69" i="16" a="1"/>
  <c r="S69" i="16" s="1"/>
  <c r="S103" i="16" a="1"/>
  <c r="S103" i="16" s="1"/>
  <c r="S64" i="16" a="1"/>
  <c r="S64" i="16" s="1"/>
  <c r="S75" i="16" a="1"/>
  <c r="S75" i="16" s="1"/>
  <c r="S94" i="16" a="1"/>
  <c r="S94" i="16" s="1"/>
  <c r="S96" i="16" a="1"/>
  <c r="S96" i="16" s="1"/>
  <c r="S95" i="16" a="1"/>
  <c r="S95" i="16" s="1"/>
  <c r="S67" i="16" a="1"/>
  <c r="S67" i="16" s="1"/>
  <c r="S68" i="16" a="1"/>
  <c r="S68" i="16" s="1"/>
  <c r="S73" i="16" a="1"/>
  <c r="S73" i="16" s="1"/>
  <c r="S65" i="16" a="1"/>
  <c r="S65" i="16" s="1"/>
  <c r="S85" i="15" a="1"/>
  <c r="S85" i="15" s="1"/>
  <c r="S94" i="15" a="1"/>
  <c r="S94" i="15" s="1"/>
  <c r="T66" i="15" a="1"/>
  <c r="T66" i="15" s="1"/>
  <c r="T75" i="15" a="1"/>
  <c r="T75" i="15" s="1"/>
  <c r="T86" i="15" a="1"/>
  <c r="T86" i="15" s="1"/>
  <c r="S64" i="15" a="1"/>
  <c r="S64" i="15" s="1"/>
  <c r="S74" i="15" a="1"/>
  <c r="S74" i="15" s="1"/>
  <c r="S104" i="15" a="1"/>
  <c r="S104" i="15" s="1"/>
  <c r="T65" i="15" a="1"/>
  <c r="T65" i="15" s="1"/>
  <c r="S93" i="15" a="1"/>
  <c r="S93" i="15" s="1"/>
  <c r="S69" i="15" a="1"/>
  <c r="S69" i="15" s="1"/>
  <c r="S102" i="15" a="1"/>
  <c r="S102" i="15" s="1"/>
  <c r="S104" i="13" a="1"/>
  <c r="S104" i="13" s="1"/>
  <c r="S96" i="13" a="1"/>
  <c r="S96" i="13" s="1"/>
  <c r="AK6" i="13"/>
  <c r="AJ6" i="13"/>
  <c r="R6" i="13"/>
  <c r="AK5" i="13"/>
  <c r="S5" i="13"/>
  <c r="R8" i="9" l="1"/>
  <c r="AL84" i="17" a="1"/>
  <c r="AL84" i="17" s="1"/>
  <c r="AL95" i="17" a="1"/>
  <c r="AL95" i="17" s="1"/>
  <c r="T104" i="17" a="1"/>
  <c r="T104" i="17" s="1"/>
  <c r="T76" i="15" a="1"/>
  <c r="T76" i="15" s="1"/>
  <c r="U76" i="15" s="1" a="1"/>
  <c r="U76" i="15" s="1"/>
  <c r="T84" i="16" a="1"/>
  <c r="T84" i="16" s="1"/>
  <c r="CZ67" i="9"/>
  <c r="CZ64" i="9"/>
  <c r="CZ74" i="9"/>
  <c r="CZ85" i="9"/>
  <c r="CZ95" i="9"/>
  <c r="CZ66" i="9"/>
  <c r="CZ102" i="9"/>
  <c r="CZ94" i="9"/>
  <c r="CZ69" i="9"/>
  <c r="CZ88" i="9"/>
  <c r="CZ65" i="9"/>
  <c r="CZ73" i="9"/>
  <c r="CZ103" i="9"/>
  <c r="CZ93" i="9"/>
  <c r="CZ104" i="9"/>
  <c r="CZ76" i="9"/>
  <c r="CZ75" i="9"/>
  <c r="CZ84" i="9"/>
  <c r="CZ68" i="9"/>
  <c r="CZ86" i="9"/>
  <c r="CZ96" i="9"/>
  <c r="BX96" i="24"/>
  <c r="BX86" i="24"/>
  <c r="BX102" i="24"/>
  <c r="BX74" i="24"/>
  <c r="BX66" i="24"/>
  <c r="BX104" i="24"/>
  <c r="BX64" i="24"/>
  <c r="BX94" i="24"/>
  <c r="BX76" i="24"/>
  <c r="BX103" i="24"/>
  <c r="BX67" i="24"/>
  <c r="BX84" i="24"/>
  <c r="BX68" i="24"/>
  <c r="BX75" i="24"/>
  <c r="BX85" i="24"/>
  <c r="BX65" i="24"/>
  <c r="BX95" i="24"/>
  <c r="BX88" i="24"/>
  <c r="BX69" i="24"/>
  <c r="BX73" i="24"/>
  <c r="BX93" i="24"/>
  <c r="AX6" i="24"/>
  <c r="AW7" i="24"/>
  <c r="AK84" i="13" a="1"/>
  <c r="AK84" i="13" s="1"/>
  <c r="DP6" i="24"/>
  <c r="DO7" i="24"/>
  <c r="CL102" i="24"/>
  <c r="CL76" i="24"/>
  <c r="CL64" i="24"/>
  <c r="CL68" i="24"/>
  <c r="CL103" i="24"/>
  <c r="CL95" i="24"/>
  <c r="CL66" i="24"/>
  <c r="CL75" i="24"/>
  <c r="CL104" i="24"/>
  <c r="CL84" i="24"/>
  <c r="CL96" i="24"/>
  <c r="CL67" i="24"/>
  <c r="CL86" i="24"/>
  <c r="CL85" i="24"/>
  <c r="CL65" i="24"/>
  <c r="CL74" i="24"/>
  <c r="CL73" i="24"/>
  <c r="CL94" i="24"/>
  <c r="CL69" i="24"/>
  <c r="CL93" i="24"/>
  <c r="CL88" i="24"/>
  <c r="S64" i="13" a="1"/>
  <c r="S64" i="13" s="1"/>
  <c r="S84" i="13" a="1"/>
  <c r="S84" i="13" s="1"/>
  <c r="T67" i="17" a="1"/>
  <c r="T67" i="17" s="1"/>
  <c r="Q94" i="9"/>
  <c r="Q103" i="9"/>
  <c r="Q73" i="9"/>
  <c r="Q93" i="9"/>
  <c r="Q74" i="9"/>
  <c r="Q85" i="9"/>
  <c r="Q88" i="9"/>
  <c r="Q75" i="9"/>
  <c r="Q86" i="9"/>
  <c r="Q68" i="9"/>
  <c r="Q102" i="9"/>
  <c r="Q84" i="9"/>
  <c r="Q95" i="9"/>
  <c r="Q67" i="9"/>
  <c r="Q69" i="9"/>
  <c r="Q66" i="9"/>
  <c r="Q76" i="9"/>
  <c r="Q64" i="9"/>
  <c r="Q104" i="9"/>
  <c r="Q96" i="9"/>
  <c r="Q65" i="9"/>
  <c r="T84" i="15" a="1"/>
  <c r="T84" i="15" s="1"/>
  <c r="CZ86" i="24"/>
  <c r="CZ102" i="24"/>
  <c r="CZ76" i="24"/>
  <c r="CZ66" i="24"/>
  <c r="CZ96" i="24"/>
  <c r="CZ75" i="24"/>
  <c r="CZ65" i="24"/>
  <c r="CZ73" i="24"/>
  <c r="CZ103" i="24"/>
  <c r="CZ95" i="24"/>
  <c r="CZ84" i="24"/>
  <c r="CZ74" i="24"/>
  <c r="CZ104" i="24"/>
  <c r="CZ67" i="24"/>
  <c r="CZ64" i="24"/>
  <c r="CZ85" i="24"/>
  <c r="CZ68" i="24"/>
  <c r="CZ93" i="24"/>
  <c r="CZ69" i="24"/>
  <c r="CZ88" i="24"/>
  <c r="CZ94" i="24"/>
  <c r="AL84" i="16" a="1"/>
  <c r="AL84" i="16" s="1"/>
  <c r="CL104" i="9"/>
  <c r="CL86" i="9"/>
  <c r="CL75" i="9"/>
  <c r="CL103" i="9"/>
  <c r="CL74" i="9"/>
  <c r="CL64" i="9"/>
  <c r="CL85" i="9"/>
  <c r="CL95" i="9"/>
  <c r="CL68" i="9"/>
  <c r="CL94" i="9"/>
  <c r="CL88" i="9"/>
  <c r="CL93" i="9"/>
  <c r="CL67" i="9"/>
  <c r="CL84" i="9"/>
  <c r="CL76" i="9"/>
  <c r="CL96" i="9"/>
  <c r="CL66" i="9"/>
  <c r="CL102" i="9"/>
  <c r="CL65" i="9"/>
  <c r="CL69" i="9"/>
  <c r="CL73" i="9"/>
  <c r="DN104" i="24"/>
  <c r="DN86" i="24"/>
  <c r="DN96" i="24"/>
  <c r="DN76" i="24"/>
  <c r="DN67" i="24"/>
  <c r="DN66" i="24"/>
  <c r="DN84" i="24"/>
  <c r="DN102" i="24"/>
  <c r="DN85" i="24"/>
  <c r="DN103" i="24"/>
  <c r="DN68" i="24"/>
  <c r="DN65" i="24"/>
  <c r="DN64" i="24"/>
  <c r="DN75" i="24"/>
  <c r="DN69" i="24"/>
  <c r="DN95" i="24"/>
  <c r="DN88" i="24"/>
  <c r="DN93" i="24"/>
  <c r="DN94" i="24"/>
  <c r="DN73" i="24"/>
  <c r="DN74" i="24"/>
  <c r="T93" i="16" a="1"/>
  <c r="T93" i="16" s="1"/>
  <c r="AH85" i="24"/>
  <c r="AH104" i="24"/>
  <c r="AH88" i="24"/>
  <c r="AH75" i="24"/>
  <c r="AH73" i="24"/>
  <c r="AH65" i="24"/>
  <c r="AH66" i="24"/>
  <c r="AH103" i="24"/>
  <c r="AH96" i="24"/>
  <c r="AH68" i="24"/>
  <c r="AH86" i="24"/>
  <c r="AH64" i="24"/>
  <c r="AH67" i="24"/>
  <c r="AH102" i="24"/>
  <c r="AH74" i="24"/>
  <c r="AH84" i="24"/>
  <c r="AH69" i="24"/>
  <c r="AH76" i="24"/>
  <c r="AH95" i="24"/>
  <c r="AH93" i="24"/>
  <c r="AH94" i="24"/>
  <c r="U68" i="24"/>
  <c r="U103" i="24"/>
  <c r="U102" i="24"/>
  <c r="U96" i="24"/>
  <c r="U95" i="24"/>
  <c r="U67" i="24"/>
  <c r="U66" i="24"/>
  <c r="U85" i="24"/>
  <c r="U84" i="24"/>
  <c r="U104" i="24"/>
  <c r="U86" i="24"/>
  <c r="U74" i="24"/>
  <c r="U69" i="24"/>
  <c r="U73" i="24"/>
  <c r="U94" i="24"/>
  <c r="U88" i="24"/>
  <c r="U64" i="24"/>
  <c r="U65" i="24"/>
  <c r="U93" i="24"/>
  <c r="U76" i="24"/>
  <c r="U75" i="24"/>
  <c r="CA6" i="24"/>
  <c r="BZ7" i="24"/>
  <c r="T104" i="24"/>
  <c r="T93" i="24"/>
  <c r="T103" i="24"/>
  <c r="T102" i="24"/>
  <c r="T96" i="24"/>
  <c r="T95" i="24"/>
  <c r="T68" i="24"/>
  <c r="T67" i="24"/>
  <c r="T66" i="24"/>
  <c r="T86" i="24"/>
  <c r="T85" i="24"/>
  <c r="T94" i="24"/>
  <c r="T84" i="24"/>
  <c r="T88" i="24"/>
  <c r="T74" i="24"/>
  <c r="T65" i="24"/>
  <c r="T64" i="24"/>
  <c r="T73" i="24"/>
  <c r="T76" i="24"/>
  <c r="T75" i="24"/>
  <c r="T69" i="24"/>
  <c r="AL84" i="15" a="1"/>
  <c r="AL84" i="15" s="1"/>
  <c r="DN103" i="9"/>
  <c r="DN85" i="9"/>
  <c r="DN67" i="9"/>
  <c r="DN102" i="9"/>
  <c r="DN84" i="9"/>
  <c r="DN74" i="9"/>
  <c r="DN94" i="9"/>
  <c r="DN64" i="9"/>
  <c r="DN65" i="9"/>
  <c r="DN104" i="9"/>
  <c r="DN73" i="9"/>
  <c r="DN86" i="9"/>
  <c r="DN88" i="9"/>
  <c r="DN76" i="9"/>
  <c r="DN75" i="9"/>
  <c r="DN93" i="9"/>
  <c r="DN96" i="9"/>
  <c r="DN68" i="9"/>
  <c r="DN69" i="9"/>
  <c r="DN66" i="9"/>
  <c r="DN95" i="9"/>
  <c r="AV104" i="24"/>
  <c r="AV86" i="24"/>
  <c r="AV84" i="24"/>
  <c r="AV102" i="24"/>
  <c r="AV85" i="24"/>
  <c r="AV76" i="24"/>
  <c r="AV66" i="24"/>
  <c r="AV64" i="24"/>
  <c r="AV96" i="24"/>
  <c r="AV103" i="24"/>
  <c r="AV74" i="24"/>
  <c r="AV67" i="24"/>
  <c r="AV93" i="24"/>
  <c r="AV68" i="24"/>
  <c r="AV94" i="24"/>
  <c r="AV73" i="24"/>
  <c r="AV95" i="24"/>
  <c r="AV88" i="24"/>
  <c r="AV75" i="24"/>
  <c r="AV69" i="24"/>
  <c r="AV65" i="24"/>
  <c r="T85" i="16" a="1"/>
  <c r="T85" i="16" s="1"/>
  <c r="BJ68" i="24"/>
  <c r="BJ84" i="24"/>
  <c r="BJ64" i="24"/>
  <c r="BJ103" i="24"/>
  <c r="BJ76" i="24"/>
  <c r="BJ104" i="24"/>
  <c r="BJ102" i="24"/>
  <c r="BJ85" i="24"/>
  <c r="BJ75" i="24"/>
  <c r="BJ67" i="24"/>
  <c r="BJ65" i="24"/>
  <c r="BJ93" i="24"/>
  <c r="BJ96" i="24"/>
  <c r="BJ95" i="24"/>
  <c r="BJ88" i="24"/>
  <c r="BJ94" i="24"/>
  <c r="BJ66" i="24"/>
  <c r="BJ86" i="24"/>
  <c r="BJ73" i="24"/>
  <c r="BJ74" i="24"/>
  <c r="BJ69" i="24"/>
  <c r="DN104" i="25"/>
  <c r="DN95" i="25"/>
  <c r="DN68" i="25"/>
  <c r="DN64" i="25"/>
  <c r="DO5" i="25"/>
  <c r="DN102" i="25"/>
  <c r="DN93" i="25"/>
  <c r="DN84" i="25"/>
  <c r="DN73" i="25"/>
  <c r="DN66" i="25"/>
  <c r="DN67" i="25"/>
  <c r="DN86" i="25"/>
  <c r="DN75" i="25"/>
  <c r="DN103" i="25"/>
  <c r="DN94" i="25"/>
  <c r="DN74" i="25"/>
  <c r="DN96" i="25"/>
  <c r="DN88" i="25"/>
  <c r="DN76" i="25"/>
  <c r="DN69" i="25"/>
  <c r="DN65" i="25"/>
  <c r="DN85" i="25"/>
  <c r="CZ102" i="25"/>
  <c r="CZ93" i="25"/>
  <c r="CZ84" i="25"/>
  <c r="CZ73" i="25"/>
  <c r="CZ66" i="25"/>
  <c r="CZ88" i="25"/>
  <c r="CZ69" i="25"/>
  <c r="CZ76" i="25"/>
  <c r="CZ65" i="25"/>
  <c r="CZ104" i="25"/>
  <c r="CZ95" i="25"/>
  <c r="CZ86" i="25"/>
  <c r="CZ75" i="25"/>
  <c r="CZ68" i="25"/>
  <c r="CZ64" i="25"/>
  <c r="DA5" i="25"/>
  <c r="CZ96" i="25"/>
  <c r="CZ103" i="25"/>
  <c r="CZ94" i="25"/>
  <c r="CZ85" i="25"/>
  <c r="CZ74" i="25"/>
  <c r="CZ67" i="25"/>
  <c r="CL94" i="25"/>
  <c r="CL102" i="25"/>
  <c r="CL93" i="25"/>
  <c r="CL84" i="25"/>
  <c r="CL73" i="25"/>
  <c r="CL66" i="25"/>
  <c r="CL85" i="25"/>
  <c r="CL74" i="25"/>
  <c r="CL96" i="25"/>
  <c r="CL88" i="25"/>
  <c r="CL76" i="25"/>
  <c r="CL69" i="25"/>
  <c r="CL65" i="25"/>
  <c r="CL95" i="25"/>
  <c r="CL104" i="25"/>
  <c r="CL86" i="25"/>
  <c r="CL75" i="25"/>
  <c r="CL68" i="25"/>
  <c r="CL64" i="25"/>
  <c r="CM5" i="25"/>
  <c r="CL103" i="25"/>
  <c r="CL67" i="25"/>
  <c r="BX95" i="25"/>
  <c r="BX86" i="25"/>
  <c r="BY5" i="25"/>
  <c r="BX74" i="25"/>
  <c r="BX102" i="25"/>
  <c r="BX93" i="25"/>
  <c r="BX84" i="25"/>
  <c r="BX73" i="25"/>
  <c r="BX66" i="25"/>
  <c r="BX68" i="25"/>
  <c r="BX94" i="25"/>
  <c r="BX67" i="25"/>
  <c r="BX104" i="25"/>
  <c r="BX75" i="25"/>
  <c r="BX64" i="25"/>
  <c r="BX103" i="25"/>
  <c r="BX96" i="25"/>
  <c r="BX88" i="25"/>
  <c r="BX76" i="25"/>
  <c r="BX69" i="25"/>
  <c r="BX65" i="25"/>
  <c r="BX85" i="25"/>
  <c r="BJ67" i="25"/>
  <c r="BJ102" i="25"/>
  <c r="BJ93" i="25"/>
  <c r="BJ84" i="25"/>
  <c r="BJ73" i="25"/>
  <c r="BJ66" i="25"/>
  <c r="BJ103" i="25"/>
  <c r="BJ94" i="25"/>
  <c r="BJ85" i="25"/>
  <c r="BJ96" i="25"/>
  <c r="BJ88" i="25"/>
  <c r="BJ76" i="25"/>
  <c r="BJ69" i="25"/>
  <c r="BJ65" i="25"/>
  <c r="BJ74" i="25"/>
  <c r="BJ104" i="25"/>
  <c r="BJ95" i="25"/>
  <c r="BJ86" i="25"/>
  <c r="BJ75" i="25"/>
  <c r="BJ68" i="25"/>
  <c r="BJ64" i="25"/>
  <c r="BK5" i="25"/>
  <c r="AV102" i="25"/>
  <c r="AV93" i="25"/>
  <c r="AV84" i="25"/>
  <c r="AV73" i="25"/>
  <c r="AV66" i="25"/>
  <c r="AV74" i="25"/>
  <c r="AV67" i="25"/>
  <c r="AV96" i="25"/>
  <c r="AV88" i="25"/>
  <c r="AV76" i="25"/>
  <c r="AV69" i="25"/>
  <c r="AV65" i="25"/>
  <c r="AV94" i="25"/>
  <c r="AV104" i="25"/>
  <c r="AV95" i="25"/>
  <c r="AV86" i="25"/>
  <c r="AV75" i="25"/>
  <c r="AV68" i="25"/>
  <c r="AV64" i="25"/>
  <c r="AW5" i="25"/>
  <c r="AV103" i="25"/>
  <c r="AV85" i="25"/>
  <c r="AH102" i="25"/>
  <c r="AH93" i="25"/>
  <c r="AH84" i="25"/>
  <c r="AH73" i="25"/>
  <c r="AH66" i="25"/>
  <c r="AH96" i="25"/>
  <c r="AH88" i="25"/>
  <c r="AH76" i="25"/>
  <c r="AH69" i="25"/>
  <c r="AH65" i="25"/>
  <c r="AH103" i="25"/>
  <c r="AH94" i="25"/>
  <c r="AH67" i="25"/>
  <c r="AH85" i="25"/>
  <c r="AH74" i="25"/>
  <c r="AH104" i="25"/>
  <c r="AH95" i="25"/>
  <c r="AH86" i="25"/>
  <c r="AH75" i="25"/>
  <c r="AH68" i="25"/>
  <c r="AH64" i="25"/>
  <c r="AI5" i="25"/>
  <c r="E68" i="25"/>
  <c r="E66" i="25"/>
  <c r="E102" i="25"/>
  <c r="E86" i="25"/>
  <c r="E85" i="25"/>
  <c r="E67" i="25"/>
  <c r="E74" i="25"/>
  <c r="E103" i="25"/>
  <c r="E75" i="25"/>
  <c r="E84" i="25"/>
  <c r="E76" i="25"/>
  <c r="E104" i="25"/>
  <c r="E65" i="25"/>
  <c r="E69" i="25"/>
  <c r="E95" i="25"/>
  <c r="E94" i="25"/>
  <c r="E73" i="25"/>
  <c r="E64" i="25"/>
  <c r="E88" i="25"/>
  <c r="E96" i="25"/>
  <c r="T93" i="25"/>
  <c r="T104" i="25"/>
  <c r="T103" i="25"/>
  <c r="T102" i="25"/>
  <c r="T95" i="25"/>
  <c r="T84" i="25"/>
  <c r="T96" i="25"/>
  <c r="T73" i="25"/>
  <c r="T85" i="25"/>
  <c r="T69" i="25"/>
  <c r="T86" i="25"/>
  <c r="T94" i="25"/>
  <c r="T75" i="25"/>
  <c r="T64" i="25"/>
  <c r="T67" i="25"/>
  <c r="T74" i="25"/>
  <c r="T76" i="25"/>
  <c r="T65" i="25"/>
  <c r="T88" i="25"/>
  <c r="T68" i="25"/>
  <c r="T66" i="25"/>
  <c r="E93" i="25"/>
  <c r="AK6" i="24"/>
  <c r="AJ7" i="24"/>
  <c r="V6" i="24"/>
  <c r="U7" i="24"/>
  <c r="DO5" i="24"/>
  <c r="DA5" i="24"/>
  <c r="CM5" i="24"/>
  <c r="BY5" i="24"/>
  <c r="BK5" i="24"/>
  <c r="AW5" i="24"/>
  <c r="AI5" i="24"/>
  <c r="E75" i="24"/>
  <c r="E85" i="24"/>
  <c r="E88" i="24"/>
  <c r="E103" i="24"/>
  <c r="E76" i="24"/>
  <c r="E67" i="24"/>
  <c r="E68" i="24"/>
  <c r="E94" i="24"/>
  <c r="E93" i="24"/>
  <c r="E73" i="24"/>
  <c r="E95" i="24"/>
  <c r="E84" i="24"/>
  <c r="E74" i="24"/>
  <c r="E102" i="24"/>
  <c r="E66" i="24"/>
  <c r="E65" i="24"/>
  <c r="E96" i="24"/>
  <c r="E104" i="24"/>
  <c r="V5" i="24"/>
  <c r="E64" i="24"/>
  <c r="E69" i="24"/>
  <c r="E86" i="24"/>
  <c r="T67" i="15" a="1"/>
  <c r="T67" i="15" s="1"/>
  <c r="T103" i="15" a="1"/>
  <c r="T103" i="15" s="1"/>
  <c r="T86" i="16" a="1"/>
  <c r="T86" i="16" s="1"/>
  <c r="U86" i="16" s="1" a="1"/>
  <c r="U86" i="16" s="1"/>
  <c r="AL95" i="16" a="1"/>
  <c r="AL95" i="16" s="1"/>
  <c r="AL86" i="16" a="1"/>
  <c r="AL86" i="16" s="1"/>
  <c r="AL75" i="16" a="1"/>
  <c r="AL75" i="16" s="1"/>
  <c r="AL67" i="16" a="1"/>
  <c r="AL67" i="16" s="1"/>
  <c r="AL86" i="15" a="1"/>
  <c r="AL86" i="15" s="1"/>
  <c r="AL88" i="16" a="1"/>
  <c r="AL88" i="16" s="1"/>
  <c r="Q6" i="9"/>
  <c r="Q9" i="9" s="1"/>
  <c r="S76" i="13" a="1"/>
  <c r="S76" i="13" s="1"/>
  <c r="AK93" i="13" a="1"/>
  <c r="AK93" i="13" s="1"/>
  <c r="AK95" i="13" a="1"/>
  <c r="AK95" i="13" s="1"/>
  <c r="AK74" i="13" a="1"/>
  <c r="AK74" i="13" s="1"/>
  <c r="AK75" i="13" a="1"/>
  <c r="AK75" i="13" s="1"/>
  <c r="AK86" i="13" a="1"/>
  <c r="AK86" i="13" s="1"/>
  <c r="AK69" i="13" a="1"/>
  <c r="AK69" i="13" s="1"/>
  <c r="AK73" i="13" a="1"/>
  <c r="AK73" i="13" s="1"/>
  <c r="AK76" i="13" a="1"/>
  <c r="AK76" i="13" s="1"/>
  <c r="AK64" i="13" a="1"/>
  <c r="AK64" i="13" s="1"/>
  <c r="S88" i="13" a="1"/>
  <c r="S88" i="13" s="1"/>
  <c r="S102" i="13" a="1"/>
  <c r="S102" i="13" s="1"/>
  <c r="R5" i="9"/>
  <c r="AK96" i="13" a="1"/>
  <c r="AK96" i="13" s="1"/>
  <c r="AK85" i="13" a="1"/>
  <c r="AK85" i="13" s="1"/>
  <c r="AK104" i="13" a="1"/>
  <c r="AK104" i="13" s="1"/>
  <c r="AL5" i="13"/>
  <c r="AK103" i="13" a="1"/>
  <c r="AK103" i="13" s="1"/>
  <c r="AK68" i="13" a="1"/>
  <c r="AK68" i="13" s="1"/>
  <c r="AK94" i="13" a="1"/>
  <c r="AK94" i="13" s="1"/>
  <c r="AK67" i="13" a="1"/>
  <c r="AK67" i="13" s="1"/>
  <c r="AK88" i="13" a="1"/>
  <c r="AK88" i="13" s="1"/>
  <c r="AK65" i="13" a="1"/>
  <c r="AK65" i="13" s="1"/>
  <c r="AK102" i="13" a="1"/>
  <c r="AK102" i="13" s="1"/>
  <c r="AK66" i="13" a="1"/>
  <c r="AK66" i="13" s="1"/>
  <c r="S65" i="13" a="1"/>
  <c r="S65" i="13" s="1"/>
  <c r="S68" i="13" a="1"/>
  <c r="S68" i="13" s="1"/>
  <c r="S69" i="13" a="1"/>
  <c r="S69" i="13" s="1"/>
  <c r="S94" i="13" a="1"/>
  <c r="S94" i="13" s="1"/>
  <c r="S66" i="13" a="1"/>
  <c r="S66" i="13" s="1"/>
  <c r="S74" i="13" a="1"/>
  <c r="S74" i="13" s="1"/>
  <c r="S93" i="13" a="1"/>
  <c r="S93" i="13" s="1"/>
  <c r="S103" i="13" a="1"/>
  <c r="S103" i="13" s="1"/>
  <c r="S73" i="13" a="1"/>
  <c r="S73" i="13" s="1"/>
  <c r="S75" i="13" a="1"/>
  <c r="S75" i="13" s="1"/>
  <c r="S67" i="13" a="1"/>
  <c r="S67" i="13" s="1"/>
  <c r="S95" i="13" a="1"/>
  <c r="S95" i="13" s="1"/>
  <c r="S86" i="13" a="1"/>
  <c r="S86" i="13" s="1"/>
  <c r="S85" i="13" a="1"/>
  <c r="S85" i="13" s="1"/>
  <c r="DN6" i="9"/>
  <c r="DN9" i="9" s="1"/>
  <c r="DO5" i="9"/>
  <c r="DA5" i="9"/>
  <c r="CZ6" i="9"/>
  <c r="CZ9" i="9" s="1"/>
  <c r="CL6" i="9"/>
  <c r="CL9" i="9" s="1"/>
  <c r="CM5" i="9"/>
  <c r="AL64" i="17" a="1"/>
  <c r="AL64" i="17" s="1"/>
  <c r="AM5" i="17"/>
  <c r="AM84" i="17" a="1"/>
  <c r="AM84" i="17" s="1"/>
  <c r="AL6" i="17"/>
  <c r="AL102" i="17" a="1"/>
  <c r="AL102" i="17" s="1"/>
  <c r="AL88" i="17" a="1"/>
  <c r="AL88" i="17" s="1"/>
  <c r="AL93" i="17" a="1"/>
  <c r="AL93" i="17" s="1"/>
  <c r="AL86" i="17" a="1"/>
  <c r="AL86" i="17" s="1"/>
  <c r="AL73" i="17" a="1"/>
  <c r="AL73" i="17" s="1"/>
  <c r="AL96" i="17" a="1"/>
  <c r="AL96" i="17" s="1"/>
  <c r="AL104" i="17" a="1"/>
  <c r="AL104" i="17" s="1"/>
  <c r="AL74" i="17" a="1"/>
  <c r="AL74" i="17" s="1"/>
  <c r="AL85" i="17" a="1"/>
  <c r="AL85" i="17" s="1"/>
  <c r="AL66" i="17" a="1"/>
  <c r="AL66" i="17" s="1"/>
  <c r="AL103" i="17" a="1"/>
  <c r="AL103" i="17" s="1"/>
  <c r="AL76" i="17" a="1"/>
  <c r="AL76" i="17" s="1"/>
  <c r="AL68" i="17" a="1"/>
  <c r="AL68" i="17" s="1"/>
  <c r="AL67" i="17" a="1"/>
  <c r="AL67" i="17" s="1"/>
  <c r="AM67" i="17" s="1" a="1"/>
  <c r="AM67" i="17" s="1"/>
  <c r="U5" i="17"/>
  <c r="T6" i="17"/>
  <c r="U84" i="17" a="1"/>
  <c r="U84" i="17" s="1"/>
  <c r="T102" i="17" a="1"/>
  <c r="T102" i="17" s="1"/>
  <c r="T103" i="17" a="1"/>
  <c r="T103" i="17" s="1"/>
  <c r="T68" i="17" a="1"/>
  <c r="T68" i="17" s="1"/>
  <c r="AL75" i="17" a="1"/>
  <c r="AL75" i="17" s="1"/>
  <c r="AL94" i="17" a="1"/>
  <c r="AL94" i="17" s="1"/>
  <c r="AM94" i="17" s="1" a="1"/>
  <c r="AM94" i="17" s="1"/>
  <c r="AL65" i="17" a="1"/>
  <c r="AL65" i="17" s="1"/>
  <c r="AL64" i="16" a="1"/>
  <c r="AL64" i="16" s="1"/>
  <c r="AL85" i="16" a="1"/>
  <c r="AL85" i="16" s="1"/>
  <c r="AL103" i="16" a="1"/>
  <c r="AL103" i="16" s="1"/>
  <c r="U5" i="16"/>
  <c r="T6" i="16"/>
  <c r="AL76" i="16" a="1"/>
  <c r="AL76" i="16" s="1"/>
  <c r="AL66" i="16" a="1"/>
  <c r="AL66" i="16" s="1"/>
  <c r="AL93" i="16" a="1"/>
  <c r="AL93" i="16" s="1"/>
  <c r="AL102" i="16" a="1"/>
  <c r="AL102" i="16" s="1"/>
  <c r="AL65" i="16" a="1"/>
  <c r="AL65" i="16" s="1"/>
  <c r="AL69" i="16" a="1"/>
  <c r="AL69" i="16" s="1"/>
  <c r="AL68" i="16" a="1"/>
  <c r="AL68" i="16" s="1"/>
  <c r="AL74" i="16" a="1"/>
  <c r="AL74" i="16" s="1"/>
  <c r="AL73" i="16" a="1"/>
  <c r="AL73" i="16" s="1"/>
  <c r="AL6" i="16"/>
  <c r="AM5" i="16"/>
  <c r="AL104" i="16" a="1"/>
  <c r="AL104" i="16" s="1"/>
  <c r="AM104" i="16" s="1" a="1"/>
  <c r="AM104" i="16" s="1"/>
  <c r="AL94" i="16" a="1"/>
  <c r="AL94" i="16" s="1"/>
  <c r="AL96" i="16" a="1"/>
  <c r="AL96" i="16" s="1"/>
  <c r="AL75" i="15" a="1"/>
  <c r="AL75" i="15" s="1"/>
  <c r="AL69" i="15" a="1"/>
  <c r="AL69" i="15" s="1"/>
  <c r="AL95" i="15" a="1"/>
  <c r="AL95" i="15" s="1"/>
  <c r="AL74" i="15" a="1"/>
  <c r="AL74" i="15" s="1"/>
  <c r="T6" i="15"/>
  <c r="U5" i="15"/>
  <c r="U103" i="15" a="1"/>
  <c r="U103" i="15" s="1"/>
  <c r="T68" i="15" a="1"/>
  <c r="T68" i="15" s="1"/>
  <c r="T73" i="15" a="1"/>
  <c r="T73" i="15" s="1"/>
  <c r="AL73" i="15" a="1"/>
  <c r="AL73" i="15" s="1"/>
  <c r="AL104" i="15" a="1"/>
  <c r="AL104" i="15" s="1"/>
  <c r="AL76" i="15" a="1"/>
  <c r="AL76" i="15" s="1"/>
  <c r="AL6" i="15"/>
  <c r="AM5" i="15"/>
  <c r="AM103" i="15" a="1"/>
  <c r="AM103" i="15" s="1"/>
  <c r="AL88" i="15" a="1"/>
  <c r="AL88" i="15" s="1"/>
  <c r="AL93" i="15" a="1"/>
  <c r="AL93" i="15" s="1"/>
  <c r="T96" i="15" a="1"/>
  <c r="T96" i="15" s="1"/>
  <c r="T88" i="15" a="1"/>
  <c r="T88" i="15" s="1"/>
  <c r="AL65" i="15" a="1"/>
  <c r="AL65" i="15" s="1"/>
  <c r="AL94" i="15" a="1"/>
  <c r="AL94" i="15" s="1"/>
  <c r="AL96" i="15" a="1"/>
  <c r="AL96" i="15" s="1"/>
  <c r="AL66" i="15" a="1"/>
  <c r="AL66" i="15" s="1"/>
  <c r="T65" i="17" a="1"/>
  <c r="T65" i="17" s="1"/>
  <c r="T85" i="17" a="1"/>
  <c r="T85" i="17" s="1"/>
  <c r="T93" i="17" a="1"/>
  <c r="T93" i="17" s="1"/>
  <c r="T64" i="17" a="1"/>
  <c r="T64" i="17" s="1"/>
  <c r="T96" i="17" a="1"/>
  <c r="T96" i="17" s="1"/>
  <c r="T94" i="17" a="1"/>
  <c r="T94" i="17" s="1"/>
  <c r="T74" i="17" a="1"/>
  <c r="T74" i="17" s="1"/>
  <c r="T66" i="17" a="1"/>
  <c r="T66" i="17" s="1"/>
  <c r="T75" i="17" a="1"/>
  <c r="T75" i="17" s="1"/>
  <c r="T76" i="17" a="1"/>
  <c r="T76" i="17" s="1"/>
  <c r="T86" i="17" a="1"/>
  <c r="T86" i="17" s="1"/>
  <c r="T73" i="17" a="1"/>
  <c r="T73" i="17" s="1"/>
  <c r="T69" i="17" a="1"/>
  <c r="T69" i="17" s="1"/>
  <c r="T88" i="17" a="1"/>
  <c r="T88" i="17" s="1"/>
  <c r="T95" i="17" a="1"/>
  <c r="T95" i="17" s="1"/>
  <c r="T64" i="16" a="1"/>
  <c r="T64" i="16" s="1"/>
  <c r="T104" i="16" a="1"/>
  <c r="T104" i="16" s="1"/>
  <c r="T68" i="16" a="1"/>
  <c r="T68" i="16" s="1"/>
  <c r="T67" i="16" a="1"/>
  <c r="T67" i="16" s="1"/>
  <c r="T103" i="16" a="1"/>
  <c r="T103" i="16" s="1"/>
  <c r="T66" i="16" a="1"/>
  <c r="T66" i="16" s="1"/>
  <c r="T65" i="16" a="1"/>
  <c r="T65" i="16" s="1"/>
  <c r="T96" i="16" a="1"/>
  <c r="T96" i="16" s="1"/>
  <c r="T88" i="16" a="1"/>
  <c r="T88" i="16" s="1"/>
  <c r="T102" i="16" a="1"/>
  <c r="T102" i="16" s="1"/>
  <c r="T94" i="16" a="1"/>
  <c r="T94" i="16" s="1"/>
  <c r="U76" i="16" a="1"/>
  <c r="U76" i="16" s="1"/>
  <c r="T73" i="16" a="1"/>
  <c r="T73" i="16" s="1"/>
  <c r="T95" i="16" a="1"/>
  <c r="T95" i="16" s="1"/>
  <c r="T75" i="16" a="1"/>
  <c r="T75" i="16" s="1"/>
  <c r="T69" i="16" a="1"/>
  <c r="T69" i="16" s="1"/>
  <c r="U67" i="15" a="1"/>
  <c r="U67" i="15" s="1"/>
  <c r="T64" i="15" a="1"/>
  <c r="T64" i="15" s="1"/>
  <c r="T69" i="15" a="1"/>
  <c r="T69" i="15" s="1"/>
  <c r="T104" i="15" a="1"/>
  <c r="T104" i="15" s="1"/>
  <c r="T93" i="15" a="1"/>
  <c r="T93" i="15" s="1"/>
  <c r="T94" i="15" a="1"/>
  <c r="T94" i="15" s="1"/>
  <c r="T102" i="15" a="1"/>
  <c r="T102" i="15" s="1"/>
  <c r="U65" i="15" a="1"/>
  <c r="U65" i="15" s="1"/>
  <c r="T74" i="15" a="1"/>
  <c r="T74" i="15" s="1"/>
  <c r="T85" i="15" a="1"/>
  <c r="T85" i="15" s="1"/>
  <c r="AL6" i="13"/>
  <c r="S6" i="13"/>
  <c r="S8" i="9" s="1"/>
  <c r="T5" i="13"/>
  <c r="T84" i="13" l="1" a="1"/>
  <c r="T84" i="13" s="1"/>
  <c r="U67" i="17" a="1"/>
  <c r="U67" i="17" s="1"/>
  <c r="V67" i="17" s="1" a="1"/>
  <c r="V67" i="17" s="1"/>
  <c r="AM75" i="17" a="1"/>
  <c r="AM75" i="17" s="1"/>
  <c r="AM68" i="17" a="1"/>
  <c r="AM68" i="17" s="1"/>
  <c r="AM103" i="16" a="1"/>
  <c r="AM103" i="16" s="1"/>
  <c r="AM74" i="17" a="1"/>
  <c r="AM74" i="17" s="1"/>
  <c r="AM102" i="17" a="1"/>
  <c r="AM102" i="17" s="1"/>
  <c r="AM73" i="16" a="1"/>
  <c r="AM73" i="16" s="1"/>
  <c r="AM104" i="17" a="1"/>
  <c r="AM104" i="17" s="1"/>
  <c r="AM93" i="16" a="1"/>
  <c r="AM93" i="16" s="1"/>
  <c r="AM66" i="16" a="1"/>
  <c r="AM66" i="16" s="1"/>
  <c r="AM84" i="16" a="1"/>
  <c r="AM84" i="16" s="1"/>
  <c r="AM74" i="16" a="1"/>
  <c r="AM74" i="16" s="1"/>
  <c r="AM96" i="16" a="1"/>
  <c r="AM96" i="16" s="1"/>
  <c r="U85" i="16" a="1"/>
  <c r="U85" i="16" s="1"/>
  <c r="AM94" i="16" a="1"/>
  <c r="AM94" i="16" s="1"/>
  <c r="AM68" i="16" a="1"/>
  <c r="AM68" i="16" s="1"/>
  <c r="BY104" i="24"/>
  <c r="BY95" i="24"/>
  <c r="BY85" i="24"/>
  <c r="BY103" i="24"/>
  <c r="BY65" i="24"/>
  <c r="BY86" i="24"/>
  <c r="BY67" i="24"/>
  <c r="BY96" i="24"/>
  <c r="BY94" i="24"/>
  <c r="BY84" i="24"/>
  <c r="BY64" i="24"/>
  <c r="BY74" i="24"/>
  <c r="BY68" i="24"/>
  <c r="BY76" i="24"/>
  <c r="BY75" i="24"/>
  <c r="BY102" i="24"/>
  <c r="BY66" i="24"/>
  <c r="BY93" i="24"/>
  <c r="BY73" i="24"/>
  <c r="BY69" i="24"/>
  <c r="BY88" i="24"/>
  <c r="DQ6" i="24"/>
  <c r="DP7" i="24"/>
  <c r="CM96" i="24"/>
  <c r="CM75" i="24"/>
  <c r="CM68" i="24"/>
  <c r="CM86" i="24"/>
  <c r="CM67" i="24"/>
  <c r="CM102" i="24"/>
  <c r="CM76" i="24"/>
  <c r="CM103" i="24"/>
  <c r="CM84" i="24"/>
  <c r="CM95" i="24"/>
  <c r="CM104" i="24"/>
  <c r="CM85" i="24"/>
  <c r="CM65" i="24"/>
  <c r="CM66" i="24"/>
  <c r="CM64" i="24"/>
  <c r="CM69" i="24"/>
  <c r="CM74" i="24"/>
  <c r="CM94" i="24"/>
  <c r="CM93" i="24"/>
  <c r="CM88" i="24"/>
  <c r="CM73" i="24"/>
  <c r="U84" i="15" a="1"/>
  <c r="U84" i="15" s="1"/>
  <c r="V85" i="24"/>
  <c r="V102" i="24"/>
  <c r="V96" i="24"/>
  <c r="V95" i="24"/>
  <c r="V74" i="24"/>
  <c r="V66" i="24"/>
  <c r="V68" i="24"/>
  <c r="V67" i="24"/>
  <c r="V86" i="24"/>
  <c r="V84" i="24"/>
  <c r="V103" i="24"/>
  <c r="V104" i="24"/>
  <c r="V73" i="24"/>
  <c r="V69" i="24"/>
  <c r="V93" i="24"/>
  <c r="V65" i="24"/>
  <c r="V64" i="24"/>
  <c r="V76" i="24"/>
  <c r="V75" i="24"/>
  <c r="V88" i="24"/>
  <c r="V94" i="24"/>
  <c r="DA104" i="24"/>
  <c r="DA85" i="24"/>
  <c r="DA68" i="24"/>
  <c r="DA96" i="24"/>
  <c r="DA75" i="24"/>
  <c r="DA65" i="24"/>
  <c r="DA95" i="24"/>
  <c r="DA74" i="24"/>
  <c r="DA64" i="24"/>
  <c r="DA86" i="24"/>
  <c r="DA103" i="24"/>
  <c r="DA84" i="24"/>
  <c r="DA66" i="24"/>
  <c r="DA67" i="24"/>
  <c r="DA76" i="24"/>
  <c r="DA73" i="24"/>
  <c r="DA102" i="24"/>
  <c r="DA94" i="24"/>
  <c r="DA69" i="24"/>
  <c r="DA93" i="24"/>
  <c r="DA88" i="24"/>
  <c r="AL84" i="13" a="1"/>
  <c r="AL84" i="13" s="1"/>
  <c r="DO102" i="9"/>
  <c r="DO93" i="9"/>
  <c r="DO84" i="9"/>
  <c r="DO103" i="9"/>
  <c r="DO85" i="9"/>
  <c r="DO74" i="9"/>
  <c r="DO67" i="9"/>
  <c r="DO73" i="9"/>
  <c r="DO104" i="9"/>
  <c r="DO96" i="9"/>
  <c r="DO64" i="9"/>
  <c r="DO76" i="9"/>
  <c r="DO88" i="9"/>
  <c r="DO68" i="9"/>
  <c r="DO65" i="9"/>
  <c r="DO75" i="9"/>
  <c r="DO86" i="9"/>
  <c r="DO69" i="9"/>
  <c r="DO94" i="9"/>
  <c r="DO95" i="9"/>
  <c r="DO66" i="9"/>
  <c r="AM76" i="17" a="1"/>
  <c r="AM76" i="17" s="1"/>
  <c r="DO103" i="24"/>
  <c r="DO95" i="24"/>
  <c r="DO85" i="24"/>
  <c r="DO75" i="24"/>
  <c r="DO66" i="24"/>
  <c r="DO65" i="24"/>
  <c r="DO104" i="24"/>
  <c r="DO64" i="24"/>
  <c r="DO102" i="24"/>
  <c r="DO67" i="24"/>
  <c r="DO84" i="24"/>
  <c r="DO68" i="24"/>
  <c r="DO86" i="24"/>
  <c r="DO96" i="24"/>
  <c r="DO76" i="24"/>
  <c r="DO93" i="24"/>
  <c r="DO74" i="24"/>
  <c r="DO94" i="24"/>
  <c r="DO88" i="24"/>
  <c r="DO69" i="24"/>
  <c r="DO73" i="24"/>
  <c r="AM94" i="15" a="1"/>
  <c r="AM94" i="15" s="1"/>
  <c r="T88" i="13" a="1"/>
  <c r="T88" i="13" s="1"/>
  <c r="U75" i="15" a="1"/>
  <c r="U75" i="15" s="1"/>
  <c r="V75" i="15" s="1" a="1"/>
  <c r="V75" i="15" s="1"/>
  <c r="AM103" i="17" a="1"/>
  <c r="AM103" i="17" s="1"/>
  <c r="CM86" i="9"/>
  <c r="CM103" i="9"/>
  <c r="CM64" i="9"/>
  <c r="CM85" i="9"/>
  <c r="CM104" i="9"/>
  <c r="CM88" i="9"/>
  <c r="CM74" i="9"/>
  <c r="CM102" i="9"/>
  <c r="CM65" i="9"/>
  <c r="CM73" i="9"/>
  <c r="CM67" i="9"/>
  <c r="CM75" i="9"/>
  <c r="CM84" i="9"/>
  <c r="CM93" i="9"/>
  <c r="CM76" i="9"/>
  <c r="CM95" i="9"/>
  <c r="CM68" i="9"/>
  <c r="CM66" i="9"/>
  <c r="CM69" i="9"/>
  <c r="CM96" i="9"/>
  <c r="CM94" i="9"/>
  <c r="U84" i="16" a="1"/>
  <c r="U84" i="16" s="1"/>
  <c r="CB6" i="24"/>
  <c r="CB7" i="24" s="1"/>
  <c r="CA7" i="24"/>
  <c r="AY6" i="24"/>
  <c r="AX7" i="24"/>
  <c r="R73" i="9"/>
  <c r="R93" i="9"/>
  <c r="R68" i="9"/>
  <c r="R65" i="9"/>
  <c r="R84" i="9"/>
  <c r="R88" i="9"/>
  <c r="R94" i="9"/>
  <c r="R75" i="9"/>
  <c r="R103" i="9"/>
  <c r="R64" i="9"/>
  <c r="R96" i="9"/>
  <c r="R67" i="9"/>
  <c r="R76" i="9"/>
  <c r="R85" i="9"/>
  <c r="R86" i="9"/>
  <c r="R69" i="9"/>
  <c r="R95" i="9"/>
  <c r="R104" i="9"/>
  <c r="R66" i="9"/>
  <c r="R74" i="9"/>
  <c r="R102" i="9"/>
  <c r="AI103" i="24"/>
  <c r="AI95" i="24"/>
  <c r="AI66" i="24"/>
  <c r="AI96" i="24"/>
  <c r="AI104" i="24"/>
  <c r="AI88" i="24"/>
  <c r="AI86" i="24"/>
  <c r="AI68" i="24"/>
  <c r="AI67" i="24"/>
  <c r="AI64" i="24"/>
  <c r="AI65" i="24"/>
  <c r="AI93" i="24"/>
  <c r="AI69" i="24"/>
  <c r="AI85" i="24"/>
  <c r="AI74" i="24"/>
  <c r="AI102" i="24"/>
  <c r="AI84" i="24"/>
  <c r="AI94" i="24"/>
  <c r="AI76" i="24"/>
  <c r="AI73" i="24"/>
  <c r="AI75" i="24"/>
  <c r="AM84" i="15" a="1"/>
  <c r="AM84" i="15" s="1"/>
  <c r="U74" i="16" a="1"/>
  <c r="U74" i="16" s="1"/>
  <c r="T104" i="13" a="1"/>
  <c r="T104" i="13" s="1"/>
  <c r="U93" i="16" a="1"/>
  <c r="U93" i="16" s="1"/>
  <c r="AM67" i="15" a="1"/>
  <c r="AM67" i="15" s="1"/>
  <c r="T76" i="13" a="1"/>
  <c r="T76" i="13" s="1"/>
  <c r="U96" i="15" a="1"/>
  <c r="U96" i="15" s="1"/>
  <c r="V96" i="15" s="1" a="1"/>
  <c r="V96" i="15" s="1"/>
  <c r="AM102" i="16" a="1"/>
  <c r="AM102" i="16" s="1"/>
  <c r="AW76" i="24"/>
  <c r="AW103" i="24"/>
  <c r="AW85" i="24"/>
  <c r="AW68" i="24"/>
  <c r="AW67" i="24"/>
  <c r="AW66" i="24"/>
  <c r="AW86" i="24"/>
  <c r="AW84" i="24"/>
  <c r="AW104" i="24"/>
  <c r="AW95" i="24"/>
  <c r="AW88" i="24"/>
  <c r="AW73" i="24"/>
  <c r="AW74" i="24"/>
  <c r="AW69" i="24"/>
  <c r="AW75" i="24"/>
  <c r="AW102" i="24"/>
  <c r="AW93" i="24"/>
  <c r="AW96" i="24"/>
  <c r="AW94" i="24"/>
  <c r="AW65" i="24"/>
  <c r="AW64" i="24"/>
  <c r="DA74" i="9"/>
  <c r="DA104" i="9"/>
  <c r="DA64" i="9"/>
  <c r="DA67" i="9"/>
  <c r="DA84" i="9"/>
  <c r="DA93" i="9"/>
  <c r="DA69" i="9"/>
  <c r="DA94" i="9"/>
  <c r="DA103" i="9"/>
  <c r="DA88" i="9"/>
  <c r="DA66" i="9"/>
  <c r="DA95" i="9"/>
  <c r="DA73" i="9"/>
  <c r="DA65" i="9"/>
  <c r="DA86" i="9"/>
  <c r="DA85" i="9"/>
  <c r="DA96" i="9"/>
  <c r="DA102" i="9"/>
  <c r="DA68" i="9"/>
  <c r="DA76" i="9"/>
  <c r="DA75" i="9"/>
  <c r="BK66" i="24"/>
  <c r="BK67" i="24"/>
  <c r="BK104" i="24"/>
  <c r="BK102" i="24"/>
  <c r="BK84" i="24"/>
  <c r="BK68" i="24"/>
  <c r="BK103" i="24"/>
  <c r="BK75" i="24"/>
  <c r="BK69" i="24"/>
  <c r="BK96" i="24"/>
  <c r="BK95" i="24"/>
  <c r="BK76" i="24"/>
  <c r="BK73" i="24"/>
  <c r="BK74" i="24"/>
  <c r="BK65" i="24"/>
  <c r="BK85" i="24"/>
  <c r="BK64" i="24"/>
  <c r="BK94" i="24"/>
  <c r="BK93" i="24"/>
  <c r="BK86" i="24"/>
  <c r="BK88" i="24"/>
  <c r="DO102" i="25"/>
  <c r="DO93" i="25"/>
  <c r="DO84" i="25"/>
  <c r="DO73" i="25"/>
  <c r="DO66" i="25"/>
  <c r="DO75" i="25"/>
  <c r="DO68" i="25"/>
  <c r="DO103" i="25"/>
  <c r="DO85" i="25"/>
  <c r="DO74" i="25"/>
  <c r="DO95" i="25"/>
  <c r="DO86" i="25"/>
  <c r="DO96" i="25"/>
  <c r="DO88" i="25"/>
  <c r="DO76" i="25"/>
  <c r="DO69" i="25"/>
  <c r="DO65" i="25"/>
  <c r="DO64" i="25"/>
  <c r="DP5" i="25"/>
  <c r="DO94" i="25"/>
  <c r="DO67" i="25"/>
  <c r="DO104" i="25"/>
  <c r="DA102" i="25"/>
  <c r="DA93" i="25"/>
  <c r="DA84" i="25"/>
  <c r="DA73" i="25"/>
  <c r="DA66" i="25"/>
  <c r="DA96" i="25"/>
  <c r="DA88" i="25"/>
  <c r="DA76" i="25"/>
  <c r="DA69" i="25"/>
  <c r="DA65" i="25"/>
  <c r="DA104" i="25"/>
  <c r="DA95" i="25"/>
  <c r="DA86" i="25"/>
  <c r="DA75" i="25"/>
  <c r="DA68" i="25"/>
  <c r="DA64" i="25"/>
  <c r="DB5" i="25"/>
  <c r="DA103" i="25"/>
  <c r="DA94" i="25"/>
  <c r="DA85" i="25"/>
  <c r="DA74" i="25"/>
  <c r="DA67" i="25"/>
  <c r="CM102" i="25"/>
  <c r="CM93" i="25"/>
  <c r="CM84" i="25"/>
  <c r="CM73" i="25"/>
  <c r="CM66" i="25"/>
  <c r="CM85" i="25"/>
  <c r="CM74" i="25"/>
  <c r="CM96" i="25"/>
  <c r="CM88" i="25"/>
  <c r="CM76" i="25"/>
  <c r="CM69" i="25"/>
  <c r="CM65" i="25"/>
  <c r="CM67" i="25"/>
  <c r="CM104" i="25"/>
  <c r="CM95" i="25"/>
  <c r="CM86" i="25"/>
  <c r="CM75" i="25"/>
  <c r="CM68" i="25"/>
  <c r="CM64" i="25"/>
  <c r="CN5" i="25"/>
  <c r="CM103" i="25"/>
  <c r="CM94" i="25"/>
  <c r="BY102" i="25"/>
  <c r="BY93" i="25"/>
  <c r="BY84" i="25"/>
  <c r="BY73" i="25"/>
  <c r="BY66" i="25"/>
  <c r="BY86" i="25"/>
  <c r="BY94" i="25"/>
  <c r="BY103" i="25"/>
  <c r="BY96" i="25"/>
  <c r="BY88" i="25"/>
  <c r="BY76" i="25"/>
  <c r="BY69" i="25"/>
  <c r="BY65" i="25"/>
  <c r="BY104" i="25"/>
  <c r="BY75" i="25"/>
  <c r="BY68" i="25"/>
  <c r="BY64" i="25"/>
  <c r="BZ5" i="25"/>
  <c r="BY85" i="25"/>
  <c r="BY74" i="25"/>
  <c r="BY67" i="25"/>
  <c r="BY95" i="25"/>
  <c r="BK102" i="25"/>
  <c r="BK93" i="25"/>
  <c r="BK84" i="25"/>
  <c r="BK73" i="25"/>
  <c r="BK66" i="25"/>
  <c r="BK103" i="25"/>
  <c r="BK74" i="25"/>
  <c r="BK85" i="25"/>
  <c r="BK96" i="25"/>
  <c r="BK88" i="25"/>
  <c r="BK76" i="25"/>
  <c r="BK69" i="25"/>
  <c r="BK65" i="25"/>
  <c r="BK67" i="25"/>
  <c r="BK104" i="25"/>
  <c r="BK95" i="25"/>
  <c r="BK86" i="25"/>
  <c r="BK75" i="25"/>
  <c r="BK68" i="25"/>
  <c r="BK64" i="25"/>
  <c r="BL5" i="25"/>
  <c r="BK94" i="25"/>
  <c r="AW102" i="25"/>
  <c r="AW93" i="25"/>
  <c r="AW84" i="25"/>
  <c r="AW73" i="25"/>
  <c r="AW66" i="25"/>
  <c r="AW96" i="25"/>
  <c r="AW88" i="25"/>
  <c r="AW76" i="25"/>
  <c r="AW69" i="25"/>
  <c r="AW65" i="25"/>
  <c r="AW104" i="25"/>
  <c r="AW95" i="25"/>
  <c r="AW86" i="25"/>
  <c r="AW75" i="25"/>
  <c r="AW68" i="25"/>
  <c r="AW64" i="25"/>
  <c r="AX5" i="25"/>
  <c r="AW103" i="25"/>
  <c r="AW94" i="25"/>
  <c r="AW85" i="25"/>
  <c r="AW74" i="25"/>
  <c r="AW67" i="25"/>
  <c r="AI102" i="25"/>
  <c r="AI93" i="25"/>
  <c r="AI84" i="25"/>
  <c r="AI73" i="25"/>
  <c r="AI66" i="25"/>
  <c r="AI96" i="25"/>
  <c r="AI88" i="25"/>
  <c r="AI76" i="25"/>
  <c r="AI69" i="25"/>
  <c r="AI65" i="25"/>
  <c r="AI74" i="25"/>
  <c r="AI103" i="25"/>
  <c r="AI67" i="25"/>
  <c r="AI104" i="25"/>
  <c r="AI95" i="25"/>
  <c r="AI86" i="25"/>
  <c r="AI75" i="25"/>
  <c r="AI68" i="25"/>
  <c r="AI64" i="25"/>
  <c r="AJ5" i="25"/>
  <c r="AI94" i="25"/>
  <c r="AI85" i="25"/>
  <c r="F64" i="25"/>
  <c r="F66" i="25"/>
  <c r="F84" i="25"/>
  <c r="F75" i="25"/>
  <c r="F95" i="25"/>
  <c r="U88" i="25"/>
  <c r="U104" i="25"/>
  <c r="U103" i="25"/>
  <c r="U102" i="25"/>
  <c r="U96" i="25"/>
  <c r="U94" i="25"/>
  <c r="U95" i="25"/>
  <c r="U76" i="25"/>
  <c r="U93" i="25"/>
  <c r="U85" i="25"/>
  <c r="U69" i="25"/>
  <c r="U86" i="25"/>
  <c r="U68" i="25"/>
  <c r="U84" i="25"/>
  <c r="U64" i="25"/>
  <c r="U67" i="25"/>
  <c r="U74" i="25"/>
  <c r="U75" i="25"/>
  <c r="U73" i="25"/>
  <c r="U65" i="25"/>
  <c r="U66" i="25"/>
  <c r="F94" i="25"/>
  <c r="F88" i="25"/>
  <c r="F86" i="25"/>
  <c r="F103" i="25"/>
  <c r="F104" i="25"/>
  <c r="F69" i="25"/>
  <c r="F76" i="25"/>
  <c r="F85" i="25"/>
  <c r="F93" i="25"/>
  <c r="F102" i="25"/>
  <c r="F74" i="25"/>
  <c r="F73" i="25"/>
  <c r="F68" i="25"/>
  <c r="F65" i="25"/>
  <c r="F67" i="25"/>
  <c r="F96" i="25"/>
  <c r="AL6" i="24"/>
  <c r="AL7" i="24" s="1"/>
  <c r="AK7" i="24"/>
  <c r="W6" i="24"/>
  <c r="W5" i="24" s="1"/>
  <c r="V7" i="24"/>
  <c r="DP5" i="24"/>
  <c r="DB5" i="24"/>
  <c r="CN5" i="24"/>
  <c r="BZ5" i="24"/>
  <c r="BL5" i="24"/>
  <c r="AX5" i="24"/>
  <c r="AJ5" i="24"/>
  <c r="F94" i="24"/>
  <c r="F102" i="24"/>
  <c r="F96" i="24"/>
  <c r="F69" i="24"/>
  <c r="F67" i="24"/>
  <c r="F65" i="24"/>
  <c r="F85" i="24"/>
  <c r="F88" i="24"/>
  <c r="F66" i="24"/>
  <c r="F76" i="24"/>
  <c r="F64" i="24"/>
  <c r="F68" i="24"/>
  <c r="F104" i="24"/>
  <c r="F74" i="24"/>
  <c r="F86" i="24"/>
  <c r="F84" i="24"/>
  <c r="F93" i="24"/>
  <c r="F103" i="24"/>
  <c r="F73" i="24"/>
  <c r="F75" i="24"/>
  <c r="F95" i="24"/>
  <c r="AL74" i="13" a="1"/>
  <c r="AL74" i="13" s="1"/>
  <c r="U88" i="15" a="1"/>
  <c r="U88" i="15" s="1"/>
  <c r="U86" i="15" a="1"/>
  <c r="U86" i="15" s="1"/>
  <c r="AM93" i="15" a="1"/>
  <c r="AM93" i="15" s="1"/>
  <c r="U104" i="17" a="1"/>
  <c r="U104" i="17" s="1"/>
  <c r="U66" i="15" a="1"/>
  <c r="U66" i="15" s="1"/>
  <c r="U95" i="15" a="1"/>
  <c r="U95" i="15" s="1"/>
  <c r="V95" i="15" s="1" a="1"/>
  <c r="V95" i="15" s="1"/>
  <c r="AM66" i="15" a="1"/>
  <c r="AM66" i="15" s="1"/>
  <c r="AM85" i="15" a="1"/>
  <c r="AM85" i="15" s="1"/>
  <c r="AM96" i="15" a="1"/>
  <c r="AM96" i="15" s="1"/>
  <c r="AM95" i="15" a="1"/>
  <c r="AM95" i="15" s="1"/>
  <c r="AL95" i="13" a="1"/>
  <c r="AL95" i="13" s="1"/>
  <c r="AM73" i="15" a="1"/>
  <c r="AM73" i="15" s="1"/>
  <c r="AL86" i="13" a="1"/>
  <c r="AL86" i="13" s="1"/>
  <c r="AL104" i="13" a="1"/>
  <c r="AL104" i="13" s="1"/>
  <c r="AM65" i="15" a="1"/>
  <c r="AM65" i="15" s="1"/>
  <c r="AL94" i="13" a="1"/>
  <c r="AL94" i="13" s="1"/>
  <c r="AL85" i="13" a="1"/>
  <c r="AL85" i="13" s="1"/>
  <c r="AL65" i="13" a="1"/>
  <c r="AL65" i="13" s="1"/>
  <c r="AL69" i="13" a="1"/>
  <c r="AL69" i="13" s="1"/>
  <c r="AL88" i="13" a="1"/>
  <c r="AL88" i="13" s="1"/>
  <c r="AL67" i="13" a="1"/>
  <c r="AL67" i="13" s="1"/>
  <c r="AL76" i="13" a="1"/>
  <c r="AL76" i="13" s="1"/>
  <c r="AL96" i="13" a="1"/>
  <c r="AL96" i="13" s="1"/>
  <c r="S5" i="9"/>
  <c r="AL68" i="13" a="1"/>
  <c r="AL68" i="13" s="1"/>
  <c r="AL66" i="13" a="1"/>
  <c r="AL66" i="13" s="1"/>
  <c r="AL75" i="13" a="1"/>
  <c r="AL75" i="13" s="1"/>
  <c r="AL64" i="13" a="1"/>
  <c r="AL64" i="13" s="1"/>
  <c r="AL102" i="13" a="1"/>
  <c r="AL102" i="13" s="1"/>
  <c r="AL103" i="13" a="1"/>
  <c r="AL103" i="13" s="1"/>
  <c r="R6" i="9"/>
  <c r="R9" i="9" s="1"/>
  <c r="T102" i="13" a="1"/>
  <c r="T102" i="13" s="1"/>
  <c r="AL73" i="13" a="1"/>
  <c r="AL73" i="13" s="1"/>
  <c r="AL93" i="13" a="1"/>
  <c r="AL93" i="13" s="1"/>
  <c r="T68" i="13" a="1"/>
  <c r="T68" i="13" s="1"/>
  <c r="T73" i="13" a="1"/>
  <c r="T73" i="13" s="1"/>
  <c r="T69" i="13" a="1"/>
  <c r="T69" i="13" s="1"/>
  <c r="T85" i="13" a="1"/>
  <c r="T85" i="13" s="1"/>
  <c r="T65" i="13" a="1"/>
  <c r="T65" i="13" s="1"/>
  <c r="T93" i="13" a="1"/>
  <c r="T93" i="13" s="1"/>
  <c r="T74" i="13" a="1"/>
  <c r="T74" i="13" s="1"/>
  <c r="T94" i="13" a="1"/>
  <c r="T94" i="13" s="1"/>
  <c r="T66" i="13" a="1"/>
  <c r="T66" i="13" s="1"/>
  <c r="T86" i="13" a="1"/>
  <c r="T86" i="13" s="1"/>
  <c r="T67" i="13" a="1"/>
  <c r="T67" i="13" s="1"/>
  <c r="T103" i="13" a="1"/>
  <c r="T103" i="13" s="1"/>
  <c r="T95" i="13" a="1"/>
  <c r="T95" i="13" s="1"/>
  <c r="T75" i="13" a="1"/>
  <c r="T75" i="13" s="1"/>
  <c r="T96" i="13" a="1"/>
  <c r="T96" i="13" s="1"/>
  <c r="T64" i="13" a="1"/>
  <c r="T64" i="13" s="1"/>
  <c r="DO6" i="9"/>
  <c r="DO9" i="9" s="1"/>
  <c r="DP5" i="9"/>
  <c r="DA6" i="9"/>
  <c r="DA9" i="9" s="1"/>
  <c r="DB5" i="9"/>
  <c r="CN5" i="9"/>
  <c r="CM6" i="9"/>
  <c r="CM9" i="9" s="1"/>
  <c r="AM6" i="17"/>
  <c r="AN5" i="17"/>
  <c r="AN104" i="17" a="1"/>
  <c r="AN104" i="17" s="1"/>
  <c r="AM66" i="17" a="1"/>
  <c r="AM66" i="17" s="1"/>
  <c r="AM73" i="17" a="1"/>
  <c r="AM73" i="17" s="1"/>
  <c r="AM95" i="17" a="1"/>
  <c r="AM95" i="17" s="1"/>
  <c r="AM96" i="17" a="1"/>
  <c r="AM96" i="17" s="1"/>
  <c r="U6" i="17"/>
  <c r="V5" i="17"/>
  <c r="U68" i="17" a="1"/>
  <c r="U68" i="17" s="1"/>
  <c r="U102" i="17" a="1"/>
  <c r="U102" i="17" s="1"/>
  <c r="U103" i="17" a="1"/>
  <c r="U103" i="17" s="1"/>
  <c r="AM86" i="17" a="1"/>
  <c r="AM86" i="17" s="1"/>
  <c r="AM64" i="17" a="1"/>
  <c r="AM64" i="17" s="1"/>
  <c r="AM93" i="17" a="1"/>
  <c r="AM93" i="17" s="1"/>
  <c r="AM69" i="17" a="1"/>
  <c r="AM69" i="17" s="1"/>
  <c r="AN69" i="17" s="1" a="1"/>
  <c r="AN69" i="17" s="1"/>
  <c r="AM65" i="17" a="1"/>
  <c r="AM65" i="17" s="1"/>
  <c r="AM85" i="17" a="1"/>
  <c r="AM85" i="17" s="1"/>
  <c r="AM88" i="17" a="1"/>
  <c r="AM88" i="17" s="1"/>
  <c r="AM65" i="16" a="1"/>
  <c r="AM65" i="16" s="1"/>
  <c r="V5" i="16"/>
  <c r="U6" i="16"/>
  <c r="AM85" i="16" a="1"/>
  <c r="AM85" i="16" s="1"/>
  <c r="AN5" i="16"/>
  <c r="AM6" i="16"/>
  <c r="AM69" i="16" a="1"/>
  <c r="AM69" i="16" s="1"/>
  <c r="AM86" i="16" a="1"/>
  <c r="AM86" i="16" s="1"/>
  <c r="AM64" i="16" a="1"/>
  <c r="AM64" i="16" s="1"/>
  <c r="AM95" i="16" a="1"/>
  <c r="AM95" i="16" s="1"/>
  <c r="AM76" i="16" a="1"/>
  <c r="AM76" i="16" s="1"/>
  <c r="AM88" i="16" a="1"/>
  <c r="AM88" i="16" s="1"/>
  <c r="AM67" i="16" a="1"/>
  <c r="AM67" i="16" s="1"/>
  <c r="AN67" i="16" s="1" a="1"/>
  <c r="AN67" i="16" s="1"/>
  <c r="AM75" i="16" a="1"/>
  <c r="AM75" i="16" s="1"/>
  <c r="AM6" i="15"/>
  <c r="AN5" i="15"/>
  <c r="AN67" i="15" a="1"/>
  <c r="AN67" i="15" s="1"/>
  <c r="AM68" i="15" a="1"/>
  <c r="AM68" i="15" s="1"/>
  <c r="AM74" i="15" a="1"/>
  <c r="AM74" i="15" s="1"/>
  <c r="AM69" i="15" a="1"/>
  <c r="AM69" i="15" s="1"/>
  <c r="AM75" i="15" a="1"/>
  <c r="AM75" i="15" s="1"/>
  <c r="AM102" i="15" a="1"/>
  <c r="AM102" i="15" s="1"/>
  <c r="AM64" i="15" a="1"/>
  <c r="AM64" i="15" s="1"/>
  <c r="AN64" i="15" s="1" a="1"/>
  <c r="AN64" i="15" s="1"/>
  <c r="AM88" i="15" a="1"/>
  <c r="AM88" i="15" s="1"/>
  <c r="AM76" i="15" a="1"/>
  <c r="AM76" i="15" s="1"/>
  <c r="U6" i="15"/>
  <c r="V5" i="15"/>
  <c r="U68" i="15" a="1"/>
  <c r="U68" i="15" s="1"/>
  <c r="U73" i="15" a="1"/>
  <c r="U73" i="15" s="1"/>
  <c r="AM104" i="15" a="1"/>
  <c r="AM104" i="15" s="1"/>
  <c r="AM86" i="15" a="1"/>
  <c r="AM86" i="15" s="1"/>
  <c r="U85" i="17" a="1"/>
  <c r="U85" i="17" s="1"/>
  <c r="U76" i="17" a="1"/>
  <c r="U76" i="17" s="1"/>
  <c r="U74" i="17" a="1"/>
  <c r="U74" i="17" s="1"/>
  <c r="U94" i="17" a="1"/>
  <c r="U94" i="17" s="1"/>
  <c r="U96" i="17" a="1"/>
  <c r="U96" i="17" s="1"/>
  <c r="U95" i="17" a="1"/>
  <c r="U95" i="17" s="1"/>
  <c r="U73" i="17" a="1"/>
  <c r="U73" i="17" s="1"/>
  <c r="U75" i="17" a="1"/>
  <c r="U75" i="17" s="1"/>
  <c r="U64" i="17" a="1"/>
  <c r="U64" i="17" s="1"/>
  <c r="U88" i="17" a="1"/>
  <c r="U88" i="17" s="1"/>
  <c r="U69" i="17" a="1"/>
  <c r="U69" i="17" s="1"/>
  <c r="U86" i="17" a="1"/>
  <c r="U86" i="17" s="1"/>
  <c r="U66" i="17" a="1"/>
  <c r="U66" i="17" s="1"/>
  <c r="U93" i="17" a="1"/>
  <c r="U93" i="17" s="1"/>
  <c r="U65" i="17" a="1"/>
  <c r="U65" i="17" s="1"/>
  <c r="U94" i="16" a="1"/>
  <c r="U94" i="16" s="1"/>
  <c r="U95" i="16" a="1"/>
  <c r="U95" i="16" s="1"/>
  <c r="U68" i="16" a="1"/>
  <c r="U68" i="16" s="1"/>
  <c r="U103" i="16" a="1"/>
  <c r="U103" i="16" s="1"/>
  <c r="U66" i="16" a="1"/>
  <c r="U66" i="16" s="1"/>
  <c r="U104" i="16" a="1"/>
  <c r="U104" i="16" s="1"/>
  <c r="U73" i="16" a="1"/>
  <c r="U73" i="16" s="1"/>
  <c r="U88" i="16" a="1"/>
  <c r="U88" i="16" s="1"/>
  <c r="U96" i="16" a="1"/>
  <c r="U96" i="16" s="1"/>
  <c r="U67" i="16" a="1"/>
  <c r="U67" i="16" s="1"/>
  <c r="U69" i="16" a="1"/>
  <c r="U69" i="16" s="1"/>
  <c r="U75" i="16" a="1"/>
  <c r="U75" i="16" s="1"/>
  <c r="U102" i="16" a="1"/>
  <c r="U102" i="16" s="1"/>
  <c r="U65" i="16" a="1"/>
  <c r="U65" i="16" s="1"/>
  <c r="U64" i="16" a="1"/>
  <c r="U64" i="16" s="1"/>
  <c r="U74" i="15" a="1"/>
  <c r="U74" i="15" s="1"/>
  <c r="U104" i="15" a="1"/>
  <c r="U104" i="15" s="1"/>
  <c r="V65" i="15" a="1"/>
  <c r="V65" i="15" s="1"/>
  <c r="V88" i="15" a="1"/>
  <c r="V88" i="15" s="1"/>
  <c r="V86" i="15" a="1"/>
  <c r="V86" i="15" s="1"/>
  <c r="U64" i="15" a="1"/>
  <c r="U64" i="15" s="1"/>
  <c r="U85" i="15" a="1"/>
  <c r="U85" i="15" s="1"/>
  <c r="U93" i="15" a="1"/>
  <c r="U93" i="15" s="1"/>
  <c r="U69" i="15" a="1"/>
  <c r="U69" i="15" s="1"/>
  <c r="V66" i="15" a="1"/>
  <c r="V66" i="15" s="1"/>
  <c r="U102" i="15" a="1"/>
  <c r="U102" i="15" s="1"/>
  <c r="U94" i="15" a="1"/>
  <c r="U94" i="15" s="1"/>
  <c r="V67" i="15" a="1"/>
  <c r="V67" i="15" s="1"/>
  <c r="AM5" i="13"/>
  <c r="AM6" i="13"/>
  <c r="T6" i="13"/>
  <c r="T8" i="9" s="1"/>
  <c r="U5" i="13"/>
  <c r="V74" i="16" l="1" a="1"/>
  <c r="V74" i="16" s="1"/>
  <c r="AN66" i="15" a="1"/>
  <c r="AN66" i="15" s="1"/>
  <c r="AN93" i="15" a="1"/>
  <c r="AN93" i="15" s="1"/>
  <c r="AN75" i="17" a="1"/>
  <c r="AN75" i="17" s="1"/>
  <c r="AN95" i="17" a="1"/>
  <c r="AN95" i="17" s="1"/>
  <c r="AN73" i="15" a="1"/>
  <c r="AN73" i="15" s="1"/>
  <c r="AN94" i="17" a="1"/>
  <c r="AN94" i="17" s="1"/>
  <c r="AN103" i="17" a="1"/>
  <c r="AN103" i="17" s="1"/>
  <c r="V85" i="16" a="1"/>
  <c r="V85" i="16" s="1"/>
  <c r="V93" i="16" a="1"/>
  <c r="V93" i="16" s="1"/>
  <c r="W93" i="16" s="1" a="1"/>
  <c r="W93" i="16" s="1"/>
  <c r="V86" i="16" a="1"/>
  <c r="V86" i="16" s="1"/>
  <c r="AN95" i="16" a="1"/>
  <c r="AN95" i="16" s="1"/>
  <c r="AN68" i="16" a="1"/>
  <c r="AN68" i="16" s="1"/>
  <c r="AN74" i="16" a="1"/>
  <c r="AN74" i="16" s="1"/>
  <c r="V76" i="16" a="1"/>
  <c r="V76" i="16" s="1"/>
  <c r="W76" i="16" s="1" a="1"/>
  <c r="W76" i="16" s="1"/>
  <c r="AN86" i="16" a="1"/>
  <c r="AN86" i="16" s="1"/>
  <c r="AO86" i="16" s="1" a="1"/>
  <c r="AO86" i="16" s="1"/>
  <c r="V84" i="16" a="1"/>
  <c r="V84" i="16" s="1"/>
  <c r="W66" i="24"/>
  <c r="W84" i="24"/>
  <c r="W68" i="24"/>
  <c r="W67" i="24"/>
  <c r="W86" i="24"/>
  <c r="W73" i="24"/>
  <c r="W85" i="24"/>
  <c r="W96" i="24"/>
  <c r="W103" i="24"/>
  <c r="W74" i="24"/>
  <c r="W95" i="24"/>
  <c r="W104" i="24"/>
  <c r="W102" i="24"/>
  <c r="W69" i="24"/>
  <c r="W88" i="24"/>
  <c r="W75" i="24"/>
  <c r="W76" i="24"/>
  <c r="W93" i="24"/>
  <c r="W94" i="24"/>
  <c r="W64" i="24"/>
  <c r="W65" i="24"/>
  <c r="S67" i="9"/>
  <c r="S85" i="9"/>
  <c r="S69" i="9"/>
  <c r="S65" i="9"/>
  <c r="S94" i="9"/>
  <c r="S75" i="9"/>
  <c r="S76" i="9"/>
  <c r="S86" i="9"/>
  <c r="S66" i="9"/>
  <c r="S93" i="9"/>
  <c r="S64" i="9"/>
  <c r="S88" i="9"/>
  <c r="S73" i="9"/>
  <c r="S96" i="9"/>
  <c r="S104" i="9"/>
  <c r="S84" i="9"/>
  <c r="S103" i="9"/>
  <c r="S74" i="9"/>
  <c r="S102" i="9"/>
  <c r="S68" i="9"/>
  <c r="S95" i="9"/>
  <c r="AN84" i="15" a="1"/>
  <c r="AN84" i="15" s="1"/>
  <c r="DR6" i="24"/>
  <c r="DR7" i="24" s="1"/>
  <c r="DQ7" i="24"/>
  <c r="AJ104" i="24"/>
  <c r="AJ85" i="24"/>
  <c r="AJ103" i="24"/>
  <c r="AJ96" i="24"/>
  <c r="AJ68" i="24"/>
  <c r="AJ67" i="24"/>
  <c r="AJ64" i="24"/>
  <c r="AJ65" i="24"/>
  <c r="AJ74" i="24"/>
  <c r="AJ75" i="24"/>
  <c r="AJ76" i="24"/>
  <c r="AJ88" i="24"/>
  <c r="AJ102" i="24"/>
  <c r="AJ94" i="24"/>
  <c r="AJ95" i="24"/>
  <c r="AJ84" i="24"/>
  <c r="AJ93" i="24"/>
  <c r="AJ86" i="24"/>
  <c r="AJ69" i="24"/>
  <c r="AJ66" i="24"/>
  <c r="AJ73" i="24"/>
  <c r="AN96" i="16" a="1"/>
  <c r="AN96" i="16" s="1"/>
  <c r="DP102" i="9"/>
  <c r="DP93" i="9"/>
  <c r="DP84" i="9"/>
  <c r="DP66" i="9"/>
  <c r="DP103" i="9"/>
  <c r="DP65" i="9"/>
  <c r="DP85" i="9"/>
  <c r="DP86" i="9"/>
  <c r="DP76" i="9"/>
  <c r="DP96" i="9"/>
  <c r="DP74" i="9"/>
  <c r="DP75" i="9"/>
  <c r="DP73" i="9"/>
  <c r="DP104" i="9"/>
  <c r="DP88" i="9"/>
  <c r="DP69" i="9"/>
  <c r="DP67" i="9"/>
  <c r="DP68" i="9"/>
  <c r="DP95" i="9"/>
  <c r="DP64" i="9"/>
  <c r="DP94" i="9"/>
  <c r="V103" i="15" a="1"/>
  <c r="V103" i="15" s="1"/>
  <c r="V104" i="17" a="1"/>
  <c r="V104" i="17" s="1"/>
  <c r="AN75" i="16" a="1"/>
  <c r="AN75" i="16" s="1"/>
  <c r="U76" i="13" a="1"/>
  <c r="U76" i="13" s="1"/>
  <c r="U84" i="13" a="1"/>
  <c r="U84" i="13" s="1"/>
  <c r="V84" i="13" s="1" a="1"/>
  <c r="V84" i="13" s="1"/>
  <c r="V84" i="17" a="1"/>
  <c r="V84" i="17" s="1"/>
  <c r="W84" i="17" s="1" a="1"/>
  <c r="W84" i="17" s="1"/>
  <c r="AX102" i="24"/>
  <c r="AX104" i="24"/>
  <c r="AX86" i="24"/>
  <c r="AX66" i="24"/>
  <c r="AX103" i="24"/>
  <c r="AX85" i="24"/>
  <c r="AX68" i="24"/>
  <c r="AX84" i="24"/>
  <c r="AX67" i="24"/>
  <c r="AX76" i="24"/>
  <c r="AX69" i="24"/>
  <c r="AX75" i="24"/>
  <c r="AX88" i="24"/>
  <c r="AX74" i="24"/>
  <c r="AX96" i="24"/>
  <c r="AX93" i="24"/>
  <c r="AX64" i="24"/>
  <c r="AX73" i="24"/>
  <c r="AX95" i="24"/>
  <c r="AX65" i="24"/>
  <c r="AX94" i="24"/>
  <c r="V76" i="15" a="1"/>
  <c r="V76" i="15" s="1"/>
  <c r="W76" i="15" s="1" a="1"/>
  <c r="W76" i="15" s="1"/>
  <c r="AN88" i="16" a="1"/>
  <c r="AN88" i="16" s="1"/>
  <c r="BZ103" i="24"/>
  <c r="BZ94" i="24"/>
  <c r="BZ84" i="24"/>
  <c r="BZ64" i="24"/>
  <c r="BZ95" i="24"/>
  <c r="BZ76" i="24"/>
  <c r="BZ68" i="24"/>
  <c r="BZ86" i="24"/>
  <c r="BZ67" i="24"/>
  <c r="BZ96" i="24"/>
  <c r="BZ74" i="24"/>
  <c r="BZ75" i="24"/>
  <c r="BZ65" i="24"/>
  <c r="BZ102" i="24"/>
  <c r="BZ85" i="24"/>
  <c r="BZ66" i="24"/>
  <c r="BZ104" i="24"/>
  <c r="BZ73" i="24"/>
  <c r="BZ93" i="24"/>
  <c r="BZ88" i="24"/>
  <c r="BZ69" i="24"/>
  <c r="AZ6" i="24"/>
  <c r="AZ7" i="24" s="1"/>
  <c r="AY7" i="24"/>
  <c r="BL65" i="24"/>
  <c r="BL94" i="24"/>
  <c r="BL84" i="24"/>
  <c r="BL66" i="24"/>
  <c r="BL103" i="24"/>
  <c r="BL95" i="24"/>
  <c r="BL68" i="24"/>
  <c r="BL75" i="24"/>
  <c r="BL67" i="24"/>
  <c r="BL104" i="24"/>
  <c r="BL64" i="24"/>
  <c r="BL69" i="24"/>
  <c r="BL96" i="24"/>
  <c r="BL102" i="24"/>
  <c r="BL85" i="24"/>
  <c r="BL73" i="24"/>
  <c r="BL93" i="24"/>
  <c r="BL86" i="24"/>
  <c r="BL74" i="24"/>
  <c r="BL76" i="24"/>
  <c r="BL88" i="24"/>
  <c r="AN104" i="15" a="1"/>
  <c r="AN104" i="15" s="1"/>
  <c r="AN76" i="15" a="1"/>
  <c r="AN76" i="15" s="1"/>
  <c r="AN95" i="15" a="1"/>
  <c r="AN95" i="15" s="1"/>
  <c r="AN88" i="15" a="1"/>
  <c r="AN88" i="15" s="1"/>
  <c r="AN74" i="15" a="1"/>
  <c r="AN74" i="15" s="1"/>
  <c r="AN85" i="16" a="1"/>
  <c r="AN85" i="16" s="1"/>
  <c r="CN95" i="24"/>
  <c r="CN74" i="24"/>
  <c r="CN86" i="24"/>
  <c r="CN67" i="24"/>
  <c r="CN104" i="24"/>
  <c r="CN85" i="24"/>
  <c r="CN66" i="24"/>
  <c r="CN94" i="24"/>
  <c r="CN64" i="24"/>
  <c r="CN102" i="24"/>
  <c r="CN75" i="24"/>
  <c r="CN68" i="24"/>
  <c r="CN84" i="24"/>
  <c r="CN96" i="24"/>
  <c r="CN65" i="24"/>
  <c r="CN103" i="24"/>
  <c r="CN76" i="24"/>
  <c r="CN73" i="24"/>
  <c r="CN93" i="24"/>
  <c r="CN69" i="24"/>
  <c r="CN88" i="24"/>
  <c r="AM84" i="13" a="1"/>
  <c r="AM84" i="13" s="1"/>
  <c r="CN75" i="9"/>
  <c r="CN73" i="9"/>
  <c r="CN102" i="9"/>
  <c r="CN93" i="9"/>
  <c r="CN84" i="9"/>
  <c r="CN64" i="9"/>
  <c r="CN85" i="9"/>
  <c r="CN74" i="9"/>
  <c r="CN86" i="9"/>
  <c r="CN66" i="9"/>
  <c r="CN67" i="9"/>
  <c r="CN104" i="9"/>
  <c r="CN65" i="9"/>
  <c r="CN68" i="9"/>
  <c r="CN94" i="9"/>
  <c r="CN69" i="9"/>
  <c r="CN88" i="9"/>
  <c r="CN103" i="9"/>
  <c r="CN96" i="9"/>
  <c r="CN95" i="9"/>
  <c r="CN76" i="9"/>
  <c r="V84" i="15" a="1"/>
  <c r="V84" i="15" s="1"/>
  <c r="W84" i="15" s="1" a="1"/>
  <c r="W84" i="15" s="1"/>
  <c r="DB103" i="24"/>
  <c r="DB84" i="24"/>
  <c r="DB67" i="24"/>
  <c r="DB95" i="24"/>
  <c r="DB74" i="24"/>
  <c r="DB64" i="24"/>
  <c r="DB94" i="24"/>
  <c r="DB73" i="24"/>
  <c r="DB102" i="24"/>
  <c r="DB76" i="24"/>
  <c r="DB68" i="24"/>
  <c r="DB66" i="24"/>
  <c r="DB96" i="24"/>
  <c r="DB86" i="24"/>
  <c r="DB85" i="24"/>
  <c r="DB75" i="24"/>
  <c r="DB65" i="24"/>
  <c r="DB104" i="24"/>
  <c r="DB93" i="24"/>
  <c r="DB69" i="24"/>
  <c r="DB88" i="24"/>
  <c r="AN84" i="16" a="1"/>
  <c r="AN84" i="16" s="1"/>
  <c r="AN64" i="16" a="1"/>
  <c r="AN64" i="16" s="1"/>
  <c r="AN104" i="16" a="1"/>
  <c r="AN104" i="16" s="1"/>
  <c r="DB74" i="9"/>
  <c r="DB103" i="9"/>
  <c r="DB95" i="9"/>
  <c r="DB104" i="9"/>
  <c r="DB67" i="9"/>
  <c r="DB66" i="9"/>
  <c r="DB64" i="9"/>
  <c r="DB102" i="9"/>
  <c r="DB94" i="9"/>
  <c r="DB84" i="9"/>
  <c r="DB76" i="9"/>
  <c r="DB86" i="9"/>
  <c r="DB68" i="9"/>
  <c r="DB88" i="9"/>
  <c r="DB73" i="9"/>
  <c r="DB85" i="9"/>
  <c r="DB69" i="9"/>
  <c r="DB93" i="9"/>
  <c r="DB75" i="9"/>
  <c r="DB65" i="9"/>
  <c r="DB96" i="9"/>
  <c r="DP102" i="24"/>
  <c r="DP84" i="24"/>
  <c r="DP68" i="24"/>
  <c r="DP65" i="24"/>
  <c r="DP96" i="24"/>
  <c r="DP66" i="24"/>
  <c r="DP75" i="24"/>
  <c r="DP67" i="24"/>
  <c r="DP85" i="24"/>
  <c r="DP95" i="24"/>
  <c r="DP94" i="24"/>
  <c r="DP86" i="24"/>
  <c r="DP76" i="24"/>
  <c r="DP64" i="24"/>
  <c r="DP103" i="24"/>
  <c r="DP74" i="24"/>
  <c r="DP104" i="24"/>
  <c r="DP93" i="24"/>
  <c r="DP88" i="24"/>
  <c r="DP73" i="24"/>
  <c r="DP69" i="24"/>
  <c r="AN84" i="17" a="1"/>
  <c r="AN84" i="17" s="1"/>
  <c r="DP96" i="25"/>
  <c r="DP88" i="25"/>
  <c r="DP76" i="25"/>
  <c r="DP69" i="25"/>
  <c r="DP65" i="25"/>
  <c r="DP102" i="25"/>
  <c r="DP93" i="25"/>
  <c r="DP84" i="25"/>
  <c r="DP73" i="25"/>
  <c r="DP103" i="25"/>
  <c r="DP94" i="25"/>
  <c r="DP85" i="25"/>
  <c r="DP74" i="25"/>
  <c r="DP67" i="25"/>
  <c r="DP66" i="25"/>
  <c r="DP104" i="25"/>
  <c r="DP95" i="25"/>
  <c r="DP86" i="25"/>
  <c r="DP75" i="25"/>
  <c r="DP68" i="25"/>
  <c r="DP64" i="25"/>
  <c r="DQ5" i="25"/>
  <c r="DB86" i="25"/>
  <c r="DB75" i="25"/>
  <c r="DC5" i="25"/>
  <c r="DB96" i="25"/>
  <c r="DB88" i="25"/>
  <c r="DB76" i="25"/>
  <c r="DB69" i="25"/>
  <c r="DB65" i="25"/>
  <c r="DB64" i="25"/>
  <c r="DB104" i="25"/>
  <c r="DB68" i="25"/>
  <c r="DB103" i="25"/>
  <c r="DB94" i="25"/>
  <c r="DB85" i="25"/>
  <c r="DB74" i="25"/>
  <c r="DB67" i="25"/>
  <c r="DB102" i="25"/>
  <c r="DB93" i="25"/>
  <c r="DB84" i="25"/>
  <c r="DB73" i="25"/>
  <c r="DB66" i="25"/>
  <c r="DB95" i="25"/>
  <c r="CN84" i="25"/>
  <c r="CN96" i="25"/>
  <c r="CN88" i="25"/>
  <c r="CN76" i="25"/>
  <c r="CN69" i="25"/>
  <c r="CN65" i="25"/>
  <c r="CN73" i="25"/>
  <c r="CN66" i="25"/>
  <c r="CN94" i="25"/>
  <c r="CN104" i="25"/>
  <c r="CN95" i="25"/>
  <c r="CN86" i="25"/>
  <c r="CN75" i="25"/>
  <c r="CN68" i="25"/>
  <c r="CN64" i="25"/>
  <c r="CO5" i="25"/>
  <c r="CN102" i="25"/>
  <c r="CN103" i="25"/>
  <c r="CN85" i="25"/>
  <c r="CN74" i="25"/>
  <c r="CN67" i="25"/>
  <c r="CN93" i="25"/>
  <c r="BZ103" i="25"/>
  <c r="BZ74" i="25"/>
  <c r="BZ67" i="25"/>
  <c r="BZ96" i="25"/>
  <c r="BZ88" i="25"/>
  <c r="BZ76" i="25"/>
  <c r="BZ69" i="25"/>
  <c r="BZ65" i="25"/>
  <c r="BZ73" i="25"/>
  <c r="BZ94" i="25"/>
  <c r="BZ85" i="25"/>
  <c r="BZ84" i="25"/>
  <c r="BZ104" i="25"/>
  <c r="BZ95" i="25"/>
  <c r="BZ86" i="25"/>
  <c r="BZ75" i="25"/>
  <c r="BZ68" i="25"/>
  <c r="BZ64" i="25"/>
  <c r="CA5" i="25"/>
  <c r="BZ102" i="25"/>
  <c r="BZ93" i="25"/>
  <c r="BZ66" i="25"/>
  <c r="BL96" i="25"/>
  <c r="BL88" i="25"/>
  <c r="BL76" i="25"/>
  <c r="BL69" i="25"/>
  <c r="BL65" i="25"/>
  <c r="BL93" i="25"/>
  <c r="BL73" i="25"/>
  <c r="BL66" i="25"/>
  <c r="BL104" i="25"/>
  <c r="BL95" i="25"/>
  <c r="BL86" i="25"/>
  <c r="BL75" i="25"/>
  <c r="BL68" i="25"/>
  <c r="BL64" i="25"/>
  <c r="BM5" i="25"/>
  <c r="BL84" i="25"/>
  <c r="BL103" i="25"/>
  <c r="BL94" i="25"/>
  <c r="BL85" i="25"/>
  <c r="BL74" i="25"/>
  <c r="BL67" i="25"/>
  <c r="BL102" i="25"/>
  <c r="AX96" i="25"/>
  <c r="AX88" i="25"/>
  <c r="AX76" i="25"/>
  <c r="AX69" i="25"/>
  <c r="AX65" i="25"/>
  <c r="AX66" i="25"/>
  <c r="AX104" i="25"/>
  <c r="AX95" i="25"/>
  <c r="AX86" i="25"/>
  <c r="AX75" i="25"/>
  <c r="AX68" i="25"/>
  <c r="AX64" i="25"/>
  <c r="AY5" i="25"/>
  <c r="AX93" i="25"/>
  <c r="AX84" i="25"/>
  <c r="AX73" i="25"/>
  <c r="AX102" i="25"/>
  <c r="AX103" i="25"/>
  <c r="AX94" i="25"/>
  <c r="AX85" i="25"/>
  <c r="AX74" i="25"/>
  <c r="AX67" i="25"/>
  <c r="AJ93" i="25"/>
  <c r="AJ73" i="25"/>
  <c r="AJ96" i="25"/>
  <c r="AJ88" i="25"/>
  <c r="AJ76" i="25"/>
  <c r="AJ69" i="25"/>
  <c r="AJ65" i="25"/>
  <c r="AJ104" i="25"/>
  <c r="AJ95" i="25"/>
  <c r="AJ86" i="25"/>
  <c r="AJ75" i="25"/>
  <c r="AJ68" i="25"/>
  <c r="AJ64" i="25"/>
  <c r="AK5" i="25"/>
  <c r="AJ66" i="25"/>
  <c r="AJ103" i="25"/>
  <c r="AJ94" i="25"/>
  <c r="AJ85" i="25"/>
  <c r="AJ74" i="25"/>
  <c r="AJ67" i="25"/>
  <c r="AJ102" i="25"/>
  <c r="AJ84" i="25"/>
  <c r="G67" i="25"/>
  <c r="G94" i="25"/>
  <c r="G76" i="25"/>
  <c r="G95" i="25"/>
  <c r="G66" i="25"/>
  <c r="G68" i="25"/>
  <c r="G96" i="25"/>
  <c r="G65" i="25"/>
  <c r="G86" i="25"/>
  <c r="G102" i="25"/>
  <c r="G64" i="25"/>
  <c r="G84" i="25"/>
  <c r="G73" i="25"/>
  <c r="G69" i="25"/>
  <c r="G103" i="25"/>
  <c r="V104" i="25"/>
  <c r="V103" i="25"/>
  <c r="V102" i="25"/>
  <c r="V96" i="25"/>
  <c r="V95" i="25"/>
  <c r="V93" i="25"/>
  <c r="V75" i="25"/>
  <c r="V94" i="25"/>
  <c r="V86" i="25"/>
  <c r="V68" i="25"/>
  <c r="V67" i="25"/>
  <c r="V84" i="25"/>
  <c r="V88" i="25"/>
  <c r="V85" i="25"/>
  <c r="V69" i="25"/>
  <c r="V65" i="25"/>
  <c r="V74" i="25"/>
  <c r="V73" i="25"/>
  <c r="V76" i="25"/>
  <c r="V66" i="25"/>
  <c r="V64" i="25"/>
  <c r="G75" i="25"/>
  <c r="G85" i="25"/>
  <c r="G104" i="25"/>
  <c r="G74" i="25"/>
  <c r="G93" i="25"/>
  <c r="G88" i="25"/>
  <c r="X6" i="24"/>
  <c r="X7" i="24" s="1"/>
  <c r="W7" i="24"/>
  <c r="DQ5" i="24"/>
  <c r="DC5" i="24"/>
  <c r="CO5" i="24"/>
  <c r="CA5" i="24"/>
  <c r="BM5" i="24"/>
  <c r="AY5" i="24"/>
  <c r="G86" i="24"/>
  <c r="AK5" i="24"/>
  <c r="G76" i="24"/>
  <c r="G65" i="24"/>
  <c r="G75" i="24"/>
  <c r="G95" i="24"/>
  <c r="G104" i="24"/>
  <c r="G69" i="24"/>
  <c r="G64" i="24"/>
  <c r="G67" i="24"/>
  <c r="G94" i="24"/>
  <c r="G74" i="24"/>
  <c r="G84" i="24"/>
  <c r="G73" i="24"/>
  <c r="G93" i="24"/>
  <c r="U64" i="13" a="1"/>
  <c r="U64" i="13" s="1"/>
  <c r="G88" i="24"/>
  <c r="G103" i="24"/>
  <c r="G68" i="24"/>
  <c r="G102" i="24"/>
  <c r="G66" i="24"/>
  <c r="G96" i="24"/>
  <c r="G85" i="24"/>
  <c r="W84" i="16" a="1"/>
  <c r="W84" i="16" s="1"/>
  <c r="AN69" i="15" a="1"/>
  <c r="AN69" i="15" s="1"/>
  <c r="AM68" i="13" a="1"/>
  <c r="AM68" i="13" s="1"/>
  <c r="AN86" i="15" a="1"/>
  <c r="AN86" i="15" s="1"/>
  <c r="AN103" i="16" a="1"/>
  <c r="AN103" i="16" s="1"/>
  <c r="AN66" i="16" a="1"/>
  <c r="AN66" i="16" s="1"/>
  <c r="U104" i="13" a="1"/>
  <c r="U104" i="13" s="1"/>
  <c r="U96" i="13" a="1"/>
  <c r="U96" i="13" s="1"/>
  <c r="U88" i="13" a="1"/>
  <c r="U88" i="13" s="1"/>
  <c r="AM65" i="13" a="1"/>
  <c r="AM65" i="13" s="1"/>
  <c r="AM85" i="13" a="1"/>
  <c r="AM85" i="13" s="1"/>
  <c r="AM75" i="13" a="1"/>
  <c r="AM75" i="13" s="1"/>
  <c r="AM102" i="13" a="1"/>
  <c r="AM102" i="13" s="1"/>
  <c r="AM73" i="13" a="1"/>
  <c r="AM73" i="13" s="1"/>
  <c r="AM64" i="13" a="1"/>
  <c r="AM64" i="13" s="1"/>
  <c r="S6" i="9"/>
  <c r="S9" i="9" s="1"/>
  <c r="AM66" i="13" a="1"/>
  <c r="AM66" i="13" s="1"/>
  <c r="AM88" i="13" a="1"/>
  <c r="AM88" i="13" s="1"/>
  <c r="AM96" i="13" a="1"/>
  <c r="AM96" i="13" s="1"/>
  <c r="AM95" i="13" a="1"/>
  <c r="AM95" i="13" s="1"/>
  <c r="AM67" i="13" a="1"/>
  <c r="AM67" i="13" s="1"/>
  <c r="AM76" i="13" a="1"/>
  <c r="AM76" i="13" s="1"/>
  <c r="AM74" i="13" a="1"/>
  <c r="AM74" i="13" s="1"/>
  <c r="AM104" i="13" a="1"/>
  <c r="AM104" i="13" s="1"/>
  <c r="T5" i="9"/>
  <c r="AM103" i="13" a="1"/>
  <c r="AM103" i="13" s="1"/>
  <c r="AM94" i="13" a="1"/>
  <c r="AM94" i="13" s="1"/>
  <c r="AM69" i="13" a="1"/>
  <c r="AM69" i="13" s="1"/>
  <c r="AM93" i="13" a="1"/>
  <c r="AM93" i="13" s="1"/>
  <c r="AM86" i="13" a="1"/>
  <c r="AM86" i="13" s="1"/>
  <c r="U68" i="13" a="1"/>
  <c r="U68" i="13" s="1"/>
  <c r="U65" i="13" a="1"/>
  <c r="U65" i="13" s="1"/>
  <c r="U85" i="13" a="1"/>
  <c r="U85" i="13" s="1"/>
  <c r="U73" i="13" a="1"/>
  <c r="U73" i="13" s="1"/>
  <c r="U69" i="13" a="1"/>
  <c r="U69" i="13" s="1"/>
  <c r="U94" i="13" a="1"/>
  <c r="U94" i="13" s="1"/>
  <c r="U93" i="13" a="1"/>
  <c r="U93" i="13" s="1"/>
  <c r="U74" i="13" a="1"/>
  <c r="U74" i="13" s="1"/>
  <c r="U66" i="13" a="1"/>
  <c r="U66" i="13" s="1"/>
  <c r="U103" i="13" a="1"/>
  <c r="U103" i="13" s="1"/>
  <c r="U86" i="13" a="1"/>
  <c r="U86" i="13" s="1"/>
  <c r="U95" i="13" a="1"/>
  <c r="U95" i="13" s="1"/>
  <c r="U67" i="13" a="1"/>
  <c r="U67" i="13" s="1"/>
  <c r="U75" i="13" a="1"/>
  <c r="U75" i="13" s="1"/>
  <c r="U102" i="13" a="1"/>
  <c r="U102" i="13" s="1"/>
  <c r="DQ5" i="9"/>
  <c r="DP6" i="9"/>
  <c r="DP9" i="9" s="1"/>
  <c r="DC5" i="9"/>
  <c r="DB6" i="9"/>
  <c r="DB9" i="9" s="1"/>
  <c r="CO5" i="9"/>
  <c r="CN6" i="9"/>
  <c r="CN9" i="9" s="1"/>
  <c r="AN66" i="17" a="1"/>
  <c r="AN66" i="17" s="1"/>
  <c r="AN85" i="17" a="1"/>
  <c r="AN85" i="17" s="1"/>
  <c r="AN68" i="17" a="1"/>
  <c r="AN68" i="17" s="1"/>
  <c r="V6" i="17"/>
  <c r="W5" i="17"/>
  <c r="W67" i="17" a="1"/>
  <c r="W67" i="17" s="1"/>
  <c r="V103" i="17" a="1"/>
  <c r="V103" i="17" s="1"/>
  <c r="V68" i="17" a="1"/>
  <c r="V68" i="17" s="1"/>
  <c r="V102" i="17" a="1"/>
  <c r="V102" i="17" s="1"/>
  <c r="AN93" i="17" a="1"/>
  <c r="AN93" i="17" s="1"/>
  <c r="AN65" i="17" a="1"/>
  <c r="AN65" i="17" s="1"/>
  <c r="AN67" i="17" a="1"/>
  <c r="AN67" i="17" s="1"/>
  <c r="AN73" i="17" a="1"/>
  <c r="AN73" i="17" s="1"/>
  <c r="AN88" i="17" a="1"/>
  <c r="AN88" i="17" s="1"/>
  <c r="AN6" i="17"/>
  <c r="AO5" i="17"/>
  <c r="AO95" i="17" a="1"/>
  <c r="AO95" i="17" s="1"/>
  <c r="AN64" i="17" a="1"/>
  <c r="AN64" i="17" s="1"/>
  <c r="AN102" i="17" a="1"/>
  <c r="AN102" i="17" s="1"/>
  <c r="AN76" i="17" a="1"/>
  <c r="AN76" i="17" s="1"/>
  <c r="AN86" i="17" a="1"/>
  <c r="AN86" i="17" s="1"/>
  <c r="AN96" i="17" a="1"/>
  <c r="AN96" i="17" s="1"/>
  <c r="AN74" i="17" a="1"/>
  <c r="AN74" i="17" s="1"/>
  <c r="AN69" i="16" a="1"/>
  <c r="AN69" i="16" s="1"/>
  <c r="AN93" i="16" a="1"/>
  <c r="AN93" i="16" s="1"/>
  <c r="V6" i="16"/>
  <c r="W5" i="16"/>
  <c r="AN6" i="16"/>
  <c r="AO5" i="16"/>
  <c r="AN94" i="16" a="1"/>
  <c r="AN94" i="16" s="1"/>
  <c r="AO94" i="16" s="1" a="1"/>
  <c r="AO94" i="16" s="1"/>
  <c r="AN65" i="16" a="1"/>
  <c r="AN65" i="16" s="1"/>
  <c r="AN76" i="16" a="1"/>
  <c r="AN76" i="16" s="1"/>
  <c r="AN102" i="16" a="1"/>
  <c r="AN102" i="16" s="1"/>
  <c r="AN73" i="16" a="1"/>
  <c r="AN73" i="16" s="1"/>
  <c r="V6" i="15"/>
  <c r="W5" i="15"/>
  <c r="V73" i="15" a="1"/>
  <c r="V73" i="15" s="1"/>
  <c r="V68" i="15" a="1"/>
  <c r="V68" i="15" s="1"/>
  <c r="AN75" i="15" a="1"/>
  <c r="AN75" i="15" s="1"/>
  <c r="AN68" i="15" a="1"/>
  <c r="AN68" i="15" s="1"/>
  <c r="AN6" i="15"/>
  <c r="AO5" i="15"/>
  <c r="AN94" i="15" a="1"/>
  <c r="AN94" i="15" s="1"/>
  <c r="AN103" i="15" a="1"/>
  <c r="AN103" i="15" s="1"/>
  <c r="AN85" i="15" a="1"/>
  <c r="AN85" i="15" s="1"/>
  <c r="AN102" i="15" a="1"/>
  <c r="AN102" i="15" s="1"/>
  <c r="AN65" i="15" a="1"/>
  <c r="AN65" i="15" s="1"/>
  <c r="AN96" i="15" a="1"/>
  <c r="AN96" i="15" s="1"/>
  <c r="V66" i="17" a="1"/>
  <c r="V66" i="17" s="1"/>
  <c r="V73" i="17" a="1"/>
  <c r="V73" i="17" s="1"/>
  <c r="V96" i="17" a="1"/>
  <c r="V96" i="17" s="1"/>
  <c r="V74" i="17" a="1"/>
  <c r="V74" i="17" s="1"/>
  <c r="V65" i="17" a="1"/>
  <c r="V65" i="17" s="1"/>
  <c r="V86" i="17" a="1"/>
  <c r="V86" i="17" s="1"/>
  <c r="V64" i="17" a="1"/>
  <c r="V64" i="17" s="1"/>
  <c r="W104" i="17" a="1"/>
  <c r="W104" i="17" s="1"/>
  <c r="V93" i="17" a="1"/>
  <c r="V93" i="17" s="1"/>
  <c r="V69" i="17" a="1"/>
  <c r="V69" i="17" s="1"/>
  <c r="V76" i="17" a="1"/>
  <c r="V76" i="17" s="1"/>
  <c r="V88" i="17" a="1"/>
  <c r="V88" i="17" s="1"/>
  <c r="V75" i="17" a="1"/>
  <c r="V75" i="17" s="1"/>
  <c r="V94" i="17" a="1"/>
  <c r="V94" i="17" s="1"/>
  <c r="V85" i="17" a="1"/>
  <c r="V85" i="17" s="1"/>
  <c r="V95" i="17" a="1"/>
  <c r="V95" i="17" s="1"/>
  <c r="V104" i="16" a="1"/>
  <c r="V104" i="16" s="1"/>
  <c r="W74" i="16" a="1"/>
  <c r="W74" i="16" s="1"/>
  <c r="V103" i="16" a="1"/>
  <c r="V103" i="16" s="1"/>
  <c r="V69" i="16" a="1"/>
  <c r="V69" i="16" s="1"/>
  <c r="V88" i="16" a="1"/>
  <c r="V88" i="16" s="1"/>
  <c r="V68" i="16" a="1"/>
  <c r="V68" i="16" s="1"/>
  <c r="V64" i="16" a="1"/>
  <c r="V64" i="16" s="1"/>
  <c r="V67" i="16" a="1"/>
  <c r="V67" i="16" s="1"/>
  <c r="V95" i="16" a="1"/>
  <c r="V95" i="16" s="1"/>
  <c r="V65" i="16" a="1"/>
  <c r="V65" i="16" s="1"/>
  <c r="V75" i="16" a="1"/>
  <c r="V75" i="16" s="1"/>
  <c r="V73" i="16" a="1"/>
  <c r="V73" i="16" s="1"/>
  <c r="V102" i="16" a="1"/>
  <c r="V102" i="16" s="1"/>
  <c r="W85" i="16" a="1"/>
  <c r="W85" i="16" s="1"/>
  <c r="V96" i="16" a="1"/>
  <c r="V96" i="16" s="1"/>
  <c r="V66" i="16" a="1"/>
  <c r="V66" i="16" s="1"/>
  <c r="V94" i="16" a="1"/>
  <c r="V94" i="16" s="1"/>
  <c r="W86" i="15" a="1"/>
  <c r="W86" i="15" s="1"/>
  <c r="W96" i="15" a="1"/>
  <c r="W96" i="15" s="1"/>
  <c r="V102" i="15" a="1"/>
  <c r="V102" i="15" s="1"/>
  <c r="V93" i="15" a="1"/>
  <c r="V93" i="15" s="1"/>
  <c r="W67" i="15" a="1"/>
  <c r="W67" i="15" s="1"/>
  <c r="W66" i="15" a="1"/>
  <c r="W66" i="15" s="1"/>
  <c r="V85" i="15" a="1"/>
  <c r="V85" i="15" s="1"/>
  <c r="V104" i="15" a="1"/>
  <c r="V104" i="15" s="1"/>
  <c r="V94" i="15" a="1"/>
  <c r="V94" i="15" s="1"/>
  <c r="W65" i="15" a="1"/>
  <c r="W65" i="15" s="1"/>
  <c r="V69" i="15" a="1"/>
  <c r="V69" i="15" s="1"/>
  <c r="V64" i="15" a="1"/>
  <c r="V64" i="15" s="1"/>
  <c r="V74" i="15" a="1"/>
  <c r="V74" i="15" s="1"/>
  <c r="AN6" i="13"/>
  <c r="AN5" i="13"/>
  <c r="U6" i="13"/>
  <c r="U8" i="9" s="1"/>
  <c r="V5" i="13"/>
  <c r="AO74" i="17" l="1" a="1"/>
  <c r="AO74" i="17" s="1"/>
  <c r="W86" i="16" a="1"/>
  <c r="W86" i="16" s="1"/>
  <c r="AO104" i="16" a="1"/>
  <c r="AO104" i="16" s="1"/>
  <c r="AO67" i="16" a="1"/>
  <c r="AO67" i="16" s="1"/>
  <c r="AN84" i="13" a="1"/>
  <c r="AN84" i="13" s="1"/>
  <c r="AO64" i="16" a="1"/>
  <c r="AO64" i="16" s="1"/>
  <c r="AO75" i="16" a="1"/>
  <c r="AO75" i="16" s="1"/>
  <c r="AO66" i="16" a="1"/>
  <c r="AO66" i="16" s="1"/>
  <c r="T103" i="9"/>
  <c r="T75" i="9"/>
  <c r="T64" i="9"/>
  <c r="T95" i="9"/>
  <c r="T67" i="9"/>
  <c r="T85" i="9"/>
  <c r="T84" i="9"/>
  <c r="T102" i="9"/>
  <c r="T68" i="9"/>
  <c r="T65" i="9"/>
  <c r="T69" i="9"/>
  <c r="T76" i="9"/>
  <c r="T94" i="9"/>
  <c r="T74" i="9"/>
  <c r="T88" i="9"/>
  <c r="T86" i="9"/>
  <c r="T96" i="9"/>
  <c r="T73" i="9"/>
  <c r="T66" i="9"/>
  <c r="T104" i="9"/>
  <c r="T93" i="9"/>
  <c r="AY65" i="24"/>
  <c r="AY103" i="24"/>
  <c r="AY102" i="24"/>
  <c r="AY85" i="24"/>
  <c r="AY84" i="24"/>
  <c r="AY68" i="24"/>
  <c r="AY96" i="24"/>
  <c r="AY66" i="24"/>
  <c r="AY86" i="24"/>
  <c r="AY67" i="24"/>
  <c r="AY104" i="24"/>
  <c r="AY73" i="24"/>
  <c r="AY95" i="24"/>
  <c r="AY76" i="24"/>
  <c r="AY94" i="24"/>
  <c r="AY75" i="24"/>
  <c r="AY88" i="24"/>
  <c r="AY93" i="24"/>
  <c r="AY69" i="24"/>
  <c r="AY74" i="24"/>
  <c r="AY64" i="24"/>
  <c r="AO65" i="16" a="1"/>
  <c r="AO65" i="16" s="1"/>
  <c r="AO95" i="16" a="1"/>
  <c r="AO95" i="16" s="1"/>
  <c r="BM96" i="24"/>
  <c r="BM104" i="24"/>
  <c r="BM85" i="24"/>
  <c r="BM102" i="24"/>
  <c r="BM95" i="24"/>
  <c r="BM66" i="24"/>
  <c r="BM103" i="24"/>
  <c r="BM84" i="24"/>
  <c r="BM68" i="24"/>
  <c r="BM67" i="24"/>
  <c r="BM74" i="24"/>
  <c r="BM64" i="24"/>
  <c r="BM65" i="24"/>
  <c r="BM88" i="24"/>
  <c r="BM73" i="24"/>
  <c r="BM75" i="24"/>
  <c r="BM76" i="24"/>
  <c r="BM93" i="24"/>
  <c r="BM69" i="24"/>
  <c r="BM94" i="24"/>
  <c r="BM86" i="24"/>
  <c r="AN64" i="13" a="1"/>
  <c r="AN64" i="13" s="1"/>
  <c r="CA102" i="24"/>
  <c r="CA93" i="24"/>
  <c r="CA76" i="24"/>
  <c r="CA104" i="24"/>
  <c r="CA94" i="24"/>
  <c r="CA96" i="24"/>
  <c r="CA86" i="24"/>
  <c r="CA85" i="24"/>
  <c r="CA84" i="24"/>
  <c r="CA75" i="24"/>
  <c r="CA67" i="24"/>
  <c r="CA103" i="24"/>
  <c r="CA74" i="24"/>
  <c r="CA64" i="24"/>
  <c r="CA68" i="24"/>
  <c r="CA65" i="24"/>
  <c r="CA66" i="24"/>
  <c r="CA95" i="24"/>
  <c r="CA73" i="24"/>
  <c r="CA69" i="24"/>
  <c r="CA88" i="24"/>
  <c r="CO94" i="9"/>
  <c r="CO73" i="9"/>
  <c r="CO102" i="9"/>
  <c r="CO66" i="9"/>
  <c r="CO84" i="9"/>
  <c r="CO103" i="9"/>
  <c r="CO74" i="9"/>
  <c r="CO104" i="9"/>
  <c r="CO95" i="9"/>
  <c r="CO75" i="9"/>
  <c r="CO88" i="9"/>
  <c r="CO96" i="9"/>
  <c r="CO64" i="9"/>
  <c r="CO76" i="9"/>
  <c r="CO68" i="9"/>
  <c r="CO65" i="9"/>
  <c r="CO93" i="9"/>
  <c r="CO85" i="9"/>
  <c r="CO69" i="9"/>
  <c r="CO86" i="9"/>
  <c r="CO67" i="9"/>
  <c r="CO94" i="24"/>
  <c r="CO104" i="24"/>
  <c r="CO85" i="24"/>
  <c r="CO73" i="24"/>
  <c r="CO103" i="24"/>
  <c r="CO93" i="24"/>
  <c r="CO84" i="24"/>
  <c r="CO65" i="24"/>
  <c r="CO68" i="24"/>
  <c r="CO95" i="24"/>
  <c r="CO74" i="24"/>
  <c r="CO96" i="24"/>
  <c r="CO75" i="24"/>
  <c r="CO66" i="24"/>
  <c r="CO102" i="24"/>
  <c r="CO64" i="24"/>
  <c r="CO86" i="24"/>
  <c r="CO67" i="24"/>
  <c r="CO76" i="24"/>
  <c r="CO69" i="24"/>
  <c r="CO88" i="24"/>
  <c r="AO84" i="16" a="1"/>
  <c r="AO84" i="16" s="1"/>
  <c r="AO84" i="15" a="1"/>
  <c r="AO84" i="15" s="1"/>
  <c r="AO73" i="16" a="1"/>
  <c r="AO73" i="16" s="1"/>
  <c r="AO68" i="16" a="1"/>
  <c r="AO68" i="16" s="1"/>
  <c r="AO103" i="16" a="1"/>
  <c r="AO103" i="16" s="1"/>
  <c r="DC102" i="24"/>
  <c r="DC76" i="24"/>
  <c r="DC66" i="24"/>
  <c r="DC94" i="24"/>
  <c r="DC73" i="24"/>
  <c r="DC65" i="24"/>
  <c r="DC103" i="24"/>
  <c r="DC84" i="24"/>
  <c r="DC95" i="24"/>
  <c r="DC93" i="24"/>
  <c r="DC74" i="24"/>
  <c r="DC104" i="24"/>
  <c r="DC85" i="24"/>
  <c r="DC86" i="24"/>
  <c r="DC64" i="24"/>
  <c r="DC75" i="24"/>
  <c r="DC96" i="24"/>
  <c r="DC68" i="24"/>
  <c r="DC67" i="24"/>
  <c r="DC88" i="24"/>
  <c r="DC69" i="24"/>
  <c r="DQ85" i="9"/>
  <c r="DQ67" i="9"/>
  <c r="DQ88" i="9"/>
  <c r="DQ65" i="9"/>
  <c r="DQ76" i="9"/>
  <c r="DQ96" i="9"/>
  <c r="DQ66" i="9"/>
  <c r="DQ102" i="9"/>
  <c r="DQ64" i="9"/>
  <c r="DQ74" i="9"/>
  <c r="DQ69" i="9"/>
  <c r="DQ73" i="9"/>
  <c r="DQ103" i="9"/>
  <c r="DQ84" i="9"/>
  <c r="DQ68" i="9"/>
  <c r="DQ95" i="9"/>
  <c r="DQ75" i="9"/>
  <c r="DQ86" i="9"/>
  <c r="DQ94" i="9"/>
  <c r="DQ104" i="9"/>
  <c r="DQ93" i="9"/>
  <c r="AO102" i="16" a="1"/>
  <c r="AO102" i="16" s="1"/>
  <c r="AO96" i="16" a="1"/>
  <c r="AO96" i="16" s="1"/>
  <c r="DC74" i="9"/>
  <c r="DC103" i="9"/>
  <c r="DC93" i="9"/>
  <c r="DC95" i="9"/>
  <c r="DC66" i="9"/>
  <c r="DC64" i="9"/>
  <c r="DC102" i="9"/>
  <c r="DC86" i="9"/>
  <c r="DC69" i="9"/>
  <c r="DC75" i="9"/>
  <c r="DC76" i="9"/>
  <c r="DC88" i="9"/>
  <c r="DC68" i="9"/>
  <c r="DC65" i="9"/>
  <c r="DC94" i="9"/>
  <c r="DC96" i="9"/>
  <c r="DC67" i="9"/>
  <c r="DC73" i="9"/>
  <c r="DC104" i="9"/>
  <c r="DC85" i="9"/>
  <c r="DC84" i="9"/>
  <c r="DQ96" i="24"/>
  <c r="DQ76" i="24"/>
  <c r="DQ67" i="24"/>
  <c r="DQ64" i="24"/>
  <c r="DQ94" i="24"/>
  <c r="DQ74" i="24"/>
  <c r="DQ84" i="24"/>
  <c r="DQ102" i="24"/>
  <c r="DQ93" i="24"/>
  <c r="DQ85" i="24"/>
  <c r="DQ95" i="24"/>
  <c r="DQ103" i="24"/>
  <c r="DQ86" i="24"/>
  <c r="DQ68" i="24"/>
  <c r="DQ66" i="24"/>
  <c r="DQ73" i="24"/>
  <c r="DQ65" i="24"/>
  <c r="DQ104" i="24"/>
  <c r="DQ75" i="24"/>
  <c r="DQ88" i="24"/>
  <c r="DQ69" i="24"/>
  <c r="AO84" i="17" a="1"/>
  <c r="AO84" i="17" s="1"/>
  <c r="AO76" i="16" a="1"/>
  <c r="AO76" i="16" s="1"/>
  <c r="AO88" i="16" a="1"/>
  <c r="AO88" i="16" s="1"/>
  <c r="AO93" i="16" a="1"/>
  <c r="AO93" i="16" s="1"/>
  <c r="X5" i="24"/>
  <c r="AK103" i="24"/>
  <c r="AK88" i="24"/>
  <c r="AK102" i="24"/>
  <c r="AK85" i="24"/>
  <c r="AK75" i="24"/>
  <c r="AK96" i="24"/>
  <c r="AK104" i="24"/>
  <c r="AK93" i="24"/>
  <c r="AK76" i="24"/>
  <c r="AK74" i="24"/>
  <c r="AK67" i="24"/>
  <c r="AK69" i="24"/>
  <c r="AK64" i="24"/>
  <c r="AK65" i="24"/>
  <c r="AK68" i="24"/>
  <c r="AK94" i="24"/>
  <c r="AK73" i="24"/>
  <c r="AK95" i="24"/>
  <c r="AK84" i="24"/>
  <c r="AK86" i="24"/>
  <c r="AK66" i="24"/>
  <c r="DQ96" i="25"/>
  <c r="DQ88" i="25"/>
  <c r="DQ76" i="25"/>
  <c r="DQ69" i="25"/>
  <c r="DQ65" i="25"/>
  <c r="DQ73" i="25"/>
  <c r="DQ103" i="25"/>
  <c r="DQ102" i="25"/>
  <c r="DQ93" i="25"/>
  <c r="DQ66" i="25"/>
  <c r="DQ104" i="25"/>
  <c r="DQ95" i="25"/>
  <c r="DQ86" i="25"/>
  <c r="DQ75" i="25"/>
  <c r="DQ68" i="25"/>
  <c r="DQ64" i="25"/>
  <c r="DR5" i="25"/>
  <c r="DQ67" i="25"/>
  <c r="DQ84" i="25"/>
  <c r="DQ94" i="25"/>
  <c r="DQ85" i="25"/>
  <c r="DQ74" i="25"/>
  <c r="DC96" i="25"/>
  <c r="DC88" i="25"/>
  <c r="DC76" i="25"/>
  <c r="DC69" i="25"/>
  <c r="DC65" i="25"/>
  <c r="DC104" i="25"/>
  <c r="DC95" i="25"/>
  <c r="DC86" i="25"/>
  <c r="DC75" i="25"/>
  <c r="DC68" i="25"/>
  <c r="DC64" i="25"/>
  <c r="DD5" i="25"/>
  <c r="DC103" i="25"/>
  <c r="DC94" i="25"/>
  <c r="DC85" i="25"/>
  <c r="DC74" i="25"/>
  <c r="DC67" i="25"/>
  <c r="DC102" i="25"/>
  <c r="DC93" i="25"/>
  <c r="DC84" i="25"/>
  <c r="DC73" i="25"/>
  <c r="DC66" i="25"/>
  <c r="CO96" i="25"/>
  <c r="CO88" i="25"/>
  <c r="CO76" i="25"/>
  <c r="CO69" i="25"/>
  <c r="CO65" i="25"/>
  <c r="CO93" i="25"/>
  <c r="CO104" i="25"/>
  <c r="CO95" i="25"/>
  <c r="CO86" i="25"/>
  <c r="CO75" i="25"/>
  <c r="CO68" i="25"/>
  <c r="CO64" i="25"/>
  <c r="CP5" i="25"/>
  <c r="CO84" i="25"/>
  <c r="CO73" i="25"/>
  <c r="CO66" i="25"/>
  <c r="CO102" i="25"/>
  <c r="CO103" i="25"/>
  <c r="CO94" i="25"/>
  <c r="CO85" i="25"/>
  <c r="CO74" i="25"/>
  <c r="CO67" i="25"/>
  <c r="CA96" i="25"/>
  <c r="CA88" i="25"/>
  <c r="CA76" i="25"/>
  <c r="CA69" i="25"/>
  <c r="CA65" i="25"/>
  <c r="CA103" i="25"/>
  <c r="CA94" i="25"/>
  <c r="CA67" i="25"/>
  <c r="CA102" i="25"/>
  <c r="CA73" i="25"/>
  <c r="CA93" i="25"/>
  <c r="CA84" i="25"/>
  <c r="CA104" i="25"/>
  <c r="CA95" i="25"/>
  <c r="CA86" i="25"/>
  <c r="CA75" i="25"/>
  <c r="CA68" i="25"/>
  <c r="CA64" i="25"/>
  <c r="CB5" i="25"/>
  <c r="CA85" i="25"/>
  <c r="CA74" i="25"/>
  <c r="CA66" i="25"/>
  <c r="BM96" i="25"/>
  <c r="BM88" i="25"/>
  <c r="BM76" i="25"/>
  <c r="BM69" i="25"/>
  <c r="BM65" i="25"/>
  <c r="BM84" i="25"/>
  <c r="BM73" i="25"/>
  <c r="BM66" i="25"/>
  <c r="BM104" i="25"/>
  <c r="BM95" i="25"/>
  <c r="BM86" i="25"/>
  <c r="BM75" i="25"/>
  <c r="BM68" i="25"/>
  <c r="BM64" i="25"/>
  <c r="BN5" i="25"/>
  <c r="BM102" i="25"/>
  <c r="BM103" i="25"/>
  <c r="BM94" i="25"/>
  <c r="BM85" i="25"/>
  <c r="BM74" i="25"/>
  <c r="BM67" i="25"/>
  <c r="BM93" i="25"/>
  <c r="AY96" i="25"/>
  <c r="AY88" i="25"/>
  <c r="AY76" i="25"/>
  <c r="AY69" i="25"/>
  <c r="AY65" i="25"/>
  <c r="AY104" i="25"/>
  <c r="AY95" i="25"/>
  <c r="AY86" i="25"/>
  <c r="AY75" i="25"/>
  <c r="AY68" i="25"/>
  <c r="AY64" i="25"/>
  <c r="AZ5" i="25"/>
  <c r="AY103" i="25"/>
  <c r="AY94" i="25"/>
  <c r="AY85" i="25"/>
  <c r="AY74" i="25"/>
  <c r="AY67" i="25"/>
  <c r="AY102" i="25"/>
  <c r="AY93" i="25"/>
  <c r="AY84" i="25"/>
  <c r="AY73" i="25"/>
  <c r="AY66" i="25"/>
  <c r="AK96" i="25"/>
  <c r="AK88" i="25"/>
  <c r="AK76" i="25"/>
  <c r="AK69" i="25"/>
  <c r="AK65" i="25"/>
  <c r="AK102" i="25"/>
  <c r="AK66" i="25"/>
  <c r="AK104" i="25"/>
  <c r="AK95" i="25"/>
  <c r="AK86" i="25"/>
  <c r="AK75" i="25"/>
  <c r="AK68" i="25"/>
  <c r="AK64" i="25"/>
  <c r="AL5" i="25"/>
  <c r="AK84" i="25"/>
  <c r="AK73" i="25"/>
  <c r="AK103" i="25"/>
  <c r="AK94" i="25"/>
  <c r="AK85" i="25"/>
  <c r="AK74" i="25"/>
  <c r="AK67" i="25"/>
  <c r="AK93" i="25"/>
  <c r="H75" i="25"/>
  <c r="H64" i="25"/>
  <c r="H85" i="25"/>
  <c r="H93" i="25"/>
  <c r="H95" i="25"/>
  <c r="H84" i="25"/>
  <c r="W104" i="25"/>
  <c r="W103" i="25"/>
  <c r="W95" i="25"/>
  <c r="W94" i="25"/>
  <c r="W88" i="25"/>
  <c r="W102" i="25"/>
  <c r="W93" i="25"/>
  <c r="W96" i="25"/>
  <c r="W67" i="25"/>
  <c r="W84" i="25"/>
  <c r="W66" i="25"/>
  <c r="W75" i="25"/>
  <c r="W76" i="25"/>
  <c r="W74" i="25"/>
  <c r="W73" i="25"/>
  <c r="W65" i="25"/>
  <c r="W68" i="25"/>
  <c r="W64" i="25"/>
  <c r="W86" i="25"/>
  <c r="W85" i="25"/>
  <c r="W69" i="25"/>
  <c r="H66" i="25"/>
  <c r="H96" i="25"/>
  <c r="H88" i="25"/>
  <c r="H102" i="25"/>
  <c r="H76" i="25"/>
  <c r="H73" i="25"/>
  <c r="H103" i="25"/>
  <c r="H74" i="25"/>
  <c r="H86" i="25"/>
  <c r="H104" i="25"/>
  <c r="H69" i="25"/>
  <c r="H67" i="25"/>
  <c r="H68" i="25"/>
  <c r="H65" i="25"/>
  <c r="H94" i="25"/>
  <c r="H84" i="24"/>
  <c r="DR5" i="24"/>
  <c r="DD5" i="24"/>
  <c r="CP5" i="24"/>
  <c r="CB5" i="24"/>
  <c r="BN5" i="24"/>
  <c r="AZ5" i="24"/>
  <c r="AL5" i="24"/>
  <c r="H86" i="24"/>
  <c r="H94" i="24"/>
  <c r="H96" i="24"/>
  <c r="H88" i="24"/>
  <c r="H75" i="24"/>
  <c r="H64" i="24"/>
  <c r="H104" i="24"/>
  <c r="H102" i="24"/>
  <c r="H66" i="24"/>
  <c r="H74" i="24"/>
  <c r="H93" i="24"/>
  <c r="H95" i="24"/>
  <c r="H76" i="24"/>
  <c r="H65" i="24"/>
  <c r="H68" i="24"/>
  <c r="H69" i="24"/>
  <c r="H85" i="24"/>
  <c r="H67" i="24"/>
  <c r="H103" i="24"/>
  <c r="H73" i="24"/>
  <c r="AO96" i="17" a="1"/>
  <c r="AO96" i="17" s="1"/>
  <c r="AO93" i="17" a="1"/>
  <c r="AO93" i="17" s="1"/>
  <c r="AO74" i="15" a="1"/>
  <c r="AO74" i="15" s="1"/>
  <c r="AO64" i="15" a="1"/>
  <c r="AO64" i="15" s="1"/>
  <c r="AO86" i="17" a="1"/>
  <c r="AO86" i="17" s="1"/>
  <c r="AO69" i="17" a="1"/>
  <c r="AO69" i="17" s="1"/>
  <c r="AO93" i="15" a="1"/>
  <c r="AO93" i="15" s="1"/>
  <c r="AO94" i="15" a="1"/>
  <c r="AO94" i="15" s="1"/>
  <c r="AO67" i="15" a="1"/>
  <c r="AO67" i="15" s="1"/>
  <c r="AO69" i="16" a="1"/>
  <c r="AO69" i="16" s="1"/>
  <c r="AO76" i="17" a="1"/>
  <c r="AO76" i="17" s="1"/>
  <c r="AO75" i="17" a="1"/>
  <c r="AO75" i="17" s="1"/>
  <c r="AO103" i="17" a="1"/>
  <c r="AO103" i="17" s="1"/>
  <c r="AO68" i="17" a="1"/>
  <c r="AO68" i="17" s="1"/>
  <c r="W103" i="15" a="1"/>
  <c r="W103" i="15" s="1"/>
  <c r="X103" i="15" s="1" a="1"/>
  <c r="X103" i="15" s="1"/>
  <c r="W95" i="15" a="1"/>
  <c r="W95" i="15" s="1"/>
  <c r="AO95" i="15" a="1"/>
  <c r="AO95" i="15" s="1"/>
  <c r="AP95" i="15" s="1" a="1"/>
  <c r="AP95" i="15" s="1"/>
  <c r="AO88" i="17" a="1"/>
  <c r="AO88" i="17" s="1"/>
  <c r="AO85" i="17" a="1"/>
  <c r="AO85" i="17" s="1"/>
  <c r="W88" i="15" a="1"/>
  <c r="W88" i="15" s="1"/>
  <c r="W75" i="15" a="1"/>
  <c r="W75" i="15" s="1"/>
  <c r="AO65" i="15" a="1"/>
  <c r="AO65" i="15" s="1"/>
  <c r="AO73" i="15" a="1"/>
  <c r="AO73" i="15" s="1"/>
  <c r="AO75" i="15" a="1"/>
  <c r="AO75" i="15" s="1"/>
  <c r="AO102" i="17" a="1"/>
  <c r="AO102" i="17" s="1"/>
  <c r="AO73" i="17" a="1"/>
  <c r="AO73" i="17" s="1"/>
  <c r="AO102" i="15" a="1"/>
  <c r="AO102" i="15" s="1"/>
  <c r="AO69" i="15" a="1"/>
  <c r="AO69" i="15" s="1"/>
  <c r="AO64" i="17" a="1"/>
  <c r="AO64" i="17" s="1"/>
  <c r="AO94" i="17" a="1"/>
  <c r="AO94" i="17" s="1"/>
  <c r="AO66" i="17" a="1"/>
  <c r="AO66" i="17" s="1"/>
  <c r="AO104" i="15" a="1"/>
  <c r="AO104" i="15" s="1"/>
  <c r="AO67" i="17" a="1"/>
  <c r="AO67" i="17" s="1"/>
  <c r="AN68" i="13" a="1"/>
  <c r="AN68" i="13" s="1"/>
  <c r="AN104" i="13" a="1"/>
  <c r="AN104" i="13" s="1"/>
  <c r="AN85" i="13" a="1"/>
  <c r="AN85" i="13" s="1"/>
  <c r="AO85" i="13" s="1" a="1"/>
  <c r="AO85" i="13" s="1"/>
  <c r="AN69" i="13" a="1"/>
  <c r="AN69" i="13" s="1"/>
  <c r="AN103" i="13" a="1"/>
  <c r="AN103" i="13" s="1"/>
  <c r="AN65" i="13" a="1"/>
  <c r="AN65" i="13" s="1"/>
  <c r="AN95" i="13" a="1"/>
  <c r="AN95" i="13" s="1"/>
  <c r="AN94" i="13" a="1"/>
  <c r="AN94" i="13" s="1"/>
  <c r="AO94" i="13" s="1" a="1"/>
  <c r="AO94" i="13" s="1"/>
  <c r="AN74" i="13" a="1"/>
  <c r="AN74" i="13" s="1"/>
  <c r="AN67" i="13" a="1"/>
  <c r="AN67" i="13" s="1"/>
  <c r="AN93" i="13" a="1"/>
  <c r="AN93" i="13" s="1"/>
  <c r="AO6" i="13"/>
  <c r="AO5" i="13"/>
  <c r="AN88" i="13" a="1"/>
  <c r="AN88" i="13" s="1"/>
  <c r="AN96" i="13" a="1"/>
  <c r="AN96" i="13" s="1"/>
  <c r="U5" i="9"/>
  <c r="T6" i="9"/>
  <c r="T9" i="9" s="1"/>
  <c r="AN66" i="13" a="1"/>
  <c r="AN66" i="13" s="1"/>
  <c r="AO66" i="13" s="1" a="1"/>
  <c r="AO66" i="13" s="1"/>
  <c r="AN102" i="13" a="1"/>
  <c r="AN102" i="13" s="1"/>
  <c r="AN73" i="13" a="1"/>
  <c r="AN73" i="13" s="1"/>
  <c r="AN86" i="13" a="1"/>
  <c r="AN86" i="13" s="1"/>
  <c r="AN75" i="13" a="1"/>
  <c r="AN75" i="13" s="1"/>
  <c r="AN76" i="13" a="1"/>
  <c r="AN76" i="13" s="1"/>
  <c r="V68" i="13" a="1"/>
  <c r="V68" i="13" s="1"/>
  <c r="V85" i="13" a="1"/>
  <c r="V85" i="13" s="1"/>
  <c r="V69" i="13" a="1"/>
  <c r="V69" i="13" s="1"/>
  <c r="V65" i="13" a="1"/>
  <c r="V65" i="13" s="1"/>
  <c r="V73" i="13" a="1"/>
  <c r="V73" i="13" s="1"/>
  <c r="V66" i="13" a="1"/>
  <c r="V66" i="13" s="1"/>
  <c r="V93" i="13" a="1"/>
  <c r="V93" i="13" s="1"/>
  <c r="V94" i="13" a="1"/>
  <c r="V94" i="13" s="1"/>
  <c r="V74" i="13" a="1"/>
  <c r="V74" i="13" s="1"/>
  <c r="V67" i="13" a="1"/>
  <c r="V67" i="13" s="1"/>
  <c r="V103" i="13" a="1"/>
  <c r="V103" i="13" s="1"/>
  <c r="V75" i="13" a="1"/>
  <c r="V75" i="13" s="1"/>
  <c r="V95" i="13" a="1"/>
  <c r="V95" i="13" s="1"/>
  <c r="V86" i="13" a="1"/>
  <c r="V86" i="13" s="1"/>
  <c r="V96" i="13" a="1"/>
  <c r="V96" i="13" s="1"/>
  <c r="V104" i="13" a="1"/>
  <c r="V104" i="13" s="1"/>
  <c r="V102" i="13" a="1"/>
  <c r="V102" i="13" s="1"/>
  <c r="V88" i="13" a="1"/>
  <c r="V88" i="13" s="1"/>
  <c r="V76" i="13" a="1"/>
  <c r="V76" i="13" s="1"/>
  <c r="V64" i="13" a="1"/>
  <c r="V64" i="13" s="1"/>
  <c r="DR5" i="9"/>
  <c r="DQ6" i="9"/>
  <c r="DQ9" i="9" s="1"/>
  <c r="DD5" i="9"/>
  <c r="DC6" i="9"/>
  <c r="DC9" i="9" s="1"/>
  <c r="CP5" i="9"/>
  <c r="CO6" i="9"/>
  <c r="CO9" i="9" s="1"/>
  <c r="AO6" i="17"/>
  <c r="AP5" i="17"/>
  <c r="AP6" i="17"/>
  <c r="AO65" i="17" a="1"/>
  <c r="AO65" i="17" s="1"/>
  <c r="W6" i="17"/>
  <c r="X5" i="17"/>
  <c r="X84" i="17" a="1"/>
  <c r="X84" i="17" s="1"/>
  <c r="W68" i="17" a="1"/>
  <c r="W68" i="17" s="1"/>
  <c r="W102" i="17" a="1"/>
  <c r="W102" i="17" s="1"/>
  <c r="W103" i="17" a="1"/>
  <c r="W103" i="17" s="1"/>
  <c r="AO104" i="17" a="1"/>
  <c r="AO104" i="17" s="1"/>
  <c r="W6" i="16"/>
  <c r="X5" i="16"/>
  <c r="X84" i="16" a="1"/>
  <c r="X84" i="16" s="1"/>
  <c r="AO6" i="16"/>
  <c r="AP5" i="16"/>
  <c r="AP6" i="16"/>
  <c r="AO85" i="16" a="1"/>
  <c r="AO85" i="16" s="1"/>
  <c r="AO74" i="16" a="1"/>
  <c r="AO74" i="16" s="1"/>
  <c r="AO85" i="15" a="1"/>
  <c r="AO85" i="15" s="1"/>
  <c r="AO76" i="15" a="1"/>
  <c r="AO76" i="15" s="1"/>
  <c r="AO86" i="15" a="1"/>
  <c r="AO86" i="15" s="1"/>
  <c r="AO96" i="15" a="1"/>
  <c r="AO96" i="15" s="1"/>
  <c r="AO103" i="15" a="1"/>
  <c r="AO103" i="15" s="1"/>
  <c r="AO68" i="15" a="1"/>
  <c r="AO68" i="15" s="1"/>
  <c r="AO6" i="15"/>
  <c r="AP5" i="15"/>
  <c r="AP6" i="15"/>
  <c r="AO88" i="15" a="1"/>
  <c r="AO88" i="15" s="1"/>
  <c r="W6" i="15"/>
  <c r="X5" i="15"/>
  <c r="W68" i="15" a="1"/>
  <c r="W68" i="15" s="1"/>
  <c r="W73" i="15" a="1"/>
  <c r="W73" i="15" s="1"/>
  <c r="AO66" i="15" a="1"/>
  <c r="AO66" i="15" s="1"/>
  <c r="W64" i="17" a="1"/>
  <c r="W64" i="17" s="1"/>
  <c r="W95" i="17" a="1"/>
  <c r="W95" i="17" s="1"/>
  <c r="W69" i="17" a="1"/>
  <c r="W69" i="17" s="1"/>
  <c r="W65" i="17" a="1"/>
  <c r="W65" i="17" s="1"/>
  <c r="W88" i="17" a="1"/>
  <c r="W88" i="17" s="1"/>
  <c r="W93" i="17" a="1"/>
  <c r="W93" i="17" s="1"/>
  <c r="W73" i="17" a="1"/>
  <c r="W73" i="17" s="1"/>
  <c r="W76" i="17" a="1"/>
  <c r="W76" i="17" s="1"/>
  <c r="W96" i="17" a="1"/>
  <c r="W96" i="17" s="1"/>
  <c r="W94" i="17" a="1"/>
  <c r="W94" i="17" s="1"/>
  <c r="W75" i="17" a="1"/>
  <c r="W75" i="17" s="1"/>
  <c r="W86" i="17" a="1"/>
  <c r="W86" i="17" s="1"/>
  <c r="W74" i="17" a="1"/>
  <c r="W74" i="17" s="1"/>
  <c r="W85" i="17" a="1"/>
  <c r="W85" i="17" s="1"/>
  <c r="W66" i="17" a="1"/>
  <c r="W66" i="17" s="1"/>
  <c r="W103" i="16" a="1"/>
  <c r="W103" i="16" s="1"/>
  <c r="W68" i="16" a="1"/>
  <c r="W68" i="16" s="1"/>
  <c r="W95" i="16" a="1"/>
  <c r="W95" i="16" s="1"/>
  <c r="W88" i="16" a="1"/>
  <c r="W88" i="16" s="1"/>
  <c r="W96" i="16" a="1"/>
  <c r="W96" i="16" s="1"/>
  <c r="W73" i="16" a="1"/>
  <c r="W73" i="16" s="1"/>
  <c r="W67" i="16" a="1"/>
  <c r="W67" i="16" s="1"/>
  <c r="W94" i="16" a="1"/>
  <c r="W94" i="16" s="1"/>
  <c r="W75" i="16" a="1"/>
  <c r="W75" i="16" s="1"/>
  <c r="W69" i="16" a="1"/>
  <c r="W69" i="16" s="1"/>
  <c r="W102" i="16" a="1"/>
  <c r="W102" i="16" s="1"/>
  <c r="W65" i="16" a="1"/>
  <c r="W65" i="16" s="1"/>
  <c r="W66" i="16" a="1"/>
  <c r="W66" i="16" s="1"/>
  <c r="W64" i="16" a="1"/>
  <c r="W64" i="16" s="1"/>
  <c r="W104" i="16" a="1"/>
  <c r="W104" i="16" s="1"/>
  <c r="W94" i="15" a="1"/>
  <c r="W94" i="15" s="1"/>
  <c r="W74" i="15" a="1"/>
  <c r="W74" i="15" s="1"/>
  <c r="W64" i="15" a="1"/>
  <c r="W64" i="15" s="1"/>
  <c r="W104" i="15" a="1"/>
  <c r="W104" i="15" s="1"/>
  <c r="W102" i="15" a="1"/>
  <c r="W102" i="15" s="1"/>
  <c r="W69" i="15" a="1"/>
  <c r="W69" i="15" s="1"/>
  <c r="W85" i="15" a="1"/>
  <c r="W85" i="15" s="1"/>
  <c r="W93" i="15" a="1"/>
  <c r="W93" i="15" s="1"/>
  <c r="W84" i="13" a="1"/>
  <c r="W84" i="13" s="1"/>
  <c r="V6" i="13"/>
  <c r="V8" i="9" s="1"/>
  <c r="AP5" i="13"/>
  <c r="W5" i="13"/>
  <c r="X67" i="17" l="1" a="1"/>
  <c r="X67" i="17" s="1"/>
  <c r="X76" i="16" a="1"/>
  <c r="X76" i="16" s="1"/>
  <c r="AP96" i="15" a="1"/>
  <c r="AP96" i="15" s="1"/>
  <c r="AP68" i="17" a="1"/>
  <c r="AP68" i="17" s="1"/>
  <c r="AP67" i="15" a="1"/>
  <c r="AP67" i="15" s="1"/>
  <c r="AP69" i="17" a="1"/>
  <c r="AP69" i="17" s="1"/>
  <c r="AP102" i="15" a="1"/>
  <c r="AP102" i="15" s="1"/>
  <c r="AO67" i="13" a="1"/>
  <c r="AO67" i="13" s="1"/>
  <c r="AP104" i="17" a="1"/>
  <c r="AP104" i="17" s="1"/>
  <c r="AP67" i="17" a="1"/>
  <c r="AP67" i="17" s="1"/>
  <c r="BN96" i="24"/>
  <c r="BN85" i="24"/>
  <c r="BN103" i="24"/>
  <c r="BN68" i="24"/>
  <c r="BN102" i="24"/>
  <c r="BN94" i="24"/>
  <c r="BN66" i="24"/>
  <c r="BN67" i="24"/>
  <c r="BN95" i="24"/>
  <c r="BN104" i="24"/>
  <c r="BN65" i="24"/>
  <c r="BN64" i="24"/>
  <c r="BN84" i="24"/>
  <c r="BN76" i="24"/>
  <c r="BN69" i="24"/>
  <c r="BN86" i="24"/>
  <c r="BN88" i="24"/>
  <c r="BN75" i="24"/>
  <c r="BN93" i="24"/>
  <c r="BN73" i="24"/>
  <c r="BN74" i="24"/>
  <c r="X76" i="24"/>
  <c r="X65" i="24"/>
  <c r="X86" i="24"/>
  <c r="X73" i="24"/>
  <c r="X85" i="24"/>
  <c r="X84" i="24"/>
  <c r="X104" i="24"/>
  <c r="X103" i="24"/>
  <c r="X67" i="24"/>
  <c r="X74" i="24"/>
  <c r="X95" i="24"/>
  <c r="X69" i="24"/>
  <c r="X66" i="24"/>
  <c r="X102" i="24"/>
  <c r="X68" i="24"/>
  <c r="X96" i="24"/>
  <c r="X88" i="24"/>
  <c r="X75" i="24"/>
  <c r="X93" i="24"/>
  <c r="X94" i="24"/>
  <c r="X64" i="24"/>
  <c r="CP104" i="9"/>
  <c r="CP75" i="9"/>
  <c r="CP69" i="9"/>
  <c r="CP95" i="9"/>
  <c r="CP86" i="9"/>
  <c r="CP66" i="9"/>
  <c r="CP68" i="9"/>
  <c r="CP67" i="9"/>
  <c r="CP88" i="9"/>
  <c r="CP93" i="9"/>
  <c r="CP74" i="9"/>
  <c r="CP64" i="9"/>
  <c r="CP102" i="9"/>
  <c r="CP84" i="9"/>
  <c r="CP103" i="9"/>
  <c r="CP65" i="9"/>
  <c r="CP76" i="9"/>
  <c r="CP96" i="9"/>
  <c r="CP73" i="9"/>
  <c r="CP85" i="9"/>
  <c r="CP94" i="9"/>
  <c r="CB96" i="24"/>
  <c r="CB86" i="24"/>
  <c r="CB93" i="24"/>
  <c r="CB69" i="24"/>
  <c r="CB95" i="24"/>
  <c r="CB88" i="24"/>
  <c r="CB68" i="24"/>
  <c r="CB74" i="24"/>
  <c r="CB66" i="24"/>
  <c r="CB103" i="24"/>
  <c r="CB64" i="24"/>
  <c r="CB94" i="24"/>
  <c r="CB84" i="24"/>
  <c r="CB65" i="24"/>
  <c r="CB75" i="24"/>
  <c r="CB104" i="24"/>
  <c r="CB102" i="24"/>
  <c r="CB85" i="24"/>
  <c r="CB67" i="24"/>
  <c r="CB73" i="24"/>
  <c r="CB76" i="24"/>
  <c r="X85" i="16" a="1"/>
  <c r="X85" i="16" s="1"/>
  <c r="AP94" i="16" a="1"/>
  <c r="AP94" i="16" s="1"/>
  <c r="CP68" i="24"/>
  <c r="CP103" i="24"/>
  <c r="CP93" i="24"/>
  <c r="CP84" i="24"/>
  <c r="CP102" i="24"/>
  <c r="CP76" i="24"/>
  <c r="CP64" i="24"/>
  <c r="CP65" i="24"/>
  <c r="CP104" i="24"/>
  <c r="CP96" i="24"/>
  <c r="CP85" i="24"/>
  <c r="CP88" i="24"/>
  <c r="CP73" i="24"/>
  <c r="CP75" i="24"/>
  <c r="CP94" i="24"/>
  <c r="CP86" i="24"/>
  <c r="CP67" i="24"/>
  <c r="CP74" i="24"/>
  <c r="CP95" i="24"/>
  <c r="CP69" i="24"/>
  <c r="CP66" i="24"/>
  <c r="DD93" i="9"/>
  <c r="DD69" i="9"/>
  <c r="DD65" i="9"/>
  <c r="DD88" i="9"/>
  <c r="DD66" i="9"/>
  <c r="DD64" i="9"/>
  <c r="DD102" i="9"/>
  <c r="DD86" i="9"/>
  <c r="DD68" i="9"/>
  <c r="DD75" i="9"/>
  <c r="DD95" i="9"/>
  <c r="DD76" i="9"/>
  <c r="DD96" i="9"/>
  <c r="DD85" i="9"/>
  <c r="DD67" i="9"/>
  <c r="DD104" i="9"/>
  <c r="DD73" i="9"/>
  <c r="DD94" i="9"/>
  <c r="DD84" i="9"/>
  <c r="DD74" i="9"/>
  <c r="DD103" i="9"/>
  <c r="DD96" i="24"/>
  <c r="DD75" i="24"/>
  <c r="DD65" i="24"/>
  <c r="DD69" i="24"/>
  <c r="DD86" i="24"/>
  <c r="DD94" i="24"/>
  <c r="DD73" i="24"/>
  <c r="DD95" i="24"/>
  <c r="DD93" i="24"/>
  <c r="DD74" i="24"/>
  <c r="DD66" i="24"/>
  <c r="DD104" i="24"/>
  <c r="DD85" i="24"/>
  <c r="DD67" i="24"/>
  <c r="DD76" i="24"/>
  <c r="DD103" i="24"/>
  <c r="DD68" i="24"/>
  <c r="DD84" i="24"/>
  <c r="DD102" i="24"/>
  <c r="DD88" i="24"/>
  <c r="DD64" i="24"/>
  <c r="AZ67" i="24"/>
  <c r="AZ66" i="24"/>
  <c r="AZ65" i="24"/>
  <c r="AZ86" i="24"/>
  <c r="AZ76" i="24"/>
  <c r="AZ103" i="24"/>
  <c r="AZ84" i="24"/>
  <c r="AZ104" i="24"/>
  <c r="AZ102" i="24"/>
  <c r="AZ68" i="24"/>
  <c r="AZ85" i="24"/>
  <c r="AZ64" i="24"/>
  <c r="AZ75" i="24"/>
  <c r="AZ96" i="24"/>
  <c r="AZ69" i="24"/>
  <c r="AZ73" i="24"/>
  <c r="AZ94" i="24"/>
  <c r="AZ93" i="24"/>
  <c r="AZ74" i="24"/>
  <c r="AZ95" i="24"/>
  <c r="AZ88" i="24"/>
  <c r="AP84" i="16" a="1"/>
  <c r="AP84" i="16" s="1"/>
  <c r="X93" i="16" a="1"/>
  <c r="X93" i="16" s="1"/>
  <c r="X74" i="16" a="1"/>
  <c r="X74" i="16" s="1"/>
  <c r="X86" i="16" a="1"/>
  <c r="X86" i="16" s="1"/>
  <c r="AP65" i="16" a="1"/>
  <c r="AP65" i="16" s="1"/>
  <c r="AP95" i="16" a="1"/>
  <c r="AP95" i="16" s="1"/>
  <c r="AP73" i="17" a="1"/>
  <c r="AP73" i="17" s="1"/>
  <c r="DR66" i="24"/>
  <c r="DR94" i="24"/>
  <c r="DR74" i="24"/>
  <c r="DR104" i="24"/>
  <c r="DR86" i="24"/>
  <c r="DR69" i="24"/>
  <c r="DR75" i="24"/>
  <c r="DR73" i="24"/>
  <c r="DR64" i="24"/>
  <c r="DR95" i="24"/>
  <c r="DR103" i="24"/>
  <c r="DR88" i="24"/>
  <c r="DR68" i="24"/>
  <c r="DR65" i="24"/>
  <c r="DR84" i="24"/>
  <c r="DR102" i="24"/>
  <c r="DR76" i="24"/>
  <c r="DR85" i="24"/>
  <c r="DR67" i="24"/>
  <c r="DR96" i="24"/>
  <c r="DR93" i="24"/>
  <c r="AP84" i="17" a="1"/>
  <c r="AP84" i="17" s="1"/>
  <c r="AP74" i="16" a="1"/>
  <c r="AP74" i="16" s="1"/>
  <c r="AP67" i="16" a="1"/>
  <c r="AP67" i="16" s="1"/>
  <c r="AP64" i="17" a="1"/>
  <c r="AP64" i="17" s="1"/>
  <c r="DR96" i="9"/>
  <c r="DR88" i="9"/>
  <c r="DR65" i="9"/>
  <c r="DR76" i="9"/>
  <c r="DR86" i="9"/>
  <c r="DR64" i="9"/>
  <c r="DR104" i="9"/>
  <c r="DR69" i="9"/>
  <c r="DR66" i="9"/>
  <c r="DR84" i="9"/>
  <c r="DR67" i="9"/>
  <c r="DR85" i="9"/>
  <c r="DR73" i="9"/>
  <c r="DR95" i="9"/>
  <c r="DR68" i="9"/>
  <c r="DR93" i="9"/>
  <c r="DR75" i="9"/>
  <c r="DR102" i="9"/>
  <c r="DR103" i="9"/>
  <c r="DR74" i="9"/>
  <c r="DR94" i="9"/>
  <c r="U64" i="9"/>
  <c r="U85" i="9"/>
  <c r="U74" i="9"/>
  <c r="U103" i="9"/>
  <c r="U94" i="9"/>
  <c r="U76" i="9"/>
  <c r="U96" i="9"/>
  <c r="U86" i="9"/>
  <c r="U95" i="9"/>
  <c r="U67" i="9"/>
  <c r="U65" i="9"/>
  <c r="U84" i="9"/>
  <c r="U88" i="9"/>
  <c r="U73" i="9"/>
  <c r="U68" i="9"/>
  <c r="U66" i="9"/>
  <c r="U104" i="9"/>
  <c r="U75" i="9"/>
  <c r="U102" i="9"/>
  <c r="U93" i="9"/>
  <c r="U69" i="9"/>
  <c r="X84" i="15" a="1"/>
  <c r="X84" i="15" s="1"/>
  <c r="AO84" i="13" a="1"/>
  <c r="AO84" i="13" s="1"/>
  <c r="AL102" i="24"/>
  <c r="AL96" i="24"/>
  <c r="AL68" i="24"/>
  <c r="AL103" i="24"/>
  <c r="AL104" i="24"/>
  <c r="AL93" i="24"/>
  <c r="AL76" i="24"/>
  <c r="AL69" i="24"/>
  <c r="AL74" i="24"/>
  <c r="AL67" i="24"/>
  <c r="AL65" i="24"/>
  <c r="AL64" i="24"/>
  <c r="AL75" i="24"/>
  <c r="AL66" i="24"/>
  <c r="AL94" i="24"/>
  <c r="AL73" i="24"/>
  <c r="AL86" i="24"/>
  <c r="AL84" i="24"/>
  <c r="AL85" i="24"/>
  <c r="AL95" i="24"/>
  <c r="AL88" i="24"/>
  <c r="AP84" i="15" a="1"/>
  <c r="AP84" i="15" s="1"/>
  <c r="DR73" i="25"/>
  <c r="DR66" i="25"/>
  <c r="DR65" i="25"/>
  <c r="DR104" i="25"/>
  <c r="DR95" i="25"/>
  <c r="DR86" i="25"/>
  <c r="DR75" i="25"/>
  <c r="DR68" i="25"/>
  <c r="DR64" i="25"/>
  <c r="DR102" i="25"/>
  <c r="DR93" i="25"/>
  <c r="DR84" i="25"/>
  <c r="DR76" i="25"/>
  <c r="DR69" i="25"/>
  <c r="DR103" i="25"/>
  <c r="DR94" i="25"/>
  <c r="DR85" i="25"/>
  <c r="DR74" i="25"/>
  <c r="DR67" i="25"/>
  <c r="DR96" i="25"/>
  <c r="DR88" i="25"/>
  <c r="DD104" i="25"/>
  <c r="DD95" i="25"/>
  <c r="DD86" i="25"/>
  <c r="DD75" i="25"/>
  <c r="DD68" i="25"/>
  <c r="DD64" i="25"/>
  <c r="DD103" i="25"/>
  <c r="DD85" i="25"/>
  <c r="DD74" i="25"/>
  <c r="DD102" i="25"/>
  <c r="DD93" i="25"/>
  <c r="DD84" i="25"/>
  <c r="DD73" i="25"/>
  <c r="DD66" i="25"/>
  <c r="DD94" i="25"/>
  <c r="DD96" i="25"/>
  <c r="DD88" i="25"/>
  <c r="DD76" i="25"/>
  <c r="DD69" i="25"/>
  <c r="DD65" i="25"/>
  <c r="DD67" i="25"/>
  <c r="CP104" i="25"/>
  <c r="CP95" i="25"/>
  <c r="CP86" i="25"/>
  <c r="CP75" i="25"/>
  <c r="CP68" i="25"/>
  <c r="CP64" i="25"/>
  <c r="CP93" i="25"/>
  <c r="CP103" i="25"/>
  <c r="CP94" i="25"/>
  <c r="CP85" i="25"/>
  <c r="CP74" i="25"/>
  <c r="CP67" i="25"/>
  <c r="CP96" i="25"/>
  <c r="CP69" i="25"/>
  <c r="CP88" i="25"/>
  <c r="CP65" i="25"/>
  <c r="CP102" i="25"/>
  <c r="CP84" i="25"/>
  <c r="CP73" i="25"/>
  <c r="CP66" i="25"/>
  <c r="CP76" i="25"/>
  <c r="CB93" i="25"/>
  <c r="CB84" i="25"/>
  <c r="CB96" i="25"/>
  <c r="CB104" i="25"/>
  <c r="CB95" i="25"/>
  <c r="CB86" i="25"/>
  <c r="CB75" i="25"/>
  <c r="CB68" i="25"/>
  <c r="CB64" i="25"/>
  <c r="CB102" i="25"/>
  <c r="CB76" i="25"/>
  <c r="CB65" i="25"/>
  <c r="CB66" i="25"/>
  <c r="CB88" i="25"/>
  <c r="CB103" i="25"/>
  <c r="CB94" i="25"/>
  <c r="CB85" i="25"/>
  <c r="CB74" i="25"/>
  <c r="CB67" i="25"/>
  <c r="CB73" i="25"/>
  <c r="CB69" i="25"/>
  <c r="BN104" i="25"/>
  <c r="BN95" i="25"/>
  <c r="BN86" i="25"/>
  <c r="BN75" i="25"/>
  <c r="BN68" i="25"/>
  <c r="BN64" i="25"/>
  <c r="BN76" i="25"/>
  <c r="BN65" i="25"/>
  <c r="BN103" i="25"/>
  <c r="BN94" i="25"/>
  <c r="BN85" i="25"/>
  <c r="BN74" i="25"/>
  <c r="BN67" i="25"/>
  <c r="BN96" i="25"/>
  <c r="BN88" i="25"/>
  <c r="BN102" i="25"/>
  <c r="BN93" i="25"/>
  <c r="BN84" i="25"/>
  <c r="BN73" i="25"/>
  <c r="BN66" i="25"/>
  <c r="BN69" i="25"/>
  <c r="AZ76" i="25"/>
  <c r="AZ104" i="25"/>
  <c r="AZ95" i="25"/>
  <c r="AZ86" i="25"/>
  <c r="AZ75" i="25"/>
  <c r="AZ68" i="25"/>
  <c r="AZ64" i="25"/>
  <c r="AZ103" i="25"/>
  <c r="AZ94" i="25"/>
  <c r="AZ85" i="25"/>
  <c r="AZ74" i="25"/>
  <c r="AZ67" i="25"/>
  <c r="AZ102" i="25"/>
  <c r="AZ93" i="25"/>
  <c r="AZ84" i="25"/>
  <c r="AZ73" i="25"/>
  <c r="AZ66" i="25"/>
  <c r="AZ69" i="25"/>
  <c r="AZ65" i="25"/>
  <c r="AZ96" i="25"/>
  <c r="AZ88" i="25"/>
  <c r="AL76" i="25"/>
  <c r="AL65" i="25"/>
  <c r="AL104" i="25"/>
  <c r="AL95" i="25"/>
  <c r="AL86" i="25"/>
  <c r="AL75" i="25"/>
  <c r="AL68" i="25"/>
  <c r="AL64" i="25"/>
  <c r="AL103" i="25"/>
  <c r="AL94" i="25"/>
  <c r="AL85" i="25"/>
  <c r="AL74" i="25"/>
  <c r="AL67" i="25"/>
  <c r="AL88" i="25"/>
  <c r="AL96" i="25"/>
  <c r="AL69" i="25"/>
  <c r="AL102" i="25"/>
  <c r="AL93" i="25"/>
  <c r="AL84" i="25"/>
  <c r="AL73" i="25"/>
  <c r="AL66" i="25"/>
  <c r="I96" i="25"/>
  <c r="I65" i="25"/>
  <c r="I73" i="25"/>
  <c r="I69" i="25"/>
  <c r="I74" i="25"/>
  <c r="I102" i="25"/>
  <c r="I85" i="25"/>
  <c r="I76" i="25"/>
  <c r="I88" i="25"/>
  <c r="I86" i="25"/>
  <c r="I75" i="25"/>
  <c r="I94" i="25"/>
  <c r="I64" i="25"/>
  <c r="I66" i="25"/>
  <c r="I95" i="25"/>
  <c r="I93" i="25"/>
  <c r="X103" i="25"/>
  <c r="X102" i="25"/>
  <c r="X94" i="25"/>
  <c r="X93" i="25"/>
  <c r="X104" i="25"/>
  <c r="X96" i="25"/>
  <c r="X88" i="25"/>
  <c r="X86" i="25"/>
  <c r="X84" i="25"/>
  <c r="X66" i="25"/>
  <c r="X65" i="25"/>
  <c r="X75" i="25"/>
  <c r="X74" i="25"/>
  <c r="X85" i="25"/>
  <c r="X73" i="25"/>
  <c r="X67" i="25"/>
  <c r="X76" i="25"/>
  <c r="X68" i="25"/>
  <c r="X64" i="25"/>
  <c r="X69" i="25"/>
  <c r="X95" i="25"/>
  <c r="I84" i="25"/>
  <c r="I103" i="25"/>
  <c r="I68" i="25"/>
  <c r="I67" i="25"/>
  <c r="I104" i="25"/>
  <c r="I64" i="24"/>
  <c r="I96" i="24"/>
  <c r="I65" i="24"/>
  <c r="I69" i="24"/>
  <c r="I67" i="24"/>
  <c r="I84" i="24"/>
  <c r="I103" i="24"/>
  <c r="I74" i="24"/>
  <c r="I93" i="24"/>
  <c r="I66" i="24"/>
  <c r="I104" i="24"/>
  <c r="I95" i="24"/>
  <c r="I85" i="24"/>
  <c r="I75" i="24"/>
  <c r="I76" i="24"/>
  <c r="I88" i="24"/>
  <c r="I86" i="24"/>
  <c r="I94" i="24"/>
  <c r="I102" i="24"/>
  <c r="I73" i="24"/>
  <c r="I68" i="24"/>
  <c r="AP66" i="15" a="1"/>
  <c r="AP66" i="15" s="1"/>
  <c r="AP65" i="15" a="1"/>
  <c r="AP65" i="15" s="1"/>
  <c r="AP93" i="15" a="1"/>
  <c r="AP93" i="15" s="1"/>
  <c r="AP74" i="15" a="1"/>
  <c r="AP74" i="15" s="1"/>
  <c r="CP6" i="9"/>
  <c r="CP9" i="9" s="1"/>
  <c r="AP68" i="15" a="1"/>
  <c r="AP68" i="15" s="1"/>
  <c r="AP85" i="16" a="1"/>
  <c r="AP85" i="16" s="1"/>
  <c r="AP86" i="16" a="1"/>
  <c r="AP86" i="16" s="1"/>
  <c r="AP102" i="16" a="1"/>
  <c r="AP102" i="16" s="1"/>
  <c r="AP65" i="17" a="1"/>
  <c r="AP65" i="17" s="1"/>
  <c r="AP86" i="17" a="1"/>
  <c r="AP86" i="17" s="1"/>
  <c r="AP103" i="17" a="1"/>
  <c r="AP103" i="17" s="1"/>
  <c r="AP103" i="15" a="1"/>
  <c r="AP103" i="15" s="1"/>
  <c r="AP64" i="16" a="1"/>
  <c r="AP64" i="16" s="1"/>
  <c r="AP96" i="17" a="1"/>
  <c r="AP96" i="17" s="1"/>
  <c r="AP75" i="17" a="1"/>
  <c r="AP75" i="17" s="1"/>
  <c r="DD6" i="9"/>
  <c r="DD9" i="9" s="1"/>
  <c r="DR6" i="9"/>
  <c r="DR9" i="9" s="1"/>
  <c r="X75" i="15" a="1"/>
  <c r="X75" i="15" s="1"/>
  <c r="AP73" i="15" a="1"/>
  <c r="AP73" i="15" s="1"/>
  <c r="AP104" i="15" a="1"/>
  <c r="AP104" i="15" s="1"/>
  <c r="AP73" i="16" a="1"/>
  <c r="AP73" i="16" s="1"/>
  <c r="AP76" i="17" a="1"/>
  <c r="AP76" i="17" s="1"/>
  <c r="AP74" i="17" a="1"/>
  <c r="AP74" i="17" s="1"/>
  <c r="X86" i="15" a="1"/>
  <c r="X86" i="15" s="1"/>
  <c r="AP86" i="15" a="1"/>
  <c r="AP86" i="15" s="1"/>
  <c r="AP88" i="15" a="1"/>
  <c r="AP88" i="15" s="1"/>
  <c r="AP94" i="15" a="1"/>
  <c r="AP94" i="15" s="1"/>
  <c r="AP103" i="16" a="1"/>
  <c r="AP103" i="16" s="1"/>
  <c r="AP95" i="17" a="1"/>
  <c r="AP95" i="17" s="1"/>
  <c r="AP85" i="17" a="1"/>
  <c r="AP85" i="17" s="1"/>
  <c r="AO88" i="13" a="1"/>
  <c r="AO88" i="13" s="1"/>
  <c r="W76" i="13" a="1"/>
  <c r="W76" i="13" s="1"/>
  <c r="W64" i="13" a="1"/>
  <c r="W64" i="13" s="1"/>
  <c r="AO69" i="13" a="1"/>
  <c r="AO69" i="13" s="1"/>
  <c r="AO86" i="13" a="1"/>
  <c r="AO86" i="13" s="1"/>
  <c r="AO104" i="13" a="1"/>
  <c r="AO104" i="13" s="1"/>
  <c r="AO65" i="13" a="1"/>
  <c r="AO65" i="13" s="1"/>
  <c r="AP65" i="13" s="1" a="1"/>
  <c r="AP65" i="13" s="1"/>
  <c r="AO68" i="13" a="1"/>
  <c r="AO68" i="13" s="1"/>
  <c r="AO75" i="13" a="1"/>
  <c r="AO75" i="13" s="1"/>
  <c r="AO64" i="13" a="1"/>
  <c r="AO64" i="13" s="1"/>
  <c r="AP6" i="13"/>
  <c r="AO74" i="13" a="1"/>
  <c r="AO74" i="13" s="1"/>
  <c r="AP74" i="13" s="1" a="1"/>
  <c r="AP74" i="13" s="1"/>
  <c r="AO96" i="13" a="1"/>
  <c r="AO96" i="13" s="1"/>
  <c r="AP96" i="13" s="1" a="1"/>
  <c r="AP96" i="13" s="1"/>
  <c r="AO95" i="13" a="1"/>
  <c r="AO95" i="13" s="1"/>
  <c r="AO73" i="13" a="1"/>
  <c r="AO73" i="13" s="1"/>
  <c r="V5" i="9"/>
  <c r="U6" i="9"/>
  <c r="U9" i="9" s="1"/>
  <c r="AO102" i="13" a="1"/>
  <c r="AO102" i="13" s="1"/>
  <c r="AO93" i="13" a="1"/>
  <c r="AO93" i="13" s="1"/>
  <c r="AO76" i="13" a="1"/>
  <c r="AO76" i="13" s="1"/>
  <c r="AO103" i="13" a="1"/>
  <c r="AO103" i="13" s="1"/>
  <c r="W96" i="13" a="1"/>
  <c r="W96" i="13" s="1"/>
  <c r="W104" i="13" a="1"/>
  <c r="W104" i="13" s="1"/>
  <c r="W102" i="13" a="1"/>
  <c r="W102" i="13" s="1"/>
  <c r="W6" i="13"/>
  <c r="W8" i="9" s="1"/>
  <c r="W88" i="13" a="1"/>
  <c r="W88" i="13" s="1"/>
  <c r="W68" i="13" a="1"/>
  <c r="W68" i="13" s="1"/>
  <c r="W73" i="13" a="1"/>
  <c r="W73" i="13" s="1"/>
  <c r="W69" i="13" a="1"/>
  <c r="W69" i="13" s="1"/>
  <c r="W65" i="13" a="1"/>
  <c r="W65" i="13" s="1"/>
  <c r="W85" i="13" a="1"/>
  <c r="W85" i="13" s="1"/>
  <c r="W66" i="13" a="1"/>
  <c r="W66" i="13" s="1"/>
  <c r="W94" i="13" a="1"/>
  <c r="W94" i="13" s="1"/>
  <c r="W93" i="13" a="1"/>
  <c r="W93" i="13" s="1"/>
  <c r="W74" i="13" a="1"/>
  <c r="W74" i="13" s="1"/>
  <c r="W75" i="13" a="1"/>
  <c r="W75" i="13" s="1"/>
  <c r="W95" i="13" a="1"/>
  <c r="W95" i="13" s="1"/>
  <c r="W86" i="13" a="1"/>
  <c r="W86" i="13" s="1"/>
  <c r="W67" i="13" a="1"/>
  <c r="W67" i="13" s="1"/>
  <c r="W103" i="13" a="1"/>
  <c r="W103" i="13" s="1"/>
  <c r="X6" i="17"/>
  <c r="X103" i="17" a="1"/>
  <c r="X103" i="17" s="1"/>
  <c r="X68" i="17" a="1"/>
  <c r="X68" i="17" s="1"/>
  <c r="X102" i="17" a="1"/>
  <c r="X102" i="17" s="1"/>
  <c r="AP66" i="17" a="1"/>
  <c r="AP66" i="17" s="1"/>
  <c r="AP102" i="17" a="1"/>
  <c r="AP102" i="17" s="1"/>
  <c r="X104" i="17" a="1"/>
  <c r="X104" i="17" s="1"/>
  <c r="AP94" i="17" a="1"/>
  <c r="AP94" i="17" s="1"/>
  <c r="AP88" i="17" a="1"/>
  <c r="AP88" i="17" s="1"/>
  <c r="AP93" i="17" a="1"/>
  <c r="AP93" i="17" s="1"/>
  <c r="AP96" i="16" a="1"/>
  <c r="AP96" i="16" s="1"/>
  <c r="X6" i="16"/>
  <c r="AP68" i="16" a="1"/>
  <c r="AP68" i="16" s="1"/>
  <c r="AP66" i="16" a="1"/>
  <c r="AP66" i="16" s="1"/>
  <c r="AP76" i="16" a="1"/>
  <c r="AP76" i="16" s="1"/>
  <c r="AP75" i="16" a="1"/>
  <c r="AP75" i="16" s="1"/>
  <c r="AP88" i="16" a="1"/>
  <c r="AP88" i="16" s="1"/>
  <c r="AP93" i="16" a="1"/>
  <c r="AP93" i="16" s="1"/>
  <c r="AP69" i="16" a="1"/>
  <c r="AP69" i="16" s="1"/>
  <c r="AP104" i="16" a="1"/>
  <c r="AP104" i="16" s="1"/>
  <c r="X6" i="15"/>
  <c r="X73" i="15" a="1"/>
  <c r="X73" i="15" s="1"/>
  <c r="X68" i="15" a="1"/>
  <c r="X68" i="15" s="1"/>
  <c r="X67" i="15" a="1"/>
  <c r="X67" i="15" s="1"/>
  <c r="X95" i="15" a="1"/>
  <c r="X95" i="15" s="1"/>
  <c r="X88" i="15" a="1"/>
  <c r="X88" i="15" s="1"/>
  <c r="X65" i="15" a="1"/>
  <c r="X65" i="15" s="1"/>
  <c r="X76" i="15" a="1"/>
  <c r="X76" i="15" s="1"/>
  <c r="AP75" i="15" a="1"/>
  <c r="AP75" i="15" s="1"/>
  <c r="AP76" i="15" a="1"/>
  <c r="AP76" i="15" s="1"/>
  <c r="X96" i="15" a="1"/>
  <c r="X96" i="15" s="1"/>
  <c r="AP69" i="15" a="1"/>
  <c r="AP69" i="15" s="1"/>
  <c r="AP85" i="15" a="1"/>
  <c r="AP85" i="15" s="1"/>
  <c r="X66" i="15" a="1"/>
  <c r="X66" i="15" s="1"/>
  <c r="AP64" i="15" a="1"/>
  <c r="AP64" i="15" s="1"/>
  <c r="X93" i="17" a="1"/>
  <c r="X93" i="17" s="1"/>
  <c r="X96" i="17" a="1"/>
  <c r="X96" i="17" s="1"/>
  <c r="X64" i="17" a="1"/>
  <c r="X64" i="17" s="1"/>
  <c r="X75" i="17" a="1"/>
  <c r="X75" i="17" s="1"/>
  <c r="X66" i="17" a="1"/>
  <c r="X66" i="17" s="1"/>
  <c r="X85" i="17" a="1"/>
  <c r="X85" i="17" s="1"/>
  <c r="X95" i="17" a="1"/>
  <c r="X95" i="17" s="1"/>
  <c r="X88" i="17" a="1"/>
  <c r="X88" i="17" s="1"/>
  <c r="X74" i="17" a="1"/>
  <c r="X74" i="17" s="1"/>
  <c r="X65" i="17" a="1"/>
  <c r="X65" i="17" s="1"/>
  <c r="X76" i="17" a="1"/>
  <c r="X76" i="17" s="1"/>
  <c r="X86" i="17" a="1"/>
  <c r="X86" i="17" s="1"/>
  <c r="X94" i="17" a="1"/>
  <c r="X94" i="17" s="1"/>
  <c r="X69" i="17" a="1"/>
  <c r="X69" i="17" s="1"/>
  <c r="X73" i="17" a="1"/>
  <c r="X73" i="17" s="1"/>
  <c r="X64" i="16" a="1"/>
  <c r="X64" i="16" s="1"/>
  <c r="X75" i="16" a="1"/>
  <c r="X75" i="16" s="1"/>
  <c r="X69" i="16" a="1"/>
  <c r="X69" i="16" s="1"/>
  <c r="X73" i="16" a="1"/>
  <c r="X73" i="16" s="1"/>
  <c r="X96" i="16" a="1"/>
  <c r="X96" i="16" s="1"/>
  <c r="X94" i="16" a="1"/>
  <c r="X94" i="16" s="1"/>
  <c r="X66" i="16" a="1"/>
  <c r="X66" i="16" s="1"/>
  <c r="X95" i="16" a="1"/>
  <c r="X95" i="16" s="1"/>
  <c r="X65" i="16" a="1"/>
  <c r="X65" i="16" s="1"/>
  <c r="X68" i="16" a="1"/>
  <c r="X68" i="16" s="1"/>
  <c r="X104" i="16" a="1"/>
  <c r="X104" i="16" s="1"/>
  <c r="X88" i="16" a="1"/>
  <c r="X88" i="16" s="1"/>
  <c r="X102" i="16" a="1"/>
  <c r="X102" i="16" s="1"/>
  <c r="X67" i="16" a="1"/>
  <c r="X67" i="16" s="1"/>
  <c r="X103" i="16" a="1"/>
  <c r="X103" i="16" s="1"/>
  <c r="X93" i="15" a="1"/>
  <c r="X93" i="15" s="1"/>
  <c r="X69" i="15" a="1"/>
  <c r="X69" i="15" s="1"/>
  <c r="X74" i="15" a="1"/>
  <c r="X74" i="15" s="1"/>
  <c r="X104" i="15" a="1"/>
  <c r="X104" i="15" s="1"/>
  <c r="X102" i="15" a="1"/>
  <c r="X102" i="15" s="1"/>
  <c r="X64" i="15" a="1"/>
  <c r="X64" i="15" s="1"/>
  <c r="X85" i="15" a="1"/>
  <c r="X85" i="15" s="1"/>
  <c r="X94" i="15" a="1"/>
  <c r="X94" i="15" s="1"/>
  <c r="X5" i="13"/>
  <c r="V73" i="9" l="1"/>
  <c r="V93" i="9"/>
  <c r="V67" i="9"/>
  <c r="V66" i="9"/>
  <c r="V76" i="9"/>
  <c r="V102" i="9"/>
  <c r="V103" i="9"/>
  <c r="V86" i="9"/>
  <c r="V75" i="9"/>
  <c r="V69" i="9"/>
  <c r="V68" i="9"/>
  <c r="V65" i="9"/>
  <c r="V85" i="9"/>
  <c r="V84" i="9"/>
  <c r="V104" i="9"/>
  <c r="V94" i="9"/>
  <c r="V64" i="9"/>
  <c r="V96" i="9"/>
  <c r="V74" i="9"/>
  <c r="V88" i="9"/>
  <c r="V95" i="9"/>
  <c r="AP75" i="13" a="1"/>
  <c r="AP75" i="13" s="1"/>
  <c r="AP104" i="13" a="1"/>
  <c r="AP104" i="13" s="1"/>
  <c r="AP67" i="13" a="1"/>
  <c r="AP67" i="13" s="1"/>
  <c r="AP88" i="13" a="1"/>
  <c r="AP88" i="13" s="1"/>
  <c r="X88" i="13" a="1"/>
  <c r="X88" i="13" s="1"/>
  <c r="X84" i="13" a="1"/>
  <c r="X84" i="13" s="1"/>
  <c r="AP85" i="13" a="1"/>
  <c r="AP85" i="13" s="1"/>
  <c r="AP76" i="13" a="1"/>
  <c r="AP76" i="13" s="1"/>
  <c r="AP95" i="13" a="1"/>
  <c r="AP95" i="13" s="1"/>
  <c r="AP84" i="13" a="1"/>
  <c r="AP84" i="13" s="1"/>
  <c r="J73" i="25"/>
  <c r="J85" i="25"/>
  <c r="J68" i="25"/>
  <c r="J66" i="25"/>
  <c r="J102" i="25"/>
  <c r="J76" i="25"/>
  <c r="J84" i="25"/>
  <c r="J88" i="25"/>
  <c r="J96" i="25"/>
  <c r="J67" i="25"/>
  <c r="J95" i="25"/>
  <c r="J74" i="25"/>
  <c r="J104" i="25"/>
  <c r="J86" i="25"/>
  <c r="J69" i="25"/>
  <c r="J75" i="25"/>
  <c r="J93" i="25"/>
  <c r="J103" i="25"/>
  <c r="J64" i="25"/>
  <c r="J65" i="25"/>
  <c r="J94" i="25"/>
  <c r="J85" i="24"/>
  <c r="J86" i="24"/>
  <c r="J64" i="24"/>
  <c r="J68" i="24"/>
  <c r="J67" i="24"/>
  <c r="J104" i="24"/>
  <c r="J69" i="24"/>
  <c r="J102" i="24"/>
  <c r="J66" i="24"/>
  <c r="J84" i="24"/>
  <c r="J73" i="24"/>
  <c r="J65" i="24"/>
  <c r="J96" i="24"/>
  <c r="J75" i="24"/>
  <c r="J88" i="24"/>
  <c r="J93" i="24"/>
  <c r="J103" i="24"/>
  <c r="J74" i="24"/>
  <c r="J95" i="24"/>
  <c r="J94" i="24"/>
  <c r="J76" i="24"/>
  <c r="X64" i="13" a="1"/>
  <c r="X64" i="13" s="1"/>
  <c r="X96" i="13" a="1"/>
  <c r="X96" i="13" s="1"/>
  <c r="AP69" i="13" a="1"/>
  <c r="AP69" i="13" s="1"/>
  <c r="AP64" i="13" a="1"/>
  <c r="AP64" i="13" s="1"/>
  <c r="AP103" i="13" a="1"/>
  <c r="AP103" i="13" s="1"/>
  <c r="AP86" i="13" a="1"/>
  <c r="AP86" i="13" s="1"/>
  <c r="AP94" i="13" a="1"/>
  <c r="AP94" i="13" s="1"/>
  <c r="AP68" i="13" a="1"/>
  <c r="AP68" i="13" s="1"/>
  <c r="AP93" i="13" a="1"/>
  <c r="AP93" i="13" s="1"/>
  <c r="AP73" i="13" a="1"/>
  <c r="AP73" i="13" s="1"/>
  <c r="AP102" i="13" a="1"/>
  <c r="AP102" i="13" s="1"/>
  <c r="AP66" i="13" a="1"/>
  <c r="AP66" i="13" s="1"/>
  <c r="W5" i="9"/>
  <c r="V6" i="9"/>
  <c r="V9" i="9" s="1"/>
  <c r="X6" i="13"/>
  <c r="X8" i="9" s="1"/>
  <c r="X68" i="13" a="1"/>
  <c r="X68" i="13" s="1"/>
  <c r="X85" i="13" a="1"/>
  <c r="X85" i="13" s="1"/>
  <c r="X69" i="13" a="1"/>
  <c r="X69" i="13" s="1"/>
  <c r="X73" i="13" a="1"/>
  <c r="X73" i="13" s="1"/>
  <c r="X65" i="13" a="1"/>
  <c r="X65" i="13" s="1"/>
  <c r="X74" i="13" a="1"/>
  <c r="X74" i="13" s="1"/>
  <c r="X94" i="13" a="1"/>
  <c r="X94" i="13" s="1"/>
  <c r="X93" i="13" a="1"/>
  <c r="X93" i="13" s="1"/>
  <c r="X66" i="13" a="1"/>
  <c r="X66" i="13" s="1"/>
  <c r="X75" i="13" a="1"/>
  <c r="X75" i="13" s="1"/>
  <c r="X95" i="13" a="1"/>
  <c r="X95" i="13" s="1"/>
  <c r="X103" i="13" a="1"/>
  <c r="X103" i="13" s="1"/>
  <c r="X67" i="13" a="1"/>
  <c r="X67" i="13" s="1"/>
  <c r="X86" i="13" a="1"/>
  <c r="X86" i="13" s="1"/>
  <c r="X104" i="13" a="1"/>
  <c r="X104" i="13" s="1"/>
  <c r="X76" i="13" a="1"/>
  <c r="X76" i="13" s="1"/>
  <c r="X102" i="13" a="1"/>
  <c r="X102" i="13" s="1"/>
  <c r="ER14" i="16"/>
  <c r="EB14" i="16"/>
  <c r="DL14" i="16"/>
  <c r="CV14" i="16"/>
  <c r="CF14" i="16"/>
  <c r="BP14" i="16"/>
  <c r="AZ14" i="16"/>
  <c r="ER14" i="17"/>
  <c r="EB14" i="17"/>
  <c r="DL14" i="17"/>
  <c r="CV14" i="17"/>
  <c r="CF14" i="17"/>
  <c r="BP14" i="17"/>
  <c r="AZ14" i="17"/>
  <c r="NH14" i="13"/>
  <c r="MR14" i="13"/>
  <c r="MB14" i="13"/>
  <c r="LL14" i="13"/>
  <c r="KV14" i="13"/>
  <c r="KF14" i="13"/>
  <c r="JP14" i="13"/>
  <c r="IZ14" i="13"/>
  <c r="IJ14" i="13"/>
  <c r="HT14" i="13"/>
  <c r="HD14" i="13"/>
  <c r="GN14" i="13"/>
  <c r="FX14" i="13"/>
  <c r="FH14" i="13"/>
  <c r="ER14" i="13"/>
  <c r="EB14" i="13"/>
  <c r="DL14" i="13"/>
  <c r="CV14" i="13"/>
  <c r="CF14" i="13"/>
  <c r="BP14" i="13"/>
  <c r="AZ14" i="13"/>
  <c r="IU65" i="13"/>
  <c r="IU66" i="13"/>
  <c r="IU67" i="13"/>
  <c r="IU68" i="13"/>
  <c r="IU69" i="13"/>
  <c r="IU73" i="13"/>
  <c r="IU74" i="13"/>
  <c r="IU75" i="13"/>
  <c r="IU76" i="13"/>
  <c r="IU85" i="13"/>
  <c r="IU86" i="13"/>
  <c r="IU88" i="13"/>
  <c r="IU93" i="13"/>
  <c r="IU94" i="13"/>
  <c r="IU95" i="13"/>
  <c r="IU96" i="13"/>
  <c r="IU102" i="13"/>
  <c r="IU103" i="13"/>
  <c r="IU104" i="13"/>
  <c r="IU64" i="13"/>
  <c r="IE65" i="13"/>
  <c r="IE66" i="13"/>
  <c r="IE67" i="13"/>
  <c r="IE68" i="13"/>
  <c r="IE69" i="13"/>
  <c r="IE73" i="13"/>
  <c r="IE74" i="13"/>
  <c r="IE75" i="13"/>
  <c r="IE76" i="13"/>
  <c r="IE85" i="13"/>
  <c r="IE86" i="13"/>
  <c r="IE88" i="13"/>
  <c r="IE93" i="13"/>
  <c r="IE94" i="13"/>
  <c r="IE95" i="13"/>
  <c r="IE96" i="13"/>
  <c r="IE102" i="13"/>
  <c r="IE103" i="13"/>
  <c r="IE104" i="13"/>
  <c r="IE64" i="13"/>
  <c r="HO65" i="13"/>
  <c r="HO66" i="13"/>
  <c r="HO67" i="13"/>
  <c r="HO68" i="13"/>
  <c r="HO69" i="13"/>
  <c r="HO73" i="13"/>
  <c r="HO74" i="13"/>
  <c r="HO75" i="13"/>
  <c r="HO76" i="13"/>
  <c r="HO85" i="13"/>
  <c r="HO86" i="13"/>
  <c r="HO88" i="13"/>
  <c r="HO93" i="13"/>
  <c r="HO94" i="13"/>
  <c r="HO95" i="13"/>
  <c r="HO96" i="13"/>
  <c r="HO102" i="13"/>
  <c r="HO103" i="13"/>
  <c r="HO104" i="13"/>
  <c r="GY65" i="13"/>
  <c r="GY66" i="13"/>
  <c r="GY67" i="13"/>
  <c r="GY68" i="13"/>
  <c r="GY69" i="13"/>
  <c r="GY73" i="13"/>
  <c r="GY74" i="13"/>
  <c r="GY75" i="13"/>
  <c r="GY76" i="13"/>
  <c r="GY85" i="13"/>
  <c r="GY86" i="13"/>
  <c r="GY88" i="13"/>
  <c r="GY93" i="13"/>
  <c r="GY94" i="13"/>
  <c r="GY95" i="13"/>
  <c r="GY96" i="13"/>
  <c r="GY102" i="13"/>
  <c r="GY103" i="13"/>
  <c r="GY104" i="13"/>
  <c r="GY64" i="13"/>
  <c r="GI65" i="13"/>
  <c r="GI66" i="13"/>
  <c r="GI67" i="13"/>
  <c r="GI68" i="13"/>
  <c r="GI69" i="13"/>
  <c r="GI73" i="13"/>
  <c r="GI74" i="13"/>
  <c r="GI75" i="13"/>
  <c r="GI76" i="13"/>
  <c r="GI85" i="13"/>
  <c r="GI86" i="13"/>
  <c r="GI88" i="13"/>
  <c r="GI93" i="13"/>
  <c r="GI94" i="13"/>
  <c r="GI95" i="13"/>
  <c r="GI96" i="13"/>
  <c r="GI102" i="13"/>
  <c r="GI103" i="13"/>
  <c r="GI104" i="13"/>
  <c r="GI64" i="13"/>
  <c r="FS65" i="13"/>
  <c r="FS66" i="13"/>
  <c r="FS67" i="13"/>
  <c r="FS68" i="13"/>
  <c r="FS69" i="13"/>
  <c r="FS73" i="13"/>
  <c r="FS74" i="13"/>
  <c r="FS75" i="13"/>
  <c r="FS76" i="13"/>
  <c r="FS85" i="13"/>
  <c r="FS86" i="13"/>
  <c r="FS88" i="13"/>
  <c r="FS93" i="13"/>
  <c r="FS94" i="13"/>
  <c r="FS95" i="13"/>
  <c r="FS96" i="13"/>
  <c r="FS102" i="13"/>
  <c r="FS103" i="13"/>
  <c r="FS104" i="13"/>
  <c r="FS64" i="13"/>
  <c r="FC65" i="13"/>
  <c r="FC66" i="13"/>
  <c r="FC67" i="13"/>
  <c r="FC68" i="13"/>
  <c r="FC69" i="13"/>
  <c r="FC73" i="13"/>
  <c r="FC74" i="13"/>
  <c r="FC75" i="13"/>
  <c r="FC76" i="13"/>
  <c r="FC85" i="13"/>
  <c r="FC86" i="13"/>
  <c r="FC88" i="13"/>
  <c r="FC93" i="13"/>
  <c r="FC94" i="13"/>
  <c r="FC95" i="13"/>
  <c r="FC96" i="13"/>
  <c r="FC102" i="13"/>
  <c r="FC103" i="13"/>
  <c r="FC104" i="13"/>
  <c r="FC64" i="13"/>
  <c r="EM65" i="13"/>
  <c r="EM66" i="13"/>
  <c r="EM67" i="13"/>
  <c r="EM68" i="13"/>
  <c r="EM69" i="13"/>
  <c r="EM73" i="13"/>
  <c r="EM74" i="13"/>
  <c r="EM75" i="13"/>
  <c r="EM76" i="13"/>
  <c r="EM85" i="13"/>
  <c r="EM86" i="13"/>
  <c r="EM88" i="13"/>
  <c r="EM93" i="13"/>
  <c r="EM94" i="13"/>
  <c r="EM95" i="13"/>
  <c r="EM96" i="13"/>
  <c r="EM102" i="13"/>
  <c r="EM103" i="13"/>
  <c r="EM104" i="13"/>
  <c r="DW65" i="13"/>
  <c r="DW66" i="13"/>
  <c r="DW67" i="13"/>
  <c r="DW68" i="13"/>
  <c r="DW69" i="13"/>
  <c r="DW73" i="13"/>
  <c r="DW74" i="13"/>
  <c r="DW75" i="13"/>
  <c r="DW76" i="13"/>
  <c r="DW85" i="13"/>
  <c r="DW86" i="13"/>
  <c r="DW88" i="13"/>
  <c r="DW93" i="13"/>
  <c r="DW94" i="13"/>
  <c r="DW95" i="13"/>
  <c r="DW96" i="13"/>
  <c r="DW102" i="13"/>
  <c r="DW103" i="13"/>
  <c r="DW104" i="13"/>
  <c r="DW64" i="13"/>
  <c r="DG65" i="13"/>
  <c r="DG66" i="13"/>
  <c r="DG67" i="13"/>
  <c r="DG68" i="13"/>
  <c r="DG69" i="13"/>
  <c r="DG73" i="13"/>
  <c r="DG74" i="13"/>
  <c r="DG75" i="13"/>
  <c r="DG76" i="13"/>
  <c r="DG85" i="13"/>
  <c r="DG86" i="13"/>
  <c r="DG88" i="13"/>
  <c r="DG93" i="13"/>
  <c r="DG94" i="13"/>
  <c r="DG95" i="13"/>
  <c r="DG96" i="13"/>
  <c r="DG102" i="13"/>
  <c r="DG103" i="13"/>
  <c r="DG104" i="13"/>
  <c r="DG64" i="13"/>
  <c r="CQ65" i="13"/>
  <c r="CQ66" i="13"/>
  <c r="CQ67" i="13"/>
  <c r="CQ68" i="13"/>
  <c r="CQ69" i="13"/>
  <c r="CQ73" i="13"/>
  <c r="CQ74" i="13"/>
  <c r="CQ75" i="13"/>
  <c r="CQ76" i="13"/>
  <c r="CQ85" i="13"/>
  <c r="CQ86" i="13"/>
  <c r="CQ88" i="13"/>
  <c r="CQ93" i="13"/>
  <c r="CQ94" i="13"/>
  <c r="CQ95" i="13"/>
  <c r="CQ96" i="13"/>
  <c r="CQ102" i="13"/>
  <c r="CQ103" i="13"/>
  <c r="CQ104" i="13"/>
  <c r="CQ64" i="13"/>
  <c r="CA65" i="13"/>
  <c r="CA66" i="13"/>
  <c r="CA67" i="13"/>
  <c r="CA68" i="13"/>
  <c r="CA69" i="13"/>
  <c r="CA73" i="13"/>
  <c r="CA74" i="13"/>
  <c r="CA75" i="13"/>
  <c r="CA76" i="13"/>
  <c r="CA85" i="13"/>
  <c r="CA86" i="13"/>
  <c r="CA88" i="13"/>
  <c r="CA93" i="13"/>
  <c r="CA94" i="13"/>
  <c r="CA95" i="13"/>
  <c r="CA96" i="13"/>
  <c r="CA102" i="13"/>
  <c r="CA103" i="13"/>
  <c r="CA104" i="13"/>
  <c r="BK66" i="13"/>
  <c r="AZ66" i="13" s="1"/>
  <c r="BK67" i="13"/>
  <c r="AZ67" i="13" s="1"/>
  <c r="BK68" i="13"/>
  <c r="AZ68" i="13" s="1"/>
  <c r="BK69" i="13"/>
  <c r="AZ69" i="13" s="1"/>
  <c r="BK73" i="13"/>
  <c r="AZ73" i="13" s="1"/>
  <c r="BK74" i="13"/>
  <c r="AZ74" i="13" s="1"/>
  <c r="BK75" i="13"/>
  <c r="AZ75" i="13" s="1"/>
  <c r="BK76" i="13"/>
  <c r="AZ76" i="13" s="1"/>
  <c r="BK85" i="13"/>
  <c r="AZ85" i="13" s="1"/>
  <c r="BK86" i="13"/>
  <c r="AZ86" i="13" s="1"/>
  <c r="BK88" i="13"/>
  <c r="AZ88" i="13" s="1"/>
  <c r="BK93" i="13"/>
  <c r="AZ93" i="13" s="1"/>
  <c r="BK94" i="13"/>
  <c r="AZ94" i="13" s="1"/>
  <c r="BK95" i="13"/>
  <c r="AZ95" i="13" s="1"/>
  <c r="BK96" i="13"/>
  <c r="AZ96" i="13" s="1"/>
  <c r="BK102" i="13"/>
  <c r="AZ102" i="13" s="1"/>
  <c r="BK103" i="13"/>
  <c r="AZ103" i="13" s="1"/>
  <c r="BK104" i="13"/>
  <c r="AZ104" i="13" s="1"/>
  <c r="BK64" i="13"/>
  <c r="AZ64" i="13" s="1"/>
  <c r="HT64" i="13" l="1"/>
  <c r="HU64" i="13"/>
  <c r="HV64" i="13"/>
  <c r="HW64" i="13"/>
  <c r="HX64" i="13"/>
  <c r="HY64" i="13"/>
  <c r="HZ64" i="13"/>
  <c r="EX64" i="13"/>
  <c r="ER64" i="13"/>
  <c r="ES64" i="13"/>
  <c r="ET64" i="13"/>
  <c r="EU64" i="13"/>
  <c r="EW64" i="13"/>
  <c r="EV64" i="13"/>
  <c r="CG96" i="13"/>
  <c r="CL96" i="13"/>
  <c r="CK96" i="13"/>
  <c r="CJ96" i="13"/>
  <c r="CI96" i="13"/>
  <c r="CH96" i="13"/>
  <c r="CM96" i="13"/>
  <c r="CF96" i="13"/>
  <c r="CN96" i="13"/>
  <c r="EW96" i="13"/>
  <c r="ET96" i="13"/>
  <c r="ES96" i="13"/>
  <c r="EZ96" i="13"/>
  <c r="EY96" i="13"/>
  <c r="EX96" i="13"/>
  <c r="EV96" i="13"/>
  <c r="EU96" i="13"/>
  <c r="ER96" i="13"/>
  <c r="BQ96" i="13"/>
  <c r="BP96" i="13"/>
  <c r="BR96" i="13"/>
  <c r="BR75" i="13"/>
  <c r="BQ75" i="13"/>
  <c r="BP75" i="13"/>
  <c r="CK88" i="13"/>
  <c r="CL88" i="13"/>
  <c r="CJ88" i="13"/>
  <c r="CI88" i="13"/>
  <c r="CH88" i="13"/>
  <c r="CG88" i="13"/>
  <c r="CN88" i="13"/>
  <c r="CM88" i="13"/>
  <c r="CF88" i="13"/>
  <c r="CK68" i="13"/>
  <c r="CJ68" i="13"/>
  <c r="CI68" i="13"/>
  <c r="CH68" i="13"/>
  <c r="CG68" i="13"/>
  <c r="CF68" i="13"/>
  <c r="CN68" i="13"/>
  <c r="CM68" i="13"/>
  <c r="CL68" i="13"/>
  <c r="DB96" i="13"/>
  <c r="CV96" i="13"/>
  <c r="DD96" i="13"/>
  <c r="DC96" i="13"/>
  <c r="DA96" i="13"/>
  <c r="CZ96" i="13"/>
  <c r="CY96" i="13"/>
  <c r="CX96" i="13"/>
  <c r="CW96" i="13"/>
  <c r="DC75" i="13"/>
  <c r="DD75" i="13"/>
  <c r="DB75" i="13"/>
  <c r="DA75" i="13"/>
  <c r="CZ75" i="13"/>
  <c r="CY75" i="13"/>
  <c r="CX75" i="13"/>
  <c r="CW75" i="13"/>
  <c r="CV75" i="13"/>
  <c r="DS88" i="13"/>
  <c r="DN88" i="13"/>
  <c r="DM88" i="13"/>
  <c r="DL88" i="13"/>
  <c r="DT88" i="13"/>
  <c r="DR88" i="13"/>
  <c r="DQ88" i="13"/>
  <c r="DP88" i="13"/>
  <c r="DO88" i="13"/>
  <c r="DS68" i="13"/>
  <c r="DM68" i="13"/>
  <c r="DL68" i="13"/>
  <c r="DT68" i="13"/>
  <c r="DR68" i="13"/>
  <c r="DQ68" i="13"/>
  <c r="DP68" i="13"/>
  <c r="DO68" i="13"/>
  <c r="DN68" i="13"/>
  <c r="EJ96" i="13"/>
  <c r="EB96" i="13"/>
  <c r="EG96" i="13"/>
  <c r="EF96" i="13"/>
  <c r="EE96" i="13"/>
  <c r="ED96" i="13"/>
  <c r="EC96" i="13"/>
  <c r="EI96" i="13"/>
  <c r="EH96" i="13"/>
  <c r="EC75" i="13"/>
  <c r="EF75" i="13"/>
  <c r="EE75" i="13"/>
  <c r="ED75" i="13"/>
  <c r="EB75" i="13"/>
  <c r="EJ75" i="13"/>
  <c r="EH75" i="13"/>
  <c r="EG75" i="13"/>
  <c r="EI75" i="13"/>
  <c r="ES88" i="13"/>
  <c r="EX88" i="13"/>
  <c r="EW88" i="13"/>
  <c r="EZ88" i="13"/>
  <c r="EY88" i="13"/>
  <c r="EV88" i="13"/>
  <c r="EU88" i="13"/>
  <c r="ET88" i="13"/>
  <c r="ER88" i="13"/>
  <c r="ES68" i="13"/>
  <c r="EX68" i="13"/>
  <c r="EW68" i="13"/>
  <c r="EV68" i="13"/>
  <c r="EU68" i="13"/>
  <c r="ET68" i="13"/>
  <c r="ER68" i="13"/>
  <c r="EZ68" i="13"/>
  <c r="EY68" i="13"/>
  <c r="FJ96" i="13"/>
  <c r="FO96" i="13"/>
  <c r="FN96" i="13"/>
  <c r="FK96" i="13"/>
  <c r="FI96" i="13"/>
  <c r="FH96" i="13"/>
  <c r="FP96" i="13"/>
  <c r="FM96" i="13"/>
  <c r="FL96" i="13"/>
  <c r="GA88" i="13"/>
  <c r="GF88" i="13"/>
  <c r="FX88" i="13"/>
  <c r="GE88" i="13"/>
  <c r="GB88" i="13"/>
  <c r="FZ88" i="13"/>
  <c r="FY88" i="13"/>
  <c r="GD88" i="13"/>
  <c r="GC88" i="13"/>
  <c r="GR96" i="13"/>
  <c r="GO96" i="13"/>
  <c r="GV96" i="13"/>
  <c r="GN96" i="13"/>
  <c r="GU96" i="13"/>
  <c r="GT96" i="13"/>
  <c r="GS96" i="13"/>
  <c r="GQ96" i="13"/>
  <c r="GP96" i="13"/>
  <c r="HI88" i="13"/>
  <c r="HF88" i="13"/>
  <c r="HE88" i="13"/>
  <c r="HL88" i="13"/>
  <c r="HK88" i="13"/>
  <c r="HJ88" i="13"/>
  <c r="HH88" i="13"/>
  <c r="HG88" i="13"/>
  <c r="HD88" i="13"/>
  <c r="HZ96" i="13"/>
  <c r="HW96" i="13"/>
  <c r="HV96" i="13"/>
  <c r="IB96" i="13"/>
  <c r="IA96" i="13"/>
  <c r="HY96" i="13"/>
  <c r="HX96" i="13"/>
  <c r="HU96" i="13"/>
  <c r="HT96" i="13"/>
  <c r="IA75" i="13"/>
  <c r="HX75" i="13"/>
  <c r="HW75" i="13"/>
  <c r="HT75" i="13"/>
  <c r="IB75" i="13"/>
  <c r="HZ75" i="13"/>
  <c r="HY75" i="13"/>
  <c r="HV75" i="13"/>
  <c r="HU75" i="13"/>
  <c r="IQ88" i="13"/>
  <c r="IN88" i="13"/>
  <c r="IM88" i="13"/>
  <c r="IK88" i="13"/>
  <c r="IJ88" i="13"/>
  <c r="IR88" i="13"/>
  <c r="IP88" i="13"/>
  <c r="IO88" i="13"/>
  <c r="IL88" i="13"/>
  <c r="IQ68" i="13"/>
  <c r="IN68" i="13"/>
  <c r="IM68" i="13"/>
  <c r="IR68" i="13"/>
  <c r="IP68" i="13"/>
  <c r="IO68" i="13"/>
  <c r="IL68" i="13"/>
  <c r="IK68" i="13"/>
  <c r="IJ68" i="13"/>
  <c r="EF68" i="13"/>
  <c r="EE68" i="13"/>
  <c r="ED68" i="13"/>
  <c r="EC68" i="13"/>
  <c r="EB68" i="13"/>
  <c r="EJ68" i="13"/>
  <c r="EH68" i="13"/>
  <c r="EG68" i="13"/>
  <c r="EI68" i="13"/>
  <c r="BP95" i="13"/>
  <c r="BR95" i="13"/>
  <c r="BQ95" i="13"/>
  <c r="CL104" i="13"/>
  <c r="CM104" i="13"/>
  <c r="CK104" i="13"/>
  <c r="CJ104" i="13"/>
  <c r="CI104" i="13"/>
  <c r="CH104" i="13"/>
  <c r="CG104" i="13"/>
  <c r="CF104" i="13"/>
  <c r="CN104" i="13"/>
  <c r="CL86" i="13"/>
  <c r="CK86" i="13"/>
  <c r="CJ86" i="13"/>
  <c r="CI86" i="13"/>
  <c r="CH86" i="13"/>
  <c r="CG86" i="13"/>
  <c r="CF86" i="13"/>
  <c r="CN86" i="13"/>
  <c r="CM86" i="13"/>
  <c r="CL67" i="13"/>
  <c r="CJ67" i="13"/>
  <c r="CI67" i="13"/>
  <c r="CH67" i="13"/>
  <c r="CG67" i="13"/>
  <c r="CF67" i="13"/>
  <c r="CM67" i="13"/>
  <c r="CK67" i="13"/>
  <c r="CN67" i="13"/>
  <c r="DC95" i="13"/>
  <c r="CV95" i="13"/>
  <c r="DD95" i="13"/>
  <c r="DB95" i="13"/>
  <c r="DA95" i="13"/>
  <c r="CZ95" i="13"/>
  <c r="CY95" i="13"/>
  <c r="CX95" i="13"/>
  <c r="CW95" i="13"/>
  <c r="DT104" i="13"/>
  <c r="DL104" i="13"/>
  <c r="DO104" i="13"/>
  <c r="DN104" i="13"/>
  <c r="DM104" i="13"/>
  <c r="DS104" i="13"/>
  <c r="DP104" i="13"/>
  <c r="DR104" i="13"/>
  <c r="DQ104" i="13"/>
  <c r="DT86" i="13"/>
  <c r="DL86" i="13"/>
  <c r="DN86" i="13"/>
  <c r="DM86" i="13"/>
  <c r="DS86" i="13"/>
  <c r="DR86" i="13"/>
  <c r="DO86" i="13"/>
  <c r="DQ86" i="13"/>
  <c r="DP86" i="13"/>
  <c r="DT67" i="13"/>
  <c r="DL67" i="13"/>
  <c r="DM67" i="13"/>
  <c r="DS67" i="13"/>
  <c r="DR67" i="13"/>
  <c r="DQ67" i="13"/>
  <c r="DN67" i="13"/>
  <c r="DP67" i="13"/>
  <c r="DO67" i="13"/>
  <c r="EC95" i="13"/>
  <c r="EH95" i="13"/>
  <c r="EG95" i="13"/>
  <c r="EB95" i="13"/>
  <c r="EJ95" i="13"/>
  <c r="EI95" i="13"/>
  <c r="EF95" i="13"/>
  <c r="EE95" i="13"/>
  <c r="ED95" i="13"/>
  <c r="ET104" i="13"/>
  <c r="EY104" i="13"/>
  <c r="EX104" i="13"/>
  <c r="EZ104" i="13"/>
  <c r="EW104" i="13"/>
  <c r="EV104" i="13"/>
  <c r="EU104" i="13"/>
  <c r="ES104" i="13"/>
  <c r="ER104" i="13"/>
  <c r="ET86" i="13"/>
  <c r="EY86" i="13"/>
  <c r="EX86" i="13"/>
  <c r="EW86" i="13"/>
  <c r="EV86" i="13"/>
  <c r="EU86" i="13"/>
  <c r="ES86" i="13"/>
  <c r="ER86" i="13"/>
  <c r="EZ86" i="13"/>
  <c r="ET67" i="13"/>
  <c r="EY67" i="13"/>
  <c r="EX67" i="13"/>
  <c r="ES67" i="13"/>
  <c r="ER67" i="13"/>
  <c r="EZ67" i="13"/>
  <c r="EW67" i="13"/>
  <c r="EV67" i="13"/>
  <c r="EU67" i="13"/>
  <c r="FK95" i="13"/>
  <c r="FP95" i="13"/>
  <c r="FH95" i="13"/>
  <c r="FO95" i="13"/>
  <c r="FN95" i="13"/>
  <c r="FM95" i="13"/>
  <c r="FL95" i="13"/>
  <c r="FJ95" i="13"/>
  <c r="FI95" i="13"/>
  <c r="GB104" i="13"/>
  <c r="FY104" i="13"/>
  <c r="GF104" i="13"/>
  <c r="FX104" i="13"/>
  <c r="GC104" i="13"/>
  <c r="GA104" i="13"/>
  <c r="FZ104" i="13"/>
  <c r="GE104" i="13"/>
  <c r="GD104" i="13"/>
  <c r="GB86" i="13"/>
  <c r="FY86" i="13"/>
  <c r="GF86" i="13"/>
  <c r="FX86" i="13"/>
  <c r="GE86" i="13"/>
  <c r="GD86" i="13"/>
  <c r="GC86" i="13"/>
  <c r="GA86" i="13"/>
  <c r="FZ86" i="13"/>
  <c r="GS95" i="13"/>
  <c r="GP95" i="13"/>
  <c r="GO95" i="13"/>
  <c r="GT95" i="13"/>
  <c r="GR95" i="13"/>
  <c r="GQ95" i="13"/>
  <c r="GN95" i="13"/>
  <c r="GV95" i="13"/>
  <c r="GU95" i="13"/>
  <c r="HJ104" i="13"/>
  <c r="HG104" i="13"/>
  <c r="HF104" i="13"/>
  <c r="HL104" i="13"/>
  <c r="HK104" i="13"/>
  <c r="HI104" i="13"/>
  <c r="HH104" i="13"/>
  <c r="HE104" i="13"/>
  <c r="HD104" i="13"/>
  <c r="HJ86" i="13"/>
  <c r="HG86" i="13"/>
  <c r="HF86" i="13"/>
  <c r="HK86" i="13"/>
  <c r="HI86" i="13"/>
  <c r="HH86" i="13"/>
  <c r="HE86" i="13"/>
  <c r="HD86" i="13"/>
  <c r="HL86" i="13"/>
  <c r="IA95" i="13"/>
  <c r="HX95" i="13"/>
  <c r="HW95" i="13"/>
  <c r="HY95" i="13"/>
  <c r="HV95" i="13"/>
  <c r="HU95" i="13"/>
  <c r="HT95" i="13"/>
  <c r="IB95" i="13"/>
  <c r="HZ95" i="13"/>
  <c r="IR104" i="13"/>
  <c r="IJ104" i="13"/>
  <c r="IO104" i="13"/>
  <c r="IN104" i="13"/>
  <c r="IL104" i="13"/>
  <c r="IK104" i="13"/>
  <c r="IQ104" i="13"/>
  <c r="IP104" i="13"/>
  <c r="IM104" i="13"/>
  <c r="IR86" i="13"/>
  <c r="IJ86" i="13"/>
  <c r="IO86" i="13"/>
  <c r="IN86" i="13"/>
  <c r="IQ86" i="13"/>
  <c r="IP86" i="13"/>
  <c r="IM86" i="13"/>
  <c r="IL86" i="13"/>
  <c r="IK86" i="13"/>
  <c r="IR67" i="13"/>
  <c r="IJ67" i="13"/>
  <c r="IO67" i="13"/>
  <c r="IN67" i="13"/>
  <c r="IP67" i="13"/>
  <c r="IM67" i="13"/>
  <c r="IL67" i="13"/>
  <c r="IK67" i="13"/>
  <c r="IQ67" i="13"/>
  <c r="BR68" i="13"/>
  <c r="BQ68" i="13"/>
  <c r="BP68" i="13"/>
  <c r="DO96" i="13"/>
  <c r="DN96" i="13"/>
  <c r="DM96" i="13"/>
  <c r="DL96" i="13"/>
  <c r="DT96" i="13"/>
  <c r="DS96" i="13"/>
  <c r="DQ96" i="13"/>
  <c r="DP96" i="13"/>
  <c r="DR96" i="13"/>
  <c r="BQ94" i="13"/>
  <c r="BR94" i="13"/>
  <c r="BP94" i="13"/>
  <c r="BQ73" i="13"/>
  <c r="BR73" i="13"/>
  <c r="BP73" i="13"/>
  <c r="CM103" i="13"/>
  <c r="CL103" i="13"/>
  <c r="CK103" i="13"/>
  <c r="CJ103" i="13"/>
  <c r="CI103" i="13"/>
  <c r="CH103" i="13"/>
  <c r="CN103" i="13"/>
  <c r="CG103" i="13"/>
  <c r="CF103" i="13"/>
  <c r="CM85" i="13"/>
  <c r="CK85" i="13"/>
  <c r="CJ85" i="13"/>
  <c r="CI85" i="13"/>
  <c r="CH85" i="13"/>
  <c r="CG85" i="13"/>
  <c r="CN85" i="13"/>
  <c r="CL85" i="13"/>
  <c r="CF85" i="13"/>
  <c r="CM66" i="13"/>
  <c r="CJ66" i="13"/>
  <c r="CI66" i="13"/>
  <c r="CH66" i="13"/>
  <c r="CG66" i="13"/>
  <c r="CF66" i="13"/>
  <c r="CN66" i="13"/>
  <c r="CL66" i="13"/>
  <c r="CK66" i="13"/>
  <c r="DD94" i="13"/>
  <c r="CV94" i="13"/>
  <c r="DC94" i="13"/>
  <c r="DB94" i="13"/>
  <c r="DA94" i="13"/>
  <c r="CZ94" i="13"/>
  <c r="CW94" i="13"/>
  <c r="CY94" i="13"/>
  <c r="CX94" i="13"/>
  <c r="DD73" i="13"/>
  <c r="CV73" i="13"/>
  <c r="DC73" i="13"/>
  <c r="DB73" i="13"/>
  <c r="DA73" i="13"/>
  <c r="CZ73" i="13"/>
  <c r="CY73" i="13"/>
  <c r="CX73" i="13"/>
  <c r="CW73" i="13"/>
  <c r="DM103" i="13"/>
  <c r="DO103" i="13"/>
  <c r="DN103" i="13"/>
  <c r="DL103" i="13"/>
  <c r="DT103" i="13"/>
  <c r="DS103" i="13"/>
  <c r="DR103" i="13"/>
  <c r="DQ103" i="13"/>
  <c r="DP103" i="13"/>
  <c r="DM85" i="13"/>
  <c r="DN85" i="13"/>
  <c r="DL85" i="13"/>
  <c r="DT85" i="13"/>
  <c r="DS85" i="13"/>
  <c r="DR85" i="13"/>
  <c r="DQ85" i="13"/>
  <c r="DP85" i="13"/>
  <c r="DO85" i="13"/>
  <c r="DM66" i="13"/>
  <c r="DL66" i="13"/>
  <c r="DT66" i="13"/>
  <c r="DS66" i="13"/>
  <c r="DR66" i="13"/>
  <c r="DQ66" i="13"/>
  <c r="DP66" i="13"/>
  <c r="DO66" i="13"/>
  <c r="DN66" i="13"/>
  <c r="ED94" i="13"/>
  <c r="EI94" i="13"/>
  <c r="EH94" i="13"/>
  <c r="EJ94" i="13"/>
  <c r="EG94" i="13"/>
  <c r="EF94" i="13"/>
  <c r="EE94" i="13"/>
  <c r="EC94" i="13"/>
  <c r="EB94" i="13"/>
  <c r="ED73" i="13"/>
  <c r="EF73" i="13"/>
  <c r="EE73" i="13"/>
  <c r="EC73" i="13"/>
  <c r="EB73" i="13"/>
  <c r="EJ73" i="13"/>
  <c r="EH73" i="13"/>
  <c r="EG73" i="13"/>
  <c r="EI73" i="13"/>
  <c r="EU103" i="13"/>
  <c r="EZ103" i="13"/>
  <c r="ER103" i="13"/>
  <c r="EY103" i="13"/>
  <c r="EX103" i="13"/>
  <c r="EW103" i="13"/>
  <c r="EV103" i="13"/>
  <c r="ET103" i="13"/>
  <c r="ES103" i="13"/>
  <c r="EU85" i="13"/>
  <c r="EZ85" i="13"/>
  <c r="ER85" i="13"/>
  <c r="EY85" i="13"/>
  <c r="ET85" i="13"/>
  <c r="ES85" i="13"/>
  <c r="EX85" i="13"/>
  <c r="EW85" i="13"/>
  <c r="EV85" i="13"/>
  <c r="EU66" i="13"/>
  <c r="EZ66" i="13"/>
  <c r="ER66" i="13"/>
  <c r="EY66" i="13"/>
  <c r="EX66" i="13"/>
  <c r="EW66" i="13"/>
  <c r="EV66" i="13"/>
  <c r="ET66" i="13"/>
  <c r="ES66" i="13"/>
  <c r="FL94" i="13"/>
  <c r="FI94" i="13"/>
  <c r="FP94" i="13"/>
  <c r="FH94" i="13"/>
  <c r="FO94" i="13"/>
  <c r="FN94" i="13"/>
  <c r="FM94" i="13"/>
  <c r="FK94" i="13"/>
  <c r="FJ94" i="13"/>
  <c r="GC103" i="13"/>
  <c r="FZ103" i="13"/>
  <c r="FY103" i="13"/>
  <c r="FX103" i="13"/>
  <c r="GF103" i="13"/>
  <c r="GE103" i="13"/>
  <c r="GD103" i="13"/>
  <c r="GB103" i="13"/>
  <c r="GA103" i="13"/>
  <c r="GC85" i="13"/>
  <c r="FZ85" i="13"/>
  <c r="FY85" i="13"/>
  <c r="GF85" i="13"/>
  <c r="GE85" i="13"/>
  <c r="GD85" i="13"/>
  <c r="GB85" i="13"/>
  <c r="GA85" i="13"/>
  <c r="FX85" i="13"/>
  <c r="GT94" i="13"/>
  <c r="GQ94" i="13"/>
  <c r="GP94" i="13"/>
  <c r="GO94" i="13"/>
  <c r="GN94" i="13"/>
  <c r="GV94" i="13"/>
  <c r="GU94" i="13"/>
  <c r="GS94" i="13"/>
  <c r="GR94" i="13"/>
  <c r="HK103" i="13"/>
  <c r="HH103" i="13"/>
  <c r="HG103" i="13"/>
  <c r="HL103" i="13"/>
  <c r="HJ103" i="13"/>
  <c r="HI103" i="13"/>
  <c r="HF103" i="13"/>
  <c r="HE103" i="13"/>
  <c r="HD103" i="13"/>
  <c r="HK85" i="13"/>
  <c r="HH85" i="13"/>
  <c r="HG85" i="13"/>
  <c r="HF85" i="13"/>
  <c r="HE85" i="13"/>
  <c r="HD85" i="13"/>
  <c r="HL85" i="13"/>
  <c r="HJ85" i="13"/>
  <c r="HI85" i="13"/>
  <c r="IB94" i="13"/>
  <c r="HT94" i="13"/>
  <c r="HY94" i="13"/>
  <c r="HX94" i="13"/>
  <c r="HU94" i="13"/>
  <c r="IA94" i="13"/>
  <c r="HZ94" i="13"/>
  <c r="HW94" i="13"/>
  <c r="HV94" i="13"/>
  <c r="IB73" i="13"/>
  <c r="HT73" i="13"/>
  <c r="HY73" i="13"/>
  <c r="HX73" i="13"/>
  <c r="IA73" i="13"/>
  <c r="HZ73" i="13"/>
  <c r="HW73" i="13"/>
  <c r="HV73" i="13"/>
  <c r="HU73" i="13"/>
  <c r="IK103" i="13"/>
  <c r="IP103" i="13"/>
  <c r="IO103" i="13"/>
  <c r="IR103" i="13"/>
  <c r="IQ103" i="13"/>
  <c r="IN103" i="13"/>
  <c r="IM103" i="13"/>
  <c r="IL103" i="13"/>
  <c r="IJ103" i="13"/>
  <c r="IK85" i="13"/>
  <c r="IP85" i="13"/>
  <c r="IO85" i="13"/>
  <c r="IQ85" i="13"/>
  <c r="IN85" i="13"/>
  <c r="IM85" i="13"/>
  <c r="IL85" i="13"/>
  <c r="IJ85" i="13"/>
  <c r="IR85" i="13"/>
  <c r="IK66" i="13"/>
  <c r="IP66" i="13"/>
  <c r="IO66" i="13"/>
  <c r="IL66" i="13"/>
  <c r="IJ66" i="13"/>
  <c r="IR66" i="13"/>
  <c r="IQ66" i="13"/>
  <c r="IN66" i="13"/>
  <c r="IM66" i="13"/>
  <c r="EF88" i="13"/>
  <c r="EG88" i="13"/>
  <c r="EE88" i="13"/>
  <c r="ED88" i="13"/>
  <c r="EC88" i="13"/>
  <c r="EB88" i="13"/>
  <c r="EJ88" i="13"/>
  <c r="EI88" i="13"/>
  <c r="EH88" i="13"/>
  <c r="BR93" i="13"/>
  <c r="BQ93" i="13"/>
  <c r="BP93" i="13"/>
  <c r="BR69" i="13"/>
  <c r="BQ69" i="13"/>
  <c r="BP69" i="13"/>
  <c r="CN102" i="13"/>
  <c r="CF102" i="13"/>
  <c r="CL102" i="13"/>
  <c r="CK102" i="13"/>
  <c r="CJ102" i="13"/>
  <c r="CI102" i="13"/>
  <c r="CH102" i="13"/>
  <c r="CM102" i="13"/>
  <c r="CG102" i="13"/>
  <c r="CG76" i="13"/>
  <c r="CK76" i="13"/>
  <c r="CJ76" i="13"/>
  <c r="CI76" i="13"/>
  <c r="CH76" i="13"/>
  <c r="CF76" i="13"/>
  <c r="CL76" i="13"/>
  <c r="CN76" i="13"/>
  <c r="CM76" i="13"/>
  <c r="CN65" i="13"/>
  <c r="CF65" i="13"/>
  <c r="CJ65" i="13"/>
  <c r="CI65" i="13"/>
  <c r="CH65" i="13"/>
  <c r="CG65" i="13"/>
  <c r="CM65" i="13"/>
  <c r="CL65" i="13"/>
  <c r="CK65" i="13"/>
  <c r="CW93" i="13"/>
  <c r="DD93" i="13"/>
  <c r="DC93" i="13"/>
  <c r="DB93" i="13"/>
  <c r="DA93" i="13"/>
  <c r="CZ93" i="13"/>
  <c r="CY93" i="13"/>
  <c r="CX93" i="13"/>
  <c r="CV93" i="13"/>
  <c r="CW69" i="13"/>
  <c r="DC69" i="13"/>
  <c r="DB69" i="13"/>
  <c r="DA69" i="13"/>
  <c r="CZ69" i="13"/>
  <c r="CY69" i="13"/>
  <c r="DD69" i="13"/>
  <c r="CX69" i="13"/>
  <c r="CV69" i="13"/>
  <c r="DN102" i="13"/>
  <c r="DO102" i="13"/>
  <c r="DM102" i="13"/>
  <c r="DL102" i="13"/>
  <c r="DT102" i="13"/>
  <c r="DS102" i="13"/>
  <c r="DR102" i="13"/>
  <c r="DQ102" i="13"/>
  <c r="DP102" i="13"/>
  <c r="DO76" i="13"/>
  <c r="DM76" i="13"/>
  <c r="DL76" i="13"/>
  <c r="DT76" i="13"/>
  <c r="DS76" i="13"/>
  <c r="DR76" i="13"/>
  <c r="DP76" i="13"/>
  <c r="DN76" i="13"/>
  <c r="DQ76" i="13"/>
  <c r="DN65" i="13"/>
  <c r="DL65" i="13"/>
  <c r="DT65" i="13"/>
  <c r="DS65" i="13"/>
  <c r="DR65" i="13"/>
  <c r="DQ65" i="13"/>
  <c r="DP65" i="13"/>
  <c r="DO65" i="13"/>
  <c r="DM65" i="13"/>
  <c r="EE93" i="13"/>
  <c r="EJ93" i="13"/>
  <c r="EI93" i="13"/>
  <c r="EG93" i="13"/>
  <c r="EF93" i="13"/>
  <c r="ED93" i="13"/>
  <c r="EC93" i="13"/>
  <c r="EB93" i="13"/>
  <c r="EH93" i="13"/>
  <c r="EE69" i="13"/>
  <c r="EF69" i="13"/>
  <c r="ED69" i="13"/>
  <c r="EC69" i="13"/>
  <c r="EB69" i="13"/>
  <c r="EJ69" i="13"/>
  <c r="EH69" i="13"/>
  <c r="EG69" i="13"/>
  <c r="EI69" i="13"/>
  <c r="EV102" i="13"/>
  <c r="ES102" i="13"/>
  <c r="EZ102" i="13"/>
  <c r="ER102" i="13"/>
  <c r="EU102" i="13"/>
  <c r="ET102" i="13"/>
  <c r="EY102" i="13"/>
  <c r="EX102" i="13"/>
  <c r="EW102" i="13"/>
  <c r="EW76" i="13"/>
  <c r="ET76" i="13"/>
  <c r="ES76" i="13"/>
  <c r="EY76" i="13"/>
  <c r="EX76" i="13"/>
  <c r="EV76" i="13"/>
  <c r="EU76" i="13"/>
  <c r="ER76" i="13"/>
  <c r="EZ76" i="13"/>
  <c r="EV65" i="13"/>
  <c r="ES65" i="13"/>
  <c r="EZ65" i="13"/>
  <c r="ER65" i="13"/>
  <c r="EX65" i="13"/>
  <c r="EW65" i="13"/>
  <c r="EU65" i="13"/>
  <c r="ET65" i="13"/>
  <c r="EY65" i="13"/>
  <c r="FM93" i="13"/>
  <c r="FJ93" i="13"/>
  <c r="FI93" i="13"/>
  <c r="FL93" i="13"/>
  <c r="FK93" i="13"/>
  <c r="FH93" i="13"/>
  <c r="FP93" i="13"/>
  <c r="FO93" i="13"/>
  <c r="FN93" i="13"/>
  <c r="GD102" i="13"/>
  <c r="GA102" i="13"/>
  <c r="FZ102" i="13"/>
  <c r="GF102" i="13"/>
  <c r="GE102" i="13"/>
  <c r="GC102" i="13"/>
  <c r="GB102" i="13"/>
  <c r="FY102" i="13"/>
  <c r="FX102" i="13"/>
  <c r="GU93" i="13"/>
  <c r="GR93" i="13"/>
  <c r="GQ93" i="13"/>
  <c r="GV93" i="13"/>
  <c r="GT93" i="13"/>
  <c r="GS93" i="13"/>
  <c r="GP93" i="13"/>
  <c r="GO93" i="13"/>
  <c r="GN93" i="13"/>
  <c r="HL102" i="13"/>
  <c r="HD102" i="13"/>
  <c r="HI102" i="13"/>
  <c r="HH102" i="13"/>
  <c r="HG102" i="13"/>
  <c r="HF102" i="13"/>
  <c r="HE102" i="13"/>
  <c r="HK102" i="13"/>
  <c r="HJ102" i="13"/>
  <c r="HU93" i="13"/>
  <c r="HZ93" i="13"/>
  <c r="HY93" i="13"/>
  <c r="IB93" i="13"/>
  <c r="IA93" i="13"/>
  <c r="HX93" i="13"/>
  <c r="HW93" i="13"/>
  <c r="HV93" i="13"/>
  <c r="HT93" i="13"/>
  <c r="HU69" i="13"/>
  <c r="HZ69" i="13"/>
  <c r="HY69" i="13"/>
  <c r="HX69" i="13"/>
  <c r="HW69" i="13"/>
  <c r="HV69" i="13"/>
  <c r="HT69" i="13"/>
  <c r="IB69" i="13"/>
  <c r="IA69" i="13"/>
  <c r="IL102" i="13"/>
  <c r="IQ102" i="13"/>
  <c r="IP102" i="13"/>
  <c r="IR102" i="13"/>
  <c r="IO102" i="13"/>
  <c r="IN102" i="13"/>
  <c r="IM102" i="13"/>
  <c r="IK102" i="13"/>
  <c r="IJ102" i="13"/>
  <c r="IM76" i="13"/>
  <c r="IR76" i="13"/>
  <c r="IJ76" i="13"/>
  <c r="IQ76" i="13"/>
  <c r="IP76" i="13"/>
  <c r="IO76" i="13"/>
  <c r="IN76" i="13"/>
  <c r="IL76" i="13"/>
  <c r="IK76" i="13"/>
  <c r="IL65" i="13"/>
  <c r="IQ65" i="13"/>
  <c r="IP65" i="13"/>
  <c r="IR65" i="13"/>
  <c r="IO65" i="13"/>
  <c r="IN65" i="13"/>
  <c r="IM65" i="13"/>
  <c r="IK65" i="13"/>
  <c r="IJ65" i="13"/>
  <c r="CH75" i="13"/>
  <c r="CK75" i="13"/>
  <c r="CJ75" i="13"/>
  <c r="CI75" i="13"/>
  <c r="CG75" i="13"/>
  <c r="CF75" i="13"/>
  <c r="CN75" i="13"/>
  <c r="CM75" i="13"/>
  <c r="CL75" i="13"/>
  <c r="DP75" i="13"/>
  <c r="DM75" i="13"/>
  <c r="DL75" i="13"/>
  <c r="DT75" i="13"/>
  <c r="DS75" i="13"/>
  <c r="DR75" i="13"/>
  <c r="DQ75" i="13"/>
  <c r="DO75" i="13"/>
  <c r="DN75" i="13"/>
  <c r="EX75" i="13"/>
  <c r="EU75" i="13"/>
  <c r="ET75" i="13"/>
  <c r="EV75" i="13"/>
  <c r="ES75" i="13"/>
  <c r="ER75" i="13"/>
  <c r="EZ75" i="13"/>
  <c r="EY75" i="13"/>
  <c r="EW75" i="13"/>
  <c r="FN88" i="13"/>
  <c r="FK88" i="13"/>
  <c r="FJ88" i="13"/>
  <c r="FH88" i="13"/>
  <c r="FP88" i="13"/>
  <c r="FO88" i="13"/>
  <c r="FM88" i="13"/>
  <c r="FL88" i="13"/>
  <c r="FI88" i="13"/>
  <c r="GE96" i="13"/>
  <c r="GB96" i="13"/>
  <c r="GA96" i="13"/>
  <c r="GD96" i="13"/>
  <c r="GC96" i="13"/>
  <c r="FZ96" i="13"/>
  <c r="FY96" i="13"/>
  <c r="FX96" i="13"/>
  <c r="GF96" i="13"/>
  <c r="HE96" i="13"/>
  <c r="HJ96" i="13"/>
  <c r="HI96" i="13"/>
  <c r="HD96" i="13"/>
  <c r="HL96" i="13"/>
  <c r="HK96" i="13"/>
  <c r="HH96" i="13"/>
  <c r="HG96" i="13"/>
  <c r="HF96" i="13"/>
  <c r="HV88" i="13"/>
  <c r="IA88" i="13"/>
  <c r="HZ88" i="13"/>
  <c r="HY88" i="13"/>
  <c r="HX88" i="13"/>
  <c r="HW88" i="13"/>
  <c r="HU88" i="13"/>
  <c r="HT88" i="13"/>
  <c r="IB88" i="13"/>
  <c r="HV68" i="13"/>
  <c r="IA68" i="13"/>
  <c r="HZ68" i="13"/>
  <c r="HU68" i="13"/>
  <c r="HT68" i="13"/>
  <c r="IB68" i="13"/>
  <c r="HY68" i="13"/>
  <c r="HX68" i="13"/>
  <c r="HW68" i="13"/>
  <c r="IN75" i="13"/>
  <c r="IK75" i="13"/>
  <c r="IR75" i="13"/>
  <c r="IJ75" i="13"/>
  <c r="IQ75" i="13"/>
  <c r="IP75" i="13"/>
  <c r="IO75" i="13"/>
  <c r="IM75" i="13"/>
  <c r="IL75" i="13"/>
  <c r="BP88" i="13"/>
  <c r="BQ88" i="13"/>
  <c r="BR88" i="13"/>
  <c r="CX68" i="13"/>
  <c r="DC68" i="13"/>
  <c r="DB68" i="13"/>
  <c r="DA68" i="13"/>
  <c r="CZ68" i="13"/>
  <c r="CY68" i="13"/>
  <c r="DD68" i="13"/>
  <c r="CW68" i="13"/>
  <c r="CV68" i="13"/>
  <c r="GV88" i="13"/>
  <c r="GN88" i="13"/>
  <c r="GS88" i="13"/>
  <c r="GR88" i="13"/>
  <c r="GU88" i="13"/>
  <c r="GT88" i="13"/>
  <c r="GQ88" i="13"/>
  <c r="GP88" i="13"/>
  <c r="GO88" i="13"/>
  <c r="IM96" i="13"/>
  <c r="IR96" i="13"/>
  <c r="IJ96" i="13"/>
  <c r="IQ96" i="13"/>
  <c r="IN96" i="13"/>
  <c r="IL96" i="13"/>
  <c r="IK96" i="13"/>
  <c r="IP96" i="13"/>
  <c r="IO96" i="13"/>
  <c r="BR86" i="13"/>
  <c r="BQ86" i="13"/>
  <c r="BP86" i="13"/>
  <c r="CY104" i="13"/>
  <c r="CV104" i="13"/>
  <c r="DD104" i="13"/>
  <c r="DC104" i="13"/>
  <c r="DB104" i="13"/>
  <c r="DA104" i="13"/>
  <c r="CX104" i="13"/>
  <c r="CW104" i="13"/>
  <c r="CZ104" i="13"/>
  <c r="EX95" i="13"/>
  <c r="EU95" i="13"/>
  <c r="ET95" i="13"/>
  <c r="EZ95" i="13"/>
  <c r="EY95" i="13"/>
  <c r="EW95" i="13"/>
  <c r="EV95" i="13"/>
  <c r="ES95" i="13"/>
  <c r="ER95" i="13"/>
  <c r="FO86" i="13"/>
  <c r="FL86" i="13"/>
  <c r="FK86" i="13"/>
  <c r="FP86" i="13"/>
  <c r="FN86" i="13"/>
  <c r="FM86" i="13"/>
  <c r="FJ86" i="13"/>
  <c r="FI86" i="13"/>
  <c r="FH86" i="13"/>
  <c r="GF95" i="13"/>
  <c r="FX95" i="13"/>
  <c r="GC95" i="13"/>
  <c r="GB95" i="13"/>
  <c r="FZ95" i="13"/>
  <c r="FY95" i="13"/>
  <c r="GE95" i="13"/>
  <c r="GD95" i="13"/>
  <c r="GA95" i="13"/>
  <c r="GO104" i="13"/>
  <c r="GT104" i="13"/>
  <c r="GS104" i="13"/>
  <c r="GV104" i="13"/>
  <c r="GU104" i="13"/>
  <c r="GR104" i="13"/>
  <c r="GQ104" i="13"/>
  <c r="GP104" i="13"/>
  <c r="GN104" i="13"/>
  <c r="GO86" i="13"/>
  <c r="GT86" i="13"/>
  <c r="GS86" i="13"/>
  <c r="GQ86" i="13"/>
  <c r="GP86" i="13"/>
  <c r="GN86" i="13"/>
  <c r="GV86" i="13"/>
  <c r="GU86" i="13"/>
  <c r="GR86" i="13"/>
  <c r="HF95" i="13"/>
  <c r="HK95" i="13"/>
  <c r="HJ95" i="13"/>
  <c r="HL95" i="13"/>
  <c r="HI95" i="13"/>
  <c r="HH95" i="13"/>
  <c r="HG95" i="13"/>
  <c r="HE95" i="13"/>
  <c r="HD95" i="13"/>
  <c r="HW104" i="13"/>
  <c r="IB104" i="13"/>
  <c r="HT104" i="13"/>
  <c r="IA104" i="13"/>
  <c r="HZ104" i="13"/>
  <c r="HY104" i="13"/>
  <c r="HX104" i="13"/>
  <c r="HV104" i="13"/>
  <c r="HU104" i="13"/>
  <c r="HW86" i="13"/>
  <c r="IB86" i="13"/>
  <c r="HT86" i="13"/>
  <c r="IA86" i="13"/>
  <c r="HV86" i="13"/>
  <c r="HU86" i="13"/>
  <c r="HZ86" i="13"/>
  <c r="HY86" i="13"/>
  <c r="HX86" i="13"/>
  <c r="HW67" i="13"/>
  <c r="IB67" i="13"/>
  <c r="HT67" i="13"/>
  <c r="IA67" i="13"/>
  <c r="HZ67" i="13"/>
  <c r="HY67" i="13"/>
  <c r="HX67" i="13"/>
  <c r="HV67" i="13"/>
  <c r="HU67" i="13"/>
  <c r="IN95" i="13"/>
  <c r="IK95" i="13"/>
  <c r="IR95" i="13"/>
  <c r="IJ95" i="13"/>
  <c r="IQ95" i="13"/>
  <c r="IP95" i="13"/>
  <c r="IO95" i="13"/>
  <c r="IM95" i="13"/>
  <c r="IL95" i="13"/>
  <c r="CX88" i="13"/>
  <c r="DD88" i="13"/>
  <c r="DC88" i="13"/>
  <c r="DB88" i="13"/>
  <c r="DA88" i="13"/>
  <c r="CZ88" i="13"/>
  <c r="CY88" i="13"/>
  <c r="CV88" i="13"/>
  <c r="CW88" i="13"/>
  <c r="BP104" i="13"/>
  <c r="BQ104" i="13"/>
  <c r="BR104" i="13"/>
  <c r="BR67" i="13"/>
  <c r="BP67" i="13"/>
  <c r="BQ67" i="13"/>
  <c r="CY67" i="13"/>
  <c r="DC67" i="13"/>
  <c r="DB67" i="13"/>
  <c r="DA67" i="13"/>
  <c r="CZ67" i="13"/>
  <c r="CX67" i="13"/>
  <c r="CV67" i="13"/>
  <c r="DD67" i="13"/>
  <c r="CW67" i="13"/>
  <c r="DP95" i="13"/>
  <c r="DN95" i="13"/>
  <c r="DM95" i="13"/>
  <c r="DL95" i="13"/>
  <c r="DT95" i="13"/>
  <c r="DS95" i="13"/>
  <c r="DR95" i="13"/>
  <c r="DQ95" i="13"/>
  <c r="DO95" i="13"/>
  <c r="EG86" i="13"/>
  <c r="EF86" i="13"/>
  <c r="EE86" i="13"/>
  <c r="ED86" i="13"/>
  <c r="EC86" i="13"/>
  <c r="EB86" i="13"/>
  <c r="EJ86" i="13"/>
  <c r="EI86" i="13"/>
  <c r="EH86" i="13"/>
  <c r="EG67" i="13"/>
  <c r="EE67" i="13"/>
  <c r="ED67" i="13"/>
  <c r="EC67" i="13"/>
  <c r="EB67" i="13"/>
  <c r="EJ67" i="13"/>
  <c r="EH67" i="13"/>
  <c r="EF67" i="13"/>
  <c r="EI67" i="13"/>
  <c r="FO104" i="13"/>
  <c r="FL104" i="13"/>
  <c r="FK104" i="13"/>
  <c r="FI104" i="13"/>
  <c r="FH104" i="13"/>
  <c r="FP104" i="13"/>
  <c r="FN104" i="13"/>
  <c r="FM104" i="13"/>
  <c r="FJ104" i="13"/>
  <c r="BQ103" i="13"/>
  <c r="BP103" i="13"/>
  <c r="BR103" i="13"/>
  <c r="BS66" i="13"/>
  <c r="BR66" i="13"/>
  <c r="BQ66" i="13"/>
  <c r="BP66" i="13"/>
  <c r="CI94" i="13"/>
  <c r="CL94" i="13"/>
  <c r="CK94" i="13"/>
  <c r="CJ94" i="13"/>
  <c r="CH94" i="13"/>
  <c r="CG94" i="13"/>
  <c r="CM94" i="13"/>
  <c r="CN94" i="13"/>
  <c r="CF94" i="13"/>
  <c r="CZ103" i="13"/>
  <c r="CV103" i="13"/>
  <c r="DD103" i="13"/>
  <c r="DC103" i="13"/>
  <c r="DB103" i="13"/>
  <c r="DA103" i="13"/>
  <c r="CY103" i="13"/>
  <c r="CX103" i="13"/>
  <c r="CW103" i="13"/>
  <c r="CZ66" i="13"/>
  <c r="DC66" i="13"/>
  <c r="DB66" i="13"/>
  <c r="DA66" i="13"/>
  <c r="CY66" i="13"/>
  <c r="CX66" i="13"/>
  <c r="DD66" i="13"/>
  <c r="CW66" i="13"/>
  <c r="CV66" i="13"/>
  <c r="DQ94" i="13"/>
  <c r="DN94" i="13"/>
  <c r="DM94" i="13"/>
  <c r="DL94" i="13"/>
  <c r="DT94" i="13"/>
  <c r="DS94" i="13"/>
  <c r="DP94" i="13"/>
  <c r="DR94" i="13"/>
  <c r="DO94" i="13"/>
  <c r="EH103" i="13"/>
  <c r="EE103" i="13"/>
  <c r="ED103" i="13"/>
  <c r="EJ103" i="13"/>
  <c r="EI103" i="13"/>
  <c r="EG103" i="13"/>
  <c r="EF103" i="13"/>
  <c r="EC103" i="13"/>
  <c r="EB103" i="13"/>
  <c r="EH66" i="13"/>
  <c r="EE66" i="13"/>
  <c r="ED66" i="13"/>
  <c r="EC66" i="13"/>
  <c r="EB66" i="13"/>
  <c r="EJ66" i="13"/>
  <c r="EG66" i="13"/>
  <c r="EF66" i="13"/>
  <c r="EI66" i="13"/>
  <c r="EY94" i="13"/>
  <c r="EV94" i="13"/>
  <c r="EU94" i="13"/>
  <c r="EW94" i="13"/>
  <c r="ET94" i="13"/>
  <c r="ES94" i="13"/>
  <c r="ER94" i="13"/>
  <c r="EZ94" i="13"/>
  <c r="EX94" i="13"/>
  <c r="FP103" i="13"/>
  <c r="FH103" i="13"/>
  <c r="FM103" i="13"/>
  <c r="FL103" i="13"/>
  <c r="FO103" i="13"/>
  <c r="FN103" i="13"/>
  <c r="FK103" i="13"/>
  <c r="FJ103" i="13"/>
  <c r="FI103" i="13"/>
  <c r="FY94" i="13"/>
  <c r="GD94" i="13"/>
  <c r="GC94" i="13"/>
  <c r="GF94" i="13"/>
  <c r="GE94" i="13"/>
  <c r="GB94" i="13"/>
  <c r="GA94" i="13"/>
  <c r="FZ94" i="13"/>
  <c r="FX94" i="13"/>
  <c r="GP103" i="13"/>
  <c r="GU103" i="13"/>
  <c r="GT103" i="13"/>
  <c r="GR103" i="13"/>
  <c r="GQ103" i="13"/>
  <c r="GO103" i="13"/>
  <c r="GN103" i="13"/>
  <c r="GV103" i="13"/>
  <c r="GS103" i="13"/>
  <c r="GP85" i="13"/>
  <c r="GU85" i="13"/>
  <c r="GT85" i="13"/>
  <c r="GN85" i="13"/>
  <c r="GV85" i="13"/>
  <c r="GS85" i="13"/>
  <c r="GR85" i="13"/>
  <c r="GQ85" i="13"/>
  <c r="GO85" i="13"/>
  <c r="HG94" i="13"/>
  <c r="HL94" i="13"/>
  <c r="HD94" i="13"/>
  <c r="HK94" i="13"/>
  <c r="HI94" i="13"/>
  <c r="HH94" i="13"/>
  <c r="HF94" i="13"/>
  <c r="HE94" i="13"/>
  <c r="HJ94" i="13"/>
  <c r="HX103" i="13"/>
  <c r="HU103" i="13"/>
  <c r="IB103" i="13"/>
  <c r="HT103" i="13"/>
  <c r="HW103" i="13"/>
  <c r="HV103" i="13"/>
  <c r="IA103" i="13"/>
  <c r="HZ103" i="13"/>
  <c r="HY103" i="13"/>
  <c r="HX85" i="13"/>
  <c r="HU85" i="13"/>
  <c r="IB85" i="13"/>
  <c r="HT85" i="13"/>
  <c r="IA85" i="13"/>
  <c r="HZ85" i="13"/>
  <c r="HY85" i="13"/>
  <c r="HW85" i="13"/>
  <c r="HV85" i="13"/>
  <c r="HX66" i="13"/>
  <c r="HU66" i="13"/>
  <c r="IB66" i="13"/>
  <c r="HT66" i="13"/>
  <c r="HZ66" i="13"/>
  <c r="HY66" i="13"/>
  <c r="HW66" i="13"/>
  <c r="HV66" i="13"/>
  <c r="IA66" i="13"/>
  <c r="IO94" i="13"/>
  <c r="IL94" i="13"/>
  <c r="IK94" i="13"/>
  <c r="IR94" i="13"/>
  <c r="IQ94" i="13"/>
  <c r="IP94" i="13"/>
  <c r="IN94" i="13"/>
  <c r="IM94" i="13"/>
  <c r="IJ94" i="13"/>
  <c r="IO73" i="13"/>
  <c r="IL73" i="13"/>
  <c r="IK73" i="13"/>
  <c r="IN73" i="13"/>
  <c r="IM73" i="13"/>
  <c r="IJ73" i="13"/>
  <c r="IR73" i="13"/>
  <c r="IQ73" i="13"/>
  <c r="IP73" i="13"/>
  <c r="CH95" i="13"/>
  <c r="CL95" i="13"/>
  <c r="CK95" i="13"/>
  <c r="CJ95" i="13"/>
  <c r="CI95" i="13"/>
  <c r="CG95" i="13"/>
  <c r="CN95" i="13"/>
  <c r="CM95" i="13"/>
  <c r="CF95" i="13"/>
  <c r="CY86" i="13"/>
  <c r="DD86" i="13"/>
  <c r="DC86" i="13"/>
  <c r="DB86" i="13"/>
  <c r="DA86" i="13"/>
  <c r="CZ86" i="13"/>
  <c r="CW86" i="13"/>
  <c r="CV86" i="13"/>
  <c r="CX86" i="13"/>
  <c r="EG104" i="13"/>
  <c r="ED104" i="13"/>
  <c r="EC104" i="13"/>
  <c r="EE104" i="13"/>
  <c r="EB104" i="13"/>
  <c r="EJ104" i="13"/>
  <c r="EI104" i="13"/>
  <c r="EH104" i="13"/>
  <c r="EF104" i="13"/>
  <c r="BR85" i="13"/>
  <c r="BQ85" i="13"/>
  <c r="BP85" i="13"/>
  <c r="CI73" i="13"/>
  <c r="CK73" i="13"/>
  <c r="CJ73" i="13"/>
  <c r="CH73" i="13"/>
  <c r="CG73" i="13"/>
  <c r="CF73" i="13"/>
  <c r="CN73" i="13"/>
  <c r="CM73" i="13"/>
  <c r="CL73" i="13"/>
  <c r="CZ85" i="13"/>
  <c r="DD85" i="13"/>
  <c r="DC85" i="13"/>
  <c r="DB85" i="13"/>
  <c r="DA85" i="13"/>
  <c r="CY85" i="13"/>
  <c r="CX85" i="13"/>
  <c r="CW85" i="13"/>
  <c r="CV85" i="13"/>
  <c r="DQ73" i="13"/>
  <c r="DM73" i="13"/>
  <c r="DL73" i="13"/>
  <c r="DT73" i="13"/>
  <c r="DS73" i="13"/>
  <c r="DR73" i="13"/>
  <c r="DP73" i="13"/>
  <c r="DO73" i="13"/>
  <c r="DN73" i="13"/>
  <c r="EH85" i="13"/>
  <c r="EF85" i="13"/>
  <c r="EE85" i="13"/>
  <c r="ED85" i="13"/>
  <c r="EC85" i="13"/>
  <c r="EB85" i="13"/>
  <c r="EJ85" i="13"/>
  <c r="EI85" i="13"/>
  <c r="EG85" i="13"/>
  <c r="EY73" i="13"/>
  <c r="EV73" i="13"/>
  <c r="EU73" i="13"/>
  <c r="ER73" i="13"/>
  <c r="EZ73" i="13"/>
  <c r="EX73" i="13"/>
  <c r="EW73" i="13"/>
  <c r="ET73" i="13"/>
  <c r="ES73" i="13"/>
  <c r="FP85" i="13"/>
  <c r="FH85" i="13"/>
  <c r="FM85" i="13"/>
  <c r="FL85" i="13"/>
  <c r="FN85" i="13"/>
  <c r="FK85" i="13"/>
  <c r="FJ85" i="13"/>
  <c r="FI85" i="13"/>
  <c r="FO85" i="13"/>
  <c r="BQ102" i="13"/>
  <c r="BR102" i="13"/>
  <c r="BP102" i="13"/>
  <c r="BR76" i="13"/>
  <c r="BQ76" i="13"/>
  <c r="BP76" i="13"/>
  <c r="BP65" i="13"/>
  <c r="BR65" i="13"/>
  <c r="BQ65" i="13"/>
  <c r="CJ93" i="13"/>
  <c r="CL93" i="13"/>
  <c r="CK93" i="13"/>
  <c r="CI93" i="13"/>
  <c r="CH93" i="13"/>
  <c r="CG93" i="13"/>
  <c r="CN93" i="13"/>
  <c r="CM93" i="13"/>
  <c r="CF93" i="13"/>
  <c r="CJ69" i="13"/>
  <c r="CK69" i="13"/>
  <c r="CI69" i="13"/>
  <c r="CH69" i="13"/>
  <c r="CG69" i="13"/>
  <c r="CF69" i="13"/>
  <c r="CM69" i="13"/>
  <c r="CL69" i="13"/>
  <c r="CN69" i="13"/>
  <c r="DA102" i="13"/>
  <c r="CV102" i="13"/>
  <c r="DD102" i="13"/>
  <c r="DC102" i="13"/>
  <c r="DB102" i="13"/>
  <c r="CZ102" i="13"/>
  <c r="CX102" i="13"/>
  <c r="CW102" i="13"/>
  <c r="CY102" i="13"/>
  <c r="DB76" i="13"/>
  <c r="DD76" i="13"/>
  <c r="DC76" i="13"/>
  <c r="DA76" i="13"/>
  <c r="CZ76" i="13"/>
  <c r="CY76" i="13"/>
  <c r="CX76" i="13"/>
  <c r="CW76" i="13"/>
  <c r="CV76" i="13"/>
  <c r="DA65" i="13"/>
  <c r="DC65" i="13"/>
  <c r="DB65" i="13"/>
  <c r="CZ65" i="13"/>
  <c r="CY65" i="13"/>
  <c r="CX65" i="13"/>
  <c r="DD65" i="13"/>
  <c r="CW65" i="13"/>
  <c r="CV65" i="13"/>
  <c r="DR93" i="13"/>
  <c r="DN93" i="13"/>
  <c r="DM93" i="13"/>
  <c r="DL93" i="13"/>
  <c r="DT93" i="13"/>
  <c r="DS93" i="13"/>
  <c r="DQ93" i="13"/>
  <c r="DP93" i="13"/>
  <c r="DO93" i="13"/>
  <c r="DR69" i="13"/>
  <c r="DM69" i="13"/>
  <c r="DL69" i="13"/>
  <c r="DT69" i="13"/>
  <c r="DS69" i="13"/>
  <c r="DQ69" i="13"/>
  <c r="DP69" i="13"/>
  <c r="DO69" i="13"/>
  <c r="DN69" i="13"/>
  <c r="EI102" i="13"/>
  <c r="EF102" i="13"/>
  <c r="EE102" i="13"/>
  <c r="EJ102" i="13"/>
  <c r="EH102" i="13"/>
  <c r="EG102" i="13"/>
  <c r="ED102" i="13"/>
  <c r="EC102" i="13"/>
  <c r="EB102" i="13"/>
  <c r="EJ76" i="13"/>
  <c r="EB76" i="13"/>
  <c r="EF76" i="13"/>
  <c r="EE76" i="13"/>
  <c r="ED76" i="13"/>
  <c r="EC76" i="13"/>
  <c r="EI76" i="13"/>
  <c r="EH76" i="13"/>
  <c r="EG76" i="13"/>
  <c r="EI65" i="13"/>
  <c r="EE65" i="13"/>
  <c r="ED65" i="13"/>
  <c r="EC65" i="13"/>
  <c r="EB65" i="13"/>
  <c r="EJ65" i="13"/>
  <c r="EG65" i="13"/>
  <c r="EH65" i="13"/>
  <c r="EF65" i="13"/>
  <c r="EZ93" i="13"/>
  <c r="ER93" i="13"/>
  <c r="EW93" i="13"/>
  <c r="EV93" i="13"/>
  <c r="ES93" i="13"/>
  <c r="EY93" i="13"/>
  <c r="EX93" i="13"/>
  <c r="EU93" i="13"/>
  <c r="ET93" i="13"/>
  <c r="EZ69" i="13"/>
  <c r="ER69" i="13"/>
  <c r="EW69" i="13"/>
  <c r="EV69" i="13"/>
  <c r="EY69" i="13"/>
  <c r="EX69" i="13"/>
  <c r="EU69" i="13"/>
  <c r="ET69" i="13"/>
  <c r="ES69" i="13"/>
  <c r="FI102" i="13"/>
  <c r="FN102" i="13"/>
  <c r="FM102" i="13"/>
  <c r="FO102" i="13"/>
  <c r="FL102" i="13"/>
  <c r="FK102" i="13"/>
  <c r="FJ102" i="13"/>
  <c r="FH102" i="13"/>
  <c r="FP102" i="13"/>
  <c r="FZ93" i="13"/>
  <c r="GE93" i="13"/>
  <c r="GD93" i="13"/>
  <c r="GF93" i="13"/>
  <c r="GC93" i="13"/>
  <c r="GB93" i="13"/>
  <c r="GA93" i="13"/>
  <c r="FY93" i="13"/>
  <c r="FX93" i="13"/>
  <c r="GQ102" i="13"/>
  <c r="GV102" i="13"/>
  <c r="GN102" i="13"/>
  <c r="GU102" i="13"/>
  <c r="GO102" i="13"/>
  <c r="GT102" i="13"/>
  <c r="GS102" i="13"/>
  <c r="GR102" i="13"/>
  <c r="GP102" i="13"/>
  <c r="HH93" i="13"/>
  <c r="HE93" i="13"/>
  <c r="HL93" i="13"/>
  <c r="HD93" i="13"/>
  <c r="HF93" i="13"/>
  <c r="HK93" i="13"/>
  <c r="HJ93" i="13"/>
  <c r="HI93" i="13"/>
  <c r="HG93" i="13"/>
  <c r="HY102" i="13"/>
  <c r="HV102" i="13"/>
  <c r="HU102" i="13"/>
  <c r="IB102" i="13"/>
  <c r="IA102" i="13"/>
  <c r="HZ102" i="13"/>
  <c r="HX102" i="13"/>
  <c r="HW102" i="13"/>
  <c r="HT102" i="13"/>
  <c r="HZ76" i="13"/>
  <c r="HW76" i="13"/>
  <c r="HV76" i="13"/>
  <c r="HX76" i="13"/>
  <c r="HU76" i="13"/>
  <c r="HT76" i="13"/>
  <c r="IB76" i="13"/>
  <c r="IA76" i="13"/>
  <c r="HY76" i="13"/>
  <c r="HY65" i="13"/>
  <c r="HV65" i="13"/>
  <c r="HU65" i="13"/>
  <c r="HW65" i="13"/>
  <c r="HT65" i="13"/>
  <c r="IB65" i="13"/>
  <c r="IA65" i="13"/>
  <c r="HZ65" i="13"/>
  <c r="HX65" i="13"/>
  <c r="IP93" i="13"/>
  <c r="IM93" i="13"/>
  <c r="IL93" i="13"/>
  <c r="IO93" i="13"/>
  <c r="IN93" i="13"/>
  <c r="IK93" i="13"/>
  <c r="IJ93" i="13"/>
  <c r="IR93" i="13"/>
  <c r="IQ93" i="13"/>
  <c r="IP69" i="13"/>
  <c r="IM69" i="13"/>
  <c r="IL69" i="13"/>
  <c r="IJ69" i="13"/>
  <c r="IR69" i="13"/>
  <c r="IQ69" i="13"/>
  <c r="IO69" i="13"/>
  <c r="IN69" i="13"/>
  <c r="IK69" i="13"/>
  <c r="CM64" i="13"/>
  <c r="CL64" i="13"/>
  <c r="CK64" i="13"/>
  <c r="CF64" i="13"/>
  <c r="CJ64" i="13"/>
  <c r="CI64" i="13"/>
  <c r="CH64" i="13"/>
  <c r="CN64" i="13"/>
  <c r="CG64" i="13"/>
  <c r="EZ64" i="13"/>
  <c r="EY64" i="13"/>
  <c r="IB64" i="13"/>
  <c r="IA64" i="13"/>
  <c r="DS64" i="13"/>
  <c r="DR64" i="13"/>
  <c r="DT64" i="13"/>
  <c r="DQ64" i="13"/>
  <c r="DP64" i="13"/>
  <c r="DO64" i="13"/>
  <c r="DN64" i="13"/>
  <c r="DL64" i="13"/>
  <c r="DM64" i="13"/>
  <c r="IQ64" i="13"/>
  <c r="IP64" i="13"/>
  <c r="IN64" i="13"/>
  <c r="IM64" i="13"/>
  <c r="IO64" i="13"/>
  <c r="IL64" i="13"/>
  <c r="IK64" i="13"/>
  <c r="IJ64" i="13"/>
  <c r="IR64" i="13"/>
  <c r="CY64" i="13"/>
  <c r="CX64" i="13"/>
  <c r="CW64" i="13"/>
  <c r="DD64" i="13"/>
  <c r="CV64" i="13"/>
  <c r="DC64" i="13"/>
  <c r="DB64" i="13"/>
  <c r="DA64" i="13"/>
  <c r="CZ64" i="13"/>
  <c r="EE64" i="13"/>
  <c r="ED64" i="13"/>
  <c r="EC64" i="13"/>
  <c r="EJ64" i="13"/>
  <c r="EB64" i="13"/>
  <c r="EF64" i="13"/>
  <c r="EI64" i="13"/>
  <c r="EH64" i="13"/>
  <c r="EG64" i="13"/>
  <c r="HK76" i="13"/>
  <c r="HJ76" i="13"/>
  <c r="HI76" i="13"/>
  <c r="HH76" i="13"/>
  <c r="HL76" i="13"/>
  <c r="HG76" i="13"/>
  <c r="HF76" i="13"/>
  <c r="HE76" i="13"/>
  <c r="HD76" i="13"/>
  <c r="HK64" i="13"/>
  <c r="HJ64" i="13"/>
  <c r="HI64" i="13"/>
  <c r="HH64" i="13"/>
  <c r="HL64" i="13"/>
  <c r="HG64" i="13"/>
  <c r="HF64" i="13"/>
  <c r="HE64" i="13"/>
  <c r="HD64" i="13"/>
  <c r="HH67" i="13"/>
  <c r="HG67" i="13"/>
  <c r="HF67" i="13"/>
  <c r="HE67" i="13"/>
  <c r="HJ67" i="13"/>
  <c r="HL67" i="13"/>
  <c r="HD67" i="13"/>
  <c r="HK67" i="13"/>
  <c r="HI67" i="13"/>
  <c r="HJ65" i="13"/>
  <c r="HI65" i="13"/>
  <c r="HH65" i="13"/>
  <c r="HG65" i="13"/>
  <c r="HD65" i="13"/>
  <c r="HF65" i="13"/>
  <c r="HE65" i="13"/>
  <c r="HL65" i="13"/>
  <c r="HK65" i="13"/>
  <c r="HE73" i="13"/>
  <c r="HD73" i="13"/>
  <c r="HK73" i="13"/>
  <c r="HJ73" i="13"/>
  <c r="HH73" i="13"/>
  <c r="HL73" i="13"/>
  <c r="HI73" i="13"/>
  <c r="HG73" i="13"/>
  <c r="HF73" i="13"/>
  <c r="HG68" i="13"/>
  <c r="HF68" i="13"/>
  <c r="HE68" i="13"/>
  <c r="HL68" i="13"/>
  <c r="HD68" i="13"/>
  <c r="HH68" i="13"/>
  <c r="HJ68" i="13"/>
  <c r="HI68" i="13"/>
  <c r="HK68" i="13"/>
  <c r="HI66" i="13"/>
  <c r="HH66" i="13"/>
  <c r="HG66" i="13"/>
  <c r="HF66" i="13"/>
  <c r="HJ66" i="13"/>
  <c r="HE66" i="13"/>
  <c r="HL66" i="13"/>
  <c r="HD66" i="13"/>
  <c r="HK66" i="13"/>
  <c r="HL75" i="13"/>
  <c r="HD75" i="13"/>
  <c r="HK75" i="13"/>
  <c r="HJ75" i="13"/>
  <c r="HH75" i="13"/>
  <c r="HF75" i="13"/>
  <c r="HI75" i="13"/>
  <c r="HG75" i="13"/>
  <c r="HE75" i="13"/>
  <c r="HF69" i="13"/>
  <c r="HE69" i="13"/>
  <c r="HL69" i="13"/>
  <c r="HD69" i="13"/>
  <c r="HK69" i="13"/>
  <c r="HJ69" i="13"/>
  <c r="HI69" i="13"/>
  <c r="HH69" i="13"/>
  <c r="HG69" i="13"/>
  <c r="GS73" i="13"/>
  <c r="GR73" i="13"/>
  <c r="GT73" i="13"/>
  <c r="GQ73" i="13"/>
  <c r="GV73" i="13"/>
  <c r="GP73" i="13"/>
  <c r="GU73" i="13"/>
  <c r="GO73" i="13"/>
  <c r="GN73" i="13"/>
  <c r="GT69" i="13"/>
  <c r="GN69" i="13"/>
  <c r="GS69" i="13"/>
  <c r="GO69" i="13"/>
  <c r="GR69" i="13"/>
  <c r="GQ69" i="13"/>
  <c r="GP69" i="13"/>
  <c r="GV69" i="13"/>
  <c r="GU69" i="13"/>
  <c r="GR75" i="13"/>
  <c r="GQ75" i="13"/>
  <c r="GT75" i="13"/>
  <c r="GP75" i="13"/>
  <c r="GS75" i="13"/>
  <c r="GO75" i="13"/>
  <c r="GU75" i="13"/>
  <c r="GV75" i="13"/>
  <c r="GN75" i="13"/>
  <c r="GQ64" i="13"/>
  <c r="GP64" i="13"/>
  <c r="GS64" i="13"/>
  <c r="GO64" i="13"/>
  <c r="GT64" i="13"/>
  <c r="GV64" i="13"/>
  <c r="GN64" i="13"/>
  <c r="GU64" i="13"/>
  <c r="GR64" i="13"/>
  <c r="GU68" i="13"/>
  <c r="GV68" i="13"/>
  <c r="GT68" i="13"/>
  <c r="GO68" i="13"/>
  <c r="GS68" i="13"/>
  <c r="GR68" i="13"/>
  <c r="GQ68" i="13"/>
  <c r="GP68" i="13"/>
  <c r="GN68" i="13"/>
  <c r="GV67" i="13"/>
  <c r="GN67" i="13"/>
  <c r="GQ67" i="13"/>
  <c r="GU67" i="13"/>
  <c r="GT67" i="13"/>
  <c r="GP67" i="13"/>
  <c r="GS67" i="13"/>
  <c r="GO67" i="13"/>
  <c r="GR67" i="13"/>
  <c r="GO66" i="13"/>
  <c r="GV66" i="13"/>
  <c r="GN66" i="13"/>
  <c r="GP66" i="13"/>
  <c r="GU66" i="13"/>
  <c r="GT66" i="13"/>
  <c r="GR66" i="13"/>
  <c r="GS66" i="13"/>
  <c r="GQ66" i="13"/>
  <c r="GQ76" i="13"/>
  <c r="GT76" i="13"/>
  <c r="GP76" i="13"/>
  <c r="GO76" i="13"/>
  <c r="GS76" i="13"/>
  <c r="GV76" i="13"/>
  <c r="GN76" i="13"/>
  <c r="GR76" i="13"/>
  <c r="GU76" i="13"/>
  <c r="GP65" i="13"/>
  <c r="GO65" i="13"/>
  <c r="GS65" i="13"/>
  <c r="GV65" i="13"/>
  <c r="GN65" i="13"/>
  <c r="GQ65" i="13"/>
  <c r="GU65" i="13"/>
  <c r="GR65" i="13"/>
  <c r="GT65" i="13"/>
  <c r="GA68" i="13"/>
  <c r="FZ68" i="13"/>
  <c r="FY68" i="13"/>
  <c r="GF68" i="13"/>
  <c r="FX68" i="13"/>
  <c r="GE68" i="13"/>
  <c r="GD68" i="13"/>
  <c r="GC68" i="13"/>
  <c r="GB68" i="13"/>
  <c r="GB67" i="13"/>
  <c r="GA67" i="13"/>
  <c r="FZ67" i="13"/>
  <c r="FY67" i="13"/>
  <c r="GF67" i="13"/>
  <c r="FX67" i="13"/>
  <c r="GE67" i="13"/>
  <c r="GD67" i="13"/>
  <c r="GC67" i="13"/>
  <c r="GE64" i="13"/>
  <c r="GD64" i="13"/>
  <c r="GC64" i="13"/>
  <c r="GB64" i="13"/>
  <c r="GA64" i="13"/>
  <c r="FZ64" i="13"/>
  <c r="FY64" i="13"/>
  <c r="GF64" i="13"/>
  <c r="FX64" i="13"/>
  <c r="GC66" i="13"/>
  <c r="GB66" i="13"/>
  <c r="GA66" i="13"/>
  <c r="FZ66" i="13"/>
  <c r="FY66" i="13"/>
  <c r="GF66" i="13"/>
  <c r="FX66" i="13"/>
  <c r="GE66" i="13"/>
  <c r="GD66" i="13"/>
  <c r="GE76" i="13"/>
  <c r="GD76" i="13"/>
  <c r="GC76" i="13"/>
  <c r="GB76" i="13"/>
  <c r="GA76" i="13"/>
  <c r="FZ76" i="13"/>
  <c r="FY76" i="13"/>
  <c r="GF76" i="13"/>
  <c r="FX76" i="13"/>
  <c r="GD65" i="13"/>
  <c r="GC65" i="13"/>
  <c r="GB65" i="13"/>
  <c r="GA65" i="13"/>
  <c r="FZ65" i="13"/>
  <c r="FY65" i="13"/>
  <c r="GF65" i="13"/>
  <c r="FX65" i="13"/>
  <c r="GE65" i="13"/>
  <c r="GF75" i="13"/>
  <c r="FX75" i="13"/>
  <c r="GE75" i="13"/>
  <c r="GD75" i="13"/>
  <c r="GC75" i="13"/>
  <c r="GB75" i="13"/>
  <c r="GA75" i="13"/>
  <c r="FZ75" i="13"/>
  <c r="FY75" i="13"/>
  <c r="FY73" i="13"/>
  <c r="GF73" i="13"/>
  <c r="FX73" i="13"/>
  <c r="GE73" i="13"/>
  <c r="GD73" i="13"/>
  <c r="GC73" i="13"/>
  <c r="GB73" i="13"/>
  <c r="GA73" i="13"/>
  <c r="FZ73" i="13"/>
  <c r="FZ69" i="13"/>
  <c r="FY69" i="13"/>
  <c r="GF69" i="13"/>
  <c r="FX69" i="13"/>
  <c r="GE69" i="13"/>
  <c r="GD69" i="13"/>
  <c r="GC69" i="13"/>
  <c r="GB69" i="13"/>
  <c r="GA69" i="13"/>
  <c r="FM73" i="13"/>
  <c r="FL73" i="13"/>
  <c r="FK73" i="13"/>
  <c r="FJ73" i="13"/>
  <c r="FI73" i="13"/>
  <c r="FP73" i="13"/>
  <c r="FH73" i="13"/>
  <c r="FO73" i="13"/>
  <c r="FN73" i="13"/>
  <c r="FN69" i="13"/>
  <c r="FM69" i="13"/>
  <c r="FL69" i="13"/>
  <c r="FK69" i="13"/>
  <c r="FJ69" i="13"/>
  <c r="FI69" i="13"/>
  <c r="FP69" i="13"/>
  <c r="FH69" i="13"/>
  <c r="FO69" i="13"/>
  <c r="FO68" i="13"/>
  <c r="FN68" i="13"/>
  <c r="FM68" i="13"/>
  <c r="FL68" i="13"/>
  <c r="FK68" i="13"/>
  <c r="FJ68" i="13"/>
  <c r="FI68" i="13"/>
  <c r="FP68" i="13"/>
  <c r="FH68" i="13"/>
  <c r="FL75" i="13"/>
  <c r="FK75" i="13"/>
  <c r="FJ75" i="13"/>
  <c r="FI75" i="13"/>
  <c r="FP75" i="13"/>
  <c r="FH75" i="13"/>
  <c r="FO75" i="13"/>
  <c r="FN75" i="13"/>
  <c r="FM75" i="13"/>
  <c r="FP67" i="13"/>
  <c r="FH67" i="13"/>
  <c r="FO67" i="13"/>
  <c r="FN67" i="13"/>
  <c r="FM67" i="13"/>
  <c r="FL67" i="13"/>
  <c r="FK67" i="13"/>
  <c r="FJ67" i="13"/>
  <c r="FI67" i="13"/>
  <c r="FK64" i="13"/>
  <c r="FJ64" i="13"/>
  <c r="FI64" i="13"/>
  <c r="FP64" i="13"/>
  <c r="FH64" i="13"/>
  <c r="FO64" i="13"/>
  <c r="FN64" i="13"/>
  <c r="FM64" i="13"/>
  <c r="FL64" i="13"/>
  <c r="FI66" i="13"/>
  <c r="FP66" i="13"/>
  <c r="FH66" i="13"/>
  <c r="FO66" i="13"/>
  <c r="FN66" i="13"/>
  <c r="FM66" i="13"/>
  <c r="FL66" i="13"/>
  <c r="FK66" i="13"/>
  <c r="FJ66" i="13"/>
  <c r="FK76" i="13"/>
  <c r="FJ76" i="13"/>
  <c r="FI76" i="13"/>
  <c r="FH76" i="13"/>
  <c r="FP76" i="13"/>
  <c r="FO76" i="13"/>
  <c r="FN76" i="13"/>
  <c r="FM76" i="13"/>
  <c r="FL76" i="13"/>
  <c r="FJ65" i="13"/>
  <c r="FI65" i="13"/>
  <c r="FP65" i="13"/>
  <c r="FH65" i="13"/>
  <c r="FO65" i="13"/>
  <c r="FN65" i="13"/>
  <c r="FM65" i="13"/>
  <c r="FL65" i="13"/>
  <c r="FK65" i="13"/>
  <c r="BR74" i="13"/>
  <c r="BQ74" i="13"/>
  <c r="BP74" i="13"/>
  <c r="FI74" i="13"/>
  <c r="FP74" i="13"/>
  <c r="FH74" i="13"/>
  <c r="FO74" i="13"/>
  <c r="FN74" i="13"/>
  <c r="FM74" i="13"/>
  <c r="FL74" i="13"/>
  <c r="FK74" i="13"/>
  <c r="FJ74" i="13"/>
  <c r="HY74" i="13"/>
  <c r="HX74" i="13"/>
  <c r="HW74" i="13"/>
  <c r="HV74" i="13"/>
  <c r="HU74" i="13"/>
  <c r="IB74" i="13"/>
  <c r="HT74" i="13"/>
  <c r="IA74" i="13"/>
  <c r="HZ74" i="13"/>
  <c r="GU74" i="13"/>
  <c r="GT74" i="13"/>
  <c r="GS74" i="13"/>
  <c r="GR74" i="13"/>
  <c r="GQ74" i="13"/>
  <c r="GP74" i="13"/>
  <c r="GO74" i="13"/>
  <c r="GV74" i="13"/>
  <c r="GN74" i="13"/>
  <c r="DT74" i="13"/>
  <c r="DL74" i="13"/>
  <c r="DS74" i="13"/>
  <c r="DR74" i="13"/>
  <c r="DQ74" i="13"/>
  <c r="DP74" i="13"/>
  <c r="DO74" i="13"/>
  <c r="DN74" i="13"/>
  <c r="DM74" i="13"/>
  <c r="IN74" i="13"/>
  <c r="IJ74" i="13"/>
  <c r="IR74" i="13"/>
  <c r="IQ74" i="13"/>
  <c r="IP74" i="13"/>
  <c r="IO74" i="13"/>
  <c r="IM74" i="13"/>
  <c r="IL74" i="13"/>
  <c r="IK74" i="13"/>
  <c r="EE74" i="13"/>
  <c r="ED74" i="13"/>
  <c r="EC74" i="13"/>
  <c r="EJ74" i="13"/>
  <c r="EB74" i="13"/>
  <c r="EI74" i="13"/>
  <c r="EH74" i="13"/>
  <c r="EG74" i="13"/>
  <c r="EF74" i="13"/>
  <c r="HF74" i="13"/>
  <c r="HE74" i="13"/>
  <c r="HL74" i="13"/>
  <c r="HD74" i="13"/>
  <c r="HK74" i="13"/>
  <c r="HJ74" i="13"/>
  <c r="HI74" i="13"/>
  <c r="HH74" i="13"/>
  <c r="HG74" i="13"/>
  <c r="DA74" i="13"/>
  <c r="CZ74" i="13"/>
  <c r="CY74" i="13"/>
  <c r="CX74" i="13"/>
  <c r="CW74" i="13"/>
  <c r="DD74" i="13"/>
  <c r="CV74" i="13"/>
  <c r="DC74" i="13"/>
  <c r="DB74" i="13"/>
  <c r="CH74" i="13"/>
  <c r="CG74" i="13"/>
  <c r="CN74" i="13"/>
  <c r="CF74" i="13"/>
  <c r="CM74" i="13"/>
  <c r="CL74" i="13"/>
  <c r="CK74" i="13"/>
  <c r="CJ74" i="13"/>
  <c r="CI74" i="13"/>
  <c r="EX74" i="13"/>
  <c r="EW74" i="13"/>
  <c r="EV74" i="13"/>
  <c r="EU74" i="13"/>
  <c r="ET74" i="13"/>
  <c r="ES74" i="13"/>
  <c r="EZ74" i="13"/>
  <c r="ER74" i="13"/>
  <c r="EY74" i="13"/>
  <c r="GB74" i="13"/>
  <c r="GA74" i="13"/>
  <c r="FZ74" i="13"/>
  <c r="FY74" i="13"/>
  <c r="GF74" i="13"/>
  <c r="FX74" i="13"/>
  <c r="GE74" i="13"/>
  <c r="GD74" i="13"/>
  <c r="GC74" i="13"/>
  <c r="BA64" i="13"/>
  <c r="BA104" i="13"/>
  <c r="BA103" i="13"/>
  <c r="BA102" i="13"/>
  <c r="BA96" i="13"/>
  <c r="BA95" i="13"/>
  <c r="BA94" i="13"/>
  <c r="BA93" i="13"/>
  <c r="BA88" i="13"/>
  <c r="BA86" i="13"/>
  <c r="BA85" i="13"/>
  <c r="BA84" i="13"/>
  <c r="BA76" i="13"/>
  <c r="BA75" i="13"/>
  <c r="BA74" i="13"/>
  <c r="BA73" i="13"/>
  <c r="BA69" i="13"/>
  <c r="BA68" i="13"/>
  <c r="BA67" i="13"/>
  <c r="BA66" i="13"/>
  <c r="BA65" i="13"/>
  <c r="W64" i="9"/>
  <c r="W75" i="9"/>
  <c r="W95" i="9"/>
  <c r="W67" i="9"/>
  <c r="W65" i="9"/>
  <c r="W74" i="9"/>
  <c r="W94" i="9"/>
  <c r="W103" i="9"/>
  <c r="W86" i="9"/>
  <c r="W76" i="9"/>
  <c r="W69" i="9"/>
  <c r="W88" i="9"/>
  <c r="W66" i="9"/>
  <c r="W85" i="9"/>
  <c r="W73" i="9"/>
  <c r="W68" i="9"/>
  <c r="W104" i="9"/>
  <c r="W84" i="9"/>
  <c r="W102" i="9"/>
  <c r="W96" i="9"/>
  <c r="W93" i="9"/>
  <c r="X5" i="9"/>
  <c r="W6" i="9"/>
  <c r="W9" i="9" s="1"/>
  <c r="BP13" i="13"/>
  <c r="CF13" i="13"/>
  <c r="CV13" i="13"/>
  <c r="DL13" i="13"/>
  <c r="EB13" i="13"/>
  <c r="ER13" i="13"/>
  <c r="FH13" i="13"/>
  <c r="FX13" i="13"/>
  <c r="GN13" i="13"/>
  <c r="HD13" i="13"/>
  <c r="HT13" i="13"/>
  <c r="IJ13" i="13"/>
  <c r="IZ13" i="13"/>
  <c r="JP13" i="13"/>
  <c r="KF13" i="13"/>
  <c r="KV13" i="13"/>
  <c r="LL13" i="13"/>
  <c r="MB13" i="13"/>
  <c r="MR13" i="13"/>
  <c r="NH13" i="13"/>
  <c r="NX13" i="13"/>
  <c r="J114" i="13"/>
  <c r="AZ11" i="13"/>
  <c r="E38" i="5"/>
  <c r="B114" i="11" s="1"/>
  <c r="E37" i="5"/>
  <c r="B113" i="11" s="1"/>
  <c r="E36" i="5"/>
  <c r="B112" i="11" s="1"/>
  <c r="E35" i="5"/>
  <c r="B111" i="11" s="1"/>
  <c r="E34" i="5"/>
  <c r="B110" i="11" s="1"/>
  <c r="E33" i="5"/>
  <c r="B109" i="11" s="1"/>
  <c r="B97" i="11"/>
  <c r="B97" i="12" s="1"/>
  <c r="B98" i="12" s="1"/>
  <c r="B87" i="11"/>
  <c r="B87" i="12" s="1"/>
  <c r="B77" i="11"/>
  <c r="B77" i="12" s="1"/>
  <c r="B78" i="12" s="1"/>
  <c r="B111" i="12" l="1"/>
  <c r="B109" i="12"/>
  <c r="B110" i="12" s="1"/>
  <c r="BB64" i="13"/>
  <c r="BB104" i="13"/>
  <c r="BB103" i="13"/>
  <c r="BB102" i="13"/>
  <c r="BB96" i="13"/>
  <c r="BB95" i="13"/>
  <c r="BB94" i="13"/>
  <c r="BB93" i="13"/>
  <c r="BB88" i="13"/>
  <c r="BB86" i="13"/>
  <c r="BB85" i="13"/>
  <c r="BB84" i="13"/>
  <c r="BB76" i="13"/>
  <c r="BB75" i="13"/>
  <c r="BB74" i="13"/>
  <c r="BB73" i="13"/>
  <c r="BB69" i="13"/>
  <c r="BB68" i="13"/>
  <c r="BB67" i="13"/>
  <c r="BB66" i="13"/>
  <c r="BB65" i="13"/>
  <c r="X75" i="9"/>
  <c r="X95" i="9"/>
  <c r="X74" i="9"/>
  <c r="X94" i="9"/>
  <c r="X64" i="9"/>
  <c r="X103" i="9"/>
  <c r="X73" i="9"/>
  <c r="X69" i="9"/>
  <c r="X65" i="9"/>
  <c r="X102" i="9"/>
  <c r="X88" i="9"/>
  <c r="X68" i="9"/>
  <c r="X84" i="9"/>
  <c r="X86" i="9"/>
  <c r="X66" i="9"/>
  <c r="X76" i="9"/>
  <c r="X96" i="9"/>
  <c r="X93" i="9"/>
  <c r="X85" i="9"/>
  <c r="X67" i="9"/>
  <c r="X104" i="9"/>
  <c r="B64" i="13"/>
  <c r="B90" i="12"/>
  <c r="B112" i="12" s="1"/>
  <c r="B94" i="13"/>
  <c r="FI5" i="13"/>
  <c r="X6" i="9"/>
  <c r="X9" i="9" s="1"/>
  <c r="B68" i="13"/>
  <c r="B85" i="13"/>
  <c r="B69" i="13"/>
  <c r="B93" i="13"/>
  <c r="B74" i="13"/>
  <c r="B75" i="13"/>
  <c r="B104" i="13"/>
  <c r="B76" i="13"/>
  <c r="B88" i="13"/>
  <c r="B67" i="13"/>
  <c r="B86" i="13"/>
  <c r="B95" i="13"/>
  <c r="B66" i="13"/>
  <c r="B73" i="13"/>
  <c r="B96" i="13"/>
  <c r="B102" i="13"/>
  <c r="B103" i="13"/>
  <c r="B65" i="13"/>
  <c r="FJ9" i="13"/>
  <c r="FK10" i="13" s="1"/>
  <c r="B117" i="11"/>
  <c r="B110" i="13"/>
  <c r="B111" i="13" s="1"/>
  <c r="NX11" i="17"/>
  <c r="NH11" i="17"/>
  <c r="MR11" i="17"/>
  <c r="MB11" i="17"/>
  <c r="LL11" i="17"/>
  <c r="KV11" i="17"/>
  <c r="KF11" i="17"/>
  <c r="JP11" i="17"/>
  <c r="IZ11" i="17"/>
  <c r="IJ11" i="17"/>
  <c r="HT11" i="17"/>
  <c r="HD11" i="17"/>
  <c r="GN11" i="17"/>
  <c r="FX11" i="17"/>
  <c r="FH11" i="17"/>
  <c r="ER11" i="17"/>
  <c r="EB11" i="17"/>
  <c r="DL11" i="17"/>
  <c r="CV11" i="17"/>
  <c r="CF11" i="17"/>
  <c r="BP11" i="17"/>
  <c r="AZ11" i="17"/>
  <c r="NY9" i="17"/>
  <c r="NZ10" i="17" s="1"/>
  <c r="NI9" i="17"/>
  <c r="NJ10" i="17" s="1"/>
  <c r="MS9" i="17"/>
  <c r="MT10" i="17" s="1"/>
  <c r="MC9" i="17"/>
  <c r="MD10" i="17" s="1"/>
  <c r="LM9" i="17"/>
  <c r="LN10" i="17" s="1"/>
  <c r="KW9" i="17"/>
  <c r="KX10" i="17" s="1"/>
  <c r="KG9" i="17"/>
  <c r="KH10" i="17" s="1"/>
  <c r="JQ9" i="17"/>
  <c r="JR10" i="17" s="1"/>
  <c r="JA9" i="17"/>
  <c r="JB10" i="17" s="1"/>
  <c r="IK9" i="17"/>
  <c r="IL10" i="17" s="1"/>
  <c r="HU9" i="17"/>
  <c r="HV10" i="17" s="1"/>
  <c r="HE9" i="17"/>
  <c r="HF10" i="17" s="1"/>
  <c r="GO9" i="17"/>
  <c r="GP10" i="17" s="1"/>
  <c r="FY9" i="17"/>
  <c r="FZ10" i="17" s="1"/>
  <c r="FI9" i="17"/>
  <c r="FJ10" i="17" s="1"/>
  <c r="ES9" i="17"/>
  <c r="ET10" i="17" s="1"/>
  <c r="EC9" i="17"/>
  <c r="ED10" i="17" s="1"/>
  <c r="DM9" i="17"/>
  <c r="DN10" i="17" s="1"/>
  <c r="CW9" i="17"/>
  <c r="CX10" i="17" s="1"/>
  <c r="CG9" i="17"/>
  <c r="CH10" i="17" s="1"/>
  <c r="BQ9" i="17"/>
  <c r="BR10" i="17" s="1"/>
  <c r="BA9" i="17"/>
  <c r="BB10" i="17" s="1"/>
  <c r="NZ7" i="17"/>
  <c r="NY7" i="17"/>
  <c r="NY8" i="17" s="1"/>
  <c r="NI7" i="17"/>
  <c r="NI8" i="17" s="1"/>
  <c r="MS7" i="17"/>
  <c r="MS8" i="17" s="1"/>
  <c r="LM7" i="17"/>
  <c r="LM8" i="17" s="1"/>
  <c r="KW7" i="17"/>
  <c r="KW8" i="17" s="1"/>
  <c r="KG7" i="17"/>
  <c r="KG8" i="17" s="1"/>
  <c r="JS7" i="17"/>
  <c r="JR7" i="17"/>
  <c r="JQ7" i="17"/>
  <c r="JQ8" i="17" s="1"/>
  <c r="JC7" i="17"/>
  <c r="JB7" i="17"/>
  <c r="JA7" i="17"/>
  <c r="JA8" i="17" s="1"/>
  <c r="IL7" i="17"/>
  <c r="IK7" i="17"/>
  <c r="IK8" i="17" s="1"/>
  <c r="HV7" i="17"/>
  <c r="HU7" i="17"/>
  <c r="HU8" i="17" s="1"/>
  <c r="HE7" i="17"/>
  <c r="HE8" i="17" s="1"/>
  <c r="GO7" i="17"/>
  <c r="GO8" i="17" s="1"/>
  <c r="FI7" i="17"/>
  <c r="FI8" i="17" s="1"/>
  <c r="CG6" i="17"/>
  <c r="AZ5" i="17"/>
  <c r="NZ9" i="17"/>
  <c r="OA10" i="17" s="1"/>
  <c r="NI4" i="17"/>
  <c r="MS4" i="17"/>
  <c r="MC4" i="17"/>
  <c r="LM4" i="17"/>
  <c r="KW4" i="17"/>
  <c r="KG4" i="17"/>
  <c r="JQ4" i="17"/>
  <c r="JA4" i="17"/>
  <c r="IK4" i="17"/>
  <c r="HU4" i="17"/>
  <c r="HE4" i="17"/>
  <c r="GO4" i="17"/>
  <c r="FY4" i="17"/>
  <c r="FI4" i="17"/>
  <c r="ES4" i="17"/>
  <c r="EC4" i="17"/>
  <c r="DM4" i="17"/>
  <c r="CW4" i="17"/>
  <c r="CG4" i="17"/>
  <c r="BQ4" i="17"/>
  <c r="BA4" i="17"/>
  <c r="NX11" i="16"/>
  <c r="NH11" i="16"/>
  <c r="MR11" i="16"/>
  <c r="MB11" i="16"/>
  <c r="LL11" i="16"/>
  <c r="KV11" i="16"/>
  <c r="KF11" i="16"/>
  <c r="JP11" i="16"/>
  <c r="IZ11" i="16"/>
  <c r="IJ11" i="16"/>
  <c r="HT11" i="16"/>
  <c r="HD11" i="16"/>
  <c r="GN11" i="16"/>
  <c r="FX11" i="16"/>
  <c r="FH11" i="16"/>
  <c r="ER11" i="16"/>
  <c r="EB11" i="16"/>
  <c r="DL11" i="16"/>
  <c r="CV11" i="16"/>
  <c r="CF11" i="16"/>
  <c r="BP11" i="16"/>
  <c r="AZ11" i="16"/>
  <c r="NY9" i="16"/>
  <c r="NZ10" i="16" s="1"/>
  <c r="NI9" i="16"/>
  <c r="NJ10" i="16" s="1"/>
  <c r="MS9" i="16"/>
  <c r="MT10" i="16" s="1"/>
  <c r="MC9" i="16"/>
  <c r="MD10" i="16" s="1"/>
  <c r="LM9" i="16"/>
  <c r="LN10" i="16" s="1"/>
  <c r="KW9" i="16"/>
  <c r="KX10" i="16" s="1"/>
  <c r="KG9" i="16"/>
  <c r="KH10" i="16" s="1"/>
  <c r="JQ9" i="16"/>
  <c r="JR10" i="16" s="1"/>
  <c r="JA9" i="16"/>
  <c r="JB10" i="16" s="1"/>
  <c r="IK9" i="16"/>
  <c r="IL10" i="16" s="1"/>
  <c r="HU9" i="16"/>
  <c r="HV10" i="16" s="1"/>
  <c r="HE9" i="16"/>
  <c r="HF10" i="16" s="1"/>
  <c r="GO9" i="16"/>
  <c r="GP10" i="16" s="1"/>
  <c r="FY9" i="16"/>
  <c r="FZ10" i="16" s="1"/>
  <c r="FI9" i="16"/>
  <c r="FJ10" i="16" s="1"/>
  <c r="ES9" i="16"/>
  <c r="ET10" i="16" s="1"/>
  <c r="EC9" i="16"/>
  <c r="ED10" i="16" s="1"/>
  <c r="DM9" i="16"/>
  <c r="DN10" i="16" s="1"/>
  <c r="CW9" i="16"/>
  <c r="CX10" i="16" s="1"/>
  <c r="CG9" i="16"/>
  <c r="CH10" i="16" s="1"/>
  <c r="BQ9" i="16"/>
  <c r="BR10" i="16" s="1"/>
  <c r="BA9" i="16"/>
  <c r="BB10" i="16" s="1"/>
  <c r="NY7" i="16"/>
  <c r="NY8" i="16" s="1"/>
  <c r="NI7" i="16"/>
  <c r="NI8" i="16" s="1"/>
  <c r="MS7" i="16"/>
  <c r="MS8" i="16" s="1"/>
  <c r="LM7" i="16"/>
  <c r="LM8" i="16" s="1"/>
  <c r="KW7" i="16"/>
  <c r="KW8" i="16" s="1"/>
  <c r="KG7" i="16"/>
  <c r="KG8" i="16" s="1"/>
  <c r="JS7" i="16"/>
  <c r="JR7" i="16"/>
  <c r="JQ7" i="16"/>
  <c r="JQ8" i="16" s="1"/>
  <c r="JC7" i="16"/>
  <c r="JB7" i="16"/>
  <c r="JA7" i="16"/>
  <c r="JA8" i="16" s="1"/>
  <c r="IL7" i="16"/>
  <c r="IK7" i="16"/>
  <c r="IK8" i="16" s="1"/>
  <c r="HV7" i="16"/>
  <c r="HU7" i="16"/>
  <c r="HU8" i="16" s="1"/>
  <c r="HE7" i="16"/>
  <c r="HE8" i="16" s="1"/>
  <c r="GO7" i="16"/>
  <c r="GO8" i="16" s="1"/>
  <c r="DM7" i="16"/>
  <c r="DM8" i="16" s="1"/>
  <c r="CW7" i="16"/>
  <c r="CW8" i="16" s="1"/>
  <c r="EC7" i="16"/>
  <c r="EC8" i="16" s="1"/>
  <c r="CG6" i="16"/>
  <c r="AZ5" i="16"/>
  <c r="BA6" i="16" s="1"/>
  <c r="NY4" i="16"/>
  <c r="NI4" i="16"/>
  <c r="MS4" i="16"/>
  <c r="MC4" i="16"/>
  <c r="LM4" i="16"/>
  <c r="KW4" i="16"/>
  <c r="KG4" i="16"/>
  <c r="JQ4" i="16"/>
  <c r="JA4" i="16"/>
  <c r="IK4" i="16"/>
  <c r="HU4" i="16"/>
  <c r="HE4" i="16"/>
  <c r="GO4" i="16"/>
  <c r="FY4" i="16"/>
  <c r="FI4" i="16"/>
  <c r="ES4" i="16"/>
  <c r="EC4" i="16"/>
  <c r="DM4" i="16"/>
  <c r="CW4" i="16"/>
  <c r="CG4" i="16"/>
  <c r="BQ4" i="16"/>
  <c r="BA4" i="16"/>
  <c r="NX11" i="15"/>
  <c r="NH11" i="15"/>
  <c r="MR11" i="15"/>
  <c r="MB11" i="15"/>
  <c r="LL11" i="15"/>
  <c r="KV11" i="15"/>
  <c r="KF11" i="15"/>
  <c r="JP11" i="15"/>
  <c r="IZ11" i="15"/>
  <c r="IJ11" i="15"/>
  <c r="HT11" i="15"/>
  <c r="HD11" i="15"/>
  <c r="GN11" i="15"/>
  <c r="FX11" i="15"/>
  <c r="FH11" i="15"/>
  <c r="ER11" i="15"/>
  <c r="EB11" i="15"/>
  <c r="DL11" i="15"/>
  <c r="CV11" i="15"/>
  <c r="CF11" i="15"/>
  <c r="BP11" i="15"/>
  <c r="AZ11" i="15"/>
  <c r="NY9" i="15"/>
  <c r="NZ10" i="15" s="1"/>
  <c r="NI9" i="15"/>
  <c r="NJ10" i="15" s="1"/>
  <c r="MS9" i="15"/>
  <c r="MT10" i="15" s="1"/>
  <c r="MC9" i="15"/>
  <c r="MD10" i="15" s="1"/>
  <c r="LM9" i="15"/>
  <c r="LN10" i="15" s="1"/>
  <c r="KW9" i="15"/>
  <c r="KX10" i="15" s="1"/>
  <c r="KG9" i="15"/>
  <c r="KH10" i="15" s="1"/>
  <c r="JQ9" i="15"/>
  <c r="JR10" i="15" s="1"/>
  <c r="JA9" i="15"/>
  <c r="JB10" i="15" s="1"/>
  <c r="IK9" i="15"/>
  <c r="IL10" i="15" s="1"/>
  <c r="HU9" i="15"/>
  <c r="HV10" i="15" s="1"/>
  <c r="HE9" i="15"/>
  <c r="HF10" i="15" s="1"/>
  <c r="GO9" i="15"/>
  <c r="GP10" i="15" s="1"/>
  <c r="FY9" i="15"/>
  <c r="FZ10" i="15" s="1"/>
  <c r="FI9" i="15"/>
  <c r="FJ10" i="15" s="1"/>
  <c r="ES9" i="15"/>
  <c r="ET10" i="15" s="1"/>
  <c r="EC9" i="15"/>
  <c r="ED10" i="15" s="1"/>
  <c r="DM9" i="15"/>
  <c r="DN10" i="15" s="1"/>
  <c r="CW9" i="15"/>
  <c r="CX10" i="15" s="1"/>
  <c r="CG9" i="15"/>
  <c r="CH10" i="15" s="1"/>
  <c r="BQ9" i="15"/>
  <c r="BR10" i="15" s="1"/>
  <c r="BA9" i="15"/>
  <c r="BB10" i="15" s="1"/>
  <c r="NY7" i="15"/>
  <c r="NY8" i="15" s="1"/>
  <c r="NI7" i="15"/>
  <c r="NI8" i="15" s="1"/>
  <c r="MS7" i="15"/>
  <c r="MS8" i="15" s="1"/>
  <c r="LM7" i="15"/>
  <c r="LM8" i="15" s="1"/>
  <c r="KW7" i="15"/>
  <c r="KW8" i="15" s="1"/>
  <c r="KG7" i="15"/>
  <c r="KG8" i="15" s="1"/>
  <c r="JS7" i="15"/>
  <c r="JR7" i="15"/>
  <c r="JQ7" i="15"/>
  <c r="JQ8" i="15" s="1"/>
  <c r="JC7" i="15"/>
  <c r="JB7" i="15"/>
  <c r="JA7" i="15"/>
  <c r="JA8" i="15" s="1"/>
  <c r="IL7" i="15"/>
  <c r="IK7" i="15"/>
  <c r="IK8" i="15" s="1"/>
  <c r="HV7" i="15"/>
  <c r="HU7" i="15"/>
  <c r="HU8" i="15" s="1"/>
  <c r="HE7" i="15"/>
  <c r="HE8" i="15" s="1"/>
  <c r="GO7" i="15"/>
  <c r="GO8" i="15" s="1"/>
  <c r="CG6" i="15"/>
  <c r="CG13" i="15" s="1"/>
  <c r="BQ13" i="15"/>
  <c r="AZ5" i="15"/>
  <c r="BA6" i="15" s="1"/>
  <c r="NY4" i="15"/>
  <c r="NI4" i="15"/>
  <c r="MS4" i="15"/>
  <c r="MC4" i="15"/>
  <c r="LM4" i="15"/>
  <c r="KW4" i="15"/>
  <c r="KG4" i="15"/>
  <c r="JQ4" i="15"/>
  <c r="JA4" i="15"/>
  <c r="IK4" i="15"/>
  <c r="HU4" i="15"/>
  <c r="HE4" i="15"/>
  <c r="GO4" i="15"/>
  <c r="FY4" i="15"/>
  <c r="FI4" i="15"/>
  <c r="ES4" i="15"/>
  <c r="EC4" i="15"/>
  <c r="DM4" i="15"/>
  <c r="CW4" i="15"/>
  <c r="CG4" i="15"/>
  <c r="BQ4" i="15"/>
  <c r="BA4" i="15"/>
  <c r="FJ4" i="13"/>
  <c r="CG6" i="13"/>
  <c r="BQ6" i="13"/>
  <c r="AZ5" i="13"/>
  <c r="JP11" i="13"/>
  <c r="JQ9" i="13"/>
  <c r="JR10" i="13" s="1"/>
  <c r="JQ7" i="13"/>
  <c r="JQ8" i="13" s="1"/>
  <c r="JQ4" i="13"/>
  <c r="IZ11" i="13"/>
  <c r="JA9" i="13"/>
  <c r="JB10" i="13" s="1"/>
  <c r="JA7" i="13"/>
  <c r="JA8" i="13" s="1"/>
  <c r="JA4" i="13"/>
  <c r="IJ11" i="13"/>
  <c r="HT11" i="13"/>
  <c r="HD11" i="13"/>
  <c r="GN11" i="13"/>
  <c r="FX11" i="13"/>
  <c r="FH11" i="13"/>
  <c r="ER11" i="13"/>
  <c r="EB11" i="13"/>
  <c r="DL11" i="13"/>
  <c r="CV11" i="13"/>
  <c r="CF11" i="13"/>
  <c r="BP11" i="13"/>
  <c r="GO7" i="13"/>
  <c r="GO8" i="13" s="1"/>
  <c r="FY4" i="13"/>
  <c r="NX11" i="13"/>
  <c r="NH11" i="13"/>
  <c r="MR11" i="13"/>
  <c r="MB11" i="13"/>
  <c r="LL11" i="13"/>
  <c r="KV11" i="13"/>
  <c r="KF11" i="13"/>
  <c r="NY9" i="13"/>
  <c r="NZ10" i="13" s="1"/>
  <c r="NI9" i="13"/>
  <c r="NJ10" i="13" s="1"/>
  <c r="MS9" i="13"/>
  <c r="MT10" i="13" s="1"/>
  <c r="MC9" i="13"/>
  <c r="MD10" i="13" s="1"/>
  <c r="LM9" i="13"/>
  <c r="LN10" i="13" s="1"/>
  <c r="KW9" i="13"/>
  <c r="KX10" i="13" s="1"/>
  <c r="KG9" i="13"/>
  <c r="KH10" i="13" s="1"/>
  <c r="IK9" i="13"/>
  <c r="IL10" i="13" s="1"/>
  <c r="HU9" i="13"/>
  <c r="HV10" i="13" s="1"/>
  <c r="HE9" i="13"/>
  <c r="HF10" i="13" s="1"/>
  <c r="GO9" i="13"/>
  <c r="GP10" i="13" s="1"/>
  <c r="FY9" i="13"/>
  <c r="FZ10" i="13" s="1"/>
  <c r="FI9" i="13"/>
  <c r="FJ10" i="13" s="1"/>
  <c r="ES9" i="13"/>
  <c r="ET10" i="13" s="1"/>
  <c r="EC9" i="13"/>
  <c r="ED10" i="13" s="1"/>
  <c r="DM9" i="13"/>
  <c r="DN10" i="13" s="1"/>
  <c r="CW9" i="13"/>
  <c r="CX10" i="13" s="1"/>
  <c r="CG9" i="13"/>
  <c r="CH10" i="13" s="1"/>
  <c r="BQ9" i="13"/>
  <c r="BR10" i="13" s="1"/>
  <c r="BB10" i="13"/>
  <c r="NY7" i="13"/>
  <c r="NY8" i="13" s="1"/>
  <c r="NI7" i="13"/>
  <c r="NI8" i="13" s="1"/>
  <c r="MS7" i="13"/>
  <c r="MS8" i="13" s="1"/>
  <c r="LM7" i="13"/>
  <c r="LM8" i="13" s="1"/>
  <c r="KW7" i="13"/>
  <c r="KW8" i="13" s="1"/>
  <c r="KG7" i="13"/>
  <c r="KG8" i="13" s="1"/>
  <c r="IK7" i="13"/>
  <c r="IK8" i="13" s="1"/>
  <c r="HU7" i="13"/>
  <c r="HU8" i="13" s="1"/>
  <c r="HE7" i="13"/>
  <c r="HE8" i="13" s="1"/>
  <c r="NY4" i="13"/>
  <c r="NI4" i="13"/>
  <c r="MS4" i="13"/>
  <c r="MC4" i="13"/>
  <c r="LM4" i="13"/>
  <c r="KW4" i="13"/>
  <c r="KG4" i="13"/>
  <c r="IK4" i="13"/>
  <c r="HU4" i="13"/>
  <c r="HE4" i="13"/>
  <c r="GO4" i="13"/>
  <c r="ES4" i="13"/>
  <c r="EC4" i="13"/>
  <c r="DM4" i="13"/>
  <c r="CW4" i="13"/>
  <c r="CG4" i="13"/>
  <c r="BQ4" i="13"/>
  <c r="BA13" i="16" l="1"/>
  <c r="DM13" i="15"/>
  <c r="BQ13" i="13"/>
  <c r="JA13" i="16"/>
  <c r="KW13" i="15"/>
  <c r="CG13" i="13"/>
  <c r="EC13" i="17"/>
  <c r="JA13" i="17"/>
  <c r="GO13" i="13"/>
  <c r="MS13" i="13"/>
  <c r="CW13" i="13"/>
  <c r="AE8" i="9"/>
  <c r="HU13" i="15"/>
  <c r="MS13" i="15"/>
  <c r="MC13" i="15"/>
  <c r="BQ13" i="16"/>
  <c r="GO13" i="16"/>
  <c r="LM13" i="16"/>
  <c r="FI13" i="16"/>
  <c r="ES13" i="17"/>
  <c r="JQ13" i="17"/>
  <c r="MC13" i="17"/>
  <c r="KW13" i="13"/>
  <c r="HU13" i="17"/>
  <c r="LM13" i="13"/>
  <c r="JQ13" i="13"/>
  <c r="HE13" i="16"/>
  <c r="MC13" i="16"/>
  <c r="FY13" i="16"/>
  <c r="FI13" i="17"/>
  <c r="KG13" i="17"/>
  <c r="CG13" i="17"/>
  <c r="HE13" i="15"/>
  <c r="FY13" i="15"/>
  <c r="KW13" i="16"/>
  <c r="HE13" i="13"/>
  <c r="NI13" i="13"/>
  <c r="EC13" i="13"/>
  <c r="IK13" i="15"/>
  <c r="NI13" i="15"/>
  <c r="C84" i="13"/>
  <c r="HU13" i="13"/>
  <c r="NY13" i="13"/>
  <c r="EC13" i="15"/>
  <c r="JA13" i="15"/>
  <c r="NY13" i="15"/>
  <c r="CW13" i="16"/>
  <c r="HU13" i="16"/>
  <c r="MS13" i="16"/>
  <c r="KW13" i="17"/>
  <c r="CW13" i="17"/>
  <c r="KG13" i="13"/>
  <c r="KG13" i="15"/>
  <c r="EC13" i="16"/>
  <c r="NY13" i="16"/>
  <c r="HE13" i="17"/>
  <c r="JA13" i="13"/>
  <c r="ES13" i="16"/>
  <c r="JQ13" i="16"/>
  <c r="MS13" i="17"/>
  <c r="GO13" i="15"/>
  <c r="LM13" i="15"/>
  <c r="KG13" i="16"/>
  <c r="IK13" i="17"/>
  <c r="NI13" i="17"/>
  <c r="IK13" i="13"/>
  <c r="JQ13" i="15"/>
  <c r="BA13" i="15"/>
  <c r="DM13" i="16"/>
  <c r="IK13" i="16"/>
  <c r="NI13" i="16"/>
  <c r="GO13" i="17"/>
  <c r="LM13" i="17"/>
  <c r="DM13" i="17"/>
  <c r="B109" i="16"/>
  <c r="B112" i="16" s="1"/>
  <c r="B113" i="16" s="1"/>
  <c r="IK5" i="13"/>
  <c r="BQ5" i="15"/>
  <c r="GO5" i="15"/>
  <c r="FI5" i="16"/>
  <c r="FY5" i="13"/>
  <c r="HE5" i="15"/>
  <c r="BG8" i="9"/>
  <c r="BG5" i="9" s="1"/>
  <c r="FY5" i="16"/>
  <c r="EC5" i="17"/>
  <c r="ED6" i="17" s="1"/>
  <c r="HU5" i="15"/>
  <c r="GO5" i="16"/>
  <c r="JQ5" i="17"/>
  <c r="FJ5" i="13"/>
  <c r="LM11" i="13"/>
  <c r="LM5" i="13"/>
  <c r="JQ5" i="13"/>
  <c r="DM5" i="15"/>
  <c r="IK5" i="15"/>
  <c r="CG5" i="16"/>
  <c r="HE5" i="16"/>
  <c r="ED9" i="15"/>
  <c r="EC11" i="15"/>
  <c r="ED4" i="15"/>
  <c r="EC5" i="15"/>
  <c r="ED6" i="15" s="1"/>
  <c r="JA5" i="15"/>
  <c r="HU5" i="16"/>
  <c r="FY5" i="17"/>
  <c r="CW5" i="13"/>
  <c r="ES5" i="13"/>
  <c r="GO5" i="13"/>
  <c r="MS5" i="13"/>
  <c r="ES5" i="15"/>
  <c r="JQ5" i="15"/>
  <c r="IK5" i="16"/>
  <c r="CG5" i="13"/>
  <c r="DM5" i="13"/>
  <c r="KW5" i="13"/>
  <c r="KX6" i="13" s="1"/>
  <c r="EC5" i="13"/>
  <c r="ED6" i="13" s="1"/>
  <c r="MC5" i="13"/>
  <c r="HE5" i="13"/>
  <c r="NI5" i="13"/>
  <c r="FI5" i="15"/>
  <c r="EC5" i="16"/>
  <c r="JA5" i="16"/>
  <c r="HE5" i="17"/>
  <c r="HF6" i="17" s="1"/>
  <c r="KG5" i="13"/>
  <c r="KH6" i="13" s="1"/>
  <c r="BQ5" i="13"/>
  <c r="HU5" i="13"/>
  <c r="NY5" i="13"/>
  <c r="JB9" i="13"/>
  <c r="JC10" i="13" s="1"/>
  <c r="JA5" i="13"/>
  <c r="FY5" i="15"/>
  <c r="ES5" i="16"/>
  <c r="JQ5" i="16"/>
  <c r="CW5" i="17"/>
  <c r="HU5" i="17"/>
  <c r="BU8" i="9"/>
  <c r="BU5" i="9" s="1"/>
  <c r="CW5" i="15"/>
  <c r="CX6" i="15" s="1"/>
  <c r="CG5" i="15"/>
  <c r="B109" i="17"/>
  <c r="B112" i="17" s="1"/>
  <c r="B113" i="17" s="1"/>
  <c r="B109" i="15"/>
  <c r="B112" i="15" s="1"/>
  <c r="B113" i="15" s="1"/>
  <c r="B109" i="13"/>
  <c r="B112" i="13" s="1"/>
  <c r="CH9" i="17"/>
  <c r="CI10" i="17" s="1"/>
  <c r="CG5" i="17"/>
  <c r="KW5" i="17"/>
  <c r="GP9" i="17"/>
  <c r="GQ10" i="17" s="1"/>
  <c r="GO5" i="17"/>
  <c r="JB9" i="17"/>
  <c r="JC10" i="17" s="1"/>
  <c r="JA5" i="17"/>
  <c r="LN9" i="17"/>
  <c r="LO10" i="17" s="1"/>
  <c r="LM5" i="17"/>
  <c r="MS5" i="17"/>
  <c r="DN9" i="17"/>
  <c r="DO10" i="17" s="1"/>
  <c r="DM5" i="17"/>
  <c r="IL9" i="17"/>
  <c r="IM10" i="17" s="1"/>
  <c r="IK5" i="17"/>
  <c r="NJ9" i="17"/>
  <c r="NK10" i="17" s="1"/>
  <c r="NI5" i="17"/>
  <c r="ET9" i="17"/>
  <c r="EU10" i="17" s="1"/>
  <c r="ES5" i="17"/>
  <c r="BQ5" i="17"/>
  <c r="MC5" i="17"/>
  <c r="FJ9" i="17"/>
  <c r="FK10" i="17" s="1"/>
  <c r="FI5" i="17"/>
  <c r="KH9" i="17"/>
  <c r="KI10" i="17" s="1"/>
  <c r="KG5" i="17"/>
  <c r="LM5" i="16"/>
  <c r="KG5" i="16"/>
  <c r="KH6" i="16" s="1"/>
  <c r="KW5" i="16"/>
  <c r="BR9" i="16"/>
  <c r="BS10" i="16" s="1"/>
  <c r="BQ5" i="16"/>
  <c r="BR6" i="16" s="1"/>
  <c r="MC5" i="16"/>
  <c r="MD6" i="16" s="1"/>
  <c r="CX9" i="16"/>
  <c r="CY10" i="16" s="1"/>
  <c r="CW5" i="16"/>
  <c r="CX6" i="16" s="1"/>
  <c r="MS5" i="16"/>
  <c r="MT6" i="16" s="1"/>
  <c r="DN9" i="16"/>
  <c r="DO10" i="16" s="1"/>
  <c r="DM5" i="16"/>
  <c r="NI5" i="16"/>
  <c r="NY11" i="16"/>
  <c r="NY5" i="16"/>
  <c r="MS5" i="15"/>
  <c r="NI5" i="15"/>
  <c r="NY5" i="15"/>
  <c r="KG5" i="15"/>
  <c r="KW5" i="15"/>
  <c r="LM5" i="15"/>
  <c r="MC5" i="15"/>
  <c r="MD6" i="15" s="1"/>
  <c r="CG7" i="16"/>
  <c r="CG8" i="16" s="1"/>
  <c r="CG13" i="16"/>
  <c r="FY7" i="17"/>
  <c r="FY8" i="17" s="1"/>
  <c r="FY13" i="17"/>
  <c r="BQ7" i="17"/>
  <c r="BQ8" i="17" s="1"/>
  <c r="BQ13" i="17"/>
  <c r="NZ8" i="17"/>
  <c r="JR8" i="17"/>
  <c r="JS8" i="17" s="1"/>
  <c r="IL8" i="15"/>
  <c r="HV8" i="15"/>
  <c r="JR8" i="15"/>
  <c r="JS8" i="15" s="1"/>
  <c r="HV8" i="17"/>
  <c r="DM7" i="13"/>
  <c r="DM8" i="13" s="1"/>
  <c r="DM13" i="13"/>
  <c r="ES7" i="13"/>
  <c r="ES8" i="13" s="1"/>
  <c r="ES13" i="13"/>
  <c r="FI7" i="13"/>
  <c r="FI8" i="13" s="1"/>
  <c r="FI13" i="13"/>
  <c r="MC7" i="13"/>
  <c r="MC8" i="13" s="1"/>
  <c r="MC13" i="13"/>
  <c r="FY7" i="13"/>
  <c r="FY8" i="13" s="1"/>
  <c r="FY13" i="13"/>
  <c r="HU11" i="13"/>
  <c r="DN9" i="13"/>
  <c r="DO10" i="13" s="1"/>
  <c r="HE11" i="13"/>
  <c r="FK4" i="13"/>
  <c r="JB8" i="16"/>
  <c r="JC8" i="16" s="1"/>
  <c r="JB8" i="15"/>
  <c r="JC8" i="15" s="1"/>
  <c r="JB8" i="17"/>
  <c r="JC8" i="17" s="1"/>
  <c r="HV4" i="17"/>
  <c r="HU11" i="17"/>
  <c r="HV9" i="17"/>
  <c r="HW10" i="17" s="1"/>
  <c r="CX4" i="17"/>
  <c r="CW11" i="17"/>
  <c r="CX9" i="17"/>
  <c r="CY10" i="17" s="1"/>
  <c r="IL8" i="17"/>
  <c r="MT4" i="17"/>
  <c r="MS11" i="17"/>
  <c r="MT9" i="17"/>
  <c r="MU10" i="17" s="1"/>
  <c r="CH4" i="17"/>
  <c r="CG11" i="17"/>
  <c r="HF4" i="17"/>
  <c r="HE11" i="17"/>
  <c r="MD4" i="17"/>
  <c r="MC11" i="17"/>
  <c r="BQ11" i="17"/>
  <c r="GO11" i="17"/>
  <c r="GP4" i="17"/>
  <c r="LM11" i="17"/>
  <c r="LN4" i="17"/>
  <c r="BB4" i="17"/>
  <c r="FZ4" i="17"/>
  <c r="FY11" i="17"/>
  <c r="KX4" i="17"/>
  <c r="KW11" i="17"/>
  <c r="EC7" i="17"/>
  <c r="EC8" i="17" s="1"/>
  <c r="BR9" i="17"/>
  <c r="BS10" i="17" s="1"/>
  <c r="FJ4" i="17"/>
  <c r="FI11" i="17"/>
  <c r="KH4" i="17"/>
  <c r="KG11" i="17"/>
  <c r="DM7" i="17"/>
  <c r="DM8" i="17" s="1"/>
  <c r="ET4" i="17"/>
  <c r="ES11" i="17"/>
  <c r="JR4" i="17"/>
  <c r="JQ11" i="17"/>
  <c r="BA6" i="17"/>
  <c r="CW7" i="17"/>
  <c r="CW8" i="17" s="1"/>
  <c r="ED4" i="17"/>
  <c r="EC11" i="17"/>
  <c r="JB4" i="17"/>
  <c r="JA11" i="17"/>
  <c r="NZ4" i="17"/>
  <c r="NY11" i="17"/>
  <c r="BA5" i="17"/>
  <c r="BB6" i="17" s="1"/>
  <c r="BB13" i="17" s="1"/>
  <c r="CG7" i="17"/>
  <c r="CG8" i="17" s="1"/>
  <c r="MC7" i="17"/>
  <c r="MC8" i="17" s="1"/>
  <c r="BB9" i="17"/>
  <c r="BC10" i="17" s="1"/>
  <c r="FZ9" i="17"/>
  <c r="GA10" i="17" s="1"/>
  <c r="HF9" i="17"/>
  <c r="HG10" i="17" s="1"/>
  <c r="JR9" i="17"/>
  <c r="JS10" i="17" s="1"/>
  <c r="KX9" i="17"/>
  <c r="KY10" i="17" s="1"/>
  <c r="MD9" i="17"/>
  <c r="ME10" i="17" s="1"/>
  <c r="BR4" i="17"/>
  <c r="DN4" i="17"/>
  <c r="DM11" i="17"/>
  <c r="IL4" i="17"/>
  <c r="IK11" i="17"/>
  <c r="NJ4" i="17"/>
  <c r="NI11" i="17"/>
  <c r="ED9" i="17"/>
  <c r="EE10" i="17" s="1"/>
  <c r="FI11" i="16"/>
  <c r="FJ4" i="16"/>
  <c r="HV8" i="16"/>
  <c r="IL9" i="16"/>
  <c r="IM10" i="16" s="1"/>
  <c r="IK11" i="16"/>
  <c r="IL4" i="16"/>
  <c r="CG11" i="16"/>
  <c r="CH9" i="16"/>
  <c r="CI10" i="16" s="1"/>
  <c r="CH4" i="16"/>
  <c r="HE11" i="16"/>
  <c r="HF4" i="16"/>
  <c r="MC11" i="16"/>
  <c r="MD9" i="16"/>
  <c r="ME10" i="16" s="1"/>
  <c r="MD4" i="16"/>
  <c r="FY7" i="16"/>
  <c r="FY8" i="16" s="1"/>
  <c r="JR8" i="16"/>
  <c r="JS8" i="16" s="1"/>
  <c r="ED9" i="16"/>
  <c r="EE10" i="16" s="1"/>
  <c r="ED4" i="16"/>
  <c r="JB9" i="16"/>
  <c r="JC10" i="16" s="1"/>
  <c r="JB4" i="16"/>
  <c r="NZ9" i="16"/>
  <c r="OA10" i="16" s="1"/>
  <c r="NZ4" i="16"/>
  <c r="IL8" i="16"/>
  <c r="JA11" i="16"/>
  <c r="FI7" i="16"/>
  <c r="FI8" i="16" s="1"/>
  <c r="BA11" i="16"/>
  <c r="BB9" i="16"/>
  <c r="BC10" i="16" s="1"/>
  <c r="BB4" i="16"/>
  <c r="FZ9" i="16"/>
  <c r="GA10" i="16" s="1"/>
  <c r="FY11" i="16"/>
  <c r="FZ4" i="16"/>
  <c r="KW11" i="16"/>
  <c r="KX9" i="16"/>
  <c r="KY10" i="16" s="1"/>
  <c r="KX4" i="16"/>
  <c r="MC7" i="16"/>
  <c r="MC8" i="16" s="1"/>
  <c r="NI11" i="16"/>
  <c r="NJ4" i="16"/>
  <c r="KH9" i="16"/>
  <c r="KI10" i="16" s="1"/>
  <c r="KG11" i="16"/>
  <c r="KH4" i="16"/>
  <c r="CW11" i="16"/>
  <c r="CX4" i="16"/>
  <c r="HV9" i="16"/>
  <c r="HW10" i="16" s="1"/>
  <c r="HU11" i="16"/>
  <c r="HV4" i="16"/>
  <c r="MS11" i="16"/>
  <c r="MT4" i="16"/>
  <c r="HF9" i="16"/>
  <c r="HG10" i="16" s="1"/>
  <c r="MT9" i="16"/>
  <c r="MU10" i="16" s="1"/>
  <c r="EC11" i="16"/>
  <c r="DM11" i="16"/>
  <c r="DN4" i="16"/>
  <c r="ET9" i="16"/>
  <c r="EU10" i="16" s="1"/>
  <c r="ES11" i="16"/>
  <c r="ET4" i="16"/>
  <c r="JR9" i="16"/>
  <c r="JS10" i="16" s="1"/>
  <c r="JQ11" i="16"/>
  <c r="JR4" i="16"/>
  <c r="BA7" i="16"/>
  <c r="BA8" i="16" s="1"/>
  <c r="CH6" i="16"/>
  <c r="HF13" i="16"/>
  <c r="FJ9" i="16"/>
  <c r="FK10" i="16" s="1"/>
  <c r="BQ11" i="16"/>
  <c r="BR4" i="16"/>
  <c r="GO11" i="16"/>
  <c r="GP9" i="16"/>
  <c r="GQ10" i="16" s="1"/>
  <c r="GP4" i="16"/>
  <c r="LM11" i="16"/>
  <c r="LN4" i="16"/>
  <c r="LN9" i="16"/>
  <c r="LO10" i="16" s="1"/>
  <c r="NJ9" i="16"/>
  <c r="NK10" i="16" s="1"/>
  <c r="BQ7" i="16"/>
  <c r="BQ8" i="16" s="1"/>
  <c r="BA5" i="16"/>
  <c r="BB6" i="16" s="1"/>
  <c r="BA11" i="15"/>
  <c r="BB9" i="15"/>
  <c r="BC10" i="15" s="1"/>
  <c r="BB4" i="15"/>
  <c r="DM11" i="15"/>
  <c r="DN9" i="15"/>
  <c r="DO10" i="15" s="1"/>
  <c r="DN4" i="15"/>
  <c r="FY11" i="15"/>
  <c r="FZ9" i="15"/>
  <c r="GA10" i="15" s="1"/>
  <c r="FZ4" i="15"/>
  <c r="IK11" i="15"/>
  <c r="IL9" i="15"/>
  <c r="IM10" i="15" s="1"/>
  <c r="IL4" i="15"/>
  <c r="KW11" i="15"/>
  <c r="KX9" i="15"/>
  <c r="KY10" i="15" s="1"/>
  <c r="KX4" i="15"/>
  <c r="NI11" i="15"/>
  <c r="NJ9" i="15"/>
  <c r="NK10" i="15" s="1"/>
  <c r="NJ4" i="15"/>
  <c r="BQ11" i="15"/>
  <c r="BR9" i="15"/>
  <c r="BS10" i="15" s="1"/>
  <c r="BR4" i="15"/>
  <c r="EE10" i="15"/>
  <c r="GO11" i="15"/>
  <c r="GP9" i="15"/>
  <c r="GQ10" i="15" s="1"/>
  <c r="GP4" i="15"/>
  <c r="JA11" i="15"/>
  <c r="JB9" i="15"/>
  <c r="JC10" i="15" s="1"/>
  <c r="JB4" i="15"/>
  <c r="LM11" i="15"/>
  <c r="LN9" i="15"/>
  <c r="LO10" i="15" s="1"/>
  <c r="LN4" i="15"/>
  <c r="NY11" i="15"/>
  <c r="NZ9" i="15"/>
  <c r="OA10" i="15" s="1"/>
  <c r="NZ4" i="15"/>
  <c r="CG11" i="15"/>
  <c r="CH6" i="15"/>
  <c r="CH9" i="15"/>
  <c r="CI10" i="15" s="1"/>
  <c r="CH4" i="15"/>
  <c r="ET4" i="15"/>
  <c r="ET9" i="15"/>
  <c r="EU10" i="15" s="1"/>
  <c r="HE11" i="15"/>
  <c r="HF9" i="15"/>
  <c r="HG10" i="15" s="1"/>
  <c r="HF4" i="15"/>
  <c r="JR9" i="15"/>
  <c r="JS10" i="15" s="1"/>
  <c r="JR4" i="15"/>
  <c r="JQ11" i="15"/>
  <c r="MC11" i="15"/>
  <c r="MD9" i="15"/>
  <c r="ME10" i="15" s="1"/>
  <c r="MD4" i="15"/>
  <c r="ES13" i="15"/>
  <c r="BR6" i="15"/>
  <c r="CX4" i="15"/>
  <c r="CX9" i="15"/>
  <c r="CY10" i="15" s="1"/>
  <c r="FJ9" i="15"/>
  <c r="FK10" i="15" s="1"/>
  <c r="FJ4" i="15"/>
  <c r="HU11" i="15"/>
  <c r="HV9" i="15"/>
  <c r="HW10" i="15" s="1"/>
  <c r="HV4" i="15"/>
  <c r="KH9" i="15"/>
  <c r="KI10" i="15" s="1"/>
  <c r="KG11" i="15"/>
  <c r="KH4" i="15"/>
  <c r="MS11" i="15"/>
  <c r="MT9" i="15"/>
  <c r="MU10" i="15" s="1"/>
  <c r="MT4" i="15"/>
  <c r="DM7" i="15"/>
  <c r="DM8" i="15" s="1"/>
  <c r="CW13" i="15"/>
  <c r="FI13" i="15"/>
  <c r="BA5" i="15"/>
  <c r="BA7" i="15"/>
  <c r="BA8" i="15" s="1"/>
  <c r="BQ7" i="15"/>
  <c r="BQ8" i="15" s="1"/>
  <c r="CG7" i="15"/>
  <c r="CG8" i="15" s="1"/>
  <c r="FY7" i="15"/>
  <c r="FY8" i="15" s="1"/>
  <c r="MC7" i="15"/>
  <c r="MC8" i="15" s="1"/>
  <c r="BA6" i="13"/>
  <c r="DN6" i="13"/>
  <c r="EC11" i="13"/>
  <c r="FY11" i="13"/>
  <c r="BA5" i="13"/>
  <c r="CH6" i="13"/>
  <c r="CH13" i="13" s="1"/>
  <c r="CX6" i="13"/>
  <c r="BR6" i="13"/>
  <c r="BQ11" i="13"/>
  <c r="GO11" i="13"/>
  <c r="CW11" i="13"/>
  <c r="IK11" i="13"/>
  <c r="JQ11" i="13"/>
  <c r="JR4" i="13"/>
  <c r="JR9" i="13"/>
  <c r="JS10" i="13" s="1"/>
  <c r="JB7" i="13"/>
  <c r="JB8" i="13" s="1"/>
  <c r="JB4" i="13"/>
  <c r="JA11" i="13"/>
  <c r="DM11" i="13"/>
  <c r="FI11" i="13"/>
  <c r="CG11" i="13"/>
  <c r="ES11" i="13"/>
  <c r="HV7" i="13"/>
  <c r="HV8" i="13" s="1"/>
  <c r="IL7" i="13"/>
  <c r="IL8" i="13" s="1"/>
  <c r="KH9" i="13"/>
  <c r="KI10" i="13" s="1"/>
  <c r="KX4" i="13"/>
  <c r="KX9" i="13"/>
  <c r="KY10" i="13" s="1"/>
  <c r="KW11" i="13"/>
  <c r="NI11" i="13"/>
  <c r="EC7" i="13"/>
  <c r="EC8" i="13" s="1"/>
  <c r="MD9" i="13"/>
  <c r="ME10" i="13" s="1"/>
  <c r="IL9" i="13"/>
  <c r="IM10" i="13" s="1"/>
  <c r="LN4" i="13"/>
  <c r="MD4" i="13"/>
  <c r="LN9" i="13"/>
  <c r="LO10" i="13" s="1"/>
  <c r="BR9" i="13"/>
  <c r="BS10" i="13" s="1"/>
  <c r="DN4" i="13"/>
  <c r="NJ9" i="13"/>
  <c r="NK10" i="13" s="1"/>
  <c r="BQ7" i="13"/>
  <c r="BQ8" i="13" s="1"/>
  <c r="BC9" i="13"/>
  <c r="BD10" i="13" s="1"/>
  <c r="ET9" i="13"/>
  <c r="EU10" i="13" s="1"/>
  <c r="GP9" i="13"/>
  <c r="GQ10" i="13" s="1"/>
  <c r="BB9" i="13"/>
  <c r="BC10" i="13" s="1"/>
  <c r="MT9" i="13"/>
  <c r="MU10" i="13" s="1"/>
  <c r="NY11" i="13"/>
  <c r="NZ9" i="13"/>
  <c r="OA10" i="13" s="1"/>
  <c r="MT4" i="13"/>
  <c r="NZ4" i="13"/>
  <c r="ED4" i="13"/>
  <c r="CX4" i="13"/>
  <c r="HF4" i="13"/>
  <c r="HF9" i="13"/>
  <c r="HG10" i="13" s="1"/>
  <c r="MS11" i="13"/>
  <c r="FZ9" i="13"/>
  <c r="GA10" i="13" s="1"/>
  <c r="ED9" i="13"/>
  <c r="EE10" i="13" s="1"/>
  <c r="ET4" i="13"/>
  <c r="FZ4" i="13"/>
  <c r="HV9" i="13"/>
  <c r="HW10" i="13" s="1"/>
  <c r="HV4" i="13"/>
  <c r="CW7" i="13"/>
  <c r="CW8" i="13" s="1"/>
  <c r="CX9" i="13"/>
  <c r="CY10" i="13" s="1"/>
  <c r="GP4" i="13"/>
  <c r="MC11" i="13"/>
  <c r="KH4" i="13"/>
  <c r="CG7" i="13"/>
  <c r="CG8" i="13" s="1"/>
  <c r="CH4" i="13"/>
  <c r="NJ4" i="13"/>
  <c r="IL4" i="13"/>
  <c r="CH9" i="13"/>
  <c r="CI10" i="13" s="1"/>
  <c r="KG11" i="13"/>
  <c r="GP13" i="16" l="1"/>
  <c r="FZ13" i="13"/>
  <c r="HF13" i="17"/>
  <c r="HF13" i="15"/>
  <c r="CX13" i="15"/>
  <c r="C84" i="17"/>
  <c r="C93" i="17"/>
  <c r="C85" i="17"/>
  <c r="CX13" i="16"/>
  <c r="BR13" i="16"/>
  <c r="C84" i="16"/>
  <c r="C84" i="15"/>
  <c r="C110" i="16"/>
  <c r="B114" i="16" s="1"/>
  <c r="IL13" i="15"/>
  <c r="HV13" i="16"/>
  <c r="JB13" i="16"/>
  <c r="JB13" i="17"/>
  <c r="D84" i="17"/>
  <c r="ET13" i="17"/>
  <c r="C103" i="15"/>
  <c r="C104" i="17"/>
  <c r="IL13" i="13"/>
  <c r="IL13" i="16"/>
  <c r="D84" i="13"/>
  <c r="HV13" i="13"/>
  <c r="JB13" i="15"/>
  <c r="C69" i="17"/>
  <c r="IL13" i="17"/>
  <c r="HV13" i="17"/>
  <c r="GP13" i="17"/>
  <c r="C65" i="15"/>
  <c r="C67" i="15"/>
  <c r="JB13" i="13"/>
  <c r="BU67" i="9"/>
  <c r="BU85" i="9"/>
  <c r="BU75" i="9"/>
  <c r="BU104" i="9"/>
  <c r="BU64" i="9"/>
  <c r="BU68" i="9"/>
  <c r="BU103" i="9"/>
  <c r="BU95" i="9"/>
  <c r="BU66" i="9"/>
  <c r="BU65" i="9"/>
  <c r="BU76" i="9"/>
  <c r="BU96" i="9"/>
  <c r="BU69" i="9"/>
  <c r="BU102" i="9"/>
  <c r="BU84" i="9"/>
  <c r="BU74" i="9"/>
  <c r="BU86" i="9"/>
  <c r="BU73" i="9"/>
  <c r="BU93" i="9"/>
  <c r="BU94" i="9"/>
  <c r="BU88" i="9"/>
  <c r="JR13" i="16"/>
  <c r="C102" i="15"/>
  <c r="C95" i="15"/>
  <c r="C73" i="17"/>
  <c r="JR13" i="15"/>
  <c r="ET13" i="15"/>
  <c r="BB13" i="16"/>
  <c r="C85" i="13"/>
  <c r="C64" i="13"/>
  <c r="AF8" i="9"/>
  <c r="C66" i="17"/>
  <c r="JR13" i="13"/>
  <c r="DN13" i="13"/>
  <c r="BR13" i="15"/>
  <c r="ET13" i="16"/>
  <c r="FJ13" i="17"/>
  <c r="C94" i="17"/>
  <c r="C74" i="17"/>
  <c r="C76" i="17"/>
  <c r="HV13" i="15"/>
  <c r="NZ13" i="17"/>
  <c r="JR13" i="17"/>
  <c r="BG76" i="9"/>
  <c r="BG102" i="9"/>
  <c r="BG93" i="9"/>
  <c r="BG104" i="9"/>
  <c r="BG68" i="9"/>
  <c r="BG65" i="9"/>
  <c r="BG84" i="9"/>
  <c r="BG74" i="9"/>
  <c r="BG75" i="9"/>
  <c r="BG86" i="9"/>
  <c r="BG64" i="9"/>
  <c r="BG88" i="9"/>
  <c r="BG66" i="9"/>
  <c r="BG67" i="9"/>
  <c r="BG69" i="9"/>
  <c r="BG85" i="9"/>
  <c r="BG73" i="9"/>
  <c r="BG96" i="9"/>
  <c r="BG103" i="9"/>
  <c r="BG94" i="9"/>
  <c r="BG95" i="9"/>
  <c r="GP5" i="15"/>
  <c r="JB5" i="15"/>
  <c r="IL5" i="15"/>
  <c r="FJ5" i="15"/>
  <c r="FK6" i="15" s="1"/>
  <c r="GP5" i="16"/>
  <c r="HF5" i="16"/>
  <c r="HV5" i="17"/>
  <c r="C96" i="17"/>
  <c r="C74" i="13"/>
  <c r="C88" i="13"/>
  <c r="KH13" i="13"/>
  <c r="KH7" i="13"/>
  <c r="KH8" i="13" s="1"/>
  <c r="FK5" i="13"/>
  <c r="C88" i="16"/>
  <c r="C85" i="16"/>
  <c r="FZ5" i="15"/>
  <c r="JR5" i="16"/>
  <c r="ED5" i="16"/>
  <c r="ED5" i="17"/>
  <c r="C95" i="13"/>
  <c r="C94" i="13"/>
  <c r="MT5" i="13"/>
  <c r="C75" i="16"/>
  <c r="C94" i="16"/>
  <c r="C102" i="16"/>
  <c r="JR5" i="15"/>
  <c r="C109" i="16"/>
  <c r="CH5" i="16"/>
  <c r="FZ5" i="17"/>
  <c r="C95" i="17"/>
  <c r="C102" i="13"/>
  <c r="C68" i="13"/>
  <c r="MT6" i="13"/>
  <c r="GP5" i="13"/>
  <c r="ET5" i="13"/>
  <c r="EU6" i="13" s="1"/>
  <c r="CX5" i="13"/>
  <c r="C64" i="16"/>
  <c r="C104" i="16"/>
  <c r="C93" i="16"/>
  <c r="FZ5" i="13"/>
  <c r="C69" i="15"/>
  <c r="C74" i="15"/>
  <c r="C64" i="17"/>
  <c r="C69" i="13"/>
  <c r="C65" i="13"/>
  <c r="NJ5" i="13"/>
  <c r="NK6" i="13" s="1"/>
  <c r="C73" i="16"/>
  <c r="C95" i="16"/>
  <c r="BG6" i="9"/>
  <c r="BG9" i="9" s="1"/>
  <c r="ET5" i="15"/>
  <c r="FJ5" i="16"/>
  <c r="HF5" i="15"/>
  <c r="DN5" i="15"/>
  <c r="ET5" i="16"/>
  <c r="FZ5" i="16"/>
  <c r="HF5" i="17"/>
  <c r="C75" i="15"/>
  <c r="C104" i="15"/>
  <c r="C67" i="17"/>
  <c r="C68" i="17"/>
  <c r="C73" i="13"/>
  <c r="C76" i="13"/>
  <c r="C86" i="13"/>
  <c r="NJ6" i="13"/>
  <c r="HF5" i="13"/>
  <c r="MD5" i="13"/>
  <c r="ME6" i="13" s="1"/>
  <c r="C65" i="16"/>
  <c r="C103" i="16"/>
  <c r="C69" i="16"/>
  <c r="ME9" i="13"/>
  <c r="MF10" i="13" s="1"/>
  <c r="HV5" i="15"/>
  <c r="BR5" i="15"/>
  <c r="IL5" i="16"/>
  <c r="JR5" i="17"/>
  <c r="CX5" i="17"/>
  <c r="C88" i="17"/>
  <c r="C103" i="17"/>
  <c r="C65" i="17"/>
  <c r="JB5" i="13"/>
  <c r="C104" i="13"/>
  <c r="C93" i="13"/>
  <c r="C75" i="13"/>
  <c r="MD6" i="13"/>
  <c r="MD13" i="13" s="1"/>
  <c r="ED5" i="13"/>
  <c r="KX5" i="13"/>
  <c r="JR5" i="13"/>
  <c r="LN5" i="13"/>
  <c r="C74" i="16"/>
  <c r="C96" i="16"/>
  <c r="C66" i="16"/>
  <c r="HV5" i="16"/>
  <c r="C85" i="15"/>
  <c r="C75" i="17"/>
  <c r="NZ5" i="13"/>
  <c r="OA6" i="13" s="1"/>
  <c r="C96" i="13"/>
  <c r="C103" i="13"/>
  <c r="C66" i="13"/>
  <c r="KX13" i="13"/>
  <c r="KX7" i="13"/>
  <c r="KX8" i="13" s="1"/>
  <c r="DN5" i="13"/>
  <c r="CH5" i="13"/>
  <c r="LN6" i="13"/>
  <c r="LN11" i="13" s="1"/>
  <c r="C67" i="16"/>
  <c r="C68" i="16"/>
  <c r="IL5" i="13"/>
  <c r="BH8" i="9"/>
  <c r="BH5" i="9" s="1"/>
  <c r="JB5" i="16"/>
  <c r="C86" i="17"/>
  <c r="C102" i="17"/>
  <c r="NZ6" i="13"/>
  <c r="HV5" i="13"/>
  <c r="C67" i="13"/>
  <c r="BR5" i="13"/>
  <c r="BS6" i="13" s="1"/>
  <c r="KH5" i="13"/>
  <c r="ED7" i="15"/>
  <c r="ED8" i="15" s="1"/>
  <c r="ED5" i="15"/>
  <c r="EE6" i="15" s="1"/>
  <c r="EE9" i="15"/>
  <c r="C86" i="16"/>
  <c r="C76" i="16"/>
  <c r="BV8" i="9"/>
  <c r="BV5" i="9" s="1"/>
  <c r="BU6" i="9"/>
  <c r="BU9" i="9" s="1"/>
  <c r="CX5" i="15"/>
  <c r="C86" i="15"/>
  <c r="C64" i="15"/>
  <c r="C66" i="15"/>
  <c r="C94" i="15"/>
  <c r="C88" i="15"/>
  <c r="C93" i="15"/>
  <c r="C76" i="15"/>
  <c r="C68" i="15"/>
  <c r="C73" i="15"/>
  <c r="C96" i="15"/>
  <c r="CH5" i="15"/>
  <c r="C110" i="15"/>
  <c r="C111" i="15" s="1"/>
  <c r="MD5" i="17"/>
  <c r="ME6" i="17" s="1"/>
  <c r="MD6" i="17"/>
  <c r="MD13" i="17" s="1"/>
  <c r="BR5" i="17"/>
  <c r="BS6" i="17" s="1"/>
  <c r="MT5" i="17"/>
  <c r="MU6" i="17" s="1"/>
  <c r="LN5" i="17"/>
  <c r="LO6" i="17" s="1"/>
  <c r="NJ5" i="17"/>
  <c r="NK6" i="17" s="1"/>
  <c r="BA11" i="17"/>
  <c r="C109" i="17" s="1"/>
  <c r="BA13" i="17"/>
  <c r="C110" i="17" s="1"/>
  <c r="NJ6" i="17"/>
  <c r="NJ11" i="17" s="1"/>
  <c r="KX5" i="17"/>
  <c r="BR6" i="17"/>
  <c r="KX6" i="17"/>
  <c r="KX11" i="17" s="1"/>
  <c r="MT6" i="17"/>
  <c r="MT11" i="17" s="1"/>
  <c r="KH5" i="17"/>
  <c r="KI6" i="17" s="1"/>
  <c r="KH6" i="17"/>
  <c r="IL5" i="17"/>
  <c r="LN6" i="17"/>
  <c r="CH5" i="17"/>
  <c r="CI6" i="17" s="1"/>
  <c r="FJ5" i="17"/>
  <c r="ET5" i="17"/>
  <c r="EU6" i="17" s="1"/>
  <c r="DN5" i="17"/>
  <c r="JB5" i="17"/>
  <c r="GP5" i="17"/>
  <c r="DN5" i="16"/>
  <c r="NZ5" i="16"/>
  <c r="OA6" i="16" s="1"/>
  <c r="KH5" i="16"/>
  <c r="KI6" i="16" s="1"/>
  <c r="KI7" i="16" s="1"/>
  <c r="MD13" i="16"/>
  <c r="MD7" i="16"/>
  <c r="MD8" i="16" s="1"/>
  <c r="MT5" i="16"/>
  <c r="BR5" i="16"/>
  <c r="BS6" i="16" s="1"/>
  <c r="LN5" i="16"/>
  <c r="NJ5" i="16"/>
  <c r="CX5" i="16"/>
  <c r="CY6" i="16" s="1"/>
  <c r="LN6" i="16"/>
  <c r="LN11" i="16" s="1"/>
  <c r="MT13" i="16"/>
  <c r="MT7" i="16"/>
  <c r="MT8" i="16" s="1"/>
  <c r="NJ6" i="16"/>
  <c r="NJ11" i="16" s="1"/>
  <c r="KX5" i="16"/>
  <c r="KY6" i="16" s="1"/>
  <c r="KH13" i="16"/>
  <c r="KH7" i="16"/>
  <c r="KH8" i="16" s="1"/>
  <c r="DN13" i="16"/>
  <c r="NZ6" i="16"/>
  <c r="MD5" i="16"/>
  <c r="KX6" i="16"/>
  <c r="KX11" i="16" s="1"/>
  <c r="KH5" i="15"/>
  <c r="KI6" i="15" s="1"/>
  <c r="NJ5" i="15"/>
  <c r="NK6" i="15" s="1"/>
  <c r="LN5" i="15"/>
  <c r="LO6" i="15" s="1"/>
  <c r="MD5" i="15"/>
  <c r="NZ5" i="15"/>
  <c r="OA6" i="15" s="1"/>
  <c r="MT5" i="15"/>
  <c r="LN6" i="15"/>
  <c r="LN11" i="15" s="1"/>
  <c r="KX5" i="15"/>
  <c r="KY6" i="15" s="1"/>
  <c r="NZ6" i="15"/>
  <c r="NZ11" i="15" s="1"/>
  <c r="MT6" i="15"/>
  <c r="KH6" i="15"/>
  <c r="KH11" i="15" s="1"/>
  <c r="KX6" i="15"/>
  <c r="NJ6" i="15"/>
  <c r="CH7" i="16"/>
  <c r="CH8" i="16" s="1"/>
  <c r="CH13" i="16"/>
  <c r="NZ5" i="17"/>
  <c r="OA6" i="17" s="1"/>
  <c r="OA13" i="17" s="1"/>
  <c r="MD7" i="15"/>
  <c r="MD8" i="15" s="1"/>
  <c r="MD13" i="15"/>
  <c r="CH7" i="15"/>
  <c r="CH8" i="15" s="1"/>
  <c r="CH13" i="15"/>
  <c r="EU6" i="15"/>
  <c r="GP11" i="15"/>
  <c r="EU6" i="16"/>
  <c r="EE6" i="16"/>
  <c r="ED6" i="16"/>
  <c r="CY6" i="17"/>
  <c r="BR7" i="13"/>
  <c r="BR8" i="13" s="1"/>
  <c r="BR13" i="13"/>
  <c r="CX7" i="13"/>
  <c r="CX8" i="13" s="1"/>
  <c r="CX13" i="13"/>
  <c r="HF7" i="13"/>
  <c r="HF8" i="13" s="1"/>
  <c r="HF13" i="13"/>
  <c r="ED7" i="13"/>
  <c r="ED8" i="13" s="1"/>
  <c r="ED13" i="13"/>
  <c r="ET7" i="13"/>
  <c r="ET8" i="13" s="1"/>
  <c r="ET13" i="13"/>
  <c r="GP7" i="13"/>
  <c r="GP8" i="13" s="1"/>
  <c r="GP13" i="13"/>
  <c r="FJ7" i="13"/>
  <c r="FJ8" i="13" s="1"/>
  <c r="FJ13" i="13"/>
  <c r="BA7" i="13"/>
  <c r="BA8" i="13" s="1"/>
  <c r="BA13" i="13"/>
  <c r="C110" i="13" s="1"/>
  <c r="B113" i="13"/>
  <c r="BA11" i="13"/>
  <c r="C109" i="13" s="1"/>
  <c r="NK9" i="17"/>
  <c r="NL10" i="17" s="1"/>
  <c r="NK4" i="17"/>
  <c r="DN6" i="17"/>
  <c r="DN13" i="17" s="1"/>
  <c r="ME9" i="17"/>
  <c r="MF10" i="17" s="1"/>
  <c r="ME4" i="17"/>
  <c r="MU9" i="17"/>
  <c r="MV10" i="17" s="1"/>
  <c r="MU4" i="17"/>
  <c r="CX6" i="17"/>
  <c r="IL11" i="17"/>
  <c r="IM9" i="17"/>
  <c r="IN10" i="17" s="1"/>
  <c r="IM4" i="17"/>
  <c r="DO9" i="17"/>
  <c r="DP10" i="17" s="1"/>
  <c r="DO4" i="17"/>
  <c r="BS9" i="17"/>
  <c r="BT10" i="17" s="1"/>
  <c r="BS4" i="17"/>
  <c r="EE4" i="17"/>
  <c r="EE9" i="17"/>
  <c r="EF10" i="17" s="1"/>
  <c r="KY9" i="17"/>
  <c r="KZ10" i="17" s="1"/>
  <c r="KY4" i="17"/>
  <c r="HF7" i="17"/>
  <c r="HF8" i="17" s="1"/>
  <c r="JB11" i="17"/>
  <c r="JC4" i="17"/>
  <c r="JC9" i="17"/>
  <c r="JD10" i="17" s="1"/>
  <c r="CY9" i="17"/>
  <c r="CZ10" i="17" s="1"/>
  <c r="CY4" i="17"/>
  <c r="LO9" i="17"/>
  <c r="LP10" i="17" s="1"/>
  <c r="LO4" i="17"/>
  <c r="KI4" i="17"/>
  <c r="KI9" i="17"/>
  <c r="KJ10" i="17" s="1"/>
  <c r="BB11" i="17"/>
  <c r="BC9" i="17"/>
  <c r="BD10" i="17" s="1"/>
  <c r="BC4" i="17"/>
  <c r="HV11" i="17"/>
  <c r="HW9" i="17"/>
  <c r="HX10" i="17" s="1"/>
  <c r="HW4" i="17"/>
  <c r="BB5" i="17"/>
  <c r="BC6" i="17" s="1"/>
  <c r="JR11" i="17"/>
  <c r="JS9" i="17"/>
  <c r="JT10" i="17" s="1"/>
  <c r="JS4" i="17"/>
  <c r="CH6" i="17"/>
  <c r="GA9" i="17"/>
  <c r="GB10" i="17" s="1"/>
  <c r="GA4" i="17"/>
  <c r="NZ11" i="17"/>
  <c r="OA4" i="17"/>
  <c r="OA9" i="17"/>
  <c r="OB10" i="17" s="1"/>
  <c r="BB7" i="17"/>
  <c r="BA7" i="17"/>
  <c r="BA8" i="17" s="1"/>
  <c r="ET11" i="17"/>
  <c r="EU4" i="17"/>
  <c r="EU9" i="17"/>
  <c r="EV10" i="17" s="1"/>
  <c r="GP11" i="17"/>
  <c r="GQ9" i="17"/>
  <c r="GR10" i="17" s="1"/>
  <c r="GQ4" i="17"/>
  <c r="HG6" i="17"/>
  <c r="HF11" i="17"/>
  <c r="HG9" i="17"/>
  <c r="HH10" i="17" s="1"/>
  <c r="HG4" i="17"/>
  <c r="ES7" i="17"/>
  <c r="ES8" i="17" s="1"/>
  <c r="ET7" i="17"/>
  <c r="FJ11" i="17"/>
  <c r="FK4" i="17"/>
  <c r="FK9" i="17"/>
  <c r="FL10" i="17" s="1"/>
  <c r="GP7" i="17"/>
  <c r="GP8" i="17" s="1"/>
  <c r="CI4" i="17"/>
  <c r="CI9" i="17"/>
  <c r="CJ10" i="17" s="1"/>
  <c r="HF7" i="16"/>
  <c r="HF8" i="16" s="1"/>
  <c r="BB7" i="16"/>
  <c r="BB8" i="16" s="1"/>
  <c r="BB11" i="16"/>
  <c r="BC9" i="16"/>
  <c r="BD10" i="16" s="1"/>
  <c r="BC4" i="16"/>
  <c r="OA9" i="16"/>
  <c r="OB10" i="16" s="1"/>
  <c r="OA4" i="16"/>
  <c r="CI9" i="16"/>
  <c r="CJ10" i="16" s="1"/>
  <c r="CI4" i="16"/>
  <c r="CH11" i="16"/>
  <c r="LO9" i="16"/>
  <c r="LP10" i="16" s="1"/>
  <c r="LO4" i="16"/>
  <c r="JS9" i="16"/>
  <c r="JT10" i="16" s="1"/>
  <c r="JS4" i="16"/>
  <c r="JR11" i="16"/>
  <c r="IM9" i="16"/>
  <c r="IN10" i="16" s="1"/>
  <c r="IL11" i="16"/>
  <c r="IM4" i="16"/>
  <c r="FJ6" i="16"/>
  <c r="DO9" i="16"/>
  <c r="DP10" i="16" s="1"/>
  <c r="DO4" i="16"/>
  <c r="GA9" i="16"/>
  <c r="GB10" i="16" s="1"/>
  <c r="GA4" i="16"/>
  <c r="EU9" i="16"/>
  <c r="EV10" i="16" s="1"/>
  <c r="EU4" i="16"/>
  <c r="ET11" i="16"/>
  <c r="HW9" i="16"/>
  <c r="HX10" i="16" s="1"/>
  <c r="HV11" i="16"/>
  <c r="HW4" i="16"/>
  <c r="DO6" i="16"/>
  <c r="GP7" i="16"/>
  <c r="GP8" i="16" s="1"/>
  <c r="EE9" i="16"/>
  <c r="EF10" i="16" s="1"/>
  <c r="EE4" i="16"/>
  <c r="FK9" i="16"/>
  <c r="FL10" i="16" s="1"/>
  <c r="FK4" i="16"/>
  <c r="HG9" i="16"/>
  <c r="HH10" i="16" s="1"/>
  <c r="HG4" i="16"/>
  <c r="HF11" i="16"/>
  <c r="GQ9" i="16"/>
  <c r="GR10" i="16" s="1"/>
  <c r="GQ4" i="16"/>
  <c r="GP11" i="16"/>
  <c r="CY9" i="16"/>
  <c r="CZ10" i="16" s="1"/>
  <c r="CX11" i="16"/>
  <c r="CY4" i="16"/>
  <c r="KI9" i="16"/>
  <c r="KJ10" i="16" s="1"/>
  <c r="KH11" i="16"/>
  <c r="KI4" i="16"/>
  <c r="BB5" i="16"/>
  <c r="BC6" i="16" s="1"/>
  <c r="KY9" i="16"/>
  <c r="KZ10" i="16" s="1"/>
  <c r="KY4" i="16"/>
  <c r="MU9" i="16"/>
  <c r="MV10" i="16" s="1"/>
  <c r="MT11" i="16"/>
  <c r="MU4" i="16"/>
  <c r="JC9" i="16"/>
  <c r="JD10" i="16" s="1"/>
  <c r="JC4" i="16"/>
  <c r="JB11" i="16"/>
  <c r="BS9" i="16"/>
  <c r="BT10" i="16" s="1"/>
  <c r="BS4" i="16"/>
  <c r="BR11" i="16"/>
  <c r="ET7" i="16"/>
  <c r="ES7" i="16"/>
  <c r="ES8" i="16" s="1"/>
  <c r="BR7" i="16"/>
  <c r="BR8" i="16" s="1"/>
  <c r="CX7" i="16"/>
  <c r="CX8" i="16" s="1"/>
  <c r="NK9" i="16"/>
  <c r="NL10" i="16" s="1"/>
  <c r="NK4" i="16"/>
  <c r="ME9" i="16"/>
  <c r="MF10" i="16" s="1"/>
  <c r="ME4" i="16"/>
  <c r="MD11" i="16"/>
  <c r="BR7" i="15"/>
  <c r="BR8" i="15" s="1"/>
  <c r="JS9" i="15"/>
  <c r="JT10" i="15" s="1"/>
  <c r="JS4" i="15"/>
  <c r="JR11" i="15"/>
  <c r="FI7" i="15"/>
  <c r="FI8" i="15" s="1"/>
  <c r="KI9" i="15"/>
  <c r="KJ10" i="15" s="1"/>
  <c r="KI4" i="15"/>
  <c r="HF11" i="15"/>
  <c r="HG9" i="15"/>
  <c r="HH10" i="15" s="1"/>
  <c r="HG4" i="15"/>
  <c r="CY6" i="15"/>
  <c r="JC9" i="15"/>
  <c r="JD10" i="15" s="1"/>
  <c r="JB11" i="15"/>
  <c r="JC4" i="15"/>
  <c r="BR11" i="15"/>
  <c r="BS4" i="15"/>
  <c r="BS9" i="15"/>
  <c r="BT10" i="15" s="1"/>
  <c r="LO9" i="15"/>
  <c r="LP10" i="15" s="1"/>
  <c r="LO4" i="15"/>
  <c r="BB5" i="15"/>
  <c r="BC6" i="15" s="1"/>
  <c r="CX7" i="15"/>
  <c r="CW7" i="15"/>
  <c r="CW8" i="15" s="1"/>
  <c r="HW9" i="15"/>
  <c r="HX10" i="15" s="1"/>
  <c r="HW4" i="15"/>
  <c r="HV11" i="15"/>
  <c r="FI11" i="15"/>
  <c r="CW11" i="15"/>
  <c r="CH11" i="15"/>
  <c r="CI9" i="15"/>
  <c r="CJ10" i="15" s="1"/>
  <c r="CI4" i="15"/>
  <c r="NK9" i="15"/>
  <c r="NL10" i="15" s="1"/>
  <c r="NK4" i="15"/>
  <c r="GA9" i="15"/>
  <c r="GB10" i="15" s="1"/>
  <c r="GA4" i="15"/>
  <c r="BB6" i="15"/>
  <c r="BB13" i="15" s="1"/>
  <c r="MU9" i="15"/>
  <c r="MV10" i="15" s="1"/>
  <c r="MU4" i="15"/>
  <c r="HF7" i="15"/>
  <c r="HF8" i="15" s="1"/>
  <c r="ET7" i="15"/>
  <c r="ES7" i="15"/>
  <c r="ES8" i="15" s="1"/>
  <c r="OA9" i="15"/>
  <c r="OB10" i="15" s="1"/>
  <c r="OA4" i="15"/>
  <c r="EF10" i="15"/>
  <c r="EE4" i="15"/>
  <c r="DO9" i="15"/>
  <c r="DP10" i="15" s="1"/>
  <c r="DO6" i="15"/>
  <c r="DO4" i="15"/>
  <c r="FJ13" i="15"/>
  <c r="BC9" i="15"/>
  <c r="BD10" i="15" s="1"/>
  <c r="BC4" i="15"/>
  <c r="ES11" i="15"/>
  <c r="ED13" i="15"/>
  <c r="CY4" i="15"/>
  <c r="CY9" i="15"/>
  <c r="CZ10" i="15" s="1"/>
  <c r="CX11" i="15"/>
  <c r="FK9" i="15"/>
  <c r="FL10" i="15" s="1"/>
  <c r="FK4" i="15"/>
  <c r="MD11" i="15"/>
  <c r="ME9" i="15"/>
  <c r="MF10" i="15" s="1"/>
  <c r="ME4" i="15"/>
  <c r="EU4" i="15"/>
  <c r="ET11" i="15"/>
  <c r="EU9" i="15"/>
  <c r="EV10" i="15" s="1"/>
  <c r="GQ9" i="15"/>
  <c r="GR10" i="15" s="1"/>
  <c r="GQ4" i="15"/>
  <c r="KY9" i="15"/>
  <c r="KZ10" i="15" s="1"/>
  <c r="KY4" i="15"/>
  <c r="IL11" i="15"/>
  <c r="IM9" i="15"/>
  <c r="IN10" i="15" s="1"/>
  <c r="IM4" i="15"/>
  <c r="FZ13" i="15"/>
  <c r="DN6" i="15"/>
  <c r="DN13" i="15" s="1"/>
  <c r="BC4" i="13"/>
  <c r="BB6" i="13"/>
  <c r="EE6" i="13"/>
  <c r="FK13" i="13"/>
  <c r="CY6" i="13"/>
  <c r="IM6" i="13"/>
  <c r="CI6" i="13"/>
  <c r="HW6" i="13"/>
  <c r="DO6" i="13"/>
  <c r="BB5" i="13"/>
  <c r="BC6" i="13" s="1"/>
  <c r="BR11" i="13"/>
  <c r="GP11" i="13"/>
  <c r="FJ11" i="13"/>
  <c r="HV11" i="13"/>
  <c r="CX11" i="13"/>
  <c r="JR7" i="13"/>
  <c r="JR8" i="13" s="1"/>
  <c r="JS9" i="13"/>
  <c r="JT10" i="13" s="1"/>
  <c r="JS4" i="13"/>
  <c r="JR11" i="13"/>
  <c r="JC9" i="13"/>
  <c r="JD10" i="13" s="1"/>
  <c r="JB11" i="13"/>
  <c r="JC4" i="13"/>
  <c r="ET11" i="13"/>
  <c r="ED11" i="13"/>
  <c r="HF11" i="13"/>
  <c r="CH11" i="13"/>
  <c r="IL11" i="13"/>
  <c r="DN11" i="13"/>
  <c r="FZ11" i="13"/>
  <c r="KY9" i="13"/>
  <c r="KZ10" i="13" s="1"/>
  <c r="KX11" i="13"/>
  <c r="KY4" i="13"/>
  <c r="ME4" i="13"/>
  <c r="LO9" i="13"/>
  <c r="LP10" i="13" s="1"/>
  <c r="LO4" i="13"/>
  <c r="DO9" i="13"/>
  <c r="DP10" i="13" s="1"/>
  <c r="DO4" i="13"/>
  <c r="OA9" i="13"/>
  <c r="OB10" i="13" s="1"/>
  <c r="NZ11" i="13"/>
  <c r="OA4" i="13"/>
  <c r="BS9" i="13"/>
  <c r="BT10" i="13" s="1"/>
  <c r="BS4" i="13"/>
  <c r="GQ9" i="13"/>
  <c r="GR10" i="13" s="1"/>
  <c r="GQ4" i="13"/>
  <c r="CH7" i="13"/>
  <c r="CH8" i="13" s="1"/>
  <c r="MT11" i="13"/>
  <c r="MU9" i="13"/>
  <c r="MV10" i="13" s="1"/>
  <c r="MU4" i="13"/>
  <c r="GA9" i="13"/>
  <c r="GB10" i="13" s="1"/>
  <c r="GA4" i="13"/>
  <c r="NK4" i="13"/>
  <c r="NJ11" i="13"/>
  <c r="NK9" i="13"/>
  <c r="NL10" i="13" s="1"/>
  <c r="FK9" i="13"/>
  <c r="FL10" i="13" s="1"/>
  <c r="HG4" i="13"/>
  <c r="HG9" i="13"/>
  <c r="HH10" i="13" s="1"/>
  <c r="DN7" i="13"/>
  <c r="DN8" i="13" s="1"/>
  <c r="CI4" i="13"/>
  <c r="CI9" i="13"/>
  <c r="CJ10" i="13" s="1"/>
  <c r="KI9" i="13"/>
  <c r="KJ10" i="13" s="1"/>
  <c r="KH11" i="13"/>
  <c r="KI4" i="13"/>
  <c r="EU9" i="13"/>
  <c r="EV10" i="13" s="1"/>
  <c r="EU4" i="13"/>
  <c r="CY9" i="13"/>
  <c r="CZ10" i="13" s="1"/>
  <c r="CY4" i="13"/>
  <c r="MD7" i="13"/>
  <c r="MD8" i="13" s="1"/>
  <c r="MD11" i="13"/>
  <c r="FZ7" i="13"/>
  <c r="FZ8" i="13" s="1"/>
  <c r="HW9" i="13"/>
  <c r="HX10" i="13" s="1"/>
  <c r="HW4" i="13"/>
  <c r="EE4" i="13"/>
  <c r="EE9" i="13"/>
  <c r="EF10" i="13" s="1"/>
  <c r="IM9" i="13"/>
  <c r="IN10" i="13" s="1"/>
  <c r="IM4" i="13"/>
  <c r="BS96" i="13" l="1"/>
  <c r="BS84" i="13"/>
  <c r="BS95" i="13"/>
  <c r="BS76" i="13"/>
  <c r="BS65" i="13"/>
  <c r="BS94" i="13"/>
  <c r="BS75" i="13"/>
  <c r="BS93" i="13"/>
  <c r="BS74" i="13"/>
  <c r="BS73" i="13"/>
  <c r="BS104" i="13"/>
  <c r="BS88" i="13"/>
  <c r="BS69" i="13"/>
  <c r="BS103" i="13"/>
  <c r="BS86" i="13"/>
  <c r="BS68" i="13"/>
  <c r="BS64" i="13"/>
  <c r="BS102" i="13"/>
  <c r="BS85" i="13"/>
  <c r="BS67" i="13"/>
  <c r="BC93" i="13"/>
  <c r="BC75" i="13"/>
  <c r="BC68" i="13"/>
  <c r="BC95" i="13"/>
  <c r="BC76" i="13"/>
  <c r="BC66" i="13"/>
  <c r="BC64" i="13"/>
  <c r="BC102" i="13"/>
  <c r="BC84" i="13"/>
  <c r="BC65" i="13"/>
  <c r="BC103" i="13"/>
  <c r="BC85" i="13"/>
  <c r="BC69" i="13"/>
  <c r="BC96" i="13"/>
  <c r="BC104" i="13"/>
  <c r="BC88" i="13"/>
  <c r="BC86" i="13"/>
  <c r="BC73" i="13"/>
  <c r="BC67" i="13"/>
  <c r="BC94" i="13"/>
  <c r="BC74" i="13"/>
  <c r="BC13" i="13"/>
  <c r="D84" i="15"/>
  <c r="DO13" i="16"/>
  <c r="GQ13" i="15"/>
  <c r="ME13" i="17"/>
  <c r="D95" i="15"/>
  <c r="CY13" i="13"/>
  <c r="GA13" i="17"/>
  <c r="D88" i="17"/>
  <c r="D66" i="17"/>
  <c r="IM13" i="16"/>
  <c r="HW13" i="16"/>
  <c r="GQ13" i="16"/>
  <c r="D84" i="16"/>
  <c r="C111" i="16"/>
  <c r="C112" i="16"/>
  <c r="C113" i="16" s="1"/>
  <c r="BS13" i="16"/>
  <c r="BS7" i="16"/>
  <c r="JC13" i="13"/>
  <c r="HW13" i="13"/>
  <c r="BC13" i="15"/>
  <c r="CY13" i="17"/>
  <c r="FK13" i="15"/>
  <c r="CI13" i="17"/>
  <c r="D88" i="15"/>
  <c r="D73" i="17"/>
  <c r="BV75" i="9"/>
  <c r="BV93" i="9"/>
  <c r="BV64" i="9"/>
  <c r="BV95" i="9"/>
  <c r="BV96" i="9"/>
  <c r="BV94" i="9"/>
  <c r="BV67" i="9"/>
  <c r="BV104" i="9"/>
  <c r="BV66" i="9"/>
  <c r="BV85" i="9"/>
  <c r="BV102" i="9"/>
  <c r="BV65" i="9"/>
  <c r="BV76" i="9"/>
  <c r="BV103" i="9"/>
  <c r="BV68" i="9"/>
  <c r="BV88" i="9"/>
  <c r="BV86" i="9"/>
  <c r="BV69" i="9"/>
  <c r="BV73" i="9"/>
  <c r="BV84" i="9"/>
  <c r="BV74" i="9"/>
  <c r="JS13" i="16"/>
  <c r="JC13" i="15"/>
  <c r="CY13" i="15"/>
  <c r="JC13" i="16"/>
  <c r="BC13" i="16"/>
  <c r="D64" i="13"/>
  <c r="JS13" i="15"/>
  <c r="BC13" i="17"/>
  <c r="OA13" i="15"/>
  <c r="CY13" i="16"/>
  <c r="OA13" i="16"/>
  <c r="D75" i="17"/>
  <c r="GA13" i="15"/>
  <c r="EE13" i="15"/>
  <c r="D102" i="16"/>
  <c r="JS13" i="13"/>
  <c r="BH86" i="9"/>
  <c r="BH75" i="9"/>
  <c r="BH104" i="9"/>
  <c r="BH95" i="9"/>
  <c r="BH74" i="9"/>
  <c r="BH68" i="9"/>
  <c r="BH85" i="9"/>
  <c r="BH88" i="9"/>
  <c r="BH67" i="9"/>
  <c r="BH96" i="9"/>
  <c r="BH93" i="9"/>
  <c r="BH69" i="9"/>
  <c r="BH64" i="9"/>
  <c r="BH102" i="9"/>
  <c r="BH66" i="9"/>
  <c r="BH94" i="9"/>
  <c r="BH73" i="9"/>
  <c r="BH65" i="9"/>
  <c r="BH84" i="9"/>
  <c r="BH76" i="9"/>
  <c r="BH103" i="9"/>
  <c r="EE13" i="16"/>
  <c r="D86" i="15"/>
  <c r="D85" i="17"/>
  <c r="IM13" i="15"/>
  <c r="D64" i="15"/>
  <c r="MU13" i="17"/>
  <c r="D69" i="17"/>
  <c r="D74" i="16"/>
  <c r="D66" i="16"/>
  <c r="OA13" i="13"/>
  <c r="D64" i="16"/>
  <c r="EE13" i="13"/>
  <c r="DO13" i="15"/>
  <c r="AG8" i="9"/>
  <c r="E84" i="15"/>
  <c r="E84" i="17"/>
  <c r="JS13" i="17"/>
  <c r="JC13" i="17"/>
  <c r="BS13" i="17"/>
  <c r="D68" i="17"/>
  <c r="D104" i="17"/>
  <c r="D64" i="17"/>
  <c r="B114" i="15"/>
  <c r="D96" i="16"/>
  <c r="D85" i="16"/>
  <c r="D67" i="16"/>
  <c r="D68" i="16"/>
  <c r="BH6" i="9"/>
  <c r="BH9" i="9" s="1"/>
  <c r="FK5" i="16"/>
  <c r="D93" i="15"/>
  <c r="D73" i="16"/>
  <c r="D95" i="16"/>
  <c r="NK13" i="13"/>
  <c r="LO5" i="13"/>
  <c r="JC5" i="13"/>
  <c r="D68" i="13"/>
  <c r="D73" i="13"/>
  <c r="IM5" i="15"/>
  <c r="DO5" i="15"/>
  <c r="GA5" i="16"/>
  <c r="OA5" i="16"/>
  <c r="HG5" i="17"/>
  <c r="D67" i="15"/>
  <c r="D65" i="17"/>
  <c r="D103" i="17"/>
  <c r="D69" i="16"/>
  <c r="IM5" i="13"/>
  <c r="JS5" i="13"/>
  <c r="D96" i="13"/>
  <c r="D88" i="13"/>
  <c r="ME5" i="13"/>
  <c r="MU5" i="13"/>
  <c r="HW5" i="15"/>
  <c r="BS5" i="15"/>
  <c r="CY5" i="17"/>
  <c r="GA5" i="15"/>
  <c r="JC5" i="16"/>
  <c r="EE5" i="16"/>
  <c r="IM5" i="16"/>
  <c r="LP6" i="13"/>
  <c r="GQ5" i="15"/>
  <c r="FK5" i="15"/>
  <c r="HG5" i="15"/>
  <c r="GQ5" i="16"/>
  <c r="EU5" i="16"/>
  <c r="CI5" i="16"/>
  <c r="HW5" i="17"/>
  <c r="D74" i="15"/>
  <c r="D96" i="15"/>
  <c r="D96" i="17"/>
  <c r="D94" i="17"/>
  <c r="HW5" i="13"/>
  <c r="D104" i="16"/>
  <c r="KY5" i="13"/>
  <c r="KZ6" i="13" s="1"/>
  <c r="D69" i="13"/>
  <c r="D65" i="13"/>
  <c r="D94" i="13"/>
  <c r="HG5" i="13"/>
  <c r="CY5" i="13"/>
  <c r="D95" i="17"/>
  <c r="D74" i="17"/>
  <c r="D102" i="17"/>
  <c r="NZ13" i="13"/>
  <c r="OA7" i="13"/>
  <c r="NZ7" i="13"/>
  <c r="NZ8" i="13" s="1"/>
  <c r="OA8" i="13" s="1"/>
  <c r="D93" i="16"/>
  <c r="EE5" i="13"/>
  <c r="D85" i="13"/>
  <c r="D76" i="13"/>
  <c r="D86" i="13"/>
  <c r="NJ13" i="13"/>
  <c r="NK7" i="13"/>
  <c r="NJ7" i="13"/>
  <c r="NJ8" i="13" s="1"/>
  <c r="EU5" i="13"/>
  <c r="EV6" i="13" s="1"/>
  <c r="MV6" i="13"/>
  <c r="MF9" i="13"/>
  <c r="MG10" i="13" s="1"/>
  <c r="MF6" i="13"/>
  <c r="D102" i="13"/>
  <c r="D93" i="13"/>
  <c r="D75" i="13"/>
  <c r="GQ5" i="13"/>
  <c r="KI5" i="15"/>
  <c r="HG5" i="16"/>
  <c r="JS5" i="16"/>
  <c r="EE5" i="17"/>
  <c r="D76" i="17"/>
  <c r="D93" i="17"/>
  <c r="D65" i="16"/>
  <c r="D86" i="16"/>
  <c r="D76" i="16"/>
  <c r="LN13" i="13"/>
  <c r="LN7" i="13"/>
  <c r="LN8" i="13" s="1"/>
  <c r="D67" i="13"/>
  <c r="D104" i="13"/>
  <c r="MT13" i="13"/>
  <c r="MT7" i="13"/>
  <c r="MT8" i="13" s="1"/>
  <c r="EU5" i="15"/>
  <c r="JC5" i="15"/>
  <c r="JD6" i="15" s="1"/>
  <c r="HW5" i="16"/>
  <c r="BI8" i="9"/>
  <c r="BI5" i="9" s="1"/>
  <c r="JS5" i="17"/>
  <c r="D67" i="17"/>
  <c r="KI5" i="13"/>
  <c r="KJ6" i="13" s="1"/>
  <c r="D103" i="16"/>
  <c r="D88" i="16"/>
  <c r="CI5" i="13"/>
  <c r="OA5" i="13"/>
  <c r="D74" i="13"/>
  <c r="D66" i="13"/>
  <c r="KI6" i="13"/>
  <c r="NK5" i="13"/>
  <c r="GA5" i="13"/>
  <c r="LO6" i="13"/>
  <c r="LO11" i="13" s="1"/>
  <c r="MU6" i="13"/>
  <c r="MU13" i="13" s="1"/>
  <c r="GA5" i="17"/>
  <c r="D86" i="17"/>
  <c r="BS5" i="13"/>
  <c r="D75" i="16"/>
  <c r="D94" i="16"/>
  <c r="DO5" i="13"/>
  <c r="KY6" i="13"/>
  <c r="D95" i="13"/>
  <c r="D103" i="13"/>
  <c r="BV6" i="9"/>
  <c r="BV9" i="9" s="1"/>
  <c r="BW8" i="9"/>
  <c r="BW5" i="9" s="1"/>
  <c r="D94" i="15"/>
  <c r="D66" i="15"/>
  <c r="D68" i="15"/>
  <c r="D65" i="15"/>
  <c r="D73" i="15"/>
  <c r="D75" i="15"/>
  <c r="D76" i="15"/>
  <c r="D104" i="15"/>
  <c r="CY5" i="15"/>
  <c r="D69" i="15"/>
  <c r="D102" i="15"/>
  <c r="D103" i="15"/>
  <c r="D85" i="15"/>
  <c r="CI5" i="15"/>
  <c r="C112" i="17"/>
  <c r="C113" i="17" s="1"/>
  <c r="B114" i="17"/>
  <c r="C111" i="17"/>
  <c r="C109" i="15"/>
  <c r="C112" i="15" s="1"/>
  <c r="C113" i="15" s="1"/>
  <c r="EE5" i="15"/>
  <c r="EF6" i="15" s="1"/>
  <c r="ME5" i="17"/>
  <c r="MF6" i="17" s="1"/>
  <c r="MD7" i="17"/>
  <c r="MD8" i="17" s="1"/>
  <c r="MD11" i="17"/>
  <c r="BS5" i="17"/>
  <c r="BT6" i="17" s="1"/>
  <c r="NK5" i="17"/>
  <c r="NL6" i="17" s="1"/>
  <c r="GQ5" i="17"/>
  <c r="JC5" i="17"/>
  <c r="JD6" i="17" s="1"/>
  <c r="IM5" i="17"/>
  <c r="IN6" i="17" s="1"/>
  <c r="LO5" i="17"/>
  <c r="LP6" i="17" s="1"/>
  <c r="LN13" i="17"/>
  <c r="LO7" i="17"/>
  <c r="LN7" i="17"/>
  <c r="LN8" i="17" s="1"/>
  <c r="KH13" i="17"/>
  <c r="KI7" i="17"/>
  <c r="KH7" i="17"/>
  <c r="KH8" i="17" s="1"/>
  <c r="GQ11" i="17"/>
  <c r="KH11" i="17"/>
  <c r="EU5" i="17"/>
  <c r="EV6" i="17" s="1"/>
  <c r="KI5" i="17"/>
  <c r="DO5" i="17"/>
  <c r="FK5" i="17"/>
  <c r="NK13" i="17"/>
  <c r="KY5" i="17"/>
  <c r="KZ6" i="17" s="1"/>
  <c r="KI13" i="17"/>
  <c r="KX13" i="17"/>
  <c r="KX7" i="17"/>
  <c r="KX8" i="17" s="1"/>
  <c r="LO13" i="17"/>
  <c r="MT13" i="17"/>
  <c r="MT7" i="17"/>
  <c r="MT8" i="17" s="1"/>
  <c r="MU7" i="17"/>
  <c r="ME7" i="17"/>
  <c r="BC11" i="17"/>
  <c r="LN11" i="17"/>
  <c r="FK6" i="17"/>
  <c r="FK13" i="17" s="1"/>
  <c r="KY6" i="17"/>
  <c r="KY7" i="17" s="1"/>
  <c r="CI5" i="17"/>
  <c r="CJ6" i="17" s="1"/>
  <c r="MU5" i="17"/>
  <c r="MV6" i="17" s="1"/>
  <c r="NJ13" i="17"/>
  <c r="NJ7" i="17"/>
  <c r="NJ8" i="17" s="1"/>
  <c r="NK7" i="17"/>
  <c r="DO5" i="16"/>
  <c r="KI5" i="16"/>
  <c r="KJ6" i="16" s="1"/>
  <c r="BS5" i="16"/>
  <c r="BT6" i="16" s="1"/>
  <c r="ME5" i="16"/>
  <c r="MF6" i="16" s="1"/>
  <c r="MU5" i="16"/>
  <c r="MV6" i="16" s="1"/>
  <c r="KI8" i="16"/>
  <c r="NK5" i="16"/>
  <c r="NL6" i="16" s="1"/>
  <c r="NZ13" i="16"/>
  <c r="OA7" i="16"/>
  <c r="NZ7" i="16"/>
  <c r="NZ8" i="16" s="1"/>
  <c r="NK6" i="16"/>
  <c r="NK11" i="16" s="1"/>
  <c r="KY13" i="16"/>
  <c r="LO5" i="16"/>
  <c r="LP6" i="16" s="1"/>
  <c r="MU6" i="16"/>
  <c r="MU11" i="16" s="1"/>
  <c r="ME6" i="16"/>
  <c r="ME13" i="16" s="1"/>
  <c r="DN11" i="16"/>
  <c r="NZ11" i="16"/>
  <c r="LN13" i="16"/>
  <c r="LN7" i="16"/>
  <c r="LN8" i="16" s="1"/>
  <c r="LO6" i="16"/>
  <c r="LO7" i="16" s="1"/>
  <c r="NJ13" i="16"/>
  <c r="NJ7" i="16"/>
  <c r="NJ8" i="16" s="1"/>
  <c r="KI13" i="16"/>
  <c r="DN7" i="16"/>
  <c r="DN8" i="16" s="1"/>
  <c r="OB6" i="16"/>
  <c r="KX13" i="16"/>
  <c r="KY7" i="16"/>
  <c r="KX7" i="16"/>
  <c r="KX8" i="16" s="1"/>
  <c r="KY5" i="16"/>
  <c r="CY5" i="16"/>
  <c r="CZ6" i="16" s="1"/>
  <c r="NK5" i="15"/>
  <c r="NL6" i="15" s="1"/>
  <c r="LO5" i="15"/>
  <c r="LP6" i="15" s="1"/>
  <c r="MU5" i="15"/>
  <c r="MV6" i="15" s="1"/>
  <c r="ME5" i="15"/>
  <c r="MF6" i="15" s="1"/>
  <c r="KX13" i="15"/>
  <c r="KY7" i="15"/>
  <c r="KX7" i="15"/>
  <c r="KX8" i="15" s="1"/>
  <c r="NJ13" i="15"/>
  <c r="NK7" i="15"/>
  <c r="NJ7" i="15"/>
  <c r="NJ8" i="15" s="1"/>
  <c r="KY13" i="15"/>
  <c r="MT13" i="15"/>
  <c r="MT7" i="15"/>
  <c r="MT8" i="15" s="1"/>
  <c r="NK13" i="15"/>
  <c r="NZ13" i="15"/>
  <c r="OA7" i="15"/>
  <c r="NZ7" i="15"/>
  <c r="NZ8" i="15" s="1"/>
  <c r="KJ6" i="15"/>
  <c r="LO13" i="15"/>
  <c r="KY5" i="15"/>
  <c r="KI13" i="15"/>
  <c r="LN13" i="15"/>
  <c r="LO7" i="15"/>
  <c r="LN7" i="15"/>
  <c r="LN8" i="15" s="1"/>
  <c r="KX11" i="15"/>
  <c r="MT11" i="15"/>
  <c r="ME6" i="15"/>
  <c r="ME13" i="15" s="1"/>
  <c r="NJ11" i="15"/>
  <c r="MU6" i="15"/>
  <c r="MU13" i="15" s="1"/>
  <c r="KH13" i="15"/>
  <c r="KI7" i="15"/>
  <c r="KH7" i="15"/>
  <c r="KH8" i="15" s="1"/>
  <c r="OA5" i="15"/>
  <c r="OB6" i="15" s="1"/>
  <c r="JS5" i="15"/>
  <c r="FZ11" i="16"/>
  <c r="FZ13" i="16"/>
  <c r="FJ11" i="16"/>
  <c r="FJ13" i="16"/>
  <c r="EU7" i="16"/>
  <c r="EU13" i="16"/>
  <c r="ED11" i="16"/>
  <c r="ED13" i="16"/>
  <c r="OA7" i="17"/>
  <c r="OA8" i="17" s="1"/>
  <c r="OA5" i="17"/>
  <c r="HG7" i="17"/>
  <c r="HG8" i="17" s="1"/>
  <c r="HG13" i="17"/>
  <c r="FZ11" i="17"/>
  <c r="FZ13" i="17"/>
  <c r="EU7" i="17"/>
  <c r="EU13" i="17"/>
  <c r="ED11" i="17"/>
  <c r="ED13" i="17"/>
  <c r="CX11" i="17"/>
  <c r="CX13" i="17"/>
  <c r="CH11" i="17"/>
  <c r="CH13" i="17"/>
  <c r="BR11" i="17"/>
  <c r="BR13" i="17"/>
  <c r="EU7" i="15"/>
  <c r="EU13" i="15"/>
  <c r="GP7" i="15"/>
  <c r="GP8" i="15" s="1"/>
  <c r="GP13" i="15"/>
  <c r="FK7" i="15"/>
  <c r="FJ11" i="15"/>
  <c r="HH13" i="15"/>
  <c r="CJ6" i="15"/>
  <c r="BT6" i="15"/>
  <c r="FL6" i="16"/>
  <c r="FK6" i="16"/>
  <c r="FZ7" i="17"/>
  <c r="FZ8" i="17" s="1"/>
  <c r="GA7" i="17"/>
  <c r="EF6" i="17"/>
  <c r="CI7" i="13"/>
  <c r="CI8" i="13" s="1"/>
  <c r="CI13" i="13"/>
  <c r="GA7" i="13"/>
  <c r="GA8" i="13" s="1"/>
  <c r="GA13" i="13"/>
  <c r="EU7" i="13"/>
  <c r="EU8" i="13" s="1"/>
  <c r="EU13" i="13"/>
  <c r="GQ7" i="13"/>
  <c r="GQ8" i="13" s="1"/>
  <c r="GQ13" i="13"/>
  <c r="HG7" i="13"/>
  <c r="HG8" i="13" s="1"/>
  <c r="HG13" i="13"/>
  <c r="DO7" i="13"/>
  <c r="DO8" i="13" s="1"/>
  <c r="DO13" i="13"/>
  <c r="IM7" i="13"/>
  <c r="IM8" i="13" s="1"/>
  <c r="IM13" i="13"/>
  <c r="ME7" i="13"/>
  <c r="ME8" i="13" s="1"/>
  <c r="ME13" i="13"/>
  <c r="BS7" i="13"/>
  <c r="BS8" i="13" s="1"/>
  <c r="BS13" i="13"/>
  <c r="B114" i="13"/>
  <c r="C111" i="13"/>
  <c r="C112" i="13"/>
  <c r="BB11" i="13"/>
  <c r="D109" i="13" s="1"/>
  <c r="BB13" i="13"/>
  <c r="ET8" i="17"/>
  <c r="BB7" i="13"/>
  <c r="BB8" i="13" s="1"/>
  <c r="BS8" i="16"/>
  <c r="BD4" i="13"/>
  <c r="BD9" i="13"/>
  <c r="BE10" i="13" s="1"/>
  <c r="BD9" i="17"/>
  <c r="BE10" i="17" s="1"/>
  <c r="BD4" i="17"/>
  <c r="EE6" i="17"/>
  <c r="CY7" i="17"/>
  <c r="CX7" i="17"/>
  <c r="CX8" i="17" s="1"/>
  <c r="HG11" i="17"/>
  <c r="HH9" i="17"/>
  <c r="HI10" i="17" s="1"/>
  <c r="HH6" i="17"/>
  <c r="HH4" i="17"/>
  <c r="JC11" i="17"/>
  <c r="JD9" i="17"/>
  <c r="JE10" i="17" s="1"/>
  <c r="JD4" i="17"/>
  <c r="DO6" i="17"/>
  <c r="MU11" i="17"/>
  <c r="MV9" i="17"/>
  <c r="MW10" i="17" s="1"/>
  <c r="MV4" i="17"/>
  <c r="NK11" i="17"/>
  <c r="NL9" i="17"/>
  <c r="NM10" i="17" s="1"/>
  <c r="NL4" i="17"/>
  <c r="CI11" i="17"/>
  <c r="CJ9" i="17"/>
  <c r="CK10" i="17" s="1"/>
  <c r="CJ4" i="17"/>
  <c r="LO11" i="17"/>
  <c r="LP9" i="17"/>
  <c r="LQ10" i="17" s="1"/>
  <c r="LP4" i="17"/>
  <c r="GR9" i="17"/>
  <c r="GS10" i="17" s="1"/>
  <c r="GR4" i="17"/>
  <c r="BB8" i="17"/>
  <c r="BC5" i="17"/>
  <c r="BC7" i="17"/>
  <c r="EF9" i="17"/>
  <c r="EG10" i="17" s="1"/>
  <c r="EF4" i="17"/>
  <c r="FL9" i="17"/>
  <c r="FM10" i="17" s="1"/>
  <c r="FL4" i="17"/>
  <c r="EU11" i="17"/>
  <c r="EV9" i="17"/>
  <c r="EW10" i="17" s="1"/>
  <c r="EV4" i="17"/>
  <c r="GA11" i="17"/>
  <c r="GB9" i="17"/>
  <c r="GC10" i="17" s="1"/>
  <c r="GB6" i="17"/>
  <c r="GB13" i="17" s="1"/>
  <c r="GB4" i="17"/>
  <c r="CI7" i="17"/>
  <c r="CH7" i="17"/>
  <c r="CH8" i="17" s="1"/>
  <c r="KI11" i="17"/>
  <c r="KJ9" i="17"/>
  <c r="KK10" i="17" s="1"/>
  <c r="KJ4" i="17"/>
  <c r="IN9" i="17"/>
  <c r="IO10" i="17" s="1"/>
  <c r="IN4" i="17"/>
  <c r="ME11" i="17"/>
  <c r="MF9" i="17"/>
  <c r="MG10" i="17" s="1"/>
  <c r="MF4" i="17"/>
  <c r="DN7" i="17"/>
  <c r="DN8" i="17" s="1"/>
  <c r="JS11" i="17"/>
  <c r="JT9" i="17"/>
  <c r="JU10" i="17" s="1"/>
  <c r="JT6" i="17"/>
  <c r="JT4" i="17"/>
  <c r="FJ7" i="17"/>
  <c r="FJ8" i="17" s="1"/>
  <c r="CY11" i="17"/>
  <c r="CZ9" i="17"/>
  <c r="DA10" i="17" s="1"/>
  <c r="CZ4" i="17"/>
  <c r="CZ6" i="17"/>
  <c r="BS11" i="17"/>
  <c r="BT9" i="17"/>
  <c r="BU10" i="17" s="1"/>
  <c r="BT4" i="17"/>
  <c r="IM6" i="17"/>
  <c r="IM13" i="17" s="1"/>
  <c r="HX9" i="17"/>
  <c r="HY10" i="17" s="1"/>
  <c r="HX4" i="17"/>
  <c r="DP9" i="17"/>
  <c r="DQ10" i="17" s="1"/>
  <c r="DP4" i="17"/>
  <c r="BS7" i="17"/>
  <c r="BR7" i="17"/>
  <c r="BR8" i="17" s="1"/>
  <c r="OA11" i="17"/>
  <c r="OB9" i="17"/>
  <c r="OC10" i="17" s="1"/>
  <c r="OB4" i="17"/>
  <c r="ED7" i="17"/>
  <c r="ED8" i="17" s="1"/>
  <c r="HW6" i="17"/>
  <c r="KZ9" i="17"/>
  <c r="LA10" i="17" s="1"/>
  <c r="KZ4" i="17"/>
  <c r="DN11" i="17"/>
  <c r="BC7" i="16"/>
  <c r="BC8" i="16" s="1"/>
  <c r="DO7" i="16"/>
  <c r="EE7" i="16"/>
  <c r="ED7" i="16"/>
  <c r="ED8" i="16" s="1"/>
  <c r="GR9" i="16"/>
  <c r="GS10" i="16" s="1"/>
  <c r="GR4" i="16"/>
  <c r="GR6" i="16"/>
  <c r="GQ11" i="16"/>
  <c r="GB4" i="16"/>
  <c r="GB6" i="16"/>
  <c r="GB9" i="16"/>
  <c r="GC10" i="16" s="1"/>
  <c r="DO11" i="16"/>
  <c r="DP4" i="16"/>
  <c r="DP9" i="16"/>
  <c r="DQ10" i="16" s="1"/>
  <c r="MV4" i="16"/>
  <c r="MV9" i="16"/>
  <c r="MW10" i="16" s="1"/>
  <c r="EE11" i="16"/>
  <c r="EF9" i="16"/>
  <c r="EG10" i="16" s="1"/>
  <c r="EF6" i="16"/>
  <c r="EF4" i="16"/>
  <c r="NL4" i="16"/>
  <c r="NL9" i="16"/>
  <c r="NM10" i="16" s="1"/>
  <c r="HW7" i="16"/>
  <c r="HW8" i="16" s="1"/>
  <c r="LP4" i="16"/>
  <c r="LP9" i="16"/>
  <c r="LQ10" i="16" s="1"/>
  <c r="JD6" i="16"/>
  <c r="ET8" i="16"/>
  <c r="FZ7" i="16"/>
  <c r="FZ8" i="16" s="1"/>
  <c r="KI11" i="16"/>
  <c r="KJ9" i="16"/>
  <c r="KK10" i="16" s="1"/>
  <c r="KJ4" i="16"/>
  <c r="CY11" i="16"/>
  <c r="CZ4" i="16"/>
  <c r="CZ9" i="16"/>
  <c r="DA10" i="16" s="1"/>
  <c r="HW11" i="16"/>
  <c r="HX9" i="16"/>
  <c r="HY10" i="16" s="1"/>
  <c r="HX4" i="16"/>
  <c r="FJ7" i="16"/>
  <c r="FJ8" i="16" s="1"/>
  <c r="OA11" i="16"/>
  <c r="OB9" i="16"/>
  <c r="OC10" i="16" s="1"/>
  <c r="OB4" i="16"/>
  <c r="BD4" i="16"/>
  <c r="BC11" i="16"/>
  <c r="BD9" i="16"/>
  <c r="BE10" i="16" s="1"/>
  <c r="MF9" i="16"/>
  <c r="MG10" i="16" s="1"/>
  <c r="MF4" i="16"/>
  <c r="FL9" i="16"/>
  <c r="FM10" i="16" s="1"/>
  <c r="FL4" i="16"/>
  <c r="GQ7" i="16"/>
  <c r="GQ8" i="16" s="1"/>
  <c r="IM7" i="16"/>
  <c r="IM8" i="16" s="1"/>
  <c r="CJ9" i="16"/>
  <c r="CK10" i="16" s="1"/>
  <c r="CJ6" i="16"/>
  <c r="CJ4" i="16"/>
  <c r="KZ4" i="16"/>
  <c r="KY11" i="16"/>
  <c r="KZ9" i="16"/>
  <c r="LA10" i="16" s="1"/>
  <c r="JC11" i="16"/>
  <c r="JD4" i="16"/>
  <c r="JD9" i="16"/>
  <c r="JE10" i="16" s="1"/>
  <c r="IM11" i="16"/>
  <c r="IN9" i="16"/>
  <c r="IO10" i="16" s="1"/>
  <c r="IN4" i="16"/>
  <c r="CI6" i="16"/>
  <c r="CI13" i="16" s="1"/>
  <c r="BC5" i="16"/>
  <c r="BD6" i="16" s="1"/>
  <c r="CY7" i="16"/>
  <c r="CY8" i="16" s="1"/>
  <c r="BT4" i="16"/>
  <c r="BT9" i="16"/>
  <c r="BU10" i="16" s="1"/>
  <c r="BS11" i="16"/>
  <c r="HH4" i="16"/>
  <c r="HH9" i="16"/>
  <c r="HI10" i="16" s="1"/>
  <c r="EV9" i="16"/>
  <c r="EW10" i="16" s="1"/>
  <c r="EU11" i="16"/>
  <c r="EV6" i="16"/>
  <c r="EV4" i="16"/>
  <c r="JT9" i="16"/>
  <c r="JU10" i="16" s="1"/>
  <c r="JS11" i="16"/>
  <c r="JT4" i="16"/>
  <c r="JT6" i="16"/>
  <c r="BC7" i="15"/>
  <c r="BB7" i="15"/>
  <c r="BB8" i="15" s="1"/>
  <c r="CI6" i="15"/>
  <c r="CI13" i="15" s="1"/>
  <c r="CY11" i="15"/>
  <c r="CZ9" i="15"/>
  <c r="DA10" i="15" s="1"/>
  <c r="CZ4" i="15"/>
  <c r="GA7" i="15"/>
  <c r="FZ7" i="15"/>
  <c r="FZ8" i="15" s="1"/>
  <c r="GA11" i="15"/>
  <c r="GB9" i="15"/>
  <c r="GC10" i="15" s="1"/>
  <c r="GB6" i="15"/>
  <c r="GB4" i="15"/>
  <c r="KJ9" i="15"/>
  <c r="KK10" i="15" s="1"/>
  <c r="KI11" i="15"/>
  <c r="KJ4" i="15"/>
  <c r="IN9" i="15"/>
  <c r="IO10" i="15" s="1"/>
  <c r="IM11" i="15"/>
  <c r="IN4" i="15"/>
  <c r="EE7" i="15"/>
  <c r="OB9" i="15"/>
  <c r="OC10" i="15" s="1"/>
  <c r="OA11" i="15"/>
  <c r="OB4" i="15"/>
  <c r="NL9" i="15"/>
  <c r="NM10" i="15" s="1"/>
  <c r="NK11" i="15"/>
  <c r="NL4" i="15"/>
  <c r="CY7" i="15"/>
  <c r="DO7" i="15"/>
  <c r="DN7" i="15"/>
  <c r="DN8" i="15" s="1"/>
  <c r="IM7" i="15"/>
  <c r="IM8" i="15" s="1"/>
  <c r="EV9" i="15"/>
  <c r="EW10" i="15" s="1"/>
  <c r="EV4" i="15"/>
  <c r="EU11" i="15"/>
  <c r="HX9" i="15"/>
  <c r="HY10" i="15" s="1"/>
  <c r="HX4" i="15"/>
  <c r="FJ7" i="15"/>
  <c r="FJ8" i="15" s="1"/>
  <c r="FL9" i="15"/>
  <c r="FM10" i="15" s="1"/>
  <c r="FK11" i="15"/>
  <c r="FL4" i="15"/>
  <c r="BC11" i="15"/>
  <c r="BD9" i="15"/>
  <c r="BE10" i="15" s="1"/>
  <c r="BD4" i="15"/>
  <c r="DN11" i="15"/>
  <c r="EF9" i="15"/>
  <c r="EG10" i="15" s="1"/>
  <c r="EE11" i="15"/>
  <c r="EF4" i="15"/>
  <c r="FZ11" i="15"/>
  <c r="BT9" i="15"/>
  <c r="BU10" i="15" s="1"/>
  <c r="BT4" i="15"/>
  <c r="ED11" i="15"/>
  <c r="GQ7" i="15"/>
  <c r="LO11" i="15"/>
  <c r="LP9" i="15"/>
  <c r="LQ10" i="15" s="1"/>
  <c r="LP4" i="15"/>
  <c r="BS6" i="15"/>
  <c r="KY11" i="15"/>
  <c r="KZ9" i="15"/>
  <c r="LA10" i="15" s="1"/>
  <c r="KZ4" i="15"/>
  <c r="ET8" i="15"/>
  <c r="CX8" i="15"/>
  <c r="HG13" i="15"/>
  <c r="JT9" i="15"/>
  <c r="JU10" i="15" s="1"/>
  <c r="JT4" i="15"/>
  <c r="JS11" i="15"/>
  <c r="FL6" i="15"/>
  <c r="FL13" i="15" s="1"/>
  <c r="GQ11" i="15"/>
  <c r="GR9" i="15"/>
  <c r="GS10" i="15" s="1"/>
  <c r="GR4" i="15"/>
  <c r="MF9" i="15"/>
  <c r="MG10" i="15" s="1"/>
  <c r="MF4" i="15"/>
  <c r="BB11" i="15"/>
  <c r="DP9" i="15"/>
  <c r="DQ10" i="15" s="1"/>
  <c r="DO11" i="15"/>
  <c r="DP6" i="15"/>
  <c r="DP4" i="15"/>
  <c r="MV9" i="15"/>
  <c r="MW10" i="15" s="1"/>
  <c r="MV4" i="15"/>
  <c r="CJ9" i="15"/>
  <c r="CK10" i="15" s="1"/>
  <c r="CJ4" i="15"/>
  <c r="BC5" i="15"/>
  <c r="JD9" i="15"/>
  <c r="JE10" i="15" s="1"/>
  <c r="JC11" i="15"/>
  <c r="JD4" i="15"/>
  <c r="HH9" i="15"/>
  <c r="HI10" i="15" s="1"/>
  <c r="HH4" i="15"/>
  <c r="BC7" i="13"/>
  <c r="BC11" i="13"/>
  <c r="EF6" i="13"/>
  <c r="HX6" i="13"/>
  <c r="HX13" i="13" s="1"/>
  <c r="JT6" i="13"/>
  <c r="IN6" i="13"/>
  <c r="CZ6" i="13"/>
  <c r="FL6" i="13"/>
  <c r="CJ6" i="13"/>
  <c r="GB6" i="13"/>
  <c r="BC5" i="13"/>
  <c r="KZ4" i="13"/>
  <c r="GR6" i="13"/>
  <c r="DP6" i="13"/>
  <c r="JD6" i="13"/>
  <c r="EE11" i="13"/>
  <c r="FK11" i="13"/>
  <c r="BS11" i="13"/>
  <c r="JT9" i="13"/>
  <c r="JU10" i="13" s="1"/>
  <c r="JT4" i="13"/>
  <c r="JS11" i="13"/>
  <c r="JS7" i="13"/>
  <c r="JS8" i="13" s="1"/>
  <c r="JD9" i="13"/>
  <c r="JE10" i="13" s="1"/>
  <c r="JC11" i="13"/>
  <c r="JD4" i="13"/>
  <c r="JC7" i="13"/>
  <c r="JC8" i="13" s="1"/>
  <c r="GQ11" i="13"/>
  <c r="EU11" i="13"/>
  <c r="CI11" i="13"/>
  <c r="HG11" i="13"/>
  <c r="IM11" i="13"/>
  <c r="HW11" i="13"/>
  <c r="DO11" i="13"/>
  <c r="CY11" i="13"/>
  <c r="GA11" i="13"/>
  <c r="MF4" i="13"/>
  <c r="KZ9" i="13"/>
  <c r="LA10" i="13" s="1"/>
  <c r="DP9" i="13"/>
  <c r="DQ10" i="13" s="1"/>
  <c r="DP4" i="13"/>
  <c r="KY11" i="13"/>
  <c r="LP9" i="13"/>
  <c r="LQ10" i="13" s="1"/>
  <c r="LP4" i="13"/>
  <c r="EV9" i="13"/>
  <c r="EW10" i="13" s="1"/>
  <c r="EV4" i="13"/>
  <c r="GR9" i="13"/>
  <c r="GS10" i="13" s="1"/>
  <c r="GR4" i="13"/>
  <c r="EE7" i="13"/>
  <c r="EE8" i="13" s="1"/>
  <c r="CY7" i="13"/>
  <c r="CY8" i="13" s="1"/>
  <c r="CJ4" i="13"/>
  <c r="CJ9" i="13"/>
  <c r="CK10" i="13" s="1"/>
  <c r="OA11" i="13"/>
  <c r="OB9" i="13"/>
  <c r="OC10" i="13" s="1"/>
  <c r="OB4" i="13"/>
  <c r="IN4" i="13"/>
  <c r="IN9" i="13"/>
  <c r="IO10" i="13" s="1"/>
  <c r="GB4" i="13"/>
  <c r="GB9" i="13"/>
  <c r="GC10" i="13" s="1"/>
  <c r="HW7" i="13"/>
  <c r="HW8" i="13" s="1"/>
  <c r="EF4" i="13"/>
  <c r="EF9" i="13"/>
  <c r="EG10" i="13" s="1"/>
  <c r="HX4" i="13"/>
  <c r="HX9" i="13"/>
  <c r="HY10" i="13" s="1"/>
  <c r="CZ9" i="13"/>
  <c r="DA10" i="13" s="1"/>
  <c r="CZ4" i="13"/>
  <c r="FK7" i="13"/>
  <c r="FK8" i="13" s="1"/>
  <c r="ME11" i="13"/>
  <c r="KJ4" i="13"/>
  <c r="KJ9" i="13"/>
  <c r="KK10" i="13" s="1"/>
  <c r="KI11" i="13"/>
  <c r="HH4" i="13"/>
  <c r="HH9" i="13"/>
  <c r="HI10" i="13" s="1"/>
  <c r="NL4" i="13"/>
  <c r="NK11" i="13"/>
  <c r="NL9" i="13"/>
  <c r="NM10" i="13" s="1"/>
  <c r="BT4" i="13"/>
  <c r="BT9" i="13"/>
  <c r="BU10" i="13" s="1"/>
  <c r="FL9" i="13"/>
  <c r="FM10" i="13" s="1"/>
  <c r="FL4" i="13"/>
  <c r="MV9" i="13"/>
  <c r="MW10" i="13" s="1"/>
  <c r="MV4" i="13"/>
  <c r="MU11" i="13"/>
  <c r="BT95" i="13" l="1"/>
  <c r="BT76" i="13"/>
  <c r="BT65" i="13"/>
  <c r="BT93" i="13"/>
  <c r="BT94" i="13"/>
  <c r="BT75" i="13"/>
  <c r="BT64" i="13"/>
  <c r="BT73" i="13"/>
  <c r="BT104" i="13"/>
  <c r="BT88" i="13"/>
  <c r="BT69" i="13"/>
  <c r="BT103" i="13"/>
  <c r="BT86" i="13"/>
  <c r="BT68" i="13"/>
  <c r="BT102" i="13"/>
  <c r="BT85" i="13"/>
  <c r="BT67" i="13"/>
  <c r="BT74" i="13"/>
  <c r="BT96" i="13"/>
  <c r="BT84" i="13"/>
  <c r="F84" i="13" s="1"/>
  <c r="BT66" i="13"/>
  <c r="E84" i="13"/>
  <c r="BD64" i="13"/>
  <c r="BD104" i="13"/>
  <c r="BD103" i="13"/>
  <c r="BD102" i="13"/>
  <c r="BD96" i="13"/>
  <c r="BD95" i="13"/>
  <c r="BD94" i="13"/>
  <c r="BD93" i="13"/>
  <c r="BD88" i="13"/>
  <c r="BD86" i="13"/>
  <c r="BD85" i="13"/>
  <c r="BD84" i="13"/>
  <c r="BD76" i="13"/>
  <c r="BD75" i="13"/>
  <c r="BD74" i="13"/>
  <c r="BD73" i="13"/>
  <c r="BD69" i="13"/>
  <c r="BD68" i="13"/>
  <c r="BD67" i="13"/>
  <c r="BD66" i="13"/>
  <c r="BD65" i="13"/>
  <c r="CJ13" i="15"/>
  <c r="KJ13" i="15"/>
  <c r="LP13" i="15"/>
  <c r="BT5" i="13"/>
  <c r="BU6" i="13" s="1"/>
  <c r="JT13" i="16"/>
  <c r="CZ13" i="17"/>
  <c r="OB13" i="15"/>
  <c r="JD13" i="17"/>
  <c r="CJ13" i="16"/>
  <c r="JD13" i="15"/>
  <c r="FL13" i="13"/>
  <c r="EF13" i="15"/>
  <c r="KJ13" i="13"/>
  <c r="E67" i="17"/>
  <c r="E102" i="17"/>
  <c r="KJ13" i="16"/>
  <c r="E84" i="16"/>
  <c r="E86" i="16"/>
  <c r="BD13" i="16"/>
  <c r="HH13" i="16"/>
  <c r="MV13" i="16"/>
  <c r="D110" i="16"/>
  <c r="D111" i="16" s="1"/>
  <c r="D109" i="16"/>
  <c r="BT13" i="16"/>
  <c r="BT7" i="16"/>
  <c r="F84" i="17"/>
  <c r="DP13" i="15"/>
  <c r="F84" i="15"/>
  <c r="F84" i="16"/>
  <c r="JD13" i="16"/>
  <c r="GB13" i="16"/>
  <c r="MV13" i="15"/>
  <c r="OB13" i="16"/>
  <c r="LP13" i="17"/>
  <c r="MF13" i="17"/>
  <c r="IN13" i="17"/>
  <c r="BW75" i="9"/>
  <c r="BW64" i="9"/>
  <c r="BW95" i="9"/>
  <c r="BW103" i="9"/>
  <c r="BW68" i="9"/>
  <c r="BW104" i="9"/>
  <c r="BW96" i="9"/>
  <c r="BW85" i="9"/>
  <c r="BW73" i="9"/>
  <c r="BW65" i="9"/>
  <c r="BW67" i="9"/>
  <c r="BW76" i="9"/>
  <c r="BW66" i="9"/>
  <c r="BW94" i="9"/>
  <c r="BW84" i="9"/>
  <c r="BW102" i="9"/>
  <c r="BW69" i="9"/>
  <c r="BW74" i="9"/>
  <c r="BW88" i="9"/>
  <c r="BW93" i="9"/>
  <c r="BW86" i="9"/>
  <c r="HX13" i="15"/>
  <c r="ME8" i="17"/>
  <c r="FL13" i="16"/>
  <c r="MV13" i="13"/>
  <c r="JT13" i="17"/>
  <c r="LP13" i="16"/>
  <c r="MV13" i="17"/>
  <c r="E102" i="15"/>
  <c r="EF13" i="17"/>
  <c r="BT13" i="15"/>
  <c r="D110" i="15"/>
  <c r="D111" i="15" s="1"/>
  <c r="MF13" i="16"/>
  <c r="D110" i="13"/>
  <c r="C114" i="13" s="1"/>
  <c r="BI86" i="9"/>
  <c r="BI68" i="9"/>
  <c r="BI75" i="9"/>
  <c r="BI67" i="9"/>
  <c r="BI94" i="9"/>
  <c r="BI103" i="9"/>
  <c r="BI64" i="9"/>
  <c r="BI65" i="9"/>
  <c r="BI93" i="9"/>
  <c r="BI104" i="9"/>
  <c r="BI95" i="9"/>
  <c r="BI88" i="9"/>
  <c r="BI66" i="9"/>
  <c r="BI85" i="9"/>
  <c r="BI84" i="9"/>
  <c r="BI96" i="9"/>
  <c r="BI74" i="9"/>
  <c r="BI76" i="9"/>
  <c r="BI102" i="9"/>
  <c r="BI69" i="9"/>
  <c r="BI73" i="9"/>
  <c r="LP13" i="13"/>
  <c r="E103" i="16"/>
  <c r="E74" i="16"/>
  <c r="BI6" i="9"/>
  <c r="BI9" i="9" s="1"/>
  <c r="AH8" i="9"/>
  <c r="IN5" i="16"/>
  <c r="HH5" i="15"/>
  <c r="MV5" i="15"/>
  <c r="GR5" i="15"/>
  <c r="HX5" i="17"/>
  <c r="MF5" i="17"/>
  <c r="JD5" i="15"/>
  <c r="DP5" i="15"/>
  <c r="HX5" i="15"/>
  <c r="IN5" i="15"/>
  <c r="E94" i="17"/>
  <c r="E88" i="17"/>
  <c r="E66" i="17"/>
  <c r="DP5" i="13"/>
  <c r="NL5" i="13"/>
  <c r="E67" i="16"/>
  <c r="MU7" i="13"/>
  <c r="KZ5" i="13"/>
  <c r="E96" i="13"/>
  <c r="E64" i="13"/>
  <c r="E85" i="13"/>
  <c r="EV5" i="15"/>
  <c r="NL5" i="15"/>
  <c r="JD5" i="16"/>
  <c r="BJ8" i="9"/>
  <c r="BJ5" i="9" s="1"/>
  <c r="GB5" i="17"/>
  <c r="HH5" i="17"/>
  <c r="E86" i="15"/>
  <c r="E73" i="15"/>
  <c r="E76" i="17"/>
  <c r="E75" i="17"/>
  <c r="E104" i="17"/>
  <c r="KI13" i="13"/>
  <c r="KJ7" i="13"/>
  <c r="KI7" i="13"/>
  <c r="KI8" i="13" s="1"/>
  <c r="KJ5" i="13"/>
  <c r="E75" i="16"/>
  <c r="E88" i="16"/>
  <c r="E102" i="13"/>
  <c r="E93" i="13"/>
  <c r="NL6" i="13"/>
  <c r="MV5" i="13"/>
  <c r="MW6" i="13" s="1"/>
  <c r="KJ5" i="15"/>
  <c r="BT5" i="15"/>
  <c r="GB5" i="16"/>
  <c r="GC6" i="16" s="1"/>
  <c r="JT5" i="17"/>
  <c r="EF5" i="17"/>
  <c r="E85" i="17"/>
  <c r="E64" i="17"/>
  <c r="E69" i="17"/>
  <c r="E64" i="16"/>
  <c r="E104" i="16"/>
  <c r="GR5" i="13"/>
  <c r="EF5" i="13"/>
  <c r="HX5" i="13"/>
  <c r="E104" i="13"/>
  <c r="E75" i="13"/>
  <c r="MF5" i="13"/>
  <c r="FL5" i="16"/>
  <c r="KZ13" i="13"/>
  <c r="EV5" i="13"/>
  <c r="CZ5" i="13"/>
  <c r="E68" i="13"/>
  <c r="KK6" i="13"/>
  <c r="FL5" i="15"/>
  <c r="JT5" i="16"/>
  <c r="HH5" i="16"/>
  <c r="E65" i="17"/>
  <c r="E73" i="17"/>
  <c r="E102" i="16"/>
  <c r="E68" i="16"/>
  <c r="NK8" i="13"/>
  <c r="HH5" i="13"/>
  <c r="E74" i="13"/>
  <c r="E73" i="13"/>
  <c r="E103" i="13"/>
  <c r="GR5" i="16"/>
  <c r="LO13" i="13"/>
  <c r="LP7" i="13"/>
  <c r="OB5" i="13"/>
  <c r="OC6" i="13" s="1"/>
  <c r="E69" i="16"/>
  <c r="E95" i="16"/>
  <c r="E66" i="16"/>
  <c r="E95" i="13"/>
  <c r="E94" i="13"/>
  <c r="E65" i="13"/>
  <c r="E76" i="16"/>
  <c r="E74" i="17"/>
  <c r="CJ5" i="16"/>
  <c r="HX5" i="16"/>
  <c r="CZ5" i="17"/>
  <c r="E96" i="17"/>
  <c r="E68" i="17"/>
  <c r="E95" i="17"/>
  <c r="CJ5" i="13"/>
  <c r="E73" i="16"/>
  <c r="E96" i="16"/>
  <c r="E65" i="16"/>
  <c r="FL5" i="13"/>
  <c r="FM6" i="13" s="1"/>
  <c r="LO7" i="13"/>
  <c r="LO8" i="13" s="1"/>
  <c r="LP8" i="13" s="1"/>
  <c r="OB6" i="13"/>
  <c r="OB13" i="13" s="1"/>
  <c r="E67" i="13"/>
  <c r="E69" i="13"/>
  <c r="E86" i="13"/>
  <c r="JT5" i="13"/>
  <c r="JD5" i="13"/>
  <c r="NM6" i="13"/>
  <c r="MG6" i="13"/>
  <c r="BT6" i="13"/>
  <c r="BT7" i="13" s="1"/>
  <c r="BT8" i="13" s="1"/>
  <c r="GB5" i="15"/>
  <c r="EV5" i="16"/>
  <c r="EF5" i="16"/>
  <c r="E93" i="17"/>
  <c r="E103" i="17"/>
  <c r="E86" i="17"/>
  <c r="KY13" i="13"/>
  <c r="KZ7" i="13"/>
  <c r="KY7" i="13"/>
  <c r="KY8" i="13" s="1"/>
  <c r="KZ8" i="13" s="1"/>
  <c r="GB5" i="13"/>
  <c r="E94" i="16"/>
  <c r="E93" i="16"/>
  <c r="E85" i="16"/>
  <c r="MU8" i="13"/>
  <c r="E66" i="13"/>
  <c r="E88" i="13"/>
  <c r="E76" i="13"/>
  <c r="IN5" i="13"/>
  <c r="LP5" i="13"/>
  <c r="BW6" i="9"/>
  <c r="BW9" i="9" s="1"/>
  <c r="BX8" i="9"/>
  <c r="BX5" i="9" s="1"/>
  <c r="E85" i="15"/>
  <c r="E64" i="15"/>
  <c r="E75" i="15"/>
  <c r="E103" i="15"/>
  <c r="E95" i="15"/>
  <c r="E66" i="15"/>
  <c r="E69" i="15"/>
  <c r="CZ5" i="15"/>
  <c r="DA6" i="15" s="1"/>
  <c r="E68" i="15"/>
  <c r="E74" i="15"/>
  <c r="E94" i="15"/>
  <c r="E67" i="15"/>
  <c r="E96" i="15"/>
  <c r="CJ5" i="15"/>
  <c r="CK6" i="15" s="1"/>
  <c r="E76" i="15"/>
  <c r="E104" i="15"/>
  <c r="E65" i="15"/>
  <c r="E88" i="15"/>
  <c r="E93" i="15"/>
  <c r="D110" i="17"/>
  <c r="D111" i="17" s="1"/>
  <c r="D109" i="17"/>
  <c r="E109" i="13"/>
  <c r="D109" i="15"/>
  <c r="EF5" i="15"/>
  <c r="FK11" i="17"/>
  <c r="MF7" i="17"/>
  <c r="MF8" i="17" s="1"/>
  <c r="IN5" i="17"/>
  <c r="IO6" i="17" s="1"/>
  <c r="KY11" i="17"/>
  <c r="GR5" i="17"/>
  <c r="KI8" i="17"/>
  <c r="JD5" i="17"/>
  <c r="JE6" i="17" s="1"/>
  <c r="NL5" i="17"/>
  <c r="NM6" i="17" s="1"/>
  <c r="NM7" i="17" s="1"/>
  <c r="LP5" i="17"/>
  <c r="LQ6" i="17" s="1"/>
  <c r="GA8" i="17"/>
  <c r="LP7" i="17"/>
  <c r="FK7" i="17"/>
  <c r="FK8" i="17" s="1"/>
  <c r="FL5" i="17"/>
  <c r="DP5" i="17"/>
  <c r="KZ13" i="17"/>
  <c r="KY8" i="17"/>
  <c r="NK8" i="17"/>
  <c r="MU8" i="17"/>
  <c r="GQ13" i="17"/>
  <c r="EU8" i="17"/>
  <c r="GQ7" i="17"/>
  <c r="GQ8" i="17" s="1"/>
  <c r="MV5" i="17"/>
  <c r="NL13" i="17"/>
  <c r="CJ5" i="17"/>
  <c r="CK6" i="17" s="1"/>
  <c r="KJ5" i="17"/>
  <c r="FL6" i="17"/>
  <c r="FL13" i="17" s="1"/>
  <c r="KY13" i="17"/>
  <c r="KZ7" i="17"/>
  <c r="BT5" i="17"/>
  <c r="BU6" i="17" s="1"/>
  <c r="KZ5" i="17"/>
  <c r="LA6" i="17" s="1"/>
  <c r="EV5" i="17"/>
  <c r="EW6" i="17" s="1"/>
  <c r="MG6" i="17"/>
  <c r="MG13" i="17" s="1"/>
  <c r="OB5" i="17"/>
  <c r="OC6" i="17" s="1"/>
  <c r="KJ6" i="17"/>
  <c r="KJ11" i="17" s="1"/>
  <c r="NL7" i="17"/>
  <c r="LO8" i="17"/>
  <c r="DP5" i="16"/>
  <c r="DQ6" i="16" s="1"/>
  <c r="KJ5" i="16"/>
  <c r="KK6" i="16" s="1"/>
  <c r="LO11" i="16"/>
  <c r="KY8" i="16"/>
  <c r="BT5" i="16"/>
  <c r="BU6" i="16" s="1"/>
  <c r="ME11" i="16"/>
  <c r="EU8" i="16"/>
  <c r="LP5" i="16"/>
  <c r="LQ6" i="16" s="1"/>
  <c r="KZ5" i="16"/>
  <c r="LA6" i="16" s="1"/>
  <c r="NL5" i="16"/>
  <c r="NM6" i="16" s="1"/>
  <c r="NK7" i="16"/>
  <c r="NK8" i="16" s="1"/>
  <c r="NL13" i="16"/>
  <c r="CZ5" i="16"/>
  <c r="DA6" i="16" s="1"/>
  <c r="MF7" i="16"/>
  <c r="KJ7" i="16"/>
  <c r="KJ8" i="16" s="1"/>
  <c r="MF5" i="16"/>
  <c r="MU13" i="16"/>
  <c r="MU7" i="16"/>
  <c r="MU8" i="16" s="1"/>
  <c r="KZ6" i="16"/>
  <c r="DO8" i="16"/>
  <c r="LO8" i="16"/>
  <c r="NK13" i="16"/>
  <c r="NL7" i="16"/>
  <c r="OB5" i="16"/>
  <c r="OC6" i="16" s="1"/>
  <c r="LO13" i="16"/>
  <c r="LP7" i="16"/>
  <c r="ME7" i="16"/>
  <c r="ME8" i="16" s="1"/>
  <c r="MV5" i="16"/>
  <c r="OA8" i="16"/>
  <c r="GQ8" i="15"/>
  <c r="MU11" i="15"/>
  <c r="KI8" i="15"/>
  <c r="MU7" i="15"/>
  <c r="MU8" i="15" s="1"/>
  <c r="OA8" i="15"/>
  <c r="NK8" i="15"/>
  <c r="ME7" i="15"/>
  <c r="ME8" i="15" s="1"/>
  <c r="KY8" i="15"/>
  <c r="LO8" i="15"/>
  <c r="JT5" i="15"/>
  <c r="JU6" i="15" s="1"/>
  <c r="JT6" i="15"/>
  <c r="JT13" i="15" s="1"/>
  <c r="KJ7" i="15"/>
  <c r="ME11" i="15"/>
  <c r="KZ5" i="15"/>
  <c r="LA6" i="15" s="1"/>
  <c r="NL13" i="15"/>
  <c r="KK6" i="15"/>
  <c r="EU8" i="15"/>
  <c r="LP7" i="15"/>
  <c r="OB5" i="15"/>
  <c r="OC6" i="15" s="1"/>
  <c r="NL7" i="15"/>
  <c r="LP5" i="15"/>
  <c r="MW6" i="15"/>
  <c r="NM6" i="15"/>
  <c r="KZ6" i="15"/>
  <c r="KZ11" i="15" s="1"/>
  <c r="MF5" i="15"/>
  <c r="IN7" i="16"/>
  <c r="IN8" i="16" s="1"/>
  <c r="IN13" i="16"/>
  <c r="HG7" i="16"/>
  <c r="HG8" i="16" s="1"/>
  <c r="HG13" i="16"/>
  <c r="GR7" i="16"/>
  <c r="GR8" i="16" s="1"/>
  <c r="GR13" i="16"/>
  <c r="GA11" i="16"/>
  <c r="GA13" i="16"/>
  <c r="FK11" i="16"/>
  <c r="FK13" i="16"/>
  <c r="EV7" i="16"/>
  <c r="EV13" i="16"/>
  <c r="EF7" i="16"/>
  <c r="EF13" i="16"/>
  <c r="CZ7" i="16"/>
  <c r="CZ8" i="16" s="1"/>
  <c r="CZ13" i="16"/>
  <c r="OB6" i="17"/>
  <c r="OB13" i="17" s="1"/>
  <c r="HW11" i="17"/>
  <c r="HW13" i="17"/>
  <c r="HH7" i="17"/>
  <c r="HH8" i="17" s="1"/>
  <c r="HH13" i="17"/>
  <c r="EV7" i="17"/>
  <c r="EV13" i="17"/>
  <c r="EE11" i="17"/>
  <c r="EE13" i="17"/>
  <c r="DO7" i="17"/>
  <c r="DO8" i="17" s="1"/>
  <c r="DO13" i="17"/>
  <c r="CJ7" i="17"/>
  <c r="CJ13" i="17"/>
  <c r="BT7" i="17"/>
  <c r="BT13" i="17"/>
  <c r="FK7" i="16"/>
  <c r="FK8" i="16" s="1"/>
  <c r="FK8" i="15"/>
  <c r="CI11" i="15"/>
  <c r="MF7" i="15"/>
  <c r="MF13" i="15"/>
  <c r="HW11" i="15"/>
  <c r="HW13" i="15"/>
  <c r="BS11" i="15"/>
  <c r="BS13" i="15"/>
  <c r="GB7" i="15"/>
  <c r="GB13" i="15"/>
  <c r="GS6" i="15"/>
  <c r="EW6" i="15"/>
  <c r="HH7" i="16"/>
  <c r="GA7" i="16"/>
  <c r="GA8" i="16" s="1"/>
  <c r="HG11" i="16"/>
  <c r="GB7" i="16"/>
  <c r="DP6" i="16"/>
  <c r="HY6" i="16"/>
  <c r="EE7" i="17"/>
  <c r="EE8" i="17" s="1"/>
  <c r="JT7" i="13"/>
  <c r="JT8" i="13" s="1"/>
  <c r="JT13" i="13"/>
  <c r="HH7" i="13"/>
  <c r="HH8" i="13" s="1"/>
  <c r="HH13" i="13"/>
  <c r="DP7" i="13"/>
  <c r="DP13" i="13"/>
  <c r="JD7" i="13"/>
  <c r="JD13" i="13"/>
  <c r="GR7" i="13"/>
  <c r="GR8" i="13" s="1"/>
  <c r="GR13" i="13"/>
  <c r="EF7" i="13"/>
  <c r="EF13" i="13"/>
  <c r="GB7" i="13"/>
  <c r="GB8" i="13" s="1"/>
  <c r="GB13" i="13"/>
  <c r="CZ7" i="13"/>
  <c r="CZ8" i="13" s="1"/>
  <c r="CZ13" i="13"/>
  <c r="CJ7" i="13"/>
  <c r="CJ8" i="13" s="1"/>
  <c r="CJ13" i="13"/>
  <c r="MF7" i="13"/>
  <c r="MF8" i="13" s="1"/>
  <c r="MF13" i="13"/>
  <c r="EV7" i="13"/>
  <c r="EV8" i="13" s="1"/>
  <c r="EV13" i="13"/>
  <c r="IN7" i="13"/>
  <c r="IN8" i="13" s="1"/>
  <c r="IN13" i="13"/>
  <c r="C113" i="13"/>
  <c r="BC8" i="13"/>
  <c r="BE9" i="13"/>
  <c r="BF10" i="13" s="1"/>
  <c r="BE4" i="13"/>
  <c r="BT8" i="16"/>
  <c r="CY8" i="17"/>
  <c r="BC8" i="17"/>
  <c r="EE8" i="15"/>
  <c r="MF11" i="17"/>
  <c r="MG9" i="17"/>
  <c r="MH10" i="17" s="1"/>
  <c r="MG4" i="17"/>
  <c r="MV7" i="17"/>
  <c r="JD7" i="17"/>
  <c r="JD8" i="17" s="1"/>
  <c r="BS8" i="17"/>
  <c r="CZ11" i="17"/>
  <c r="DA9" i="17"/>
  <c r="DB10" i="17" s="1"/>
  <c r="DA4" i="17"/>
  <c r="IN11" i="17"/>
  <c r="IO9" i="17"/>
  <c r="IP10" i="17" s="1"/>
  <c r="IO4" i="17"/>
  <c r="GS6" i="17"/>
  <c r="LP11" i="17"/>
  <c r="LQ9" i="17"/>
  <c r="LR10" i="17" s="1"/>
  <c r="LQ4" i="17"/>
  <c r="MV11" i="17"/>
  <c r="MW9" i="17"/>
  <c r="MX10" i="17" s="1"/>
  <c r="MW4" i="17"/>
  <c r="OC9" i="17"/>
  <c r="OD10" i="17" s="1"/>
  <c r="OC4" i="17"/>
  <c r="DQ4" i="17"/>
  <c r="DQ9" i="17"/>
  <c r="DR10" i="17" s="1"/>
  <c r="IN7" i="17"/>
  <c r="IM7" i="17"/>
  <c r="IM8" i="17" s="1"/>
  <c r="GB11" i="17"/>
  <c r="GC9" i="17"/>
  <c r="GD10" i="17" s="1"/>
  <c r="GC4" i="17"/>
  <c r="GR6" i="17"/>
  <c r="GR13" i="17" s="1"/>
  <c r="CZ7" i="17"/>
  <c r="BT11" i="17"/>
  <c r="BU9" i="17"/>
  <c r="BV10" i="17" s="1"/>
  <c r="BU4" i="17"/>
  <c r="EF11" i="17"/>
  <c r="EG6" i="17"/>
  <c r="EG9" i="17"/>
  <c r="EH10" i="17" s="1"/>
  <c r="EG4" i="17"/>
  <c r="BD5" i="17"/>
  <c r="HH11" i="17"/>
  <c r="HI9" i="17"/>
  <c r="HJ10" i="17" s="1"/>
  <c r="HI6" i="17"/>
  <c r="HI4" i="17"/>
  <c r="EF7" i="17"/>
  <c r="GS9" i="17"/>
  <c r="GT10" i="17" s="1"/>
  <c r="GS4" i="17"/>
  <c r="DP6" i="17"/>
  <c r="JT11" i="17"/>
  <c r="JU9" i="17"/>
  <c r="JV10" i="17" s="1"/>
  <c r="JU4" i="17"/>
  <c r="BE4" i="17"/>
  <c r="BE9" i="17"/>
  <c r="BF10" i="17" s="1"/>
  <c r="JT7" i="17"/>
  <c r="JT8" i="17" s="1"/>
  <c r="FM4" i="17"/>
  <c r="FM9" i="17"/>
  <c r="FN10" i="17" s="1"/>
  <c r="NL11" i="17"/>
  <c r="NM9" i="17"/>
  <c r="NN10" i="17" s="1"/>
  <c r="NM4" i="17"/>
  <c r="BD6" i="17"/>
  <c r="BD13" i="17" s="1"/>
  <c r="KZ11" i="17"/>
  <c r="LA9" i="17"/>
  <c r="LB10" i="17" s="1"/>
  <c r="LA4" i="17"/>
  <c r="HW7" i="17"/>
  <c r="HW8" i="17" s="1"/>
  <c r="DO11" i="17"/>
  <c r="HX6" i="17"/>
  <c r="IM11" i="17"/>
  <c r="KK9" i="17"/>
  <c r="KL10" i="17" s="1"/>
  <c r="KK4" i="17"/>
  <c r="CJ11" i="17"/>
  <c r="CK4" i="17"/>
  <c r="CK9" i="17"/>
  <c r="CL10" i="17" s="1"/>
  <c r="GB7" i="17"/>
  <c r="HY6" i="17"/>
  <c r="HY9" i="17"/>
  <c r="HZ10" i="17" s="1"/>
  <c r="HY4" i="17"/>
  <c r="CI8" i="17"/>
  <c r="EV11" i="17"/>
  <c r="EW9" i="17"/>
  <c r="EX10" i="17" s="1"/>
  <c r="EW4" i="17"/>
  <c r="JD11" i="17"/>
  <c r="JE9" i="17"/>
  <c r="JF10" i="17" s="1"/>
  <c r="JE4" i="17"/>
  <c r="BD7" i="16"/>
  <c r="BD8" i="16" s="1"/>
  <c r="CZ11" i="16"/>
  <c r="DA4" i="16"/>
  <c r="DA9" i="16"/>
  <c r="DB10" i="16" s="1"/>
  <c r="CJ7" i="16"/>
  <c r="CI7" i="16"/>
  <c r="CI8" i="16" s="1"/>
  <c r="EE8" i="16"/>
  <c r="BD5" i="16"/>
  <c r="BE6" i="16" s="1"/>
  <c r="BE13" i="16" s="1"/>
  <c r="JT7" i="16"/>
  <c r="JT8" i="16" s="1"/>
  <c r="CJ11" i="16"/>
  <c r="CK9" i="16"/>
  <c r="CL10" i="16" s="1"/>
  <c r="CK4" i="16"/>
  <c r="OB7" i="16"/>
  <c r="NL11" i="16"/>
  <c r="NM4" i="16"/>
  <c r="NM9" i="16"/>
  <c r="NN10" i="16" s="1"/>
  <c r="GB11" i="16"/>
  <c r="GC9" i="16"/>
  <c r="GD10" i="16" s="1"/>
  <c r="GC4" i="16"/>
  <c r="JT11" i="16"/>
  <c r="JU4" i="16"/>
  <c r="JU9" i="16"/>
  <c r="JV10" i="16" s="1"/>
  <c r="JD11" i="16"/>
  <c r="JE4" i="16"/>
  <c r="JE9" i="16"/>
  <c r="JF10" i="16" s="1"/>
  <c r="MF11" i="16"/>
  <c r="MG9" i="16"/>
  <c r="MH10" i="16" s="1"/>
  <c r="MG4" i="16"/>
  <c r="OB11" i="16"/>
  <c r="OC4" i="16"/>
  <c r="OC9" i="16"/>
  <c r="OD10" i="16" s="1"/>
  <c r="BD11" i="16"/>
  <c r="BE9" i="16"/>
  <c r="BF10" i="16" s="1"/>
  <c r="BE4" i="16"/>
  <c r="LA9" i="16"/>
  <c r="LB10" i="16" s="1"/>
  <c r="LA4" i="16"/>
  <c r="FM9" i="16"/>
  <c r="FN10" i="16" s="1"/>
  <c r="FL11" i="16"/>
  <c r="FM4" i="16"/>
  <c r="HH11" i="16"/>
  <c r="HI4" i="16"/>
  <c r="HI9" i="16"/>
  <c r="HJ10" i="16" s="1"/>
  <c r="IN11" i="16"/>
  <c r="IO9" i="16"/>
  <c r="IP10" i="16" s="1"/>
  <c r="IO4" i="16"/>
  <c r="JD7" i="16"/>
  <c r="JD8" i="16" s="1"/>
  <c r="EF11" i="16"/>
  <c r="EG4" i="16"/>
  <c r="EG9" i="16"/>
  <c r="EH10" i="16" s="1"/>
  <c r="MV11" i="16"/>
  <c r="MW4" i="16"/>
  <c r="MW9" i="16"/>
  <c r="MX10" i="16" s="1"/>
  <c r="BT11" i="16"/>
  <c r="BU4" i="16"/>
  <c r="BU9" i="16"/>
  <c r="BV10" i="16" s="1"/>
  <c r="CI11" i="16"/>
  <c r="FL7" i="16"/>
  <c r="MV7" i="16"/>
  <c r="GR11" i="16"/>
  <c r="GS9" i="16"/>
  <c r="GT10" i="16" s="1"/>
  <c r="GS4" i="16"/>
  <c r="GS6" i="16"/>
  <c r="HX13" i="16"/>
  <c r="EV11" i="16"/>
  <c r="EW4" i="16"/>
  <c r="EW9" i="16"/>
  <c r="EX10" i="16" s="1"/>
  <c r="HY4" i="16"/>
  <c r="HY9" i="16"/>
  <c r="HZ10" i="16" s="1"/>
  <c r="KK9" i="16"/>
  <c r="KL10" i="16" s="1"/>
  <c r="KJ11" i="16"/>
  <c r="KK4" i="16"/>
  <c r="LP11" i="16"/>
  <c r="LQ4" i="16"/>
  <c r="LQ9" i="16"/>
  <c r="LR10" i="16" s="1"/>
  <c r="DQ4" i="16"/>
  <c r="DQ9" i="16"/>
  <c r="DR10" i="16" s="1"/>
  <c r="FL7" i="15"/>
  <c r="HH7" i="15"/>
  <c r="HG7" i="15"/>
  <c r="HG8" i="15" s="1"/>
  <c r="IO9" i="15"/>
  <c r="IP10" i="15" s="1"/>
  <c r="IO4" i="15"/>
  <c r="BD5" i="15"/>
  <c r="BE6" i="15" s="1"/>
  <c r="DQ9" i="15"/>
  <c r="DR10" i="15" s="1"/>
  <c r="DQ4" i="15"/>
  <c r="DP11" i="15"/>
  <c r="MF11" i="15"/>
  <c r="MG9" i="15"/>
  <c r="MH10" i="15" s="1"/>
  <c r="MG4" i="15"/>
  <c r="BE9" i="15"/>
  <c r="BF10" i="15" s="1"/>
  <c r="BE4" i="15"/>
  <c r="EV6" i="15"/>
  <c r="CY8" i="15"/>
  <c r="OC9" i="15"/>
  <c r="OD10" i="15" s="1"/>
  <c r="OB11" i="15"/>
  <c r="OC4" i="15"/>
  <c r="GA8" i="15"/>
  <c r="HH11" i="15"/>
  <c r="HI9" i="15"/>
  <c r="HJ10" i="15" s="1"/>
  <c r="HI4" i="15"/>
  <c r="BC8" i="15"/>
  <c r="HX7" i="15"/>
  <c r="HW7" i="15"/>
  <c r="HW8" i="15" s="1"/>
  <c r="GS9" i="15"/>
  <c r="GT10" i="15" s="1"/>
  <c r="GS4" i="15"/>
  <c r="BD6" i="15"/>
  <c r="BD13" i="15" s="1"/>
  <c r="JD7" i="15"/>
  <c r="JD8" i="15" s="1"/>
  <c r="DO8" i="15"/>
  <c r="GR6" i="15"/>
  <c r="LA9" i="15"/>
  <c r="LB10" i="15" s="1"/>
  <c r="LA4" i="15"/>
  <c r="BT7" i="15"/>
  <c r="BS7" i="15"/>
  <c r="BS8" i="15" s="1"/>
  <c r="OB7" i="15"/>
  <c r="GB11" i="15"/>
  <c r="GC9" i="15"/>
  <c r="GD10" i="15" s="1"/>
  <c r="GC6" i="15"/>
  <c r="GC4" i="15"/>
  <c r="HG11" i="15"/>
  <c r="BU9" i="15"/>
  <c r="BV10" i="15" s="1"/>
  <c r="BT11" i="15"/>
  <c r="BU6" i="15"/>
  <c r="BU4" i="15"/>
  <c r="NM9" i="15"/>
  <c r="NN10" i="15" s="1"/>
  <c r="NM4" i="15"/>
  <c r="NL11" i="15"/>
  <c r="KK9" i="15"/>
  <c r="KL10" i="15" s="1"/>
  <c r="KJ11" i="15"/>
  <c r="KK4" i="15"/>
  <c r="DA9" i="15"/>
  <c r="DB10" i="15" s="1"/>
  <c r="DA4" i="15"/>
  <c r="JE9" i="15"/>
  <c r="JF10" i="15" s="1"/>
  <c r="JD11" i="15"/>
  <c r="JE6" i="15"/>
  <c r="JE4" i="15"/>
  <c r="FM9" i="15"/>
  <c r="FN10" i="15" s="1"/>
  <c r="FL11" i="15"/>
  <c r="FM4" i="15"/>
  <c r="HY9" i="15"/>
  <c r="HZ10" i="15" s="1"/>
  <c r="HY4" i="15"/>
  <c r="HX11" i="15"/>
  <c r="HY6" i="15"/>
  <c r="EW9" i="15"/>
  <c r="EX10" i="15" s="1"/>
  <c r="EW4" i="15"/>
  <c r="MV7" i="15"/>
  <c r="LQ9" i="15"/>
  <c r="LR10" i="15" s="1"/>
  <c r="LP11" i="15"/>
  <c r="LQ4" i="15"/>
  <c r="EG9" i="15"/>
  <c r="EH10" i="15" s="1"/>
  <c r="EG6" i="15"/>
  <c r="EF11" i="15"/>
  <c r="EG4" i="15"/>
  <c r="CJ11" i="15"/>
  <c r="CK9" i="15"/>
  <c r="CL10" i="15" s="1"/>
  <c r="CK4" i="15"/>
  <c r="MW9" i="15"/>
  <c r="MX10" i="15" s="1"/>
  <c r="MW4" i="15"/>
  <c r="MV11" i="15"/>
  <c r="JU9" i="15"/>
  <c r="JV10" i="15" s="1"/>
  <c r="JU4" i="15"/>
  <c r="EF7" i="15"/>
  <c r="DP7" i="15"/>
  <c r="CZ6" i="15"/>
  <c r="CZ13" i="15" s="1"/>
  <c r="CJ7" i="15"/>
  <c r="CI7" i="15"/>
  <c r="CI8" i="15" s="1"/>
  <c r="IO6" i="13"/>
  <c r="DA6" i="13"/>
  <c r="HY6" i="13"/>
  <c r="BD6" i="13"/>
  <c r="LA4" i="13"/>
  <c r="LA9" i="13"/>
  <c r="LB10" i="13" s="1"/>
  <c r="KZ11" i="13"/>
  <c r="MG9" i="13"/>
  <c r="MH10" i="13" s="1"/>
  <c r="EW6" i="13"/>
  <c r="MF11" i="13"/>
  <c r="MG4" i="13"/>
  <c r="JE6" i="13"/>
  <c r="BD5" i="13"/>
  <c r="GS6" i="13"/>
  <c r="HI6" i="13"/>
  <c r="GC6" i="13"/>
  <c r="JU6" i="13"/>
  <c r="CK6" i="13"/>
  <c r="DQ6" i="13"/>
  <c r="EG6" i="13"/>
  <c r="CZ11" i="13"/>
  <c r="HX11" i="13"/>
  <c r="FL11" i="13"/>
  <c r="JD8" i="13"/>
  <c r="JU9" i="13"/>
  <c r="JV10" i="13" s="1"/>
  <c r="JT11" i="13"/>
  <c r="JU4" i="13"/>
  <c r="JE9" i="13"/>
  <c r="JF10" i="13" s="1"/>
  <c r="JD11" i="13"/>
  <c r="JE4" i="13"/>
  <c r="GB11" i="13"/>
  <c r="HH11" i="13"/>
  <c r="CJ11" i="13"/>
  <c r="EF11" i="13"/>
  <c r="DP11" i="13"/>
  <c r="IN11" i="13"/>
  <c r="GR11" i="13"/>
  <c r="EV11" i="13"/>
  <c r="LQ4" i="13"/>
  <c r="DQ4" i="13"/>
  <c r="LP11" i="13"/>
  <c r="LQ9" i="13"/>
  <c r="LR10" i="13" s="1"/>
  <c r="DQ9" i="13"/>
  <c r="DR10" i="13" s="1"/>
  <c r="EF8" i="13"/>
  <c r="HY9" i="13"/>
  <c r="HZ10" i="13" s="1"/>
  <c r="HY4" i="13"/>
  <c r="KK9" i="13"/>
  <c r="KL10" i="13" s="1"/>
  <c r="KJ11" i="13"/>
  <c r="KK4" i="13"/>
  <c r="DP8" i="13"/>
  <c r="GS9" i="13"/>
  <c r="GT10" i="13" s="1"/>
  <c r="GS4" i="13"/>
  <c r="EW4" i="13"/>
  <c r="EW9" i="13"/>
  <c r="EX10" i="13" s="1"/>
  <c r="EG4" i="13"/>
  <c r="EG9" i="13"/>
  <c r="EH10" i="13" s="1"/>
  <c r="HI4" i="13"/>
  <c r="HI9" i="13"/>
  <c r="HJ10" i="13" s="1"/>
  <c r="CK9" i="13"/>
  <c r="CL10" i="13" s="1"/>
  <c r="CK4" i="13"/>
  <c r="BU4" i="13"/>
  <c r="BU9" i="13"/>
  <c r="BV10" i="13" s="1"/>
  <c r="IO9" i="13"/>
  <c r="IP10" i="13" s="1"/>
  <c r="IO4" i="13"/>
  <c r="FM9" i="13"/>
  <c r="FN10" i="13" s="1"/>
  <c r="MG13" i="13"/>
  <c r="FM4" i="13"/>
  <c r="MW9" i="13"/>
  <c r="MX10" i="13" s="1"/>
  <c r="MV11" i="13"/>
  <c r="MW4" i="13"/>
  <c r="DA4" i="13"/>
  <c r="DA9" i="13"/>
  <c r="DB10" i="13" s="1"/>
  <c r="GC4" i="13"/>
  <c r="GC9" i="13"/>
  <c r="GD10" i="13" s="1"/>
  <c r="OB7" i="13"/>
  <c r="OB8" i="13" s="1"/>
  <c r="MV7" i="13"/>
  <c r="MV8" i="13" s="1"/>
  <c r="NL11" i="13"/>
  <c r="NM4" i="13"/>
  <c r="NM9" i="13"/>
  <c r="NN10" i="13" s="1"/>
  <c r="FL7" i="13"/>
  <c r="FL8" i="13" s="1"/>
  <c r="HX7" i="13"/>
  <c r="HX8" i="13" s="1"/>
  <c r="OC9" i="13"/>
  <c r="OD10" i="13" s="1"/>
  <c r="OC4" i="13"/>
  <c r="OB11" i="13"/>
  <c r="BU94" i="13" l="1"/>
  <c r="BU75" i="13"/>
  <c r="BU64" i="13"/>
  <c r="BU93" i="13"/>
  <c r="BU74" i="13"/>
  <c r="BU73" i="13"/>
  <c r="BU104" i="13"/>
  <c r="BU88" i="13"/>
  <c r="BU69" i="13"/>
  <c r="BU103" i="13"/>
  <c r="BU86" i="13"/>
  <c r="BU68" i="13"/>
  <c r="BU102" i="13"/>
  <c r="BU85" i="13"/>
  <c r="BU67" i="13"/>
  <c r="BU96" i="13"/>
  <c r="BU84" i="13"/>
  <c r="BU66" i="13"/>
  <c r="BU95" i="13"/>
  <c r="BU76" i="13"/>
  <c r="BU65" i="13"/>
  <c r="BF4" i="13"/>
  <c r="BE104" i="13"/>
  <c r="BE103" i="13"/>
  <c r="BE102" i="13"/>
  <c r="BE96" i="13"/>
  <c r="BE95" i="13"/>
  <c r="BE94" i="13"/>
  <c r="BE93" i="13"/>
  <c r="BE88" i="13"/>
  <c r="BE86" i="13"/>
  <c r="BE85" i="13"/>
  <c r="BE84" i="13"/>
  <c r="BE76" i="13"/>
  <c r="BE75" i="13"/>
  <c r="BE74" i="13"/>
  <c r="BE73" i="13"/>
  <c r="BE69" i="13"/>
  <c r="BE68" i="13"/>
  <c r="BE67" i="13"/>
  <c r="BE66" i="13"/>
  <c r="BE65" i="13"/>
  <c r="BE64" i="13"/>
  <c r="D112" i="13"/>
  <c r="D113" i="13" s="1"/>
  <c r="D111" i="13"/>
  <c r="BT13" i="13"/>
  <c r="BT11" i="13"/>
  <c r="BE13" i="15"/>
  <c r="EG13" i="17"/>
  <c r="JE13" i="13"/>
  <c r="BU13" i="15"/>
  <c r="OC13" i="16"/>
  <c r="CK13" i="13"/>
  <c r="KK13" i="13"/>
  <c r="GC13" i="13"/>
  <c r="GS13" i="16"/>
  <c r="C114" i="17"/>
  <c r="D112" i="16"/>
  <c r="D113" i="16" s="1"/>
  <c r="F94" i="17"/>
  <c r="F76" i="17"/>
  <c r="F86" i="17"/>
  <c r="F67" i="17"/>
  <c r="F96" i="17"/>
  <c r="F69" i="17"/>
  <c r="LQ13" i="16"/>
  <c r="C114" i="16"/>
  <c r="E109" i="17"/>
  <c r="E110" i="16"/>
  <c r="D114" i="16" s="1"/>
  <c r="D112" i="15"/>
  <c r="D113" i="15" s="1"/>
  <c r="C114" i="15"/>
  <c r="BU13" i="16"/>
  <c r="BU7" i="16"/>
  <c r="BU8" i="16" s="1"/>
  <c r="BU5" i="13"/>
  <c r="BV6" i="13" s="1"/>
  <c r="DA13" i="13"/>
  <c r="G84" i="16"/>
  <c r="GS13" i="17"/>
  <c r="MW13" i="15"/>
  <c r="LA13" i="15"/>
  <c r="F103" i="15"/>
  <c r="DA13" i="15"/>
  <c r="F65" i="17"/>
  <c r="F74" i="17"/>
  <c r="FM13" i="13"/>
  <c r="IO13" i="13"/>
  <c r="HY13" i="15"/>
  <c r="E109" i="16"/>
  <c r="EW13" i="15"/>
  <c r="KK13" i="16"/>
  <c r="LA13" i="17"/>
  <c r="F88" i="17"/>
  <c r="E110" i="13"/>
  <c r="E111" i="13" s="1"/>
  <c r="F64" i="13"/>
  <c r="GS13" i="15"/>
  <c r="LA13" i="16"/>
  <c r="G84" i="17"/>
  <c r="HY13" i="16"/>
  <c r="IO13" i="16"/>
  <c r="HI13" i="17"/>
  <c r="CK13" i="15"/>
  <c r="F93" i="17"/>
  <c r="F73" i="17"/>
  <c r="HY13" i="17"/>
  <c r="E110" i="15"/>
  <c r="D114" i="15" s="1"/>
  <c r="BX95" i="9"/>
  <c r="BX67" i="9"/>
  <c r="BX68" i="9"/>
  <c r="BX104" i="9"/>
  <c r="BX75" i="9"/>
  <c r="BX73" i="9"/>
  <c r="BX86" i="9"/>
  <c r="BX69" i="9"/>
  <c r="BX84" i="9"/>
  <c r="BX76" i="9"/>
  <c r="BX88" i="9"/>
  <c r="BX66" i="9"/>
  <c r="BX85" i="9"/>
  <c r="BX96" i="9"/>
  <c r="BX102" i="9"/>
  <c r="BX65" i="9"/>
  <c r="BX94" i="9"/>
  <c r="BX64" i="9"/>
  <c r="BX103" i="9"/>
  <c r="BX74" i="9"/>
  <c r="BX93" i="9"/>
  <c r="F64" i="17"/>
  <c r="BJ67" i="9"/>
  <c r="BJ86" i="9"/>
  <c r="BJ85" i="9"/>
  <c r="BJ68" i="9"/>
  <c r="BJ75" i="9"/>
  <c r="BJ74" i="9"/>
  <c r="BJ102" i="9"/>
  <c r="BJ65" i="9"/>
  <c r="BJ64" i="9"/>
  <c r="BJ73" i="9"/>
  <c r="BJ69" i="9"/>
  <c r="BJ103" i="9"/>
  <c r="BJ84" i="9"/>
  <c r="BJ76" i="9"/>
  <c r="BJ66" i="9"/>
  <c r="BJ94" i="9"/>
  <c r="BJ88" i="9"/>
  <c r="BJ104" i="9"/>
  <c r="BJ96" i="9"/>
  <c r="BJ93" i="9"/>
  <c r="BJ95" i="9"/>
  <c r="G84" i="15"/>
  <c r="IO13" i="15"/>
  <c r="DQ13" i="16"/>
  <c r="KK13" i="15"/>
  <c r="LQ13" i="17"/>
  <c r="F85" i="17"/>
  <c r="F64" i="16"/>
  <c r="F64" i="15"/>
  <c r="BK5" i="9"/>
  <c r="BJ6" i="9"/>
  <c r="BJ9" i="9" s="1"/>
  <c r="EW5" i="16"/>
  <c r="NM13" i="13"/>
  <c r="JU5" i="13"/>
  <c r="HI5" i="13"/>
  <c r="F69" i="16"/>
  <c r="F104" i="16"/>
  <c r="F66" i="16"/>
  <c r="F69" i="13"/>
  <c r="F86" i="13"/>
  <c r="GC5" i="16"/>
  <c r="LQ5" i="13"/>
  <c r="MG5" i="13"/>
  <c r="F73" i="16"/>
  <c r="F94" i="16"/>
  <c r="F95" i="13"/>
  <c r="F103" i="13"/>
  <c r="F104" i="13"/>
  <c r="F67" i="15"/>
  <c r="F68" i="17"/>
  <c r="F103" i="17"/>
  <c r="IO5" i="13"/>
  <c r="GC5" i="13"/>
  <c r="CK5" i="13"/>
  <c r="F88" i="16"/>
  <c r="NM5" i="13"/>
  <c r="F65" i="13"/>
  <c r="MW5" i="15"/>
  <c r="GC5" i="15"/>
  <c r="HY5" i="15"/>
  <c r="JE5" i="16"/>
  <c r="LB4" i="13"/>
  <c r="AI8" i="9"/>
  <c r="HI5" i="15"/>
  <c r="DQ5" i="15"/>
  <c r="FM5" i="16"/>
  <c r="HY5" i="17"/>
  <c r="HI5" i="17"/>
  <c r="E110" i="17"/>
  <c r="D114" i="17" s="1"/>
  <c r="F66" i="17"/>
  <c r="MW5" i="13"/>
  <c r="KK5" i="13"/>
  <c r="F93" i="16"/>
  <c r="F96" i="16"/>
  <c r="F103" i="16"/>
  <c r="DQ5" i="13"/>
  <c r="F102" i="13"/>
  <c r="F94" i="13"/>
  <c r="NN6" i="13"/>
  <c r="MX6" i="13"/>
  <c r="FM5" i="15"/>
  <c r="BU5" i="15"/>
  <c r="GS5" i="16"/>
  <c r="JU5" i="17"/>
  <c r="DA5" i="17"/>
  <c r="E109" i="15"/>
  <c r="F75" i="17"/>
  <c r="F95" i="17"/>
  <c r="OC5" i="13"/>
  <c r="HY5" i="13"/>
  <c r="NL13" i="13"/>
  <c r="NM7" i="13"/>
  <c r="NL7" i="13"/>
  <c r="NL8" i="13" s="1"/>
  <c r="KJ8" i="13"/>
  <c r="F74" i="16"/>
  <c r="F65" i="16"/>
  <c r="F85" i="16"/>
  <c r="F73" i="13"/>
  <c r="F68" i="13"/>
  <c r="F76" i="13"/>
  <c r="EG5" i="16"/>
  <c r="GC5" i="17"/>
  <c r="KL6" i="13"/>
  <c r="DQ5" i="16"/>
  <c r="IO5" i="16"/>
  <c r="JU5" i="16"/>
  <c r="DA5" i="13"/>
  <c r="EG5" i="13"/>
  <c r="F75" i="16"/>
  <c r="F102" i="16"/>
  <c r="F95" i="16"/>
  <c r="F67" i="13"/>
  <c r="F85" i="13"/>
  <c r="EG5" i="17"/>
  <c r="HI5" i="16"/>
  <c r="BF9" i="13"/>
  <c r="BG10" i="13" s="1"/>
  <c r="LR6" i="13"/>
  <c r="KK5" i="15"/>
  <c r="GS5" i="15"/>
  <c r="HY5" i="16"/>
  <c r="FM5" i="13"/>
  <c r="FN6" i="13" s="1"/>
  <c r="EW5" i="13"/>
  <c r="GS5" i="13"/>
  <c r="F68" i="16"/>
  <c r="F86" i="16"/>
  <c r="LA5" i="13"/>
  <c r="LB5" i="13" s="1"/>
  <c r="F66" i="13"/>
  <c r="F74" i="13"/>
  <c r="F88" i="13"/>
  <c r="BK8" i="9"/>
  <c r="MH6" i="13"/>
  <c r="EW5" i="15"/>
  <c r="OD6" i="13"/>
  <c r="JE5" i="15"/>
  <c r="IO5" i="15"/>
  <c r="IP6" i="15" s="1"/>
  <c r="CK5" i="16"/>
  <c r="F102" i="17"/>
  <c r="F104" i="17"/>
  <c r="JE5" i="13"/>
  <c r="F67" i="16"/>
  <c r="F76" i="16"/>
  <c r="LA6" i="13"/>
  <c r="LQ6" i="13"/>
  <c r="F96" i="13"/>
  <c r="F75" i="13"/>
  <c r="F93" i="13"/>
  <c r="E112" i="17"/>
  <c r="E113" i="17" s="1"/>
  <c r="BX6" i="9"/>
  <c r="BX9" i="9" s="1"/>
  <c r="BY8" i="9"/>
  <c r="BY5" i="9" s="1"/>
  <c r="G93" i="17"/>
  <c r="D112" i="17"/>
  <c r="D113" i="17" s="1"/>
  <c r="F65" i="15"/>
  <c r="F102" i="15"/>
  <c r="F93" i="15"/>
  <c r="F74" i="15"/>
  <c r="F69" i="15"/>
  <c r="F85" i="15"/>
  <c r="F94" i="15"/>
  <c r="F76" i="15"/>
  <c r="DA5" i="15"/>
  <c r="F104" i="15"/>
  <c r="F95" i="15"/>
  <c r="F96" i="15"/>
  <c r="F86" i="15"/>
  <c r="F73" i="15"/>
  <c r="CK5" i="15"/>
  <c r="CL6" i="15" s="1"/>
  <c r="F75" i="15"/>
  <c r="F68" i="15"/>
  <c r="F88" i="15"/>
  <c r="F66" i="15"/>
  <c r="EG5" i="15"/>
  <c r="EH6" i="15" s="1"/>
  <c r="IO5" i="17"/>
  <c r="IP6" i="17" s="1"/>
  <c r="GS5" i="17"/>
  <c r="GT6" i="17" s="1"/>
  <c r="LQ5" i="17"/>
  <c r="LR6" i="17" s="1"/>
  <c r="NM5" i="17"/>
  <c r="NN6" i="17" s="1"/>
  <c r="JE5" i="17"/>
  <c r="LP8" i="17"/>
  <c r="DQ5" i="17"/>
  <c r="DR6" i="17" s="1"/>
  <c r="DQ6" i="17"/>
  <c r="DQ13" i="17" s="1"/>
  <c r="NL8" i="17"/>
  <c r="NM8" i="17" s="1"/>
  <c r="LA7" i="17"/>
  <c r="EV8" i="17"/>
  <c r="FM5" i="17"/>
  <c r="GB8" i="17"/>
  <c r="OC13" i="17"/>
  <c r="OC7" i="17"/>
  <c r="MV8" i="17"/>
  <c r="MW5" i="17"/>
  <c r="MX6" i="17" s="1"/>
  <c r="MG7" i="17"/>
  <c r="MG8" i="17" s="1"/>
  <c r="BD11" i="17"/>
  <c r="MG5" i="17"/>
  <c r="EW5" i="17"/>
  <c r="EX6" i="17" s="1"/>
  <c r="KK5" i="17"/>
  <c r="MW6" i="17"/>
  <c r="FL11" i="17"/>
  <c r="OB11" i="17"/>
  <c r="KJ13" i="17"/>
  <c r="KJ7" i="17"/>
  <c r="KJ8" i="17" s="1"/>
  <c r="LA5" i="17"/>
  <c r="LB6" i="17" s="1"/>
  <c r="CK5" i="17"/>
  <c r="CL6" i="17" s="1"/>
  <c r="KK6" i="17"/>
  <c r="KK13" i="17" s="1"/>
  <c r="FL7" i="17"/>
  <c r="FL8" i="17" s="1"/>
  <c r="BU5" i="17"/>
  <c r="BV6" i="17" s="1"/>
  <c r="NM13" i="17"/>
  <c r="KZ8" i="17"/>
  <c r="CJ8" i="17"/>
  <c r="LQ5" i="16"/>
  <c r="LR6" i="16" s="1"/>
  <c r="BU5" i="16"/>
  <c r="BV6" i="16" s="1"/>
  <c r="EF8" i="16"/>
  <c r="NL8" i="16"/>
  <c r="NM5" i="16"/>
  <c r="NN6" i="16" s="1"/>
  <c r="NN7" i="16" s="1"/>
  <c r="LA5" i="16"/>
  <c r="LB6" i="16" s="1"/>
  <c r="EV8" i="16"/>
  <c r="HH8" i="16"/>
  <c r="MF8" i="16"/>
  <c r="MW5" i="16"/>
  <c r="MX6" i="16" s="1"/>
  <c r="MW6" i="16"/>
  <c r="MW13" i="16" s="1"/>
  <c r="MG5" i="16"/>
  <c r="MH6" i="16" s="1"/>
  <c r="LP8" i="16"/>
  <c r="OC7" i="16"/>
  <c r="KZ13" i="16"/>
  <c r="LA7" i="16"/>
  <c r="KZ7" i="16"/>
  <c r="KZ8" i="16" s="1"/>
  <c r="KZ11" i="16"/>
  <c r="OB8" i="16"/>
  <c r="NM13" i="16"/>
  <c r="DA5" i="16"/>
  <c r="DB6" i="16" s="1"/>
  <c r="MG6" i="16"/>
  <c r="MG11" i="16" s="1"/>
  <c r="NM7" i="16"/>
  <c r="KK5" i="16"/>
  <c r="GB8" i="16"/>
  <c r="OC5" i="16"/>
  <c r="MV8" i="16"/>
  <c r="MF8" i="15"/>
  <c r="OB8" i="15"/>
  <c r="FL8" i="15"/>
  <c r="JT7" i="15"/>
  <c r="JT8" i="15" s="1"/>
  <c r="KJ8" i="15"/>
  <c r="NL8" i="15"/>
  <c r="JU5" i="15"/>
  <c r="JV6" i="15" s="1"/>
  <c r="LP8" i="15"/>
  <c r="JT11" i="15"/>
  <c r="LQ5" i="15"/>
  <c r="LR6" i="15" s="1"/>
  <c r="MV8" i="15"/>
  <c r="LA5" i="15"/>
  <c r="LQ6" i="15"/>
  <c r="LQ13" i="15" s="1"/>
  <c r="MG5" i="15"/>
  <c r="MH6" i="15" s="1"/>
  <c r="MX6" i="15"/>
  <c r="KZ13" i="15"/>
  <c r="LA7" i="15"/>
  <c r="KZ7" i="15"/>
  <c r="KZ8" i="15" s="1"/>
  <c r="GB8" i="15"/>
  <c r="OC5" i="15"/>
  <c r="NM13" i="15"/>
  <c r="NM5" i="15"/>
  <c r="NN6" i="15" s="1"/>
  <c r="KL6" i="15"/>
  <c r="KL13" i="15" s="1"/>
  <c r="MG6" i="15"/>
  <c r="MG13" i="15" s="1"/>
  <c r="NM7" i="15"/>
  <c r="GC7" i="16"/>
  <c r="GC13" i="16"/>
  <c r="DP7" i="16"/>
  <c r="DP8" i="16" s="1"/>
  <c r="DP13" i="16"/>
  <c r="DA7" i="16"/>
  <c r="DA8" i="16" s="1"/>
  <c r="DA13" i="16"/>
  <c r="OB7" i="17"/>
  <c r="OB8" i="17" s="1"/>
  <c r="OC5" i="17"/>
  <c r="JE7" i="17"/>
  <c r="JE8" i="17" s="1"/>
  <c r="JE13" i="17"/>
  <c r="IO7" i="17"/>
  <c r="IO13" i="17"/>
  <c r="HX11" i="17"/>
  <c r="HX13" i="17"/>
  <c r="EW7" i="17"/>
  <c r="EW13" i="17"/>
  <c r="EG7" i="17"/>
  <c r="DP11" i="17"/>
  <c r="DP13" i="17"/>
  <c r="CK7" i="17"/>
  <c r="CK8" i="17" s="1"/>
  <c r="CK13" i="17"/>
  <c r="BT8" i="17"/>
  <c r="BU7" i="17"/>
  <c r="BU13" i="17"/>
  <c r="EV11" i="15"/>
  <c r="EV13" i="15"/>
  <c r="JU7" i="15"/>
  <c r="JU13" i="15"/>
  <c r="GC7" i="15"/>
  <c r="GC13" i="15"/>
  <c r="EG7" i="15"/>
  <c r="EG13" i="15"/>
  <c r="IN11" i="15"/>
  <c r="IN13" i="15"/>
  <c r="GR11" i="15"/>
  <c r="GR13" i="15"/>
  <c r="OC7" i="15"/>
  <c r="OC13" i="15"/>
  <c r="JE7" i="15"/>
  <c r="JE8" i="15" s="1"/>
  <c r="JE13" i="15"/>
  <c r="GT6" i="15"/>
  <c r="FN6" i="15"/>
  <c r="DR6" i="15"/>
  <c r="DP7" i="17"/>
  <c r="DP8" i="17" s="1"/>
  <c r="DP11" i="16"/>
  <c r="JF6" i="16"/>
  <c r="JE6" i="16"/>
  <c r="EH6" i="16"/>
  <c r="CL6" i="16"/>
  <c r="CL13" i="16" s="1"/>
  <c r="DQ7" i="16"/>
  <c r="DB6" i="17"/>
  <c r="EG7" i="13"/>
  <c r="EG13" i="13"/>
  <c r="MW7" i="13"/>
  <c r="MW8" i="13" s="1"/>
  <c r="MW13" i="13"/>
  <c r="DQ7" i="13"/>
  <c r="DQ13" i="13"/>
  <c r="GS7" i="13"/>
  <c r="GS8" i="13" s="1"/>
  <c r="GS13" i="13"/>
  <c r="LQ7" i="13"/>
  <c r="LQ8" i="13" s="1"/>
  <c r="LQ13" i="13"/>
  <c r="OC7" i="13"/>
  <c r="OC13" i="13"/>
  <c r="JU7" i="13"/>
  <c r="JU8" i="13" s="1"/>
  <c r="JU13" i="13"/>
  <c r="HY7" i="13"/>
  <c r="HY8" i="13" s="1"/>
  <c r="HY13" i="13"/>
  <c r="EW7" i="13"/>
  <c r="EW8" i="13" s="1"/>
  <c r="EW13" i="13"/>
  <c r="BU7" i="13"/>
  <c r="BU8" i="13" s="1"/>
  <c r="BU13" i="13"/>
  <c r="HI7" i="13"/>
  <c r="HI8" i="13" s="1"/>
  <c r="HI13" i="13"/>
  <c r="BD11" i="13"/>
  <c r="BD13" i="13"/>
  <c r="LA11" i="13"/>
  <c r="FL8" i="16"/>
  <c r="EF8" i="17"/>
  <c r="EF8" i="15"/>
  <c r="DP8" i="15"/>
  <c r="CZ8" i="17"/>
  <c r="LA11" i="17"/>
  <c r="LB9" i="17"/>
  <c r="LC10" i="17" s="1"/>
  <c r="LB4" i="17"/>
  <c r="LQ11" i="17"/>
  <c r="LR9" i="17"/>
  <c r="LS10" i="17" s="1"/>
  <c r="LR4" i="17"/>
  <c r="FN9" i="17"/>
  <c r="FO10" i="17" s="1"/>
  <c r="FN4" i="17"/>
  <c r="GD9" i="17"/>
  <c r="GE10" i="17" s="1"/>
  <c r="GD4" i="17"/>
  <c r="GD6" i="17"/>
  <c r="BE5" i="17"/>
  <c r="MX9" i="17"/>
  <c r="MY10" i="17" s="1"/>
  <c r="MX4" i="17"/>
  <c r="LQ7" i="17"/>
  <c r="HI7" i="17"/>
  <c r="HI8" i="17" s="1"/>
  <c r="JE11" i="17"/>
  <c r="JF9" i="17"/>
  <c r="JG10" i="17" s="1"/>
  <c r="JF4" i="17"/>
  <c r="EW11" i="17"/>
  <c r="EX9" i="17"/>
  <c r="EY10" i="17" s="1"/>
  <c r="EX4" i="17"/>
  <c r="CL9" i="17"/>
  <c r="CM10" i="17" s="1"/>
  <c r="CK11" i="17"/>
  <c r="CL4" i="17"/>
  <c r="HY7" i="17"/>
  <c r="HX7" i="17"/>
  <c r="HX8" i="17" s="1"/>
  <c r="BD7" i="17"/>
  <c r="BD8" i="17" s="1"/>
  <c r="GS7" i="17"/>
  <c r="GR7" i="17"/>
  <c r="GR8" i="17" s="1"/>
  <c r="OC11" i="17"/>
  <c r="OD9" i="17"/>
  <c r="OE10" i="17" s="1"/>
  <c r="OD4" i="17"/>
  <c r="DB9" i="17"/>
  <c r="DC10" i="17" s="1"/>
  <c r="DB4" i="17"/>
  <c r="BE6" i="17"/>
  <c r="EG11" i="17"/>
  <c r="EH9" i="17"/>
  <c r="EI10" i="17" s="1"/>
  <c r="EH4" i="17"/>
  <c r="BU11" i="17"/>
  <c r="BV9" i="17"/>
  <c r="BW10" i="17" s="1"/>
  <c r="BV4" i="17"/>
  <c r="KL9" i="17"/>
  <c r="KM10" i="17" s="1"/>
  <c r="KL4" i="17"/>
  <c r="JV9" i="17"/>
  <c r="JW10" i="17" s="1"/>
  <c r="JV4" i="17"/>
  <c r="GS11" i="17"/>
  <c r="GT9" i="17"/>
  <c r="GU10" i="17" s="1"/>
  <c r="GT4" i="17"/>
  <c r="HZ9" i="17"/>
  <c r="IA10" i="17" s="1"/>
  <c r="HZ4" i="17"/>
  <c r="HY11" i="17"/>
  <c r="GR11" i="17"/>
  <c r="IN8" i="17"/>
  <c r="DA6" i="17"/>
  <c r="DA13" i="17" s="1"/>
  <c r="MH9" i="17"/>
  <c r="MI10" i="17" s="1"/>
  <c r="MG11" i="17"/>
  <c r="MH4" i="17"/>
  <c r="DR9" i="17"/>
  <c r="DS10" i="17" s="1"/>
  <c r="DR4" i="17"/>
  <c r="JU6" i="17"/>
  <c r="NN9" i="17"/>
  <c r="NO10" i="17" s="1"/>
  <c r="NM11" i="17"/>
  <c r="NN4" i="17"/>
  <c r="FM6" i="17"/>
  <c r="FM13" i="17" s="1"/>
  <c r="BF9" i="17"/>
  <c r="BG10" i="17" s="1"/>
  <c r="BF4" i="17"/>
  <c r="HJ9" i="17"/>
  <c r="HK10" i="17" s="1"/>
  <c r="HI11" i="17"/>
  <c r="HJ6" i="17"/>
  <c r="HJ4" i="17"/>
  <c r="GC6" i="17"/>
  <c r="GC13" i="17" s="1"/>
  <c r="IP9" i="17"/>
  <c r="IQ10" i="17" s="1"/>
  <c r="IO11" i="17"/>
  <c r="IP4" i="17"/>
  <c r="EH4" i="16"/>
  <c r="EH9" i="16"/>
  <c r="EI10" i="16" s="1"/>
  <c r="FN4" i="16"/>
  <c r="FN9" i="16"/>
  <c r="FO10" i="16" s="1"/>
  <c r="BE11" i="16"/>
  <c r="BF9" i="16"/>
  <c r="BG10" i="16" s="1"/>
  <c r="BF4" i="16"/>
  <c r="IO7" i="16"/>
  <c r="IO8" i="16" s="1"/>
  <c r="DA11" i="16"/>
  <c r="DB4" i="16"/>
  <c r="DB9" i="16"/>
  <c r="DC10" i="16" s="1"/>
  <c r="KK7" i="16"/>
  <c r="KK8" i="16" s="1"/>
  <c r="DR4" i="16"/>
  <c r="DQ11" i="16"/>
  <c r="DR9" i="16"/>
  <c r="DS10" i="16" s="1"/>
  <c r="BU11" i="16"/>
  <c r="BV9" i="16"/>
  <c r="BW10" i="16" s="1"/>
  <c r="BV4" i="16"/>
  <c r="IP9" i="16"/>
  <c r="IQ10" i="16" s="1"/>
  <c r="IP4" i="16"/>
  <c r="IO11" i="16"/>
  <c r="HY11" i="16"/>
  <c r="HZ4" i="16"/>
  <c r="HZ9" i="16"/>
  <c r="IA10" i="16" s="1"/>
  <c r="EX6" i="16"/>
  <c r="EX4" i="16"/>
  <c r="EX9" i="16"/>
  <c r="EY10" i="16" s="1"/>
  <c r="HJ6" i="16"/>
  <c r="OC11" i="16"/>
  <c r="OD4" i="16"/>
  <c r="OD9" i="16"/>
  <c r="OE10" i="16" s="1"/>
  <c r="CL4" i="16"/>
  <c r="CL9" i="16"/>
  <c r="CM10" i="16" s="1"/>
  <c r="HJ4" i="16"/>
  <c r="HJ9" i="16"/>
  <c r="HK10" i="16" s="1"/>
  <c r="HY7" i="16"/>
  <c r="HX7" i="16"/>
  <c r="HX8" i="16" s="1"/>
  <c r="GC11" i="16"/>
  <c r="GD9" i="16"/>
  <c r="GE10" i="16" s="1"/>
  <c r="GD4" i="16"/>
  <c r="EW6" i="16"/>
  <c r="CK6" i="16"/>
  <c r="CK13" i="16" s="1"/>
  <c r="BE7" i="16"/>
  <c r="BE8" i="16" s="1"/>
  <c r="HX11" i="16"/>
  <c r="GS11" i="16"/>
  <c r="GT9" i="16"/>
  <c r="GU10" i="16" s="1"/>
  <c r="GT4" i="16"/>
  <c r="JU6" i="16"/>
  <c r="LQ7" i="16"/>
  <c r="LA11" i="16"/>
  <c r="LB9" i="16"/>
  <c r="LC10" i="16" s="1"/>
  <c r="LB4" i="16"/>
  <c r="GS7" i="16"/>
  <c r="GS8" i="16" s="1"/>
  <c r="MH4" i="16"/>
  <c r="MH9" i="16"/>
  <c r="MI10" i="16" s="1"/>
  <c r="NN4" i="16"/>
  <c r="NM11" i="16"/>
  <c r="NN9" i="16"/>
  <c r="NO10" i="16" s="1"/>
  <c r="EG6" i="16"/>
  <c r="MX4" i="16"/>
  <c r="MX9" i="16"/>
  <c r="MY10" i="16" s="1"/>
  <c r="LQ11" i="16"/>
  <c r="LR9" i="16"/>
  <c r="LS10" i="16" s="1"/>
  <c r="LR4" i="16"/>
  <c r="KK11" i="16"/>
  <c r="KL9" i="16"/>
  <c r="KM10" i="16" s="1"/>
  <c r="KL4" i="16"/>
  <c r="HI6" i="16"/>
  <c r="HI13" i="16" s="1"/>
  <c r="FM6" i="16"/>
  <c r="FM13" i="16" s="1"/>
  <c r="JF4" i="16"/>
  <c r="JF9" i="16"/>
  <c r="JG10" i="16" s="1"/>
  <c r="JV4" i="16"/>
  <c r="JV6" i="16"/>
  <c r="JV13" i="16" s="1"/>
  <c r="JV9" i="16"/>
  <c r="JW10" i="16" s="1"/>
  <c r="HZ6" i="16"/>
  <c r="BE5" i="16"/>
  <c r="CJ8" i="16"/>
  <c r="BU11" i="15"/>
  <c r="BV4" i="15"/>
  <c r="BV9" i="15"/>
  <c r="BW10" i="15" s="1"/>
  <c r="KK11" i="15"/>
  <c r="KL9" i="15"/>
  <c r="KM10" i="15" s="1"/>
  <c r="KL4" i="15"/>
  <c r="EW7" i="15"/>
  <c r="EV7" i="15"/>
  <c r="EV8" i="15" s="1"/>
  <c r="KK7" i="15"/>
  <c r="JE11" i="15"/>
  <c r="JF9" i="15"/>
  <c r="JG10" i="15" s="1"/>
  <c r="JF4" i="15"/>
  <c r="DB6" i="15"/>
  <c r="DB4" i="15"/>
  <c r="DA11" i="15"/>
  <c r="DB9" i="15"/>
  <c r="DC10" i="15" s="1"/>
  <c r="NN4" i="15"/>
  <c r="NN9" i="15"/>
  <c r="NO10" i="15" s="1"/>
  <c r="NM11" i="15"/>
  <c r="IO7" i="15"/>
  <c r="IN7" i="15"/>
  <c r="IN8" i="15" s="1"/>
  <c r="DQ6" i="15"/>
  <c r="DA7" i="15"/>
  <c r="CZ7" i="15"/>
  <c r="CZ8" i="15" s="1"/>
  <c r="BU7" i="15"/>
  <c r="BT8" i="15"/>
  <c r="OC11" i="15"/>
  <c r="OD9" i="15"/>
  <c r="OE10" i="15" s="1"/>
  <c r="OD4" i="15"/>
  <c r="GS11" i="15"/>
  <c r="GT9" i="15"/>
  <c r="GU10" i="15" s="1"/>
  <c r="GT4" i="15"/>
  <c r="DR4" i="15"/>
  <c r="DR9" i="15"/>
  <c r="DS10" i="15" s="1"/>
  <c r="GD4" i="15"/>
  <c r="GC11" i="15"/>
  <c r="GD9" i="15"/>
  <c r="GE10" i="15" s="1"/>
  <c r="LB4" i="15"/>
  <c r="LA11" i="15"/>
  <c r="LB9" i="15"/>
  <c r="LC10" i="15" s="1"/>
  <c r="BE7" i="15"/>
  <c r="BD7" i="15"/>
  <c r="BD8" i="15" s="1"/>
  <c r="HJ6" i="15"/>
  <c r="BD11" i="15"/>
  <c r="BE5" i="15"/>
  <c r="BF6" i="15" s="1"/>
  <c r="HH8" i="15"/>
  <c r="BV6" i="15"/>
  <c r="MH4" i="15"/>
  <c r="MH9" i="15"/>
  <c r="MI10" i="15" s="1"/>
  <c r="FN9" i="15"/>
  <c r="FO10" i="15" s="1"/>
  <c r="FN4" i="15"/>
  <c r="HX8" i="15"/>
  <c r="JU11" i="15"/>
  <c r="JV4" i="15"/>
  <c r="JV9" i="15"/>
  <c r="JW10" i="15" s="1"/>
  <c r="HJ4" i="15"/>
  <c r="HJ9" i="15"/>
  <c r="HK10" i="15" s="1"/>
  <c r="IP4" i="15"/>
  <c r="IP9" i="15"/>
  <c r="IQ10" i="15" s="1"/>
  <c r="IO11" i="15"/>
  <c r="HZ9" i="15"/>
  <c r="IA10" i="15" s="1"/>
  <c r="HZ4" i="15"/>
  <c r="HY11" i="15"/>
  <c r="HZ6" i="15"/>
  <c r="CZ11" i="15"/>
  <c r="BF4" i="15"/>
  <c r="BF9" i="15"/>
  <c r="BG10" i="15" s="1"/>
  <c r="BE11" i="15"/>
  <c r="LR9" i="15"/>
  <c r="LS10" i="15" s="1"/>
  <c r="LR4" i="15"/>
  <c r="FM6" i="15"/>
  <c r="FM13" i="15" s="1"/>
  <c r="MX9" i="15"/>
  <c r="MY10" i="15" s="1"/>
  <c r="MX4" i="15"/>
  <c r="MW11" i="15"/>
  <c r="CL9" i="15"/>
  <c r="CM10" i="15" s="1"/>
  <c r="CL4" i="15"/>
  <c r="CK11" i="15"/>
  <c r="EG11" i="15"/>
  <c r="EH4" i="15"/>
  <c r="EH9" i="15"/>
  <c r="EI10" i="15" s="1"/>
  <c r="MW7" i="15"/>
  <c r="GS7" i="15"/>
  <c r="GR7" i="15"/>
  <c r="GR8" i="15" s="1"/>
  <c r="HY7" i="15"/>
  <c r="CJ8" i="15"/>
  <c r="EW11" i="15"/>
  <c r="EX6" i="15"/>
  <c r="EX4" i="15"/>
  <c r="EX9" i="15"/>
  <c r="EY10" i="15" s="1"/>
  <c r="CK7" i="15"/>
  <c r="HI6" i="15"/>
  <c r="IP6" i="13"/>
  <c r="HZ6" i="13"/>
  <c r="BD7" i="13"/>
  <c r="BD8" i="13" s="1"/>
  <c r="BE6" i="13"/>
  <c r="MH4" i="13"/>
  <c r="LB9" i="13"/>
  <c r="LC10" i="13" s="1"/>
  <c r="GT6" i="13"/>
  <c r="HJ6" i="13"/>
  <c r="MH9" i="13"/>
  <c r="MI10" i="13" s="1"/>
  <c r="JF6" i="13"/>
  <c r="DR6" i="13"/>
  <c r="GD6" i="13"/>
  <c r="EH6" i="13"/>
  <c r="MG11" i="13"/>
  <c r="BE5" i="13"/>
  <c r="DB6" i="13"/>
  <c r="EX6" i="13"/>
  <c r="CL6" i="13"/>
  <c r="JV6" i="13"/>
  <c r="HY11" i="13"/>
  <c r="GS11" i="13"/>
  <c r="BU11" i="13"/>
  <c r="EG11" i="13"/>
  <c r="JU11" i="13"/>
  <c r="JV4" i="13"/>
  <c r="JV9" i="13"/>
  <c r="JW10" i="13" s="1"/>
  <c r="JE11" i="13"/>
  <c r="JF4" i="13"/>
  <c r="JF9" i="13"/>
  <c r="JG10" i="13" s="1"/>
  <c r="JE7" i="13"/>
  <c r="JE8" i="13" s="1"/>
  <c r="DQ11" i="13"/>
  <c r="IO11" i="13"/>
  <c r="CK11" i="13"/>
  <c r="GC11" i="13"/>
  <c r="HI11" i="13"/>
  <c r="IO7" i="13"/>
  <c r="IO8" i="13" s="1"/>
  <c r="EW11" i="13"/>
  <c r="FM11" i="13"/>
  <c r="DA11" i="13"/>
  <c r="DR4" i="13"/>
  <c r="LR4" i="13"/>
  <c r="LQ11" i="13"/>
  <c r="DR9" i="13"/>
  <c r="DS10" i="13" s="1"/>
  <c r="LR9" i="13"/>
  <c r="LS10" i="13" s="1"/>
  <c r="DQ8" i="13"/>
  <c r="EG8" i="13"/>
  <c r="MW11" i="13"/>
  <c r="MX9" i="13"/>
  <c r="MY10" i="13" s="1"/>
  <c r="MX4" i="13"/>
  <c r="BV9" i="13"/>
  <c r="BW10" i="13" s="1"/>
  <c r="BV4" i="13"/>
  <c r="EH4" i="13"/>
  <c r="EH9" i="13"/>
  <c r="EI10" i="13" s="1"/>
  <c r="GD4" i="13"/>
  <c r="GD9" i="13"/>
  <c r="GE10" i="13" s="1"/>
  <c r="IP4" i="13"/>
  <c r="IP9" i="13"/>
  <c r="IQ10" i="13" s="1"/>
  <c r="FM7" i="13"/>
  <c r="FM8" i="13" s="1"/>
  <c r="BG9" i="13"/>
  <c r="BH10" i="13" s="1"/>
  <c r="BG4" i="13"/>
  <c r="DB4" i="13"/>
  <c r="DB9" i="13"/>
  <c r="DC10" i="13" s="1"/>
  <c r="GC7" i="13"/>
  <c r="GC8" i="13" s="1"/>
  <c r="KK7" i="13"/>
  <c r="KK8" i="13" s="1"/>
  <c r="CK7" i="13"/>
  <c r="CK8" i="13" s="1"/>
  <c r="LC9" i="13"/>
  <c r="LD10" i="13" s="1"/>
  <c r="LC4" i="13"/>
  <c r="EX9" i="13"/>
  <c r="EY10" i="13" s="1"/>
  <c r="EX4" i="13"/>
  <c r="MG7" i="13"/>
  <c r="MG8" i="13" s="1"/>
  <c r="HZ9" i="13"/>
  <c r="IA10" i="13" s="1"/>
  <c r="HZ4" i="13"/>
  <c r="CL9" i="13"/>
  <c r="CM10" i="13" s="1"/>
  <c r="CL4" i="13"/>
  <c r="OC8" i="13"/>
  <c r="FN9" i="13"/>
  <c r="FO10" i="13" s="1"/>
  <c r="FN4" i="13"/>
  <c r="DA7" i="13"/>
  <c r="DA8" i="13" s="1"/>
  <c r="KL9" i="13"/>
  <c r="KM10" i="13" s="1"/>
  <c r="KK11" i="13"/>
  <c r="KL4" i="13"/>
  <c r="OD4" i="13"/>
  <c r="OD9" i="13"/>
  <c r="OE10" i="13" s="1"/>
  <c r="OC11" i="13"/>
  <c r="HJ4" i="13"/>
  <c r="HJ9" i="13"/>
  <c r="HK10" i="13" s="1"/>
  <c r="NN9" i="13"/>
  <c r="NO10" i="13" s="1"/>
  <c r="NN4" i="13"/>
  <c r="NM11" i="13"/>
  <c r="GT9" i="13"/>
  <c r="GU10" i="13" s="1"/>
  <c r="GT4" i="13"/>
  <c r="G84" i="13" l="1"/>
  <c r="E112" i="15"/>
  <c r="E113" i="15" s="1"/>
  <c r="F110" i="13"/>
  <c r="F111" i="13" s="1"/>
  <c r="F109" i="13"/>
  <c r="BV93" i="13"/>
  <c r="BV74" i="13"/>
  <c r="BV88" i="13"/>
  <c r="BV73" i="13"/>
  <c r="BV69" i="13"/>
  <c r="BV104" i="13"/>
  <c r="BV103" i="13"/>
  <c r="BV86" i="13"/>
  <c r="BV68" i="13"/>
  <c r="BV102" i="13"/>
  <c r="BV85" i="13"/>
  <c r="BV67" i="13"/>
  <c r="BV96" i="13"/>
  <c r="BV84" i="13"/>
  <c r="BV66" i="13"/>
  <c r="BV95" i="13"/>
  <c r="BV76" i="13"/>
  <c r="BV65" i="13"/>
  <c r="BV94" i="13"/>
  <c r="BV75" i="13"/>
  <c r="BV64" i="13"/>
  <c r="D114" i="13"/>
  <c r="BG104" i="13"/>
  <c r="BG103" i="13"/>
  <c r="BG102" i="13"/>
  <c r="BG96" i="13"/>
  <c r="BG95" i="13"/>
  <c r="BG94" i="13"/>
  <c r="BG93" i="13"/>
  <c r="BG88" i="13"/>
  <c r="BG86" i="13"/>
  <c r="BG85" i="13"/>
  <c r="BG84" i="13"/>
  <c r="BG76" i="13"/>
  <c r="BG75" i="13"/>
  <c r="BG74" i="13"/>
  <c r="BG73" i="13"/>
  <c r="BG69" i="13"/>
  <c r="BG68" i="13"/>
  <c r="BG67" i="13"/>
  <c r="BG66" i="13"/>
  <c r="BG65" i="13"/>
  <c r="BG64" i="13"/>
  <c r="BF104" i="13"/>
  <c r="BF103" i="13"/>
  <c r="BF102" i="13"/>
  <c r="BF96" i="13"/>
  <c r="BF95" i="13"/>
  <c r="BF94" i="13"/>
  <c r="BF93" i="13"/>
  <c r="BF88" i="13"/>
  <c r="BF86" i="13"/>
  <c r="BF85" i="13"/>
  <c r="BF84" i="13"/>
  <c r="BF76" i="13"/>
  <c r="BF75" i="13"/>
  <c r="BF74" i="13"/>
  <c r="BF73" i="13"/>
  <c r="BF69" i="13"/>
  <c r="BF68" i="13"/>
  <c r="BF67" i="13"/>
  <c r="BF66" i="13"/>
  <c r="BF65" i="13"/>
  <c r="BF64" i="13"/>
  <c r="BF13" i="15"/>
  <c r="DB13" i="15"/>
  <c r="OD13" i="13"/>
  <c r="HJ13" i="15"/>
  <c r="GD13" i="17"/>
  <c r="F109" i="16"/>
  <c r="E112" i="16"/>
  <c r="E113" i="16" s="1"/>
  <c r="F110" i="16"/>
  <c r="E114" i="16" s="1"/>
  <c r="E111" i="15"/>
  <c r="IP13" i="17"/>
  <c r="GT13" i="15"/>
  <c r="LR13" i="15"/>
  <c r="DB13" i="16"/>
  <c r="G85" i="17"/>
  <c r="G104" i="17"/>
  <c r="G86" i="17"/>
  <c r="G94" i="17"/>
  <c r="G66" i="17"/>
  <c r="LB13" i="16"/>
  <c r="BV13" i="16"/>
  <c r="E111" i="17"/>
  <c r="E111" i="16"/>
  <c r="E112" i="13"/>
  <c r="E113" i="13" s="1"/>
  <c r="MX13" i="17"/>
  <c r="BY85" i="9"/>
  <c r="BY104" i="9"/>
  <c r="BY68" i="9"/>
  <c r="BY74" i="9"/>
  <c r="BY67" i="9"/>
  <c r="BY93" i="9"/>
  <c r="BY65" i="9"/>
  <c r="BY96" i="9"/>
  <c r="BY84" i="9"/>
  <c r="BY73" i="9"/>
  <c r="BY95" i="9"/>
  <c r="BY69" i="9"/>
  <c r="BY76" i="9"/>
  <c r="BY64" i="9"/>
  <c r="BY102" i="9"/>
  <c r="BY94" i="9"/>
  <c r="BY66" i="9"/>
  <c r="BY88" i="9"/>
  <c r="BY75" i="9"/>
  <c r="BY103" i="9"/>
  <c r="BY86" i="9"/>
  <c r="H84" i="15"/>
  <c r="MH13" i="16"/>
  <c r="G93" i="15"/>
  <c r="G64" i="15"/>
  <c r="G76" i="17"/>
  <c r="G68" i="17"/>
  <c r="G73" i="17"/>
  <c r="H84" i="16"/>
  <c r="H84" i="17"/>
  <c r="JF13" i="16"/>
  <c r="G68" i="15"/>
  <c r="G67" i="17"/>
  <c r="G65" i="17"/>
  <c r="G104" i="16"/>
  <c r="EH13" i="16"/>
  <c r="MX13" i="16"/>
  <c r="CL13" i="17"/>
  <c r="G93" i="16"/>
  <c r="BK67" i="9"/>
  <c r="BK86" i="9"/>
  <c r="BK85" i="9"/>
  <c r="BK75" i="9"/>
  <c r="BK74" i="9"/>
  <c r="BK95" i="9"/>
  <c r="BK73" i="9"/>
  <c r="BK66" i="9"/>
  <c r="BK84" i="9"/>
  <c r="BK68" i="9"/>
  <c r="BK69" i="9"/>
  <c r="BK93" i="9"/>
  <c r="BK102" i="9"/>
  <c r="BK76" i="9"/>
  <c r="BK94" i="9"/>
  <c r="BK104" i="9"/>
  <c r="BK88" i="9"/>
  <c r="BK96" i="9"/>
  <c r="BK64" i="9"/>
  <c r="BK103" i="9"/>
  <c r="BK65" i="9"/>
  <c r="KL13" i="13"/>
  <c r="CL13" i="13"/>
  <c r="LR13" i="16"/>
  <c r="LB13" i="17"/>
  <c r="DB13" i="17"/>
  <c r="DR13" i="15"/>
  <c r="LR13" i="17"/>
  <c r="G65" i="15"/>
  <c r="EH13" i="15"/>
  <c r="G75" i="17"/>
  <c r="EX13" i="16"/>
  <c r="BV13" i="15"/>
  <c r="HJ13" i="16"/>
  <c r="EX13" i="13"/>
  <c r="HZ13" i="13"/>
  <c r="FN13" i="15"/>
  <c r="F110" i="17"/>
  <c r="E114" i="17" s="1"/>
  <c r="GT13" i="17"/>
  <c r="G95" i="17"/>
  <c r="NM8" i="13"/>
  <c r="G68" i="16"/>
  <c r="AJ8" i="9"/>
  <c r="FN5" i="16"/>
  <c r="HJ5" i="17"/>
  <c r="EH5" i="17"/>
  <c r="F110" i="15"/>
  <c r="F111" i="15" s="1"/>
  <c r="G64" i="17"/>
  <c r="G102" i="17"/>
  <c r="G96" i="17"/>
  <c r="G85" i="16"/>
  <c r="G76" i="16"/>
  <c r="G69" i="16"/>
  <c r="G96" i="13"/>
  <c r="G74" i="13"/>
  <c r="G86" i="13"/>
  <c r="MH5" i="13"/>
  <c r="HJ5" i="16"/>
  <c r="EX5" i="16"/>
  <c r="JV5" i="17"/>
  <c r="G74" i="17"/>
  <c r="G88" i="16"/>
  <c r="G103" i="16"/>
  <c r="G66" i="13"/>
  <c r="G75" i="13"/>
  <c r="G88" i="13"/>
  <c r="KL5" i="13"/>
  <c r="KM6" i="13" s="1"/>
  <c r="HJ5" i="13"/>
  <c r="JF5" i="15"/>
  <c r="EH5" i="16"/>
  <c r="G88" i="17"/>
  <c r="G103" i="17"/>
  <c r="JF5" i="13"/>
  <c r="G74" i="16"/>
  <c r="G86" i="16"/>
  <c r="G94" i="16"/>
  <c r="G65" i="13"/>
  <c r="G95" i="13"/>
  <c r="G93" i="13"/>
  <c r="MX5" i="13"/>
  <c r="NN5" i="13"/>
  <c r="NO6" i="13" s="1"/>
  <c r="LR5" i="13"/>
  <c r="LS6" i="13" s="1"/>
  <c r="JV5" i="13"/>
  <c r="HZ5" i="15"/>
  <c r="FN5" i="15"/>
  <c r="GD5" i="15"/>
  <c r="JV5" i="16"/>
  <c r="JW6" i="16" s="1"/>
  <c r="GD5" i="16"/>
  <c r="CL5" i="16"/>
  <c r="GT5" i="13"/>
  <c r="G102" i="13"/>
  <c r="G67" i="13"/>
  <c r="EH5" i="13"/>
  <c r="NN13" i="13"/>
  <c r="NN7" i="13"/>
  <c r="NN8" i="13" s="1"/>
  <c r="BV5" i="15"/>
  <c r="GT5" i="16"/>
  <c r="GU6" i="16" s="1"/>
  <c r="IP5" i="17"/>
  <c r="HZ5" i="17"/>
  <c r="DB5" i="17"/>
  <c r="G75" i="15"/>
  <c r="G73" i="16"/>
  <c r="G65" i="16"/>
  <c r="G96" i="16"/>
  <c r="EX5" i="13"/>
  <c r="G68" i="13"/>
  <c r="G104" i="13"/>
  <c r="DB5" i="13"/>
  <c r="HZ5" i="13"/>
  <c r="IP5" i="15"/>
  <c r="HZ5" i="16"/>
  <c r="BL8" i="9"/>
  <c r="MI4" i="13"/>
  <c r="MI6" i="13"/>
  <c r="EX5" i="15"/>
  <c r="DR5" i="15"/>
  <c r="JF5" i="16"/>
  <c r="GD5" i="17"/>
  <c r="G75" i="16"/>
  <c r="FN5" i="13"/>
  <c r="FO6" i="13" s="1"/>
  <c r="G94" i="13"/>
  <c r="G103" i="13"/>
  <c r="OD5" i="13"/>
  <c r="OE6" i="13" s="1"/>
  <c r="DR5" i="13"/>
  <c r="CL5" i="13"/>
  <c r="CM6" i="13" s="1"/>
  <c r="BV5" i="13"/>
  <c r="HJ5" i="15"/>
  <c r="GT5" i="15"/>
  <c r="DR5" i="16"/>
  <c r="G69" i="17"/>
  <c r="LA13" i="13"/>
  <c r="LA7" i="13"/>
  <c r="LA8" i="13" s="1"/>
  <c r="G95" i="16"/>
  <c r="G67" i="16"/>
  <c r="G85" i="13"/>
  <c r="G76" i="13"/>
  <c r="LB6" i="13"/>
  <c r="LB13" i="13" s="1"/>
  <c r="GD5" i="13"/>
  <c r="GE6" i="13" s="1"/>
  <c r="GE13" i="13" s="1"/>
  <c r="MY6" i="13"/>
  <c r="IP5" i="16"/>
  <c r="IQ6" i="16" s="1"/>
  <c r="G64" i="16"/>
  <c r="G102" i="16"/>
  <c r="G66" i="16"/>
  <c r="LC5" i="13"/>
  <c r="G73" i="13"/>
  <c r="G69" i="13"/>
  <c r="G64" i="13"/>
  <c r="LC6" i="13"/>
  <c r="LC13" i="13" s="1"/>
  <c r="IP5" i="13"/>
  <c r="BL5" i="9"/>
  <c r="BK6" i="9"/>
  <c r="BK9" i="9" s="1"/>
  <c r="BY6" i="9"/>
  <c r="BY9" i="9" s="1"/>
  <c r="F109" i="17"/>
  <c r="BZ8" i="9"/>
  <c r="BZ5" i="9" s="1"/>
  <c r="G85" i="15"/>
  <c r="G69" i="15"/>
  <c r="G103" i="15"/>
  <c r="G66" i="15"/>
  <c r="G102" i="15"/>
  <c r="G76" i="15"/>
  <c r="G104" i="15"/>
  <c r="DB5" i="15"/>
  <c r="G95" i="15"/>
  <c r="G88" i="15"/>
  <c r="G94" i="15"/>
  <c r="G74" i="15"/>
  <c r="G67" i="15"/>
  <c r="G73" i="15"/>
  <c r="G96" i="15"/>
  <c r="CL5" i="15"/>
  <c r="CM6" i="15" s="1"/>
  <c r="G86" i="15"/>
  <c r="F109" i="15"/>
  <c r="EH5" i="15"/>
  <c r="JF5" i="17"/>
  <c r="GT5" i="17"/>
  <c r="DQ11" i="17"/>
  <c r="DQ7" i="17"/>
  <c r="DQ8" i="17" s="1"/>
  <c r="LQ8" i="17"/>
  <c r="EW8" i="17"/>
  <c r="DR5" i="17"/>
  <c r="LA8" i="17"/>
  <c r="OC8" i="17"/>
  <c r="MX7" i="17"/>
  <c r="FN5" i="17"/>
  <c r="FO6" i="17" s="1"/>
  <c r="IO8" i="17"/>
  <c r="MW11" i="17"/>
  <c r="KL5" i="17"/>
  <c r="KM6" i="17" s="1"/>
  <c r="EG8" i="17"/>
  <c r="MH5" i="17"/>
  <c r="MI6" i="17" s="1"/>
  <c r="NN13" i="17"/>
  <c r="EX5" i="17"/>
  <c r="LR7" i="17"/>
  <c r="CL5" i="17"/>
  <c r="KL6" i="17"/>
  <c r="KL13" i="17" s="1"/>
  <c r="NN5" i="17"/>
  <c r="NO6" i="17" s="1"/>
  <c r="NN7" i="17"/>
  <c r="NN8" i="17" s="1"/>
  <c r="KK11" i="17"/>
  <c r="KK7" i="17"/>
  <c r="KK8" i="17" s="1"/>
  <c r="BU8" i="17"/>
  <c r="BV5" i="17"/>
  <c r="BW6" i="17" s="1"/>
  <c r="LB5" i="17"/>
  <c r="LC6" i="17" s="1"/>
  <c r="MW13" i="17"/>
  <c r="MW7" i="17"/>
  <c r="MW8" i="17" s="1"/>
  <c r="MH6" i="17"/>
  <c r="MH11" i="17" s="1"/>
  <c r="BE7" i="17"/>
  <c r="BE8" i="17" s="1"/>
  <c r="BE13" i="17"/>
  <c r="MX5" i="17"/>
  <c r="LR5" i="17"/>
  <c r="LS6" i="17" s="1"/>
  <c r="BV5" i="16"/>
  <c r="BW6" i="16" s="1"/>
  <c r="NM8" i="16"/>
  <c r="NN8" i="16" s="1"/>
  <c r="MX5" i="16"/>
  <c r="MY6" i="16" s="1"/>
  <c r="LQ8" i="16"/>
  <c r="MW7" i="16"/>
  <c r="MW8" i="16" s="1"/>
  <c r="GC8" i="16"/>
  <c r="MW11" i="16"/>
  <c r="MH5" i="16"/>
  <c r="MI6" i="16" s="1"/>
  <c r="OC8" i="16"/>
  <c r="DQ8" i="16"/>
  <c r="KL5" i="16"/>
  <c r="KM6" i="16" s="1"/>
  <c r="LA8" i="16"/>
  <c r="OD5" i="16"/>
  <c r="LR5" i="16"/>
  <c r="LS6" i="16" s="1"/>
  <c r="DB5" i="16"/>
  <c r="LB5" i="16"/>
  <c r="LC6" i="16" s="1"/>
  <c r="OD6" i="16"/>
  <c r="NN13" i="16"/>
  <c r="NN5" i="16"/>
  <c r="NO6" i="16" s="1"/>
  <c r="MG13" i="16"/>
  <c r="MG7" i="16"/>
  <c r="MG8" i="16" s="1"/>
  <c r="KL6" i="16"/>
  <c r="KL13" i="16" s="1"/>
  <c r="JU8" i="15"/>
  <c r="KK8" i="15"/>
  <c r="JV5" i="15"/>
  <c r="OC8" i="15"/>
  <c r="NM8" i="15"/>
  <c r="MW8" i="15"/>
  <c r="MG7" i="15"/>
  <c r="MG8" i="15" s="1"/>
  <c r="LQ7" i="15"/>
  <c r="LQ8" i="15" s="1"/>
  <c r="MG11" i="15"/>
  <c r="LA8" i="15"/>
  <c r="LB5" i="15"/>
  <c r="LC6" i="15" s="1"/>
  <c r="NN13" i="15"/>
  <c r="NN7" i="15"/>
  <c r="GC8" i="15"/>
  <c r="OD5" i="15"/>
  <c r="LB6" i="15"/>
  <c r="LB13" i="15" s="1"/>
  <c r="LQ11" i="15"/>
  <c r="OD6" i="15"/>
  <c r="OD13" i="15" s="1"/>
  <c r="LR5" i="15"/>
  <c r="NN5" i="15"/>
  <c r="KL5" i="15"/>
  <c r="KM6" i="15" s="1"/>
  <c r="MH5" i="15"/>
  <c r="MX5" i="15"/>
  <c r="MY6" i="15" s="1"/>
  <c r="MY13" i="15" s="1"/>
  <c r="JU11" i="16"/>
  <c r="JU13" i="16"/>
  <c r="JE11" i="16"/>
  <c r="JE13" i="16"/>
  <c r="HZ7" i="16"/>
  <c r="HZ13" i="16"/>
  <c r="EW11" i="16"/>
  <c r="EW13" i="16"/>
  <c r="EG11" i="16"/>
  <c r="EG13" i="16"/>
  <c r="OD5" i="17"/>
  <c r="OE6" i="17" s="1"/>
  <c r="OD6" i="17"/>
  <c r="OD11" i="17" s="1"/>
  <c r="JU11" i="17"/>
  <c r="JU13" i="17"/>
  <c r="HJ7" i="17"/>
  <c r="HJ8" i="17" s="1"/>
  <c r="HJ13" i="17"/>
  <c r="EX7" i="17"/>
  <c r="EX13" i="17"/>
  <c r="DR7" i="17"/>
  <c r="DR13" i="17"/>
  <c r="EG8" i="15"/>
  <c r="IP7" i="15"/>
  <c r="IP13" i="15"/>
  <c r="DQ11" i="15"/>
  <c r="DQ13" i="15"/>
  <c r="G110" i="15" s="1"/>
  <c r="LR7" i="15"/>
  <c r="EX7" i="15"/>
  <c r="EX13" i="15"/>
  <c r="HZ7" i="15"/>
  <c r="HZ13" i="15"/>
  <c r="CL7" i="15"/>
  <c r="CL13" i="15"/>
  <c r="MH7" i="15"/>
  <c r="MH13" i="15"/>
  <c r="MX7" i="15"/>
  <c r="MX13" i="15"/>
  <c r="HI11" i="15"/>
  <c r="HI13" i="15"/>
  <c r="JV7" i="15"/>
  <c r="JV13" i="15"/>
  <c r="JG6" i="15"/>
  <c r="JG13" i="15" s="1"/>
  <c r="GE6" i="15"/>
  <c r="BE11" i="17"/>
  <c r="JE7" i="16"/>
  <c r="JE8" i="16" s="1"/>
  <c r="FO6" i="16"/>
  <c r="GE6" i="16"/>
  <c r="GT6" i="16"/>
  <c r="HZ6" i="17"/>
  <c r="HZ13" i="17" s="1"/>
  <c r="DC6" i="17"/>
  <c r="JW6" i="17"/>
  <c r="JW13" i="17" s="1"/>
  <c r="FN6" i="17"/>
  <c r="DB7" i="13"/>
  <c r="DB8" i="13" s="1"/>
  <c r="DB13" i="13"/>
  <c r="LR7" i="13"/>
  <c r="LR8" i="13" s="1"/>
  <c r="LR13" i="13"/>
  <c r="BV7" i="13"/>
  <c r="BV8" i="13" s="1"/>
  <c r="BV13" i="13"/>
  <c r="JV7" i="13"/>
  <c r="JV8" i="13" s="1"/>
  <c r="JV13" i="13"/>
  <c r="EH7" i="13"/>
  <c r="EH13" i="13"/>
  <c r="HJ7" i="13"/>
  <c r="HJ8" i="13" s="1"/>
  <c r="HJ13" i="13"/>
  <c r="IP7" i="13"/>
  <c r="IP8" i="13" s="1"/>
  <c r="IP13" i="13"/>
  <c r="GD7" i="13"/>
  <c r="GD8" i="13" s="1"/>
  <c r="GD13" i="13"/>
  <c r="GT7" i="13"/>
  <c r="GT8" i="13" s="1"/>
  <c r="GT13" i="13"/>
  <c r="FN7" i="13"/>
  <c r="FN8" i="13" s="1"/>
  <c r="FN13" i="13"/>
  <c r="MH7" i="13"/>
  <c r="MH13" i="13"/>
  <c r="MX7" i="13"/>
  <c r="MX8" i="13" s="1"/>
  <c r="MX13" i="13"/>
  <c r="DR7" i="13"/>
  <c r="DR13" i="13"/>
  <c r="LB7" i="13"/>
  <c r="JF7" i="13"/>
  <c r="JF13" i="13"/>
  <c r="BE11" i="13"/>
  <c r="G109" i="13" s="1"/>
  <c r="BE13" i="13"/>
  <c r="G110" i="13" s="1"/>
  <c r="MI9" i="13"/>
  <c r="MJ10" i="13" s="1"/>
  <c r="CK8" i="15"/>
  <c r="BU8" i="15"/>
  <c r="HY8" i="15"/>
  <c r="EW8" i="15"/>
  <c r="DA8" i="15"/>
  <c r="HY8" i="16"/>
  <c r="GS8" i="15"/>
  <c r="BG9" i="17"/>
  <c r="BH10" i="17" s="1"/>
  <c r="BG4" i="17"/>
  <c r="LS9" i="17"/>
  <c r="LT10" i="17" s="1"/>
  <c r="LS4" i="17"/>
  <c r="LR11" i="17"/>
  <c r="GS8" i="17"/>
  <c r="EI9" i="17"/>
  <c r="EJ10" i="17" s="1"/>
  <c r="EI4" i="17"/>
  <c r="CL7" i="17"/>
  <c r="CL8" i="17" s="1"/>
  <c r="LC9" i="17"/>
  <c r="LD10" i="17" s="1"/>
  <c r="LB11" i="17"/>
  <c r="LC4" i="17"/>
  <c r="GD7" i="17"/>
  <c r="GC7" i="17"/>
  <c r="GC8" i="17" s="1"/>
  <c r="KM9" i="17"/>
  <c r="KN10" i="17" s="1"/>
  <c r="KM4" i="17"/>
  <c r="EH6" i="17"/>
  <c r="EH13" i="17" s="1"/>
  <c r="GC11" i="17"/>
  <c r="FM7" i="17"/>
  <c r="FM8" i="17" s="1"/>
  <c r="MI9" i="17"/>
  <c r="MJ10" i="17" s="1"/>
  <c r="MI4" i="17"/>
  <c r="DB7" i="17"/>
  <c r="DA7" i="17"/>
  <c r="DA8" i="17" s="1"/>
  <c r="JG9" i="17"/>
  <c r="JH10" i="17" s="1"/>
  <c r="JG6" i="17"/>
  <c r="JG4" i="17"/>
  <c r="GE9" i="17"/>
  <c r="GF10" i="17" s="1"/>
  <c r="GD11" i="17"/>
  <c r="GE4" i="17"/>
  <c r="FM11" i="17"/>
  <c r="LB7" i="17"/>
  <c r="GU9" i="17"/>
  <c r="GV10" i="17" s="1"/>
  <c r="GU4" i="17"/>
  <c r="GT11" i="17"/>
  <c r="IP11" i="17"/>
  <c r="IQ9" i="17"/>
  <c r="IR10" i="17" s="1"/>
  <c r="IQ6" i="17"/>
  <c r="IQ13" i="17" s="1"/>
  <c r="IQ4" i="17"/>
  <c r="HK9" i="17"/>
  <c r="HL10" i="17" s="1"/>
  <c r="HJ11" i="17"/>
  <c r="HK6" i="17"/>
  <c r="HK4" i="17"/>
  <c r="JU7" i="17"/>
  <c r="JU8" i="17" s="1"/>
  <c r="OE9" i="17"/>
  <c r="OF10" i="17" s="1"/>
  <c r="OE4" i="17"/>
  <c r="HY8" i="17"/>
  <c r="EY9" i="17"/>
  <c r="EZ10" i="17" s="1"/>
  <c r="EX11" i="17"/>
  <c r="EY4" i="17"/>
  <c r="JF6" i="17"/>
  <c r="BF5" i="17"/>
  <c r="BG6" i="17" s="1"/>
  <c r="BG13" i="17" s="1"/>
  <c r="FO9" i="17"/>
  <c r="FP10" i="17" s="1"/>
  <c r="FO4" i="17"/>
  <c r="NN11" i="17"/>
  <c r="NO9" i="17"/>
  <c r="NP10" i="17" s="1"/>
  <c r="NO4" i="17"/>
  <c r="IP7" i="17"/>
  <c r="JV6" i="17"/>
  <c r="DA11" i="17"/>
  <c r="CM9" i="17"/>
  <c r="CN10" i="17" s="1"/>
  <c r="CL11" i="17"/>
  <c r="CM4" i="17"/>
  <c r="MY9" i="17"/>
  <c r="MZ10" i="17" s="1"/>
  <c r="MX11" i="17"/>
  <c r="MY4" i="17"/>
  <c r="DR11" i="17"/>
  <c r="DS9" i="17"/>
  <c r="DT10" i="17" s="1"/>
  <c r="DS4" i="17"/>
  <c r="BF6" i="17"/>
  <c r="BF13" i="17" s="1"/>
  <c r="IA9" i="17"/>
  <c r="IB10" i="17" s="1"/>
  <c r="IA4" i="17"/>
  <c r="IA6" i="17"/>
  <c r="JW9" i="17"/>
  <c r="JX10" i="17" s="1"/>
  <c r="JW4" i="17"/>
  <c r="BW9" i="17"/>
  <c r="BX10" i="17" s="1"/>
  <c r="BW4" i="17"/>
  <c r="DC9" i="17"/>
  <c r="DD10" i="17" s="1"/>
  <c r="DB11" i="17"/>
  <c r="DC4" i="17"/>
  <c r="GT7" i="17"/>
  <c r="FM7" i="16"/>
  <c r="FM8" i="16" s="1"/>
  <c r="LB11" i="16"/>
  <c r="LC9" i="16"/>
  <c r="LD10" i="16" s="1"/>
  <c r="LC4" i="16"/>
  <c r="OE9" i="16"/>
  <c r="OF10" i="16" s="1"/>
  <c r="OE4" i="16"/>
  <c r="HJ7" i="16"/>
  <c r="HI7" i="16"/>
  <c r="HI8" i="16" s="1"/>
  <c r="LS9" i="16"/>
  <c r="LT10" i="16" s="1"/>
  <c r="LR11" i="16"/>
  <c r="LS4" i="16"/>
  <c r="CL7" i="16"/>
  <c r="CK7" i="16"/>
  <c r="CK8" i="16" s="1"/>
  <c r="EX7" i="16"/>
  <c r="EW7" i="16"/>
  <c r="EW8" i="16" s="1"/>
  <c r="DB7" i="16"/>
  <c r="DB8" i="16" s="1"/>
  <c r="BV11" i="16"/>
  <c r="JW9" i="16"/>
  <c r="JX10" i="16" s="1"/>
  <c r="JV11" i="16"/>
  <c r="JW4" i="16"/>
  <c r="MI9" i="16"/>
  <c r="MJ10" i="16" s="1"/>
  <c r="MH11" i="16"/>
  <c r="MI4" i="16"/>
  <c r="CK11" i="16"/>
  <c r="DC9" i="16"/>
  <c r="DD10" i="16" s="1"/>
  <c r="DC4" i="16"/>
  <c r="DB11" i="16"/>
  <c r="LR7" i="16"/>
  <c r="HI11" i="16"/>
  <c r="CM9" i="16"/>
  <c r="CN10" i="16" s="1"/>
  <c r="CL11" i="16"/>
  <c r="CM4" i="16"/>
  <c r="HK6" i="16"/>
  <c r="BW9" i="16"/>
  <c r="BX10" i="16" s="1"/>
  <c r="BW4" i="16"/>
  <c r="DR6" i="16"/>
  <c r="JF7" i="16"/>
  <c r="BF5" i="16"/>
  <c r="BG6" i="16" s="1"/>
  <c r="GE4" i="16"/>
  <c r="GE9" i="16"/>
  <c r="GF10" i="16" s="1"/>
  <c r="IP6" i="16"/>
  <c r="BF6" i="16"/>
  <c r="JG9" i="16"/>
  <c r="JH10" i="16" s="1"/>
  <c r="JF11" i="16"/>
  <c r="JG4" i="16"/>
  <c r="GD6" i="16"/>
  <c r="GD13" i="16" s="1"/>
  <c r="HK9" i="16"/>
  <c r="HL10" i="16" s="1"/>
  <c r="HJ11" i="16"/>
  <c r="HK4" i="16"/>
  <c r="BG9" i="16"/>
  <c r="BH10" i="16" s="1"/>
  <c r="BG4" i="16"/>
  <c r="FO9" i="16"/>
  <c r="FP10" i="16" s="1"/>
  <c r="FO4" i="16"/>
  <c r="EH11" i="16"/>
  <c r="EI4" i="16"/>
  <c r="EI9" i="16"/>
  <c r="EJ10" i="16" s="1"/>
  <c r="KM9" i="16"/>
  <c r="KN10" i="16" s="1"/>
  <c r="KM4" i="16"/>
  <c r="JV7" i="16"/>
  <c r="JU7" i="16"/>
  <c r="JU8" i="16" s="1"/>
  <c r="GU9" i="16"/>
  <c r="GV10" i="16" s="1"/>
  <c r="GU4" i="16"/>
  <c r="EY9" i="16"/>
  <c r="EZ10" i="16" s="1"/>
  <c r="EY6" i="16"/>
  <c r="EY4" i="16"/>
  <c r="EX11" i="16"/>
  <c r="HZ11" i="16"/>
  <c r="IA4" i="16"/>
  <c r="IA9" i="16"/>
  <c r="IB10" i="16" s="1"/>
  <c r="IQ9" i="16"/>
  <c r="IR10" i="16" s="1"/>
  <c r="IQ4" i="16"/>
  <c r="FN6" i="16"/>
  <c r="FN13" i="16" s="1"/>
  <c r="MY9" i="16"/>
  <c r="MZ10" i="16" s="1"/>
  <c r="MY4" i="16"/>
  <c r="MX11" i="16"/>
  <c r="EH7" i="16"/>
  <c r="EG7" i="16"/>
  <c r="EG8" i="16" s="1"/>
  <c r="NN11" i="16"/>
  <c r="NO9" i="16"/>
  <c r="NP10" i="16" s="1"/>
  <c r="NO4" i="16"/>
  <c r="LB7" i="16"/>
  <c r="MH7" i="16"/>
  <c r="MX7" i="16"/>
  <c r="DS9" i="16"/>
  <c r="DT10" i="16" s="1"/>
  <c r="DS4" i="16"/>
  <c r="FM11" i="16"/>
  <c r="BV7" i="15"/>
  <c r="MY9" i="15"/>
  <c r="MZ10" i="15" s="1"/>
  <c r="MY4" i="15"/>
  <c r="MX11" i="15"/>
  <c r="IA9" i="15"/>
  <c r="IB10" i="15" s="1"/>
  <c r="IA4" i="15"/>
  <c r="HZ11" i="15"/>
  <c r="JW9" i="15"/>
  <c r="JX10" i="15" s="1"/>
  <c r="JV11" i="15"/>
  <c r="JW4" i="15"/>
  <c r="DS9" i="15"/>
  <c r="DT10" i="15" s="1"/>
  <c r="DR11" i="15"/>
  <c r="DS4" i="15"/>
  <c r="DR7" i="15"/>
  <c r="DQ7" i="15"/>
  <c r="DQ8" i="15" s="1"/>
  <c r="BF5" i="15"/>
  <c r="BG6" i="15" s="1"/>
  <c r="BG13" i="15" s="1"/>
  <c r="GU9" i="15"/>
  <c r="GV10" i="15" s="1"/>
  <c r="GU4" i="15"/>
  <c r="GT11" i="15"/>
  <c r="OE9" i="15"/>
  <c r="OF10" i="15" s="1"/>
  <c r="OE4" i="15"/>
  <c r="BF7" i="15"/>
  <c r="KM9" i="15"/>
  <c r="KN10" i="15" s="1"/>
  <c r="KL11" i="15"/>
  <c r="KM4" i="15"/>
  <c r="BW9" i="15"/>
  <c r="BX10" i="15" s="1"/>
  <c r="BW4" i="15"/>
  <c r="BV11" i="15"/>
  <c r="EI9" i="15"/>
  <c r="EJ10" i="15" s="1"/>
  <c r="EH11" i="15"/>
  <c r="EI4" i="15"/>
  <c r="FO9" i="15"/>
  <c r="FP10" i="15" s="1"/>
  <c r="FN11" i="15"/>
  <c r="FO4" i="15"/>
  <c r="FO6" i="15"/>
  <c r="CM9" i="15"/>
  <c r="CN10" i="15" s="1"/>
  <c r="CM4" i="15"/>
  <c r="CL11" i="15"/>
  <c r="FN7" i="15"/>
  <c r="FM7" i="15"/>
  <c r="FM8" i="15" s="1"/>
  <c r="BF11" i="15"/>
  <c r="BG9" i="15"/>
  <c r="BH10" i="15" s="1"/>
  <c r="BG4" i="15"/>
  <c r="LS9" i="15"/>
  <c r="LT10" i="15" s="1"/>
  <c r="LS4" i="15"/>
  <c r="LR11" i="15"/>
  <c r="LC9" i="15"/>
  <c r="LD10" i="15" s="1"/>
  <c r="LC4" i="15"/>
  <c r="GE9" i="15"/>
  <c r="GF10" i="15" s="1"/>
  <c r="GE4" i="15"/>
  <c r="IO8" i="15"/>
  <c r="NO9" i="15"/>
  <c r="NP10" i="15" s="1"/>
  <c r="NN11" i="15"/>
  <c r="NO4" i="15"/>
  <c r="GU6" i="15"/>
  <c r="HJ7" i="15"/>
  <c r="HI7" i="15"/>
  <c r="HI8" i="15" s="1"/>
  <c r="EY9" i="15"/>
  <c r="EZ10" i="15" s="1"/>
  <c r="EX11" i="15"/>
  <c r="EY4" i="15"/>
  <c r="HK9" i="15"/>
  <c r="HL10" i="15" s="1"/>
  <c r="HK4" i="15"/>
  <c r="HJ11" i="15"/>
  <c r="HK6" i="15"/>
  <c r="HK13" i="15" s="1"/>
  <c r="GD6" i="15"/>
  <c r="GD13" i="15" s="1"/>
  <c r="JG9" i="15"/>
  <c r="JH10" i="15" s="1"/>
  <c r="JG4" i="15"/>
  <c r="EH7" i="15"/>
  <c r="GT7" i="15"/>
  <c r="JF6" i="15"/>
  <c r="JF13" i="15" s="1"/>
  <c r="KL7" i="15"/>
  <c r="DB7" i="15"/>
  <c r="IQ9" i="15"/>
  <c r="IR10" i="15" s="1"/>
  <c r="IP11" i="15"/>
  <c r="IQ4" i="15"/>
  <c r="IQ6" i="15"/>
  <c r="FM11" i="15"/>
  <c r="MI9" i="15"/>
  <c r="MJ10" i="15" s="1"/>
  <c r="MI4" i="15"/>
  <c r="MH11" i="15"/>
  <c r="BE8" i="15"/>
  <c r="DC9" i="15"/>
  <c r="DD10" i="15" s="1"/>
  <c r="DC4" i="15"/>
  <c r="DB11" i="15"/>
  <c r="DC6" i="15"/>
  <c r="DC13" i="15" s="1"/>
  <c r="HK6" i="13"/>
  <c r="IA6" i="13"/>
  <c r="BF6" i="13"/>
  <c r="BE7" i="13"/>
  <c r="BE8" i="13" s="1"/>
  <c r="BW6" i="13"/>
  <c r="EI6" i="13"/>
  <c r="DC6" i="13"/>
  <c r="DS4" i="13"/>
  <c r="LS4" i="13"/>
  <c r="DS6" i="13"/>
  <c r="JW6" i="13"/>
  <c r="GU6" i="13"/>
  <c r="BF5" i="13"/>
  <c r="JG6" i="13"/>
  <c r="EY6" i="13"/>
  <c r="EH11" i="13"/>
  <c r="HZ11" i="13"/>
  <c r="DB11" i="13"/>
  <c r="DS9" i="13"/>
  <c r="DT10" i="13" s="1"/>
  <c r="BV11" i="13"/>
  <c r="FN11" i="13"/>
  <c r="JF8" i="13"/>
  <c r="DR8" i="13"/>
  <c r="JV11" i="13"/>
  <c r="JW9" i="13"/>
  <c r="JX10" i="13" s="1"/>
  <c r="JW4" i="13"/>
  <c r="JF11" i="13"/>
  <c r="JG4" i="13"/>
  <c r="JG9" i="13"/>
  <c r="JH10" i="13" s="1"/>
  <c r="EX11" i="13"/>
  <c r="IP11" i="13"/>
  <c r="GD11" i="13"/>
  <c r="CL11" i="13"/>
  <c r="GT11" i="13"/>
  <c r="LS9" i="13"/>
  <c r="LT10" i="13" s="1"/>
  <c r="HJ11" i="13"/>
  <c r="DR11" i="13"/>
  <c r="LR11" i="13"/>
  <c r="EH8" i="13"/>
  <c r="AZ17" i="13"/>
  <c r="MH8" i="13"/>
  <c r="CM9" i="13"/>
  <c r="CN10" i="13" s="1"/>
  <c r="CM4" i="13"/>
  <c r="FO9" i="13"/>
  <c r="FP10" i="13" s="1"/>
  <c r="FO4" i="13"/>
  <c r="MI13" i="13"/>
  <c r="BW9" i="13"/>
  <c r="BX10" i="13" s="1"/>
  <c r="BW4" i="13"/>
  <c r="BH4" i="13"/>
  <c r="BH9" i="13"/>
  <c r="KL11" i="13"/>
  <c r="KM9" i="13"/>
  <c r="KN10" i="13" s="1"/>
  <c r="KM4" i="13"/>
  <c r="GU9" i="13"/>
  <c r="GV10" i="13" s="1"/>
  <c r="GU4" i="13"/>
  <c r="IA9" i="13"/>
  <c r="IB10" i="13" s="1"/>
  <c r="IA4" i="13"/>
  <c r="EY4" i="13"/>
  <c r="EY9" i="13"/>
  <c r="EZ10" i="13" s="1"/>
  <c r="CL7" i="13"/>
  <c r="CL8" i="13" s="1"/>
  <c r="GE4" i="13"/>
  <c r="GE9" i="13"/>
  <c r="GF10" i="13" s="1"/>
  <c r="EI9" i="13"/>
  <c r="EJ10" i="13" s="1"/>
  <c r="EI4" i="13"/>
  <c r="HZ7" i="13"/>
  <c r="HZ8" i="13" s="1"/>
  <c r="OE4" i="13"/>
  <c r="OD11" i="13"/>
  <c r="OE9" i="13"/>
  <c r="OF10" i="13" s="1"/>
  <c r="MJ4" i="13"/>
  <c r="MJ9" i="13"/>
  <c r="LC11" i="13"/>
  <c r="LD4" i="13"/>
  <c r="LD9" i="13"/>
  <c r="KV17" i="13"/>
  <c r="IQ9" i="13"/>
  <c r="IR10" i="13" s="1"/>
  <c r="IQ4" i="13"/>
  <c r="HK9" i="13"/>
  <c r="HL10" i="13" s="1"/>
  <c r="HK4" i="13"/>
  <c r="NN11" i="13"/>
  <c r="NO9" i="13"/>
  <c r="NP10" i="13" s="1"/>
  <c r="NO4" i="13"/>
  <c r="MH11" i="13"/>
  <c r="EX7" i="13"/>
  <c r="EX8" i="13" s="1"/>
  <c r="DC4" i="13"/>
  <c r="DC9" i="13"/>
  <c r="DD10" i="13" s="1"/>
  <c r="OD7" i="13"/>
  <c r="OD8" i="13" s="1"/>
  <c r="KL7" i="13"/>
  <c r="KL8" i="13" s="1"/>
  <c r="MX11" i="13"/>
  <c r="MY9" i="13"/>
  <c r="MZ10" i="13" s="1"/>
  <c r="MY4" i="13"/>
  <c r="F112" i="16" l="1"/>
  <c r="F113" i="16" s="1"/>
  <c r="F111" i="16"/>
  <c r="E114" i="13"/>
  <c r="H84" i="13"/>
  <c r="F112" i="13"/>
  <c r="F113" i="13" s="1"/>
  <c r="F112" i="17"/>
  <c r="F113" i="17" s="1"/>
  <c r="F111" i="17"/>
  <c r="E114" i="15"/>
  <c r="BW73" i="13"/>
  <c r="BW104" i="13"/>
  <c r="BW88" i="13"/>
  <c r="BW69" i="13"/>
  <c r="BW103" i="13"/>
  <c r="BW86" i="13"/>
  <c r="BW102" i="13"/>
  <c r="BW85" i="13"/>
  <c r="BW67" i="13"/>
  <c r="BW96" i="13"/>
  <c r="BW84" i="13"/>
  <c r="I84" i="13" s="1"/>
  <c r="BW66" i="13"/>
  <c r="BW95" i="13"/>
  <c r="BW76" i="13"/>
  <c r="BW65" i="13"/>
  <c r="BW94" i="13"/>
  <c r="BW75" i="13"/>
  <c r="BW64" i="13"/>
  <c r="BW68" i="13"/>
  <c r="BW93" i="13"/>
  <c r="BW74" i="13"/>
  <c r="BH104" i="13"/>
  <c r="BH103" i="13"/>
  <c r="BH102" i="13"/>
  <c r="BH96" i="13"/>
  <c r="BH95" i="13"/>
  <c r="BH94" i="13"/>
  <c r="BH93" i="13"/>
  <c r="BH88" i="13"/>
  <c r="BH86" i="13"/>
  <c r="BH85" i="13"/>
  <c r="BH84" i="13"/>
  <c r="BH76" i="13"/>
  <c r="BH75" i="13"/>
  <c r="BH74" i="13"/>
  <c r="BH73" i="13"/>
  <c r="BH69" i="13"/>
  <c r="BH68" i="13"/>
  <c r="BH67" i="13"/>
  <c r="BH66" i="13"/>
  <c r="BH65" i="13"/>
  <c r="BH64" i="13"/>
  <c r="H64" i="17"/>
  <c r="KM13" i="13"/>
  <c r="OE13" i="13"/>
  <c r="JV8" i="15"/>
  <c r="FO13" i="13"/>
  <c r="JG13" i="17"/>
  <c r="H96" i="17"/>
  <c r="IQ13" i="16"/>
  <c r="MY13" i="13"/>
  <c r="JW13" i="13"/>
  <c r="BG13" i="16"/>
  <c r="BW13" i="16"/>
  <c r="G109" i="15"/>
  <c r="G112" i="15" s="1"/>
  <c r="G113" i="15" s="1"/>
  <c r="F112" i="15"/>
  <c r="F113" i="15" s="1"/>
  <c r="EB17" i="15"/>
  <c r="GU13" i="16"/>
  <c r="GE13" i="16"/>
  <c r="FO13" i="16"/>
  <c r="KM13" i="16"/>
  <c r="MY13" i="16"/>
  <c r="H66" i="15"/>
  <c r="H95" i="17"/>
  <c r="H103" i="17"/>
  <c r="H64" i="15"/>
  <c r="H104" i="15"/>
  <c r="H68" i="17"/>
  <c r="I84" i="16"/>
  <c r="LC13" i="15"/>
  <c r="AK8" i="9"/>
  <c r="EI13" i="13"/>
  <c r="OE13" i="17"/>
  <c r="MI13" i="16"/>
  <c r="LS13" i="17"/>
  <c r="BW13" i="17"/>
  <c r="FO13" i="17"/>
  <c r="H66" i="17"/>
  <c r="LC7" i="13"/>
  <c r="EY13" i="16"/>
  <c r="I84" i="17"/>
  <c r="GE13" i="15"/>
  <c r="G110" i="16"/>
  <c r="G111" i="16" s="1"/>
  <c r="BZ85" i="9"/>
  <c r="BZ64" i="9"/>
  <c r="BZ95" i="9"/>
  <c r="BZ96" i="9"/>
  <c r="BZ93" i="9"/>
  <c r="BZ67" i="9"/>
  <c r="BZ103" i="9"/>
  <c r="BZ68" i="9"/>
  <c r="BZ88" i="9"/>
  <c r="BZ73" i="9"/>
  <c r="BZ104" i="9"/>
  <c r="BZ74" i="9"/>
  <c r="BZ86" i="9"/>
  <c r="BZ94" i="9"/>
  <c r="BZ75" i="9"/>
  <c r="BZ76" i="9"/>
  <c r="BZ84" i="9"/>
  <c r="BZ66" i="9"/>
  <c r="BZ65" i="9"/>
  <c r="BZ69" i="9"/>
  <c r="BZ102" i="9"/>
  <c r="G109" i="16"/>
  <c r="LB11" i="13"/>
  <c r="G110" i="17"/>
  <c r="G111" i="17" s="1"/>
  <c r="CM13" i="15"/>
  <c r="BL94" i="9"/>
  <c r="BL85" i="9"/>
  <c r="BL93" i="9"/>
  <c r="BL74" i="9"/>
  <c r="BL84" i="9"/>
  <c r="BL64" i="9"/>
  <c r="BL86" i="9"/>
  <c r="BL95" i="9"/>
  <c r="BL68" i="9"/>
  <c r="BL102" i="9"/>
  <c r="BL75" i="9"/>
  <c r="BL65" i="9"/>
  <c r="BL66" i="9"/>
  <c r="BL96" i="9"/>
  <c r="BL67" i="9"/>
  <c r="BL73" i="9"/>
  <c r="BL76" i="9"/>
  <c r="BL104" i="9"/>
  <c r="BL103" i="9"/>
  <c r="BL69" i="9"/>
  <c r="BL88" i="9"/>
  <c r="GE5" i="13"/>
  <c r="MI13" i="17"/>
  <c r="IQ5" i="13"/>
  <c r="H64" i="16"/>
  <c r="JG13" i="13"/>
  <c r="H74" i="17"/>
  <c r="H104" i="17"/>
  <c r="H64" i="13"/>
  <c r="F114" i="15"/>
  <c r="G111" i="15"/>
  <c r="IQ5" i="16"/>
  <c r="IR6" i="16" s="1"/>
  <c r="GN17" i="17"/>
  <c r="HK5" i="15"/>
  <c r="NH17" i="15"/>
  <c r="IA5" i="15"/>
  <c r="IA5" i="16"/>
  <c r="FO5" i="16"/>
  <c r="JG5" i="16"/>
  <c r="IQ5" i="17"/>
  <c r="H65" i="15"/>
  <c r="H75" i="17"/>
  <c r="H102" i="17"/>
  <c r="H65" i="17"/>
  <c r="H93" i="16"/>
  <c r="H102" i="16"/>
  <c r="H95" i="13"/>
  <c r="H103" i="13"/>
  <c r="DS5" i="15"/>
  <c r="JW5" i="16"/>
  <c r="GE5" i="17"/>
  <c r="LD5" i="13"/>
  <c r="NO13" i="13"/>
  <c r="FO5" i="13"/>
  <c r="H95" i="16"/>
  <c r="H85" i="13"/>
  <c r="H66" i="13"/>
  <c r="H93" i="13"/>
  <c r="HK5" i="13"/>
  <c r="BM5" i="9"/>
  <c r="BL6" i="9"/>
  <c r="BL9" i="9" s="1"/>
  <c r="H103" i="16"/>
  <c r="H85" i="16"/>
  <c r="H88" i="16"/>
  <c r="H102" i="13"/>
  <c r="H75" i="13"/>
  <c r="H94" i="13"/>
  <c r="GU5" i="13"/>
  <c r="JW5" i="13"/>
  <c r="KM5" i="13"/>
  <c r="KN6" i="13" s="1"/>
  <c r="EY5" i="15"/>
  <c r="IQ5" i="15"/>
  <c r="IR6" i="15" s="1"/>
  <c r="IZ17" i="15"/>
  <c r="AZ17" i="15"/>
  <c r="BW5" i="15"/>
  <c r="EY5" i="16"/>
  <c r="EZ6" i="16" s="1"/>
  <c r="H73" i="17"/>
  <c r="BW5" i="13"/>
  <c r="H67" i="16"/>
  <c r="H68" i="16"/>
  <c r="EY5" i="13"/>
  <c r="H69" i="13"/>
  <c r="H76" i="13"/>
  <c r="LD6" i="13"/>
  <c r="LS5" i="13"/>
  <c r="G109" i="17"/>
  <c r="GE5" i="15"/>
  <c r="GF6" i="15" s="1"/>
  <c r="FO5" i="15"/>
  <c r="GN17" i="15"/>
  <c r="JP17" i="15"/>
  <c r="HK5" i="16"/>
  <c r="JW5" i="17"/>
  <c r="HK5" i="17"/>
  <c r="JG5" i="17"/>
  <c r="H76" i="17"/>
  <c r="H67" i="17"/>
  <c r="H86" i="17"/>
  <c r="CM5" i="13"/>
  <c r="H69" i="16"/>
  <c r="H66" i="16"/>
  <c r="H75" i="16"/>
  <c r="H96" i="13"/>
  <c r="H73" i="13"/>
  <c r="NO7" i="13"/>
  <c r="NO8" i="13" s="1"/>
  <c r="NO5" i="13"/>
  <c r="JG5" i="13"/>
  <c r="MI5" i="13"/>
  <c r="MJ5" i="13" s="1"/>
  <c r="BW5" i="16"/>
  <c r="BX6" i="16" s="1"/>
  <c r="CM5" i="16"/>
  <c r="DS5" i="13"/>
  <c r="DT6" i="13" s="1"/>
  <c r="H86" i="16"/>
  <c r="H104" i="16"/>
  <c r="H67" i="13"/>
  <c r="H86" i="13"/>
  <c r="H104" i="13"/>
  <c r="MY5" i="13"/>
  <c r="BM8" i="9"/>
  <c r="LT9" i="13"/>
  <c r="LT6" i="13"/>
  <c r="IQ6" i="13"/>
  <c r="GU5" i="16"/>
  <c r="EI5" i="16"/>
  <c r="EJ6" i="16" s="1"/>
  <c r="GE5" i="16"/>
  <c r="EI5" i="17"/>
  <c r="EJ6" i="17" s="1"/>
  <c r="LB8" i="13"/>
  <c r="LC8" i="13" s="1"/>
  <c r="H110" i="15"/>
  <c r="H111" i="15" s="1"/>
  <c r="H93" i="17"/>
  <c r="H85" i="17"/>
  <c r="H94" i="17"/>
  <c r="OE5" i="13"/>
  <c r="OF6" i="13" s="1"/>
  <c r="MB17" i="13"/>
  <c r="H94" i="16"/>
  <c r="H76" i="16"/>
  <c r="H96" i="16"/>
  <c r="IA5" i="13"/>
  <c r="H74" i="13"/>
  <c r="EI5" i="13"/>
  <c r="NP6" i="13"/>
  <c r="NX17" i="13"/>
  <c r="KL8" i="15"/>
  <c r="DS5" i="16"/>
  <c r="DT6" i="16" s="1"/>
  <c r="DC5" i="17"/>
  <c r="IA5" i="17"/>
  <c r="H85" i="15"/>
  <c r="H69" i="17"/>
  <c r="H88" i="17"/>
  <c r="H73" i="16"/>
  <c r="H74" i="16"/>
  <c r="H65" i="16"/>
  <c r="DC5" i="13"/>
  <c r="H68" i="13"/>
  <c r="H65" i="13"/>
  <c r="H88" i="13"/>
  <c r="CA5" i="9"/>
  <c r="BZ6" i="9"/>
  <c r="BZ9" i="9" s="1"/>
  <c r="CA8" i="9"/>
  <c r="H93" i="15"/>
  <c r="H67" i="15"/>
  <c r="H95" i="15"/>
  <c r="H88" i="15"/>
  <c r="H103" i="15"/>
  <c r="H75" i="15"/>
  <c r="DC5" i="15"/>
  <c r="H68" i="15"/>
  <c r="H69" i="15"/>
  <c r="H96" i="15"/>
  <c r="H94" i="15"/>
  <c r="H102" i="15"/>
  <c r="H74" i="15"/>
  <c r="CM5" i="15"/>
  <c r="CN6" i="15" s="1"/>
  <c r="H86" i="15"/>
  <c r="H76" i="15"/>
  <c r="H73" i="15"/>
  <c r="EI5" i="15"/>
  <c r="EJ6" i="15" s="1"/>
  <c r="EX8" i="17"/>
  <c r="LB8" i="17"/>
  <c r="LR8" i="17"/>
  <c r="FO5" i="17"/>
  <c r="DS5" i="17"/>
  <c r="DT6" i="17" s="1"/>
  <c r="MX8" i="17"/>
  <c r="KM5" i="17"/>
  <c r="KN6" i="17" s="1"/>
  <c r="HZ11" i="17"/>
  <c r="IP8" i="17"/>
  <c r="CM5" i="17"/>
  <c r="CN6" i="17" s="1"/>
  <c r="HZ7" i="17"/>
  <c r="HZ8" i="17" s="1"/>
  <c r="DR8" i="17"/>
  <c r="LC13" i="17"/>
  <c r="LC7" i="17"/>
  <c r="KM13" i="17"/>
  <c r="KM7" i="17"/>
  <c r="MI7" i="17"/>
  <c r="KL7" i="17"/>
  <c r="KL8" i="17" s="1"/>
  <c r="LL17" i="17"/>
  <c r="MH13" i="17"/>
  <c r="MH7" i="17"/>
  <c r="MH8" i="17" s="1"/>
  <c r="CM6" i="17"/>
  <c r="CM7" i="17" s="1"/>
  <c r="CM8" i="17" s="1"/>
  <c r="KL11" i="17"/>
  <c r="EY5" i="17"/>
  <c r="EZ6" i="17" s="1"/>
  <c r="MI5" i="17"/>
  <c r="MJ6" i="17" s="1"/>
  <c r="NO13" i="17"/>
  <c r="LS5" i="17"/>
  <c r="LC5" i="17"/>
  <c r="MR17" i="17"/>
  <c r="MY5" i="17"/>
  <c r="MZ6" i="17" s="1"/>
  <c r="BW5" i="17"/>
  <c r="BX6" i="17" s="1"/>
  <c r="NO7" i="17"/>
  <c r="NO8" i="17" s="1"/>
  <c r="MY6" i="17"/>
  <c r="MY11" i="17" s="1"/>
  <c r="GU5" i="17"/>
  <c r="GV6" i="17" s="1"/>
  <c r="MB17" i="17"/>
  <c r="LS7" i="17"/>
  <c r="NO5" i="17"/>
  <c r="NP6" i="17" s="1"/>
  <c r="NP13" i="17" s="1"/>
  <c r="MI5" i="16"/>
  <c r="MJ6" i="16" s="1"/>
  <c r="MY5" i="16"/>
  <c r="MZ6" i="16" s="1"/>
  <c r="LR8" i="16"/>
  <c r="MX8" i="16"/>
  <c r="LB8" i="16"/>
  <c r="KL7" i="16"/>
  <c r="KL8" i="16" s="1"/>
  <c r="KL11" i="16"/>
  <c r="LS13" i="16"/>
  <c r="LS7" i="16"/>
  <c r="OE5" i="16"/>
  <c r="OF6" i="16" s="1"/>
  <c r="GN17" i="16"/>
  <c r="LC13" i="16"/>
  <c r="LC7" i="16"/>
  <c r="BF11" i="16"/>
  <c r="BF13" i="16"/>
  <c r="OD13" i="16"/>
  <c r="OD7" i="16"/>
  <c r="OD8" i="16" s="1"/>
  <c r="KM5" i="16"/>
  <c r="HZ8" i="16"/>
  <c r="NO5" i="16"/>
  <c r="NP6" i="16" s="1"/>
  <c r="NO13" i="16"/>
  <c r="NX17" i="16"/>
  <c r="NO7" i="16"/>
  <c r="NO8" i="16" s="1"/>
  <c r="OE6" i="16"/>
  <c r="OE13" i="16" s="1"/>
  <c r="DC5" i="16"/>
  <c r="DD6" i="16" s="1"/>
  <c r="KV17" i="16"/>
  <c r="LC5" i="16"/>
  <c r="LD6" i="16" s="1"/>
  <c r="OD11" i="16"/>
  <c r="MH8" i="16"/>
  <c r="MB17" i="16"/>
  <c r="LS5" i="16"/>
  <c r="LT6" i="16" s="1"/>
  <c r="OD7" i="15"/>
  <c r="OD8" i="15" s="1"/>
  <c r="NN8" i="15"/>
  <c r="MX8" i="15"/>
  <c r="EH8" i="15"/>
  <c r="MH8" i="15"/>
  <c r="CL8" i="15"/>
  <c r="OD11" i="15"/>
  <c r="LR8" i="15"/>
  <c r="JG5" i="15"/>
  <c r="JH6" i="15" s="1"/>
  <c r="LS5" i="15"/>
  <c r="LT6" i="15" s="1"/>
  <c r="NO5" i="15"/>
  <c r="NP6" i="15" s="1"/>
  <c r="NO6" i="15"/>
  <c r="LB11" i="15"/>
  <c r="LB7" i="15"/>
  <c r="LB8" i="15" s="1"/>
  <c r="OE5" i="15"/>
  <c r="GU5" i="15"/>
  <c r="LL17" i="15"/>
  <c r="MR17" i="15"/>
  <c r="MY5" i="15"/>
  <c r="LC5" i="15"/>
  <c r="MI5" i="15"/>
  <c r="OE6" i="15"/>
  <c r="OE13" i="15" s="1"/>
  <c r="KM5" i="15"/>
  <c r="LS6" i="15"/>
  <c r="LS13" i="15" s="1"/>
  <c r="MI6" i="15"/>
  <c r="MI7" i="15" s="1"/>
  <c r="JW5" i="15"/>
  <c r="JX6" i="15" s="1"/>
  <c r="IP8" i="15"/>
  <c r="HZ8" i="15"/>
  <c r="JW7" i="16"/>
  <c r="JW13" i="16"/>
  <c r="JF8" i="16"/>
  <c r="IP11" i="16"/>
  <c r="IP13" i="16"/>
  <c r="HK7" i="16"/>
  <c r="HK13" i="16"/>
  <c r="GT7" i="16"/>
  <c r="GT8" i="16" s="1"/>
  <c r="GT13" i="16"/>
  <c r="DR11" i="16"/>
  <c r="DR13" i="16"/>
  <c r="OD13" i="17"/>
  <c r="OD7" i="17"/>
  <c r="OD8" i="17" s="1"/>
  <c r="OE7" i="17"/>
  <c r="OE5" i="17"/>
  <c r="JV11" i="17"/>
  <c r="JV13" i="17"/>
  <c r="JF11" i="17"/>
  <c r="JF13" i="17"/>
  <c r="IA7" i="17"/>
  <c r="IA13" i="17"/>
  <c r="HK7" i="17"/>
  <c r="HK8" i="17" s="1"/>
  <c r="HK13" i="17"/>
  <c r="FN7" i="17"/>
  <c r="FN8" i="17" s="1"/>
  <c r="FN13" i="17"/>
  <c r="DC7" i="17"/>
  <c r="DC13" i="17"/>
  <c r="BV11" i="17"/>
  <c r="BV13" i="17"/>
  <c r="CV17" i="17"/>
  <c r="MY7" i="15"/>
  <c r="CF17" i="15"/>
  <c r="KM7" i="15"/>
  <c r="KM8" i="15" s="1"/>
  <c r="KM13" i="15"/>
  <c r="IB6" i="15"/>
  <c r="IQ7" i="15"/>
  <c r="IQ13" i="15"/>
  <c r="FO7" i="15"/>
  <c r="FO13" i="15"/>
  <c r="GU7" i="15"/>
  <c r="GU13" i="15"/>
  <c r="EX8" i="15"/>
  <c r="DT6" i="15"/>
  <c r="IA6" i="15"/>
  <c r="DS6" i="15"/>
  <c r="ER17" i="16"/>
  <c r="DS6" i="16"/>
  <c r="FP6" i="16"/>
  <c r="CN6" i="16"/>
  <c r="GT11" i="16"/>
  <c r="FN11" i="17"/>
  <c r="GF6" i="17"/>
  <c r="GF13" i="17" s="1"/>
  <c r="FO7" i="17"/>
  <c r="EI6" i="17"/>
  <c r="EY6" i="17"/>
  <c r="EY7" i="17" s="1"/>
  <c r="DS7" i="13"/>
  <c r="DS8" i="13" s="1"/>
  <c r="DS13" i="13"/>
  <c r="CM7" i="13"/>
  <c r="CM13" i="13"/>
  <c r="IA7" i="13"/>
  <c r="IA8" i="13" s="1"/>
  <c r="IA13" i="13"/>
  <c r="LS7" i="13"/>
  <c r="LS8" i="13" s="1"/>
  <c r="LS13" i="13"/>
  <c r="DC7" i="13"/>
  <c r="DC8" i="13" s="1"/>
  <c r="DC13" i="13"/>
  <c r="IQ7" i="13"/>
  <c r="IQ13" i="13"/>
  <c r="HK7" i="13"/>
  <c r="HK8" i="13" s="1"/>
  <c r="HK13" i="13"/>
  <c r="EY7" i="13"/>
  <c r="EY8" i="13" s="1"/>
  <c r="EY13" i="13"/>
  <c r="GU7" i="13"/>
  <c r="GU8" i="13" s="1"/>
  <c r="GU13" i="13"/>
  <c r="LD7" i="13"/>
  <c r="LD13" i="13"/>
  <c r="BW7" i="13"/>
  <c r="BW8" i="13" s="1"/>
  <c r="BW13" i="13"/>
  <c r="G112" i="13"/>
  <c r="G113" i="13" s="1"/>
  <c r="F114" i="13"/>
  <c r="G111" i="13"/>
  <c r="BF11" i="13"/>
  <c r="H109" i="13" s="1"/>
  <c r="BF13" i="13"/>
  <c r="H110" i="13" s="1"/>
  <c r="BV8" i="15"/>
  <c r="FN8" i="15"/>
  <c r="DR8" i="15"/>
  <c r="GT8" i="15"/>
  <c r="BF8" i="15"/>
  <c r="HJ8" i="15"/>
  <c r="DB8" i="15"/>
  <c r="GT8" i="17"/>
  <c r="EH8" i="16"/>
  <c r="GD8" i="17"/>
  <c r="OE11" i="17"/>
  <c r="OF9" i="17"/>
  <c r="OF4" i="17"/>
  <c r="BH9" i="17"/>
  <c r="BH4" i="17"/>
  <c r="BG11" i="17"/>
  <c r="JW7" i="17"/>
  <c r="BW11" i="17"/>
  <c r="BX9" i="17"/>
  <c r="BX4" i="17"/>
  <c r="JW11" i="17"/>
  <c r="JX4" i="17"/>
  <c r="JX9" i="17"/>
  <c r="JP17" i="17"/>
  <c r="FO11" i="17"/>
  <c r="FP4" i="17"/>
  <c r="FP9" i="17"/>
  <c r="FH17" i="17"/>
  <c r="JV7" i="17"/>
  <c r="JV8" i="17" s="1"/>
  <c r="EJ4" i="17"/>
  <c r="EJ9" i="17"/>
  <c r="EB17" i="17"/>
  <c r="CN4" i="17"/>
  <c r="CN9" i="17"/>
  <c r="CF17" i="17"/>
  <c r="BG7" i="17"/>
  <c r="MZ4" i="17"/>
  <c r="MZ9" i="17"/>
  <c r="BG5" i="17"/>
  <c r="HK11" i="17"/>
  <c r="HL4" i="17"/>
  <c r="HL9" i="17"/>
  <c r="HD17" i="17"/>
  <c r="GU6" i="17"/>
  <c r="GU13" i="17" s="1"/>
  <c r="EH7" i="17"/>
  <c r="EH8" i="17" s="1"/>
  <c r="LC11" i="17"/>
  <c r="LD4" i="17"/>
  <c r="LD9" i="17"/>
  <c r="KV17" i="17"/>
  <c r="BF11" i="17"/>
  <c r="IQ11" i="17"/>
  <c r="IR4" i="17"/>
  <c r="IR9" i="17"/>
  <c r="IJ17" i="17"/>
  <c r="GF4" i="17"/>
  <c r="GF9" i="17"/>
  <c r="FX17" i="17"/>
  <c r="MI11" i="17"/>
  <c r="MJ4" i="17"/>
  <c r="MJ9" i="17"/>
  <c r="EH11" i="17"/>
  <c r="IA11" i="17"/>
  <c r="IB4" i="17"/>
  <c r="IB9" i="17"/>
  <c r="HT17" i="17"/>
  <c r="DT9" i="17"/>
  <c r="DT4" i="17"/>
  <c r="NO11" i="17"/>
  <c r="NP4" i="17"/>
  <c r="NP9" i="17"/>
  <c r="NH17" i="17"/>
  <c r="JG7" i="17"/>
  <c r="JF7" i="17"/>
  <c r="JF8" i="17" s="1"/>
  <c r="KM11" i="17"/>
  <c r="KN9" i="17"/>
  <c r="KN4" i="17"/>
  <c r="KF17" i="17"/>
  <c r="DC11" i="17"/>
  <c r="DD4" i="17"/>
  <c r="DD9" i="17"/>
  <c r="DD6" i="17"/>
  <c r="BF7" i="17"/>
  <c r="BF8" i="17" s="1"/>
  <c r="DS6" i="17"/>
  <c r="DS13" i="17" s="1"/>
  <c r="EZ9" i="17"/>
  <c r="EZ4" i="17"/>
  <c r="ER17" i="17"/>
  <c r="GV9" i="17"/>
  <c r="GV4" i="17"/>
  <c r="GE6" i="17"/>
  <c r="GE13" i="17" s="1"/>
  <c r="JG11" i="17"/>
  <c r="JH6" i="17"/>
  <c r="JH9" i="17"/>
  <c r="JH4" i="17"/>
  <c r="IZ17" i="17"/>
  <c r="IR6" i="17"/>
  <c r="DB8" i="17"/>
  <c r="BP17" i="17"/>
  <c r="BW7" i="17"/>
  <c r="BV7" i="17"/>
  <c r="BV8" i="17" s="1"/>
  <c r="NX17" i="17"/>
  <c r="IQ7" i="17"/>
  <c r="LS11" i="17"/>
  <c r="LT9" i="17"/>
  <c r="LT4" i="17"/>
  <c r="AZ17" i="17"/>
  <c r="DL17" i="17"/>
  <c r="JH9" i="16"/>
  <c r="JH4" i="16"/>
  <c r="BW11" i="16"/>
  <c r="BX9" i="16"/>
  <c r="BX4" i="16"/>
  <c r="BP17" i="16"/>
  <c r="KN9" i="16"/>
  <c r="KN4" i="16"/>
  <c r="KM11" i="16"/>
  <c r="KF17" i="16"/>
  <c r="HL9" i="16"/>
  <c r="HK11" i="16"/>
  <c r="HL4" i="16"/>
  <c r="HD17" i="16"/>
  <c r="GE7" i="16"/>
  <c r="GD7" i="16"/>
  <c r="GD8" i="16" s="1"/>
  <c r="CL8" i="16"/>
  <c r="DT9" i="16"/>
  <c r="DT4" i="16"/>
  <c r="DL17" i="16"/>
  <c r="GE11" i="16"/>
  <c r="GF4" i="16"/>
  <c r="GF9" i="16"/>
  <c r="FX17" i="16"/>
  <c r="DD9" i="16"/>
  <c r="DD4" i="16"/>
  <c r="CV17" i="16"/>
  <c r="MJ9" i="16"/>
  <c r="MI11" i="16"/>
  <c r="MJ4" i="16"/>
  <c r="LS11" i="16"/>
  <c r="LT9" i="16"/>
  <c r="LT4" i="16"/>
  <c r="MY11" i="16"/>
  <c r="MZ9" i="16"/>
  <c r="MZ4" i="16"/>
  <c r="MR17" i="16"/>
  <c r="FO7" i="16"/>
  <c r="IB9" i="16"/>
  <c r="IB4" i="16"/>
  <c r="HT17" i="16"/>
  <c r="FN11" i="16"/>
  <c r="DC6" i="16"/>
  <c r="JP17" i="16"/>
  <c r="OF9" i="16"/>
  <c r="OF4" i="16"/>
  <c r="LC11" i="16"/>
  <c r="LD9" i="16"/>
  <c r="LD4" i="16"/>
  <c r="BG11" i="16"/>
  <c r="BH9" i="16"/>
  <c r="BH4" i="16"/>
  <c r="EJ9" i="16"/>
  <c r="EJ4" i="16"/>
  <c r="EB17" i="16"/>
  <c r="CN9" i="16"/>
  <c r="CN4" i="16"/>
  <c r="JX6" i="16"/>
  <c r="JX9" i="16"/>
  <c r="JW11" i="16"/>
  <c r="JX4" i="16"/>
  <c r="BW7" i="16"/>
  <c r="BV7" i="16"/>
  <c r="BV8" i="16" s="1"/>
  <c r="GU7" i="16"/>
  <c r="EY7" i="16"/>
  <c r="NO11" i="16"/>
  <c r="NP9" i="16"/>
  <c r="NP4" i="16"/>
  <c r="NH17" i="16"/>
  <c r="LL17" i="16"/>
  <c r="IQ11" i="16"/>
  <c r="IR9" i="16"/>
  <c r="IR4" i="16"/>
  <c r="IJ17" i="16"/>
  <c r="JV8" i="16"/>
  <c r="EI6" i="16"/>
  <c r="EI13" i="16" s="1"/>
  <c r="JG6" i="16"/>
  <c r="MI7" i="16"/>
  <c r="MI8" i="16" s="1"/>
  <c r="CM6" i="16"/>
  <c r="KM7" i="16"/>
  <c r="KM8" i="16" s="1"/>
  <c r="IQ7" i="16"/>
  <c r="IP7" i="16"/>
  <c r="IP8" i="16" s="1"/>
  <c r="AZ17" i="16"/>
  <c r="EZ9" i="16"/>
  <c r="EY11" i="16"/>
  <c r="EZ4" i="16"/>
  <c r="MY7" i="16"/>
  <c r="BG7" i="16"/>
  <c r="BF7" i="16"/>
  <c r="BF8" i="16" s="1"/>
  <c r="GD11" i="16"/>
  <c r="FN7" i="16"/>
  <c r="FN8" i="16" s="1"/>
  <c r="CF17" i="16"/>
  <c r="IA6" i="16"/>
  <c r="IA13" i="16" s="1"/>
  <c r="GV9" i="16"/>
  <c r="GU11" i="16"/>
  <c r="GV6" i="16"/>
  <c r="GV4" i="16"/>
  <c r="FP9" i="16"/>
  <c r="FO11" i="16"/>
  <c r="FP4" i="16"/>
  <c r="FH17" i="16"/>
  <c r="IZ17" i="16"/>
  <c r="BG5" i="16"/>
  <c r="BH6" i="16" s="1"/>
  <c r="DR7" i="16"/>
  <c r="DR8" i="16" s="1"/>
  <c r="EX8" i="16"/>
  <c r="HJ8" i="16"/>
  <c r="LC11" i="15"/>
  <c r="LD9" i="15"/>
  <c r="LD4" i="15"/>
  <c r="KV17" i="15"/>
  <c r="DC11" i="15"/>
  <c r="DD9" i="15"/>
  <c r="DD4" i="15"/>
  <c r="CV17" i="15"/>
  <c r="HL6" i="15"/>
  <c r="EI6" i="15"/>
  <c r="IQ11" i="15"/>
  <c r="IR9" i="15"/>
  <c r="IR4" i="15"/>
  <c r="IJ17" i="15"/>
  <c r="JG7" i="15"/>
  <c r="JF7" i="15"/>
  <c r="JF8" i="15" s="1"/>
  <c r="GE7" i="15"/>
  <c r="GD7" i="15"/>
  <c r="GD8" i="15" s="1"/>
  <c r="BX9" i="15"/>
  <c r="BX4" i="15"/>
  <c r="BP17" i="15"/>
  <c r="CM7" i="15"/>
  <c r="DT9" i="15"/>
  <c r="DT4" i="15"/>
  <c r="DL17" i="15"/>
  <c r="NP9" i="15"/>
  <c r="NP4" i="15"/>
  <c r="GD11" i="15"/>
  <c r="BH9" i="15"/>
  <c r="BG11" i="15"/>
  <c r="BH4" i="15"/>
  <c r="CM11" i="15"/>
  <c r="CN9" i="15"/>
  <c r="CN4" i="15"/>
  <c r="EJ9" i="15"/>
  <c r="EJ4" i="15"/>
  <c r="KM11" i="15"/>
  <c r="KN9" i="15"/>
  <c r="KN4" i="15"/>
  <c r="KF17" i="15"/>
  <c r="OF9" i="15"/>
  <c r="OF4" i="15"/>
  <c r="NX17" i="15"/>
  <c r="IB9" i="15"/>
  <c r="IB4" i="15"/>
  <c r="HT17" i="15"/>
  <c r="BG7" i="15"/>
  <c r="BG5" i="15"/>
  <c r="BH6" i="15" s="1"/>
  <c r="JG11" i="15"/>
  <c r="JH9" i="15"/>
  <c r="JH4" i="15"/>
  <c r="EY6" i="15"/>
  <c r="EY13" i="15" s="1"/>
  <c r="HK7" i="15"/>
  <c r="LC7" i="15"/>
  <c r="GE11" i="15"/>
  <c r="GF9" i="15"/>
  <c r="GF4" i="15"/>
  <c r="FX17" i="15"/>
  <c r="HK11" i="15"/>
  <c r="HL9" i="15"/>
  <c r="HL4" i="15"/>
  <c r="HD17" i="15"/>
  <c r="JW6" i="15"/>
  <c r="JW13" i="15" s="1"/>
  <c r="MY11" i="15"/>
  <c r="MZ9" i="15"/>
  <c r="MZ4" i="15"/>
  <c r="DC7" i="15"/>
  <c r="MJ9" i="15"/>
  <c r="MJ4" i="15"/>
  <c r="MB17" i="15"/>
  <c r="EZ9" i="15"/>
  <c r="EZ6" i="15"/>
  <c r="EZ13" i="15" s="1"/>
  <c r="EZ4" i="15"/>
  <c r="ER17" i="15"/>
  <c r="JF11" i="15"/>
  <c r="LT9" i="15"/>
  <c r="LT4" i="15"/>
  <c r="FO11" i="15"/>
  <c r="FP9" i="15"/>
  <c r="FP4" i="15"/>
  <c r="FP6" i="15"/>
  <c r="FH17" i="15"/>
  <c r="BW6" i="15"/>
  <c r="GU11" i="15"/>
  <c r="GV9" i="15"/>
  <c r="GV4" i="15"/>
  <c r="JX9" i="15"/>
  <c r="JX4" i="15"/>
  <c r="IR6" i="13"/>
  <c r="BF7" i="13"/>
  <c r="BF8" i="13" s="1"/>
  <c r="HL6" i="13"/>
  <c r="IB6" i="13"/>
  <c r="BG6" i="13"/>
  <c r="BX6" i="13"/>
  <c r="EZ6" i="13"/>
  <c r="DL17" i="13"/>
  <c r="DT4" i="13"/>
  <c r="LS11" i="13"/>
  <c r="DT9" i="13"/>
  <c r="DD6" i="13"/>
  <c r="FP6" i="13"/>
  <c r="CN6" i="13"/>
  <c r="GF6" i="13"/>
  <c r="GV6" i="13"/>
  <c r="LL17" i="13"/>
  <c r="EJ6" i="13"/>
  <c r="LT4" i="13"/>
  <c r="JX6" i="13"/>
  <c r="JH6" i="13"/>
  <c r="BG5" i="13"/>
  <c r="JP17" i="13"/>
  <c r="IA11" i="13"/>
  <c r="IZ17" i="13"/>
  <c r="BW11" i="13"/>
  <c r="FO11" i="13"/>
  <c r="DC11" i="13"/>
  <c r="IQ8" i="13"/>
  <c r="JW11" i="13"/>
  <c r="JX9" i="13"/>
  <c r="JX4" i="13"/>
  <c r="JW7" i="13"/>
  <c r="JW8" i="13" s="1"/>
  <c r="JG11" i="13"/>
  <c r="JH4" i="13"/>
  <c r="JH9" i="13"/>
  <c r="JG7" i="13"/>
  <c r="JG8" i="13" s="1"/>
  <c r="IJ17" i="13"/>
  <c r="IQ11" i="13"/>
  <c r="CM11" i="13"/>
  <c r="EI11" i="13"/>
  <c r="HK11" i="13"/>
  <c r="EY11" i="13"/>
  <c r="GE11" i="13"/>
  <c r="GU11" i="13"/>
  <c r="DS11" i="13"/>
  <c r="FX17" i="13"/>
  <c r="FH17" i="13"/>
  <c r="CF17" i="13"/>
  <c r="ER17" i="13"/>
  <c r="DD4" i="13"/>
  <c r="DD9" i="13"/>
  <c r="CV17" i="13"/>
  <c r="NP9" i="13"/>
  <c r="NO11" i="13"/>
  <c r="NP4" i="13"/>
  <c r="NH17" i="13"/>
  <c r="LD11" i="13"/>
  <c r="KN4" i="13"/>
  <c r="KN9" i="13"/>
  <c r="KM11" i="13"/>
  <c r="MI11" i="13"/>
  <c r="GV4" i="13"/>
  <c r="GV9" i="13"/>
  <c r="GN17" i="13"/>
  <c r="IR4" i="13"/>
  <c r="IR9" i="13"/>
  <c r="EJ9" i="13"/>
  <c r="EJ4" i="13"/>
  <c r="BX9" i="13"/>
  <c r="BX4" i="13"/>
  <c r="BP17" i="13"/>
  <c r="OF4" i="13"/>
  <c r="OE11" i="13"/>
  <c r="OF9" i="13"/>
  <c r="KF17" i="13"/>
  <c r="MY7" i="13"/>
  <c r="MY8" i="13" s="1"/>
  <c r="EI7" i="13"/>
  <c r="EI8" i="13" s="1"/>
  <c r="IB9" i="13"/>
  <c r="IB4" i="13"/>
  <c r="HT17" i="13"/>
  <c r="CM8" i="13"/>
  <c r="FP9" i="13"/>
  <c r="FP4" i="13"/>
  <c r="OE7" i="13"/>
  <c r="OE8" i="13" s="1"/>
  <c r="GF4" i="13"/>
  <c r="GF9" i="13"/>
  <c r="EZ4" i="13"/>
  <c r="EZ9" i="13"/>
  <c r="MZ4" i="13"/>
  <c r="MZ9" i="13"/>
  <c r="MY11" i="13"/>
  <c r="MR17" i="13"/>
  <c r="HL9" i="13"/>
  <c r="HL4" i="13"/>
  <c r="HD17" i="13"/>
  <c r="GE7" i="13"/>
  <c r="GE8" i="13" s="1"/>
  <c r="CN9" i="13"/>
  <c r="CN4" i="13"/>
  <c r="FO7" i="13"/>
  <c r="FO8" i="13" s="1"/>
  <c r="EB17" i="13"/>
  <c r="MI7" i="13"/>
  <c r="MI8" i="13" s="1"/>
  <c r="KM7" i="13"/>
  <c r="KM8" i="13" s="1"/>
  <c r="G112" i="17" l="1"/>
  <c r="G113" i="17" s="1"/>
  <c r="H110" i="17"/>
  <c r="G114" i="17" s="1"/>
  <c r="BX104" i="13"/>
  <c r="BX88" i="13"/>
  <c r="BX69" i="13"/>
  <c r="J69" i="13" s="1"/>
  <c r="BX102" i="13"/>
  <c r="BX67" i="13"/>
  <c r="BX103" i="13"/>
  <c r="BX86" i="13"/>
  <c r="BX68" i="13"/>
  <c r="BX96" i="13"/>
  <c r="BX84" i="13"/>
  <c r="BX66" i="13"/>
  <c r="BX95" i="13"/>
  <c r="BX76" i="13"/>
  <c r="BX65" i="13"/>
  <c r="BX94" i="13"/>
  <c r="BX75" i="13"/>
  <c r="BX64" i="13"/>
  <c r="BX93" i="13"/>
  <c r="BX74" i="13"/>
  <c r="BX85" i="13"/>
  <c r="BX73" i="13"/>
  <c r="DD13" i="16"/>
  <c r="MJ13" i="16"/>
  <c r="MZ13" i="17"/>
  <c r="DT13" i="17"/>
  <c r="EJ13" i="16"/>
  <c r="EJ13" i="15"/>
  <c r="J84" i="15"/>
  <c r="I96" i="17"/>
  <c r="I86" i="17"/>
  <c r="J84" i="16"/>
  <c r="I84" i="15"/>
  <c r="F114" i="17"/>
  <c r="F114" i="16"/>
  <c r="G112" i="16"/>
  <c r="G113" i="16" s="1"/>
  <c r="BX13" i="16"/>
  <c r="BX7" i="16"/>
  <c r="JX13" i="15"/>
  <c r="I104" i="13"/>
  <c r="I69" i="13"/>
  <c r="CA102" i="9"/>
  <c r="CA64" i="9"/>
  <c r="CA66" i="9"/>
  <c r="CA103" i="9"/>
  <c r="CA95" i="9"/>
  <c r="CA84" i="9"/>
  <c r="CA67" i="9"/>
  <c r="CA85" i="9"/>
  <c r="CA69" i="9"/>
  <c r="CA96" i="9"/>
  <c r="CA76" i="9"/>
  <c r="CA73" i="9"/>
  <c r="CA93" i="9"/>
  <c r="CA88" i="9"/>
  <c r="CA104" i="9"/>
  <c r="CA86" i="9"/>
  <c r="CA94" i="9"/>
  <c r="CA68" i="9"/>
  <c r="CA74" i="9"/>
  <c r="CA75" i="9"/>
  <c r="CA65" i="9"/>
  <c r="LT13" i="16"/>
  <c r="I96" i="13"/>
  <c r="I66" i="13"/>
  <c r="NP13" i="13"/>
  <c r="I95" i="13"/>
  <c r="I86" i="13"/>
  <c r="I65" i="13"/>
  <c r="IR5" i="13"/>
  <c r="I76" i="13"/>
  <c r="I93" i="13"/>
  <c r="LD8" i="13"/>
  <c r="I94" i="13"/>
  <c r="I104" i="17"/>
  <c r="I85" i="13"/>
  <c r="MJ6" i="13"/>
  <c r="I68" i="13"/>
  <c r="I74" i="13"/>
  <c r="BM103" i="9"/>
  <c r="BM86" i="9"/>
  <c r="BM93" i="9"/>
  <c r="BM75" i="9"/>
  <c r="BM74" i="9"/>
  <c r="BM104" i="9"/>
  <c r="BM84" i="9"/>
  <c r="BM85" i="9"/>
  <c r="BM76" i="9"/>
  <c r="BM69" i="9"/>
  <c r="BM66" i="9"/>
  <c r="BM67" i="9"/>
  <c r="BM102" i="9"/>
  <c r="BM68" i="9"/>
  <c r="BM73" i="9"/>
  <c r="BM65" i="9"/>
  <c r="BM94" i="9"/>
  <c r="BM88" i="9"/>
  <c r="BM64" i="9"/>
  <c r="BM96" i="9"/>
  <c r="BM95" i="9"/>
  <c r="I75" i="13"/>
  <c r="CN13" i="16"/>
  <c r="GV13" i="17"/>
  <c r="I75" i="17"/>
  <c r="H109" i="15"/>
  <c r="H112" i="15" s="1"/>
  <c r="H113" i="15" s="1"/>
  <c r="NP13" i="16"/>
  <c r="I73" i="17"/>
  <c r="I65" i="17"/>
  <c r="I88" i="13"/>
  <c r="IB13" i="15"/>
  <c r="EZ13" i="17"/>
  <c r="J84" i="17"/>
  <c r="DT13" i="15"/>
  <c r="KM8" i="17"/>
  <c r="I69" i="17"/>
  <c r="I103" i="13"/>
  <c r="NP13" i="15"/>
  <c r="OF13" i="16"/>
  <c r="MZ13" i="16"/>
  <c r="KN13" i="17"/>
  <c r="I76" i="15"/>
  <c r="I68" i="17"/>
  <c r="I102" i="13"/>
  <c r="I67" i="13"/>
  <c r="I73" i="13"/>
  <c r="I64" i="13"/>
  <c r="G114" i="15"/>
  <c r="DT5" i="15"/>
  <c r="BN8" i="9"/>
  <c r="MZ5" i="16"/>
  <c r="HL5" i="16"/>
  <c r="HL5" i="15"/>
  <c r="IB5" i="15"/>
  <c r="IR5" i="16"/>
  <c r="EJ5" i="17"/>
  <c r="H110" i="16"/>
  <c r="I85" i="15"/>
  <c r="I85" i="17"/>
  <c r="I102" i="17"/>
  <c r="BX5" i="13"/>
  <c r="GF5" i="13"/>
  <c r="HL5" i="13"/>
  <c r="IR5" i="15"/>
  <c r="CN5" i="16"/>
  <c r="JH5" i="17"/>
  <c r="JX5" i="17"/>
  <c r="H109" i="16"/>
  <c r="I94" i="17"/>
  <c r="IB5" i="13"/>
  <c r="I73" i="16"/>
  <c r="I64" i="16"/>
  <c r="I93" i="16"/>
  <c r="MZ5" i="13"/>
  <c r="DT5" i="13"/>
  <c r="GV5" i="13"/>
  <c r="BX5" i="15"/>
  <c r="EZ5" i="16"/>
  <c r="IB5" i="16"/>
  <c r="JH5" i="16"/>
  <c r="IR5" i="17"/>
  <c r="I93" i="17"/>
  <c r="I103" i="16"/>
  <c r="I86" i="16"/>
  <c r="I69" i="16"/>
  <c r="FP5" i="13"/>
  <c r="I64" i="17"/>
  <c r="I66" i="16"/>
  <c r="I74" i="16"/>
  <c r="JH5" i="13"/>
  <c r="NP7" i="13"/>
  <c r="NP8" i="13" s="1"/>
  <c r="EZ5" i="15"/>
  <c r="EJ5" i="16"/>
  <c r="MJ5" i="16"/>
  <c r="I66" i="17"/>
  <c r="I76" i="17"/>
  <c r="DD5" i="13"/>
  <c r="I94" i="16"/>
  <c r="I88" i="16"/>
  <c r="I104" i="16"/>
  <c r="NP5" i="13"/>
  <c r="LT5" i="13"/>
  <c r="EZ5" i="13"/>
  <c r="KN5" i="13"/>
  <c r="GF5" i="15"/>
  <c r="FP5" i="16"/>
  <c r="GF5" i="16"/>
  <c r="H109" i="17"/>
  <c r="FP5" i="15"/>
  <c r="JX5" i="16"/>
  <c r="HL5" i="17"/>
  <c r="I93" i="15"/>
  <c r="I95" i="17"/>
  <c r="I103" i="17"/>
  <c r="EJ5" i="13"/>
  <c r="I67" i="16"/>
  <c r="I95" i="16"/>
  <c r="I102" i="16"/>
  <c r="JX5" i="13"/>
  <c r="MZ6" i="13"/>
  <c r="OF5" i="13"/>
  <c r="I96" i="16"/>
  <c r="I65" i="16"/>
  <c r="I75" i="16"/>
  <c r="CN5" i="13"/>
  <c r="BN5" i="9"/>
  <c r="BM6" i="9"/>
  <c r="BM9" i="9" s="1"/>
  <c r="AL8" i="9"/>
  <c r="GV5" i="16"/>
  <c r="DT5" i="16"/>
  <c r="BX5" i="16"/>
  <c r="DD5" i="17"/>
  <c r="IB5" i="17"/>
  <c r="GF5" i="17"/>
  <c r="I68" i="15"/>
  <c r="I74" i="17"/>
  <c r="I88" i="17"/>
  <c r="I67" i="17"/>
  <c r="I76" i="16"/>
  <c r="I85" i="16"/>
  <c r="I68" i="16"/>
  <c r="H111" i="17"/>
  <c r="CB8" i="9"/>
  <c r="J74" i="17"/>
  <c r="CB5" i="9"/>
  <c r="CA6" i="9"/>
  <c r="CA9" i="9" s="1"/>
  <c r="I65" i="15"/>
  <c r="I94" i="15"/>
  <c r="I96" i="15"/>
  <c r="I95" i="15"/>
  <c r="I73" i="15"/>
  <c r="DD5" i="15"/>
  <c r="I86" i="15"/>
  <c r="I69" i="15"/>
  <c r="I66" i="15"/>
  <c r="I102" i="15"/>
  <c r="I103" i="15"/>
  <c r="CN5" i="15"/>
  <c r="I88" i="15"/>
  <c r="I75" i="15"/>
  <c r="I67" i="15"/>
  <c r="I104" i="15"/>
  <c r="I64" i="15"/>
  <c r="I74" i="15"/>
  <c r="EJ5" i="15"/>
  <c r="LS8" i="17"/>
  <c r="FP5" i="17"/>
  <c r="LC8" i="17"/>
  <c r="EY8" i="17"/>
  <c r="KN5" i="17"/>
  <c r="MI8" i="17"/>
  <c r="IQ8" i="17"/>
  <c r="DT5" i="17"/>
  <c r="CN5" i="17"/>
  <c r="OE8" i="17"/>
  <c r="MZ7" i="17"/>
  <c r="CM11" i="17"/>
  <c r="DC8" i="17"/>
  <c r="CM13" i="17"/>
  <c r="FO8" i="17"/>
  <c r="MJ13" i="17"/>
  <c r="MJ7" i="17"/>
  <c r="IA8" i="17"/>
  <c r="OF5" i="17"/>
  <c r="LD5" i="17"/>
  <c r="MZ5" i="17"/>
  <c r="MJ5" i="17"/>
  <c r="EZ5" i="17"/>
  <c r="GV5" i="17"/>
  <c r="LT5" i="17"/>
  <c r="LT6" i="17"/>
  <c r="MY13" i="17"/>
  <c r="MY7" i="17"/>
  <c r="MY8" i="17" s="1"/>
  <c r="LD6" i="17"/>
  <c r="LD11" i="17" s="1"/>
  <c r="KN7" i="17"/>
  <c r="KN8" i="17" s="1"/>
  <c r="NP5" i="17"/>
  <c r="NP7" i="17"/>
  <c r="NP8" i="17" s="1"/>
  <c r="BX5" i="17"/>
  <c r="LC8" i="16"/>
  <c r="LS8" i="16"/>
  <c r="MY8" i="16"/>
  <c r="JW8" i="16"/>
  <c r="MZ7" i="16"/>
  <c r="MJ7" i="16"/>
  <c r="MJ8" i="16" s="1"/>
  <c r="OF5" i="16"/>
  <c r="LD13" i="16"/>
  <c r="LD7" i="16"/>
  <c r="KN5" i="16"/>
  <c r="OE7" i="16"/>
  <c r="OE8" i="16" s="1"/>
  <c r="GU8" i="16"/>
  <c r="OE11" i="16"/>
  <c r="LT5" i="16"/>
  <c r="LD5" i="16"/>
  <c r="OF7" i="16"/>
  <c r="LT7" i="16"/>
  <c r="NP5" i="16"/>
  <c r="HK8" i="16"/>
  <c r="KN6" i="16"/>
  <c r="BH7" i="16"/>
  <c r="BH13" i="16"/>
  <c r="DD5" i="16"/>
  <c r="NP7" i="16"/>
  <c r="NP8" i="16" s="1"/>
  <c r="MY8" i="15"/>
  <c r="MI8" i="15"/>
  <c r="CM8" i="15"/>
  <c r="JH5" i="15"/>
  <c r="LS11" i="15"/>
  <c r="LT5" i="15"/>
  <c r="OE11" i="15"/>
  <c r="OE7" i="15"/>
  <c r="OE8" i="15" s="1"/>
  <c r="LD5" i="15"/>
  <c r="MI13" i="15"/>
  <c r="MI11" i="15"/>
  <c r="LC8" i="15"/>
  <c r="KN5" i="15"/>
  <c r="MZ5" i="15"/>
  <c r="NP5" i="15"/>
  <c r="MJ5" i="15"/>
  <c r="LD6" i="15"/>
  <c r="LD7" i="15" s="1"/>
  <c r="GV5" i="15"/>
  <c r="IQ8" i="15"/>
  <c r="MZ6" i="15"/>
  <c r="MZ11" i="15" s="1"/>
  <c r="JX5" i="15"/>
  <c r="LS7" i="15"/>
  <c r="LS8" i="15" s="1"/>
  <c r="OF5" i="15"/>
  <c r="GV6" i="15"/>
  <c r="GV11" i="15" s="1"/>
  <c r="OF6" i="15"/>
  <c r="OF13" i="15" s="1"/>
  <c r="NO13" i="15"/>
  <c r="NP7" i="15"/>
  <c r="NO7" i="15"/>
  <c r="NO8" i="15" s="1"/>
  <c r="NO11" i="15"/>
  <c r="KN6" i="15"/>
  <c r="KN7" i="15" s="1"/>
  <c r="KN8" i="15" s="1"/>
  <c r="MJ6" i="15"/>
  <c r="MJ13" i="15" s="1"/>
  <c r="JX7" i="16"/>
  <c r="JX13" i="16"/>
  <c r="JG11" i="16"/>
  <c r="JG13" i="16"/>
  <c r="IR7" i="16"/>
  <c r="IR13" i="16"/>
  <c r="GV7" i="16"/>
  <c r="GV13" i="16"/>
  <c r="FP7" i="16"/>
  <c r="FP13" i="16"/>
  <c r="EZ7" i="16"/>
  <c r="EZ13" i="16"/>
  <c r="DT7" i="16"/>
  <c r="DT13" i="16"/>
  <c r="DS11" i="16"/>
  <c r="DS13" i="16"/>
  <c r="DC11" i="16"/>
  <c r="DC13" i="16"/>
  <c r="CM11" i="16"/>
  <c r="CM13" i="16"/>
  <c r="OF6" i="17"/>
  <c r="OF11" i="17" s="1"/>
  <c r="JH7" i="17"/>
  <c r="JH13" i="17"/>
  <c r="IR7" i="17"/>
  <c r="IR13" i="17"/>
  <c r="EY11" i="17"/>
  <c r="EY13" i="17"/>
  <c r="EJ7" i="17"/>
  <c r="EJ13" i="17"/>
  <c r="EI11" i="17"/>
  <c r="EI13" i="17"/>
  <c r="EI7" i="17"/>
  <c r="EI8" i="17" s="1"/>
  <c r="DD7" i="17"/>
  <c r="DD13" i="17"/>
  <c r="CN7" i="17"/>
  <c r="CN8" i="17" s="1"/>
  <c r="CN13" i="17"/>
  <c r="EZ7" i="17"/>
  <c r="FO8" i="15"/>
  <c r="IR7" i="15"/>
  <c r="IR13" i="15"/>
  <c r="BH7" i="15"/>
  <c r="BH13" i="15"/>
  <c r="EI11" i="15"/>
  <c r="EI13" i="15"/>
  <c r="BW11" i="15"/>
  <c r="BW13" i="15"/>
  <c r="LT7" i="15"/>
  <c r="LT13" i="15"/>
  <c r="HL7" i="15"/>
  <c r="HL13" i="15"/>
  <c r="IA11" i="15"/>
  <c r="IA13" i="15"/>
  <c r="DS7" i="15"/>
  <c r="DS8" i="15" s="1"/>
  <c r="DS13" i="15"/>
  <c r="GF7" i="15"/>
  <c r="GF13" i="15"/>
  <c r="JH7" i="15"/>
  <c r="JH13" i="15"/>
  <c r="FP7" i="15"/>
  <c r="FP13" i="15"/>
  <c r="CN7" i="15"/>
  <c r="CN13" i="15"/>
  <c r="GU8" i="15"/>
  <c r="IA7" i="15"/>
  <c r="IA8" i="15" s="1"/>
  <c r="DT7" i="15"/>
  <c r="DS11" i="15"/>
  <c r="IB7" i="15"/>
  <c r="JX6" i="17"/>
  <c r="DS7" i="16"/>
  <c r="DS8" i="16" s="1"/>
  <c r="JH6" i="16"/>
  <c r="EJ7" i="13"/>
  <c r="EJ8" i="13" s="1"/>
  <c r="EJ13" i="13"/>
  <c r="IB7" i="13"/>
  <c r="IB8" i="13" s="1"/>
  <c r="IB13" i="13"/>
  <c r="HL7" i="13"/>
  <c r="HL8" i="13" s="1"/>
  <c r="HL13" i="13"/>
  <c r="KN7" i="13"/>
  <c r="KN8" i="13" s="1"/>
  <c r="KN13" i="13"/>
  <c r="DT7" i="13"/>
  <c r="DT13" i="13"/>
  <c r="GF7" i="13"/>
  <c r="GF8" i="13" s="1"/>
  <c r="GF13" i="13"/>
  <c r="IR7" i="13"/>
  <c r="IR8" i="13" s="1"/>
  <c r="IR13" i="13"/>
  <c r="MJ11" i="13"/>
  <c r="MJ13" i="13"/>
  <c r="LT7" i="13"/>
  <c r="LT8" i="13" s="1"/>
  <c r="LT13" i="13"/>
  <c r="GV7" i="13"/>
  <c r="GV8" i="13" s="1"/>
  <c r="GV13" i="13"/>
  <c r="OF7" i="13"/>
  <c r="OF8" i="13" s="1"/>
  <c r="OF13" i="13"/>
  <c r="CN7" i="13"/>
  <c r="CN8" i="13" s="1"/>
  <c r="CN13" i="13"/>
  <c r="JH7" i="13"/>
  <c r="JH8" i="13" s="1"/>
  <c r="JH13" i="13"/>
  <c r="FP7" i="13"/>
  <c r="FP8" i="13" s="1"/>
  <c r="FP13" i="13"/>
  <c r="EZ7" i="13"/>
  <c r="EZ8" i="13" s="1"/>
  <c r="EZ13" i="13"/>
  <c r="MZ7" i="13"/>
  <c r="MZ8" i="13" s="1"/>
  <c r="MZ13" i="13"/>
  <c r="JX7" i="13"/>
  <c r="JX8" i="13" s="1"/>
  <c r="JX13" i="13"/>
  <c r="DD7" i="13"/>
  <c r="DD8" i="13" s="1"/>
  <c r="DD13" i="13"/>
  <c r="BX7" i="13"/>
  <c r="BX8" i="13" s="1"/>
  <c r="BX13" i="13"/>
  <c r="H112" i="13"/>
  <c r="H113" i="13" s="1"/>
  <c r="G114" i="13"/>
  <c r="H111" i="13"/>
  <c r="BG7" i="13"/>
  <c r="BG8" i="13" s="1"/>
  <c r="BG13" i="13"/>
  <c r="I110" i="13" s="1"/>
  <c r="HK8" i="15"/>
  <c r="DC8" i="15"/>
  <c r="BG8" i="15"/>
  <c r="IQ8" i="16"/>
  <c r="BW8" i="16"/>
  <c r="BX8" i="16" s="1"/>
  <c r="JG8" i="17"/>
  <c r="JG8" i="15"/>
  <c r="JW8" i="17"/>
  <c r="KN11" i="17"/>
  <c r="CN11" i="17"/>
  <c r="NP11" i="17"/>
  <c r="GV7" i="17"/>
  <c r="GU7" i="17"/>
  <c r="GU8" i="17" s="1"/>
  <c r="MZ11" i="17"/>
  <c r="GF7" i="17"/>
  <c r="GE7" i="17"/>
  <c r="GE8" i="17" s="1"/>
  <c r="GF11" i="17"/>
  <c r="GV11" i="17"/>
  <c r="DT11" i="17"/>
  <c r="BG8" i="17"/>
  <c r="EZ11" i="17"/>
  <c r="DT7" i="17"/>
  <c r="DS7" i="17"/>
  <c r="DS8" i="17" s="1"/>
  <c r="DD11" i="17"/>
  <c r="IR11" i="17"/>
  <c r="HL6" i="17"/>
  <c r="BH5" i="17"/>
  <c r="GU11" i="17"/>
  <c r="DS11" i="17"/>
  <c r="BH6" i="17"/>
  <c r="BW8" i="17"/>
  <c r="JH11" i="17"/>
  <c r="IB6" i="17"/>
  <c r="MJ11" i="17"/>
  <c r="GE11" i="17"/>
  <c r="EJ11" i="17"/>
  <c r="FP6" i="17"/>
  <c r="OF11" i="16"/>
  <c r="JX11" i="16"/>
  <c r="EJ11" i="16"/>
  <c r="BH11" i="16"/>
  <c r="MZ11" i="16"/>
  <c r="MJ11" i="16"/>
  <c r="GE8" i="16"/>
  <c r="IA7" i="16"/>
  <c r="IA8" i="16" s="1"/>
  <c r="IA11" i="16"/>
  <c r="DT11" i="16"/>
  <c r="EY8" i="16"/>
  <c r="DD11" i="16"/>
  <c r="EJ7" i="16"/>
  <c r="EI7" i="16"/>
  <c r="EI8" i="16" s="1"/>
  <c r="IB6" i="16"/>
  <c r="BX11" i="16"/>
  <c r="CN7" i="16"/>
  <c r="CM7" i="16"/>
  <c r="CM8" i="16" s="1"/>
  <c r="IR11" i="16"/>
  <c r="FP11" i="16"/>
  <c r="GV11" i="16"/>
  <c r="EZ11" i="16"/>
  <c r="JG7" i="16"/>
  <c r="JG8" i="16" s="1"/>
  <c r="NP11" i="16"/>
  <c r="CN11" i="16"/>
  <c r="EI11" i="16"/>
  <c r="LT11" i="16"/>
  <c r="HL6" i="16"/>
  <c r="BH5" i="16"/>
  <c r="BG8" i="16"/>
  <c r="LD11" i="16"/>
  <c r="DD7" i="16"/>
  <c r="DC7" i="16"/>
  <c r="DC8" i="16" s="1"/>
  <c r="FO8" i="16"/>
  <c r="GF6" i="16"/>
  <c r="BH11" i="15"/>
  <c r="IR11" i="15"/>
  <c r="EZ7" i="15"/>
  <c r="EY7" i="15"/>
  <c r="EY8" i="15" s="1"/>
  <c r="EJ7" i="15"/>
  <c r="EI7" i="15"/>
  <c r="EI8" i="15" s="1"/>
  <c r="JX7" i="15"/>
  <c r="JW7" i="15"/>
  <c r="JW8" i="15" s="1"/>
  <c r="JH11" i="15"/>
  <c r="BH5" i="15"/>
  <c r="CN11" i="15"/>
  <c r="NP11" i="15"/>
  <c r="BX6" i="15"/>
  <c r="GE8" i="15"/>
  <c r="HL11" i="15"/>
  <c r="DT11" i="15"/>
  <c r="EY11" i="15"/>
  <c r="IB11" i="15"/>
  <c r="BW7" i="15"/>
  <c r="BW8" i="15" s="1"/>
  <c r="EZ11" i="15"/>
  <c r="FP11" i="15"/>
  <c r="GF11" i="15"/>
  <c r="EJ11" i="15"/>
  <c r="JX11" i="15"/>
  <c r="LT11" i="15"/>
  <c r="JW11" i="15"/>
  <c r="DD6" i="15"/>
  <c r="DT11" i="13"/>
  <c r="BG11" i="13"/>
  <c r="I109" i="13" s="1"/>
  <c r="JX11" i="13"/>
  <c r="EZ11" i="13"/>
  <c r="EJ11" i="13"/>
  <c r="BH6" i="13"/>
  <c r="IR11" i="13"/>
  <c r="LT11" i="13"/>
  <c r="IB11" i="13"/>
  <c r="BH5" i="13"/>
  <c r="DT8" i="13"/>
  <c r="BX11" i="13"/>
  <c r="FP11" i="13"/>
  <c r="JH11" i="13"/>
  <c r="DD11" i="13"/>
  <c r="GF11" i="13"/>
  <c r="CN11" i="13"/>
  <c r="HL11" i="13"/>
  <c r="GV11" i="13"/>
  <c r="MJ7" i="13"/>
  <c r="MJ8" i="13" s="1"/>
  <c r="NP11" i="13"/>
  <c r="KN11" i="13"/>
  <c r="OF11" i="13"/>
  <c r="MZ11" i="13"/>
  <c r="H112" i="17" l="1"/>
  <c r="H113" i="17" s="1"/>
  <c r="J86" i="13"/>
  <c r="J84" i="13"/>
  <c r="J88" i="13"/>
  <c r="J85" i="13"/>
  <c r="J68" i="17"/>
  <c r="J95" i="17"/>
  <c r="J88" i="15"/>
  <c r="J73" i="13"/>
  <c r="J96" i="13"/>
  <c r="J93" i="13"/>
  <c r="J104" i="13"/>
  <c r="BN65" i="9"/>
  <c r="BN86" i="9"/>
  <c r="BN67" i="9"/>
  <c r="BN85" i="9"/>
  <c r="BN103" i="9"/>
  <c r="BN88" i="9"/>
  <c r="BN66" i="9"/>
  <c r="BN64" i="9"/>
  <c r="BN68" i="9"/>
  <c r="BN76" i="9"/>
  <c r="BN75" i="9"/>
  <c r="BN94" i="9"/>
  <c r="BN69" i="9"/>
  <c r="BN73" i="9"/>
  <c r="BN95" i="9"/>
  <c r="BN96" i="9"/>
  <c r="BN104" i="9"/>
  <c r="BN93" i="9"/>
  <c r="BN74" i="9"/>
  <c r="BN84" i="9"/>
  <c r="BN102" i="9"/>
  <c r="CB96" i="9"/>
  <c r="CB84" i="9"/>
  <c r="CB85" i="9"/>
  <c r="CB76" i="9"/>
  <c r="CB65" i="9"/>
  <c r="CB69" i="9"/>
  <c r="CB86" i="9"/>
  <c r="CB103" i="9"/>
  <c r="CB88" i="9"/>
  <c r="CB74" i="9"/>
  <c r="CB104" i="9"/>
  <c r="CB93" i="9"/>
  <c r="CB66" i="9"/>
  <c r="CB102" i="9"/>
  <c r="CB75" i="9"/>
  <c r="CB68" i="9"/>
  <c r="CB94" i="9"/>
  <c r="CB95" i="9"/>
  <c r="CB64" i="9"/>
  <c r="CB67" i="9"/>
  <c r="CB73" i="9"/>
  <c r="J64" i="15"/>
  <c r="J73" i="17"/>
  <c r="J103" i="13"/>
  <c r="J103" i="17"/>
  <c r="J93" i="17"/>
  <c r="J94" i="17"/>
  <c r="J65" i="13"/>
  <c r="J102" i="13"/>
  <c r="J76" i="13"/>
  <c r="H112" i="16"/>
  <c r="H113" i="16" s="1"/>
  <c r="I110" i="17"/>
  <c r="I111" i="17" s="1"/>
  <c r="I109" i="16"/>
  <c r="J67" i="17"/>
  <c r="J66" i="13"/>
  <c r="J67" i="13"/>
  <c r="J93" i="15"/>
  <c r="J94" i="13"/>
  <c r="J74" i="13"/>
  <c r="J66" i="17"/>
  <c r="J64" i="17"/>
  <c r="J94" i="15"/>
  <c r="J102" i="17"/>
  <c r="J96" i="17"/>
  <c r="J65" i="17"/>
  <c r="J95" i="13"/>
  <c r="J68" i="13"/>
  <c r="J75" i="13"/>
  <c r="J64" i="13"/>
  <c r="J64" i="16"/>
  <c r="J103" i="16"/>
  <c r="J74" i="16"/>
  <c r="I110" i="15"/>
  <c r="H114" i="15" s="1"/>
  <c r="I110" i="16"/>
  <c r="J75" i="17"/>
  <c r="J104" i="17"/>
  <c r="BN6" i="9"/>
  <c r="BN9" i="9" s="1"/>
  <c r="J75" i="16"/>
  <c r="J67" i="16"/>
  <c r="J66" i="16"/>
  <c r="J69" i="15"/>
  <c r="J86" i="17"/>
  <c r="J85" i="17"/>
  <c r="J76" i="17"/>
  <c r="J95" i="16"/>
  <c r="J88" i="16"/>
  <c r="J69" i="16"/>
  <c r="J76" i="16"/>
  <c r="J104" i="16"/>
  <c r="J85" i="16"/>
  <c r="J96" i="16"/>
  <c r="J93" i="16"/>
  <c r="J69" i="17"/>
  <c r="J88" i="17"/>
  <c r="G114" i="16"/>
  <c r="H111" i="16"/>
  <c r="J73" i="16"/>
  <c r="J102" i="16"/>
  <c r="J94" i="16"/>
  <c r="J68" i="16"/>
  <c r="J65" i="16"/>
  <c r="J86" i="16"/>
  <c r="I109" i="17"/>
  <c r="CB6" i="9"/>
  <c r="CB9" i="9" s="1"/>
  <c r="J86" i="15"/>
  <c r="J73" i="15"/>
  <c r="J85" i="15"/>
  <c r="J65" i="15"/>
  <c r="J75" i="15"/>
  <c r="J104" i="15"/>
  <c r="J66" i="15"/>
  <c r="J102" i="15"/>
  <c r="J76" i="15"/>
  <c r="J68" i="15"/>
  <c r="J67" i="15"/>
  <c r="J95" i="15"/>
  <c r="J96" i="15"/>
  <c r="J74" i="15"/>
  <c r="J103" i="15"/>
  <c r="I109" i="15"/>
  <c r="EZ8" i="17"/>
  <c r="IR8" i="17"/>
  <c r="MJ8" i="17"/>
  <c r="MZ8" i="17"/>
  <c r="DD8" i="17"/>
  <c r="JH8" i="17"/>
  <c r="EJ8" i="17"/>
  <c r="BH7" i="17"/>
  <c r="BH8" i="17" s="1"/>
  <c r="BH13" i="17"/>
  <c r="LD13" i="17"/>
  <c r="LD7" i="17"/>
  <c r="LD8" i="17" s="1"/>
  <c r="LT13" i="17"/>
  <c r="LT7" i="17"/>
  <c r="LT8" i="17" s="1"/>
  <c r="LT11" i="17"/>
  <c r="LD8" i="16"/>
  <c r="JX8" i="16"/>
  <c r="LT8" i="16"/>
  <c r="MZ8" i="16"/>
  <c r="FP8" i="16"/>
  <c r="GV8" i="16"/>
  <c r="OF8" i="16"/>
  <c r="BH8" i="16"/>
  <c r="DT8" i="16"/>
  <c r="KN13" i="16"/>
  <c r="KN7" i="16"/>
  <c r="KN8" i="16" s="1"/>
  <c r="KN11" i="16"/>
  <c r="IR8" i="16"/>
  <c r="CN8" i="15"/>
  <c r="MZ7" i="15"/>
  <c r="MZ8" i="15" s="1"/>
  <c r="MZ13" i="15"/>
  <c r="MJ7" i="15"/>
  <c r="MJ8" i="15" s="1"/>
  <c r="MJ11" i="15"/>
  <c r="NP8" i="15"/>
  <c r="LT8" i="15"/>
  <c r="LD8" i="15"/>
  <c r="GF8" i="15"/>
  <c r="LD13" i="15"/>
  <c r="IR8" i="15"/>
  <c r="LD11" i="15"/>
  <c r="OF11" i="15"/>
  <c r="GV13" i="15"/>
  <c r="GV7" i="15"/>
  <c r="GV8" i="15" s="1"/>
  <c r="OF7" i="15"/>
  <c r="OF8" i="15" s="1"/>
  <c r="KN11" i="15"/>
  <c r="KN13" i="15"/>
  <c r="JH11" i="16"/>
  <c r="JH13" i="16"/>
  <c r="IB11" i="16"/>
  <c r="IB13" i="16"/>
  <c r="HL7" i="16"/>
  <c r="HL8" i="16" s="1"/>
  <c r="HL13" i="16"/>
  <c r="GF7" i="16"/>
  <c r="GF8" i="16" s="1"/>
  <c r="GF13" i="16"/>
  <c r="EZ8" i="16"/>
  <c r="OF13" i="17"/>
  <c r="OF7" i="17"/>
  <c r="OF8" i="17" s="1"/>
  <c r="JX7" i="17"/>
  <c r="JX8" i="17" s="1"/>
  <c r="JX13" i="17"/>
  <c r="IB7" i="17"/>
  <c r="IB8" i="17" s="1"/>
  <c r="IB13" i="17"/>
  <c r="HL7" i="17"/>
  <c r="HL8" i="17" s="1"/>
  <c r="HL13" i="17"/>
  <c r="FP7" i="17"/>
  <c r="FP8" i="17" s="1"/>
  <c r="FP13" i="17"/>
  <c r="BX7" i="17"/>
  <c r="BX8" i="17" s="1"/>
  <c r="BX13" i="17"/>
  <c r="JX11" i="17"/>
  <c r="FP8" i="15"/>
  <c r="BH8" i="15"/>
  <c r="HL8" i="15"/>
  <c r="DT8" i="15"/>
  <c r="IB8" i="15"/>
  <c r="DD7" i="15"/>
  <c r="DD8" i="15" s="1"/>
  <c r="DD13" i="15"/>
  <c r="JH8" i="15"/>
  <c r="BX7" i="15"/>
  <c r="BX8" i="15" s="1"/>
  <c r="BX13" i="15"/>
  <c r="DD11" i="15"/>
  <c r="IB7" i="16"/>
  <c r="IB8" i="16" s="1"/>
  <c r="JH7" i="16"/>
  <c r="JH8" i="16" s="1"/>
  <c r="HL11" i="16"/>
  <c r="GF11" i="16"/>
  <c r="FP11" i="17"/>
  <c r="I112" i="13"/>
  <c r="I113" i="13" s="1"/>
  <c r="H114" i="13"/>
  <c r="I111" i="13"/>
  <c r="BH7" i="13"/>
  <c r="BH8" i="13" s="1"/>
  <c r="BH13" i="13"/>
  <c r="J110" i="13" s="1"/>
  <c r="DD8" i="16"/>
  <c r="EJ8" i="15"/>
  <c r="DT8" i="17"/>
  <c r="GV8" i="17"/>
  <c r="HL11" i="17"/>
  <c r="IB11" i="17"/>
  <c r="GF8" i="17"/>
  <c r="BH11" i="17"/>
  <c r="BX11" i="17"/>
  <c r="CN8" i="16"/>
  <c r="EJ8" i="16"/>
  <c r="EZ8" i="15"/>
  <c r="BX11" i="15"/>
  <c r="JX8" i="15"/>
  <c r="BH11" i="13"/>
  <c r="J109" i="13" s="1"/>
  <c r="I112" i="17" l="1"/>
  <c r="I113" i="17" s="1"/>
  <c r="H114" i="17"/>
  <c r="J109" i="16"/>
  <c r="J110" i="16"/>
  <c r="J111" i="16" s="1"/>
  <c r="I111" i="15"/>
  <c r="I112" i="15"/>
  <c r="I113" i="15" s="1"/>
  <c r="H114" i="16"/>
  <c r="I111" i="16"/>
  <c r="J109" i="15"/>
  <c r="J109" i="17"/>
  <c r="J110" i="17"/>
  <c r="I114" i="17" s="1"/>
  <c r="J110" i="15"/>
  <c r="I114" i="15" s="1"/>
  <c r="I112" i="16"/>
  <c r="I113" i="16" s="1"/>
  <c r="I114" i="13"/>
  <c r="J111" i="13"/>
  <c r="I114" i="16" l="1"/>
  <c r="J112" i="16"/>
  <c r="J113" i="16" s="1"/>
  <c r="J111" i="15"/>
  <c r="J112" i="17"/>
  <c r="J113" i="17" s="1"/>
  <c r="J112" i="15"/>
  <c r="J113" i="15" s="1"/>
  <c r="J111" i="17"/>
  <c r="J112" i="13"/>
  <c r="J113" i="13" s="1"/>
  <c r="C15" i="12"/>
  <c r="C32" i="12"/>
  <c r="C33" i="12"/>
  <c r="C31" i="12"/>
  <c r="C27" i="12"/>
  <c r="C24" i="12"/>
  <c r="C23" i="12"/>
  <c r="C19" i="12"/>
  <c r="C18" i="12"/>
  <c r="C5" i="12"/>
  <c r="C9" i="12"/>
  <c r="C6" i="12"/>
  <c r="D27" i="12" l="1"/>
  <c r="D6" i="12"/>
  <c r="D31" i="12"/>
  <c r="D5" i="12"/>
  <c r="D18" i="12"/>
  <c r="D15" i="12"/>
  <c r="D32" i="12"/>
  <c r="D19" i="12"/>
  <c r="D23" i="12"/>
  <c r="D24" i="12"/>
  <c r="B105" i="11"/>
  <c r="D33" i="12"/>
  <c r="D9" i="12"/>
  <c r="E6" i="12" l="1"/>
  <c r="E5" i="12"/>
  <c r="E32" i="12"/>
  <c r="E31" i="12"/>
  <c r="E19" i="12"/>
  <c r="E15" i="12"/>
  <c r="E23" i="12"/>
  <c r="E18" i="12"/>
  <c r="E27" i="12"/>
  <c r="E24" i="12"/>
  <c r="B98" i="11"/>
  <c r="B89" i="11"/>
  <c r="E33" i="12"/>
  <c r="E9" i="12"/>
  <c r="F6" i="12" l="1"/>
  <c r="G6" i="12" s="1"/>
  <c r="F5" i="12"/>
  <c r="F27" i="12"/>
  <c r="F19" i="12"/>
  <c r="F18" i="12"/>
  <c r="F23" i="12"/>
  <c r="F31" i="12"/>
  <c r="F15" i="12"/>
  <c r="F32" i="12"/>
  <c r="F24" i="12"/>
  <c r="F33" i="12"/>
  <c r="F9" i="12"/>
  <c r="G5" i="12" l="1"/>
  <c r="G23" i="12"/>
  <c r="G32" i="12"/>
  <c r="G18" i="12"/>
  <c r="G15" i="12"/>
  <c r="G19" i="12"/>
  <c r="G31" i="12"/>
  <c r="G27" i="12"/>
  <c r="G24" i="12"/>
  <c r="G33" i="12"/>
  <c r="H6" i="12"/>
  <c r="G9" i="12"/>
  <c r="H5" i="12" l="1"/>
  <c r="H27" i="12"/>
  <c r="H15" i="12"/>
  <c r="H31" i="12"/>
  <c r="H18" i="12"/>
  <c r="H32" i="12"/>
  <c r="H19" i="12"/>
  <c r="H23" i="12"/>
  <c r="H24" i="12"/>
  <c r="H33" i="12"/>
  <c r="H9" i="12"/>
  <c r="I6" i="12"/>
  <c r="I5" i="12" l="1"/>
  <c r="J5" i="12" s="1"/>
  <c r="I18" i="12"/>
  <c r="I19" i="12"/>
  <c r="I15" i="12"/>
  <c r="I23" i="12"/>
  <c r="I31" i="12"/>
  <c r="I32" i="12"/>
  <c r="I27" i="12"/>
  <c r="I24" i="12"/>
  <c r="I33" i="12"/>
  <c r="J6" i="12"/>
  <c r="I9" i="12"/>
  <c r="J31" i="12" l="1"/>
  <c r="J18" i="12"/>
  <c r="J27" i="12"/>
  <c r="J23" i="12"/>
  <c r="J32" i="12"/>
  <c r="J15" i="12"/>
  <c r="J19" i="12"/>
  <c r="J24" i="12"/>
  <c r="J33" i="12"/>
  <c r="J9" i="12"/>
  <c r="AD9" i="9" l="1"/>
  <c r="AE7" i="9"/>
  <c r="AF7" i="9" l="1"/>
  <c r="AG7" i="9" s="1"/>
  <c r="AH7" i="9" s="1"/>
  <c r="AI7" i="9" s="1"/>
  <c r="AJ7" i="9" s="1"/>
  <c r="AK7" i="9" s="1"/>
  <c r="AL7" i="9" s="1"/>
  <c r="AE5" i="9"/>
  <c r="AE6" i="9" l="1"/>
  <c r="AE93" i="9"/>
  <c r="AE104" i="9"/>
  <c r="AE95" i="9"/>
  <c r="AE84" i="9"/>
  <c r="AE86" i="9"/>
  <c r="AE66" i="9"/>
  <c r="AE75" i="9"/>
  <c r="C75" i="9" s="1"/>
  <c r="C75" i="11" s="1"/>
  <c r="AE73" i="9"/>
  <c r="AE68" i="9"/>
  <c r="AE64" i="9"/>
  <c r="AE69" i="9"/>
  <c r="AE74" i="9"/>
  <c r="AE94" i="9"/>
  <c r="AE67" i="9"/>
  <c r="AE85" i="9"/>
  <c r="AE65" i="9"/>
  <c r="AE76" i="9"/>
  <c r="C76" i="9" s="1"/>
  <c r="C76" i="11" s="1"/>
  <c r="AE88" i="9"/>
  <c r="AE103" i="9"/>
  <c r="AE96" i="9"/>
  <c r="AE102" i="9"/>
  <c r="AF5" i="9"/>
  <c r="AE9" i="9"/>
  <c r="C77" i="11" l="1"/>
  <c r="AF75" i="9"/>
  <c r="D75" i="9" s="1"/>
  <c r="D75" i="11" s="1"/>
  <c r="AF64" i="9"/>
  <c r="AF68" i="9"/>
  <c r="AF69" i="9"/>
  <c r="AF104" i="9"/>
  <c r="AF76" i="9"/>
  <c r="D76" i="9" s="1"/>
  <c r="D76" i="11" s="1"/>
  <c r="AF66" i="9"/>
  <c r="AF84" i="9"/>
  <c r="AF102" i="9"/>
  <c r="AF67" i="9"/>
  <c r="AF95" i="9"/>
  <c r="AF65" i="9"/>
  <c r="AF88" i="9"/>
  <c r="AF103" i="9"/>
  <c r="AF74" i="9"/>
  <c r="AF96" i="9"/>
  <c r="AF86" i="9"/>
  <c r="AF93" i="9"/>
  <c r="AF85" i="9"/>
  <c r="AF94" i="9"/>
  <c r="AF73" i="9"/>
  <c r="AG5" i="9"/>
  <c r="AF6" i="9"/>
  <c r="AF9" i="9" s="1"/>
  <c r="AG86" i="9" l="1"/>
  <c r="AG75" i="9"/>
  <c r="E75" i="9" s="1"/>
  <c r="E75" i="11" s="1"/>
  <c r="AG68" i="9"/>
  <c r="AG64" i="9"/>
  <c r="AG67" i="9"/>
  <c r="AG85" i="9"/>
  <c r="AG88" i="9"/>
  <c r="AG69" i="9"/>
  <c r="AG84" i="9"/>
  <c r="AG94" i="9"/>
  <c r="AG76" i="9"/>
  <c r="E76" i="9" s="1"/>
  <c r="E76" i="11" s="1"/>
  <c r="AG102" i="9"/>
  <c r="AG103" i="9"/>
  <c r="AG104" i="9"/>
  <c r="AG66" i="9"/>
  <c r="AG74" i="9"/>
  <c r="AG73" i="9"/>
  <c r="AG93" i="9"/>
  <c r="AG65" i="9"/>
  <c r="AG96" i="9"/>
  <c r="AG95" i="9"/>
  <c r="D77" i="11"/>
  <c r="AH5" i="9"/>
  <c r="AG6" i="9"/>
  <c r="AG9" i="9" s="1"/>
  <c r="E77" i="11" l="1"/>
  <c r="AH86" i="9"/>
  <c r="AH75" i="9"/>
  <c r="F75" i="9" s="1"/>
  <c r="F75" i="11" s="1"/>
  <c r="AH67" i="9"/>
  <c r="AH68" i="9"/>
  <c r="AH64" i="9"/>
  <c r="AH94" i="9"/>
  <c r="AH84" i="9"/>
  <c r="AH93" i="9"/>
  <c r="AH76" i="9"/>
  <c r="F76" i="9" s="1"/>
  <c r="F76" i="11" s="1"/>
  <c r="AH103" i="9"/>
  <c r="AH104" i="9"/>
  <c r="AH74" i="9"/>
  <c r="AH65" i="9"/>
  <c r="AH66" i="9"/>
  <c r="AH95" i="9"/>
  <c r="AH96" i="9"/>
  <c r="AH88" i="9"/>
  <c r="AH73" i="9"/>
  <c r="AH85" i="9"/>
  <c r="AH69" i="9"/>
  <c r="AH102" i="9"/>
  <c r="AI5" i="9"/>
  <c r="AH6" i="9"/>
  <c r="AH9" i="9" s="1"/>
  <c r="F77" i="11" l="1"/>
  <c r="AI86" i="9"/>
  <c r="AI75" i="9"/>
  <c r="G75" i="9" s="1"/>
  <c r="G75" i="11" s="1"/>
  <c r="AI74" i="9"/>
  <c r="AI67" i="9"/>
  <c r="AI68" i="9"/>
  <c r="AI64" i="9"/>
  <c r="AI84" i="9"/>
  <c r="AI95" i="9"/>
  <c r="AI102" i="9"/>
  <c r="AI73" i="9"/>
  <c r="AI94" i="9"/>
  <c r="AI85" i="9"/>
  <c r="AI69" i="9"/>
  <c r="AI103" i="9"/>
  <c r="AI104" i="9"/>
  <c r="AI93" i="9"/>
  <c r="AI66" i="9"/>
  <c r="AI96" i="9"/>
  <c r="AI65" i="9"/>
  <c r="AI76" i="9"/>
  <c r="G76" i="9" s="1"/>
  <c r="G76" i="11" s="1"/>
  <c r="AI88" i="9"/>
  <c r="AJ5" i="9"/>
  <c r="AI6" i="9"/>
  <c r="AI9" i="9" s="1"/>
  <c r="G77" i="11" l="1"/>
  <c r="AJ93" i="9"/>
  <c r="AJ68" i="9"/>
  <c r="AJ64" i="9"/>
  <c r="AJ95" i="9"/>
  <c r="AJ84" i="9"/>
  <c r="AJ73" i="9"/>
  <c r="AJ102" i="9"/>
  <c r="AJ85" i="9"/>
  <c r="AJ67" i="9"/>
  <c r="AJ75" i="9"/>
  <c r="H75" i="9" s="1"/>
  <c r="H75" i="11" s="1"/>
  <c r="AJ86" i="9"/>
  <c r="AJ88" i="9"/>
  <c r="AJ96" i="9"/>
  <c r="AJ94" i="9"/>
  <c r="AJ66" i="9"/>
  <c r="AJ104" i="9"/>
  <c r="AJ103" i="9"/>
  <c r="AJ65" i="9"/>
  <c r="AJ74" i="9"/>
  <c r="AJ69" i="9"/>
  <c r="AJ76" i="9"/>
  <c r="H76" i="9" s="1"/>
  <c r="H76" i="11" s="1"/>
  <c r="AK5" i="9"/>
  <c r="AJ6" i="9"/>
  <c r="AJ9" i="9" s="1"/>
  <c r="AK84" i="9" l="1"/>
  <c r="AK73" i="9"/>
  <c r="AK94" i="9"/>
  <c r="AK86" i="9"/>
  <c r="AK75" i="9"/>
  <c r="I75" i="9" s="1"/>
  <c r="I75" i="11" s="1"/>
  <c r="AK67" i="9"/>
  <c r="AK93" i="9"/>
  <c r="AK74" i="9"/>
  <c r="AK88" i="9"/>
  <c r="AK69" i="9"/>
  <c r="AK64" i="9"/>
  <c r="AK76" i="9"/>
  <c r="I76" i="9" s="1"/>
  <c r="I76" i="11" s="1"/>
  <c r="AK96" i="9"/>
  <c r="AK65" i="9"/>
  <c r="AK66" i="9"/>
  <c r="AK103" i="9"/>
  <c r="AK85" i="9"/>
  <c r="AK95" i="9"/>
  <c r="AK102" i="9"/>
  <c r="AK68" i="9"/>
  <c r="AK104" i="9"/>
  <c r="H77" i="11"/>
  <c r="AL5" i="9"/>
  <c r="AK6" i="9"/>
  <c r="AK9" i="9" s="1"/>
  <c r="B4" i="5"/>
  <c r="I77" i="11" l="1"/>
  <c r="AL95" i="9"/>
  <c r="AL88" i="9"/>
  <c r="AL86" i="9"/>
  <c r="AL75" i="9"/>
  <c r="J75" i="9" s="1"/>
  <c r="J75" i="11" s="1"/>
  <c r="AL69" i="9"/>
  <c r="AL64" i="9"/>
  <c r="AL93" i="9"/>
  <c r="AL65" i="9"/>
  <c r="AL102" i="9"/>
  <c r="AL96" i="9"/>
  <c r="AL84" i="9"/>
  <c r="AL103" i="9"/>
  <c r="AL76" i="9"/>
  <c r="J76" i="9" s="1"/>
  <c r="J76" i="11" s="1"/>
  <c r="AL85" i="9"/>
  <c r="AL104" i="9"/>
  <c r="AL67" i="9"/>
  <c r="AL74" i="9"/>
  <c r="AL68" i="9"/>
  <c r="AL94" i="9"/>
  <c r="AL66" i="9"/>
  <c r="AL73" i="9"/>
  <c r="AL6" i="9"/>
  <c r="AL9" i="9" s="1"/>
  <c r="J77" i="11" l="1"/>
  <c r="B94" i="9"/>
  <c r="B64" i="9" l="1"/>
  <c r="B67" i="9"/>
  <c r="B103" i="9"/>
  <c r="B93" i="9"/>
  <c r="B96" i="9"/>
  <c r="B85" i="9"/>
  <c r="B104" i="9"/>
  <c r="B66" i="9"/>
  <c r="B73" i="9"/>
  <c r="B102" i="9"/>
  <c r="B86" i="9"/>
  <c r="B65" i="9"/>
  <c r="B68" i="9"/>
  <c r="B88" i="9"/>
  <c r="B95" i="9"/>
  <c r="B69" i="9"/>
  <c r="AZ8" i="9" l="1"/>
  <c r="AV8" i="9"/>
  <c r="AT8" i="9"/>
  <c r="AY8" i="9"/>
  <c r="AX8" i="9"/>
  <c r="G77" i="12" l="1"/>
  <c r="AW8" i="9"/>
  <c r="E77" i="12"/>
  <c r="AU8" i="9"/>
  <c r="C77" i="12"/>
  <c r="AS8" i="9"/>
  <c r="AS5" i="9" s="1"/>
  <c r="H77" i="12"/>
  <c r="F77" i="12"/>
  <c r="J77" i="12"/>
  <c r="I77" i="12"/>
  <c r="D77" i="12"/>
  <c r="AS73" i="9" l="1"/>
  <c r="C73" i="9" s="1"/>
  <c r="AS64" i="9"/>
  <c r="C64" i="9" s="1"/>
  <c r="C64" i="11" s="1"/>
  <c r="AS102" i="9"/>
  <c r="C102" i="9" s="1"/>
  <c r="C102" i="11" s="1"/>
  <c r="AS94" i="9"/>
  <c r="C94" i="9" s="1"/>
  <c r="C94" i="11" s="1"/>
  <c r="AS86" i="9"/>
  <c r="C86" i="9" s="1"/>
  <c r="C86" i="11" s="1"/>
  <c r="AS67" i="9"/>
  <c r="C67" i="9" s="1"/>
  <c r="C67" i="11" s="1"/>
  <c r="AS104" i="9"/>
  <c r="C104" i="9" s="1"/>
  <c r="C104" i="11" s="1"/>
  <c r="AS103" i="9"/>
  <c r="C103" i="9" s="1"/>
  <c r="C103" i="11" s="1"/>
  <c r="AS95" i="9"/>
  <c r="C95" i="9" s="1"/>
  <c r="C95" i="11" s="1"/>
  <c r="AS85" i="9"/>
  <c r="C85" i="9" s="1"/>
  <c r="C85" i="11" s="1"/>
  <c r="AS84" i="9"/>
  <c r="C84" i="9" s="1"/>
  <c r="C84" i="11" s="1"/>
  <c r="C84" i="12" s="1"/>
  <c r="AS68" i="9"/>
  <c r="C68" i="9" s="1"/>
  <c r="C68" i="11" s="1"/>
  <c r="AS74" i="9"/>
  <c r="C74" i="9" s="1"/>
  <c r="AS66" i="9"/>
  <c r="C66" i="9" s="1"/>
  <c r="C66" i="11" s="1"/>
  <c r="AS93" i="9"/>
  <c r="C93" i="9" s="1"/>
  <c r="C93" i="11" s="1"/>
  <c r="AS96" i="9"/>
  <c r="C96" i="9" s="1"/>
  <c r="C96" i="11" s="1"/>
  <c r="AS88" i="9"/>
  <c r="C88" i="9" s="1"/>
  <c r="C88" i="11" s="1"/>
  <c r="AS69" i="9"/>
  <c r="C69" i="9" s="1"/>
  <c r="C69" i="11" s="1"/>
  <c r="AS65" i="9"/>
  <c r="C65" i="9" s="1"/>
  <c r="C65" i="11" s="1"/>
  <c r="AS6" i="9"/>
  <c r="AS9" i="9" s="1"/>
  <c r="AT5" i="9"/>
  <c r="AT86" i="9" l="1"/>
  <c r="D86" i="9" s="1"/>
  <c r="D86" i="11" s="1"/>
  <c r="AT104" i="9"/>
  <c r="D104" i="9" s="1"/>
  <c r="D104" i="11" s="1"/>
  <c r="AT95" i="9"/>
  <c r="D95" i="9" s="1"/>
  <c r="D95" i="11" s="1"/>
  <c r="AT68" i="9"/>
  <c r="D68" i="9" s="1"/>
  <c r="D68" i="11" s="1"/>
  <c r="AT64" i="9"/>
  <c r="D64" i="9" s="1"/>
  <c r="D64" i="11" s="1"/>
  <c r="AT65" i="9"/>
  <c r="D65" i="9" s="1"/>
  <c r="D65" i="11" s="1"/>
  <c r="AT88" i="9"/>
  <c r="D88" i="9" s="1"/>
  <c r="D88" i="11" s="1"/>
  <c r="AT74" i="9"/>
  <c r="D74" i="9" s="1"/>
  <c r="AT94" i="9"/>
  <c r="D94" i="9" s="1"/>
  <c r="D94" i="11" s="1"/>
  <c r="AT73" i="9"/>
  <c r="D73" i="9" s="1"/>
  <c r="AT93" i="9"/>
  <c r="D93" i="9" s="1"/>
  <c r="D93" i="11" s="1"/>
  <c r="AT69" i="9"/>
  <c r="D69" i="9" s="1"/>
  <c r="D69" i="11" s="1"/>
  <c r="AT96" i="9"/>
  <c r="D96" i="9" s="1"/>
  <c r="D96" i="11" s="1"/>
  <c r="AT103" i="9"/>
  <c r="D103" i="9" s="1"/>
  <c r="D103" i="11" s="1"/>
  <c r="AT102" i="9"/>
  <c r="D102" i="9" s="1"/>
  <c r="D102" i="11" s="1"/>
  <c r="AT67" i="9"/>
  <c r="D67" i="9" s="1"/>
  <c r="D67" i="11" s="1"/>
  <c r="AT85" i="9"/>
  <c r="D85" i="9" s="1"/>
  <c r="D85" i="11" s="1"/>
  <c r="AT66" i="9"/>
  <c r="D66" i="9" s="1"/>
  <c r="D66" i="11" s="1"/>
  <c r="AT84" i="9"/>
  <c r="D84" i="9" s="1"/>
  <c r="D84" i="11" s="1"/>
  <c r="D84" i="12" s="1"/>
  <c r="C73" i="11"/>
  <c r="C73" i="12" s="1"/>
  <c r="C74" i="11"/>
  <c r="C74" i="12" s="1"/>
  <c r="C104" i="12"/>
  <c r="C103" i="12"/>
  <c r="C88" i="12"/>
  <c r="C93" i="12"/>
  <c r="C94" i="12"/>
  <c r="C102" i="12"/>
  <c r="C114" i="11"/>
  <c r="C109" i="11"/>
  <c r="C110" i="11"/>
  <c r="C113" i="11"/>
  <c r="C112" i="11"/>
  <c r="C111" i="11"/>
  <c r="AT6" i="9"/>
  <c r="AT9" i="9" s="1"/>
  <c r="AU5" i="9"/>
  <c r="C97" i="11"/>
  <c r="C87" i="11"/>
  <c r="C87" i="12" s="1"/>
  <c r="AU104" i="9" l="1"/>
  <c r="E104" i="9" s="1"/>
  <c r="E104" i="11" s="1"/>
  <c r="AU95" i="9"/>
  <c r="E95" i="9" s="1"/>
  <c r="E95" i="11" s="1"/>
  <c r="AU64" i="9"/>
  <c r="E64" i="9" s="1"/>
  <c r="E64" i="11" s="1"/>
  <c r="AU68" i="9"/>
  <c r="E68" i="9" s="1"/>
  <c r="E68" i="11" s="1"/>
  <c r="AU86" i="9"/>
  <c r="E86" i="9" s="1"/>
  <c r="E86" i="11" s="1"/>
  <c r="AU69" i="9"/>
  <c r="E69" i="9" s="1"/>
  <c r="E69" i="11" s="1"/>
  <c r="AU66" i="9"/>
  <c r="E66" i="9" s="1"/>
  <c r="E66" i="11" s="1"/>
  <c r="AU73" i="9"/>
  <c r="E73" i="9" s="1"/>
  <c r="AU67" i="9"/>
  <c r="E67" i="9" s="1"/>
  <c r="E67" i="11" s="1"/>
  <c r="AU88" i="9"/>
  <c r="E88" i="9" s="1"/>
  <c r="E88" i="11" s="1"/>
  <c r="AU74" i="9"/>
  <c r="E74" i="9" s="1"/>
  <c r="AU96" i="9"/>
  <c r="E96" i="9" s="1"/>
  <c r="E96" i="11" s="1"/>
  <c r="AU84" i="9"/>
  <c r="E84" i="9" s="1"/>
  <c r="E84" i="11" s="1"/>
  <c r="E84" i="12" s="1"/>
  <c r="AU94" i="9"/>
  <c r="E94" i="9" s="1"/>
  <c r="E94" i="11" s="1"/>
  <c r="AU85" i="9"/>
  <c r="E85" i="9" s="1"/>
  <c r="E85" i="11" s="1"/>
  <c r="AU102" i="9"/>
  <c r="E102" i="9" s="1"/>
  <c r="E102" i="11" s="1"/>
  <c r="AU103" i="9"/>
  <c r="E103" i="9" s="1"/>
  <c r="E103" i="11" s="1"/>
  <c r="AU93" i="9"/>
  <c r="E93" i="9" s="1"/>
  <c r="E93" i="11" s="1"/>
  <c r="AU65" i="9"/>
  <c r="E65" i="9" s="1"/>
  <c r="E65" i="11" s="1"/>
  <c r="C78" i="12"/>
  <c r="D73" i="11"/>
  <c r="D73" i="12" s="1"/>
  <c r="D74" i="11"/>
  <c r="D74" i="12" s="1"/>
  <c r="C105" i="12"/>
  <c r="C105" i="11" s="1"/>
  <c r="D102" i="12"/>
  <c r="D103" i="12"/>
  <c r="D93" i="12"/>
  <c r="D94" i="12"/>
  <c r="D88" i="12"/>
  <c r="D104" i="12"/>
  <c r="C117" i="11"/>
  <c r="D113" i="11"/>
  <c r="C97" i="12"/>
  <c r="C98" i="12" s="1"/>
  <c r="C98" i="11" s="1"/>
  <c r="D111" i="11"/>
  <c r="D114" i="11"/>
  <c r="D109" i="11"/>
  <c r="D110" i="11"/>
  <c r="D112" i="11"/>
  <c r="C90" i="12"/>
  <c r="D87" i="11"/>
  <c r="D87" i="12" s="1"/>
  <c r="D97" i="11"/>
  <c r="D97" i="12" s="1"/>
  <c r="AU6" i="9"/>
  <c r="AU9" i="9" s="1"/>
  <c r="AV5" i="9"/>
  <c r="C78" i="11" l="1"/>
  <c r="C112" i="12"/>
  <c r="C118" i="11" s="1"/>
  <c r="D111" i="12"/>
  <c r="D109" i="12"/>
  <c r="D110" i="12" s="1"/>
  <c r="C109" i="12"/>
  <c r="C110" i="12" s="1"/>
  <c r="C111" i="12"/>
  <c r="AV94" i="9"/>
  <c r="F94" i="9" s="1"/>
  <c r="F94" i="11" s="1"/>
  <c r="AV68" i="9"/>
  <c r="F68" i="9" s="1"/>
  <c r="F68" i="11" s="1"/>
  <c r="AV67" i="9"/>
  <c r="F67" i="9" s="1"/>
  <c r="F67" i="11" s="1"/>
  <c r="AV86" i="9"/>
  <c r="F86" i="9" s="1"/>
  <c r="F86" i="11" s="1"/>
  <c r="AV103" i="9"/>
  <c r="F103" i="9" s="1"/>
  <c r="F103" i="11" s="1"/>
  <c r="AV104" i="9"/>
  <c r="F104" i="9" s="1"/>
  <c r="F104" i="11" s="1"/>
  <c r="AV85" i="9"/>
  <c r="F85" i="9" s="1"/>
  <c r="F85" i="11" s="1"/>
  <c r="AV74" i="9"/>
  <c r="F74" i="9" s="1"/>
  <c r="AV95" i="9"/>
  <c r="F95" i="9" s="1"/>
  <c r="F95" i="11" s="1"/>
  <c r="AV64" i="9"/>
  <c r="AV73" i="9"/>
  <c r="F73" i="9" s="1"/>
  <c r="AV93" i="9"/>
  <c r="F93" i="9" s="1"/>
  <c r="F93" i="11" s="1"/>
  <c r="AV69" i="9"/>
  <c r="F69" i="9" s="1"/>
  <c r="F69" i="11" s="1"/>
  <c r="AV88" i="9"/>
  <c r="F88" i="9" s="1"/>
  <c r="F88" i="11" s="1"/>
  <c r="AV102" i="9"/>
  <c r="F102" i="9" s="1"/>
  <c r="F102" i="11" s="1"/>
  <c r="AV96" i="9"/>
  <c r="F96" i="9" s="1"/>
  <c r="F96" i="11" s="1"/>
  <c r="AV66" i="9"/>
  <c r="F66" i="9" s="1"/>
  <c r="F66" i="11" s="1"/>
  <c r="AV84" i="9"/>
  <c r="F84" i="9" s="1"/>
  <c r="F84" i="11" s="1"/>
  <c r="F84" i="12" s="1"/>
  <c r="AV65" i="9"/>
  <c r="F65" i="9" s="1"/>
  <c r="F65" i="11" s="1"/>
  <c r="D78" i="12"/>
  <c r="E73" i="11"/>
  <c r="E73" i="12" s="1"/>
  <c r="E74" i="11"/>
  <c r="E74" i="12" s="1"/>
  <c r="D105" i="12"/>
  <c r="D105" i="11" s="1"/>
  <c r="E102" i="12"/>
  <c r="E104" i="12"/>
  <c r="E103" i="12"/>
  <c r="D98" i="12"/>
  <c r="D98" i="11" s="1"/>
  <c r="E93" i="12"/>
  <c r="D90" i="12"/>
  <c r="D89" i="11" s="1"/>
  <c r="E94" i="12"/>
  <c r="E88" i="12"/>
  <c r="D117" i="11"/>
  <c r="E113" i="11"/>
  <c r="E112" i="11"/>
  <c r="E114" i="11"/>
  <c r="E111" i="11"/>
  <c r="E110" i="11"/>
  <c r="E109" i="11"/>
  <c r="C89" i="11"/>
  <c r="E97" i="11"/>
  <c r="E97" i="12" s="1"/>
  <c r="AV6" i="9"/>
  <c r="AV9" i="9" s="1"/>
  <c r="AW5" i="9"/>
  <c r="E87" i="11"/>
  <c r="E87" i="12" s="1"/>
  <c r="E111" i="12" l="1"/>
  <c r="E109" i="12"/>
  <c r="E110" i="12" s="1"/>
  <c r="D78" i="11"/>
  <c r="D112" i="12"/>
  <c r="D118" i="11" s="1"/>
  <c r="AW103" i="9"/>
  <c r="G103" i="9" s="1"/>
  <c r="G103" i="11" s="1"/>
  <c r="AW95" i="9"/>
  <c r="G95" i="9" s="1"/>
  <c r="G95" i="11" s="1"/>
  <c r="AW67" i="9"/>
  <c r="G67" i="9" s="1"/>
  <c r="G67" i="11" s="1"/>
  <c r="AW74" i="9"/>
  <c r="G74" i="9" s="1"/>
  <c r="AW64" i="9"/>
  <c r="G64" i="9" s="1"/>
  <c r="G64" i="11" s="1"/>
  <c r="AW68" i="9"/>
  <c r="G68" i="9" s="1"/>
  <c r="G68" i="11" s="1"/>
  <c r="AW86" i="9"/>
  <c r="G86" i="9" s="1"/>
  <c r="G86" i="11" s="1"/>
  <c r="AW85" i="9"/>
  <c r="G85" i="9" s="1"/>
  <c r="G85" i="11" s="1"/>
  <c r="AW104" i="9"/>
  <c r="G104" i="9" s="1"/>
  <c r="G104" i="11" s="1"/>
  <c r="AW94" i="9"/>
  <c r="G94" i="9" s="1"/>
  <c r="G94" i="11" s="1"/>
  <c r="AW69" i="9"/>
  <c r="G69" i="9" s="1"/>
  <c r="G69" i="11" s="1"/>
  <c r="AW73" i="9"/>
  <c r="G73" i="9" s="1"/>
  <c r="AW66" i="9"/>
  <c r="G66" i="9" s="1"/>
  <c r="G66" i="11" s="1"/>
  <c r="AW102" i="9"/>
  <c r="G102" i="9" s="1"/>
  <c r="G102" i="11" s="1"/>
  <c r="AW84" i="9"/>
  <c r="G84" i="9" s="1"/>
  <c r="G84" i="11" s="1"/>
  <c r="G84" i="12" s="1"/>
  <c r="AW88" i="9"/>
  <c r="G88" i="9" s="1"/>
  <c r="G88" i="11" s="1"/>
  <c r="AW93" i="9"/>
  <c r="G93" i="9" s="1"/>
  <c r="G93" i="11" s="1"/>
  <c r="AW65" i="9"/>
  <c r="G65" i="9" s="1"/>
  <c r="G65" i="11" s="1"/>
  <c r="AW96" i="9"/>
  <c r="G96" i="9" s="1"/>
  <c r="G96" i="11" s="1"/>
  <c r="E78" i="12"/>
  <c r="F73" i="11"/>
  <c r="F73" i="12" s="1"/>
  <c r="F74" i="11"/>
  <c r="F74" i="12" s="1"/>
  <c r="E105" i="12"/>
  <c r="E105" i="11" s="1"/>
  <c r="F102" i="12"/>
  <c r="F94" i="12"/>
  <c r="E98" i="12"/>
  <c r="E98" i="11" s="1"/>
  <c r="F93" i="12"/>
  <c r="F104" i="12"/>
  <c r="F103" i="12"/>
  <c r="F88" i="12"/>
  <c r="E117" i="11"/>
  <c r="F113" i="11"/>
  <c r="F64" i="9"/>
  <c r="F114" i="11"/>
  <c r="F112" i="11"/>
  <c r="F110" i="11"/>
  <c r="F111" i="11"/>
  <c r="E90" i="12"/>
  <c r="F97" i="11"/>
  <c r="F87" i="11"/>
  <c r="F87" i="12" s="1"/>
  <c r="AW6" i="9"/>
  <c r="AW9" i="9" s="1"/>
  <c r="AX5" i="9"/>
  <c r="E78" i="11" l="1"/>
  <c r="E112" i="12"/>
  <c r="E118" i="11" s="1"/>
  <c r="AX67" i="9"/>
  <c r="H67" i="9" s="1"/>
  <c r="H67" i="11" s="1"/>
  <c r="AX74" i="9"/>
  <c r="H74" i="9" s="1"/>
  <c r="AX94" i="9"/>
  <c r="H94" i="9" s="1"/>
  <c r="H94" i="11" s="1"/>
  <c r="AX84" i="9"/>
  <c r="H84" i="9" s="1"/>
  <c r="H84" i="11" s="1"/>
  <c r="H84" i="12" s="1"/>
  <c r="AX85" i="9"/>
  <c r="H85" i="9" s="1"/>
  <c r="H85" i="11" s="1"/>
  <c r="AX103" i="9"/>
  <c r="H103" i="9" s="1"/>
  <c r="H103" i="11" s="1"/>
  <c r="AX64" i="9"/>
  <c r="AX86" i="9"/>
  <c r="H86" i="9" s="1"/>
  <c r="H86" i="11" s="1"/>
  <c r="AX66" i="9"/>
  <c r="H66" i="9" s="1"/>
  <c r="H66" i="11" s="1"/>
  <c r="AX102" i="9"/>
  <c r="H102" i="9" s="1"/>
  <c r="H102" i="11" s="1"/>
  <c r="AX68" i="9"/>
  <c r="H68" i="9" s="1"/>
  <c r="H68" i="11" s="1"/>
  <c r="AX104" i="9"/>
  <c r="H104" i="9" s="1"/>
  <c r="H104" i="11" s="1"/>
  <c r="AX95" i="9"/>
  <c r="H95" i="9" s="1"/>
  <c r="H95" i="11" s="1"/>
  <c r="AX93" i="9"/>
  <c r="H93" i="9" s="1"/>
  <c r="H93" i="11" s="1"/>
  <c r="AX73" i="9"/>
  <c r="H73" i="9" s="1"/>
  <c r="AX96" i="9"/>
  <c r="H96" i="9" s="1"/>
  <c r="H96" i="11" s="1"/>
  <c r="AX88" i="9"/>
  <c r="H88" i="9" s="1"/>
  <c r="H88" i="11" s="1"/>
  <c r="AX65" i="9"/>
  <c r="H65" i="9" s="1"/>
  <c r="H65" i="11" s="1"/>
  <c r="AX69" i="9"/>
  <c r="H69" i="9" s="1"/>
  <c r="H69" i="11" s="1"/>
  <c r="F78" i="12"/>
  <c r="G74" i="11"/>
  <c r="G74" i="12" s="1"/>
  <c r="F64" i="11"/>
  <c r="F109" i="11" s="1"/>
  <c r="F117" i="11" s="1"/>
  <c r="G73" i="11"/>
  <c r="G73" i="12" s="1"/>
  <c r="F105" i="12"/>
  <c r="F105" i="11" s="1"/>
  <c r="G94" i="12"/>
  <c r="G102" i="12"/>
  <c r="G103" i="12"/>
  <c r="G93" i="12"/>
  <c r="G104" i="12"/>
  <c r="G88" i="12"/>
  <c r="G111" i="11"/>
  <c r="G114" i="11"/>
  <c r="G113" i="11"/>
  <c r="G109" i="11"/>
  <c r="G112" i="11"/>
  <c r="G110" i="11"/>
  <c r="F97" i="12"/>
  <c r="F98" i="12" s="1"/>
  <c r="F98" i="11" s="1"/>
  <c r="E89" i="11"/>
  <c r="F90" i="12"/>
  <c r="G87" i="11"/>
  <c r="G87" i="12" s="1"/>
  <c r="G97" i="11"/>
  <c r="AX6" i="9"/>
  <c r="AX9" i="9" s="1"/>
  <c r="AY5" i="9"/>
  <c r="F111" i="12" l="1"/>
  <c r="F78" i="11"/>
  <c r="F112" i="12"/>
  <c r="F118" i="11" s="1"/>
  <c r="F109" i="12"/>
  <c r="F110" i="12" s="1"/>
  <c r="AY74" i="9"/>
  <c r="I74" i="9" s="1"/>
  <c r="AY93" i="9"/>
  <c r="I93" i="9" s="1"/>
  <c r="I93" i="11" s="1"/>
  <c r="AY103" i="9"/>
  <c r="I103" i="9" s="1"/>
  <c r="I103" i="11" s="1"/>
  <c r="AY84" i="9"/>
  <c r="I84" i="9" s="1"/>
  <c r="I84" i="11" s="1"/>
  <c r="I84" i="12" s="1"/>
  <c r="AY64" i="9"/>
  <c r="I64" i="9" s="1"/>
  <c r="I64" i="11" s="1"/>
  <c r="AY86" i="9"/>
  <c r="I86" i="9" s="1"/>
  <c r="I86" i="11" s="1"/>
  <c r="AY85" i="9"/>
  <c r="I85" i="9" s="1"/>
  <c r="I85" i="11" s="1"/>
  <c r="AY66" i="9"/>
  <c r="I66" i="9" s="1"/>
  <c r="I66" i="11" s="1"/>
  <c r="AY104" i="9"/>
  <c r="I104" i="9" s="1"/>
  <c r="I104" i="11" s="1"/>
  <c r="AY95" i="9"/>
  <c r="I95" i="9" s="1"/>
  <c r="I95" i="11" s="1"/>
  <c r="AY102" i="9"/>
  <c r="I102" i="9" s="1"/>
  <c r="I102" i="11" s="1"/>
  <c r="AY94" i="9"/>
  <c r="I94" i="9" s="1"/>
  <c r="I94" i="11" s="1"/>
  <c r="AY68" i="9"/>
  <c r="I68" i="9" s="1"/>
  <c r="I68" i="11" s="1"/>
  <c r="AY67" i="9"/>
  <c r="I67" i="9" s="1"/>
  <c r="I67" i="11" s="1"/>
  <c r="AY73" i="9"/>
  <c r="I73" i="9" s="1"/>
  <c r="AY65" i="9"/>
  <c r="I65" i="9" s="1"/>
  <c r="I65" i="11" s="1"/>
  <c r="AY88" i="9"/>
  <c r="I88" i="9" s="1"/>
  <c r="I88" i="11" s="1"/>
  <c r="AY69" i="9"/>
  <c r="I69" i="9" s="1"/>
  <c r="I69" i="11" s="1"/>
  <c r="AY96" i="9"/>
  <c r="I96" i="9" s="1"/>
  <c r="I96" i="11" s="1"/>
  <c r="G78" i="12"/>
  <c r="H74" i="11"/>
  <c r="H74" i="12" s="1"/>
  <c r="H73" i="11"/>
  <c r="H73" i="12" s="1"/>
  <c r="G105" i="12"/>
  <c r="G105" i="11" s="1"/>
  <c r="H104" i="12"/>
  <c r="H102" i="12"/>
  <c r="H94" i="12"/>
  <c r="H93" i="12"/>
  <c r="H88" i="12"/>
  <c r="H103" i="12"/>
  <c r="G117" i="11"/>
  <c r="H111" i="11"/>
  <c r="H64" i="9"/>
  <c r="H114" i="11"/>
  <c r="H110" i="11"/>
  <c r="H112" i="11"/>
  <c r="G97" i="12"/>
  <c r="G98" i="12" s="1"/>
  <c r="G98" i="11" s="1"/>
  <c r="H113" i="11"/>
  <c r="F89" i="11"/>
  <c r="G90" i="12"/>
  <c r="H97" i="11"/>
  <c r="H87" i="11"/>
  <c r="H87" i="12" s="1"/>
  <c r="AY6" i="9"/>
  <c r="AY9" i="9" s="1"/>
  <c r="AZ5" i="9"/>
  <c r="G78" i="11" l="1"/>
  <c r="G112" i="12"/>
  <c r="G118" i="11" s="1"/>
  <c r="G109" i="12"/>
  <c r="G110" i="12" s="1"/>
  <c r="G111" i="12"/>
  <c r="AZ88" i="9"/>
  <c r="J88" i="9" s="1"/>
  <c r="J88" i="11" s="1"/>
  <c r="AZ96" i="9"/>
  <c r="J96" i="9" s="1"/>
  <c r="J96" i="11" s="1"/>
  <c r="AZ69" i="9"/>
  <c r="J69" i="9" s="1"/>
  <c r="J69" i="11" s="1"/>
  <c r="AZ65" i="9"/>
  <c r="J65" i="9" s="1"/>
  <c r="J65" i="11" s="1"/>
  <c r="AZ104" i="9"/>
  <c r="J104" i="9" s="1"/>
  <c r="J104" i="11" s="1"/>
  <c r="AZ103" i="9"/>
  <c r="J103" i="9" s="1"/>
  <c r="J103" i="11" s="1"/>
  <c r="AZ84" i="9"/>
  <c r="J84" i="9" s="1"/>
  <c r="J84" i="11" s="1"/>
  <c r="J84" i="12" s="1"/>
  <c r="AZ67" i="9"/>
  <c r="J67" i="9" s="1"/>
  <c r="J67" i="11" s="1"/>
  <c r="AZ85" i="9"/>
  <c r="J85" i="9" s="1"/>
  <c r="J85" i="11" s="1"/>
  <c r="AZ64" i="9"/>
  <c r="AZ66" i="9"/>
  <c r="J66" i="9" s="1"/>
  <c r="J66" i="11" s="1"/>
  <c r="AZ68" i="9"/>
  <c r="J68" i="9" s="1"/>
  <c r="J68" i="11" s="1"/>
  <c r="AZ93" i="9"/>
  <c r="J93" i="9" s="1"/>
  <c r="J93" i="11" s="1"/>
  <c r="AZ94" i="9"/>
  <c r="J94" i="9" s="1"/>
  <c r="J94" i="11" s="1"/>
  <c r="AZ74" i="9"/>
  <c r="J74" i="9" s="1"/>
  <c r="AZ86" i="9"/>
  <c r="J86" i="9" s="1"/>
  <c r="J86" i="11" s="1"/>
  <c r="AZ73" i="9"/>
  <c r="J73" i="9" s="1"/>
  <c r="AZ95" i="9"/>
  <c r="J95" i="9" s="1"/>
  <c r="J95" i="11" s="1"/>
  <c r="AZ102" i="9"/>
  <c r="J102" i="9" s="1"/>
  <c r="J102" i="11" s="1"/>
  <c r="H78" i="12"/>
  <c r="H64" i="11"/>
  <c r="H109" i="11" s="1"/>
  <c r="H117" i="11" s="1"/>
  <c r="I73" i="11"/>
  <c r="I73" i="12" s="1"/>
  <c r="I74" i="11"/>
  <c r="I74" i="12" s="1"/>
  <c r="I93" i="12"/>
  <c r="I103" i="12"/>
  <c r="I88" i="12"/>
  <c r="I102" i="12"/>
  <c r="I94" i="12"/>
  <c r="H105" i="12"/>
  <c r="H105" i="11" s="1"/>
  <c r="I104" i="12"/>
  <c r="H97" i="12"/>
  <c r="H98" i="12" s="1"/>
  <c r="H98" i="11" s="1"/>
  <c r="I111" i="11"/>
  <c r="I109" i="11"/>
  <c r="I114" i="11"/>
  <c r="I110" i="11"/>
  <c r="I113" i="11"/>
  <c r="I112" i="11"/>
  <c r="G89" i="11"/>
  <c r="H90" i="12"/>
  <c r="I87" i="11"/>
  <c r="I87" i="12" s="1"/>
  <c r="I97" i="11"/>
  <c r="AZ6" i="9"/>
  <c r="AZ9" i="9" s="1"/>
  <c r="H109" i="12" l="1"/>
  <c r="H110" i="12" s="1"/>
  <c r="H111" i="12"/>
  <c r="H78" i="11"/>
  <c r="H112" i="12"/>
  <c r="H118" i="11" s="1"/>
  <c r="I78" i="12"/>
  <c r="J74" i="11"/>
  <c r="J74" i="12" s="1"/>
  <c r="J73" i="11"/>
  <c r="J73" i="12" s="1"/>
  <c r="I105" i="12"/>
  <c r="I105" i="11" s="1"/>
  <c r="J93" i="12"/>
  <c r="J88" i="12"/>
  <c r="J103" i="12"/>
  <c r="J94" i="12"/>
  <c r="J104" i="12"/>
  <c r="J102" i="12"/>
  <c r="I117" i="11"/>
  <c r="J112" i="11"/>
  <c r="I97" i="12"/>
  <c r="I98" i="12" s="1"/>
  <c r="I98" i="11" s="1"/>
  <c r="J114" i="11"/>
  <c r="J64" i="9"/>
  <c r="J113" i="11"/>
  <c r="J111" i="11"/>
  <c r="J110" i="11"/>
  <c r="H89" i="11"/>
  <c r="I90" i="12"/>
  <c r="J87" i="11"/>
  <c r="J87" i="12" s="1"/>
  <c r="J97" i="11"/>
  <c r="I78" i="11" l="1"/>
  <c r="I112" i="12"/>
  <c r="I118" i="11" s="1"/>
  <c r="I109" i="12"/>
  <c r="I110" i="12" s="1"/>
  <c r="I111" i="12"/>
  <c r="J78" i="12"/>
  <c r="J64" i="11"/>
  <c r="J109" i="11" s="1"/>
  <c r="J117" i="11" s="1"/>
  <c r="J105" i="12"/>
  <c r="J105" i="11" s="1"/>
  <c r="J97" i="12"/>
  <c r="J98" i="12" s="1"/>
  <c r="J98" i="11" s="1"/>
  <c r="I89" i="11"/>
  <c r="J90" i="12"/>
  <c r="J111" i="12" l="1"/>
  <c r="J109" i="12"/>
  <c r="J110" i="12" s="1"/>
  <c r="J78" i="11"/>
  <c r="J112" i="12"/>
  <c r="J118" i="11" s="1"/>
  <c r="J89" i="11"/>
  <c r="B78" i="11"/>
  <c r="B118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<sst xmlns="http://schemas.openxmlformats.org/spreadsheetml/2006/main" count="8287" uniqueCount="1975">
  <si>
    <t>Step</t>
  </si>
  <si>
    <t>AIFeedbackEnabled</t>
  </si>
  <si>
    <t>ReadVault</t>
  </si>
  <si>
    <t>settingsID</t>
  </si>
  <si>
    <t>Time</t>
  </si>
  <si>
    <t>Year</t>
  </si>
  <si>
    <t/>
  </si>
  <si>
    <t>Medium</t>
  </si>
  <si>
    <t>NumYears</t>
  </si>
  <si>
    <t>GameOver</t>
  </si>
  <si>
    <t>Low</t>
  </si>
  <si>
    <t>High</t>
  </si>
  <si>
    <t>Crisis</t>
  </si>
  <si>
    <t>CYear</t>
  </si>
  <si>
    <t>C1Year</t>
  </si>
  <si>
    <t>C2Year</t>
  </si>
  <si>
    <t>C3Year</t>
  </si>
  <si>
    <t>C4Year</t>
  </si>
  <si>
    <t>C</t>
  </si>
  <si>
    <t>C1</t>
  </si>
  <si>
    <t>C2</t>
  </si>
  <si>
    <t>C3</t>
  </si>
  <si>
    <t>C4</t>
  </si>
  <si>
    <t>CShow</t>
  </si>
  <si>
    <t>C1Show</t>
  </si>
  <si>
    <t>C2Show</t>
  </si>
  <si>
    <t>C3Show</t>
  </si>
  <si>
    <t>C4Show</t>
  </si>
  <si>
    <t>CEnabled</t>
  </si>
  <si>
    <t>C1Enabled</t>
  </si>
  <si>
    <t>C2Enabled</t>
  </si>
  <si>
    <t>C3Enabled</t>
  </si>
  <si>
    <t>C4Enabled</t>
  </si>
  <si>
    <t>CPrepared</t>
  </si>
  <si>
    <t>C1Prepared</t>
  </si>
  <si>
    <t>C2Prepared</t>
  </si>
  <si>
    <t>C3Prepared</t>
  </si>
  <si>
    <t>C4Prepared</t>
  </si>
  <si>
    <t>C1ShowCrisisCard</t>
  </si>
  <si>
    <t>C2ShowCrisisCard</t>
  </si>
  <si>
    <t>C3ShowCrisisCard</t>
  </si>
  <si>
    <t>C4ShowCrisisCard</t>
  </si>
  <si>
    <t>Projects Variables</t>
  </si>
  <si>
    <t>Public Policy Simulation: AI Governance</t>
  </si>
  <si>
    <t>Economy</t>
  </si>
  <si>
    <t>Governance</t>
  </si>
  <si>
    <t>Targets</t>
  </si>
  <si>
    <t>HumanRights</t>
  </si>
  <si>
    <t>Transparency</t>
  </si>
  <si>
    <t>SecuritySafety</t>
  </si>
  <si>
    <t>Accountability</t>
  </si>
  <si>
    <t>Environment</t>
  </si>
  <si>
    <t>Defense</t>
  </si>
  <si>
    <t>Education &amp; Innovation</t>
  </si>
  <si>
    <t>NetJobsFromAI</t>
  </si>
  <si>
    <t>AIContributionToGDP</t>
  </si>
  <si>
    <t>CybersecurityIndex</t>
  </si>
  <si>
    <t>AILiteracy</t>
  </si>
  <si>
    <t>InnovationIndex</t>
  </si>
  <si>
    <t>NetJobsFromAITarget</t>
  </si>
  <si>
    <t>AIContributionToGDPTarget</t>
  </si>
  <si>
    <t>CybersecurityIndexTarget</t>
  </si>
  <si>
    <t>AILiteracyTarget</t>
  </si>
  <si>
    <t>InnovationIndexTarget</t>
  </si>
  <si>
    <t>Numbers</t>
  </si>
  <si>
    <t>NumTargetsMet</t>
  </si>
  <si>
    <t>NumTargetsAlmostMet</t>
  </si>
  <si>
    <t>NumTargetsNotMet</t>
  </si>
  <si>
    <t>EcPro</t>
  </si>
  <si>
    <t>EcPro3</t>
  </si>
  <si>
    <t>EcPro4</t>
  </si>
  <si>
    <t>EcPro5</t>
  </si>
  <si>
    <t>EcPro6</t>
  </si>
  <si>
    <t>EcPro7</t>
  </si>
  <si>
    <t>EcPro8</t>
  </si>
  <si>
    <t>EcPro9</t>
  </si>
  <si>
    <t>EcPro10</t>
  </si>
  <si>
    <t>EcPro11</t>
  </si>
  <si>
    <t>EcPro12</t>
  </si>
  <si>
    <t>EcPro13</t>
  </si>
  <si>
    <t>EcPro14</t>
  </si>
  <si>
    <t>EcPro15</t>
  </si>
  <si>
    <t>EcPro16</t>
  </si>
  <si>
    <t>EcPro17</t>
  </si>
  <si>
    <t>EcPro18</t>
  </si>
  <si>
    <t>EcPro19</t>
  </si>
  <si>
    <t>EcPro20</t>
  </si>
  <si>
    <t>EcPro21</t>
  </si>
  <si>
    <t>EcPro22</t>
  </si>
  <si>
    <t>EcPro23</t>
  </si>
  <si>
    <t>EcPro24</t>
  </si>
  <si>
    <t>EcProShow</t>
  </si>
  <si>
    <t>EcProNew</t>
  </si>
  <si>
    <t>EcPro3New</t>
  </si>
  <si>
    <t>EcPro4New</t>
  </si>
  <si>
    <t>EcPro5New</t>
  </si>
  <si>
    <t>EcPro6New</t>
  </si>
  <si>
    <t>EcPro7New</t>
  </si>
  <si>
    <t>EcPro8New</t>
  </si>
  <si>
    <t>EcPro9New</t>
  </si>
  <si>
    <t>EcPro10New</t>
  </si>
  <si>
    <t>EcPro11New</t>
  </si>
  <si>
    <t>EcPro12New</t>
  </si>
  <si>
    <t>EcPro13New</t>
  </si>
  <si>
    <t>EcPro14New</t>
  </si>
  <si>
    <t>EcPro15New</t>
  </si>
  <si>
    <t>EcPro16New</t>
  </si>
  <si>
    <t>EcPro17New</t>
  </si>
  <si>
    <t>EcPro18New</t>
  </si>
  <si>
    <t>EcPro19New</t>
  </si>
  <si>
    <t>EcPro20New</t>
  </si>
  <si>
    <t>EcPro21New</t>
  </si>
  <si>
    <t>EcPro22New</t>
  </si>
  <si>
    <t>EcPro23New</t>
  </si>
  <si>
    <t>EcPro24New</t>
  </si>
  <si>
    <t>EcProSort</t>
  </si>
  <si>
    <t>EcPro3Sort</t>
  </si>
  <si>
    <t>EcPro4Sort</t>
  </si>
  <si>
    <t>EcPro5Sort</t>
  </si>
  <si>
    <t>EcPro6Sort</t>
  </si>
  <si>
    <t>EcPro7Sort</t>
  </si>
  <si>
    <t>EcPro8Sort</t>
  </si>
  <si>
    <t>EcPro9Sort</t>
  </si>
  <si>
    <t>EcPro10Sort</t>
  </si>
  <si>
    <t>EcPro11Sort</t>
  </si>
  <si>
    <t>EcPro12Sort</t>
  </si>
  <si>
    <t>EcPro13Sort</t>
  </si>
  <si>
    <t>EcPro14Sort</t>
  </si>
  <si>
    <t>EcPro15Sort</t>
  </si>
  <si>
    <t>EcPro16Sort</t>
  </si>
  <si>
    <t>EcPro17Sort</t>
  </si>
  <si>
    <t>EcPro18Sort</t>
  </si>
  <si>
    <t>EcPro19Sort</t>
  </si>
  <si>
    <t>EcPro20Sort</t>
  </si>
  <si>
    <t>EcPro21Sort</t>
  </si>
  <si>
    <t>EcPro22Sort</t>
  </si>
  <si>
    <t>EcPro23Sort</t>
  </si>
  <si>
    <t>EcPro24Sort</t>
  </si>
  <si>
    <t>EcProDecidedlastyr</t>
  </si>
  <si>
    <t>EcPro3Decidedlastyr</t>
  </si>
  <si>
    <t>EcPro4Decidedlastyr</t>
  </si>
  <si>
    <t>EcPro5Decidedlastyr</t>
  </si>
  <si>
    <t>EcPro6Decidedlastyr</t>
  </si>
  <si>
    <t>EcPro7Decidedlastyr</t>
  </si>
  <si>
    <t>EcPro8Decidedlastyr</t>
  </si>
  <si>
    <t>EcPro9Decidedlastyr</t>
  </si>
  <si>
    <t>EcPro10Decidedlastyr</t>
  </si>
  <si>
    <t>EcPro11Decidedlastyr</t>
  </si>
  <si>
    <t>EcPro12Decidedlastyr</t>
  </si>
  <si>
    <t>EcPro13Decidedlastyr</t>
  </si>
  <si>
    <t>EcPro14Decidedlastyr</t>
  </si>
  <si>
    <t>EcPro15Decidedlastyr</t>
  </si>
  <si>
    <t>EcPro16Decidedlastyr</t>
  </si>
  <si>
    <t>EcPro17Decidedlastyr</t>
  </si>
  <si>
    <t>EcPro18Decidedlastyr</t>
  </si>
  <si>
    <t>EcPro19Decidedlastyr</t>
  </si>
  <si>
    <t>EcPro20Decidedlastyr</t>
  </si>
  <si>
    <t>EcPro21Decidedlastyr</t>
  </si>
  <si>
    <t>EcPro22Decidedlastyr</t>
  </si>
  <si>
    <t>EcPro23Decidedlastyr</t>
  </si>
  <si>
    <t>EcPro24Decidedlastyr</t>
  </si>
  <si>
    <t>EcProDecided2yrsago</t>
  </si>
  <si>
    <t>EcPro3Decided2yrsago</t>
  </si>
  <si>
    <t>EcPro4Decided2yrsago</t>
  </si>
  <si>
    <t>EcPro5Decided2yrsago</t>
  </si>
  <si>
    <t>EcPro6Decided2yrsago</t>
  </si>
  <si>
    <t>EcPro7Decided2yrsago</t>
  </si>
  <si>
    <t>EcPro8Decided2yrsago</t>
  </si>
  <si>
    <t>EcPro9Decided2yrsago</t>
  </si>
  <si>
    <t>EcPro10Decided2yrsago</t>
  </si>
  <si>
    <t>EcPro11Decided2yrsago</t>
  </si>
  <si>
    <t>EcPro12Decided2yrsago</t>
  </si>
  <si>
    <t>EcPro13Decided2yrsago</t>
  </si>
  <si>
    <t>EcPro14Decided2yrsago</t>
  </si>
  <si>
    <t>EcPro15Decided2yrsago</t>
  </si>
  <si>
    <t>EcPro16Decided2yrsago</t>
  </si>
  <si>
    <t>EcPro17Decided2yrsago</t>
  </si>
  <si>
    <t>EcPro18Decided2yrsago</t>
  </si>
  <si>
    <t>EcPro19Decided2yrsago</t>
  </si>
  <si>
    <t>EcPro20Decided2yrsago</t>
  </si>
  <si>
    <t>EcPro21Decided2yrsago</t>
  </si>
  <si>
    <t>EcPro22Decided2yrsago</t>
  </si>
  <si>
    <t>EcPro23Decided2yrsago</t>
  </si>
  <si>
    <t>EcPro24Decided2yrsago</t>
  </si>
  <si>
    <t>EcPro3Cost</t>
  </si>
  <si>
    <t>EcPro4Cost</t>
  </si>
  <si>
    <t>EcPro5Cost</t>
  </si>
  <si>
    <t>EcPro6Cost</t>
  </si>
  <si>
    <t>EcPro7Cost</t>
  </si>
  <si>
    <t>EcPro8Cost</t>
  </si>
  <si>
    <t>EcPro9Cost</t>
  </si>
  <si>
    <t>EcPro10Cost</t>
  </si>
  <si>
    <t>EcPro11Cost</t>
  </si>
  <si>
    <t>EcPro12Cost</t>
  </si>
  <si>
    <t>EcPro13Cost</t>
  </si>
  <si>
    <t>EcPro14Cost</t>
  </si>
  <si>
    <t>EcPro15Cost</t>
  </si>
  <si>
    <t>EcPro16Cost</t>
  </si>
  <si>
    <t>EcPro17Cost</t>
  </si>
  <si>
    <t>EcPro18Cost</t>
  </si>
  <si>
    <t>EcPro19Cost</t>
  </si>
  <si>
    <t>EcPro20Cost</t>
  </si>
  <si>
    <t>EcPro21Cost</t>
  </si>
  <si>
    <t>EcPro22Cost</t>
  </si>
  <si>
    <t>EcPro23Cost</t>
  </si>
  <si>
    <t>EcPro24Cost</t>
  </si>
  <si>
    <t>EcPro3CostValue</t>
  </si>
  <si>
    <t>EcPro4CostValue</t>
  </si>
  <si>
    <t>EcPro5CostValue</t>
  </si>
  <si>
    <t>EcPro6CostValue</t>
  </si>
  <si>
    <t>EcPro7CostValue</t>
  </si>
  <si>
    <t>EcPro8CostValue</t>
  </si>
  <si>
    <t>EcPro9CostValue</t>
  </si>
  <si>
    <t>EcPro10CostValue</t>
  </si>
  <si>
    <t>EcPro11CostValue</t>
  </si>
  <si>
    <t>EcPro12CostValue</t>
  </si>
  <si>
    <t>EcPro13CostValue</t>
  </si>
  <si>
    <t>EcPro14CostValue</t>
  </si>
  <si>
    <t>EcPro15CostValue</t>
  </si>
  <si>
    <t>EcPro16CostValue</t>
  </si>
  <si>
    <t>EcPro17CostValue</t>
  </si>
  <si>
    <t>EcPro18CostValue</t>
  </si>
  <si>
    <t>EcPro19CostValue</t>
  </si>
  <si>
    <t>EcPro20CostValue</t>
  </si>
  <si>
    <t>EcPro21CostValue</t>
  </si>
  <si>
    <t>EcPro22CostValue</t>
  </si>
  <si>
    <t>EcPro23CostValue</t>
  </si>
  <si>
    <t>EcPro24CostValue</t>
  </si>
  <si>
    <t>EcProReasoning</t>
  </si>
  <si>
    <t>EcPro3Reasoning</t>
  </si>
  <si>
    <t>EcPro4Reasoning</t>
  </si>
  <si>
    <t>EcPro5Reasoning</t>
  </si>
  <si>
    <t>EcPro6Reasoning</t>
  </si>
  <si>
    <t>EcPro7Reasoning</t>
  </si>
  <si>
    <t>EcPro8Reasoning</t>
  </si>
  <si>
    <t>EcPro9Reasoning</t>
  </si>
  <si>
    <t>EcPro10Reasoning</t>
  </si>
  <si>
    <t>EcPro11Reasoning</t>
  </si>
  <si>
    <t>EcPro12Reasoning</t>
  </si>
  <si>
    <t>EcPro13Reasoning</t>
  </si>
  <si>
    <t>EcPro14Reasoning</t>
  </si>
  <si>
    <t>EcPro15Reasoning</t>
  </si>
  <si>
    <t>EcPro16Reasoning</t>
  </si>
  <si>
    <t>EcPro17Reasoning</t>
  </si>
  <si>
    <t>EcPro18Reasoning</t>
  </si>
  <si>
    <t>EcPro19Reasoning</t>
  </si>
  <si>
    <t>EcPro20Reasoning</t>
  </si>
  <si>
    <t>EcPro21Reasoning</t>
  </si>
  <si>
    <t>EcPro22Reasoning</t>
  </si>
  <si>
    <t>EcPro23Reasoning</t>
  </si>
  <si>
    <t>EcPro24Reasoning</t>
  </si>
  <si>
    <t>EcProResponse</t>
  </si>
  <si>
    <t>EcPro3Response</t>
  </si>
  <si>
    <t>EcPro4Response</t>
  </si>
  <si>
    <t>EcPro5Response</t>
  </si>
  <si>
    <t>EcPro6Response</t>
  </si>
  <si>
    <t>EcPro7Response</t>
  </si>
  <si>
    <t>EcPro8Response</t>
  </si>
  <si>
    <t>EcPro9Response</t>
  </si>
  <si>
    <t>EcPro10Response</t>
  </si>
  <si>
    <t>EcPro11Response</t>
  </si>
  <si>
    <t>EcPro12Response</t>
  </si>
  <si>
    <t>EcPro13Response</t>
  </si>
  <si>
    <t>EcPro14Response</t>
  </si>
  <si>
    <t>EcPro15Response</t>
  </si>
  <si>
    <t>EcPro16Response</t>
  </si>
  <si>
    <t>EcPro17Response</t>
  </si>
  <si>
    <t>EcPro18Response</t>
  </si>
  <si>
    <t>EcPro19Response</t>
  </si>
  <si>
    <t>EcPro20Response</t>
  </si>
  <si>
    <t>EcPro21Response</t>
  </si>
  <si>
    <t>EcPro22Response</t>
  </si>
  <si>
    <t>EcPro23Response</t>
  </si>
  <si>
    <t>EcPro24Response</t>
  </si>
  <si>
    <t>EcProYearSelected</t>
  </si>
  <si>
    <t>EcPro3YearSelected</t>
  </si>
  <si>
    <t>EcPro4YearSelected</t>
  </si>
  <si>
    <t>EcPro5YearSelected</t>
  </si>
  <si>
    <t>EcPro6YearSelected</t>
  </si>
  <si>
    <t>EcPro7YearSelected</t>
  </si>
  <si>
    <t>EcPro8YearSelected</t>
  </si>
  <si>
    <t>EcPro9YearSelected</t>
  </si>
  <si>
    <t>EcPro10YearSelected</t>
  </si>
  <si>
    <t>EcPro11YearSelected</t>
  </si>
  <si>
    <t>EcPro12YearSelected</t>
  </si>
  <si>
    <t>EcPro13YearSelected</t>
  </si>
  <si>
    <t>EcPro14YearSelected</t>
  </si>
  <si>
    <t>EcPro15YearSelected</t>
  </si>
  <si>
    <t>EcPro16YearSelected</t>
  </si>
  <si>
    <t>EcPro17YearSelected</t>
  </si>
  <si>
    <t>EcPro18YearSelected</t>
  </si>
  <si>
    <t>EcPro19YearSelected</t>
  </si>
  <si>
    <t>EcPro20YearSelected</t>
  </si>
  <si>
    <t>EcPro21YearSelected</t>
  </si>
  <si>
    <t>EcPro22YearSelected</t>
  </si>
  <si>
    <t>EcPro23YearSelected</t>
  </si>
  <si>
    <t>EcPro24YearSelected</t>
  </si>
  <si>
    <t>EcPro3Show</t>
  </si>
  <si>
    <t>EcPro4Show</t>
  </si>
  <si>
    <t>EcPro5Show</t>
  </si>
  <si>
    <t>EcPro6Show</t>
  </si>
  <si>
    <t>EcPro7Show</t>
  </si>
  <si>
    <t>EcPro8Show</t>
  </si>
  <si>
    <t>EcPro9Show</t>
  </si>
  <si>
    <t>EcPro10Show</t>
  </si>
  <si>
    <t>EcPro11Show</t>
  </si>
  <si>
    <t>EcPro12Show</t>
  </si>
  <si>
    <t>EcPro13Show</t>
  </si>
  <si>
    <t>EcPro14Show</t>
  </si>
  <si>
    <t>EcPro15Show</t>
  </si>
  <si>
    <t>EcPro16Show</t>
  </si>
  <si>
    <t>EcPro17Show</t>
  </si>
  <si>
    <t>EcPro18Show</t>
  </si>
  <si>
    <t>EcPro19Show</t>
  </si>
  <si>
    <t>EcPro20Show</t>
  </si>
  <si>
    <t>EcPro21Show</t>
  </si>
  <si>
    <t>EcPro22Show</t>
  </si>
  <si>
    <t>EcPro23Show</t>
  </si>
  <si>
    <t>EcPro24Show</t>
  </si>
  <si>
    <t>EcProType</t>
  </si>
  <si>
    <t>1 = Toggle, 2 = Slider</t>
  </si>
  <si>
    <t>EcPro3Type</t>
  </si>
  <si>
    <t>EcPro4Type</t>
  </si>
  <si>
    <t>EcPro5Type</t>
  </si>
  <si>
    <t>EcPro6Type</t>
  </si>
  <si>
    <t>EcPro7Type</t>
  </si>
  <si>
    <t>EcPro8Type</t>
  </si>
  <si>
    <t>EcPro9Type</t>
  </si>
  <si>
    <t>EcPro10Type</t>
  </si>
  <si>
    <t>EcPro11Type</t>
  </si>
  <si>
    <t>EcPro12Type</t>
  </si>
  <si>
    <t>EcPro13Type</t>
  </si>
  <si>
    <t>EcPro14Type</t>
  </si>
  <si>
    <t>Slider 2</t>
  </si>
  <si>
    <t>Slider 1</t>
  </si>
  <si>
    <t>Values</t>
  </si>
  <si>
    <t>Value1Position</t>
  </si>
  <si>
    <t>Value2Position</t>
  </si>
  <si>
    <t>Value3Position</t>
  </si>
  <si>
    <t>Value4Position</t>
  </si>
  <si>
    <t>Value5Position</t>
  </si>
  <si>
    <t>Value6Position</t>
  </si>
  <si>
    <t>EconomyScore</t>
  </si>
  <si>
    <t>EnvironmentScore</t>
  </si>
  <si>
    <t>DefenseScore</t>
  </si>
  <si>
    <t>EcProCanCancel</t>
  </si>
  <si>
    <t>EcPro15Type</t>
  </si>
  <si>
    <t>EcPro3CanCancel</t>
  </si>
  <si>
    <t>EcPro4CanCancel</t>
  </si>
  <si>
    <t>EcPro5CanCancel</t>
  </si>
  <si>
    <t>EcPro6CanCancel</t>
  </si>
  <si>
    <t>EcPro7CanCancel</t>
  </si>
  <si>
    <t>EcPro8CanCancel</t>
  </si>
  <si>
    <t>EcPro9CanCancel</t>
  </si>
  <si>
    <t>EcPro10CanCancel</t>
  </si>
  <si>
    <t>EcPro11CanCancel</t>
  </si>
  <si>
    <t>EcPro12CanCancel</t>
  </si>
  <si>
    <t>EcPro13CanCancel</t>
  </si>
  <si>
    <t>EcPro14CanCancel</t>
  </si>
  <si>
    <t>EcPro15CanCancel</t>
  </si>
  <si>
    <t>EcPro16Type</t>
  </si>
  <si>
    <t>EcPro16CanCancel</t>
  </si>
  <si>
    <t>EcPro17Type</t>
  </si>
  <si>
    <t>EcPro17CanCancel</t>
  </si>
  <si>
    <t>EcProDone</t>
  </si>
  <si>
    <t>EcPro3Done</t>
  </si>
  <si>
    <t>EcPro4Done</t>
  </si>
  <si>
    <t>EcPro5Done</t>
  </si>
  <si>
    <t>EcPro6Done</t>
  </si>
  <si>
    <t>EcPro7Done</t>
  </si>
  <si>
    <t>EcPro8Done</t>
  </si>
  <si>
    <t>EcPro9Done</t>
  </si>
  <si>
    <t>EcPro10Done</t>
  </si>
  <si>
    <t>EcPro11Done</t>
  </si>
  <si>
    <t>EcPro12Done</t>
  </si>
  <si>
    <t>EcPro13Done</t>
  </si>
  <si>
    <t>EcPro14Done</t>
  </si>
  <si>
    <t>EcPro15Done</t>
  </si>
  <si>
    <t>EcPro16Done</t>
  </si>
  <si>
    <t>EcPro17Done</t>
  </si>
  <si>
    <t>Initiative 11</t>
  </si>
  <si>
    <t>Initiative 12</t>
  </si>
  <si>
    <t>Initiative 13</t>
  </si>
  <si>
    <t>Initiative 14</t>
  </si>
  <si>
    <t>Initiative 15</t>
  </si>
  <si>
    <t>Role Selection</t>
  </si>
  <si>
    <t>RoleUser0</t>
  </si>
  <si>
    <t>RoleUser1</t>
  </si>
  <si>
    <t>RoleUser2</t>
  </si>
  <si>
    <t>RoleUser3</t>
  </si>
  <si>
    <t>RoleUser4</t>
  </si>
  <si>
    <t>RolesConfirmed</t>
  </si>
  <si>
    <t>ValuesConfirmed</t>
  </si>
  <si>
    <t>EnvPro</t>
  </si>
  <si>
    <t>EnvPro3</t>
  </si>
  <si>
    <t>EnvPro4</t>
  </si>
  <si>
    <t>EnvPro5</t>
  </si>
  <si>
    <t>EnvPro6</t>
  </si>
  <si>
    <t>EnvPro7</t>
  </si>
  <si>
    <t>EnvPro8</t>
  </si>
  <si>
    <t>EnvPro9</t>
  </si>
  <si>
    <t>EnvPro10</t>
  </si>
  <si>
    <t>EnvPro11</t>
  </si>
  <si>
    <t>EnvPro12</t>
  </si>
  <si>
    <t>EnvPro13</t>
  </si>
  <si>
    <t>EnvPro14</t>
  </si>
  <si>
    <t>EnvPro15</t>
  </si>
  <si>
    <t>EnvPro16</t>
  </si>
  <si>
    <t>EnvPro17</t>
  </si>
  <si>
    <t>EnvPro18</t>
  </si>
  <si>
    <t>EnvPro19</t>
  </si>
  <si>
    <t>EnvPro20</t>
  </si>
  <si>
    <t>EnvPro21</t>
  </si>
  <si>
    <t>EnvPro22</t>
  </si>
  <si>
    <t>EnvPro23</t>
  </si>
  <si>
    <t>EnvPro24</t>
  </si>
  <si>
    <t>EnvProDone</t>
  </si>
  <si>
    <t>EnvPro3Done</t>
  </si>
  <si>
    <t>EnvPro4Done</t>
  </si>
  <si>
    <t>EnvPro5Done</t>
  </si>
  <si>
    <t>EnvPro6Done</t>
  </si>
  <si>
    <t>EnvPro7Done</t>
  </si>
  <si>
    <t>EnvPro8Done</t>
  </si>
  <si>
    <t>EnvPro9Done</t>
  </si>
  <si>
    <t>EnvPro10Done</t>
  </si>
  <si>
    <t>EnvPro11Done</t>
  </si>
  <si>
    <t>EnvPro12Done</t>
  </si>
  <si>
    <t>EnvPro13Done</t>
  </si>
  <si>
    <t>EnvPro14Done</t>
  </si>
  <si>
    <t>EnvPro15Done</t>
  </si>
  <si>
    <t>EnvPro16Done</t>
  </si>
  <si>
    <t>EnvPro17Done</t>
  </si>
  <si>
    <t>EnvProShow</t>
  </si>
  <si>
    <t>EnvPro3Show</t>
  </si>
  <si>
    <t>EnvPro4Show</t>
  </si>
  <si>
    <t>EnvPro5Show</t>
  </si>
  <si>
    <t>EnvPro6Show</t>
  </si>
  <si>
    <t>EnvPro7Show</t>
  </si>
  <si>
    <t>EnvPro8Show</t>
  </si>
  <si>
    <t>EnvPro9Show</t>
  </si>
  <si>
    <t>EnvPro10Show</t>
  </si>
  <si>
    <t>EnvPro11Show</t>
  </si>
  <si>
    <t>EnvPro12Show</t>
  </si>
  <si>
    <t>EnvPro13Show</t>
  </si>
  <si>
    <t>EnvPro14Show</t>
  </si>
  <si>
    <t>EnvPro15Show</t>
  </si>
  <si>
    <t>EnvPro16Show</t>
  </si>
  <si>
    <t>EnvPro17Show</t>
  </si>
  <si>
    <t>EnvPro18Show</t>
  </si>
  <si>
    <t>EnvPro19Show</t>
  </si>
  <si>
    <t>EnvPro20Show</t>
  </si>
  <si>
    <t>EnvPro21Show</t>
  </si>
  <si>
    <t>EnvPro22Show</t>
  </si>
  <si>
    <t>EnvPro23Show</t>
  </si>
  <si>
    <t>EnvPro24Show</t>
  </si>
  <si>
    <t>EnvProNew</t>
  </si>
  <si>
    <t>EnvPro3New</t>
  </si>
  <si>
    <t>EnvPro4New</t>
  </si>
  <si>
    <t>EnvPro5New</t>
  </si>
  <si>
    <t>EnvPro6New</t>
  </si>
  <si>
    <t>EnvPro7New</t>
  </si>
  <si>
    <t>EnvPro8New</t>
  </si>
  <si>
    <t>EnvPro9New</t>
  </si>
  <si>
    <t>EnvPro10New</t>
  </si>
  <si>
    <t>EnvPro11New</t>
  </si>
  <si>
    <t>EnvPro12New</t>
  </si>
  <si>
    <t>EnvPro13New</t>
  </si>
  <si>
    <t>EnvPro14New</t>
  </si>
  <si>
    <t>EnvPro15New</t>
  </si>
  <si>
    <t>EnvPro16New</t>
  </si>
  <si>
    <t>EnvPro17New</t>
  </si>
  <si>
    <t>EnvPro18New</t>
  </si>
  <si>
    <t>EnvPro19New</t>
  </si>
  <si>
    <t>EnvPro20New</t>
  </si>
  <si>
    <t>EnvPro21New</t>
  </si>
  <si>
    <t>EnvPro22New</t>
  </si>
  <si>
    <t>EnvPro23New</t>
  </si>
  <si>
    <t>EnvPro24New</t>
  </si>
  <si>
    <t>EnvProSort</t>
  </si>
  <si>
    <t>EnvPro3Sort</t>
  </si>
  <si>
    <t>EnvPro4Sort</t>
  </si>
  <si>
    <t>EnvPro5Sort</t>
  </si>
  <si>
    <t>EnvPro6Sort</t>
  </si>
  <si>
    <t>EnvPro7Sort</t>
  </si>
  <si>
    <t>EnvPro8Sort</t>
  </si>
  <si>
    <t>EnvPro9Sort</t>
  </si>
  <si>
    <t>EnvPro10Sort</t>
  </si>
  <si>
    <t>EnvPro11Sort</t>
  </si>
  <si>
    <t>EnvPro12Sort</t>
  </si>
  <si>
    <t>EnvPro13Sort</t>
  </si>
  <si>
    <t>EnvPro14Sort</t>
  </si>
  <si>
    <t>EnvPro15Sort</t>
  </si>
  <si>
    <t>EnvPro16Sort</t>
  </si>
  <si>
    <t>EnvPro17Sort</t>
  </si>
  <si>
    <t>EnvPro18Sort</t>
  </si>
  <si>
    <t>EnvPro19Sort</t>
  </si>
  <si>
    <t>EnvPro20Sort</t>
  </si>
  <si>
    <t>EnvPro21Sort</t>
  </si>
  <si>
    <t>EnvPro22Sort</t>
  </si>
  <si>
    <t>EnvPro23Sort</t>
  </si>
  <si>
    <t>EnvPro24Sort</t>
  </si>
  <si>
    <t>EnvProDecidedlastyr</t>
  </si>
  <si>
    <t>EnvPro3Decidedlastyr</t>
  </si>
  <si>
    <t>EnvPro4Decidedlastyr</t>
  </si>
  <si>
    <t>EnvPro5Decidedlastyr</t>
  </si>
  <si>
    <t>EnvPro6Decidedlastyr</t>
  </si>
  <si>
    <t>EnvPro7Decidedlastyr</t>
  </si>
  <si>
    <t>EnvPro8Decidedlastyr</t>
  </si>
  <si>
    <t>EnvPro9Decidedlastyr</t>
  </si>
  <si>
    <t>EnvPro10Decidedlastyr</t>
  </si>
  <si>
    <t>EnvPro11Decidedlastyr</t>
  </si>
  <si>
    <t>EnvPro12Decidedlastyr</t>
  </si>
  <si>
    <t>EnvPro13Decidedlastyr</t>
  </si>
  <si>
    <t>EnvPro14Decidedlastyr</t>
  </si>
  <si>
    <t>EnvPro15Decidedlastyr</t>
  </si>
  <si>
    <t>EnvPro16Decidedlastyr</t>
  </si>
  <si>
    <t>EnvPro17Decidedlastyr</t>
  </si>
  <si>
    <t>EnvPro18Decidedlastyr</t>
  </si>
  <si>
    <t>EnvPro19Decidedlastyr</t>
  </si>
  <si>
    <t>EnvPro20Decidedlastyr</t>
  </si>
  <si>
    <t>EnvPro21Decidedlastyr</t>
  </si>
  <si>
    <t>EnvPro22Decidedlastyr</t>
  </si>
  <si>
    <t>EnvPro23Decidedlastyr</t>
  </si>
  <si>
    <t>EnvPro24Decidedlastyr</t>
  </si>
  <si>
    <t>EnvProDecided2yrsago</t>
  </si>
  <si>
    <t>EnvPro3Decided2yrsago</t>
  </si>
  <si>
    <t>EnvPro4Decided2yrsago</t>
  </si>
  <si>
    <t>EnvPro5Decided2yrsago</t>
  </si>
  <si>
    <t>EnvPro6Decided2yrsago</t>
  </si>
  <si>
    <t>EnvPro7Decided2yrsago</t>
  </si>
  <si>
    <t>EnvPro8Decided2yrsago</t>
  </si>
  <si>
    <t>EnvPro9Decided2yrsago</t>
  </si>
  <si>
    <t>EnvPro10Decided2yrsago</t>
  </si>
  <si>
    <t>EnvPro11Decided2yrsago</t>
  </si>
  <si>
    <t>EnvPro12Decided2yrsago</t>
  </si>
  <si>
    <t>EnvPro13Decided2yrsago</t>
  </si>
  <si>
    <t>EnvPro14Decided2yrsago</t>
  </si>
  <si>
    <t>EnvPro15Decided2yrsago</t>
  </si>
  <si>
    <t>EnvPro16Decided2yrsago</t>
  </si>
  <si>
    <t>EnvPro17Decided2yrsago</t>
  </si>
  <si>
    <t>EnvPro18Decided2yrsago</t>
  </si>
  <si>
    <t>EnvPro19Decided2yrsago</t>
  </si>
  <si>
    <t>EnvPro20Decided2yrsago</t>
  </si>
  <si>
    <t>EnvPro21Decided2yrsago</t>
  </si>
  <si>
    <t>EnvPro22Decided2yrsago</t>
  </si>
  <si>
    <t>EnvPro23Decided2yrsago</t>
  </si>
  <si>
    <t>EnvPro24Decided2yrsago</t>
  </si>
  <si>
    <t>EnvPro3Cost</t>
  </si>
  <si>
    <t>EnvPro4Cost</t>
  </si>
  <si>
    <t>EnvPro5Cost</t>
  </si>
  <si>
    <t>EnvPro6Cost</t>
  </si>
  <si>
    <t>EnvPro7Cost</t>
  </si>
  <si>
    <t>EnvPro8Cost</t>
  </si>
  <si>
    <t>EnvPro9Cost</t>
  </si>
  <si>
    <t>EnvPro10Cost</t>
  </si>
  <si>
    <t>EnvPro11Cost</t>
  </si>
  <si>
    <t>EnvPro12Cost</t>
  </si>
  <si>
    <t>EnvPro13Cost</t>
  </si>
  <si>
    <t>EnvPro14Cost</t>
  </si>
  <si>
    <t>EnvPro15Cost</t>
  </si>
  <si>
    <t>EnvPro16Cost</t>
  </si>
  <si>
    <t>EnvPro17Cost</t>
  </si>
  <si>
    <t>EnvPro18Cost</t>
  </si>
  <si>
    <t>EnvPro19Cost</t>
  </si>
  <si>
    <t>EnvPro20Cost</t>
  </si>
  <si>
    <t>EnvPro21Cost</t>
  </si>
  <si>
    <t>EnvPro22Cost</t>
  </si>
  <si>
    <t>EnvPro23Cost</t>
  </si>
  <si>
    <t>EnvPro24Cost</t>
  </si>
  <si>
    <t>EnvPro3CostValue</t>
  </si>
  <si>
    <t>EnvPro4CostValue</t>
  </si>
  <si>
    <t>EnvPro5CostValue</t>
  </si>
  <si>
    <t>EnvPro6CostValue</t>
  </si>
  <si>
    <t>EnvPro7CostValue</t>
  </si>
  <si>
    <t>EnvPro8CostValue</t>
  </si>
  <si>
    <t>EnvPro9CostValue</t>
  </si>
  <si>
    <t>EnvPro10CostValue</t>
  </si>
  <si>
    <t>EnvPro11CostValue</t>
  </si>
  <si>
    <t>EnvPro12CostValue</t>
  </si>
  <si>
    <t>EnvPro13CostValue</t>
  </si>
  <si>
    <t>EnvPro14CostValue</t>
  </si>
  <si>
    <t>EnvPro15CostValue</t>
  </si>
  <si>
    <t>EnvPro16CostValue</t>
  </si>
  <si>
    <t>EnvPro17CostValue</t>
  </si>
  <si>
    <t>EnvPro18CostValue</t>
  </si>
  <si>
    <t>EnvPro19CostValue</t>
  </si>
  <si>
    <t>EnvPro20CostValue</t>
  </si>
  <si>
    <t>EnvPro21CostValue</t>
  </si>
  <si>
    <t>EnvPro22CostValue</t>
  </si>
  <si>
    <t>EnvPro23CostValue</t>
  </si>
  <si>
    <t>EnvPro24CostValue</t>
  </si>
  <si>
    <t>EnvProReasoning</t>
  </si>
  <si>
    <t>EnvPro3Reasoning</t>
  </si>
  <si>
    <t>EnvPro4Reasoning</t>
  </si>
  <si>
    <t>EnvPro5Reasoning</t>
  </si>
  <si>
    <t>EnvPro6Reasoning</t>
  </si>
  <si>
    <t>EnvPro7Reasoning</t>
  </si>
  <si>
    <t>EnvPro8Reasoning</t>
  </si>
  <si>
    <t>EnvPro9Reasoning</t>
  </si>
  <si>
    <t>EnvPro10Reasoning</t>
  </si>
  <si>
    <t>EnvPro11Reasoning</t>
  </si>
  <si>
    <t>EnvPro12Reasoning</t>
  </si>
  <si>
    <t>EnvPro13Reasoning</t>
  </si>
  <si>
    <t>EnvPro14Reasoning</t>
  </si>
  <si>
    <t>EnvPro15Reasoning</t>
  </si>
  <si>
    <t>EnvPro16Reasoning</t>
  </si>
  <si>
    <t>EnvPro17Reasoning</t>
  </si>
  <si>
    <t>EnvPro18Reasoning</t>
  </si>
  <si>
    <t>EnvPro19Reasoning</t>
  </si>
  <si>
    <t>EnvPro20Reasoning</t>
  </si>
  <si>
    <t>EnvPro21Reasoning</t>
  </si>
  <si>
    <t>EnvPro22Reasoning</t>
  </si>
  <si>
    <t>EnvPro23Reasoning</t>
  </si>
  <si>
    <t>EnvPro24Reasoning</t>
  </si>
  <si>
    <t>EnvProResponse</t>
  </si>
  <si>
    <t>EnvPro3Response</t>
  </si>
  <si>
    <t>EnvPro4Response</t>
  </si>
  <si>
    <t>EnvPro5Response</t>
  </si>
  <si>
    <t>EnvPro6Response</t>
  </si>
  <si>
    <t>EnvPro7Response</t>
  </si>
  <si>
    <t>EnvPro8Response</t>
  </si>
  <si>
    <t>EnvPro9Response</t>
  </si>
  <si>
    <t>EnvPro10Response</t>
  </si>
  <si>
    <t>EnvPro11Response</t>
  </si>
  <si>
    <t>EnvPro12Response</t>
  </si>
  <si>
    <t>EnvPro13Response</t>
  </si>
  <si>
    <t>EnvPro14Response</t>
  </si>
  <si>
    <t>EnvPro15Response</t>
  </si>
  <si>
    <t>EnvPro16Response</t>
  </si>
  <si>
    <t>EnvPro17Response</t>
  </si>
  <si>
    <t>EnvPro18Response</t>
  </si>
  <si>
    <t>EnvPro19Response</t>
  </si>
  <si>
    <t>EnvPro20Response</t>
  </si>
  <si>
    <t>EnvPro21Response</t>
  </si>
  <si>
    <t>EnvPro22Response</t>
  </si>
  <si>
    <t>EnvPro23Response</t>
  </si>
  <si>
    <t>EnvPro24Response</t>
  </si>
  <si>
    <t>EnvProYearSelected</t>
  </si>
  <si>
    <t>EnvPro3YearSelected</t>
  </si>
  <si>
    <t>EnvPro4YearSelected</t>
  </si>
  <si>
    <t>EnvPro5YearSelected</t>
  </si>
  <si>
    <t>EnvPro6YearSelected</t>
  </si>
  <si>
    <t>EnvPro7YearSelected</t>
  </si>
  <si>
    <t>EnvPro8YearSelected</t>
  </si>
  <si>
    <t>EnvPro9YearSelected</t>
  </si>
  <si>
    <t>EnvPro10YearSelected</t>
  </si>
  <si>
    <t>EnvPro11YearSelected</t>
  </si>
  <si>
    <t>EnvPro12YearSelected</t>
  </si>
  <si>
    <t>EnvPro13YearSelected</t>
  </si>
  <si>
    <t>EnvPro14YearSelected</t>
  </si>
  <si>
    <t>EnvPro15YearSelected</t>
  </si>
  <si>
    <t>EnvPro16YearSelected</t>
  </si>
  <si>
    <t>EnvPro17YearSelected</t>
  </si>
  <si>
    <t>EnvPro18YearSelected</t>
  </si>
  <si>
    <t>EnvPro19YearSelected</t>
  </si>
  <si>
    <t>EnvPro20YearSelected</t>
  </si>
  <si>
    <t>EnvPro21YearSelected</t>
  </si>
  <si>
    <t>EnvPro22YearSelected</t>
  </si>
  <si>
    <t>EnvPro23YearSelected</t>
  </si>
  <si>
    <t>EnvPro24YearSelected</t>
  </si>
  <si>
    <t>EnvProType</t>
  </si>
  <si>
    <t>EnvPro3Type</t>
  </si>
  <si>
    <t>EnvPro4Type</t>
  </si>
  <si>
    <t>EnvPro5Type</t>
  </si>
  <si>
    <t>EnvPro6Type</t>
  </si>
  <si>
    <t>EnvPro7Type</t>
  </si>
  <si>
    <t>EnvPro8Type</t>
  </si>
  <si>
    <t>EnvPro9Type</t>
  </si>
  <si>
    <t>EnvPro10Type</t>
  </si>
  <si>
    <t>EnvPro11Type</t>
  </si>
  <si>
    <t>EnvPro12Type</t>
  </si>
  <si>
    <t>EnvPro13Type</t>
  </si>
  <si>
    <t>EnvPro14Type</t>
  </si>
  <si>
    <t>EnvPro15Type</t>
  </si>
  <si>
    <t>EnvPro16Type</t>
  </si>
  <si>
    <t>EnvPro17Type</t>
  </si>
  <si>
    <t>EnvProCanCancel</t>
  </si>
  <si>
    <t>EnvPro3CanCancel</t>
  </si>
  <si>
    <t>EnvPro4CanCancel</t>
  </si>
  <si>
    <t>EnvPro5CanCancel</t>
  </si>
  <si>
    <t>EnvPro6CanCancel</t>
  </si>
  <si>
    <t>EnvPro7CanCancel</t>
  </si>
  <si>
    <t>EnvPro8CanCancel</t>
  </si>
  <si>
    <t>EnvPro9CanCancel</t>
  </si>
  <si>
    <t>EnvPro10CanCancel</t>
  </si>
  <si>
    <t>EnvPro11CanCancel</t>
  </si>
  <si>
    <t>EnvPro12CanCancel</t>
  </si>
  <si>
    <t>EnvPro13CanCancel</t>
  </si>
  <si>
    <t>EnvPro14CanCancel</t>
  </si>
  <si>
    <t>EnvPro15CanCancel</t>
  </si>
  <si>
    <t>EnvPro16CanCancel</t>
  </si>
  <si>
    <t>EnvPro17CanCancel</t>
  </si>
  <si>
    <t>DefPro</t>
  </si>
  <si>
    <t>DefPro3</t>
  </si>
  <si>
    <t>DefPro5</t>
  </si>
  <si>
    <t>DefPro6</t>
  </si>
  <si>
    <t>DefPro7</t>
  </si>
  <si>
    <t>DefPro8</t>
  </si>
  <si>
    <t>DefPro9</t>
  </si>
  <si>
    <t>DefPro10</t>
  </si>
  <si>
    <t>DefPro11</t>
  </si>
  <si>
    <t>DefPro12</t>
  </si>
  <si>
    <t>DefPro13</t>
  </si>
  <si>
    <t>DefPro14</t>
  </si>
  <si>
    <t>DefPro15</t>
  </si>
  <si>
    <t>DefPro16</t>
  </si>
  <si>
    <t>DefPro17</t>
  </si>
  <si>
    <t>DefPro18</t>
  </si>
  <si>
    <t>DefPro19</t>
  </si>
  <si>
    <t>DefPro20</t>
  </si>
  <si>
    <t>DefPro21</t>
  </si>
  <si>
    <t>DefPro22</t>
  </si>
  <si>
    <t>DefPro23</t>
  </si>
  <si>
    <t>DefPro24</t>
  </si>
  <si>
    <t>DefProDone</t>
  </si>
  <si>
    <t>DefPro3Done</t>
  </si>
  <si>
    <t>DefPro4Done</t>
  </si>
  <si>
    <t>DefPro5Done</t>
  </si>
  <si>
    <t>DefPro6Done</t>
  </si>
  <si>
    <t>DefPro7Done</t>
  </si>
  <si>
    <t>DefPro8Done</t>
  </si>
  <si>
    <t>DefPro9Done</t>
  </si>
  <si>
    <t>DefPro10Done</t>
  </si>
  <si>
    <t>DefPro11Done</t>
  </si>
  <si>
    <t>DefPro12Done</t>
  </si>
  <si>
    <t>DefPro13Done</t>
  </si>
  <si>
    <t>DefPro14Done</t>
  </si>
  <si>
    <t>DefPro15Done</t>
  </si>
  <si>
    <t>DefPro16Done</t>
  </si>
  <si>
    <t>DefPro17Done</t>
  </si>
  <si>
    <t>DefProShow</t>
  </si>
  <si>
    <t>DefPro3Show</t>
  </si>
  <si>
    <t>DefPro4Show</t>
  </si>
  <si>
    <t>DefPro5Show</t>
  </si>
  <si>
    <t>DefPro6Show</t>
  </si>
  <si>
    <t>DefPro7Show</t>
  </si>
  <si>
    <t>DefPro8Show</t>
  </si>
  <si>
    <t>DefPro9Show</t>
  </si>
  <si>
    <t>DefPro10Show</t>
  </si>
  <si>
    <t>DefPro11Show</t>
  </si>
  <si>
    <t>DefPro12Show</t>
  </si>
  <si>
    <t>DefPro13Show</t>
  </si>
  <si>
    <t>DefPro14Show</t>
  </si>
  <si>
    <t>DefPro15Show</t>
  </si>
  <si>
    <t>DefPro16Show</t>
  </si>
  <si>
    <t>DefPro17Show</t>
  </si>
  <si>
    <t>DefPro18Show</t>
  </si>
  <si>
    <t>DefPro19Show</t>
  </si>
  <si>
    <t>DefPro20Show</t>
  </si>
  <si>
    <t>DefPro21Show</t>
  </si>
  <si>
    <t>DefPro22Show</t>
  </si>
  <si>
    <t>DefPro23Show</t>
  </si>
  <si>
    <t>DefPro24Show</t>
  </si>
  <si>
    <t>DefProNew</t>
  </si>
  <si>
    <t>DefPro3New</t>
  </si>
  <si>
    <t>DefPro4New</t>
  </si>
  <si>
    <t>DefPro5New</t>
  </si>
  <si>
    <t>DefPro6New</t>
  </si>
  <si>
    <t>DefPro7New</t>
  </si>
  <si>
    <t>DefPro8New</t>
  </si>
  <si>
    <t>DefPro9New</t>
  </si>
  <si>
    <t>DefPro10New</t>
  </si>
  <si>
    <t>DefPro11New</t>
  </si>
  <si>
    <t>DefPro12New</t>
  </si>
  <si>
    <t>DefPro13New</t>
  </si>
  <si>
    <t>DefPro14New</t>
  </si>
  <si>
    <t>DefPro15New</t>
  </si>
  <si>
    <t>DefPro16New</t>
  </si>
  <si>
    <t>DefPro17New</t>
  </si>
  <si>
    <t>DefPro18New</t>
  </si>
  <si>
    <t>DefPro19New</t>
  </si>
  <si>
    <t>DefPro20New</t>
  </si>
  <si>
    <t>DefPro21New</t>
  </si>
  <si>
    <t>DefPro22New</t>
  </si>
  <si>
    <t>DefPro23New</t>
  </si>
  <si>
    <t>DefPro24New</t>
  </si>
  <si>
    <t>DefProSort</t>
  </si>
  <si>
    <t>DefPro3Sort</t>
  </si>
  <si>
    <t>DefPro4Sort</t>
  </si>
  <si>
    <t>DefPro5Sort</t>
  </si>
  <si>
    <t>DefPro6Sort</t>
  </si>
  <si>
    <t>DefPro7Sort</t>
  </si>
  <si>
    <t>DefPro8Sort</t>
  </si>
  <si>
    <t>DefPro9Sort</t>
  </si>
  <si>
    <t>DefPro10Sort</t>
  </si>
  <si>
    <t>DefPro11Sort</t>
  </si>
  <si>
    <t>DefPro12Sort</t>
  </si>
  <si>
    <t>DefPro13Sort</t>
  </si>
  <si>
    <t>DefPro14Sort</t>
  </si>
  <si>
    <t>DefPro15Sort</t>
  </si>
  <si>
    <t>DefPro16Sort</t>
  </si>
  <si>
    <t>DefPro17Sort</t>
  </si>
  <si>
    <t>DefPro18Sort</t>
  </si>
  <si>
    <t>DefPro19Sort</t>
  </si>
  <si>
    <t>DefPro20Sort</t>
  </si>
  <si>
    <t>DefPro21Sort</t>
  </si>
  <si>
    <t>DefPro22Sort</t>
  </si>
  <si>
    <t>DefPro23Sort</t>
  </si>
  <si>
    <t>DefPro24Sort</t>
  </si>
  <si>
    <t>DefProDecidedlastyr</t>
  </si>
  <si>
    <t>DefPro3Decidedlastyr</t>
  </si>
  <si>
    <t>DefPro4Decidedlastyr</t>
  </si>
  <si>
    <t>DefPro5Decidedlastyr</t>
  </si>
  <si>
    <t>DefPro6Decidedlastyr</t>
  </si>
  <si>
    <t>DefPro7Decidedlastyr</t>
  </si>
  <si>
    <t>DefPro8Decidedlastyr</t>
  </si>
  <si>
    <t>DefPro9Decidedlastyr</t>
  </si>
  <si>
    <t>DefPro10Decidedlastyr</t>
  </si>
  <si>
    <t>DefPro11Decidedlastyr</t>
  </si>
  <si>
    <t>DefPro12Decidedlastyr</t>
  </si>
  <si>
    <t>DefPro13Decidedlastyr</t>
  </si>
  <si>
    <t>DefPro14Decidedlastyr</t>
  </si>
  <si>
    <t>DefPro15Decidedlastyr</t>
  </si>
  <si>
    <t>DefPro16Decidedlastyr</t>
  </si>
  <si>
    <t>DefPro17Decidedlastyr</t>
  </si>
  <si>
    <t>DefPro18Decidedlastyr</t>
  </si>
  <si>
    <t>DefPro19Decidedlastyr</t>
  </si>
  <si>
    <t>DefPro20Decidedlastyr</t>
  </si>
  <si>
    <t>DefPro21Decidedlastyr</t>
  </si>
  <si>
    <t>DefPro22Decidedlastyr</t>
  </si>
  <si>
    <t>DefPro23Decidedlastyr</t>
  </si>
  <si>
    <t>DefPro24Decidedlastyr</t>
  </si>
  <si>
    <t>DefProDecided2yrsago</t>
  </si>
  <si>
    <t>DefPro3Decided2yrsago</t>
  </si>
  <si>
    <t>DefPro4Decided2yrsago</t>
  </si>
  <si>
    <t>DefPro5Decided2yrsago</t>
  </si>
  <si>
    <t>DefPro6Decided2yrsago</t>
  </si>
  <si>
    <t>DefPro7Decided2yrsago</t>
  </si>
  <si>
    <t>DefPro8Decided2yrsago</t>
  </si>
  <si>
    <t>DefPro9Decided2yrsago</t>
  </si>
  <si>
    <t>DefPro10Decided2yrsago</t>
  </si>
  <si>
    <t>DefPro11Decided2yrsago</t>
  </si>
  <si>
    <t>DefPro12Decided2yrsago</t>
  </si>
  <si>
    <t>DefPro13Decided2yrsago</t>
  </si>
  <si>
    <t>DefPro14Decided2yrsago</t>
  </si>
  <si>
    <t>DefPro15Decided2yrsago</t>
  </si>
  <si>
    <t>DefPro16Decided2yrsago</t>
  </si>
  <si>
    <t>DefPro17Decided2yrsago</t>
  </si>
  <si>
    <t>DefPro18Decided2yrsago</t>
  </si>
  <si>
    <t>DefPro19Decided2yrsago</t>
  </si>
  <si>
    <t>DefPro20Decided2yrsago</t>
  </si>
  <si>
    <t>DefPro21Decided2yrsago</t>
  </si>
  <si>
    <t>DefPro22Decided2yrsago</t>
  </si>
  <si>
    <t>DefPro23Decided2yrsago</t>
  </si>
  <si>
    <t>DefPro24Decided2yrsago</t>
  </si>
  <si>
    <t>DefPro3Cost</t>
  </si>
  <si>
    <t>DefPro4Cost</t>
  </si>
  <si>
    <t>DefPro5Cost</t>
  </si>
  <si>
    <t>DefPro6Cost</t>
  </si>
  <si>
    <t>DefPro7Cost</t>
  </si>
  <si>
    <t>DefPro8Cost</t>
  </si>
  <si>
    <t>DefPro9Cost</t>
  </si>
  <si>
    <t>DefPro10Cost</t>
  </si>
  <si>
    <t>DefPro11Cost</t>
  </si>
  <si>
    <t>DefPro12Cost</t>
  </si>
  <si>
    <t>DefPro13Cost</t>
  </si>
  <si>
    <t>DefPro14Cost</t>
  </si>
  <si>
    <t>DefPro15Cost</t>
  </si>
  <si>
    <t>DefPro16Cost</t>
  </si>
  <si>
    <t>DefPro17Cost</t>
  </si>
  <si>
    <t>DefPro18Cost</t>
  </si>
  <si>
    <t>DefPro19Cost</t>
  </si>
  <si>
    <t>DefPro20Cost</t>
  </si>
  <si>
    <t>DefPro21Cost</t>
  </si>
  <si>
    <t>DefPro22Cost</t>
  </si>
  <si>
    <t>DefPro23Cost</t>
  </si>
  <si>
    <t>DefPro24Cost</t>
  </si>
  <si>
    <t>DefProCostValue</t>
  </si>
  <si>
    <t>DefPro3CostValue</t>
  </si>
  <si>
    <t>DefPro4CostValue</t>
  </si>
  <si>
    <t>DefPro5CostValue</t>
  </si>
  <si>
    <t>DefPro6CostValue</t>
  </si>
  <si>
    <t>DefPro7CostValue</t>
  </si>
  <si>
    <t>DefPro8CostValue</t>
  </si>
  <si>
    <t>DefPro9CostValue</t>
  </si>
  <si>
    <t>DefPro10CostValue</t>
  </si>
  <si>
    <t>DefPro11CostValue</t>
  </si>
  <si>
    <t>DefPro12CostValue</t>
  </si>
  <si>
    <t>DefPro13CostValue</t>
  </si>
  <si>
    <t>DefPro14CostValue</t>
  </si>
  <si>
    <t>DefPro15CostValue</t>
  </si>
  <si>
    <t>DefPro16CostValue</t>
  </si>
  <si>
    <t>DefPro17CostValue</t>
  </si>
  <si>
    <t>DefPro18CostValue</t>
  </si>
  <si>
    <t>DefPro19CostValue</t>
  </si>
  <si>
    <t>DefPro20CostValue</t>
  </si>
  <si>
    <t>DefPro21CostValue</t>
  </si>
  <si>
    <t>DefPro22CostValue</t>
  </si>
  <si>
    <t>DefPro23CostValue</t>
  </si>
  <si>
    <t>DefPro24CostValue</t>
  </si>
  <si>
    <t>DefProReasoning</t>
  </si>
  <si>
    <t>DefPro3Reasoning</t>
  </si>
  <si>
    <t>DefPro4Reasoning</t>
  </si>
  <si>
    <t>DefPro5Reasoning</t>
  </si>
  <si>
    <t>DefPro6Reasoning</t>
  </si>
  <si>
    <t>DefPro7Reasoning</t>
  </si>
  <si>
    <t>DefPro8Reasoning</t>
  </si>
  <si>
    <t>DefPro9Reasoning</t>
  </si>
  <si>
    <t>DefPro10Reasoning</t>
  </si>
  <si>
    <t>DefPro11Reasoning</t>
  </si>
  <si>
    <t>DefPro12Reasoning</t>
  </si>
  <si>
    <t>DefPro13Reasoning</t>
  </si>
  <si>
    <t>DefPro14Reasoning</t>
  </si>
  <si>
    <t>DefPro15Reasoning</t>
  </si>
  <si>
    <t>DefPro16Reasoning</t>
  </si>
  <si>
    <t>DefPro17Reasoning</t>
  </si>
  <si>
    <t>DefPro18Reasoning</t>
  </si>
  <si>
    <t>DefPro19Reasoning</t>
  </si>
  <si>
    <t>DefPro20Reasoning</t>
  </si>
  <si>
    <t>DefPro21Reasoning</t>
  </si>
  <si>
    <t>DefPro22Reasoning</t>
  </si>
  <si>
    <t>DefPro23Reasoning</t>
  </si>
  <si>
    <t>DefPro24Reasoning</t>
  </si>
  <si>
    <t>DefProResponse</t>
  </si>
  <si>
    <t>DefPro3Response</t>
  </si>
  <si>
    <t>DefPro4Response</t>
  </si>
  <si>
    <t>DefPro5Response</t>
  </si>
  <si>
    <t>DefPro6Response</t>
  </si>
  <si>
    <t>DefPro7Response</t>
  </si>
  <si>
    <t>DefPro8Response</t>
  </si>
  <si>
    <t>DefPro9Response</t>
  </si>
  <si>
    <t>DefPro10Response</t>
  </si>
  <si>
    <t>DefPro11Response</t>
  </si>
  <si>
    <t>DefPro12Response</t>
  </si>
  <si>
    <t>DefPro13Response</t>
  </si>
  <si>
    <t>DefPro14Response</t>
  </si>
  <si>
    <t>DefPro15Response</t>
  </si>
  <si>
    <t>DefPro16Response</t>
  </si>
  <si>
    <t>DefPro17Response</t>
  </si>
  <si>
    <t>DefPro18Response</t>
  </si>
  <si>
    <t>DefPro19Response</t>
  </si>
  <si>
    <t>DefPro20Response</t>
  </si>
  <si>
    <t>DefPro21Response</t>
  </si>
  <si>
    <t>DefPro22Response</t>
  </si>
  <si>
    <t>DefPro23Response</t>
  </si>
  <si>
    <t>DefPro24Response</t>
  </si>
  <si>
    <t>DefProYearSelected</t>
  </si>
  <si>
    <t>DefPro3YearSelected</t>
  </si>
  <si>
    <t>DefPro4YearSelected</t>
  </si>
  <si>
    <t>DefPro5YearSelected</t>
  </si>
  <si>
    <t>DefPro6YearSelected</t>
  </si>
  <si>
    <t>DefPro7YearSelected</t>
  </si>
  <si>
    <t>DefPro8YearSelected</t>
  </si>
  <si>
    <t>DefPro9YearSelected</t>
  </si>
  <si>
    <t>DefPro10YearSelected</t>
  </si>
  <si>
    <t>DefPro11YearSelected</t>
  </si>
  <si>
    <t>DefPro12YearSelected</t>
  </si>
  <si>
    <t>DefPro13YearSelected</t>
  </si>
  <si>
    <t>DefPro14YearSelected</t>
  </si>
  <si>
    <t>DefPro15YearSelected</t>
  </si>
  <si>
    <t>DefPro16YearSelected</t>
  </si>
  <si>
    <t>DefPro17YearSelected</t>
  </si>
  <si>
    <t>DefPro18YearSelected</t>
  </si>
  <si>
    <t>DefPro19YearSelected</t>
  </si>
  <si>
    <t>DefPro20YearSelected</t>
  </si>
  <si>
    <t>DefPro21YearSelected</t>
  </si>
  <si>
    <t>DefPro22YearSelected</t>
  </si>
  <si>
    <t>DefPro23YearSelected</t>
  </si>
  <si>
    <t>DefPro24YearSelected</t>
  </si>
  <si>
    <t>DefProType</t>
  </si>
  <si>
    <t>DefPro3Type</t>
  </si>
  <si>
    <t>DefPro4Type</t>
  </si>
  <si>
    <t>DefPro5Type</t>
  </si>
  <si>
    <t>DefPro6Type</t>
  </si>
  <si>
    <t>DefPro7Type</t>
  </si>
  <si>
    <t>DefPro8Type</t>
  </si>
  <si>
    <t>DefPro9Type</t>
  </si>
  <si>
    <t>DefPro10Type</t>
  </si>
  <si>
    <t>DefPro11Type</t>
  </si>
  <si>
    <t>DefPro12Type</t>
  </si>
  <si>
    <t>DefPro13Type</t>
  </si>
  <si>
    <t>DefPro14Type</t>
  </si>
  <si>
    <t>DefPro15Type</t>
  </si>
  <si>
    <t>DefPro16Type</t>
  </si>
  <si>
    <t>DefPro17Type</t>
  </si>
  <si>
    <t>DefProCanCancel</t>
  </si>
  <si>
    <t>DefPro3CanCancel</t>
  </si>
  <si>
    <t>DefPro4CanCancel</t>
  </si>
  <si>
    <t>DefPro5CanCancel</t>
  </si>
  <si>
    <t>DefPro6CanCancel</t>
  </si>
  <si>
    <t>DefPro7CanCancel</t>
  </si>
  <si>
    <t>DefPro8CanCancel</t>
  </si>
  <si>
    <t>DefPro9CanCancel</t>
  </si>
  <si>
    <t>DefPro10CanCancel</t>
  </si>
  <si>
    <t>DefPro11CanCancel</t>
  </si>
  <si>
    <t>DefPro12CanCancel</t>
  </si>
  <si>
    <t>DefPro13CanCancel</t>
  </si>
  <si>
    <t>DefPro14CanCancel</t>
  </si>
  <si>
    <t>DefPro15CanCancel</t>
  </si>
  <si>
    <t>DefPro16CanCancel</t>
  </si>
  <si>
    <t>DefPro17CanCancel</t>
  </si>
  <si>
    <t>EduPro</t>
  </si>
  <si>
    <t>EduPro3</t>
  </si>
  <si>
    <t>EduPro4</t>
  </si>
  <si>
    <t>EduPro5</t>
  </si>
  <si>
    <t>EduPro6</t>
  </si>
  <si>
    <t>EduPro7</t>
  </si>
  <si>
    <t>EduPro8</t>
  </si>
  <si>
    <t>EduPro9</t>
  </si>
  <si>
    <t>EduPro10</t>
  </si>
  <si>
    <t>EduPro11</t>
  </si>
  <si>
    <t>EduPro12</t>
  </si>
  <si>
    <t>EduPro13</t>
  </si>
  <si>
    <t>EduPro14</t>
  </si>
  <si>
    <t>EduPro15</t>
  </si>
  <si>
    <t>EduPro16</t>
  </si>
  <si>
    <t>EduPro17</t>
  </si>
  <si>
    <t>EduPro18</t>
  </si>
  <si>
    <t>EduPro19</t>
  </si>
  <si>
    <t>EduPro20</t>
  </si>
  <si>
    <t>EduPro21</t>
  </si>
  <si>
    <t>EduPro22</t>
  </si>
  <si>
    <t>EduPro23</t>
  </si>
  <si>
    <t>EduPro24</t>
  </si>
  <si>
    <t>EduProDone</t>
  </si>
  <si>
    <t>EduPro3Done</t>
  </si>
  <si>
    <t>EduPro4Done</t>
  </si>
  <si>
    <t>EduPro5Done</t>
  </si>
  <si>
    <t>EduPro6Done</t>
  </si>
  <si>
    <t>EduPro7Done</t>
  </si>
  <si>
    <t>EduPro8Done</t>
  </si>
  <si>
    <t>EduPro9Done</t>
  </si>
  <si>
    <t>EduPro10Done</t>
  </si>
  <si>
    <t>EduPro11Done</t>
  </si>
  <si>
    <t>EduPro12Done</t>
  </si>
  <si>
    <t>EduPro13Done</t>
  </si>
  <si>
    <t>EduPro14Done</t>
  </si>
  <si>
    <t>EduPro15Done</t>
  </si>
  <si>
    <t>EduPro16Done</t>
  </si>
  <si>
    <t>EduPro17Done</t>
  </si>
  <si>
    <t>EduProShow</t>
  </si>
  <si>
    <t>EduPro3Show</t>
  </si>
  <si>
    <t>EduPro4Show</t>
  </si>
  <si>
    <t>EduPro5Show</t>
  </si>
  <si>
    <t>EduPro6Show</t>
  </si>
  <si>
    <t>EduPro7Show</t>
  </si>
  <si>
    <t>EduPro8Show</t>
  </si>
  <si>
    <t>EduPro9Show</t>
  </si>
  <si>
    <t>EduPro10Show</t>
  </si>
  <si>
    <t>EduPro11Show</t>
  </si>
  <si>
    <t>EduPro12Show</t>
  </si>
  <si>
    <t>EduPro13Show</t>
  </si>
  <si>
    <t>EduPro14Show</t>
  </si>
  <si>
    <t>EduPro15Show</t>
  </si>
  <si>
    <t>EduPro16Show</t>
  </si>
  <si>
    <t>EduPro17Show</t>
  </si>
  <si>
    <t>EduPro18Show</t>
  </si>
  <si>
    <t>EduPro19Show</t>
  </si>
  <si>
    <t>EduPro20Show</t>
  </si>
  <si>
    <t>EduPro21Show</t>
  </si>
  <si>
    <t>EduPro22Show</t>
  </si>
  <si>
    <t>EduPro23Show</t>
  </si>
  <si>
    <t>EduPro24Show</t>
  </si>
  <si>
    <t>EduProNew</t>
  </si>
  <si>
    <t>EduPro3New</t>
  </si>
  <si>
    <t>EduPro4New</t>
  </si>
  <si>
    <t>EduPro5New</t>
  </si>
  <si>
    <t>EduPro6New</t>
  </si>
  <si>
    <t>EduPro7New</t>
  </si>
  <si>
    <t>EduPro8New</t>
  </si>
  <si>
    <t>EduPro9New</t>
  </si>
  <si>
    <t>EduPro10New</t>
  </si>
  <si>
    <t>EduPro11New</t>
  </si>
  <si>
    <t>EduPro12New</t>
  </si>
  <si>
    <t>EduPro13New</t>
  </si>
  <si>
    <t>EduPro14New</t>
  </si>
  <si>
    <t>EduPro15New</t>
  </si>
  <si>
    <t>EduPro16New</t>
  </si>
  <si>
    <t>EduPro17New</t>
  </si>
  <si>
    <t>EduPro18New</t>
  </si>
  <si>
    <t>EduPro19New</t>
  </si>
  <si>
    <t>EduPro20New</t>
  </si>
  <si>
    <t>EduPro21New</t>
  </si>
  <si>
    <t>EduPro22New</t>
  </si>
  <si>
    <t>EduPro23New</t>
  </si>
  <si>
    <t>EduPro24New</t>
  </si>
  <si>
    <t>EduProSort</t>
  </si>
  <si>
    <t>EduPro3Sort</t>
  </si>
  <si>
    <t>EduPro4Sort</t>
  </si>
  <si>
    <t>EduPro5Sort</t>
  </si>
  <si>
    <t>EduPro6Sort</t>
  </si>
  <si>
    <t>EduPro7Sort</t>
  </si>
  <si>
    <t>EduPro8Sort</t>
  </si>
  <si>
    <t>EduPro9Sort</t>
  </si>
  <si>
    <t>EduPro10Sort</t>
  </si>
  <si>
    <t>EduPro11Sort</t>
  </si>
  <si>
    <t>EduPro12Sort</t>
  </si>
  <si>
    <t>EduPro13Sort</t>
  </si>
  <si>
    <t>EduPro14Sort</t>
  </si>
  <si>
    <t>EduPro15Sort</t>
  </si>
  <si>
    <t>EduPro16Sort</t>
  </si>
  <si>
    <t>EduPro17Sort</t>
  </si>
  <si>
    <t>EduPro18Sort</t>
  </si>
  <si>
    <t>EduPro19Sort</t>
  </si>
  <si>
    <t>EduPro20Sort</t>
  </si>
  <si>
    <t>EduPro21Sort</t>
  </si>
  <si>
    <t>EduPro22Sort</t>
  </si>
  <si>
    <t>EduPro23Sort</t>
  </si>
  <si>
    <t>EduPro24Sort</t>
  </si>
  <si>
    <t>EduProDecidedlastyr</t>
  </si>
  <si>
    <t>EduPro3Decidedlastyr</t>
  </si>
  <si>
    <t>EduPro4Decidedlastyr</t>
  </si>
  <si>
    <t>EduPro5Decidedlastyr</t>
  </si>
  <si>
    <t>EduPro6Decidedlastyr</t>
  </si>
  <si>
    <t>EduPro7Decidedlastyr</t>
  </si>
  <si>
    <t>EduPro8Decidedlastyr</t>
  </si>
  <si>
    <t>EduPro9Decidedlastyr</t>
  </si>
  <si>
    <t>EduPro10Decidedlastyr</t>
  </si>
  <si>
    <t>EduPro11Decidedlastyr</t>
  </si>
  <si>
    <t>EduPro12Decidedlastyr</t>
  </si>
  <si>
    <t>EduPro13Decidedlastyr</t>
  </si>
  <si>
    <t>EduPro14Decidedlastyr</t>
  </si>
  <si>
    <t>EduPro15Decidedlastyr</t>
  </si>
  <si>
    <t>EduPro16Decidedlastyr</t>
  </si>
  <si>
    <t>EduPro17Decidedlastyr</t>
  </si>
  <si>
    <t>EduPro18Decidedlastyr</t>
  </si>
  <si>
    <t>EduPro19Decidedlastyr</t>
  </si>
  <si>
    <t>EduPro20Decidedlastyr</t>
  </si>
  <si>
    <t>EduPro21Decidedlastyr</t>
  </si>
  <si>
    <t>EduPro22Decidedlastyr</t>
  </si>
  <si>
    <t>EduPro23Decidedlastyr</t>
  </si>
  <si>
    <t>EduPro24Decidedlastyr</t>
  </si>
  <si>
    <t>EduProDecided2yrsago</t>
  </si>
  <si>
    <t>EduPro3Decided2yrsago</t>
  </si>
  <si>
    <t>EduPro4Decided2yrsago</t>
  </si>
  <si>
    <t>EduPro5Decided2yrsago</t>
  </si>
  <si>
    <t>EduPro6Decided2yrsago</t>
  </si>
  <si>
    <t>EduPro7Decided2yrsago</t>
  </si>
  <si>
    <t>EduPro8Decided2yrsago</t>
  </si>
  <si>
    <t>EduPro9Decided2yrsago</t>
  </si>
  <si>
    <t>EduPro10Decided2yrsago</t>
  </si>
  <si>
    <t>EduPro11Decided2yrsago</t>
  </si>
  <si>
    <t>EduPro12Decided2yrsago</t>
  </si>
  <si>
    <t>EduPro13Decided2yrsago</t>
  </si>
  <si>
    <t>EduPro14Decided2yrsago</t>
  </si>
  <si>
    <t>EduPro15Decided2yrsago</t>
  </si>
  <si>
    <t>EduPro16Decided2yrsago</t>
  </si>
  <si>
    <t>EduPro17Decided2yrsago</t>
  </si>
  <si>
    <t>EduPro18Decided2yrsago</t>
  </si>
  <si>
    <t>EduPro19Decided2yrsago</t>
  </si>
  <si>
    <t>EduPro20Decided2yrsago</t>
  </si>
  <si>
    <t>EduPro21Decided2yrsago</t>
  </si>
  <si>
    <t>EduPro22Decided2yrsago</t>
  </si>
  <si>
    <t>EduPro23Decided2yrsago</t>
  </si>
  <si>
    <t>EduPro24Decided2yrsago</t>
  </si>
  <si>
    <t>EduPro3Cost</t>
  </si>
  <si>
    <t>EduPro4Cost</t>
  </si>
  <si>
    <t>EduPro5Cost</t>
  </si>
  <si>
    <t>EduPro6Cost</t>
  </si>
  <si>
    <t>EduPro7Cost</t>
  </si>
  <si>
    <t>EduPro8Cost</t>
  </si>
  <si>
    <t>EduPro9Cost</t>
  </si>
  <si>
    <t>EduPro10Cost</t>
  </si>
  <si>
    <t>EduPro11Cost</t>
  </si>
  <si>
    <t>EduPro12Cost</t>
  </si>
  <si>
    <t>EduPro13Cost</t>
  </si>
  <si>
    <t>EduPro14Cost</t>
  </si>
  <si>
    <t>EduPro15Cost</t>
  </si>
  <si>
    <t>EduPro16Cost</t>
  </si>
  <si>
    <t>EduPro17Cost</t>
  </si>
  <si>
    <t>EduPro18Cost</t>
  </si>
  <si>
    <t>EduPro19Cost</t>
  </si>
  <si>
    <t>EduPro20Cost</t>
  </si>
  <si>
    <t>EduPro21Cost</t>
  </si>
  <si>
    <t>EduPro22Cost</t>
  </si>
  <si>
    <t>EduPro23Cost</t>
  </si>
  <si>
    <t>EduPro24Cost</t>
  </si>
  <si>
    <t>EduProCostValue</t>
  </si>
  <si>
    <t>EduPro3CostValue</t>
  </si>
  <si>
    <t>EduPro4CostValue</t>
  </si>
  <si>
    <t>EduPro5CostValue</t>
  </si>
  <si>
    <t>EduPro6CostValue</t>
  </si>
  <si>
    <t>EduPro7CostValue</t>
  </si>
  <si>
    <t>EduPro8CostValue</t>
  </si>
  <si>
    <t>EduPro9CostValue</t>
  </si>
  <si>
    <t>EduPro10CostValue</t>
  </si>
  <si>
    <t>EduPro11CostValue</t>
  </si>
  <si>
    <t>EduPro12CostValue</t>
  </si>
  <si>
    <t>EduPro13CostValue</t>
  </si>
  <si>
    <t>EduPro14CostValue</t>
  </si>
  <si>
    <t>EduPro15CostValue</t>
  </si>
  <si>
    <t>EduPro16CostValue</t>
  </si>
  <si>
    <t>EduPro17CostValue</t>
  </si>
  <si>
    <t>EduPro18CostValue</t>
  </si>
  <si>
    <t>EduPro19CostValue</t>
  </si>
  <si>
    <t>EduPro20CostValue</t>
  </si>
  <si>
    <t>EduPro21CostValue</t>
  </si>
  <si>
    <t>EduPro22CostValue</t>
  </si>
  <si>
    <t>EduPro23CostValue</t>
  </si>
  <si>
    <t>EduPro24CostValue</t>
  </si>
  <si>
    <t>EduProReasoning</t>
  </si>
  <si>
    <t>EduPro3Reasoning</t>
  </si>
  <si>
    <t>EduPro4Reasoning</t>
  </si>
  <si>
    <t>EduPro5Reasoning</t>
  </si>
  <si>
    <t>EduPro6Reasoning</t>
  </si>
  <si>
    <t>EduPro7Reasoning</t>
  </si>
  <si>
    <t>EduPro8Reasoning</t>
  </si>
  <si>
    <t>EduPro9Reasoning</t>
  </si>
  <si>
    <t>EduPro10Reasoning</t>
  </si>
  <si>
    <t>EduPro11Reasoning</t>
  </si>
  <si>
    <t>EduPro12Reasoning</t>
  </si>
  <si>
    <t>EduPro13Reasoning</t>
  </si>
  <si>
    <t>EduPro14Reasoning</t>
  </si>
  <si>
    <t>EduPro15Reasoning</t>
  </si>
  <si>
    <t>EduPro16Reasoning</t>
  </si>
  <si>
    <t>EduPro17Reasoning</t>
  </si>
  <si>
    <t>EduPro18Reasoning</t>
  </si>
  <si>
    <t>EduPro19Reasoning</t>
  </si>
  <si>
    <t>EduPro20Reasoning</t>
  </si>
  <si>
    <t>EduPro21Reasoning</t>
  </si>
  <si>
    <t>EduPro22Reasoning</t>
  </si>
  <si>
    <t>EduPro23Reasoning</t>
  </si>
  <si>
    <t>EduPro24Reasoning</t>
  </si>
  <si>
    <t>EduProResponse</t>
  </si>
  <si>
    <t>EduPro3Response</t>
  </si>
  <si>
    <t>EduPro4Response</t>
  </si>
  <si>
    <t>EduPro5Response</t>
  </si>
  <si>
    <t>EduPro6Response</t>
  </si>
  <si>
    <t>EduPro7Response</t>
  </si>
  <si>
    <t>EduPro8Response</t>
  </si>
  <si>
    <t>EduPro9Response</t>
  </si>
  <si>
    <t>EduPro10Response</t>
  </si>
  <si>
    <t>EduPro11Response</t>
  </si>
  <si>
    <t>EduPro12Response</t>
  </si>
  <si>
    <t>EduPro13Response</t>
  </si>
  <si>
    <t>EduPro14Response</t>
  </si>
  <si>
    <t>EduPro15Response</t>
  </si>
  <si>
    <t>EduPro16Response</t>
  </si>
  <si>
    <t>EduPro17Response</t>
  </si>
  <si>
    <t>EduPro18Response</t>
  </si>
  <si>
    <t>EduPro19Response</t>
  </si>
  <si>
    <t>EduPro20Response</t>
  </si>
  <si>
    <t>EduPro21Response</t>
  </si>
  <si>
    <t>EduPro22Response</t>
  </si>
  <si>
    <t>EduPro23Response</t>
  </si>
  <si>
    <t>EduPro24Response</t>
  </si>
  <si>
    <t>EduProYearSelected</t>
  </si>
  <si>
    <t>EduPro3YearSelected</t>
  </si>
  <si>
    <t>EduPro4YearSelected</t>
  </si>
  <si>
    <t>EduPro5YearSelected</t>
  </si>
  <si>
    <t>EduPro6YearSelected</t>
  </si>
  <si>
    <t>EduPro7YearSelected</t>
  </si>
  <si>
    <t>EduPro8YearSelected</t>
  </si>
  <si>
    <t>EduPro9YearSelected</t>
  </si>
  <si>
    <t>EduPro10YearSelected</t>
  </si>
  <si>
    <t>EduPro11YearSelected</t>
  </si>
  <si>
    <t>EduPro12YearSelected</t>
  </si>
  <si>
    <t>EduPro13YearSelected</t>
  </si>
  <si>
    <t>EduPro14YearSelected</t>
  </si>
  <si>
    <t>EduPro15YearSelected</t>
  </si>
  <si>
    <t>EduPro16YearSelected</t>
  </si>
  <si>
    <t>EduPro17YearSelected</t>
  </si>
  <si>
    <t>EduPro18YearSelected</t>
  </si>
  <si>
    <t>EduPro19YearSelected</t>
  </si>
  <si>
    <t>EduPro20YearSelected</t>
  </si>
  <si>
    <t>EduPro21YearSelected</t>
  </si>
  <si>
    <t>EduPro22YearSelected</t>
  </si>
  <si>
    <t>EduPro23YearSelected</t>
  </si>
  <si>
    <t>EduPro24YearSelected</t>
  </si>
  <si>
    <t>EduProType</t>
  </si>
  <si>
    <t>EduPro3Type</t>
  </si>
  <si>
    <t>EduPro4Type</t>
  </si>
  <si>
    <t>EduPro5Type</t>
  </si>
  <si>
    <t>EduPro6Type</t>
  </si>
  <si>
    <t>EduPro7Type</t>
  </si>
  <si>
    <t>EduPro8Type</t>
  </si>
  <si>
    <t>EduPro9Type</t>
  </si>
  <si>
    <t>EduPro10Type</t>
  </si>
  <si>
    <t>EduPro11Type</t>
  </si>
  <si>
    <t>EduPro12Type</t>
  </si>
  <si>
    <t>EduPro13Type</t>
  </si>
  <si>
    <t>EduPro14Type</t>
  </si>
  <si>
    <t>EduPro15Type</t>
  </si>
  <si>
    <t>EduPro16Type</t>
  </si>
  <si>
    <t>EduPro17Type</t>
  </si>
  <si>
    <t>EduProCanCancel</t>
  </si>
  <si>
    <t>EduPro3CanCancel</t>
  </si>
  <si>
    <t>EduPro4CanCancel</t>
  </si>
  <si>
    <t>EduPro5CanCancel</t>
  </si>
  <si>
    <t>EduPro6CanCancel</t>
  </si>
  <si>
    <t>EduPro7CanCancel</t>
  </si>
  <si>
    <t>EduPro8CanCancel</t>
  </si>
  <si>
    <t>EduPro9CanCancel</t>
  </si>
  <si>
    <t>EduPro10CanCancel</t>
  </si>
  <si>
    <t>EduPro11CanCancel</t>
  </si>
  <si>
    <t>EduPro12CanCancel</t>
  </si>
  <si>
    <t>EduPro13CanCancel</t>
  </si>
  <si>
    <t>EduPro14CanCancel</t>
  </si>
  <si>
    <t>EduPro15CanCancel</t>
  </si>
  <si>
    <t>EduPro16CanCancel</t>
  </si>
  <si>
    <t>EduPro17CanCancel</t>
  </si>
  <si>
    <t>EcosystemIntegrityIndex</t>
  </si>
  <si>
    <t>GrowthWellBeing</t>
  </si>
  <si>
    <t>PrivacyDataProtection</t>
  </si>
  <si>
    <t>CircularityIndex</t>
  </si>
  <si>
    <t>MilitaryTechnologyTradeBalance</t>
  </si>
  <si>
    <t>InstitutionalAdoptionRate</t>
  </si>
  <si>
    <t>EducationScore</t>
  </si>
  <si>
    <t>TrustInGovernment</t>
  </si>
  <si>
    <t>EcosystemIntegrityIndexTarget</t>
  </si>
  <si>
    <t>CircularityIndexTarget</t>
  </si>
  <si>
    <t>InstitutionalAdoptionRateTarget</t>
  </si>
  <si>
    <t>MilitaryTechnologyTradeBalanceTarget</t>
  </si>
  <si>
    <t>copied into TotalScore</t>
  </si>
  <si>
    <t>None</t>
  </si>
  <si>
    <t>LowNeg</t>
  </si>
  <si>
    <t>HighNeg</t>
  </si>
  <si>
    <t>MediumNeg</t>
  </si>
  <si>
    <t>LowPos</t>
  </si>
  <si>
    <t>HighPos</t>
  </si>
  <si>
    <t>MediumPos</t>
  </si>
  <si>
    <t>JobsCreated</t>
  </si>
  <si>
    <t>JobsDisplaced</t>
  </si>
  <si>
    <t>EnergyConsumedFromDataCenters</t>
  </si>
  <si>
    <t>CarbonIntensityFromDataCenters</t>
  </si>
  <si>
    <t>WaterCircularityIndex</t>
  </si>
  <si>
    <t>EwasteCircularityIndex</t>
  </si>
  <si>
    <t>DefenseExports</t>
  </si>
  <si>
    <t>DefenseImports</t>
  </si>
  <si>
    <t>X</t>
  </si>
  <si>
    <t>Impact</t>
  </si>
  <si>
    <t>Level</t>
  </si>
  <si>
    <t>Growth &amp; Welbeing</t>
  </si>
  <si>
    <t>Human Rights</t>
  </si>
  <si>
    <t>Privacy &amp; Data Protection</t>
  </si>
  <si>
    <t>Security &amp; Safety</t>
  </si>
  <si>
    <t xml:space="preserve">Accountability </t>
  </si>
  <si>
    <t>Weight</t>
  </si>
  <si>
    <t>Position</t>
  </si>
  <si>
    <t>Weighted Governance</t>
  </si>
  <si>
    <t>EcBudget</t>
  </si>
  <si>
    <t>EcTotalCost</t>
  </si>
  <si>
    <t>EcBudgetRemaining</t>
  </si>
  <si>
    <t>EcRecurringCost</t>
  </si>
  <si>
    <t>EcInitialCost</t>
  </si>
  <si>
    <t>EcProCostInitial</t>
  </si>
  <si>
    <t>EcProCostRecurring</t>
  </si>
  <si>
    <t>EcProCostRecurringValue</t>
  </si>
  <si>
    <t>EcPro3CostRecurring</t>
  </si>
  <si>
    <t>EcPro3CostRecurringValue</t>
  </si>
  <si>
    <t>EcAvaialbleToAllocate</t>
  </si>
  <si>
    <t>EcNextYearReucurringCost</t>
  </si>
  <si>
    <t>EcPro24CostRecurring</t>
  </si>
  <si>
    <t>EcPro24CostRecurringValue</t>
  </si>
  <si>
    <t>EcPro4CostRecurring</t>
  </si>
  <si>
    <t>EcPro4CostRecurringValue</t>
  </si>
  <si>
    <t>EcPro5CostRecurring</t>
  </si>
  <si>
    <t>EcPro5CostRecurringValue</t>
  </si>
  <si>
    <t>EcPro6CostRecurring</t>
  </si>
  <si>
    <t>EcPro6CostRecurringValue</t>
  </si>
  <si>
    <t>EcPro7CostRecurring</t>
  </si>
  <si>
    <t>EcPro7CostRecurringValue</t>
  </si>
  <si>
    <t>EcPro8CostRecurring</t>
  </si>
  <si>
    <t>EcPro8CostRecurringValue</t>
  </si>
  <si>
    <t>EcPro9CostRecurring</t>
  </si>
  <si>
    <t>EcPro9CostRecurringValue</t>
  </si>
  <si>
    <t>EcPro10CostRecurring</t>
  </si>
  <si>
    <t>EcPro10CostRecurringValue</t>
  </si>
  <si>
    <t>EcPro11CostRecurring</t>
  </si>
  <si>
    <t>EcPro11CostRecurringValue</t>
  </si>
  <si>
    <t>EcPro12CostRecurring</t>
  </si>
  <si>
    <t>EcPro12CostRecurringValue</t>
  </si>
  <si>
    <t>EcPro13CostRecurring</t>
  </si>
  <si>
    <t>EcPro13CostRecurringValue</t>
  </si>
  <si>
    <t>EcPro14CostRecurring</t>
  </si>
  <si>
    <t>EcPro14CostRecurringValue</t>
  </si>
  <si>
    <t>EcPro15CostRecurringValue</t>
  </si>
  <si>
    <t>EcPro15CostRecurring</t>
  </si>
  <si>
    <t>EcPro16CostRecurring</t>
  </si>
  <si>
    <t>EcPro16CostRecurringValue</t>
  </si>
  <si>
    <t>EcPro17CostRecurringValue</t>
  </si>
  <si>
    <t>EcPro17CostRecurring</t>
  </si>
  <si>
    <t>EcPro18CostRecurring</t>
  </si>
  <si>
    <t>EcPro18CostRecurringValue</t>
  </si>
  <si>
    <t>EcPro19CostRecurring</t>
  </si>
  <si>
    <t>EcPro19CostRecurringValue</t>
  </si>
  <si>
    <t>EcPro20CostRecurringValue</t>
  </si>
  <si>
    <t>EcPro20CostRecurring</t>
  </si>
  <si>
    <t>EcPro21CostRecurring</t>
  </si>
  <si>
    <t>EcPro21CostRecurringValue</t>
  </si>
  <si>
    <t>EcPro22CostRecurring</t>
  </si>
  <si>
    <t>EcPro22CostRecurringValue</t>
  </si>
  <si>
    <t>EcPro23CostRecurring</t>
  </si>
  <si>
    <t>EcPro23CostRecurringValue</t>
  </si>
  <si>
    <t>AI in Education Regulatory Sandbox</t>
  </si>
  <si>
    <t>Ministry AI Literacy Training Program</t>
  </si>
  <si>
    <t>National AI Literacy Standard &amp; Certification</t>
  </si>
  <si>
    <t xml:space="preserve">Enforcement of Data Protection Regulations for AI in Education </t>
  </si>
  <si>
    <t>AI Assessment &amp; Academic Integrity Framework</t>
  </si>
  <si>
    <t>International Joint AI Research Fund</t>
  </si>
  <si>
    <t>National Compute Resource for AI Research</t>
  </si>
  <si>
    <t>EduProCostRecurringValue</t>
  </si>
  <si>
    <t>EduProCostRecurring</t>
  </si>
  <si>
    <t>EduPro9CostRecurring</t>
  </si>
  <si>
    <t>EduPro9CostRecurringValue</t>
  </si>
  <si>
    <t>EduPro8CostRecurring</t>
  </si>
  <si>
    <t>EduPro8CostRecurringValue</t>
  </si>
  <si>
    <t>EduPro3CostRecurring</t>
  </si>
  <si>
    <t>EduPro3CostRecurringValue</t>
  </si>
  <si>
    <t>EduPro4CostRecurring</t>
  </si>
  <si>
    <t>EduPro4CostRecurringValue</t>
  </si>
  <si>
    <t>EduPro5CostRecurring</t>
  </si>
  <si>
    <t>EduPro5CostRecurringValue</t>
  </si>
  <si>
    <t>EduPro6CostRecurring</t>
  </si>
  <si>
    <t>EduPro6CostRecurringValue</t>
  </si>
  <si>
    <t>EduPro7CostRecurring</t>
  </si>
  <si>
    <t>EduPro7CostRecurringValue</t>
  </si>
  <si>
    <t>DefProCostRecurring</t>
  </si>
  <si>
    <t>DefProCostRecurringValue</t>
  </si>
  <si>
    <t>DefPro3CostRecurring</t>
  </si>
  <si>
    <t>DefPro3CostRecurringValue</t>
  </si>
  <si>
    <t>DefPro4CostRecurring</t>
  </si>
  <si>
    <t>DefPro4CostRecurringValue</t>
  </si>
  <si>
    <t>DefPro5CostRecurring</t>
  </si>
  <si>
    <t>DefPro5CostRecurringValue</t>
  </si>
  <si>
    <t>DefPro6CostRecurring</t>
  </si>
  <si>
    <t>DefPro6CostRecurringValue</t>
  </si>
  <si>
    <t>DefPro7CostRecurring</t>
  </si>
  <si>
    <t>DefPro7CostRecurringValue</t>
  </si>
  <si>
    <t>DefPro8CostRecurring</t>
  </si>
  <si>
    <t>DefPro8CostRecurringValue</t>
  </si>
  <si>
    <t>DefPro9CostRecurring</t>
  </si>
  <si>
    <t>DefPro9CostRecurringValue</t>
  </si>
  <si>
    <t>AI Regulatory Sandbox</t>
  </si>
  <si>
    <t>Seal for trustworthy AI</t>
  </si>
  <si>
    <t>AI talent visa</t>
  </si>
  <si>
    <t>AI provisions in trade agreements</t>
  </si>
  <si>
    <t>Robot tax</t>
  </si>
  <si>
    <t>Train ministry staff</t>
  </si>
  <si>
    <t>Standards for AI Interoperability</t>
  </si>
  <si>
    <t>AI Defense Ethics and Security Framework</t>
  </si>
  <si>
    <t>UN LAWS Treaty</t>
  </si>
  <si>
    <t>AI Vendor Defense Procurement Standards</t>
  </si>
  <si>
    <t>Allied Defence AI Research and Red Teaming Partnership</t>
  </si>
  <si>
    <t xml:space="preserve">Meaningful Human Control Protocol (HCP) </t>
  </si>
  <si>
    <t>AI-Enabled intelligence, surveillance, and reconnaissance (ISR) Platform</t>
  </si>
  <si>
    <t>EcSlider1</t>
  </si>
  <si>
    <t>EcSlider1LastYear</t>
  </si>
  <si>
    <t>EcSlider1Cost</t>
  </si>
  <si>
    <t>Slider Costs</t>
  </si>
  <si>
    <t>Value</t>
  </si>
  <si>
    <t>Cost</t>
  </si>
  <si>
    <t>EcSlider2</t>
  </si>
  <si>
    <t>EcSlider2LastYear</t>
  </si>
  <si>
    <t>EcSlider2Cost</t>
  </si>
  <si>
    <t>Slider Impacts</t>
  </si>
  <si>
    <t>Policy Impacts</t>
  </si>
  <si>
    <t>EnvProCostInitial</t>
  </si>
  <si>
    <t>EnvProCostRecurring</t>
  </si>
  <si>
    <t>EnvProCostRecurringValue</t>
  </si>
  <si>
    <t>EnvProCost</t>
  </si>
  <si>
    <t>EcProCost</t>
  </si>
  <si>
    <t>EnvPro3CostRecurring</t>
  </si>
  <si>
    <t>EnvPro3CostRecurringValue</t>
  </si>
  <si>
    <t>EnvPro4CostRecurring</t>
  </si>
  <si>
    <t>EnvPro4CostRecurringValue</t>
  </si>
  <si>
    <t>EnvPro5CostRecurring</t>
  </si>
  <si>
    <t>EnvPro5CostRecurringValue</t>
  </si>
  <si>
    <t>EnvPro6CostRecurring</t>
  </si>
  <si>
    <t>EnvPro6CostRecurringValue</t>
  </si>
  <si>
    <t>EnvPro7CostRecurring</t>
  </si>
  <si>
    <t>EnvPro7CostRecurringValue</t>
  </si>
  <si>
    <t>EnvPro8CostRecurring</t>
  </si>
  <si>
    <t>EnvPro8CostRecurringValue</t>
  </si>
  <si>
    <t>EnvPro9CostRecurring</t>
  </si>
  <si>
    <t>EnvPro9CostRecurringValue</t>
  </si>
  <si>
    <t>EnvPro10CostRecurring</t>
  </si>
  <si>
    <t>EnvPro10CostRecurringValue</t>
  </si>
  <si>
    <t>EnvPro11CostRecurringValue</t>
  </si>
  <si>
    <t>EnvPro11CostRecurring</t>
  </si>
  <si>
    <t>EnvPro12CostRecurring</t>
  </si>
  <si>
    <t>EnvPro12CostRecurringValue</t>
  </si>
  <si>
    <t>EnvPro13CostRecurring</t>
  </si>
  <si>
    <t>EnvPro13CostRecurringValue</t>
  </si>
  <si>
    <t>EnvPro14CostRecurring</t>
  </si>
  <si>
    <t>EnvPro14CostRecurringValue</t>
  </si>
  <si>
    <t>EnvPro15CostRecurring</t>
  </si>
  <si>
    <t>EnvPro15CostRecurringValue</t>
  </si>
  <si>
    <t>EnvPro16CostRecurring</t>
  </si>
  <si>
    <t>EnvPro16CostRecurringValue</t>
  </si>
  <si>
    <t>EnvPro17CostRecurring</t>
  </si>
  <si>
    <t>EnvPro17CostRecurringValue</t>
  </si>
  <si>
    <t>EnvPro18CostRecurring</t>
  </si>
  <si>
    <t>EnvPro18CostRecurringValue</t>
  </si>
  <si>
    <t>EnvPro19CostRecurringValue</t>
  </si>
  <si>
    <t>EnvPro19CostRecurring</t>
  </si>
  <si>
    <t>EnvPro20CostRecurring</t>
  </si>
  <si>
    <t>EnvPro20CostRecurringValue</t>
  </si>
  <si>
    <t>EnvPro21CostRecurring</t>
  </si>
  <si>
    <t>EnvPro21CostRecurringValue</t>
  </si>
  <si>
    <t>EnvPro22CostRecurring</t>
  </si>
  <si>
    <t>EnvPro22CostRecurringValue</t>
  </si>
  <si>
    <t>EnvPro23CostRecurring</t>
  </si>
  <si>
    <t>EnvPro23CostRecurringValue</t>
  </si>
  <si>
    <t>EnvPro24CostRecurring</t>
  </si>
  <si>
    <t>EnvPro24CostRecurringValue</t>
  </si>
  <si>
    <t>EnvPro24Type</t>
  </si>
  <si>
    <t>EnvPro24CanCancel</t>
  </si>
  <si>
    <t>EnvPro23CanCancel</t>
  </si>
  <si>
    <t>EnvPro18CanCancel</t>
  </si>
  <si>
    <t>EnvPro22CanCancel</t>
  </si>
  <si>
    <t>EnvPro21CanCancel</t>
  </si>
  <si>
    <t>EnvPro20CanCancel</t>
  </si>
  <si>
    <t>EnvPro19CanCancel</t>
  </si>
  <si>
    <t>EcPro18CanCancel</t>
  </si>
  <si>
    <t>EcPro19CanCancel</t>
  </si>
  <si>
    <t>EcPro20CanCancel</t>
  </si>
  <si>
    <t>EcPro21CanCancel</t>
  </si>
  <si>
    <t>EcPro22CanCancel</t>
  </si>
  <si>
    <t>EcPro23CanCancel</t>
  </si>
  <si>
    <t>EcPro24CanCancel</t>
  </si>
  <si>
    <t>DefProCost</t>
  </si>
  <si>
    <t>DefPro10CostRecurring</t>
  </si>
  <si>
    <t>DefPro10CostRecurringValue</t>
  </si>
  <si>
    <t>DefPro11CostRecurring</t>
  </si>
  <si>
    <t>DefPro11CostRecurringValue</t>
  </si>
  <si>
    <t>DefPro12CostRecurring</t>
  </si>
  <si>
    <t>DefPro12CostRecurringValue</t>
  </si>
  <si>
    <t>DefPro13CostRecurring</t>
  </si>
  <si>
    <t>DefPro13CostRecurringValue</t>
  </si>
  <si>
    <t>DefPro14CostRecurring</t>
  </si>
  <si>
    <t>DefPro14CostRecurringValue</t>
  </si>
  <si>
    <t>DefPro15CostRecurring</t>
  </si>
  <si>
    <t>DefPro15CostRecurringValue</t>
  </si>
  <si>
    <t>DefPro16CostRecurring</t>
  </si>
  <si>
    <t>DefPro16CostRecurringValue</t>
  </si>
  <si>
    <t>DefPro17CostRecurring</t>
  </si>
  <si>
    <t>DefPro17CostRecurringValue</t>
  </si>
  <si>
    <t>DefPro18CostRecurring</t>
  </si>
  <si>
    <t>DefPro18CostRecurringValue</t>
  </si>
  <si>
    <t>DefPro19CostRecurring</t>
  </si>
  <si>
    <t>DefPro19CostRecurringValue</t>
  </si>
  <si>
    <t>DefPro20CostRecurring</t>
  </si>
  <si>
    <t>DefPro20CostRecurringValue</t>
  </si>
  <si>
    <t>DefPro21CostRecurring</t>
  </si>
  <si>
    <t>DefPro21CostRecurringValue</t>
  </si>
  <si>
    <t>DefPro22CostRecurring</t>
  </si>
  <si>
    <t>DefPro22CostRecurringValue</t>
  </si>
  <si>
    <t>DefPro23CostRecurring</t>
  </si>
  <si>
    <t>DefPro23CostRecurringValue</t>
  </si>
  <si>
    <t>DefPro24CostRecurring</t>
  </si>
  <si>
    <t>DefPro24CostRecurringValue</t>
  </si>
  <si>
    <t>DefPro18CanCancel</t>
  </si>
  <si>
    <t>DefPro19CanCancel</t>
  </si>
  <si>
    <t>DefPro20CanCancel</t>
  </si>
  <si>
    <t>DefPro21CanCancel</t>
  </si>
  <si>
    <t>DefPro22CanCancel</t>
  </si>
  <si>
    <t>DefPro23CanCancel</t>
  </si>
  <si>
    <t>DefPro24CanCancel</t>
  </si>
  <si>
    <t>EduProCost</t>
  </si>
  <si>
    <t>EduPro11CostRecurring</t>
  </si>
  <si>
    <t>EduPro11CostRecurringValue</t>
  </si>
  <si>
    <t>EduPro10CostRecurring</t>
  </si>
  <si>
    <t>EduPro10CostRecurringValue</t>
  </si>
  <si>
    <t>EduPro24CostRecurring</t>
  </si>
  <si>
    <t>EduPro24CostRecurringValue</t>
  </si>
  <si>
    <t>EduPro23CostRecurring</t>
  </si>
  <si>
    <t>EduPro23CostRecurringValue</t>
  </si>
  <si>
    <t>EduPro22CostRecurring</t>
  </si>
  <si>
    <t>EduPro22CostRecurringValue</t>
  </si>
  <si>
    <t>EduPro21CostRecurring</t>
  </si>
  <si>
    <t>EduPro21CostRecurringValue</t>
  </si>
  <si>
    <t>EduPro20CostRecurring</t>
  </si>
  <si>
    <t>EduPro20CostRecurringValue</t>
  </si>
  <si>
    <t>EduPro19CostRecurring</t>
  </si>
  <si>
    <t>EduPro19CostRecurringValue</t>
  </si>
  <si>
    <t>EduPro18CostRecurring</t>
  </si>
  <si>
    <t>EduPro18CostRecurringValue</t>
  </si>
  <si>
    <t>EduPro17CostRecurring</t>
  </si>
  <si>
    <t>EduPro17CostRecurringValue</t>
  </si>
  <si>
    <t>EduPro16CostRecurring</t>
  </si>
  <si>
    <t>EduPro16CostRecurringValue</t>
  </si>
  <si>
    <t>EduPro15CostRecurring</t>
  </si>
  <si>
    <t>EduPro15CostRecurringValue</t>
  </si>
  <si>
    <t>EduPro14CostRecurring</t>
  </si>
  <si>
    <t>EduPro14CostRecurringValue</t>
  </si>
  <si>
    <t>EduPro13CostRecurring</t>
  </si>
  <si>
    <t>EduPro13CostRecurringValue</t>
  </si>
  <si>
    <t>EduPro12CostRecurring</t>
  </si>
  <si>
    <t>EduPro12CostRecurringValue</t>
  </si>
  <si>
    <t>EduPro24Done</t>
  </si>
  <si>
    <t>EduPro18CanCancel</t>
  </si>
  <si>
    <t>EduPro19CanCancel</t>
  </si>
  <si>
    <t xml:space="preserve"> EduPro20CanCancel </t>
  </si>
  <si>
    <t xml:space="preserve"> EduPro21CanCancel </t>
  </si>
  <si>
    <t xml:space="preserve"> EduPro22CanCancel </t>
  </si>
  <si>
    <t xml:space="preserve"> EduPro23CanCancel </t>
  </si>
  <si>
    <t xml:space="preserve"> EduPro24CanCancel </t>
  </si>
  <si>
    <t>DefPro24Done</t>
  </si>
  <si>
    <t>DefPro18Done</t>
  </si>
  <si>
    <t>DefPro19Done</t>
  </si>
  <si>
    <t>DefPro20Done</t>
  </si>
  <si>
    <t>DefPro21Done</t>
  </si>
  <si>
    <t>DefPro22Done</t>
  </si>
  <si>
    <t>DefPro23Done</t>
  </si>
  <si>
    <t>EnvPro24Done</t>
  </si>
  <si>
    <t>EnvPro18Done</t>
  </si>
  <si>
    <t>EnvPro19Done</t>
  </si>
  <si>
    <t>EnvPro20Done</t>
  </si>
  <si>
    <t>EnvPro21Done</t>
  </si>
  <si>
    <t>EnvPro22Done</t>
  </si>
  <si>
    <t>EnvPro23Done</t>
  </si>
  <si>
    <t>EcPro24Done</t>
  </si>
  <si>
    <t>EcPro18Done</t>
  </si>
  <si>
    <t>EcPro19Done</t>
  </si>
  <si>
    <t>EcPro20Done</t>
  </si>
  <si>
    <t>EcPro21Done</t>
  </si>
  <si>
    <t>EcPro22Done</t>
  </si>
  <si>
    <t>EcPro23Done</t>
  </si>
  <si>
    <t>EduPro23Done</t>
  </si>
  <si>
    <t xml:space="preserve"> EduPro22Done </t>
  </si>
  <si>
    <t xml:space="preserve"> EduPro21Done </t>
  </si>
  <si>
    <t xml:space="preserve"> EduPro20Done </t>
  </si>
  <si>
    <t xml:space="preserve"> EduPro19Done </t>
  </si>
  <si>
    <t xml:space="preserve"> EduPro18Done </t>
  </si>
  <si>
    <t>EnvBudget</t>
  </si>
  <si>
    <t>EnvInitialCost</t>
  </si>
  <si>
    <t>EnvAvaialbleToAllocate</t>
  </si>
  <si>
    <t>EnvTotalCost</t>
  </si>
  <si>
    <t>EnvBudgetRemaining</t>
  </si>
  <si>
    <t>EnvNextYearReucurringCost</t>
  </si>
  <si>
    <t>EnvRecurringCost</t>
  </si>
  <si>
    <t>DefBudget</t>
  </si>
  <si>
    <t>DefInitialCost</t>
  </si>
  <si>
    <t>DefRecurringCost</t>
  </si>
  <si>
    <t>DefAvaialbleToAllocate</t>
  </si>
  <si>
    <t>DefTotalCost</t>
  </si>
  <si>
    <t>DefBudgetRemaining</t>
  </si>
  <si>
    <t>DefNextYearReucurringCost</t>
  </si>
  <si>
    <t>EduBudget</t>
  </si>
  <si>
    <t>EduInitialCost</t>
  </si>
  <si>
    <t>EduRecurringCost</t>
  </si>
  <si>
    <t>EduAvaialbleToAllocate</t>
  </si>
  <si>
    <t>EduTotalCost</t>
  </si>
  <si>
    <t>EduBudgetRemaining</t>
  </si>
  <si>
    <t>EduNextYearReucurringCost</t>
  </si>
  <si>
    <t>EnvSlider1</t>
  </si>
  <si>
    <t>EnvSlider1LastYear</t>
  </si>
  <si>
    <t>EnvSlider1Cost</t>
  </si>
  <si>
    <t>EnvSlider2</t>
  </si>
  <si>
    <t>EnvSlider2LastYear</t>
  </si>
  <si>
    <t>EnvSlider2Cost</t>
  </si>
  <si>
    <t>DefSlider1</t>
  </si>
  <si>
    <t>DefSlider1LastYear</t>
  </si>
  <si>
    <t>DefSlider1Cost</t>
  </si>
  <si>
    <t>DefSlider2</t>
  </si>
  <si>
    <t>DefSlider2LastYear</t>
  </si>
  <si>
    <t>DefSlider2Cost</t>
  </si>
  <si>
    <t>EduSlider1</t>
  </si>
  <si>
    <t>EduSlider1LastYear</t>
  </si>
  <si>
    <t>EduSlider1Cost</t>
  </si>
  <si>
    <t>EduSlider2</t>
  </si>
  <si>
    <t>EduSlider2LastYear</t>
  </si>
  <si>
    <t>EduSlider2Cost</t>
  </si>
  <si>
    <t>RoleUser0Value1Position</t>
  </si>
  <si>
    <t>RoleUser0Value2Position</t>
  </si>
  <si>
    <t>RoleUser0Value3Position</t>
  </si>
  <si>
    <t>RoleUser0Value4Position</t>
  </si>
  <si>
    <t>RoleUser0Value5Position</t>
  </si>
  <si>
    <t>RoleUser0Value6Position</t>
  </si>
  <si>
    <t>RoleUser0ValuesConfirmed</t>
  </si>
  <si>
    <t>RoleUser1Value1Position</t>
  </si>
  <si>
    <t>RoleUser1Value2Position</t>
  </si>
  <si>
    <t>RoleUser1Value3Position</t>
  </si>
  <si>
    <t>RoleUser1Value4Position</t>
  </si>
  <si>
    <t>RoleUser1Value5Position</t>
  </si>
  <si>
    <t>RoleUser1Value6Position</t>
  </si>
  <si>
    <t>RoleUser1ValuesConfirmed</t>
  </si>
  <si>
    <t>RoleUser2Value1Position</t>
  </si>
  <si>
    <t>RoleUser2Value2Position</t>
  </si>
  <si>
    <t>RoleUser2Value3Position</t>
  </si>
  <si>
    <t>RoleUser2Value4Position</t>
  </si>
  <si>
    <t>RoleUser2Value5Position</t>
  </si>
  <si>
    <t>RoleUser2Value6Position</t>
  </si>
  <si>
    <t>RoleUser2ValuesConfirmed</t>
  </si>
  <si>
    <t>RoleUser3Value1Position</t>
  </si>
  <si>
    <t>RoleUser3Value2Position</t>
  </si>
  <si>
    <t>RoleUser3Value3Position</t>
  </si>
  <si>
    <t>RoleUser3Value4Position</t>
  </si>
  <si>
    <t>RoleUser3Value5Position</t>
  </si>
  <si>
    <t>RoleUser3Value6Position</t>
  </si>
  <si>
    <t>RoleUser3ValuesConfirmed</t>
  </si>
  <si>
    <t>RoleUser4Value1Position</t>
  </si>
  <si>
    <t>RoleUser4Value2Position</t>
  </si>
  <si>
    <t>RoleUser4Value3Position</t>
  </si>
  <si>
    <t>RoleUser4Value4Position</t>
  </si>
  <si>
    <t>RoleUser4Value5Position</t>
  </si>
  <si>
    <t>RoleUser4Value6Position</t>
  </si>
  <si>
    <t>RoleUser4ValuesConfirmed</t>
  </si>
  <si>
    <t>Parameters</t>
  </si>
  <si>
    <t>Energy Crisis</t>
  </si>
  <si>
    <t>Disillusioned Youth</t>
  </si>
  <si>
    <t>AI goes Rouge</t>
  </si>
  <si>
    <t>AI Plagerism</t>
  </si>
  <si>
    <t>C5Year</t>
  </si>
  <si>
    <t>C5</t>
  </si>
  <si>
    <t>C5Show</t>
  </si>
  <si>
    <t>C5Enabled</t>
  </si>
  <si>
    <t>C5Prepared</t>
  </si>
  <si>
    <t>C5ShowCrisisCard</t>
  </si>
  <si>
    <t>C6Year</t>
  </si>
  <si>
    <t>C6</t>
  </si>
  <si>
    <t>C6Show</t>
  </si>
  <si>
    <t>C6Enabled</t>
  </si>
  <si>
    <t>C6Prepared</t>
  </si>
  <si>
    <t>C6ShowCrisisCard</t>
  </si>
  <si>
    <t>C7Year</t>
  </si>
  <si>
    <t>C7</t>
  </si>
  <si>
    <t>C7Show</t>
  </si>
  <si>
    <t>C7Enabled</t>
  </si>
  <si>
    <t>C7Prepared</t>
  </si>
  <si>
    <t>C7ShowCrisisCard</t>
  </si>
  <si>
    <t>C8Year</t>
  </si>
  <si>
    <t>C8</t>
  </si>
  <si>
    <t>C8Show</t>
  </si>
  <si>
    <t>C8Enabled</t>
  </si>
  <si>
    <t>C8Prepared</t>
  </si>
  <si>
    <t>C8ShowCrisisCard</t>
  </si>
  <si>
    <t>Crisis 6</t>
  </si>
  <si>
    <t>Crisis 7</t>
  </si>
  <si>
    <t>Crisis 8</t>
  </si>
  <si>
    <t>International Competition</t>
  </si>
  <si>
    <t>SliderReasoningEnabled</t>
  </si>
  <si>
    <t>Ministry Training Program</t>
  </si>
  <si>
    <t>TeamName</t>
  </si>
  <si>
    <t>RenewableEnergyFactor</t>
  </si>
  <si>
    <t>RenewableEnergyFactorTarget</t>
  </si>
  <si>
    <t>AutonomousSystemsSafteyIndex</t>
  </si>
  <si>
    <t>AutonomousSystemsSafteyIndexTarget</t>
  </si>
  <si>
    <t>Percentage of Target Achieved %</t>
  </si>
  <si>
    <t>AIContributionToGDPPercOfTargetAchieved</t>
  </si>
  <si>
    <t>NetJobsFromAIPercOfTargetAchieved</t>
  </si>
  <si>
    <t>RenewableEnergyFactorPercOfTargetAchieved</t>
  </si>
  <si>
    <t>CircularityIndexPercOfTargetAchieved</t>
  </si>
  <si>
    <t>EcosystemIntegrityIndexPercOfTargetAchieved</t>
  </si>
  <si>
    <t>CybersecurityIndexPercOfTargetAchieved</t>
  </si>
  <si>
    <t>AutonomousSystemsSafteyIndexPercOfTargetAchieved</t>
  </si>
  <si>
    <t>MilitaryTechnologyTradeBalancePercOfTargetAchieved</t>
  </si>
  <si>
    <t>AILiteracyPercOfTargetAchieved</t>
  </si>
  <si>
    <t>InnovationIndexPercOfTargetAchieved</t>
  </si>
  <si>
    <t>AverageMinistryScore</t>
  </si>
  <si>
    <t>InstitutionalAdoptionRatePercOfTargetAchieved</t>
  </si>
  <si>
    <t>News Item</t>
  </si>
  <si>
    <t>News</t>
  </si>
  <si>
    <t>NewsEnabled</t>
  </si>
  <si>
    <t>NewsYear</t>
  </si>
  <si>
    <t>Year 1 News Item</t>
  </si>
  <si>
    <t>News1</t>
  </si>
  <si>
    <t>News1Enabled</t>
  </si>
  <si>
    <t>News1Year</t>
  </si>
  <si>
    <t>Paramters</t>
  </si>
  <si>
    <t>News2Year</t>
  </si>
  <si>
    <t>News2</t>
  </si>
  <si>
    <t>News2Enabled</t>
  </si>
  <si>
    <t>Year 8 News Item</t>
  </si>
  <si>
    <t>News8Year</t>
  </si>
  <si>
    <t>News8</t>
  </si>
  <si>
    <t>News8Enabled</t>
  </si>
  <si>
    <t>News7</t>
  </si>
  <si>
    <t>News7Enabled</t>
  </si>
  <si>
    <t>News7Year</t>
  </si>
  <si>
    <t>Year 7 News Item</t>
  </si>
  <si>
    <t>News6</t>
  </si>
  <si>
    <t>News6Year</t>
  </si>
  <si>
    <t>News6Enabled</t>
  </si>
  <si>
    <t>News5Year</t>
  </si>
  <si>
    <t>News5</t>
  </si>
  <si>
    <t>News5Enabled</t>
  </si>
  <si>
    <t>News4</t>
  </si>
  <si>
    <t>News4Enabled</t>
  </si>
  <si>
    <t>News4Year</t>
  </si>
  <si>
    <t>News3Year</t>
  </si>
  <si>
    <t>News3</t>
  </si>
  <si>
    <t>News3Enabled</t>
  </si>
  <si>
    <t>Not used, we leave year 1 as a good year</t>
  </si>
  <si>
    <t>NewsShow</t>
  </si>
  <si>
    <t>News1Show</t>
  </si>
  <si>
    <t>News2Show</t>
  </si>
  <si>
    <t>News3Show</t>
  </si>
  <si>
    <t>News4Show</t>
  </si>
  <si>
    <t>News5Show</t>
  </si>
  <si>
    <t>News6Show</t>
  </si>
  <si>
    <t>News7Show</t>
  </si>
  <si>
    <t>News8Show</t>
  </si>
  <si>
    <t>Solar Flare</t>
  </si>
  <si>
    <t>Face ID</t>
  </si>
  <si>
    <t>Autonomous Cars</t>
  </si>
  <si>
    <t>Cameras on Toys</t>
  </si>
  <si>
    <t>Opportunity</t>
  </si>
  <si>
    <t>OpYear</t>
  </si>
  <si>
    <t>Op</t>
  </si>
  <si>
    <t>OpSelected</t>
  </si>
  <si>
    <t>Op1Selected</t>
  </si>
  <si>
    <t>Op1</t>
  </si>
  <si>
    <t>Op1Year</t>
  </si>
  <si>
    <t>Op2Year</t>
  </si>
  <si>
    <t>Op2</t>
  </si>
  <si>
    <t>Op2Selected</t>
  </si>
  <si>
    <t>Op3</t>
  </si>
  <si>
    <t>Op3Year</t>
  </si>
  <si>
    <t>Op3Selected</t>
  </si>
  <si>
    <t>Op4Year</t>
  </si>
  <si>
    <t>Op4</t>
  </si>
  <si>
    <t>Op4Selected</t>
  </si>
  <si>
    <t>Opportunity 5</t>
  </si>
  <si>
    <t>Op5Year</t>
  </si>
  <si>
    <t>Op5</t>
  </si>
  <si>
    <t>Op5Selected</t>
  </si>
  <si>
    <t>Opportunity 6</t>
  </si>
  <si>
    <t>Op6</t>
  </si>
  <si>
    <t>Op6Year</t>
  </si>
  <si>
    <t>Op6Selected</t>
  </si>
  <si>
    <t>Opportunity 7</t>
  </si>
  <si>
    <t>Op7Year</t>
  </si>
  <si>
    <t>Op7</t>
  </si>
  <si>
    <t>Op7Selected</t>
  </si>
  <si>
    <t>Opportunity 8</t>
  </si>
  <si>
    <t>Op8Year</t>
  </si>
  <si>
    <t>Op8</t>
  </si>
  <si>
    <t>Op8Selected</t>
  </si>
  <si>
    <t>Wearable Devices Hack</t>
  </si>
  <si>
    <t>Rows Reference</t>
  </si>
  <si>
    <t>Foreign Data Center Hub</t>
  </si>
  <si>
    <t>International AI Safety Treaty</t>
  </si>
  <si>
    <t>Capital City Digital Twin</t>
  </si>
  <si>
    <t>Imported AI Literacy Platform</t>
  </si>
  <si>
    <t>Sustainable AI Sandbox</t>
  </si>
  <si>
    <t>Data Center Effeciency Standards</t>
  </si>
  <si>
    <t>Sustainability Disclosure</t>
  </si>
  <si>
    <t>Moonshot for Biology Programme</t>
  </si>
  <si>
    <t>Deforestation Early Warning</t>
  </si>
  <si>
    <t>Champion at the UN</t>
  </si>
  <si>
    <t>Internation Green AI Compute Hub</t>
  </si>
  <si>
    <t xml:space="preserve">Open Data Hub </t>
  </si>
  <si>
    <t>Environmental Certification Program</t>
  </si>
  <si>
    <t>Hardware Circular Economy Mandate</t>
  </si>
  <si>
    <t>AI Renewable Grid Balancing</t>
  </si>
  <si>
    <t>Carbon Offset Neutrality Scheme</t>
  </si>
  <si>
    <t>Defense AI Sandbox</t>
  </si>
  <si>
    <t>Insect Cyborgs</t>
  </si>
  <si>
    <t>Open Data Hub</t>
  </si>
  <si>
    <t>AI-Enabled Exo-Skeleton Suits</t>
  </si>
  <si>
    <t>AI Enabled Personal Health Wearable Monitors for Defense Personnel</t>
  </si>
  <si>
    <t>GPS Spoofing</t>
  </si>
  <si>
    <t>FacilSetsTargets</t>
  </si>
  <si>
    <t>F_AIContributionToGDPTarget</t>
  </si>
  <si>
    <t>F_NetJobsFromAITarget</t>
  </si>
  <si>
    <t>F_RenewableEnergyFactorTarget</t>
  </si>
  <si>
    <t>F_CircularityIndexTarget</t>
  </si>
  <si>
    <t>F_EcosystemIntegrityIndexTarget</t>
  </si>
  <si>
    <t>F_CybersecurityIndexTarget</t>
  </si>
  <si>
    <t>F_AutonomousSystemsSafteyIndexTarget</t>
  </si>
  <si>
    <t>F_MilitaryTechnologyTradeBalanceTarget</t>
  </si>
  <si>
    <t>F_AILiteracyTarget</t>
  </si>
  <si>
    <t>F_InnovationIndexTarget</t>
  </si>
  <si>
    <t>F_InstitutionalAdoptionRateTarget</t>
  </si>
  <si>
    <t>Defaults</t>
  </si>
  <si>
    <t>IsMultiplayer</t>
  </si>
  <si>
    <t>Misc</t>
  </si>
  <si>
    <t xml:space="preserve">Enabled Ministries </t>
  </si>
  <si>
    <t>EcEnabled</t>
  </si>
  <si>
    <t>EnvEnabled</t>
  </si>
  <si>
    <t>DefEnabled</t>
  </si>
  <si>
    <t>EduEnabled</t>
  </si>
  <si>
    <t>FacEcEnabled</t>
  </si>
  <si>
    <t>FacEnvEnabled</t>
  </si>
  <si>
    <t>FacDefEnabled</t>
  </si>
  <si>
    <t>FacEduEnabled</t>
  </si>
  <si>
    <t>FacAllowMinistryChoice</t>
  </si>
  <si>
    <t>MinistriesConfirmed</t>
  </si>
  <si>
    <t>Year 1</t>
  </si>
  <si>
    <t>Year 2</t>
  </si>
  <si>
    <t>EcProYear2Impact</t>
  </si>
  <si>
    <t>EcPro3Year2Impact</t>
  </si>
  <si>
    <t>EcPro4Year2Impact</t>
  </si>
  <si>
    <t>EcPro5Year2Impact</t>
  </si>
  <si>
    <t>EcPro6Year2Impact</t>
  </si>
  <si>
    <t>EcPro7Year2Impact</t>
  </si>
  <si>
    <t>EcPro8Year2Impact</t>
  </si>
  <si>
    <t>EcPro9Year2Impact</t>
  </si>
  <si>
    <t>EcPro10Year2Impact</t>
  </si>
  <si>
    <t>EcPro11Year2Impact</t>
  </si>
  <si>
    <t>EcPro12Year2Impact</t>
  </si>
  <si>
    <t>EcPro13Year2Impact</t>
  </si>
  <si>
    <t>EcPro14Year2Impact</t>
  </si>
  <si>
    <t>EcPro15Year2Impact</t>
  </si>
  <si>
    <t>EcPro16Year2Impact</t>
  </si>
  <si>
    <t>EcPro17Year2Impact</t>
  </si>
  <si>
    <t>EcPro18Year2Impact</t>
  </si>
  <si>
    <t>EcPro19Year2Impact</t>
  </si>
  <si>
    <t>EcPro20Year2Impact</t>
  </si>
  <si>
    <t>EcPro21Year2Impact</t>
  </si>
  <si>
    <t>EcPro22Year2Impact</t>
  </si>
  <si>
    <t>EcPro23Year2Impact</t>
  </si>
  <si>
    <t>EcPro24Year2Impact</t>
  </si>
  <si>
    <t>EnvPro3Year2Impact</t>
  </si>
  <si>
    <t>EnvPro4Year2Impact</t>
  </si>
  <si>
    <t>EnvPro5Year2Impact</t>
  </si>
  <si>
    <t>EnvPro6Year2Impact</t>
  </si>
  <si>
    <t>EnvPro7Year2Impact</t>
  </si>
  <si>
    <t>EnvPro8Year2Impact</t>
  </si>
  <si>
    <t>EnvPro9Year2Impact</t>
  </si>
  <si>
    <t>EnvPro10Year2Impact</t>
  </si>
  <si>
    <t>EnvPro11Year2Impact</t>
  </si>
  <si>
    <t>EnvPro12Year2Impact</t>
  </si>
  <si>
    <t>EnvPro13Year2Impact</t>
  </si>
  <si>
    <t>EnvPro14Year2Impact</t>
  </si>
  <si>
    <t>EnvPro15Year2Impact</t>
  </si>
  <si>
    <t>EnvPro16Year2Impact</t>
  </si>
  <si>
    <t>EnvPro17Year2Impact</t>
  </si>
  <si>
    <t>EnvPro18Year2Impact</t>
  </si>
  <si>
    <t>EnvPro19Year2Impact</t>
  </si>
  <si>
    <t>EnvPro20Year2Impact</t>
  </si>
  <si>
    <t>EnvPro21Year2Impact</t>
  </si>
  <si>
    <t>EnvPro22Year2Impact</t>
  </si>
  <si>
    <t>EnvPro23Year2Impact</t>
  </si>
  <si>
    <t>EnvPro24Year2Impact</t>
  </si>
  <si>
    <t>DefPro3Year2Impact</t>
  </si>
  <si>
    <t>DefPro4Year2Impact</t>
  </si>
  <si>
    <t>DefPro5Year2Impact</t>
  </si>
  <si>
    <t>DefPro6Year2Impact</t>
  </si>
  <si>
    <t>DefPro7Year2Impact</t>
  </si>
  <si>
    <t>DefPro8Year2Impact</t>
  </si>
  <si>
    <t>DefPro9Year2Impact</t>
  </si>
  <si>
    <t>DefPro10Year2Impact</t>
  </si>
  <si>
    <t>DefPro11Year2Impact</t>
  </si>
  <si>
    <t>DefPro12Year2Impact</t>
  </si>
  <si>
    <t>DefPro13Year2Impact</t>
  </si>
  <si>
    <t>DefPro14Year2Impact</t>
  </si>
  <si>
    <t>DefPro15Year2Impact</t>
  </si>
  <si>
    <t>DefPro16Year2Impact</t>
  </si>
  <si>
    <t>DefPro17Year2Impact</t>
  </si>
  <si>
    <t>DefPro18Year2Impact</t>
  </si>
  <si>
    <t>DefPro19Year2Impact</t>
  </si>
  <si>
    <t>DefPro20Year2Impact</t>
  </si>
  <si>
    <t>DefPro21Year2Impact</t>
  </si>
  <si>
    <t>DefPro22Year2Impact</t>
  </si>
  <si>
    <t>DefPro23Year2Impact</t>
  </si>
  <si>
    <t>DefPro24Year2Impact</t>
  </si>
  <si>
    <t>EduPro3Year2Impact</t>
  </si>
  <si>
    <t>EduPro4Year2Impact</t>
  </si>
  <si>
    <t>EduPro5Year2Impact</t>
  </si>
  <si>
    <t>EduPro6Year2Impact</t>
  </si>
  <si>
    <t>EduPro7Year2Impact</t>
  </si>
  <si>
    <t>EduPro8Year2Impact</t>
  </si>
  <si>
    <t>EduPro9Year2Impact</t>
  </si>
  <si>
    <t>EduPro10Year2Impact</t>
  </si>
  <si>
    <t>EduPro11Year2Impact</t>
  </si>
  <si>
    <t>EduPro12Year2Impact</t>
  </si>
  <si>
    <t>EduPro13Year2Impact</t>
  </si>
  <si>
    <t>EduPro14Year2Impact</t>
  </si>
  <si>
    <t>EduPro15Year2Impact</t>
  </si>
  <si>
    <t>EduPro16Year2Impact</t>
  </si>
  <si>
    <t>EduPro17Year2Impact</t>
  </si>
  <si>
    <t>EduPro18Year2Impact</t>
  </si>
  <si>
    <t>EduPro19Year2Impact</t>
  </si>
  <si>
    <t>EduPro20Year2Impact</t>
  </si>
  <si>
    <t>EduPro21Year2Impact</t>
  </si>
  <si>
    <t>EduPro22Year2Impact</t>
  </si>
  <si>
    <t>EduPro23Year2Impact</t>
  </si>
  <si>
    <t>EduPro24Year2Impact</t>
  </si>
  <si>
    <t>EnvProYear2Impact</t>
  </si>
  <si>
    <t>DefProYear2Impact</t>
  </si>
  <si>
    <t>EduProYear2Impact</t>
  </si>
  <si>
    <t>AIFDIStock</t>
  </si>
  <si>
    <t>F_AIFDIStockTarget</t>
  </si>
  <si>
    <t>AIFDIStockTarget</t>
  </si>
  <si>
    <t>AIFDIStockPercOfTargetAchieved</t>
  </si>
  <si>
    <t>Free Online Literacy Course</t>
  </si>
  <si>
    <t>Livelihood Protection Policy</t>
  </si>
  <si>
    <t>AI Sovereignty Initiative</t>
  </si>
  <si>
    <t>Subsidized GPU Access</t>
  </si>
  <si>
    <t>Tax Incentives for AI Adoption</t>
  </si>
  <si>
    <t>Framework on Equity &amp; Digital Access</t>
  </si>
  <si>
    <t>Agentic AI Teacher Assistant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</si>
</sst>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B10202"/>
      <name val="Arial"/>
      <family val="2"/>
    </font>
    <font>
      <sz val="10"/>
      <color rgb="FF11734B"/>
      <name val="Arial"/>
      <family val="2"/>
    </font>
    <font>
      <b/>
      <sz val="11"/>
      <color theme="1"/>
      <name val="Aptos Narrow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165" fontId="0" fillId="0" borderId="0" xfId="1" applyNumberFormat="1" applyFont="1"/>
    <xf numFmtId="165" fontId="2" fillId="0" borderId="0" xfId="1" applyNumberFormat="1" applyFont="1"/>
    <xf numFmtId="165" fontId="3" fillId="0" borderId="0" xfId="1" applyNumberFormat="1" applyFont="1"/>
    <xf numFmtId="165" fontId="1" fillId="0" borderId="0" xfId="1" applyNumberFormat="1" applyFont="1"/>
    <xf numFmtId="0" fontId="2" fillId="0" borderId="0" xfId="0" applyFont="1"/>
    <xf numFmtId="164" fontId="0" fillId="0" borderId="0" xfId="1" applyFont="1"/>
    <xf numFmtId="0" fontId="0" fillId="0" borderId="0" xfId="0" quotePrefix="1"/>
    <xf numFmtId="3" fontId="0" fillId="0" borderId="0" xfId="0" applyNumberFormat="1"/>
    <xf numFmtId="0" fontId="4" fillId="0" borderId="0" xfId="0" applyFont="1"/>
    <xf numFmtId="43" fontId="0" fillId="0" borderId="0" xfId="0" applyNumberFormat="1"/>
    <xf numFmtId="0" fontId="5" fillId="0" borderId="0" xfId="0" applyFont="1"/>
    <xf numFmtId="165" fontId="0" fillId="0" borderId="0" xfId="0" applyNumberFormat="1"/>
    <xf numFmtId="165" fontId="0" fillId="0" borderId="0" xfId="1" applyNumberFormat="1" applyFont="1" applyAlignment="1">
      <alignment wrapText="1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0" fillId="2" borderId="0" xfId="0" applyFill="1"/>
    <xf numFmtId="0" fontId="4" fillId="3" borderId="0" xfId="0" applyFont="1" applyFill="1"/>
    <xf numFmtId="0" fontId="11" fillId="0" borderId="0" xfId="0" applyFont="1"/>
    <xf numFmtId="166" fontId="0" fillId="0" borderId="0" xfId="1" applyNumberFormat="1" applyFont="1"/>
    <xf numFmtId="165" fontId="0" fillId="0" borderId="0" xfId="1" applyNumberFormat="1" applyFont="1" applyAlignment="1"/>
    <xf numFmtId="165" fontId="1" fillId="0" borderId="0" xfId="1" applyNumberFormat="1" applyFont="1" applyAlignment="1"/>
    <xf numFmtId="164" fontId="0" fillId="0" borderId="0" xfId="1" applyFont="1" applyAlignment="1"/>
    <xf numFmtId="166" fontId="0" fillId="0" borderId="0" xfId="1" applyNumberFormat="1" applyFont="1" applyAlignment="1"/>
    <xf numFmtId="164" fontId="9" fillId="0" borderId="0" xfId="1" applyFont="1"/>
    <xf numFmtId="165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0" fillId="0" borderId="0" xfId="0" applyNumberFormat="1" applyFont="1"/>
    <xf numFmtId="37" fontId="0" fillId="0" borderId="0" xfId="1" applyNumberFormat="1" applyFont="1" applyAlignment="1"/>
    <xf numFmtId="164" fontId="16" fillId="0" borderId="0" xfId="1" applyFont="1"/>
    <xf numFmtId="164" fontId="2" fillId="0" borderId="0" xfId="1" applyFont="1"/>
    <xf numFmtId="0" fontId="17" fillId="0" borderId="0" xfId="0" applyFont="1"/>
    <xf numFmtId="165" fontId="4" fillId="0" borderId="0" xfId="1" applyNumberFormat="1" applyFont="1"/>
    <xf numFmtId="164" fontId="4" fillId="0" borderId="0" xfId="1" applyFont="1"/>
    <xf numFmtId="0" fontId="4" fillId="0" borderId="0" xfId="0" quotePrefix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6245B8-0202-B64B-821C-B21BAA347547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1ec46178-b4ac-40dd-98b3-78a0115bd21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06A0-419B-4B30-8DBD-35CF811D1E14}">
  <dimension ref="A1:AV83"/>
  <sheetViews>
    <sheetView workbookViewId="0">
      <selection activeCell="K23" sqref="K23"/>
    </sheetView>
  </sheetViews>
  <sheetFormatPr baseColWidth="10" defaultColWidth="8.83203125" defaultRowHeight="15" x14ac:dyDescent="0.2"/>
  <cols>
    <col min="1" max="1" width="27.5" customWidth="1"/>
    <col min="2" max="2" width="12.33203125" customWidth="1"/>
    <col min="4" max="4" width="20.5" customWidth="1"/>
  </cols>
  <sheetData>
    <row r="1" spans="1:2" ht="16" customHeight="1" x14ac:dyDescent="0.2">
      <c r="A1" t="s">
        <v>3</v>
      </c>
      <c r="B1">
        <v>0</v>
      </c>
    </row>
    <row r="2" spans="1:2" ht="16" customHeight="1" x14ac:dyDescent="0.2">
      <c r="A2" t="s">
        <v>2</v>
      </c>
      <c r="B2">
        <v>0</v>
      </c>
    </row>
    <row r="3" spans="1:2" ht="16" customHeight="1" x14ac:dyDescent="0.2">
      <c r="A3" t="s">
        <v>8</v>
      </c>
      <c r="B3">
        <v>5</v>
      </c>
    </row>
    <row r="4" spans="1:2" ht="16" customHeight="1" x14ac:dyDescent="0.2">
      <c r="A4" t="s">
        <v>9</v>
      </c>
      <c r="B4">
        <f>IF(Step=NumYears,1,0)</f>
        <v>0</v>
      </c>
    </row>
    <row r="5" spans="1:2" ht="16" customHeight="1" x14ac:dyDescent="0.2"/>
    <row r="6" spans="1:2" ht="16" customHeight="1" x14ac:dyDescent="0.2">
      <c r="A6" s="14" t="s">
        <v>1858</v>
      </c>
    </row>
    <row r="7" spans="1:2" ht="16" customHeight="1" x14ac:dyDescent="0.2">
      <c r="A7" t="s">
        <v>1</v>
      </c>
      <c r="B7">
        <v>0</v>
      </c>
    </row>
    <row r="8" spans="1:2" x14ac:dyDescent="0.2">
      <c r="A8" t="s">
        <v>1857</v>
      </c>
      <c r="B8">
        <v>0</v>
      </c>
    </row>
    <row r="9" spans="1:2" x14ac:dyDescent="0.2">
      <c r="A9" t="s">
        <v>1722</v>
      </c>
      <c r="B9">
        <v>0</v>
      </c>
    </row>
    <row r="10" spans="1:2" x14ac:dyDescent="0.2">
      <c r="A10" t="s">
        <v>1724</v>
      </c>
      <c r="B10" s="7" t="s">
        <v>6</v>
      </c>
    </row>
    <row r="11" spans="1:2" x14ac:dyDescent="0.2">
      <c r="B11" s="7"/>
    </row>
    <row r="12" spans="1:2" x14ac:dyDescent="0.2">
      <c r="A12" s="14" t="s">
        <v>1859</v>
      </c>
      <c r="B12" s="7"/>
    </row>
    <row r="13" spans="1:2" x14ac:dyDescent="0.2">
      <c r="A13" t="s">
        <v>1860</v>
      </c>
      <c r="B13" s="7">
        <v>1</v>
      </c>
    </row>
    <row r="14" spans="1:2" x14ac:dyDescent="0.2">
      <c r="A14" t="s">
        <v>1861</v>
      </c>
      <c r="B14" s="7">
        <v>1</v>
      </c>
    </row>
    <row r="15" spans="1:2" x14ac:dyDescent="0.2">
      <c r="A15" t="s">
        <v>1862</v>
      </c>
      <c r="B15" s="7">
        <v>1</v>
      </c>
    </row>
    <row r="16" spans="1:2" x14ac:dyDescent="0.2">
      <c r="A16" t="s">
        <v>1863</v>
      </c>
      <c r="B16" s="7">
        <v>1</v>
      </c>
    </row>
    <row r="17" spans="1:10" x14ac:dyDescent="0.2">
      <c r="A17" t="s">
        <v>1864</v>
      </c>
      <c r="B17" s="7">
        <v>1</v>
      </c>
    </row>
    <row r="18" spans="1:10" x14ac:dyDescent="0.2">
      <c r="A18" t="s">
        <v>1865</v>
      </c>
      <c r="B18" s="7">
        <v>1</v>
      </c>
    </row>
    <row r="19" spans="1:10" x14ac:dyDescent="0.2">
      <c r="A19" t="s">
        <v>1866</v>
      </c>
      <c r="B19" s="7">
        <v>1</v>
      </c>
    </row>
    <row r="20" spans="1:10" x14ac:dyDescent="0.2">
      <c r="A20" t="s">
        <v>1867</v>
      </c>
      <c r="B20" s="7">
        <v>1</v>
      </c>
    </row>
    <row r="21" spans="1:10" x14ac:dyDescent="0.2">
      <c r="A21" t="s">
        <v>1868</v>
      </c>
      <c r="B21" s="7">
        <v>1</v>
      </c>
    </row>
    <row r="22" spans="1:10" x14ac:dyDescent="0.2">
      <c r="A22" t="s">
        <v>1869</v>
      </c>
      <c r="B22" s="7">
        <v>0</v>
      </c>
    </row>
    <row r="24" spans="1:10" ht="14" customHeight="1" x14ac:dyDescent="0.2">
      <c r="A24" s="14" t="s">
        <v>385</v>
      </c>
    </row>
    <row r="25" spans="1:10" x14ac:dyDescent="0.2">
      <c r="A25" t="s">
        <v>386</v>
      </c>
      <c r="B25">
        <v>0</v>
      </c>
    </row>
    <row r="26" spans="1:10" x14ac:dyDescent="0.2">
      <c r="A26" t="s">
        <v>387</v>
      </c>
      <c r="B26">
        <v>0</v>
      </c>
    </row>
    <row r="27" spans="1:10" x14ac:dyDescent="0.2">
      <c r="A27" t="s">
        <v>388</v>
      </c>
      <c r="B27">
        <v>0</v>
      </c>
    </row>
    <row r="28" spans="1:10" x14ac:dyDescent="0.2">
      <c r="A28" t="s">
        <v>389</v>
      </c>
      <c r="B28">
        <v>0</v>
      </c>
    </row>
    <row r="29" spans="1:10" x14ac:dyDescent="0.2">
      <c r="A29" t="s">
        <v>390</v>
      </c>
      <c r="B29">
        <v>0</v>
      </c>
    </row>
    <row r="30" spans="1:10" x14ac:dyDescent="0.2">
      <c r="A30" t="s">
        <v>391</v>
      </c>
      <c r="B30">
        <v>0</v>
      </c>
    </row>
    <row r="31" spans="1:10" x14ac:dyDescent="0.2">
      <c r="D31" s="5" t="s">
        <v>1328</v>
      </c>
      <c r="E31">
        <v>1</v>
      </c>
      <c r="F31">
        <v>2</v>
      </c>
      <c r="G31">
        <v>3</v>
      </c>
      <c r="H31">
        <v>4</v>
      </c>
      <c r="I31">
        <v>5</v>
      </c>
      <c r="J31">
        <v>6</v>
      </c>
    </row>
    <row r="32" spans="1:10" x14ac:dyDescent="0.2">
      <c r="A32" s="14" t="s">
        <v>335</v>
      </c>
      <c r="D32" s="15" t="s">
        <v>1327</v>
      </c>
      <c r="E32">
        <v>0.25</v>
      </c>
      <c r="F32">
        <v>0.25</v>
      </c>
      <c r="G32">
        <v>0.15</v>
      </c>
      <c r="H32">
        <v>0.15</v>
      </c>
      <c r="I32">
        <v>0.1</v>
      </c>
      <c r="J32">
        <v>0.1</v>
      </c>
    </row>
    <row r="33" spans="1:48" x14ac:dyDescent="0.2">
      <c r="A33" t="s">
        <v>336</v>
      </c>
      <c r="B33">
        <v>1</v>
      </c>
      <c r="D33" t="s">
        <v>1322</v>
      </c>
      <c r="E33">
        <f>_xlfn.XLOOKUP(Value1Position,$E$31:$J$31,$E$32:$J$32)</f>
        <v>0.25</v>
      </c>
    </row>
    <row r="34" spans="1:48" x14ac:dyDescent="0.2">
      <c r="A34" t="s">
        <v>337</v>
      </c>
      <c r="B34">
        <v>2</v>
      </c>
      <c r="D34" t="s">
        <v>1323</v>
      </c>
      <c r="E34">
        <f>_xlfn.XLOOKUP(Value2Position,$E$31:$J$31,$E$32:$J$32)</f>
        <v>0.25</v>
      </c>
    </row>
    <row r="35" spans="1:48" x14ac:dyDescent="0.2">
      <c r="A35" t="s">
        <v>338</v>
      </c>
      <c r="B35">
        <v>3</v>
      </c>
      <c r="D35" t="s">
        <v>1324</v>
      </c>
      <c r="E35">
        <f>_xlfn.XLOOKUP(Value3Position,$E$31:$J$31,$E$32:$J$32)</f>
        <v>0.15</v>
      </c>
    </row>
    <row r="36" spans="1:48" x14ac:dyDescent="0.2">
      <c r="A36" t="s">
        <v>339</v>
      </c>
      <c r="B36">
        <v>4</v>
      </c>
      <c r="D36" t="s">
        <v>48</v>
      </c>
      <c r="E36">
        <f>_xlfn.XLOOKUP(Value4Position,$E$31:$J$31,$E$32:$J$32)</f>
        <v>0.15</v>
      </c>
    </row>
    <row r="37" spans="1:48" x14ac:dyDescent="0.2">
      <c r="A37" t="s">
        <v>340</v>
      </c>
      <c r="B37">
        <v>5</v>
      </c>
      <c r="D37" t="s">
        <v>1325</v>
      </c>
      <c r="E37">
        <f>_xlfn.XLOOKUP(Value5Position,$E$31:$J$31,$E$32:$J$32)</f>
        <v>0.1</v>
      </c>
    </row>
    <row r="38" spans="1:48" x14ac:dyDescent="0.2">
      <c r="A38" t="s">
        <v>341</v>
      </c>
      <c r="B38">
        <v>6</v>
      </c>
      <c r="D38" t="s">
        <v>1326</v>
      </c>
      <c r="E38">
        <f>_xlfn.XLOOKUP(Value6Position,$E$31:$J$31,$E$32:$J$32)</f>
        <v>0.1</v>
      </c>
      <c r="J38" s="29"/>
      <c r="K38" s="29"/>
      <c r="L38" s="29"/>
      <c r="M38" s="29"/>
      <c r="N38" s="30"/>
      <c r="O38" s="29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</row>
    <row r="39" spans="1:48" x14ac:dyDescent="0.2">
      <c r="A39" t="s">
        <v>392</v>
      </c>
      <c r="B39">
        <v>0</v>
      </c>
    </row>
    <row r="40" spans="1:48" x14ac:dyDescent="0.2"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</row>
    <row r="41" spans="1:48" x14ac:dyDescent="0.2">
      <c r="A41" t="s">
        <v>1654</v>
      </c>
      <c r="B41">
        <v>1</v>
      </c>
      <c r="D41" s="15" t="s">
        <v>1821</v>
      </c>
    </row>
    <row r="42" spans="1:48" x14ac:dyDescent="0.2">
      <c r="A42" t="s">
        <v>1655</v>
      </c>
      <c r="B42">
        <v>2</v>
      </c>
      <c r="D42" s="5" t="s">
        <v>45</v>
      </c>
    </row>
    <row r="43" spans="1:48" x14ac:dyDescent="0.2">
      <c r="A43" t="s">
        <v>1656</v>
      </c>
      <c r="B43">
        <v>3</v>
      </c>
      <c r="D43" t="s">
        <v>1292</v>
      </c>
      <c r="E43" s="16"/>
      <c r="F43" s="29"/>
    </row>
    <row r="44" spans="1:48" x14ac:dyDescent="0.2">
      <c r="A44" t="s">
        <v>1657</v>
      </c>
      <c r="B44">
        <v>4</v>
      </c>
      <c r="D44" t="s">
        <v>47</v>
      </c>
      <c r="E44" s="16"/>
      <c r="F44" s="16"/>
    </row>
    <row r="45" spans="1:48" x14ac:dyDescent="0.2">
      <c r="A45" t="s">
        <v>1658</v>
      </c>
      <c r="B45">
        <v>5</v>
      </c>
      <c r="D45" t="s">
        <v>1293</v>
      </c>
      <c r="E45" s="16"/>
      <c r="F45" s="16"/>
    </row>
    <row r="46" spans="1:48" x14ac:dyDescent="0.2">
      <c r="A46" t="s">
        <v>1659</v>
      </c>
      <c r="B46">
        <v>6</v>
      </c>
      <c r="D46" t="s">
        <v>48</v>
      </c>
      <c r="E46" s="16"/>
      <c r="F46" s="16"/>
      <c r="G46" s="16"/>
      <c r="H46" s="16"/>
      <c r="I46" s="16"/>
      <c r="J46" s="16"/>
      <c r="K46" s="16"/>
      <c r="L46" s="30"/>
      <c r="M46" s="30"/>
      <c r="N46" s="30"/>
      <c r="O46" s="16"/>
      <c r="P46" s="29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48" x14ac:dyDescent="0.2">
      <c r="A47" t="s">
        <v>1660</v>
      </c>
      <c r="B47">
        <v>0</v>
      </c>
      <c r="D47" t="s">
        <v>49</v>
      </c>
      <c r="E47" s="16"/>
      <c r="F47" s="16"/>
    </row>
    <row r="48" spans="1:48" x14ac:dyDescent="0.2">
      <c r="D48" t="s">
        <v>50</v>
      </c>
      <c r="E48" s="16"/>
      <c r="F48" s="16"/>
    </row>
    <row r="49" spans="1:6" x14ac:dyDescent="0.2">
      <c r="A49" t="s">
        <v>1661</v>
      </c>
      <c r="B49">
        <v>1</v>
      </c>
      <c r="E49" s="16"/>
    </row>
    <row r="50" spans="1:6" x14ac:dyDescent="0.2">
      <c r="A50" t="s">
        <v>1662</v>
      </c>
      <c r="B50">
        <v>2</v>
      </c>
      <c r="E50" s="16"/>
    </row>
    <row r="51" spans="1:6" x14ac:dyDescent="0.2">
      <c r="A51" t="s">
        <v>1663</v>
      </c>
      <c r="B51">
        <v>3</v>
      </c>
      <c r="D51" s="5" t="s">
        <v>44</v>
      </c>
      <c r="E51" s="16"/>
    </row>
    <row r="52" spans="1:6" x14ac:dyDescent="0.2">
      <c r="A52" t="s">
        <v>1664</v>
      </c>
      <c r="B52">
        <v>4</v>
      </c>
      <c r="D52" t="s">
        <v>55</v>
      </c>
      <c r="E52" s="16"/>
      <c r="F52" s="30"/>
    </row>
    <row r="53" spans="1:6" x14ac:dyDescent="0.2">
      <c r="A53" t="s">
        <v>1665</v>
      </c>
      <c r="B53">
        <v>5</v>
      </c>
      <c r="D53" s="9" t="s">
        <v>1964</v>
      </c>
      <c r="E53" s="16"/>
      <c r="F53" s="30"/>
    </row>
    <row r="54" spans="1:6" x14ac:dyDescent="0.2">
      <c r="A54" t="s">
        <v>1666</v>
      </c>
      <c r="B54">
        <v>6</v>
      </c>
      <c r="D54" t="s">
        <v>1311</v>
      </c>
      <c r="E54" s="16"/>
      <c r="F54" s="30"/>
    </row>
    <row r="55" spans="1:6" x14ac:dyDescent="0.2">
      <c r="A55" t="s">
        <v>1667</v>
      </c>
      <c r="B55">
        <v>0</v>
      </c>
      <c r="D55" t="s">
        <v>1312</v>
      </c>
      <c r="E55" s="16"/>
      <c r="F55" s="16"/>
    </row>
    <row r="56" spans="1:6" x14ac:dyDescent="0.2">
      <c r="E56" s="16"/>
    </row>
    <row r="57" spans="1:6" x14ac:dyDescent="0.2">
      <c r="A57" t="s">
        <v>1668</v>
      </c>
      <c r="B57">
        <v>1</v>
      </c>
      <c r="E57" s="16"/>
    </row>
    <row r="58" spans="1:6" x14ac:dyDescent="0.2">
      <c r="A58" t="s">
        <v>1669</v>
      </c>
      <c r="B58">
        <v>2</v>
      </c>
      <c r="E58" s="16"/>
    </row>
    <row r="59" spans="1:6" x14ac:dyDescent="0.2">
      <c r="A59" t="s">
        <v>1670</v>
      </c>
      <c r="B59">
        <v>3</v>
      </c>
      <c r="E59" s="16"/>
    </row>
    <row r="60" spans="1:6" x14ac:dyDescent="0.2">
      <c r="A60" t="s">
        <v>1671</v>
      </c>
      <c r="B60">
        <v>4</v>
      </c>
      <c r="D60" s="5" t="s">
        <v>51</v>
      </c>
      <c r="E60" s="16"/>
    </row>
    <row r="61" spans="1:6" x14ac:dyDescent="0.2">
      <c r="A61" t="s">
        <v>1672</v>
      </c>
      <c r="B61">
        <v>5</v>
      </c>
      <c r="D61" s="17"/>
      <c r="E61" s="16"/>
    </row>
    <row r="62" spans="1:6" x14ac:dyDescent="0.2">
      <c r="A62" t="s">
        <v>1673</v>
      </c>
      <c r="B62">
        <v>6</v>
      </c>
      <c r="D62" s="17"/>
      <c r="E62" s="16"/>
    </row>
    <row r="63" spans="1:6" x14ac:dyDescent="0.2">
      <c r="A63" t="s">
        <v>1674</v>
      </c>
      <c r="B63">
        <v>0</v>
      </c>
      <c r="D63" s="17" t="s">
        <v>1725</v>
      </c>
      <c r="E63" s="16"/>
      <c r="F63" s="29"/>
    </row>
    <row r="64" spans="1:6" x14ac:dyDescent="0.2">
      <c r="D64" s="9" t="s">
        <v>1315</v>
      </c>
      <c r="E64" s="16"/>
      <c r="F64" s="16"/>
    </row>
    <row r="65" spans="1:6" x14ac:dyDescent="0.2">
      <c r="A65" t="s">
        <v>1675</v>
      </c>
      <c r="B65">
        <v>1</v>
      </c>
      <c r="D65" s="9" t="s">
        <v>1316</v>
      </c>
      <c r="E65" s="16"/>
      <c r="F65" s="16"/>
    </row>
    <row r="66" spans="1:6" x14ac:dyDescent="0.2">
      <c r="A66" t="s">
        <v>1676</v>
      </c>
      <c r="B66">
        <v>2</v>
      </c>
      <c r="D66" s="9"/>
      <c r="E66" s="16"/>
    </row>
    <row r="67" spans="1:6" x14ac:dyDescent="0.2">
      <c r="A67" t="s">
        <v>1677</v>
      </c>
      <c r="B67">
        <v>3</v>
      </c>
      <c r="D67" s="9" t="s">
        <v>1291</v>
      </c>
      <c r="E67" s="16"/>
      <c r="F67" s="16"/>
    </row>
    <row r="68" spans="1:6" x14ac:dyDescent="0.2">
      <c r="A68" t="s">
        <v>1678</v>
      </c>
      <c r="B68">
        <v>4</v>
      </c>
      <c r="E68" s="16"/>
    </row>
    <row r="69" spans="1:6" x14ac:dyDescent="0.2">
      <c r="A69" t="s">
        <v>1679</v>
      </c>
      <c r="B69">
        <v>5</v>
      </c>
      <c r="E69" s="16"/>
    </row>
    <row r="70" spans="1:6" x14ac:dyDescent="0.2">
      <c r="A70" t="s">
        <v>1680</v>
      </c>
      <c r="B70">
        <v>6</v>
      </c>
      <c r="E70" s="16"/>
    </row>
    <row r="71" spans="1:6" x14ac:dyDescent="0.2">
      <c r="A71" t="s">
        <v>1681</v>
      </c>
      <c r="B71">
        <v>0</v>
      </c>
      <c r="D71" s="5" t="s">
        <v>52</v>
      </c>
      <c r="E71" s="16"/>
    </row>
    <row r="72" spans="1:6" x14ac:dyDescent="0.2">
      <c r="D72" t="s">
        <v>56</v>
      </c>
      <c r="E72" s="16"/>
      <c r="F72" s="16"/>
    </row>
    <row r="73" spans="1:6" x14ac:dyDescent="0.2">
      <c r="A73" t="s">
        <v>1682</v>
      </c>
      <c r="B73">
        <v>1</v>
      </c>
      <c r="D73" t="s">
        <v>1727</v>
      </c>
      <c r="E73" s="16"/>
      <c r="F73" s="16"/>
    </row>
    <row r="74" spans="1:6" x14ac:dyDescent="0.2">
      <c r="A74" t="s">
        <v>1683</v>
      </c>
      <c r="B74">
        <v>2</v>
      </c>
      <c r="D74" t="s">
        <v>1317</v>
      </c>
      <c r="E74" s="16"/>
      <c r="F74" s="16"/>
    </row>
    <row r="75" spans="1:6" x14ac:dyDescent="0.2">
      <c r="A75" t="s">
        <v>1684</v>
      </c>
      <c r="B75">
        <v>3</v>
      </c>
      <c r="D75" t="s">
        <v>1318</v>
      </c>
      <c r="E75" s="16"/>
      <c r="F75" s="16"/>
    </row>
    <row r="76" spans="1:6" x14ac:dyDescent="0.2">
      <c r="A76" t="s">
        <v>1685</v>
      </c>
      <c r="B76">
        <v>4</v>
      </c>
      <c r="E76" s="16"/>
    </row>
    <row r="77" spans="1:6" x14ac:dyDescent="0.2">
      <c r="A77" t="s">
        <v>1686</v>
      </c>
      <c r="B77">
        <v>5</v>
      </c>
      <c r="E77" s="16"/>
    </row>
    <row r="78" spans="1:6" x14ac:dyDescent="0.2">
      <c r="A78" t="s">
        <v>1687</v>
      </c>
      <c r="B78">
        <v>6</v>
      </c>
      <c r="E78" s="16"/>
    </row>
    <row r="79" spans="1:6" x14ac:dyDescent="0.2">
      <c r="A79" t="s">
        <v>1688</v>
      </c>
      <c r="B79">
        <v>0</v>
      </c>
      <c r="E79" s="16"/>
    </row>
    <row r="80" spans="1:6" x14ac:dyDescent="0.2">
      <c r="D80" s="5" t="s">
        <v>53</v>
      </c>
      <c r="E80" s="16"/>
    </row>
    <row r="81" spans="4:6" x14ac:dyDescent="0.2">
      <c r="D81" t="s">
        <v>57</v>
      </c>
      <c r="E81" s="16"/>
      <c r="F81" s="16"/>
    </row>
    <row r="82" spans="4:6" x14ac:dyDescent="0.2">
      <c r="D82" t="s">
        <v>58</v>
      </c>
      <c r="E82" s="16"/>
      <c r="F82" s="16"/>
    </row>
    <row r="83" spans="4:6" x14ac:dyDescent="0.2">
      <c r="D83" t="s">
        <v>1296</v>
      </c>
      <c r="E83" s="16"/>
      <c r="F83" s="16"/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9BEC-BA3E-4212-ADEC-5B5BEEA5FB8D}">
  <dimension ref="A1:E24"/>
  <sheetViews>
    <sheetView workbookViewId="0">
      <selection activeCell="E29" sqref="E29"/>
    </sheetView>
  </sheetViews>
  <sheetFormatPr baseColWidth="10" defaultColWidth="8.83203125" defaultRowHeight="15" x14ac:dyDescent="0.2"/>
  <cols>
    <col min="1" max="1" width="36" customWidth="1"/>
    <col min="2" max="2" width="18.5" customWidth="1"/>
    <col min="5" max="5" width="16.5" customWidth="1"/>
    <col min="6" max="6" width="8.83203125" customWidth="1"/>
    <col min="8" max="8" width="8.83203125" customWidth="1"/>
  </cols>
  <sheetData>
    <row r="1" spans="1:5" x14ac:dyDescent="0.2">
      <c r="A1" t="s">
        <v>1844</v>
      </c>
      <c r="B1" s="7">
        <v>0</v>
      </c>
    </row>
    <row r="3" spans="1:5" x14ac:dyDescent="0.2">
      <c r="A3" s="5" t="s">
        <v>44</v>
      </c>
      <c r="E3" s="5" t="s">
        <v>1856</v>
      </c>
    </row>
    <row r="4" spans="1:5" x14ac:dyDescent="0.2">
      <c r="A4" t="s">
        <v>1845</v>
      </c>
      <c r="B4">
        <f>E4</f>
        <v>12</v>
      </c>
      <c r="E4">
        <v>12</v>
      </c>
    </row>
    <row r="5" spans="1:5" x14ac:dyDescent="0.2">
      <c r="A5" t="s">
        <v>1965</v>
      </c>
      <c r="B5">
        <f t="shared" ref="B5:B6" si="0">E5</f>
        <v>2.5</v>
      </c>
      <c r="E5">
        <v>2.5</v>
      </c>
    </row>
    <row r="6" spans="1:5" x14ac:dyDescent="0.2">
      <c r="A6" t="s">
        <v>1846</v>
      </c>
      <c r="B6" s="8">
        <f t="shared" si="0"/>
        <v>500000</v>
      </c>
      <c r="E6" s="8">
        <v>500000</v>
      </c>
    </row>
    <row r="7" spans="1:5" x14ac:dyDescent="0.2">
      <c r="B7" s="8"/>
      <c r="E7" s="8"/>
    </row>
    <row r="9" spans="1:5" x14ac:dyDescent="0.2">
      <c r="A9" s="5" t="s">
        <v>51</v>
      </c>
    </row>
    <row r="10" spans="1:5" x14ac:dyDescent="0.2">
      <c r="A10" s="9" t="s">
        <v>1847</v>
      </c>
      <c r="B10" s="6">
        <f>E10</f>
        <v>40</v>
      </c>
      <c r="E10" s="6">
        <v>40</v>
      </c>
    </row>
    <row r="11" spans="1:5" x14ac:dyDescent="0.2">
      <c r="A11" s="9" t="s">
        <v>1848</v>
      </c>
      <c r="B11">
        <f t="shared" ref="B11:B12" si="1">E11</f>
        <v>60</v>
      </c>
      <c r="E11">
        <v>60</v>
      </c>
    </row>
    <row r="12" spans="1:5" x14ac:dyDescent="0.2">
      <c r="A12" s="9" t="s">
        <v>1849</v>
      </c>
      <c r="B12" s="6">
        <f t="shared" si="1"/>
        <v>60</v>
      </c>
      <c r="E12" s="6">
        <v>60</v>
      </c>
    </row>
    <row r="13" spans="1:5" x14ac:dyDescent="0.2">
      <c r="A13" s="9"/>
      <c r="B13" s="6"/>
      <c r="E13" s="6"/>
    </row>
    <row r="15" spans="1:5" x14ac:dyDescent="0.2">
      <c r="A15" s="5" t="s">
        <v>52</v>
      </c>
    </row>
    <row r="16" spans="1:5" x14ac:dyDescent="0.2">
      <c r="A16" t="s">
        <v>1850</v>
      </c>
      <c r="B16" s="6">
        <f>E16</f>
        <v>65</v>
      </c>
      <c r="E16" s="6">
        <v>65</v>
      </c>
    </row>
    <row r="17" spans="1:5" x14ac:dyDescent="0.2">
      <c r="A17" t="s">
        <v>1851</v>
      </c>
      <c r="B17">
        <f t="shared" ref="B17:B18" si="2">E17</f>
        <v>75</v>
      </c>
      <c r="E17">
        <v>75</v>
      </c>
    </row>
    <row r="18" spans="1:5" x14ac:dyDescent="0.2">
      <c r="A18" t="s">
        <v>1852</v>
      </c>
      <c r="B18" s="6">
        <f t="shared" si="2"/>
        <v>2000000000</v>
      </c>
      <c r="E18" s="6">
        <v>2000000000</v>
      </c>
    </row>
    <row r="19" spans="1:5" x14ac:dyDescent="0.2">
      <c r="B19" s="6"/>
      <c r="E19" s="6"/>
    </row>
    <row r="21" spans="1:5" x14ac:dyDescent="0.2">
      <c r="A21" s="5" t="s">
        <v>53</v>
      </c>
    </row>
    <row r="22" spans="1:5" x14ac:dyDescent="0.2">
      <c r="A22" t="s">
        <v>1853</v>
      </c>
      <c r="B22" s="6">
        <f>E22</f>
        <v>60</v>
      </c>
      <c r="E22" s="6">
        <v>60</v>
      </c>
    </row>
    <row r="23" spans="1:5" x14ac:dyDescent="0.2">
      <c r="A23" t="s">
        <v>1854</v>
      </c>
      <c r="B23">
        <f t="shared" ref="B23:B24" si="3">E23</f>
        <v>60</v>
      </c>
      <c r="E23">
        <v>60</v>
      </c>
    </row>
    <row r="24" spans="1:5" x14ac:dyDescent="0.2">
      <c r="A24" t="s">
        <v>1855</v>
      </c>
      <c r="B24" s="6">
        <f t="shared" si="3"/>
        <v>65</v>
      </c>
      <c r="E24" s="6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301A-5166-4189-94A7-6B3DE08B1A9D}">
  <dimension ref="A1:V118"/>
  <sheetViews>
    <sheetView workbookViewId="0">
      <selection activeCell="F100" sqref="F100"/>
    </sheetView>
  </sheetViews>
  <sheetFormatPr baseColWidth="10" defaultColWidth="8.83203125" defaultRowHeight="15" x14ac:dyDescent="0.2"/>
  <cols>
    <col min="1" max="1" width="37.5" customWidth="1"/>
    <col min="2" max="10" width="14.5" customWidth="1"/>
  </cols>
  <sheetData>
    <row r="1" spans="1:10" x14ac:dyDescent="0.2">
      <c r="A1" t="s">
        <v>43</v>
      </c>
    </row>
    <row r="3" spans="1:10" x14ac:dyDescent="0.2">
      <c r="A3" t="s">
        <v>0</v>
      </c>
      <c r="B3">
        <v>0</v>
      </c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t="s">
        <v>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</row>
    <row r="6" spans="1:10" x14ac:dyDescent="0.2">
      <c r="A6" t="s">
        <v>5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</row>
    <row r="8" spans="1:10" hidden="1" x14ac:dyDescent="0.2"/>
    <row r="9" spans="1:10" hidden="1" x14ac:dyDescent="0.2"/>
    <row r="10" spans="1:10" hidden="1" x14ac:dyDescent="0.2"/>
    <row r="11" spans="1:10" hidden="1" x14ac:dyDescent="0.2"/>
    <row r="12" spans="1:10" hidden="1" x14ac:dyDescent="0.2"/>
    <row r="13" spans="1:10" hidden="1" x14ac:dyDescent="0.2"/>
    <row r="14" spans="1:10" hidden="1" x14ac:dyDescent="0.2"/>
    <row r="15" spans="1:10" hidden="1" x14ac:dyDescent="0.2"/>
    <row r="16" spans="1:10" hidden="1" x14ac:dyDescent="0.2"/>
    <row r="17" spans="13:21" hidden="1" x14ac:dyDescent="0.2"/>
    <row r="18" spans="13:21" hidden="1" x14ac:dyDescent="0.2"/>
    <row r="19" spans="13:21" hidden="1" x14ac:dyDescent="0.2"/>
    <row r="20" spans="13:21" hidden="1" x14ac:dyDescent="0.2"/>
    <row r="21" spans="13:21" hidden="1" x14ac:dyDescent="0.2"/>
    <row r="22" spans="13:21" hidden="1" x14ac:dyDescent="0.2"/>
    <row r="23" spans="13:21" hidden="1" x14ac:dyDescent="0.2"/>
    <row r="24" spans="13:21" hidden="1" x14ac:dyDescent="0.2"/>
    <row r="25" spans="13:21" hidden="1" x14ac:dyDescent="0.2"/>
    <row r="26" spans="13:21" hidden="1" x14ac:dyDescent="0.2"/>
    <row r="27" spans="13:21" hidden="1" x14ac:dyDescent="0.2"/>
    <row r="28" spans="13:21" hidden="1" x14ac:dyDescent="0.2"/>
    <row r="29" spans="13:21" hidden="1" x14ac:dyDescent="0.2"/>
    <row r="30" spans="13:21" hidden="1" x14ac:dyDescent="0.2"/>
    <row r="31" spans="13:21" hidden="1" x14ac:dyDescent="0.2"/>
    <row r="32" spans="13:21" hidden="1" x14ac:dyDescent="0.2">
      <c r="M32" s="6"/>
      <c r="N32" s="6"/>
      <c r="O32" s="6"/>
      <c r="P32" s="6"/>
      <c r="Q32" s="6"/>
      <c r="R32" s="6"/>
      <c r="S32" s="6"/>
      <c r="T32" s="6"/>
      <c r="U32" s="6"/>
    </row>
    <row r="33" spans="13:22" hidden="1" x14ac:dyDescent="0.2">
      <c r="M33" s="6"/>
      <c r="N33" s="6"/>
      <c r="O33" s="6"/>
      <c r="P33" s="6"/>
      <c r="Q33" s="6"/>
      <c r="R33" s="6"/>
      <c r="S33" s="6"/>
      <c r="T33" s="6"/>
      <c r="U33" s="6"/>
    </row>
    <row r="34" spans="13:22" hidden="1" x14ac:dyDescent="0.2">
      <c r="M34" s="6"/>
      <c r="N34" s="6"/>
      <c r="O34" s="6"/>
      <c r="P34" s="6"/>
      <c r="Q34" s="6"/>
      <c r="R34" s="6"/>
      <c r="S34" s="6"/>
      <c r="T34" s="6"/>
      <c r="U34" s="6"/>
    </row>
    <row r="35" spans="13:22" hidden="1" x14ac:dyDescent="0.2">
      <c r="M35" s="6"/>
      <c r="N35" s="6"/>
      <c r="O35" s="6"/>
      <c r="P35" s="6"/>
      <c r="Q35" s="6"/>
      <c r="R35" s="6"/>
      <c r="S35" s="6"/>
      <c r="T35" s="6"/>
      <c r="U35" s="6"/>
    </row>
    <row r="36" spans="13:22" hidden="1" x14ac:dyDescent="0.2">
      <c r="M36" s="6"/>
      <c r="U36" s="6"/>
      <c r="V36" s="6"/>
    </row>
    <row r="37" spans="13:22" hidden="1" x14ac:dyDescent="0.2">
      <c r="M37" s="6"/>
      <c r="U37" s="6"/>
      <c r="V37" s="6"/>
    </row>
    <row r="38" spans="13:22" hidden="1" x14ac:dyDescent="0.2">
      <c r="M38" s="6"/>
      <c r="N38" s="6"/>
      <c r="O38" s="6"/>
      <c r="P38" s="6"/>
      <c r="Q38" s="6"/>
      <c r="R38" s="6"/>
      <c r="S38" s="6"/>
      <c r="T38" s="6"/>
      <c r="U38" s="6"/>
    </row>
    <row r="39" spans="13:22" hidden="1" x14ac:dyDescent="0.2">
      <c r="M39" s="6"/>
      <c r="N39" s="6"/>
      <c r="O39" s="6"/>
      <c r="P39" s="6"/>
      <c r="Q39" s="6"/>
      <c r="R39" s="6"/>
      <c r="S39" s="6"/>
      <c r="T39" s="6"/>
      <c r="U39" s="6"/>
    </row>
    <row r="40" spans="13:22" hidden="1" x14ac:dyDescent="0.2">
      <c r="M40" s="6"/>
      <c r="N40" s="6"/>
      <c r="O40" s="6"/>
      <c r="P40" s="6"/>
      <c r="Q40" s="6"/>
      <c r="R40" s="6"/>
      <c r="S40" s="6"/>
      <c r="T40" s="6"/>
      <c r="U40" s="6"/>
    </row>
    <row r="41" spans="13:22" hidden="1" x14ac:dyDescent="0.2">
      <c r="M41" s="6"/>
      <c r="N41" s="6"/>
      <c r="O41" s="6"/>
      <c r="P41" s="6"/>
      <c r="Q41" s="6"/>
      <c r="R41" s="6"/>
      <c r="S41" s="6"/>
      <c r="T41" s="6"/>
      <c r="U41" s="6"/>
    </row>
    <row r="42" spans="13:22" hidden="1" x14ac:dyDescent="0.2">
      <c r="M42" s="6"/>
      <c r="N42" s="6"/>
      <c r="O42" s="6"/>
      <c r="P42" s="6"/>
      <c r="Q42" s="6"/>
      <c r="R42" s="6"/>
      <c r="S42" s="6"/>
      <c r="T42" s="6"/>
      <c r="U42" s="6"/>
    </row>
    <row r="43" spans="13:22" hidden="1" x14ac:dyDescent="0.2">
      <c r="M43" s="6"/>
      <c r="N43" s="6"/>
      <c r="O43" s="6"/>
      <c r="P43" s="6"/>
      <c r="Q43" s="6"/>
      <c r="R43" s="6"/>
      <c r="S43" s="6"/>
      <c r="T43" s="6"/>
      <c r="U43" s="6"/>
    </row>
    <row r="44" spans="13:22" hidden="1" x14ac:dyDescent="0.2"/>
    <row r="45" spans="13:22" hidden="1" x14ac:dyDescent="0.2"/>
    <row r="46" spans="13:22" hidden="1" x14ac:dyDescent="0.2"/>
    <row r="47" spans="13:22" hidden="1" x14ac:dyDescent="0.2"/>
    <row r="48" spans="13:22" hidden="1" x14ac:dyDescent="0.2"/>
    <row r="49" spans="1:10" hidden="1" x14ac:dyDescent="0.2"/>
    <row r="50" spans="1:10" hidden="1" x14ac:dyDescent="0.2"/>
    <row r="51" spans="1:10" hidden="1" x14ac:dyDescent="0.2"/>
    <row r="52" spans="1:10" hidden="1" x14ac:dyDescent="0.2"/>
    <row r="53" spans="1:10" hidden="1" x14ac:dyDescent="0.2"/>
    <row r="54" spans="1:10" hidden="1" x14ac:dyDescent="0.2"/>
    <row r="55" spans="1:10" hidden="1" x14ac:dyDescent="0.2"/>
    <row r="56" spans="1:10" hidden="1" x14ac:dyDescent="0.2"/>
    <row r="57" spans="1:10" hidden="1" x14ac:dyDescent="0.2"/>
    <row r="58" spans="1:10" hidden="1" x14ac:dyDescent="0.2"/>
    <row r="59" spans="1:10" hidden="1" x14ac:dyDescent="0.2"/>
    <row r="60" spans="1:10" hidden="1" x14ac:dyDescent="0.2"/>
    <row r="61" spans="1:10" hidden="1" x14ac:dyDescent="0.2"/>
    <row r="63" spans="1:10" x14ac:dyDescent="0.2">
      <c r="A63" s="5" t="s">
        <v>45</v>
      </c>
    </row>
    <row r="64" spans="1:10" x14ac:dyDescent="0.2">
      <c r="A64" t="s">
        <v>1292</v>
      </c>
      <c r="B64">
        <v>50</v>
      </c>
      <c r="C64">
        <f>$B64+'Economy Ministry'!C64+'Environment Ministry'!C64+'Defence Ministry'!C64+'Education Ministry'!C64+Crises!C64+'Breaking News'!C64+Opportunities!C64</f>
        <v>50</v>
      </c>
      <c r="D64">
        <f>$B64+'Economy Ministry'!D64+'Environment Ministry'!D64+'Defence Ministry'!D64+'Education Ministry'!D64+Crises!D64+'Breaking News'!D64+Opportunities!D64</f>
        <v>48.4</v>
      </c>
      <c r="E64">
        <f>$B64+'Economy Ministry'!E64+'Environment Ministry'!E64+'Defence Ministry'!E64+'Education Ministry'!E64+Crises!E64+'Breaking News'!E64+Opportunities!E64</f>
        <v>48.4</v>
      </c>
      <c r="F64">
        <f>$B64+'Economy Ministry'!F64+'Environment Ministry'!F64+'Defence Ministry'!F64+'Education Ministry'!F64+Crises!F64+'Breaking News'!F64+Opportunities!F64</f>
        <v>48.4</v>
      </c>
      <c r="G64">
        <f>$B64+'Economy Ministry'!G64+'Environment Ministry'!G64+'Defence Ministry'!G64+'Education Ministry'!G64+Crises!G64+'Breaking News'!G64+Opportunities!G64</f>
        <v>48.4</v>
      </c>
      <c r="H64">
        <f>$B64+'Economy Ministry'!H64+'Environment Ministry'!H64+'Defence Ministry'!H64+'Education Ministry'!H64+Crises!H64+'Breaking News'!H64+Opportunities!H64</f>
        <v>48.4</v>
      </c>
      <c r="I64">
        <f>$B64+'Economy Ministry'!I64+'Environment Ministry'!I64+'Defence Ministry'!I64+'Education Ministry'!I64+Crises!I64+'Breaking News'!I64+Opportunities!I64</f>
        <v>48.4</v>
      </c>
      <c r="J64">
        <f>$B64+'Economy Ministry'!J64+'Environment Ministry'!J64+'Defence Ministry'!J64+'Education Ministry'!J64+Crises!J64+'Breaking News'!J64+Opportunities!J64</f>
        <v>48.4</v>
      </c>
    </row>
    <row r="65" spans="1:10" x14ac:dyDescent="0.2">
      <c r="A65" t="s">
        <v>47</v>
      </c>
      <c r="B65">
        <v>55</v>
      </c>
      <c r="C65">
        <f>$B65+'Economy Ministry'!C65+'Environment Ministry'!C65+'Defence Ministry'!C65+'Education Ministry'!C65+Crises!C65+'Breaking News'!C65+Opportunities!C65</f>
        <v>55</v>
      </c>
      <c r="D65">
        <f>$B65+'Economy Ministry'!D65+'Environment Ministry'!D65+'Defence Ministry'!D65+'Education Ministry'!D65+Crises!D65+'Breaking News'!D65+Opportunities!D65</f>
        <v>55</v>
      </c>
      <c r="E65">
        <f>$B65+'Economy Ministry'!E65+'Environment Ministry'!E65+'Defence Ministry'!E65+'Education Ministry'!E65+Crises!E65+'Breaking News'!E65+Opportunities!E65</f>
        <v>52.6</v>
      </c>
      <c r="F65">
        <f>$B65+'Economy Ministry'!F65+'Environment Ministry'!F65+'Defence Ministry'!F65+'Education Ministry'!F65+Crises!F65+'Breaking News'!F65+Opportunities!F65</f>
        <v>52.6</v>
      </c>
      <c r="G65">
        <f>$B65+'Economy Ministry'!G65+'Environment Ministry'!G65+'Defence Ministry'!G65+'Education Ministry'!G65+Crises!G65+'Breaking News'!G65+Opportunities!G65</f>
        <v>52.6</v>
      </c>
      <c r="H65">
        <f>$B65+'Economy Ministry'!H65+'Environment Ministry'!H65+'Defence Ministry'!H65+'Education Ministry'!H65+Crises!H65+'Breaking News'!H65+Opportunities!H65</f>
        <v>52.6</v>
      </c>
      <c r="I65">
        <f>$B65+'Economy Ministry'!I65+'Environment Ministry'!I65+'Defence Ministry'!I65+'Education Ministry'!I65+Crises!I65+'Breaking News'!I65+Opportunities!I65</f>
        <v>52.6</v>
      </c>
      <c r="J65">
        <f>$B65+'Economy Ministry'!J65+'Environment Ministry'!J65+'Defence Ministry'!J65+'Education Ministry'!J65+Crises!J65+'Breaking News'!J65+Opportunities!J65</f>
        <v>52.6</v>
      </c>
    </row>
    <row r="66" spans="1:10" x14ac:dyDescent="0.2">
      <c r="A66" t="s">
        <v>1293</v>
      </c>
      <c r="B66">
        <v>40</v>
      </c>
      <c r="C66">
        <f>$B66+'Economy Ministry'!C66+'Environment Ministry'!C66+'Defence Ministry'!C66+'Education Ministry'!C66+Crises!C66+'Breaking News'!C66+Opportunities!C66</f>
        <v>40</v>
      </c>
      <c r="D66">
        <f>$B66+'Economy Ministry'!D66+'Environment Ministry'!D66+'Defence Ministry'!D66+'Education Ministry'!D66+Crises!D66+'Breaking News'!D66+Opportunities!D66</f>
        <v>40</v>
      </c>
      <c r="E66">
        <f>$B66+'Economy Ministry'!E66+'Environment Ministry'!E66+'Defence Ministry'!E66+'Education Ministry'!E66+Crises!E66+'Breaking News'!E66+Opportunities!E66</f>
        <v>36.799999999999997</v>
      </c>
      <c r="F66">
        <f>$B66+'Economy Ministry'!F66+'Environment Ministry'!F66+'Defence Ministry'!F66+'Education Ministry'!F66+Crises!F66+'Breaking News'!F66+Opportunities!F66</f>
        <v>33.6</v>
      </c>
      <c r="G66">
        <f>$B66+'Economy Ministry'!G66+'Environment Ministry'!G66+'Defence Ministry'!G66+'Education Ministry'!G66+Crises!G66+'Breaking News'!G66+Opportunities!G66</f>
        <v>30.4</v>
      </c>
      <c r="H66">
        <f>$B66+'Economy Ministry'!H66+'Environment Ministry'!H66+'Defence Ministry'!H66+'Education Ministry'!H66+Crises!H66+'Breaking News'!H66+Opportunities!H66</f>
        <v>30.4</v>
      </c>
      <c r="I66">
        <f>$B66+'Economy Ministry'!I66+'Environment Ministry'!I66+'Defence Ministry'!I66+'Education Ministry'!I66+Crises!I66+'Breaking News'!I66+Opportunities!I66</f>
        <v>30.4</v>
      </c>
      <c r="J66">
        <f>$B66+'Economy Ministry'!J66+'Environment Ministry'!J66+'Defence Ministry'!J66+'Education Ministry'!J66+Crises!J66+'Breaking News'!J66+Opportunities!J66</f>
        <v>30.4</v>
      </c>
    </row>
    <row r="67" spans="1:10" x14ac:dyDescent="0.2">
      <c r="A67" t="s">
        <v>48</v>
      </c>
      <c r="B67">
        <v>38</v>
      </c>
      <c r="C67">
        <f>$B67+'Economy Ministry'!C67+'Environment Ministry'!C67+'Defence Ministry'!C67+'Education Ministry'!C67+Crises!C67+'Breaking News'!C67+Opportunities!C67</f>
        <v>38</v>
      </c>
      <c r="D67">
        <f>$B67+'Economy Ministry'!D67+'Environment Ministry'!D67+'Defence Ministry'!D67+'Education Ministry'!D67+Crises!D67+'Breaking News'!D67+Opportunities!D67</f>
        <v>38</v>
      </c>
      <c r="E67">
        <f>$B67+'Economy Ministry'!E67+'Environment Ministry'!E67+'Defence Ministry'!E67+'Education Ministry'!E67+Crises!E67+'Breaking News'!E67+Opportunities!E67</f>
        <v>38</v>
      </c>
      <c r="F67">
        <f>$B67+'Economy Ministry'!F67+'Environment Ministry'!F67+'Defence Ministry'!F67+'Education Ministry'!F67+Crises!F67+'Breaking News'!F67+Opportunities!F67</f>
        <v>38</v>
      </c>
      <c r="G67">
        <f>$B67+'Economy Ministry'!G67+'Environment Ministry'!G67+'Defence Ministry'!G67+'Education Ministry'!G67+Crises!G67+'Breaking News'!G67+Opportunities!G67</f>
        <v>34.799999999999997</v>
      </c>
      <c r="H67">
        <f>$B67+'Economy Ministry'!H67+'Environment Ministry'!H67+'Defence Ministry'!H67+'Education Ministry'!H67+Crises!H67+'Breaking News'!H67+Opportunities!H67</f>
        <v>34.799999999999997</v>
      </c>
      <c r="I67">
        <f>$B67+'Economy Ministry'!I67+'Environment Ministry'!I67+'Defence Ministry'!I67+'Education Ministry'!I67+Crises!I67+'Breaking News'!I67+Opportunities!I67</f>
        <v>34.799999999999997</v>
      </c>
      <c r="J67">
        <f>$B67+'Economy Ministry'!J67+'Environment Ministry'!J67+'Defence Ministry'!J67+'Education Ministry'!J67+Crises!J67+'Breaking News'!J67+Opportunities!J67</f>
        <v>34.799999999999997</v>
      </c>
    </row>
    <row r="68" spans="1:10" x14ac:dyDescent="0.2">
      <c r="A68" t="s">
        <v>49</v>
      </c>
      <c r="B68">
        <v>45</v>
      </c>
      <c r="C68">
        <f>$B68+'Economy Ministry'!C68+'Environment Ministry'!C68+'Defence Ministry'!C68+'Education Ministry'!C68+Crises!C68+'Breaking News'!C68+Opportunities!C68</f>
        <v>45</v>
      </c>
      <c r="D68">
        <f>$B68+'Economy Ministry'!D68+'Environment Ministry'!D68+'Defence Ministry'!D68+'Education Ministry'!D68+Crises!D68+'Breaking News'!D68+Opportunities!D68</f>
        <v>43.4</v>
      </c>
      <c r="E68">
        <f>$B68+'Economy Ministry'!E68+'Environment Ministry'!E68+'Defence Ministry'!E68+'Education Ministry'!E68+Crises!E68+'Breaking News'!E68+Opportunities!E68</f>
        <v>41.8</v>
      </c>
      <c r="F68">
        <f>$B68+'Economy Ministry'!F68+'Environment Ministry'!F68+'Defence Ministry'!F68+'Education Ministry'!F68+Crises!F68+'Breaking News'!F68+Opportunities!F68</f>
        <v>38.6</v>
      </c>
      <c r="G68">
        <f>$B68+'Economy Ministry'!G68+'Environment Ministry'!G68+'Defence Ministry'!G68+'Education Ministry'!G68+Crises!G68+'Breaking News'!G68+Opportunities!G68</f>
        <v>38.6</v>
      </c>
      <c r="H68">
        <f>$B68+'Economy Ministry'!H68+'Environment Ministry'!H68+'Defence Ministry'!H68+'Education Ministry'!H68+Crises!H68+'Breaking News'!H68+Opportunities!H68</f>
        <v>38.6</v>
      </c>
      <c r="I68">
        <f>$B68+'Economy Ministry'!I68+'Environment Ministry'!I68+'Defence Ministry'!I68+'Education Ministry'!I68+Crises!I68+'Breaking News'!I68+Opportunities!I68</f>
        <v>38.6</v>
      </c>
      <c r="J68">
        <f>$B68+'Economy Ministry'!J68+'Environment Ministry'!J68+'Defence Ministry'!J68+'Education Ministry'!J68+Crises!J68+'Breaking News'!J68+Opportunities!J68</f>
        <v>38.6</v>
      </c>
    </row>
    <row r="69" spans="1:10" x14ac:dyDescent="0.2">
      <c r="A69" t="s">
        <v>50</v>
      </c>
      <c r="B69">
        <v>38</v>
      </c>
      <c r="C69">
        <f>$B69+'Economy Ministry'!C69+'Environment Ministry'!C69+'Defence Ministry'!C69+'Education Ministry'!C69+Crises!C69+'Breaking News'!C69+Opportunities!C69</f>
        <v>38</v>
      </c>
      <c r="D69">
        <f>$B69+'Economy Ministry'!D69+'Environment Ministry'!D69+'Defence Ministry'!D69+'Education Ministry'!D69+Crises!D69+'Breaking News'!D69+Opportunities!D69</f>
        <v>38</v>
      </c>
      <c r="E69">
        <f>$B69+'Economy Ministry'!E69+'Environment Ministry'!E69+'Defence Ministry'!E69+'Education Ministry'!E69+Crises!E69+'Breaking News'!E69+Opportunities!E69</f>
        <v>38</v>
      </c>
      <c r="F69">
        <f>$B69+'Economy Ministry'!F69+'Environment Ministry'!F69+'Defence Ministry'!F69+'Education Ministry'!F69+Crises!F69+'Breaking News'!F69+Opportunities!F69</f>
        <v>38</v>
      </c>
      <c r="G69">
        <f>$B69+'Economy Ministry'!G69+'Environment Ministry'!G69+'Defence Ministry'!G69+'Education Ministry'!G69+Crises!G69+'Breaking News'!G69+Opportunities!G69</f>
        <v>34.799999999999997</v>
      </c>
      <c r="H69">
        <f>$B69+'Economy Ministry'!H69+'Environment Ministry'!H69+'Defence Ministry'!H69+'Education Ministry'!H69+Crises!H69+'Breaking News'!H69+Opportunities!H69</f>
        <v>34.799999999999997</v>
      </c>
      <c r="I69">
        <f>$B69+'Economy Ministry'!I69+'Environment Ministry'!I69+'Defence Ministry'!I69+'Education Ministry'!I69+Crises!I69+'Breaking News'!I69+Opportunities!I69</f>
        <v>34.799999999999997</v>
      </c>
      <c r="J69">
        <f>$B69+'Economy Ministry'!J69+'Environment Ministry'!J69+'Defence Ministry'!J69+'Education Ministry'!J69+Crises!J69+'Breaking News'!J69+Opportunities!J69</f>
        <v>34.799999999999997</v>
      </c>
    </row>
    <row r="72" spans="1:10" x14ac:dyDescent="0.2">
      <c r="A72" s="5" t="s">
        <v>44</v>
      </c>
    </row>
    <row r="73" spans="1:10" x14ac:dyDescent="0.2">
      <c r="A73" t="s">
        <v>55</v>
      </c>
      <c r="B73">
        <v>3</v>
      </c>
      <c r="C73">
        <f>$B73+'Economy Ministry'!C73+'Environment Ministry'!C73+'Defence Ministry'!C73+'Education Ministry'!C73+Crises!C73+'Breaking News'!C73+Opportunities!C73</f>
        <v>2.6799999999999997</v>
      </c>
      <c r="D73">
        <f>$B73+'Economy Ministry'!D73+'Environment Ministry'!D73+'Defence Ministry'!D73+'Education Ministry'!D73+Crises!D73+'Breaking News'!D73+Opportunities!D73</f>
        <v>2.6799999999999997</v>
      </c>
      <c r="E73">
        <f>$B73+'Economy Ministry'!E73+'Environment Ministry'!E73+'Defence Ministry'!E73+'Education Ministry'!E73+Crises!E73+'Breaking News'!E73+Opportunities!E73</f>
        <v>2.6799999999999997</v>
      </c>
      <c r="F73">
        <f>$B73+'Economy Ministry'!F73+'Environment Ministry'!F73+'Defence Ministry'!F73+'Education Ministry'!F73+Crises!F73+'Breaking News'!F73+Opportunities!F73</f>
        <v>2.6799999999999997</v>
      </c>
      <c r="G73">
        <f>$B73+'Economy Ministry'!G73+'Environment Ministry'!G73+'Defence Ministry'!G73+'Education Ministry'!G73+Crises!G73+'Breaking News'!G73+Opportunities!G73</f>
        <v>2.6799999999999997</v>
      </c>
      <c r="H73">
        <f>$B73+'Economy Ministry'!H73+'Environment Ministry'!H73+'Defence Ministry'!H73+'Education Ministry'!H73+Crises!H73+'Breaking News'!H73+Opportunities!H73</f>
        <v>2.6799999999999997</v>
      </c>
      <c r="I73">
        <f>$B73+'Economy Ministry'!I73+'Environment Ministry'!I73+'Defence Ministry'!I73+'Education Ministry'!I73+Crises!I73+'Breaking News'!I73+Opportunities!I73</f>
        <v>2.6799999999999997</v>
      </c>
      <c r="J73">
        <f>$B73+'Economy Ministry'!J73+'Environment Ministry'!J73+'Defence Ministry'!J73+'Education Ministry'!J73+Crises!J73+'Breaking News'!J73+Opportunities!J73</f>
        <v>2.6799999999999997</v>
      </c>
    </row>
    <row r="74" spans="1:10" x14ac:dyDescent="0.2">
      <c r="A74" t="s">
        <v>1964</v>
      </c>
      <c r="B74" s="8">
        <v>50000000000</v>
      </c>
      <c r="C74">
        <f>$B74+'Economy Ministry'!C74+'Environment Ministry'!C74+'Defence Ministry'!C74+'Education Ministry'!C74+Crises!C74+'Breaking News'!C74+Opportunities!C74</f>
        <v>48400000000</v>
      </c>
      <c r="D74">
        <f>$B74+'Economy Ministry'!D74+'Environment Ministry'!D74+'Defence Ministry'!D74+'Education Ministry'!D74+Crises!D74+'Breaking News'!D74+Opportunities!D74</f>
        <v>48400000000</v>
      </c>
      <c r="E74">
        <f>$B74+'Economy Ministry'!E74+'Environment Ministry'!E74+'Defence Ministry'!E74+'Education Ministry'!E74+Crises!E74+'Breaking News'!E74+Opportunities!E74</f>
        <v>48400000000</v>
      </c>
      <c r="F74">
        <f>$B74+'Economy Ministry'!F74+'Environment Ministry'!F74+'Defence Ministry'!F74+'Education Ministry'!F74+Crises!F74+'Breaking News'!F74+Opportunities!F74</f>
        <v>48400000000</v>
      </c>
      <c r="G74">
        <f>$B74+'Economy Ministry'!G74+'Environment Ministry'!G74+'Defence Ministry'!G74+'Education Ministry'!G74+Crises!G74+'Breaking News'!G74+Opportunities!G74</f>
        <v>48400000000</v>
      </c>
      <c r="H74">
        <f>$B74+'Economy Ministry'!H74+'Environment Ministry'!H74+'Defence Ministry'!H74+'Education Ministry'!H74+Crises!H74+'Breaking News'!H74+Opportunities!H74</f>
        <v>48400000000</v>
      </c>
      <c r="I74">
        <f>$B74+'Economy Ministry'!I74+'Environment Ministry'!I74+'Defence Ministry'!I74+'Education Ministry'!I74+Crises!I74+'Breaking News'!I74+Opportunities!I74</f>
        <v>48400000000</v>
      </c>
      <c r="J74">
        <f>$B74+'Economy Ministry'!J74+'Environment Ministry'!J74+'Defence Ministry'!J74+'Education Ministry'!J74+Crises!J74+'Breaking News'!J74+Opportunities!J74</f>
        <v>48400000000</v>
      </c>
    </row>
    <row r="75" spans="1:10" x14ac:dyDescent="0.2">
      <c r="A75" t="s">
        <v>1311</v>
      </c>
      <c r="B75" s="8">
        <v>0</v>
      </c>
      <c r="C75">
        <f>$B75+'Economy Ministry'!C75+'Environment Ministry'!C75+'Defence Ministry'!C75+'Education Ministry'!C75+Crises!C75+'Breaking News'!C75+Opportunities!C75</f>
        <v>0</v>
      </c>
      <c r="D75">
        <f>$B75+'Economy Ministry'!D75+'Environment Ministry'!D75+'Defence Ministry'!D75+'Education Ministry'!D75+Crises!D75+'Breaking News'!D75+Opportunities!D75</f>
        <v>0</v>
      </c>
      <c r="E75">
        <f>$B75+'Economy Ministry'!E75+'Environment Ministry'!E75+'Defence Ministry'!E75+'Education Ministry'!E75+Crises!E75+'Breaking News'!E75+Opportunities!E75</f>
        <v>0</v>
      </c>
      <c r="F75">
        <f>$B75+'Economy Ministry'!F75+'Environment Ministry'!F75+'Defence Ministry'!F75+'Education Ministry'!F75+Crises!F75+'Breaking News'!F75+Opportunities!F75</f>
        <v>0</v>
      </c>
      <c r="G75">
        <f>$B75+'Economy Ministry'!G75+'Environment Ministry'!G75+'Defence Ministry'!G75+'Education Ministry'!G75+Crises!G75+'Breaking News'!G75+Opportunities!G75</f>
        <v>0</v>
      </c>
      <c r="H75">
        <f>$B75+'Economy Ministry'!H75+'Environment Ministry'!H75+'Defence Ministry'!H75+'Education Ministry'!H75+Crises!H75+'Breaking News'!H75+Opportunities!H75</f>
        <v>0</v>
      </c>
      <c r="I75">
        <f>$B75+'Economy Ministry'!I75+'Environment Ministry'!I75+'Defence Ministry'!I75+'Education Ministry'!I75+Crises!I75+'Breaking News'!I75+Opportunities!I75</f>
        <v>0</v>
      </c>
      <c r="J75">
        <f>$B75+'Economy Ministry'!J75+'Environment Ministry'!J75+'Defence Ministry'!J75+'Education Ministry'!J75+Crises!J75+'Breaking News'!J75+Opportunities!J75</f>
        <v>0</v>
      </c>
    </row>
    <row r="76" spans="1:10" x14ac:dyDescent="0.2">
      <c r="A76" t="s">
        <v>1312</v>
      </c>
      <c r="B76" s="8">
        <v>0</v>
      </c>
      <c r="C76">
        <f>$B76+'Economy Ministry'!C76+'Environment Ministry'!C76+'Defence Ministry'!C76+'Education Ministry'!C76+Crises!C76+'Breaking News'!C76+Opportunities!C76</f>
        <v>0</v>
      </c>
      <c r="D76">
        <f>$B76+'Economy Ministry'!D76+'Environment Ministry'!D76+'Defence Ministry'!D76+'Education Ministry'!D76+Crises!D76+'Breaking News'!D76+Opportunities!D76</f>
        <v>0</v>
      </c>
      <c r="E76">
        <f>$B76+'Economy Ministry'!E76+'Environment Ministry'!E76+'Defence Ministry'!E76+'Education Ministry'!E76+Crises!E76+'Breaking News'!E76+Opportunities!E76</f>
        <v>0</v>
      </c>
      <c r="F76">
        <f>$B76+'Economy Ministry'!F76+'Environment Ministry'!F76+'Defence Ministry'!F76+'Education Ministry'!F76+Crises!F76+'Breaking News'!F76+Opportunities!F76</f>
        <v>0</v>
      </c>
      <c r="G76">
        <f>$B76+'Economy Ministry'!G76+'Environment Ministry'!G76+'Defence Ministry'!G76+'Education Ministry'!G76+Crises!G76+'Breaking News'!G76+Opportunities!G76</f>
        <v>0</v>
      </c>
      <c r="H76">
        <f>$B76+'Economy Ministry'!H76+'Environment Ministry'!H76+'Defence Ministry'!H76+'Education Ministry'!H76+Crises!H76+'Breaking News'!H76+Opportunities!H76</f>
        <v>0</v>
      </c>
      <c r="I76">
        <f>$B76+'Economy Ministry'!I76+'Environment Ministry'!I76+'Defence Ministry'!I76+'Education Ministry'!I76+Crises!I76+'Breaking News'!I76+Opportunities!I76</f>
        <v>0</v>
      </c>
      <c r="J76">
        <f>$B76+'Economy Ministry'!J76+'Environment Ministry'!J76+'Defence Ministry'!J76+'Education Ministry'!J76+Crises!J76+'Breaking News'!J76+Opportunities!J76</f>
        <v>0</v>
      </c>
    </row>
    <row r="77" spans="1:10" x14ac:dyDescent="0.2">
      <c r="A77" t="s">
        <v>54</v>
      </c>
      <c r="B77" s="6">
        <f>B75-B76</f>
        <v>0</v>
      </c>
      <c r="C77" s="6">
        <f t="shared" ref="C77:I77" si="0">C75-C76</f>
        <v>0</v>
      </c>
      <c r="D77" s="6">
        <f t="shared" si="0"/>
        <v>0</v>
      </c>
      <c r="E77" s="6">
        <f t="shared" si="0"/>
        <v>0</v>
      </c>
      <c r="F77" s="6">
        <f t="shared" si="0"/>
        <v>0</v>
      </c>
      <c r="G77" s="6">
        <f t="shared" si="0"/>
        <v>0</v>
      </c>
      <c r="H77" s="6">
        <f t="shared" si="0"/>
        <v>0</v>
      </c>
      <c r="I77" s="6">
        <f t="shared" si="0"/>
        <v>0</v>
      </c>
      <c r="J77" s="6">
        <f>J75-J76</f>
        <v>0</v>
      </c>
    </row>
    <row r="78" spans="1:10" x14ac:dyDescent="0.2">
      <c r="A78" t="s">
        <v>342</v>
      </c>
      <c r="B78" s="6">
        <f>'Result Targets'!B78</f>
        <v>25</v>
      </c>
      <c r="C78" s="6">
        <f>'Result Targets'!C78</f>
        <v>23.577777777777772</v>
      </c>
      <c r="D78" s="6">
        <f>'Result Targets'!D78</f>
        <v>23.577777777777772</v>
      </c>
      <c r="E78" s="6">
        <f>'Result Targets'!E78</f>
        <v>23.577777777777772</v>
      </c>
      <c r="F78" s="6">
        <f>'Result Targets'!F78</f>
        <v>23.577777777777772</v>
      </c>
      <c r="G78" s="6">
        <f>'Result Targets'!G78</f>
        <v>23.577777777777772</v>
      </c>
      <c r="H78" s="6">
        <f>'Result Targets'!H78</f>
        <v>23.577777777777772</v>
      </c>
      <c r="I78" s="6">
        <f>'Result Targets'!I78</f>
        <v>23.577777777777772</v>
      </c>
      <c r="J78" s="6">
        <f>'Result Targets'!J78</f>
        <v>23.577777777777772</v>
      </c>
    </row>
    <row r="79" spans="1:10" x14ac:dyDescent="0.2">
      <c r="B79" s="6"/>
      <c r="C79" s="6"/>
      <c r="D79" s="6"/>
      <c r="E79" s="6"/>
      <c r="F79" s="6"/>
      <c r="G79" s="6"/>
      <c r="H79" s="6"/>
      <c r="I79" s="6"/>
      <c r="J79" s="6"/>
    </row>
    <row r="81" spans="1:10" x14ac:dyDescent="0.2">
      <c r="A81" s="5" t="s">
        <v>51</v>
      </c>
    </row>
    <row r="82" spans="1:10" x14ac:dyDescent="0.2">
      <c r="A82" s="17" t="s">
        <v>1313</v>
      </c>
      <c r="B82" s="18" t="s">
        <v>1319</v>
      </c>
      <c r="C82" s="18" t="s">
        <v>1319</v>
      </c>
      <c r="D82" s="18" t="s">
        <v>1319</v>
      </c>
      <c r="E82" s="18" t="s">
        <v>1319</v>
      </c>
      <c r="F82" s="18" t="s">
        <v>1319</v>
      </c>
      <c r="G82" s="18" t="s">
        <v>1319</v>
      </c>
      <c r="H82" s="18" t="s">
        <v>1319</v>
      </c>
      <c r="I82" s="18" t="s">
        <v>1319</v>
      </c>
      <c r="J82" s="18" t="s">
        <v>1319</v>
      </c>
    </row>
    <row r="83" spans="1:10" x14ac:dyDescent="0.2">
      <c r="A83" s="17" t="s">
        <v>1725</v>
      </c>
      <c r="B83" s="18" t="s">
        <v>1319</v>
      </c>
      <c r="C83" s="18" t="s">
        <v>1319</v>
      </c>
      <c r="D83" s="18" t="s">
        <v>1319</v>
      </c>
      <c r="E83" s="18" t="s">
        <v>1319</v>
      </c>
      <c r="F83" s="18" t="s">
        <v>1319</v>
      </c>
      <c r="G83" s="18" t="s">
        <v>1319</v>
      </c>
      <c r="H83" s="18" t="s">
        <v>1319</v>
      </c>
      <c r="I83" s="18" t="s">
        <v>1319</v>
      </c>
      <c r="J83" s="18" t="s">
        <v>1319</v>
      </c>
    </row>
    <row r="84" spans="1:10" x14ac:dyDescent="0.2">
      <c r="A84" s="17" t="s">
        <v>1725</v>
      </c>
      <c r="B84">
        <v>10</v>
      </c>
      <c r="C84">
        <f>$B84+'Economy Ministry'!C84+'Environment Ministry'!C84+'Defence Ministry'!C84+'Education Ministry'!C84+Crises!C84+'Breaking News'!C84+Opportunities!C84</f>
        <v>10</v>
      </c>
      <c r="D84">
        <f>$B84+'Economy Ministry'!D84+'Environment Ministry'!D84+'Defence Ministry'!D84+'Education Ministry'!D84+Crises!D84+'Breaking News'!D84+Opportunities!D84</f>
        <v>10</v>
      </c>
      <c r="E84">
        <f>$B84+'Economy Ministry'!E84+'Environment Ministry'!E84+'Defence Ministry'!E84+'Education Ministry'!E84+Crises!E84+'Breaking News'!E84+Opportunities!E84</f>
        <v>10</v>
      </c>
      <c r="F84">
        <f>$B84+'Economy Ministry'!F84+'Environment Ministry'!F84+'Defence Ministry'!F84+'Education Ministry'!F84+Crises!F84+'Breaking News'!F84+Opportunities!F84</f>
        <v>10</v>
      </c>
      <c r="G84">
        <f>$B84+'Economy Ministry'!G84+'Environment Ministry'!G84+'Defence Ministry'!G84+'Education Ministry'!G84+Crises!G84+'Breaking News'!G84+Opportunities!G84</f>
        <v>10</v>
      </c>
      <c r="H84">
        <f>$B84+'Economy Ministry'!H84+'Environment Ministry'!H84+'Defence Ministry'!H84+'Education Ministry'!H84+Crises!H84+'Breaking News'!H84+Opportunities!H84</f>
        <v>10</v>
      </c>
      <c r="I84">
        <f>$B84+'Economy Ministry'!I84+'Environment Ministry'!I84+'Defence Ministry'!I84+'Education Ministry'!I84+Crises!I84+'Breaking News'!I84+Opportunities!I84</f>
        <v>10</v>
      </c>
      <c r="J84">
        <f>$B84+'Economy Ministry'!J84+'Environment Ministry'!J84+'Defence Ministry'!J84+'Education Ministry'!J84+Crises!J84+'Breaking News'!J84+Opportunities!J84</f>
        <v>10</v>
      </c>
    </row>
    <row r="85" spans="1:10" x14ac:dyDescent="0.2">
      <c r="A85" s="9" t="s">
        <v>1315</v>
      </c>
      <c r="B85">
        <v>25</v>
      </c>
      <c r="C85">
        <f>$B85+'Economy Ministry'!C85+'Environment Ministry'!C85+'Defence Ministry'!C85+'Education Ministry'!C85+Crises!C85+'Breaking News'!C85+Opportunities!C85</f>
        <v>25</v>
      </c>
      <c r="D85">
        <f>$B85+'Economy Ministry'!D85+'Environment Ministry'!D85+'Defence Ministry'!D85+'Education Ministry'!D85+Crises!D85+'Breaking News'!D85+Opportunities!D85</f>
        <v>23.4</v>
      </c>
      <c r="E85">
        <f>$B85+'Economy Ministry'!E85+'Environment Ministry'!E85+'Defence Ministry'!E85+'Education Ministry'!E85+Crises!E85+'Breaking News'!E85+Opportunities!E85</f>
        <v>23.4</v>
      </c>
      <c r="F85">
        <f>$B85+'Economy Ministry'!F85+'Environment Ministry'!F85+'Defence Ministry'!F85+'Education Ministry'!F85+Crises!F85+'Breaking News'!F85+Opportunities!F85</f>
        <v>23.4</v>
      </c>
      <c r="G85">
        <f>$B85+'Economy Ministry'!G85+'Environment Ministry'!G85+'Defence Ministry'!G85+'Education Ministry'!G85+Crises!G85+'Breaking News'!G85+Opportunities!G85</f>
        <v>23.4</v>
      </c>
      <c r="H85">
        <f>$B85+'Economy Ministry'!H85+'Environment Ministry'!H85+'Defence Ministry'!H85+'Education Ministry'!H85+Crises!H85+'Breaking News'!H85+Opportunities!H85</f>
        <v>23.4</v>
      </c>
      <c r="I85">
        <f>$B85+'Economy Ministry'!I85+'Environment Ministry'!I85+'Defence Ministry'!I85+'Education Ministry'!I85+Crises!I85+'Breaking News'!I85+Opportunities!I85</f>
        <v>23.4</v>
      </c>
      <c r="J85">
        <f>$B85+'Economy Ministry'!J85+'Environment Ministry'!J85+'Defence Ministry'!J85+'Education Ministry'!J85+Crises!J85+'Breaking News'!J85+Opportunities!J85</f>
        <v>23.4</v>
      </c>
    </row>
    <row r="86" spans="1:10" x14ac:dyDescent="0.2">
      <c r="A86" s="9" t="s">
        <v>1316</v>
      </c>
      <c r="B86">
        <v>20</v>
      </c>
      <c r="C86">
        <f>$B86+'Economy Ministry'!C86+'Environment Ministry'!C86+'Defence Ministry'!C86+'Education Ministry'!C86+Crises!C86+'Breaking News'!C86+Opportunities!C86</f>
        <v>20</v>
      </c>
      <c r="D86">
        <f>$B86+'Economy Ministry'!D86+'Environment Ministry'!D86+'Defence Ministry'!D86+'Education Ministry'!D86+Crises!D86+'Breaking News'!D86+Opportunities!D86</f>
        <v>20</v>
      </c>
      <c r="E86">
        <f>$B86+'Economy Ministry'!E86+'Environment Ministry'!E86+'Defence Ministry'!E86+'Education Ministry'!E86+Crises!E86+'Breaking News'!E86+Opportunities!E86</f>
        <v>20</v>
      </c>
      <c r="F86">
        <f>$B86+'Economy Ministry'!F86+'Environment Ministry'!F86+'Defence Ministry'!F86+'Education Ministry'!F86+Crises!F86+'Breaking News'!F86+Opportunities!F86</f>
        <v>20</v>
      </c>
      <c r="G86">
        <f>$B86+'Economy Ministry'!G86+'Environment Ministry'!G86+'Defence Ministry'!G86+'Education Ministry'!G86+Crises!G86+'Breaking News'!G86+Opportunities!G86</f>
        <v>20</v>
      </c>
      <c r="H86">
        <f>$B86+'Economy Ministry'!H86+'Environment Ministry'!H86+'Defence Ministry'!H86+'Education Ministry'!H86+Crises!H86+'Breaking News'!H86+Opportunities!H86</f>
        <v>20</v>
      </c>
      <c r="I86">
        <f>$B86+'Economy Ministry'!I86+'Environment Ministry'!I86+'Defence Ministry'!I86+'Education Ministry'!I86+Crises!I86+'Breaking News'!I86+Opportunities!I86</f>
        <v>20</v>
      </c>
      <c r="J86">
        <f>$B86+'Economy Ministry'!J86+'Environment Ministry'!J86+'Defence Ministry'!J86+'Education Ministry'!J86+Crises!J86+'Breaking News'!J86+Opportunities!J86</f>
        <v>20</v>
      </c>
    </row>
    <row r="87" spans="1:10" x14ac:dyDescent="0.2">
      <c r="A87" s="9" t="s">
        <v>1294</v>
      </c>
      <c r="B87">
        <f>(B85+B86)/2</f>
        <v>22.5</v>
      </c>
      <c r="C87">
        <f t="shared" ref="C87:J87" si="1">(C85+C86)/2</f>
        <v>22.5</v>
      </c>
      <c r="D87">
        <f t="shared" si="1"/>
        <v>21.7</v>
      </c>
      <c r="E87">
        <f t="shared" si="1"/>
        <v>21.7</v>
      </c>
      <c r="F87">
        <f t="shared" si="1"/>
        <v>21.7</v>
      </c>
      <c r="G87">
        <f t="shared" si="1"/>
        <v>21.7</v>
      </c>
      <c r="H87">
        <f t="shared" si="1"/>
        <v>21.7</v>
      </c>
      <c r="I87">
        <f t="shared" si="1"/>
        <v>21.7</v>
      </c>
      <c r="J87">
        <f t="shared" si="1"/>
        <v>21.7</v>
      </c>
    </row>
    <row r="88" spans="1:10" x14ac:dyDescent="0.2">
      <c r="A88" s="9" t="s">
        <v>1291</v>
      </c>
      <c r="B88" s="6">
        <v>25</v>
      </c>
      <c r="C88">
        <f>$B88+'Economy Ministry'!C88+'Environment Ministry'!C88+'Defence Ministry'!C88+'Education Ministry'!C88+Crises!C88+'Breaking News'!C88+Opportunities!C88</f>
        <v>25</v>
      </c>
      <c r="D88">
        <f>$B88+'Economy Ministry'!D88+'Environment Ministry'!D88+'Defence Ministry'!D88+'Education Ministry'!D88+Crises!D88+'Breaking News'!D88+Opportunities!D88</f>
        <v>25</v>
      </c>
      <c r="E88">
        <f>$B88+'Economy Ministry'!E88+'Environment Ministry'!E88+'Defence Ministry'!E88+'Education Ministry'!E88+Crises!E88+'Breaking News'!E88+Opportunities!E88</f>
        <v>25</v>
      </c>
      <c r="F88">
        <f>$B88+'Economy Ministry'!F88+'Environment Ministry'!F88+'Defence Ministry'!F88+'Education Ministry'!F88+Crises!F88+'Breaking News'!F88+Opportunities!F88</f>
        <v>25</v>
      </c>
      <c r="G88">
        <f>$B88+'Economy Ministry'!G88+'Environment Ministry'!G88+'Defence Ministry'!G88+'Education Ministry'!G88+Crises!G88+'Breaking News'!G88+Opportunities!G88</f>
        <v>25</v>
      </c>
      <c r="H88">
        <f>$B88+'Economy Ministry'!H88+'Environment Ministry'!H88+'Defence Ministry'!H88+'Education Ministry'!H88+Crises!H88+'Breaking News'!H88+Opportunities!H88</f>
        <v>25</v>
      </c>
      <c r="I88">
        <f>$B88+'Economy Ministry'!I88+'Environment Ministry'!I88+'Defence Ministry'!I88+'Education Ministry'!I88+Crises!I88+'Breaking News'!I88+Opportunities!I88</f>
        <v>25</v>
      </c>
      <c r="J88">
        <f>$B88+'Economy Ministry'!J88+'Environment Ministry'!J88+'Defence Ministry'!J88+'Education Ministry'!J88+Crises!J88+'Breaking News'!J88+Opportunities!J88</f>
        <v>25</v>
      </c>
    </row>
    <row r="89" spans="1:10" x14ac:dyDescent="0.2">
      <c r="A89" t="s">
        <v>343</v>
      </c>
      <c r="B89" s="6">
        <f>'Result Targets'!B90</f>
        <v>34.722222222222221</v>
      </c>
      <c r="C89" s="6">
        <f>'Result Targets'!C90</f>
        <v>34.722222222222221</v>
      </c>
      <c r="D89" s="6">
        <f>'Result Targets'!D90</f>
        <v>34.277777777777779</v>
      </c>
      <c r="E89" s="6">
        <f>'Result Targets'!E90</f>
        <v>34.277777777777779</v>
      </c>
      <c r="F89" s="6">
        <f>'Result Targets'!F90</f>
        <v>34.277777777777779</v>
      </c>
      <c r="G89" s="6">
        <f>'Result Targets'!G90</f>
        <v>34.277777777777779</v>
      </c>
      <c r="H89" s="6">
        <f>'Result Targets'!H90</f>
        <v>34.277777777777779</v>
      </c>
      <c r="I89" s="6">
        <f>'Result Targets'!I90</f>
        <v>34.277777777777779</v>
      </c>
      <c r="J89" s="6">
        <f>'Result Targets'!J90</f>
        <v>34.277777777777779</v>
      </c>
    </row>
    <row r="92" spans="1:10" x14ac:dyDescent="0.2">
      <c r="A92" s="5" t="s">
        <v>52</v>
      </c>
    </row>
    <row r="93" spans="1:10" x14ac:dyDescent="0.2">
      <c r="A93" t="s">
        <v>56</v>
      </c>
      <c r="B93" s="6">
        <v>35</v>
      </c>
      <c r="C93">
        <f>$B93+'Economy Ministry'!C93+'Environment Ministry'!C93+'Defence Ministry'!C93+'Education Ministry'!C93+Crises!C93+'Breaking News'!C93+Opportunities!C93</f>
        <v>35</v>
      </c>
      <c r="D93">
        <f>$B93+'Economy Ministry'!D93+'Environment Ministry'!D93+'Defence Ministry'!D93+'Education Ministry'!D93+Crises!D93+'Breaking News'!D93+Opportunities!D93</f>
        <v>35</v>
      </c>
      <c r="E93">
        <f>$B93+'Economy Ministry'!E93+'Environment Ministry'!E93+'Defence Ministry'!E93+'Education Ministry'!E93+Crises!E93+'Breaking News'!E93+Opportunities!E93</f>
        <v>35</v>
      </c>
      <c r="F93">
        <f>$B93+'Economy Ministry'!F93+'Environment Ministry'!F93+'Defence Ministry'!F93+'Education Ministry'!F93+Crises!F93+'Breaking News'!F93+Opportunities!F93</f>
        <v>33</v>
      </c>
      <c r="G93">
        <f>$B93+'Economy Ministry'!G93+'Environment Ministry'!G93+'Defence Ministry'!G93+'Education Ministry'!G93+Crises!G93+'Breaking News'!G93+Opportunities!G93</f>
        <v>33</v>
      </c>
      <c r="H93">
        <f>$B93+'Economy Ministry'!H93+'Environment Ministry'!H93+'Defence Ministry'!H93+'Education Ministry'!H93+Crises!H93+'Breaking News'!H93+Opportunities!H93</f>
        <v>33</v>
      </c>
      <c r="I93">
        <f>$B93+'Economy Ministry'!I93+'Environment Ministry'!I93+'Defence Ministry'!I93+'Education Ministry'!I93+Crises!I93+'Breaking News'!I93+Opportunities!I93</f>
        <v>33</v>
      </c>
      <c r="J93">
        <f>$B93+'Economy Ministry'!J93+'Environment Ministry'!J93+'Defence Ministry'!J93+'Education Ministry'!J93+Crises!J93+'Breaking News'!J93+Opportunities!J93</f>
        <v>33</v>
      </c>
    </row>
    <row r="94" spans="1:10" x14ac:dyDescent="0.2">
      <c r="A94" t="s">
        <v>1727</v>
      </c>
      <c r="B94">
        <v>40</v>
      </c>
      <c r="C94">
        <f>$B94+'Economy Ministry'!C94+'Environment Ministry'!C94+'Defence Ministry'!C94+'Education Ministry'!C94+Crises!C94+'Breaking News'!C94+Opportunities!C94</f>
        <v>40</v>
      </c>
      <c r="D94">
        <f>$B94+'Economy Ministry'!D94+'Environment Ministry'!D94+'Defence Ministry'!D94+'Education Ministry'!D94+Crises!D94+'Breaking News'!D94+Opportunities!D94</f>
        <v>40</v>
      </c>
      <c r="E94">
        <f>$B94+'Economy Ministry'!E94+'Environment Ministry'!E94+'Defence Ministry'!E94+'Education Ministry'!E94+Crises!E94+'Breaking News'!E94+Opportunities!E94</f>
        <v>40</v>
      </c>
      <c r="F94">
        <f>$B94+'Economy Ministry'!F94+'Environment Ministry'!F94+'Defence Ministry'!F94+'Education Ministry'!F94+Crises!F94+'Breaking News'!F94+Opportunities!F94</f>
        <v>40</v>
      </c>
      <c r="G94">
        <f>$B94+'Economy Ministry'!G94+'Environment Ministry'!G94+'Defence Ministry'!G94+'Education Ministry'!G94+Crises!G94+'Breaking News'!G94+Opportunities!G94</f>
        <v>40</v>
      </c>
      <c r="H94">
        <f>$B94+'Economy Ministry'!H94+'Environment Ministry'!H94+'Defence Ministry'!H94+'Education Ministry'!H94+Crises!H94+'Breaking News'!H94+Opportunities!H94</f>
        <v>40</v>
      </c>
      <c r="I94">
        <f>$B94+'Economy Ministry'!I94+'Environment Ministry'!I94+'Defence Ministry'!I94+'Education Ministry'!I94+Crises!I94+'Breaking News'!I94+Opportunities!I94</f>
        <v>40</v>
      </c>
      <c r="J94">
        <f>$B94+'Economy Ministry'!J94+'Environment Ministry'!J94+'Defence Ministry'!J94+'Education Ministry'!J94+Crises!J94+'Breaking News'!J94+Opportunities!J94</f>
        <v>40</v>
      </c>
    </row>
    <row r="95" spans="1:10" x14ac:dyDescent="0.2">
      <c r="A95" t="s">
        <v>1317</v>
      </c>
      <c r="B95" s="8">
        <v>1000000000</v>
      </c>
      <c r="C95">
        <f>$B95+'Economy Ministry'!C95+'Environment Ministry'!C95+'Defence Ministry'!C95+'Education Ministry'!C95+Crises!C95+'Breaking News'!C95+Opportunities!C95</f>
        <v>1000000000</v>
      </c>
      <c r="D95">
        <f>$B95+'Economy Ministry'!D95+'Environment Ministry'!D95+'Defence Ministry'!D95+'Education Ministry'!D95+Crises!D95+'Breaking News'!D95+Opportunities!D95</f>
        <v>1000000000</v>
      </c>
      <c r="E95">
        <f>$B95+'Economy Ministry'!E95+'Environment Ministry'!E95+'Defence Ministry'!E95+'Education Ministry'!E95+Crises!E95+'Breaking News'!E95+Opportunities!E95</f>
        <v>1000000000</v>
      </c>
      <c r="F95">
        <f>$B95+'Economy Ministry'!F95+'Environment Ministry'!F95+'Defence Ministry'!F95+'Education Ministry'!F95+Crises!F95+'Breaking News'!F95+Opportunities!F95</f>
        <v>1000000000</v>
      </c>
      <c r="G95">
        <f>$B95+'Economy Ministry'!G95+'Environment Ministry'!G95+'Defence Ministry'!G95+'Education Ministry'!G95+Crises!G95+'Breaking News'!G95+Opportunities!G95</f>
        <v>1000000000</v>
      </c>
      <c r="H95">
        <f>$B95+'Economy Ministry'!H95+'Environment Ministry'!H95+'Defence Ministry'!H95+'Education Ministry'!H95+Crises!H95+'Breaking News'!H95+Opportunities!H95</f>
        <v>1000000000</v>
      </c>
      <c r="I95">
        <f>$B95+'Economy Ministry'!I95+'Environment Ministry'!I95+'Defence Ministry'!I95+'Education Ministry'!I95+Crises!I95+'Breaking News'!I95+Opportunities!I95</f>
        <v>1000000000</v>
      </c>
      <c r="J95">
        <f>$B95+'Economy Ministry'!J95+'Environment Ministry'!J95+'Defence Ministry'!J95+'Education Ministry'!J95+Crises!J95+'Breaking News'!J95+Opportunities!J95</f>
        <v>1000000000</v>
      </c>
    </row>
    <row r="96" spans="1:10" x14ac:dyDescent="0.2">
      <c r="A96" t="s">
        <v>1318</v>
      </c>
      <c r="B96" s="8">
        <v>1500000000</v>
      </c>
      <c r="C96">
        <f>$B96+'Economy Ministry'!C96+'Environment Ministry'!C96+'Defence Ministry'!C96+'Education Ministry'!C96+Crises!C96+'Breaking News'!C96+Opportunities!C96</f>
        <v>1500000000</v>
      </c>
      <c r="D96">
        <f>$B96+'Economy Ministry'!D96+'Environment Ministry'!D96+'Defence Ministry'!D96+'Education Ministry'!D96+Crises!D96+'Breaking News'!D96+Opportunities!D96</f>
        <v>1500000000</v>
      </c>
      <c r="E96">
        <f>$B96+'Economy Ministry'!E96+'Environment Ministry'!E96+'Defence Ministry'!E96+'Education Ministry'!E96+Crises!E96+'Breaking News'!E96+Opportunities!E96</f>
        <v>1500000000</v>
      </c>
      <c r="F96">
        <f>$B96+'Economy Ministry'!F96+'Environment Ministry'!F96+'Defence Ministry'!F96+'Education Ministry'!F96+Crises!F96+'Breaking News'!F96+Opportunities!F96</f>
        <v>1500000000</v>
      </c>
      <c r="G96">
        <f>$B96+'Economy Ministry'!G96+'Environment Ministry'!G96+'Defence Ministry'!G96+'Education Ministry'!G96+Crises!G96+'Breaking News'!G96+Opportunities!G96</f>
        <v>1500000000</v>
      </c>
      <c r="H96">
        <f>$B96+'Economy Ministry'!H96+'Environment Ministry'!H96+'Defence Ministry'!H96+'Education Ministry'!H96+Crises!H96+'Breaking News'!H96+Opportunities!H96</f>
        <v>1500000000</v>
      </c>
      <c r="I96">
        <f>$B96+'Economy Ministry'!I96+'Environment Ministry'!I96+'Defence Ministry'!I96+'Education Ministry'!I96+Crises!I96+'Breaking News'!I96+Opportunities!I96</f>
        <v>1500000000</v>
      </c>
      <c r="J96">
        <f>$B96+'Economy Ministry'!J96+'Environment Ministry'!J96+'Defence Ministry'!J96+'Education Ministry'!J96+Crises!J96+'Breaking News'!J96+Opportunities!J96</f>
        <v>1500000000</v>
      </c>
    </row>
    <row r="97" spans="1:10" x14ac:dyDescent="0.2">
      <c r="A97" t="s">
        <v>1295</v>
      </c>
      <c r="B97">
        <f>B95-B96</f>
        <v>-500000000</v>
      </c>
      <c r="C97">
        <f t="shared" ref="C97:J97" si="2">C95-C96</f>
        <v>-500000000</v>
      </c>
      <c r="D97">
        <f t="shared" si="2"/>
        <v>-500000000</v>
      </c>
      <c r="E97">
        <f t="shared" si="2"/>
        <v>-500000000</v>
      </c>
      <c r="F97">
        <f t="shared" si="2"/>
        <v>-500000000</v>
      </c>
      <c r="G97">
        <f t="shared" si="2"/>
        <v>-500000000</v>
      </c>
      <c r="H97">
        <f t="shared" si="2"/>
        <v>-500000000</v>
      </c>
      <c r="I97">
        <f t="shared" si="2"/>
        <v>-500000000</v>
      </c>
      <c r="J97">
        <f t="shared" si="2"/>
        <v>-500000000</v>
      </c>
    </row>
    <row r="98" spans="1:10" x14ac:dyDescent="0.2">
      <c r="A98" t="s">
        <v>344</v>
      </c>
      <c r="B98">
        <f>'Result Targets'!B98</f>
        <v>35.726495726495727</v>
      </c>
      <c r="C98">
        <f>'Result Targets'!C98</f>
        <v>35.726495726495727</v>
      </c>
      <c r="D98">
        <f>'Result Targets'!D98</f>
        <v>35.726495726495727</v>
      </c>
      <c r="E98">
        <f>'Result Targets'!E98</f>
        <v>35.726495726495727</v>
      </c>
      <c r="F98">
        <f>'Result Targets'!F98</f>
        <v>34.700854700854698</v>
      </c>
      <c r="G98">
        <f>'Result Targets'!G98</f>
        <v>34.700854700854698</v>
      </c>
      <c r="H98">
        <f>'Result Targets'!H98</f>
        <v>34.700854700854698</v>
      </c>
      <c r="I98">
        <f>'Result Targets'!I98</f>
        <v>34.700854700854698</v>
      </c>
      <c r="J98">
        <f>'Result Targets'!J98</f>
        <v>34.700854700854698</v>
      </c>
    </row>
    <row r="101" spans="1:10" x14ac:dyDescent="0.2">
      <c r="A101" s="5" t="s">
        <v>53</v>
      </c>
    </row>
    <row r="102" spans="1:10" x14ac:dyDescent="0.2">
      <c r="A102" t="s">
        <v>57</v>
      </c>
      <c r="B102">
        <v>25</v>
      </c>
      <c r="C102">
        <f>$B102+'Economy Ministry'!C102+'Environment Ministry'!C102+'Defence Ministry'!C102+'Education Ministry'!C102+Crises!C102+'Breaking News'!C102+Opportunities!C102</f>
        <v>24.2</v>
      </c>
      <c r="D102">
        <f>$B102+'Economy Ministry'!D102+'Environment Ministry'!D102+'Defence Ministry'!D102+'Education Ministry'!D102+Crises!D102+'Breaking News'!D102+Opportunities!D102</f>
        <v>24.2</v>
      </c>
      <c r="E102">
        <f>$B102+'Economy Ministry'!E102+'Environment Ministry'!E102+'Defence Ministry'!E102+'Education Ministry'!E102+Crises!E102+'Breaking News'!E102+Opportunities!E102</f>
        <v>24.2</v>
      </c>
      <c r="F102">
        <f>$B102+'Economy Ministry'!F102+'Environment Ministry'!F102+'Defence Ministry'!F102+'Education Ministry'!F102+Crises!F102+'Breaking News'!F102+Opportunities!F102</f>
        <v>24.2</v>
      </c>
      <c r="G102">
        <f>$B102+'Economy Ministry'!G102+'Environment Ministry'!G102+'Defence Ministry'!G102+'Education Ministry'!G102+Crises!G102+'Breaking News'!G102+Opportunities!G102</f>
        <v>24.2</v>
      </c>
      <c r="H102">
        <f>$B102+'Economy Ministry'!H102+'Environment Ministry'!H102+'Defence Ministry'!H102+'Education Ministry'!H102+Crises!H102+'Breaking News'!H102+Opportunities!H102</f>
        <v>24.2</v>
      </c>
      <c r="I102">
        <f>$B102+'Economy Ministry'!I102+'Environment Ministry'!I102+'Defence Ministry'!I102+'Education Ministry'!I102+Crises!I102+'Breaking News'!I102+Opportunities!I102</f>
        <v>24.2</v>
      </c>
      <c r="J102">
        <f>$B102+'Economy Ministry'!J102+'Environment Ministry'!J102+'Defence Ministry'!J102+'Education Ministry'!J102+Crises!J102+'Breaking News'!J102+Opportunities!J102</f>
        <v>24.2</v>
      </c>
    </row>
    <row r="103" spans="1:10" x14ac:dyDescent="0.2">
      <c r="A103" t="s">
        <v>58</v>
      </c>
      <c r="B103">
        <v>30</v>
      </c>
      <c r="C103">
        <f>$B103+'Economy Ministry'!C103+'Environment Ministry'!C103+'Defence Ministry'!C103+'Education Ministry'!C103+Crises!C103+'Breaking News'!C103+Opportunities!C103</f>
        <v>29.2</v>
      </c>
      <c r="D103">
        <f>$B103+'Economy Ministry'!D103+'Environment Ministry'!D103+'Defence Ministry'!D103+'Education Ministry'!D103+Crises!D103+'Breaking News'!D103+Opportunities!D103</f>
        <v>29.2</v>
      </c>
      <c r="E103">
        <f>$B103+'Economy Ministry'!E103+'Environment Ministry'!E103+'Defence Ministry'!E103+'Education Ministry'!E103+Crises!E103+'Breaking News'!E103+Opportunities!E103</f>
        <v>29.2</v>
      </c>
      <c r="F103">
        <f>$B103+'Economy Ministry'!F103+'Environment Ministry'!F103+'Defence Ministry'!F103+'Education Ministry'!F103+Crises!F103+'Breaking News'!F103+Opportunities!F103</f>
        <v>29.2</v>
      </c>
      <c r="G103">
        <f>$B103+'Economy Ministry'!G103+'Environment Ministry'!G103+'Defence Ministry'!G103+'Education Ministry'!G103+Crises!G103+'Breaking News'!G103+Opportunities!G103</f>
        <v>29.2</v>
      </c>
      <c r="H103">
        <f>$B103+'Economy Ministry'!H103+'Environment Ministry'!H103+'Defence Ministry'!H103+'Education Ministry'!H103+Crises!H103+'Breaking News'!H103+Opportunities!H103</f>
        <v>29.2</v>
      </c>
      <c r="I103">
        <f>$B103+'Economy Ministry'!I103+'Environment Ministry'!I103+'Defence Ministry'!I103+'Education Ministry'!I103+Crises!I103+'Breaking News'!I103+Opportunities!I103</f>
        <v>29.2</v>
      </c>
      <c r="J103">
        <f>$B103+'Economy Ministry'!J103+'Environment Ministry'!J103+'Defence Ministry'!J103+'Education Ministry'!J103+Crises!J103+'Breaking News'!J103+Opportunities!J103</f>
        <v>29.2</v>
      </c>
    </row>
    <row r="104" spans="1:10" x14ac:dyDescent="0.2">
      <c r="A104" t="s">
        <v>1296</v>
      </c>
      <c r="B104">
        <v>20</v>
      </c>
      <c r="C104">
        <f>$B104+'Economy Ministry'!C104+'Environment Ministry'!C104+'Defence Ministry'!C104+'Education Ministry'!C104+Crises!C104+'Breaking News'!C104+Opportunities!C104</f>
        <v>20</v>
      </c>
      <c r="D104">
        <f>$B104+'Economy Ministry'!D104+'Environment Ministry'!D104+'Defence Ministry'!D104+'Education Ministry'!D104+Crises!D104+'Breaking News'!D104+Opportunities!D104</f>
        <v>20</v>
      </c>
      <c r="E104">
        <f>$B104+'Economy Ministry'!E104+'Environment Ministry'!E104+'Defence Ministry'!E104+'Education Ministry'!E104+Crises!E104+'Breaking News'!E104+Opportunities!E104</f>
        <v>20</v>
      </c>
      <c r="F104">
        <f>$B104+'Economy Ministry'!F104+'Environment Ministry'!F104+'Defence Ministry'!F104+'Education Ministry'!F104+Crises!F104+'Breaking News'!F104+Opportunities!F104</f>
        <v>20</v>
      </c>
      <c r="G104">
        <f>$B104+'Economy Ministry'!G104+'Environment Ministry'!G104+'Defence Ministry'!G104+'Education Ministry'!G104+Crises!G104+'Breaking News'!G104+Opportunities!G104</f>
        <v>18.399999999999999</v>
      </c>
      <c r="H104">
        <f>$B104+'Economy Ministry'!H104+'Environment Ministry'!H104+'Defence Ministry'!H104+'Education Ministry'!H104+Crises!H104+'Breaking News'!H104+Opportunities!H104</f>
        <v>18.399999999999999</v>
      </c>
      <c r="I104">
        <f>$B104+'Economy Ministry'!I104+'Environment Ministry'!I104+'Defence Ministry'!I104+'Education Ministry'!I104+Crises!I104+'Breaking News'!I104+Opportunities!I104</f>
        <v>18.399999999999999</v>
      </c>
      <c r="J104">
        <f>$B104+'Economy Ministry'!J104+'Environment Ministry'!J104+'Defence Ministry'!J104+'Education Ministry'!J104+Crises!J104+'Breaking News'!J104+Opportunities!J104</f>
        <v>18.399999999999999</v>
      </c>
    </row>
    <row r="105" spans="1:10" x14ac:dyDescent="0.2">
      <c r="A105" t="s">
        <v>1297</v>
      </c>
      <c r="B105">
        <f>'Result Targets'!B105</f>
        <v>40.811965811965813</v>
      </c>
      <c r="C105">
        <f>'Result Targets'!C105</f>
        <v>39.923076923076927</v>
      </c>
      <c r="D105">
        <f>'Result Targets'!D105</f>
        <v>39.923076923076927</v>
      </c>
      <c r="E105">
        <f>'Result Targets'!E105</f>
        <v>39.923076923076927</v>
      </c>
      <c r="F105">
        <f>'Result Targets'!F105</f>
        <v>39.923076923076927</v>
      </c>
      <c r="G105">
        <f>'Result Targets'!G105</f>
        <v>39.102564102564102</v>
      </c>
      <c r="H105">
        <f>'Result Targets'!H105</f>
        <v>39.102564102564102</v>
      </c>
      <c r="I105">
        <f>'Result Targets'!I105</f>
        <v>39.102564102564102</v>
      </c>
      <c r="J105">
        <f>'Result Targets'!J105</f>
        <v>39.102564102564102</v>
      </c>
    </row>
    <row r="108" spans="1:10" x14ac:dyDescent="0.2">
      <c r="A108" s="5" t="s">
        <v>1329</v>
      </c>
    </row>
    <row r="109" spans="1:10" x14ac:dyDescent="0.2">
      <c r="A109" t="s">
        <v>1292</v>
      </c>
      <c r="B109">
        <f>B64*'Project Variables'!$E$33</f>
        <v>12.5</v>
      </c>
      <c r="C109">
        <f>C64*'Project Variables'!$E$33</f>
        <v>12.5</v>
      </c>
      <c r="D109">
        <f>D64*'Project Variables'!$E$33</f>
        <v>12.1</v>
      </c>
      <c r="E109">
        <f>E64*'Project Variables'!$E$33</f>
        <v>12.1</v>
      </c>
      <c r="F109">
        <f>F64*'Project Variables'!$E$33</f>
        <v>12.1</v>
      </c>
      <c r="G109">
        <f>G64*'Project Variables'!$E$33</f>
        <v>12.1</v>
      </c>
      <c r="H109">
        <f>H64*'Project Variables'!$E$33</f>
        <v>12.1</v>
      </c>
      <c r="I109">
        <f>I64*'Project Variables'!$E$33</f>
        <v>12.1</v>
      </c>
      <c r="J109">
        <f>J64*'Project Variables'!$E$33</f>
        <v>12.1</v>
      </c>
    </row>
    <row r="110" spans="1:10" x14ac:dyDescent="0.2">
      <c r="A110" t="s">
        <v>47</v>
      </c>
      <c r="B110">
        <f>B65*'Project Variables'!$E$34</f>
        <v>13.75</v>
      </c>
      <c r="C110">
        <f>C65*'Project Variables'!$E$34</f>
        <v>13.75</v>
      </c>
      <c r="D110">
        <f>D65*'Project Variables'!$E$34</f>
        <v>13.75</v>
      </c>
      <c r="E110">
        <f>E65*'Project Variables'!$E$34</f>
        <v>13.15</v>
      </c>
      <c r="F110">
        <f>F65*'Project Variables'!$E$34</f>
        <v>13.15</v>
      </c>
      <c r="G110">
        <f>G65*'Project Variables'!$E$34</f>
        <v>13.15</v>
      </c>
      <c r="H110">
        <f>H65*'Project Variables'!$E$34</f>
        <v>13.15</v>
      </c>
      <c r="I110">
        <f>I65*'Project Variables'!$E$34</f>
        <v>13.15</v>
      </c>
      <c r="J110">
        <f>J65*'Project Variables'!$E$34</f>
        <v>13.15</v>
      </c>
    </row>
    <row r="111" spans="1:10" x14ac:dyDescent="0.2">
      <c r="A111" t="s">
        <v>1293</v>
      </c>
      <c r="B111">
        <f>B66*'Project Variables'!$E$35</f>
        <v>6</v>
      </c>
      <c r="C111">
        <f>C66*'Project Variables'!$E$35</f>
        <v>6</v>
      </c>
      <c r="D111">
        <f>D66*'Project Variables'!$E$35</f>
        <v>6</v>
      </c>
      <c r="E111">
        <f>E66*'Project Variables'!$E$35</f>
        <v>5.52</v>
      </c>
      <c r="F111">
        <f>F66*'Project Variables'!$E$35</f>
        <v>5.04</v>
      </c>
      <c r="G111">
        <f>G66*'Project Variables'!$E$35</f>
        <v>4.5599999999999996</v>
      </c>
      <c r="H111">
        <f>H66*'Project Variables'!$E$35</f>
        <v>4.5599999999999996</v>
      </c>
      <c r="I111">
        <f>I66*'Project Variables'!$E$35</f>
        <v>4.5599999999999996</v>
      </c>
      <c r="J111">
        <f>J66*'Project Variables'!$E$35</f>
        <v>4.5599999999999996</v>
      </c>
    </row>
    <row r="112" spans="1:10" x14ac:dyDescent="0.2">
      <c r="A112" t="s">
        <v>48</v>
      </c>
      <c r="B112">
        <f>B67*'Project Variables'!$E$36</f>
        <v>5.7</v>
      </c>
      <c r="C112">
        <f>C67*'Project Variables'!$E$36</f>
        <v>5.7</v>
      </c>
      <c r="D112">
        <f>D67*'Project Variables'!$E$36</f>
        <v>5.7</v>
      </c>
      <c r="E112">
        <f>E67*'Project Variables'!$E$36</f>
        <v>5.7</v>
      </c>
      <c r="F112">
        <f>F67*'Project Variables'!$E$36</f>
        <v>5.7</v>
      </c>
      <c r="G112">
        <f>G67*'Project Variables'!$E$36</f>
        <v>5.22</v>
      </c>
      <c r="H112">
        <f>H67*'Project Variables'!$E$36</f>
        <v>5.22</v>
      </c>
      <c r="I112">
        <f>I67*'Project Variables'!$E$36</f>
        <v>5.22</v>
      </c>
      <c r="J112">
        <f>J67*'Project Variables'!$E$36</f>
        <v>5.22</v>
      </c>
    </row>
    <row r="113" spans="1:10" x14ac:dyDescent="0.2">
      <c r="A113" t="s">
        <v>49</v>
      </c>
      <c r="B113">
        <f>B68*'Project Variables'!$E$37</f>
        <v>4.5</v>
      </c>
      <c r="C113">
        <f>C68*'Project Variables'!$E$37</f>
        <v>4.5</v>
      </c>
      <c r="D113">
        <f>D68*'Project Variables'!$E$37</f>
        <v>4.34</v>
      </c>
      <c r="E113">
        <f>E68*'Project Variables'!$E$37</f>
        <v>4.18</v>
      </c>
      <c r="F113">
        <f>F68*'Project Variables'!$E$37</f>
        <v>3.8600000000000003</v>
      </c>
      <c r="G113">
        <f>G68*'Project Variables'!$E$37</f>
        <v>3.8600000000000003</v>
      </c>
      <c r="H113">
        <f>H68*'Project Variables'!$E$37</f>
        <v>3.8600000000000003</v>
      </c>
      <c r="I113">
        <f>I68*'Project Variables'!$E$37</f>
        <v>3.8600000000000003</v>
      </c>
      <c r="J113">
        <f>J68*'Project Variables'!$E$37</f>
        <v>3.8600000000000003</v>
      </c>
    </row>
    <row r="114" spans="1:10" x14ac:dyDescent="0.2">
      <c r="A114" t="s">
        <v>50</v>
      </c>
      <c r="B114">
        <f>B69*'Project Variables'!$E$38</f>
        <v>3.8000000000000003</v>
      </c>
      <c r="C114">
        <f>C69*'Project Variables'!$E$38</f>
        <v>3.8000000000000003</v>
      </c>
      <c r="D114">
        <f>D69*'Project Variables'!$E$38</f>
        <v>3.8000000000000003</v>
      </c>
      <c r="E114">
        <f>E69*'Project Variables'!$E$38</f>
        <v>3.8000000000000003</v>
      </c>
      <c r="F114">
        <f>F69*'Project Variables'!$E$38</f>
        <v>3.8000000000000003</v>
      </c>
      <c r="G114">
        <f>G69*'Project Variables'!$E$38</f>
        <v>3.48</v>
      </c>
      <c r="H114">
        <f>H69*'Project Variables'!$E$38</f>
        <v>3.48</v>
      </c>
      <c r="I114">
        <f>I69*'Project Variables'!$E$38</f>
        <v>3.48</v>
      </c>
      <c r="J114">
        <f>J69*'Project Variables'!$E$38</f>
        <v>3.48</v>
      </c>
    </row>
    <row r="117" spans="1:10" x14ac:dyDescent="0.2">
      <c r="A117" t="s">
        <v>1298</v>
      </c>
      <c r="B117">
        <f t="shared" ref="B117:J117" si="3">ROUND(SUM(B109:B114),1)</f>
        <v>46.3</v>
      </c>
      <c r="C117">
        <f t="shared" si="3"/>
        <v>46.3</v>
      </c>
      <c r="D117">
        <f t="shared" si="3"/>
        <v>45.7</v>
      </c>
      <c r="E117">
        <f t="shared" si="3"/>
        <v>44.5</v>
      </c>
      <c r="F117">
        <f t="shared" si="3"/>
        <v>43.7</v>
      </c>
      <c r="G117">
        <f t="shared" si="3"/>
        <v>42.4</v>
      </c>
      <c r="H117">
        <f t="shared" si="3"/>
        <v>42.4</v>
      </c>
      <c r="I117">
        <f t="shared" si="3"/>
        <v>42.4</v>
      </c>
      <c r="J117">
        <f t="shared" si="3"/>
        <v>42.4</v>
      </c>
    </row>
    <row r="118" spans="1:10" x14ac:dyDescent="0.2">
      <c r="A118" t="s">
        <v>1740</v>
      </c>
      <c r="B118">
        <f>'Result Targets'!B112</f>
        <v>34.065170940170944</v>
      </c>
      <c r="C118">
        <f>'Result Targets'!C112</f>
        <v>33.487393162393161</v>
      </c>
      <c r="D118">
        <f>'Result Targets'!D112</f>
        <v>33.376282051282054</v>
      </c>
      <c r="E118">
        <f>'Result Targets'!E112</f>
        <v>33.376282051282054</v>
      </c>
      <c r="F118">
        <f>'Result Targets'!F112</f>
        <v>33.119871794871798</v>
      </c>
      <c r="G118">
        <f>'Result Targets'!G112</f>
        <v>32.914743589743594</v>
      </c>
      <c r="H118">
        <f>'Result Targets'!H112</f>
        <v>32.914743589743594</v>
      </c>
      <c r="I118">
        <f>'Result Targets'!I112</f>
        <v>32.914743589743594</v>
      </c>
      <c r="J118">
        <f>'Result Targets'!J112</f>
        <v>32.914743589743594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24A5-6001-442B-A461-024911F3FE7C}">
  <dimension ref="A1:O112"/>
  <sheetViews>
    <sheetView workbookViewId="0">
      <selection activeCell="F29" sqref="F29"/>
    </sheetView>
  </sheetViews>
  <sheetFormatPr baseColWidth="10" defaultColWidth="8.83203125" defaultRowHeight="15" x14ac:dyDescent="0.2"/>
  <cols>
    <col min="1" max="1" width="48.1640625" customWidth="1"/>
    <col min="2" max="10" width="16.83203125" customWidth="1"/>
  </cols>
  <sheetData>
    <row r="1" spans="1:15" x14ac:dyDescent="0.2">
      <c r="B1" s="15">
        <v>0</v>
      </c>
      <c r="C1" s="15">
        <v>1</v>
      </c>
      <c r="D1" s="15">
        <v>2</v>
      </c>
      <c r="E1" s="15">
        <v>3</v>
      </c>
      <c r="F1" s="15">
        <v>4</v>
      </c>
      <c r="G1" s="15">
        <v>5</v>
      </c>
      <c r="H1" s="15">
        <v>6</v>
      </c>
      <c r="I1" s="15">
        <v>7</v>
      </c>
      <c r="J1" s="15">
        <v>8</v>
      </c>
    </row>
    <row r="2" spans="1:15" x14ac:dyDescent="0.2">
      <c r="A2" s="14" t="s">
        <v>46</v>
      </c>
    </row>
    <row r="3" spans="1:15" x14ac:dyDescent="0.2">
      <c r="A3" s="5"/>
    </row>
    <row r="4" spans="1:15" x14ac:dyDescent="0.2">
      <c r="A4" s="5" t="s">
        <v>44</v>
      </c>
      <c r="O4" s="5"/>
    </row>
    <row r="5" spans="1:15" x14ac:dyDescent="0.2">
      <c r="A5" t="s">
        <v>60</v>
      </c>
      <c r="B5">
        <f>IF(FacilSetsTargets=1,'Target Settings'!B4,'Target Settings'!E4)</f>
        <v>12</v>
      </c>
      <c r="C5">
        <f t="shared" ref="C5:J5" si="0">B5</f>
        <v>12</v>
      </c>
      <c r="D5">
        <f t="shared" si="0"/>
        <v>12</v>
      </c>
      <c r="E5">
        <f t="shared" si="0"/>
        <v>12</v>
      </c>
      <c r="F5">
        <f t="shared" si="0"/>
        <v>12</v>
      </c>
      <c r="G5">
        <f t="shared" si="0"/>
        <v>12</v>
      </c>
      <c r="H5">
        <f t="shared" si="0"/>
        <v>12</v>
      </c>
      <c r="I5">
        <f t="shared" si="0"/>
        <v>12</v>
      </c>
      <c r="J5">
        <f t="shared" si="0"/>
        <v>12</v>
      </c>
    </row>
    <row r="6" spans="1:15" x14ac:dyDescent="0.2">
      <c r="A6" t="s">
        <v>1966</v>
      </c>
      <c r="B6" s="8">
        <v>100000000000</v>
      </c>
      <c r="C6">
        <f>B6</f>
        <v>100000000000</v>
      </c>
      <c r="D6">
        <f t="shared" ref="D6:G9" si="1">C6</f>
        <v>100000000000</v>
      </c>
      <c r="E6">
        <f t="shared" si="1"/>
        <v>100000000000</v>
      </c>
      <c r="F6">
        <f t="shared" si="1"/>
        <v>100000000000</v>
      </c>
      <c r="G6">
        <f t="shared" si="1"/>
        <v>100000000000</v>
      </c>
      <c r="H6">
        <f t="shared" ref="H6:H9" si="2">G6</f>
        <v>100000000000</v>
      </c>
      <c r="I6">
        <f t="shared" ref="I6:I9" si="3">H6</f>
        <v>100000000000</v>
      </c>
      <c r="J6">
        <f t="shared" ref="J6:J9" si="4">I6</f>
        <v>100000000000</v>
      </c>
    </row>
    <row r="7" spans="1:15" hidden="1" x14ac:dyDescent="0.2"/>
    <row r="8" spans="1:15" hidden="1" x14ac:dyDescent="0.2"/>
    <row r="9" spans="1:15" x14ac:dyDescent="0.2">
      <c r="A9" t="s">
        <v>59</v>
      </c>
      <c r="B9" s="8">
        <f>IF(FacilSetsTargets=1,'Target Settings'!B6,'Target Settings'!E6)</f>
        <v>500000</v>
      </c>
      <c r="C9" s="8">
        <f>B9</f>
        <v>500000</v>
      </c>
      <c r="D9" s="8">
        <f t="shared" si="1"/>
        <v>500000</v>
      </c>
      <c r="E9" s="8">
        <f t="shared" si="1"/>
        <v>500000</v>
      </c>
      <c r="F9" s="8">
        <f t="shared" si="1"/>
        <v>500000</v>
      </c>
      <c r="G9" s="8">
        <f t="shared" si="1"/>
        <v>500000</v>
      </c>
      <c r="H9" s="8">
        <f t="shared" si="2"/>
        <v>500000</v>
      </c>
      <c r="I9" s="8">
        <f t="shared" si="3"/>
        <v>500000</v>
      </c>
      <c r="J9" s="8">
        <f t="shared" si="4"/>
        <v>500000</v>
      </c>
    </row>
    <row r="10" spans="1:15" x14ac:dyDescent="0.2">
      <c r="B10" s="8"/>
      <c r="C10" s="8"/>
      <c r="D10" s="8"/>
      <c r="E10" s="8"/>
      <c r="F10" s="8"/>
      <c r="G10" s="8"/>
      <c r="H10" s="8"/>
      <c r="I10" s="8"/>
      <c r="J10" s="8"/>
    </row>
    <row r="12" spans="1:15" x14ac:dyDescent="0.2">
      <c r="A12" s="5" t="s">
        <v>51</v>
      </c>
      <c r="O12" s="5"/>
    </row>
    <row r="13" spans="1:15" hidden="1" x14ac:dyDescent="0.2">
      <c r="A13" s="5"/>
      <c r="O13" s="5"/>
    </row>
    <row r="14" spans="1:15" hidden="1" x14ac:dyDescent="0.2">
      <c r="A14" s="5"/>
      <c r="O14" s="5"/>
    </row>
    <row r="15" spans="1:15" x14ac:dyDescent="0.2">
      <c r="A15" s="9" t="s">
        <v>1726</v>
      </c>
      <c r="B15" s="24">
        <f>IF(FacilSetsTargets=1,'Target Settings'!B10,'Target Settings'!E10)</f>
        <v>40</v>
      </c>
      <c r="C15" s="24">
        <f>B15</f>
        <v>40</v>
      </c>
      <c r="D15" s="24">
        <f t="shared" ref="D15:J15" si="5">C15</f>
        <v>40</v>
      </c>
      <c r="E15" s="24">
        <f t="shared" si="5"/>
        <v>40</v>
      </c>
      <c r="F15" s="24">
        <f t="shared" si="5"/>
        <v>40</v>
      </c>
      <c r="G15" s="24">
        <f t="shared" si="5"/>
        <v>40</v>
      </c>
      <c r="H15" s="24">
        <f t="shared" si="5"/>
        <v>40</v>
      </c>
      <c r="I15" s="24">
        <f t="shared" si="5"/>
        <v>40</v>
      </c>
      <c r="J15" s="24">
        <f t="shared" si="5"/>
        <v>40</v>
      </c>
      <c r="O15" s="9"/>
    </row>
    <row r="16" spans="1:15" hidden="1" x14ac:dyDescent="0.2">
      <c r="A16" s="9"/>
      <c r="B16" s="24"/>
      <c r="C16" s="24"/>
      <c r="D16" s="24"/>
      <c r="E16" s="24"/>
      <c r="F16" s="24"/>
      <c r="G16" s="24"/>
      <c r="H16" s="24"/>
      <c r="I16" s="24"/>
      <c r="J16" s="24"/>
      <c r="O16" s="9"/>
    </row>
    <row r="17" spans="1:15" hidden="1" x14ac:dyDescent="0.2">
      <c r="A17" s="9"/>
      <c r="B17" s="24"/>
      <c r="C17" s="24"/>
      <c r="D17" s="24"/>
      <c r="E17" s="24"/>
      <c r="F17" s="24"/>
      <c r="G17" s="24"/>
      <c r="H17" s="24"/>
      <c r="I17" s="24"/>
      <c r="J17" s="24"/>
      <c r="O17" s="9"/>
    </row>
    <row r="18" spans="1:15" x14ac:dyDescent="0.2">
      <c r="A18" s="9" t="s">
        <v>1300</v>
      </c>
      <c r="B18">
        <f>IF(FacilSetsTargets=1,'Target Settings'!B11,'Target Settings'!E11)</f>
        <v>60</v>
      </c>
      <c r="C18">
        <f>B18</f>
        <v>60</v>
      </c>
      <c r="D18">
        <f t="shared" ref="D18:J18" si="6">C18</f>
        <v>60</v>
      </c>
      <c r="E18">
        <f t="shared" si="6"/>
        <v>60</v>
      </c>
      <c r="F18">
        <f t="shared" si="6"/>
        <v>60</v>
      </c>
      <c r="G18">
        <f t="shared" si="6"/>
        <v>60</v>
      </c>
      <c r="H18">
        <f t="shared" si="6"/>
        <v>60</v>
      </c>
      <c r="I18">
        <f t="shared" si="6"/>
        <v>60</v>
      </c>
      <c r="J18">
        <f t="shared" si="6"/>
        <v>60</v>
      </c>
      <c r="O18" s="9"/>
    </row>
    <row r="19" spans="1:15" x14ac:dyDescent="0.2">
      <c r="A19" s="9" t="s">
        <v>1299</v>
      </c>
      <c r="B19" s="24">
        <f>IF(FacilSetsTargets=1,'Target Settings'!B12,'Target Settings'!E12)</f>
        <v>60</v>
      </c>
      <c r="C19" s="24">
        <f>B19</f>
        <v>60</v>
      </c>
      <c r="D19" s="24">
        <f t="shared" ref="D19:J19" si="7">C19</f>
        <v>60</v>
      </c>
      <c r="E19" s="24">
        <f t="shared" si="7"/>
        <v>60</v>
      </c>
      <c r="F19" s="24">
        <f t="shared" si="7"/>
        <v>60</v>
      </c>
      <c r="G19" s="24">
        <f t="shared" si="7"/>
        <v>60</v>
      </c>
      <c r="H19" s="24">
        <f t="shared" si="7"/>
        <v>60</v>
      </c>
      <c r="I19" s="24">
        <f t="shared" si="7"/>
        <v>60</v>
      </c>
      <c r="J19" s="24">
        <f t="shared" si="7"/>
        <v>60</v>
      </c>
      <c r="O19" s="9"/>
    </row>
    <row r="20" spans="1:15" x14ac:dyDescent="0.2">
      <c r="A20" s="9"/>
      <c r="B20" s="24"/>
      <c r="C20" s="24"/>
      <c r="D20" s="24"/>
      <c r="E20" s="24"/>
      <c r="F20" s="24"/>
      <c r="G20" s="24"/>
      <c r="H20" s="24"/>
      <c r="I20" s="24"/>
      <c r="J20" s="24"/>
      <c r="O20" s="9"/>
    </row>
    <row r="22" spans="1:15" x14ac:dyDescent="0.2">
      <c r="A22" s="5" t="s">
        <v>52</v>
      </c>
      <c r="O22" s="5"/>
    </row>
    <row r="23" spans="1:15" x14ac:dyDescent="0.2">
      <c r="A23" t="s">
        <v>61</v>
      </c>
      <c r="B23" s="24">
        <f>IF(FacilSetsTargets=1,'Target Settings'!B16,'Target Settings'!E16)</f>
        <v>65</v>
      </c>
      <c r="C23" s="24">
        <f>B23</f>
        <v>65</v>
      </c>
      <c r="D23" s="24">
        <f t="shared" ref="D23:J23" si="8">C23</f>
        <v>65</v>
      </c>
      <c r="E23" s="24">
        <f t="shared" si="8"/>
        <v>65</v>
      </c>
      <c r="F23" s="24">
        <f t="shared" si="8"/>
        <v>65</v>
      </c>
      <c r="G23" s="24">
        <f t="shared" si="8"/>
        <v>65</v>
      </c>
      <c r="H23" s="24">
        <f t="shared" si="8"/>
        <v>65</v>
      </c>
      <c r="I23" s="24">
        <f t="shared" si="8"/>
        <v>65</v>
      </c>
      <c r="J23" s="24">
        <f t="shared" si="8"/>
        <v>65</v>
      </c>
    </row>
    <row r="24" spans="1:15" x14ac:dyDescent="0.2">
      <c r="A24" t="s">
        <v>1728</v>
      </c>
      <c r="B24" s="24">
        <f>IF(FacilSetsTargets=1,'Target Settings'!B17,'Target Settings'!E17)</f>
        <v>75</v>
      </c>
      <c r="C24">
        <f>B24</f>
        <v>75</v>
      </c>
      <c r="D24">
        <f t="shared" ref="D24:J24" si="9">C24</f>
        <v>75</v>
      </c>
      <c r="E24">
        <f t="shared" si="9"/>
        <v>75</v>
      </c>
      <c r="F24">
        <f t="shared" si="9"/>
        <v>75</v>
      </c>
      <c r="G24">
        <f t="shared" si="9"/>
        <v>75</v>
      </c>
      <c r="H24">
        <f t="shared" si="9"/>
        <v>75</v>
      </c>
      <c r="I24">
        <f t="shared" si="9"/>
        <v>75</v>
      </c>
      <c r="J24">
        <f t="shared" si="9"/>
        <v>75</v>
      </c>
    </row>
    <row r="25" spans="1:15" hidden="1" x14ac:dyDescent="0.2"/>
    <row r="26" spans="1:15" hidden="1" x14ac:dyDescent="0.2"/>
    <row r="27" spans="1:15" x14ac:dyDescent="0.2">
      <c r="A27" t="s">
        <v>1302</v>
      </c>
      <c r="B27" s="24">
        <f>IF(FacilSetsTargets=1,'Target Settings'!B18,'Target Settings'!E18)</f>
        <v>2000000000</v>
      </c>
      <c r="C27" s="24">
        <f>B27</f>
        <v>2000000000</v>
      </c>
      <c r="D27" s="24">
        <f t="shared" ref="D27:J27" si="10">C27</f>
        <v>2000000000</v>
      </c>
      <c r="E27" s="24">
        <f t="shared" si="10"/>
        <v>2000000000</v>
      </c>
      <c r="F27" s="24">
        <f t="shared" si="10"/>
        <v>2000000000</v>
      </c>
      <c r="G27" s="24">
        <f t="shared" si="10"/>
        <v>2000000000</v>
      </c>
      <c r="H27" s="24">
        <f t="shared" si="10"/>
        <v>2000000000</v>
      </c>
      <c r="I27" s="24">
        <f t="shared" si="10"/>
        <v>2000000000</v>
      </c>
      <c r="J27" s="24">
        <f t="shared" si="10"/>
        <v>2000000000</v>
      </c>
    </row>
    <row r="28" spans="1:1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30" spans="1:15" x14ac:dyDescent="0.2">
      <c r="A30" s="5" t="s">
        <v>53</v>
      </c>
      <c r="O30" s="5"/>
    </row>
    <row r="31" spans="1:15" x14ac:dyDescent="0.2">
      <c r="A31" t="s">
        <v>62</v>
      </c>
      <c r="B31" s="24">
        <f>IF(FacilSetsTargets=1,'Target Settings'!B22,'Target Settings'!E22)</f>
        <v>60</v>
      </c>
      <c r="C31" s="24">
        <f>B31</f>
        <v>60</v>
      </c>
      <c r="D31" s="24">
        <f t="shared" ref="D31:J31" si="11">C31</f>
        <v>60</v>
      </c>
      <c r="E31" s="24">
        <f t="shared" si="11"/>
        <v>60</v>
      </c>
      <c r="F31" s="24">
        <f t="shared" si="11"/>
        <v>60</v>
      </c>
      <c r="G31" s="24">
        <f t="shared" si="11"/>
        <v>60</v>
      </c>
      <c r="H31" s="24">
        <f t="shared" si="11"/>
        <v>60</v>
      </c>
      <c r="I31" s="24">
        <f t="shared" si="11"/>
        <v>60</v>
      </c>
      <c r="J31" s="24">
        <f t="shared" si="11"/>
        <v>60</v>
      </c>
    </row>
    <row r="32" spans="1:15" x14ac:dyDescent="0.2">
      <c r="A32" t="s">
        <v>63</v>
      </c>
      <c r="B32" s="24">
        <f>IF(FacilSetsTargets=1,'Target Settings'!B23,'Target Settings'!E23)</f>
        <v>60</v>
      </c>
      <c r="C32" s="24">
        <f t="shared" ref="C32:J33" si="12">B32</f>
        <v>60</v>
      </c>
      <c r="D32" s="24">
        <f t="shared" si="12"/>
        <v>60</v>
      </c>
      <c r="E32" s="24">
        <f t="shared" si="12"/>
        <v>60</v>
      </c>
      <c r="F32" s="24">
        <f t="shared" si="12"/>
        <v>60</v>
      </c>
      <c r="G32" s="24">
        <f t="shared" si="12"/>
        <v>60</v>
      </c>
      <c r="H32" s="24">
        <f t="shared" si="12"/>
        <v>60</v>
      </c>
      <c r="I32" s="24">
        <f t="shared" si="12"/>
        <v>60</v>
      </c>
      <c r="J32" s="24">
        <f t="shared" si="12"/>
        <v>60</v>
      </c>
    </row>
    <row r="33" spans="1:10" x14ac:dyDescent="0.2">
      <c r="A33" t="s">
        <v>1301</v>
      </c>
      <c r="B33" s="24">
        <f>IF(FacilSetsTargets=1,'Target Settings'!B24,'Target Settings'!E24)</f>
        <v>65</v>
      </c>
      <c r="C33" s="24">
        <f t="shared" si="12"/>
        <v>65</v>
      </c>
      <c r="D33" s="24">
        <f t="shared" si="12"/>
        <v>65</v>
      </c>
      <c r="E33" s="32">
        <f t="shared" si="12"/>
        <v>65</v>
      </c>
      <c r="F33" s="24">
        <f t="shared" si="12"/>
        <v>65</v>
      </c>
      <c r="G33" s="24">
        <f t="shared" si="12"/>
        <v>65</v>
      </c>
      <c r="H33" s="24">
        <f t="shared" si="12"/>
        <v>65</v>
      </c>
      <c r="I33" s="24">
        <f t="shared" si="12"/>
        <v>65</v>
      </c>
      <c r="J33" s="24">
        <f t="shared" si="12"/>
        <v>65</v>
      </c>
    </row>
    <row r="35" spans="1:10" hidden="1" x14ac:dyDescent="0.2"/>
    <row r="36" spans="1:10" hidden="1" x14ac:dyDescent="0.2"/>
    <row r="37" spans="1:10" hidden="1" x14ac:dyDescent="0.2"/>
    <row r="38" spans="1:10" hidden="1" x14ac:dyDescent="0.2"/>
    <row r="39" spans="1:10" hidden="1" x14ac:dyDescent="0.2"/>
    <row r="40" spans="1:10" hidden="1" x14ac:dyDescent="0.2"/>
    <row r="41" spans="1:10" hidden="1" x14ac:dyDescent="0.2"/>
    <row r="42" spans="1:10" hidden="1" x14ac:dyDescent="0.2"/>
    <row r="43" spans="1:10" hidden="1" x14ac:dyDescent="0.2"/>
    <row r="44" spans="1:10" hidden="1" x14ac:dyDescent="0.2"/>
    <row r="45" spans="1:10" hidden="1" x14ac:dyDescent="0.2"/>
    <row r="46" spans="1:10" hidden="1" x14ac:dyDescent="0.2"/>
    <row r="47" spans="1:10" hidden="1" x14ac:dyDescent="0.2"/>
    <row r="48" spans="1:10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spans="1:15" hidden="1" x14ac:dyDescent="0.2"/>
    <row r="66" spans="1:15" hidden="1" x14ac:dyDescent="0.2"/>
    <row r="67" spans="1:15" hidden="1" x14ac:dyDescent="0.2">
      <c r="B67" s="22"/>
      <c r="C67" s="12"/>
      <c r="D67" s="12"/>
      <c r="E67" s="12"/>
      <c r="F67" s="12"/>
      <c r="G67" s="12"/>
      <c r="H67" s="12"/>
      <c r="I67" s="12"/>
      <c r="J67" s="12"/>
    </row>
    <row r="68" spans="1:15" hidden="1" x14ac:dyDescent="0.2">
      <c r="A68" s="5"/>
    </row>
    <row r="70" spans="1:15" x14ac:dyDescent="0.2">
      <c r="A70" s="14" t="s">
        <v>1729</v>
      </c>
    </row>
    <row r="71" spans="1:15" x14ac:dyDescent="0.2">
      <c r="A71" s="5"/>
    </row>
    <row r="72" spans="1:15" x14ac:dyDescent="0.2">
      <c r="A72" s="5" t="s">
        <v>44</v>
      </c>
      <c r="N72" s="5"/>
      <c r="O72" s="5"/>
    </row>
    <row r="73" spans="1:15" x14ac:dyDescent="0.2">
      <c r="A73" t="s">
        <v>1730</v>
      </c>
      <c r="B73">
        <f>MAX((Results!B73)/('Result Targets'!B5),0) * 100</f>
        <v>25</v>
      </c>
      <c r="C73">
        <f>MAX((Results!C73)/('Result Targets'!C5),0) * 100</f>
        <v>22.333333333333329</v>
      </c>
      <c r="D73">
        <f>MAX((Results!D73)/('Result Targets'!D5),0) * 100</f>
        <v>22.333333333333329</v>
      </c>
      <c r="E73">
        <f>MAX((Results!E73)/('Result Targets'!E5),0) * 100</f>
        <v>22.333333333333329</v>
      </c>
      <c r="F73">
        <f>MAX((Results!F73)/('Result Targets'!F5),0) * 100</f>
        <v>22.333333333333329</v>
      </c>
      <c r="G73">
        <f>MAX((Results!G73)/('Result Targets'!G5),0) * 100</f>
        <v>22.333333333333329</v>
      </c>
      <c r="H73">
        <f>MAX((Results!H73)/('Result Targets'!H5),0) * 100</f>
        <v>22.333333333333329</v>
      </c>
      <c r="I73">
        <f>MAX((Results!I73)/('Result Targets'!I5),0) * 100</f>
        <v>22.333333333333329</v>
      </c>
      <c r="J73">
        <f>MAX((Results!J73)/('Result Targets'!J5),0) * 100</f>
        <v>22.333333333333329</v>
      </c>
    </row>
    <row r="74" spans="1:15" x14ac:dyDescent="0.2">
      <c r="A74" t="s">
        <v>1967</v>
      </c>
      <c r="B74">
        <f>MAX((Results!B74)/('Result Targets'!B6),0)*100</f>
        <v>50</v>
      </c>
      <c r="C74">
        <f>MAX((Results!C74)/('Result Targets'!C6),0)*100</f>
        <v>48.4</v>
      </c>
      <c r="D74">
        <f>MAX((Results!D74)/('Result Targets'!D6),0)*100</f>
        <v>48.4</v>
      </c>
      <c r="E74">
        <f>MAX((Results!E74)/('Result Targets'!E6),0)*100</f>
        <v>48.4</v>
      </c>
      <c r="F74">
        <f>MAX((Results!F74)/('Result Targets'!F6),0)*100</f>
        <v>48.4</v>
      </c>
      <c r="G74">
        <f>MAX((Results!G74)/('Result Targets'!G6),0)*100</f>
        <v>48.4</v>
      </c>
      <c r="H74">
        <f>MAX((Results!H74)/('Result Targets'!H6),0)*100</f>
        <v>48.4</v>
      </c>
      <c r="I74">
        <f>MAX((Results!I74)/('Result Targets'!I6),0)*100</f>
        <v>48.4</v>
      </c>
      <c r="J74">
        <f>MAX((Results!J74)/('Result Targets'!J6),0)*100</f>
        <v>48.4</v>
      </c>
    </row>
    <row r="75" spans="1:15" hidden="1" x14ac:dyDescent="0.2"/>
    <row r="76" spans="1:15" hidden="1" x14ac:dyDescent="0.2"/>
    <row r="77" spans="1:15" x14ac:dyDescent="0.2">
      <c r="A77" t="s">
        <v>1731</v>
      </c>
      <c r="B77">
        <f>MAX((Results!B77)/('Result Targets'!B9),0)*100</f>
        <v>0</v>
      </c>
      <c r="C77">
        <f>MAX((Results!C77)/('Result Targets'!C9),0)*100</f>
        <v>0</v>
      </c>
      <c r="D77">
        <f>MAX((Results!D77)/('Result Targets'!D9),0)*100</f>
        <v>0</v>
      </c>
      <c r="E77">
        <f>MAX((Results!E77)/('Result Targets'!E9),0)*100</f>
        <v>0</v>
      </c>
      <c r="F77">
        <f>MAX((Results!F77)/('Result Targets'!F9),0)*100</f>
        <v>0</v>
      </c>
      <c r="G77">
        <f>MAX((Results!G77)/('Result Targets'!G9),0)*100</f>
        <v>0</v>
      </c>
      <c r="H77">
        <f>MAX((Results!H77)/('Result Targets'!H9),0)*100</f>
        <v>0</v>
      </c>
      <c r="I77">
        <f>MAX((Results!I77)/('Result Targets'!I9),0)*100</f>
        <v>0</v>
      </c>
      <c r="J77">
        <f>MAX((Results!J77)/('Result Targets'!J9),0)*100</f>
        <v>0</v>
      </c>
    </row>
    <row r="78" spans="1:15" x14ac:dyDescent="0.2">
      <c r="A78" t="s">
        <v>342</v>
      </c>
      <c r="B78">
        <f>AVERAGE(MIN(B73,100),MIN(B74,100),MIN(B77,100))</f>
        <v>25</v>
      </c>
      <c r="C78">
        <f t="shared" ref="C78:J78" si="13">AVERAGE(MIN(C73,100),MIN(C74,100),MIN(C77,100))</f>
        <v>23.577777777777772</v>
      </c>
      <c r="D78">
        <f t="shared" si="13"/>
        <v>23.577777777777772</v>
      </c>
      <c r="E78">
        <f t="shared" si="13"/>
        <v>23.577777777777772</v>
      </c>
      <c r="F78">
        <f t="shared" si="13"/>
        <v>23.577777777777772</v>
      </c>
      <c r="G78">
        <f t="shared" si="13"/>
        <v>23.577777777777772</v>
      </c>
      <c r="H78">
        <f t="shared" si="13"/>
        <v>23.577777777777772</v>
      </c>
      <c r="I78">
        <f t="shared" si="13"/>
        <v>23.577777777777772</v>
      </c>
      <c r="J78">
        <f t="shared" si="13"/>
        <v>23.577777777777772</v>
      </c>
      <c r="O78" s="5"/>
    </row>
    <row r="79" spans="1:15" x14ac:dyDescent="0.2">
      <c r="O79" s="9"/>
    </row>
    <row r="80" spans="1:15" x14ac:dyDescent="0.2">
      <c r="O80" s="9"/>
    </row>
    <row r="81" spans="1:15" x14ac:dyDescent="0.2">
      <c r="A81" s="5" t="s">
        <v>51</v>
      </c>
      <c r="N81" s="5"/>
      <c r="O81" s="9"/>
    </row>
    <row r="82" spans="1:15" hidden="1" x14ac:dyDescent="0.2">
      <c r="N82" s="17"/>
      <c r="O82" s="9"/>
    </row>
    <row r="83" spans="1:15" hidden="1" x14ac:dyDescent="0.2">
      <c r="N83" s="17"/>
      <c r="O83" s="9"/>
    </row>
    <row r="84" spans="1:15" x14ac:dyDescent="0.2">
      <c r="A84" s="9" t="s">
        <v>1732</v>
      </c>
      <c r="B84">
        <f>MAX((Results!B84)/('Result Targets'!B15),0) * 100</f>
        <v>25</v>
      </c>
      <c r="C84">
        <f>MAX((Results!C84)/('Result Targets'!C15),0) * 100</f>
        <v>25</v>
      </c>
      <c r="D84">
        <f>MAX((Results!D84)/('Result Targets'!D15),0) * 100</f>
        <v>25</v>
      </c>
      <c r="E84">
        <f>MAX((Results!E84)/('Result Targets'!E15),0) * 100</f>
        <v>25</v>
      </c>
      <c r="F84">
        <f>MAX((Results!F84)/('Result Targets'!F15),0) * 100</f>
        <v>25</v>
      </c>
      <c r="G84">
        <f>MAX((Results!G84)/('Result Targets'!G15),0) * 100</f>
        <v>25</v>
      </c>
      <c r="H84">
        <f>MAX((Results!H84)/('Result Targets'!H15),0) * 100</f>
        <v>25</v>
      </c>
      <c r="I84">
        <f>MAX((Results!I84)/('Result Targets'!I15),0) * 100</f>
        <v>25</v>
      </c>
      <c r="J84">
        <f>MAX((Results!J84)/('Result Targets'!J15),0) * 100</f>
        <v>25</v>
      </c>
      <c r="N84" s="9"/>
      <c r="O84" s="5"/>
    </row>
    <row r="85" spans="1:15" hidden="1" x14ac:dyDescent="0.2">
      <c r="N85" s="9"/>
    </row>
    <row r="86" spans="1:15" hidden="1" x14ac:dyDescent="0.2">
      <c r="N86" s="9"/>
    </row>
    <row r="87" spans="1:15" x14ac:dyDescent="0.2">
      <c r="A87" s="9" t="s">
        <v>1733</v>
      </c>
      <c r="B87">
        <f>MAX((Results!B87)/('Result Targets'!B18),0) * 100</f>
        <v>37.5</v>
      </c>
      <c r="C87">
        <f>MAX((Results!C87)/('Result Targets'!C18),0) * 100</f>
        <v>37.5</v>
      </c>
      <c r="D87">
        <f>MAX((Results!D87)/('Result Targets'!D18),0) * 100</f>
        <v>36.166666666666664</v>
      </c>
      <c r="E87">
        <f>MAX((Results!E87)/('Result Targets'!E18),0) * 100</f>
        <v>36.166666666666664</v>
      </c>
      <c r="F87">
        <f>MAX((Results!F87)/('Result Targets'!F18),0) * 100</f>
        <v>36.166666666666664</v>
      </c>
      <c r="G87">
        <f>MAX((Results!G87)/('Result Targets'!G18),0) * 100</f>
        <v>36.166666666666664</v>
      </c>
      <c r="H87">
        <f>MAX((Results!H87)/('Result Targets'!H18),0) * 100</f>
        <v>36.166666666666664</v>
      </c>
      <c r="I87">
        <f>MAX((Results!I87)/('Result Targets'!I18),0) * 100</f>
        <v>36.166666666666664</v>
      </c>
      <c r="J87">
        <f>MAX((Results!J87)/('Result Targets'!J18),0) * 100</f>
        <v>36.166666666666664</v>
      </c>
      <c r="N87" s="9"/>
    </row>
    <row r="88" spans="1:15" x14ac:dyDescent="0.2">
      <c r="A88" s="9" t="s">
        <v>1734</v>
      </c>
      <c r="B88">
        <f>MAX((Results!B88)/('Result Targets'!B19),0) * 100</f>
        <v>41.666666666666671</v>
      </c>
      <c r="C88">
        <f>MAX((Results!C88)/('Result Targets'!C19),0) * 100</f>
        <v>41.666666666666671</v>
      </c>
      <c r="D88">
        <f>MAX((Results!D88)/('Result Targets'!D19),0) * 100</f>
        <v>41.666666666666671</v>
      </c>
      <c r="E88">
        <f>MAX((Results!E88)/('Result Targets'!E19),0) * 100</f>
        <v>41.666666666666671</v>
      </c>
      <c r="F88">
        <f>MAX((Results!F88)/('Result Targets'!F19),0) * 100</f>
        <v>41.666666666666671</v>
      </c>
      <c r="G88">
        <f>MAX((Results!G88)/('Result Targets'!G19),0) * 100</f>
        <v>41.666666666666671</v>
      </c>
      <c r="H88">
        <f>MAX((Results!H88)/('Result Targets'!H19),0) * 100</f>
        <v>41.666666666666671</v>
      </c>
      <c r="I88">
        <f>MAX((Results!I88)/('Result Targets'!I19),0) * 100</f>
        <v>41.666666666666671</v>
      </c>
      <c r="J88">
        <f>MAX((Results!J88)/('Result Targets'!J19),0) * 100</f>
        <v>41.666666666666671</v>
      </c>
      <c r="N88" s="9"/>
    </row>
    <row r="89" spans="1:15" hidden="1" x14ac:dyDescent="0.2"/>
    <row r="90" spans="1:15" x14ac:dyDescent="0.2">
      <c r="A90" t="s">
        <v>343</v>
      </c>
      <c r="B90">
        <f>AVERAGE(MIN(B84,100),MIN(B87,100),MIN(B88,100))</f>
        <v>34.722222222222221</v>
      </c>
      <c r="C90">
        <f t="shared" ref="C90:J90" si="14">AVERAGE(MIN(C84,100),MIN(C87,100),MIN(C88,100))</f>
        <v>34.722222222222221</v>
      </c>
      <c r="D90">
        <f t="shared" si="14"/>
        <v>34.277777777777779</v>
      </c>
      <c r="E90">
        <f t="shared" si="14"/>
        <v>34.277777777777779</v>
      </c>
      <c r="F90">
        <f t="shared" si="14"/>
        <v>34.277777777777779</v>
      </c>
      <c r="G90">
        <f t="shared" si="14"/>
        <v>34.277777777777779</v>
      </c>
      <c r="H90">
        <f t="shared" si="14"/>
        <v>34.277777777777779</v>
      </c>
      <c r="I90">
        <f t="shared" si="14"/>
        <v>34.277777777777779</v>
      </c>
      <c r="J90">
        <f t="shared" si="14"/>
        <v>34.277777777777779</v>
      </c>
      <c r="O90" s="5"/>
    </row>
    <row r="92" spans="1:15" x14ac:dyDescent="0.2">
      <c r="A92" s="5" t="s">
        <v>52</v>
      </c>
      <c r="N92" s="5"/>
    </row>
    <row r="93" spans="1:15" x14ac:dyDescent="0.2">
      <c r="A93" t="s">
        <v>1735</v>
      </c>
      <c r="B93">
        <f>MAX((Results!B93)/('Result Targets'!B23),0)*100</f>
        <v>53.846153846153847</v>
      </c>
      <c r="C93">
        <f>MAX((Results!C93)/('Result Targets'!C23),0)*100</f>
        <v>53.846153846153847</v>
      </c>
      <c r="D93">
        <f>MAX((Results!D93)/('Result Targets'!D23),0)*100</f>
        <v>53.846153846153847</v>
      </c>
      <c r="E93">
        <f>MAX((Results!E93)/('Result Targets'!E23),0)*100</f>
        <v>53.846153846153847</v>
      </c>
      <c r="F93">
        <f>MAX((Results!F93)/('Result Targets'!F23),0)*100</f>
        <v>50.769230769230766</v>
      </c>
      <c r="G93">
        <f>MAX((Results!G93)/('Result Targets'!G23),0)*100</f>
        <v>50.769230769230766</v>
      </c>
      <c r="H93">
        <f>MAX((Results!H93)/('Result Targets'!H23),0)*100</f>
        <v>50.769230769230766</v>
      </c>
      <c r="I93">
        <f>MAX((Results!I93)/('Result Targets'!I23),0)*100</f>
        <v>50.769230769230766</v>
      </c>
      <c r="J93">
        <f>MAX((Results!J93)/('Result Targets'!J23),0)*100</f>
        <v>50.769230769230766</v>
      </c>
    </row>
    <row r="94" spans="1:15" x14ac:dyDescent="0.2">
      <c r="A94" t="s">
        <v>1736</v>
      </c>
      <c r="B94">
        <f>MAX((Results!B94)/('Result Targets'!B24),0)*100</f>
        <v>53.333333333333336</v>
      </c>
      <c r="C94">
        <f>MAX((Results!C94)/('Result Targets'!C24),0)*100</f>
        <v>53.333333333333336</v>
      </c>
      <c r="D94">
        <f>MAX((Results!D94)/('Result Targets'!D24),0)*100</f>
        <v>53.333333333333336</v>
      </c>
      <c r="E94">
        <f>MAX((Results!E94)/('Result Targets'!E24),0)*100</f>
        <v>53.333333333333336</v>
      </c>
      <c r="F94">
        <f>MAX((Results!F94)/('Result Targets'!F24),0)*100</f>
        <v>53.333333333333336</v>
      </c>
      <c r="G94">
        <f>MAX((Results!G94)/('Result Targets'!G24),0)*100</f>
        <v>53.333333333333336</v>
      </c>
      <c r="H94">
        <f>MAX((Results!H94)/('Result Targets'!H24),0)*100</f>
        <v>53.333333333333336</v>
      </c>
      <c r="I94">
        <f>MAX((Results!I94)/('Result Targets'!I24),0)*100</f>
        <v>53.333333333333336</v>
      </c>
      <c r="J94">
        <f>MAX((Results!J94)/('Result Targets'!J24),0)*100</f>
        <v>53.333333333333336</v>
      </c>
    </row>
    <row r="95" spans="1:15" hidden="1" x14ac:dyDescent="0.2"/>
    <row r="96" spans="1:15" hidden="1" x14ac:dyDescent="0.2"/>
    <row r="97" spans="1:14" x14ac:dyDescent="0.2">
      <c r="A97" t="s">
        <v>1737</v>
      </c>
      <c r="B97">
        <f>MAX((Results!B97)/('Result Targets'!B27),0)*100</f>
        <v>0</v>
      </c>
      <c r="C97">
        <f>MAX((Results!C97)/('Result Targets'!C27),0)*100</f>
        <v>0</v>
      </c>
      <c r="D97">
        <f>MAX((Results!D97)/('Result Targets'!D27),0)*100</f>
        <v>0</v>
      </c>
      <c r="E97">
        <f>MAX((Results!E97)/('Result Targets'!E27),0)*100</f>
        <v>0</v>
      </c>
      <c r="F97">
        <f>MAX((Results!F97)/('Result Targets'!F27),0)*100</f>
        <v>0</v>
      </c>
      <c r="G97">
        <f>MAX((Results!G97)/('Result Targets'!G27),0)*100</f>
        <v>0</v>
      </c>
      <c r="H97">
        <f>MAX((Results!H97)/('Result Targets'!H27),0)*100</f>
        <v>0</v>
      </c>
      <c r="I97">
        <f>MAX((Results!I97)/('Result Targets'!I27),0)*100</f>
        <v>0</v>
      </c>
      <c r="J97">
        <f>MAX((Results!J97)/('Result Targets'!J27),0)*100</f>
        <v>0</v>
      </c>
    </row>
    <row r="98" spans="1:14" x14ac:dyDescent="0.2">
      <c r="A98" t="s">
        <v>344</v>
      </c>
      <c r="B98">
        <f>AVERAGE(MIN(B93,100),MIN(B94,100),MIN(B97,100))</f>
        <v>35.726495726495727</v>
      </c>
      <c r="C98">
        <f t="shared" ref="C98:J98" si="15">AVERAGE(MIN(C93,100),MIN(C94,100),MIN(C97,100))</f>
        <v>35.726495726495727</v>
      </c>
      <c r="D98">
        <f t="shared" si="15"/>
        <v>35.726495726495727</v>
      </c>
      <c r="E98">
        <f t="shared" si="15"/>
        <v>35.726495726495727</v>
      </c>
      <c r="F98">
        <f t="shared" si="15"/>
        <v>34.700854700854698</v>
      </c>
      <c r="G98">
        <f t="shared" si="15"/>
        <v>34.700854700854698</v>
      </c>
      <c r="H98">
        <f t="shared" si="15"/>
        <v>34.700854700854698</v>
      </c>
      <c r="I98">
        <f t="shared" si="15"/>
        <v>34.700854700854698</v>
      </c>
      <c r="J98">
        <f t="shared" si="15"/>
        <v>34.700854700854698</v>
      </c>
    </row>
    <row r="101" spans="1:14" x14ac:dyDescent="0.2">
      <c r="A101" s="5" t="s">
        <v>53</v>
      </c>
      <c r="N101" s="5"/>
    </row>
    <row r="102" spans="1:14" x14ac:dyDescent="0.2">
      <c r="A102" t="s">
        <v>1738</v>
      </c>
      <c r="B102">
        <f>MAX((Results!B102)/('Result Targets'!B31),0)*100</f>
        <v>41.666666666666671</v>
      </c>
      <c r="C102">
        <f>MAX((Results!C102)/('Result Targets'!C31),0)*100</f>
        <v>40.333333333333329</v>
      </c>
      <c r="D102">
        <f>MAX((Results!D102)/('Result Targets'!D31),0)*100</f>
        <v>40.333333333333329</v>
      </c>
      <c r="E102">
        <f>MAX((Results!E102)/('Result Targets'!E31),0)*100</f>
        <v>40.333333333333329</v>
      </c>
      <c r="F102">
        <f>MAX((Results!F102)/('Result Targets'!F31),0)*100</f>
        <v>40.333333333333329</v>
      </c>
      <c r="G102">
        <f>MAX((Results!G102)/('Result Targets'!G31),0)*100</f>
        <v>40.333333333333329</v>
      </c>
      <c r="H102">
        <f>MAX((Results!H102)/('Result Targets'!H31),0)*100</f>
        <v>40.333333333333329</v>
      </c>
      <c r="I102">
        <f>MAX((Results!I102)/('Result Targets'!I31),0)*100</f>
        <v>40.333333333333329</v>
      </c>
      <c r="J102">
        <f>MAX((Results!J102)/('Result Targets'!J31),0)*100</f>
        <v>40.333333333333329</v>
      </c>
    </row>
    <row r="103" spans="1:14" x14ac:dyDescent="0.2">
      <c r="A103" t="s">
        <v>1739</v>
      </c>
      <c r="B103">
        <f>MAX((Results!B103)/('Result Targets'!B32),0)*100</f>
        <v>50</v>
      </c>
      <c r="C103">
        <f>MAX((Results!C103)/('Result Targets'!C32),0)*100</f>
        <v>48.666666666666664</v>
      </c>
      <c r="D103">
        <f>MAX((Results!D103)/('Result Targets'!D32),0)*100</f>
        <v>48.666666666666664</v>
      </c>
      <c r="E103">
        <f>MAX((Results!E103)/('Result Targets'!E32),0)*100</f>
        <v>48.666666666666664</v>
      </c>
      <c r="F103">
        <f>MAX((Results!F103)/('Result Targets'!F32),0)*100</f>
        <v>48.666666666666664</v>
      </c>
      <c r="G103">
        <f>MAX((Results!G103)/('Result Targets'!G32),0)*100</f>
        <v>48.666666666666664</v>
      </c>
      <c r="H103">
        <f>MAX((Results!H103)/('Result Targets'!H32),0)*100</f>
        <v>48.666666666666664</v>
      </c>
      <c r="I103">
        <f>MAX((Results!I103)/('Result Targets'!I32),0)*100</f>
        <v>48.666666666666664</v>
      </c>
      <c r="J103">
        <f>MAX((Results!J103)/('Result Targets'!J32),0)*100</f>
        <v>48.666666666666664</v>
      </c>
    </row>
    <row r="104" spans="1:14" x14ac:dyDescent="0.2">
      <c r="A104" t="s">
        <v>1741</v>
      </c>
      <c r="B104">
        <f>MAX((Results!B104)/('Result Targets'!B33),0)*100</f>
        <v>30.76923076923077</v>
      </c>
      <c r="C104">
        <f>MAX((Results!C104)/('Result Targets'!C33),0)*100</f>
        <v>30.76923076923077</v>
      </c>
      <c r="D104">
        <f>MAX((Results!D104)/('Result Targets'!D33),0)*100</f>
        <v>30.76923076923077</v>
      </c>
      <c r="E104">
        <f>MAX((Results!E104)/('Result Targets'!E33),0)*100</f>
        <v>30.76923076923077</v>
      </c>
      <c r="F104">
        <f>MAX((Results!F104)/('Result Targets'!F33),0)*100</f>
        <v>30.76923076923077</v>
      </c>
      <c r="G104">
        <f>MAX((Results!G104)/('Result Targets'!G33),0)*100</f>
        <v>28.307692307692307</v>
      </c>
      <c r="H104">
        <f>MAX((Results!H104)/('Result Targets'!H33),0)*100</f>
        <v>28.307692307692307</v>
      </c>
      <c r="I104">
        <f>MAX((Results!I104)/('Result Targets'!I33),0)*100</f>
        <v>28.307692307692307</v>
      </c>
      <c r="J104">
        <f>MAX((Results!J104)/('Result Targets'!J33),0)*100</f>
        <v>28.307692307692307</v>
      </c>
    </row>
    <row r="105" spans="1:14" x14ac:dyDescent="0.2">
      <c r="A105" t="s">
        <v>1297</v>
      </c>
      <c r="B105">
        <f>AVERAGE(MIN(B102,100),MIN(B103,100),MIN(B104,100))</f>
        <v>40.811965811965813</v>
      </c>
      <c r="C105">
        <f t="shared" ref="C105:J105" si="16">AVERAGE(MIN(C102,100),MIN(C103,100),MIN(C104,100))</f>
        <v>39.923076923076927</v>
      </c>
      <c r="D105">
        <f t="shared" si="16"/>
        <v>39.923076923076927</v>
      </c>
      <c r="E105">
        <f t="shared" si="16"/>
        <v>39.923076923076927</v>
      </c>
      <c r="F105">
        <f t="shared" si="16"/>
        <v>39.923076923076927</v>
      </c>
      <c r="G105">
        <f t="shared" si="16"/>
        <v>39.102564102564102</v>
      </c>
      <c r="H105">
        <f t="shared" si="16"/>
        <v>39.102564102564102</v>
      </c>
      <c r="I105">
        <f t="shared" si="16"/>
        <v>39.102564102564102</v>
      </c>
      <c r="J105">
        <f t="shared" si="16"/>
        <v>39.102564102564102</v>
      </c>
    </row>
    <row r="108" spans="1:14" x14ac:dyDescent="0.2">
      <c r="A108" s="14" t="s">
        <v>64</v>
      </c>
    </row>
    <row r="109" spans="1:14" x14ac:dyDescent="0.2">
      <c r="A109" t="s">
        <v>65</v>
      </c>
      <c r="B109">
        <f t="shared" ref="B109:J109" si="17">EcEnabled*COUNTIF(B73:B77,"&gt;=100")+EnvEnabled*COUNTIF(B84:B88,"&gt;=100")+DefEnabled*COUNTIF(B93:B97,"&gt;=100")+EduEnabled*COUNTIF(B102:B104,"&gt;=100")</f>
        <v>0</v>
      </c>
      <c r="C109">
        <f t="shared" si="17"/>
        <v>0</v>
      </c>
      <c r="D109">
        <f t="shared" si="17"/>
        <v>0</v>
      </c>
      <c r="E109">
        <f t="shared" si="17"/>
        <v>0</v>
      </c>
      <c r="F109">
        <f t="shared" si="17"/>
        <v>0</v>
      </c>
      <c r="G109">
        <f t="shared" si="17"/>
        <v>0</v>
      </c>
      <c r="H109">
        <f t="shared" si="17"/>
        <v>0</v>
      </c>
      <c r="I109">
        <f t="shared" si="17"/>
        <v>0</v>
      </c>
      <c r="J109">
        <f t="shared" si="17"/>
        <v>0</v>
      </c>
    </row>
    <row r="110" spans="1:14" x14ac:dyDescent="0.2">
      <c r="A110" t="s">
        <v>66</v>
      </c>
      <c r="B110">
        <f t="shared" ref="B110:J110" si="18">EcEnabled*COUNTIF(B73:B77,"&gt;=80")+EnvEnabled*COUNTIF(B84:B88,"&gt;=80")+DefEnabled*COUNTIF(B93:B97,"&gt;=80")+EduEnabled*COUNTIF(B102:B104,"&gt;=80")-B109</f>
        <v>0</v>
      </c>
      <c r="C110">
        <f t="shared" si="18"/>
        <v>0</v>
      </c>
      <c r="D110">
        <f t="shared" si="18"/>
        <v>0</v>
      </c>
      <c r="E110">
        <f t="shared" si="18"/>
        <v>0</v>
      </c>
      <c r="F110">
        <f t="shared" si="18"/>
        <v>0</v>
      </c>
      <c r="G110">
        <f t="shared" si="18"/>
        <v>0</v>
      </c>
      <c r="H110">
        <f t="shared" si="18"/>
        <v>0</v>
      </c>
      <c r="I110">
        <f t="shared" si="18"/>
        <v>0</v>
      </c>
      <c r="J110">
        <f t="shared" si="18"/>
        <v>0</v>
      </c>
    </row>
    <row r="111" spans="1:14" x14ac:dyDescent="0.2">
      <c r="A111" t="s">
        <v>67</v>
      </c>
      <c r="B111">
        <f t="shared" ref="B111:J111" si="19">EcEnabled*COUNTIF(B73:B77,"&lt;80")+EnvEnabled*COUNTIF(B84:B88,"&lt;80")+DefEnabled*COUNTIF(B93:B97,"&lt;80")+EduEnabled*COUNTIF(B102:B104,"&lt;80")</f>
        <v>12</v>
      </c>
      <c r="C111">
        <f t="shared" si="19"/>
        <v>12</v>
      </c>
      <c r="D111">
        <f t="shared" si="19"/>
        <v>12</v>
      </c>
      <c r="E111">
        <f t="shared" si="19"/>
        <v>12</v>
      </c>
      <c r="F111">
        <f t="shared" si="19"/>
        <v>12</v>
      </c>
      <c r="G111">
        <f t="shared" si="19"/>
        <v>12</v>
      </c>
      <c r="H111">
        <f t="shared" si="19"/>
        <v>12</v>
      </c>
      <c r="I111">
        <f t="shared" si="19"/>
        <v>12</v>
      </c>
      <c r="J111">
        <f t="shared" si="19"/>
        <v>12</v>
      </c>
    </row>
    <row r="112" spans="1:14" x14ac:dyDescent="0.2">
      <c r="A112" t="s">
        <v>1740</v>
      </c>
      <c r="B112">
        <f t="shared" ref="B112:J112" si="20">(B78*EcEnabled + B90*EnvEnabled + B98*DefEnabled + B105*EduEnabled) / MAX(EcEnabled+EnvEnabled+DefEnabled+EduEnabled, 1)</f>
        <v>34.065170940170944</v>
      </c>
      <c r="C112">
        <f t="shared" si="20"/>
        <v>33.487393162393161</v>
      </c>
      <c r="D112">
        <f t="shared" si="20"/>
        <v>33.376282051282054</v>
      </c>
      <c r="E112">
        <f t="shared" si="20"/>
        <v>33.376282051282054</v>
      </c>
      <c r="F112">
        <f t="shared" si="20"/>
        <v>33.119871794871798</v>
      </c>
      <c r="G112">
        <f t="shared" si="20"/>
        <v>32.914743589743594</v>
      </c>
      <c r="H112">
        <f t="shared" si="20"/>
        <v>32.914743589743594</v>
      </c>
      <c r="I112">
        <f t="shared" si="20"/>
        <v>32.914743589743594</v>
      </c>
      <c r="J112">
        <f t="shared" si="20"/>
        <v>32.914743589743594</v>
      </c>
      <c r="L112" t="s">
        <v>1303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0D5C-AEA0-434D-AAD1-8E3DDACA8DF7}">
  <dimension ref="A1:W104"/>
  <sheetViews>
    <sheetView tabSelected="1" workbookViewId="0">
      <pane xSplit="1" ySplit="62" topLeftCell="B71" activePane="bottomRight" state="frozen"/>
      <selection pane="topRight" activeCell="B1" sqref="B1"/>
      <selection pane="bottomLeft" activeCell="A63" sqref="A63"/>
      <selection pane="bottomRight" activeCell="H107" sqref="H107"/>
    </sheetView>
  </sheetViews>
  <sheetFormatPr baseColWidth="10" defaultColWidth="11.5" defaultRowHeight="15" x14ac:dyDescent="0.2"/>
  <cols>
    <col min="1" max="1" width="32.5" customWidth="1"/>
    <col min="2" max="8" width="15.1640625" customWidth="1"/>
    <col min="11" max="13" width="13.1640625" bestFit="1" customWidth="1"/>
    <col min="14" max="17" width="12.83203125" customWidth="1"/>
  </cols>
  <sheetData>
    <row r="1" spans="2:23" x14ac:dyDescent="0.2">
      <c r="B1" s="15" t="s">
        <v>1446</v>
      </c>
      <c r="K1" s="15" t="s">
        <v>1445</v>
      </c>
      <c r="S1" s="15" t="s">
        <v>1439</v>
      </c>
    </row>
    <row r="2" spans="2:23" x14ac:dyDescent="0.2">
      <c r="B2" t="s">
        <v>1306</v>
      </c>
      <c r="C2" t="s">
        <v>1307</v>
      </c>
      <c r="D2" t="s">
        <v>1305</v>
      </c>
      <c r="E2" t="s">
        <v>1304</v>
      </c>
      <c r="F2" t="s">
        <v>1308</v>
      </c>
      <c r="G2" t="s">
        <v>1310</v>
      </c>
      <c r="H2" t="s">
        <v>1309</v>
      </c>
      <c r="K2" t="s">
        <v>1306</v>
      </c>
      <c r="L2" t="s">
        <v>1307</v>
      </c>
      <c r="M2" t="s">
        <v>1305</v>
      </c>
      <c r="N2" t="s">
        <v>1304</v>
      </c>
      <c r="O2" t="s">
        <v>1308</v>
      </c>
      <c r="P2" t="s">
        <v>1310</v>
      </c>
      <c r="Q2" t="s">
        <v>1309</v>
      </c>
      <c r="S2" s="15" t="s">
        <v>1440</v>
      </c>
      <c r="T2">
        <v>0</v>
      </c>
      <c r="U2">
        <v>1</v>
      </c>
      <c r="V2">
        <v>2</v>
      </c>
      <c r="W2">
        <v>3</v>
      </c>
    </row>
    <row r="3" spans="2:23" hidden="1" x14ac:dyDescent="0.2"/>
    <row r="4" spans="2:23" hidden="1" x14ac:dyDescent="0.2"/>
    <row r="5" spans="2:23" hidden="1" x14ac:dyDescent="0.2"/>
    <row r="6" spans="2:23" hidden="1" x14ac:dyDescent="0.2"/>
    <row r="7" spans="2:23" hidden="1" x14ac:dyDescent="0.2"/>
    <row r="8" spans="2:23" hidden="1" x14ac:dyDescent="0.2"/>
    <row r="9" spans="2:23" hidden="1" x14ac:dyDescent="0.2"/>
    <row r="10" spans="2:23" hidden="1" x14ac:dyDescent="0.2"/>
    <row r="11" spans="2:23" hidden="1" x14ac:dyDescent="0.2"/>
    <row r="12" spans="2:23" hidden="1" x14ac:dyDescent="0.2"/>
    <row r="13" spans="2:23" hidden="1" x14ac:dyDescent="0.2"/>
    <row r="14" spans="2:23" hidden="1" x14ac:dyDescent="0.2"/>
    <row r="15" spans="2:23" hidden="1" x14ac:dyDescent="0.2"/>
    <row r="16" spans="2:23" hidden="1" x14ac:dyDescent="0.2"/>
    <row r="17" spans="8:17" hidden="1" x14ac:dyDescent="0.2"/>
    <row r="18" spans="8:17" hidden="1" x14ac:dyDescent="0.2"/>
    <row r="19" spans="8:17" hidden="1" x14ac:dyDescent="0.2"/>
    <row r="20" spans="8:17" hidden="1" x14ac:dyDescent="0.2"/>
    <row r="21" spans="8:17" hidden="1" x14ac:dyDescent="0.2"/>
    <row r="22" spans="8:17" hidden="1" x14ac:dyDescent="0.2"/>
    <row r="23" spans="8:17" hidden="1" x14ac:dyDescent="0.2"/>
    <row r="24" spans="8:17" hidden="1" x14ac:dyDescent="0.2"/>
    <row r="25" spans="8:17" hidden="1" x14ac:dyDescent="0.2"/>
    <row r="26" spans="8:17" hidden="1" x14ac:dyDescent="0.2"/>
    <row r="27" spans="8:17" hidden="1" x14ac:dyDescent="0.2">
      <c r="H27" s="16"/>
      <c r="K27" s="16"/>
      <c r="Q27" s="16"/>
    </row>
    <row r="28" spans="8:17" hidden="1" x14ac:dyDescent="0.2">
      <c r="H28" s="16"/>
      <c r="K28" s="16"/>
      <c r="Q28" s="16"/>
    </row>
    <row r="29" spans="8:17" hidden="1" x14ac:dyDescent="0.2">
      <c r="H29" s="16"/>
      <c r="K29" s="16"/>
      <c r="Q29" s="16"/>
    </row>
    <row r="30" spans="8:17" hidden="1" x14ac:dyDescent="0.2">
      <c r="H30" s="16"/>
      <c r="K30" s="16"/>
      <c r="Q30" s="16"/>
    </row>
    <row r="31" spans="8:17" hidden="1" x14ac:dyDescent="0.2">
      <c r="H31" s="16"/>
      <c r="K31" s="16"/>
      <c r="Q31" s="16"/>
    </row>
    <row r="32" spans="8:17" hidden="1" x14ac:dyDescent="0.2">
      <c r="H32" s="16"/>
      <c r="K32" s="16"/>
      <c r="Q32" s="16"/>
    </row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23" hidden="1" x14ac:dyDescent="0.2"/>
    <row r="50" spans="1:23" hidden="1" x14ac:dyDescent="0.2"/>
    <row r="51" spans="1:23" hidden="1" x14ac:dyDescent="0.2"/>
    <row r="52" spans="1:23" hidden="1" x14ac:dyDescent="0.2"/>
    <row r="53" spans="1:23" hidden="1" x14ac:dyDescent="0.2"/>
    <row r="54" spans="1:23" hidden="1" x14ac:dyDescent="0.2"/>
    <row r="55" spans="1:23" hidden="1" x14ac:dyDescent="0.2"/>
    <row r="56" spans="1:23" hidden="1" x14ac:dyDescent="0.2"/>
    <row r="57" spans="1:23" hidden="1" x14ac:dyDescent="0.2"/>
    <row r="58" spans="1:23" hidden="1" x14ac:dyDescent="0.2"/>
    <row r="59" spans="1:23" hidden="1" x14ac:dyDescent="0.2"/>
    <row r="60" spans="1:23" hidden="1" x14ac:dyDescent="0.2"/>
    <row r="61" spans="1:23" hidden="1" x14ac:dyDescent="0.2"/>
    <row r="62" spans="1:23" hidden="1" x14ac:dyDescent="0.2"/>
    <row r="63" spans="1:23" x14ac:dyDescent="0.2">
      <c r="A63" s="5" t="s">
        <v>45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S63" s="15" t="s">
        <v>1441</v>
      </c>
      <c r="T63">
        <v>0</v>
      </c>
      <c r="U63" s="8">
        <v>10000000</v>
      </c>
      <c r="V63" s="8">
        <v>20000000</v>
      </c>
      <c r="W63" s="8">
        <v>40000000</v>
      </c>
    </row>
    <row r="64" spans="1:23" x14ac:dyDescent="0.2">
      <c r="A64" t="s">
        <v>1292</v>
      </c>
      <c r="B64">
        <f>H64*-0.8</f>
        <v>-2.4000000000000004</v>
      </c>
      <c r="C64">
        <f>G64*-0.8</f>
        <v>-1.6</v>
      </c>
      <c r="D64">
        <f>F64*-0.8</f>
        <v>-0.8</v>
      </c>
      <c r="E64">
        <v>0</v>
      </c>
      <c r="F64">
        <v>1</v>
      </c>
      <c r="G64">
        <v>2</v>
      </c>
      <c r="H64">
        <v>3</v>
      </c>
      <c r="K64">
        <f t="shared" ref="K64:K69" si="0">(Q64*-1)*0.6</f>
        <v>-0.36</v>
      </c>
      <c r="L64">
        <f t="shared" ref="L64:L69" si="1">(P64*-1)*0.6</f>
        <v>-0.26999999999999996</v>
      </c>
      <c r="M64">
        <f t="shared" ref="M64:M69" si="2">(O64*-1)*0.6</f>
        <v>-0.18</v>
      </c>
      <c r="N64">
        <v>0</v>
      </c>
      <c r="O64">
        <v>0.3</v>
      </c>
      <c r="P64">
        <v>0.44999999999999996</v>
      </c>
      <c r="Q64">
        <v>0.6</v>
      </c>
    </row>
    <row r="65" spans="1:17" x14ac:dyDescent="0.2">
      <c r="A65" t="s">
        <v>47</v>
      </c>
      <c r="B65">
        <f>H65*-0.8</f>
        <v>-2.4000000000000004</v>
      </c>
      <c r="C65">
        <f>G65*-0.8</f>
        <v>-1.6</v>
      </c>
      <c r="D65">
        <f>F65*-0.8</f>
        <v>-0.8</v>
      </c>
      <c r="E65">
        <v>0</v>
      </c>
      <c r="F65">
        <v>1</v>
      </c>
      <c r="G65">
        <v>2</v>
      </c>
      <c r="H65">
        <v>3</v>
      </c>
      <c r="K65">
        <f t="shared" si="0"/>
        <v>-0.53999999999999992</v>
      </c>
      <c r="L65">
        <f t="shared" si="1"/>
        <v>-0.36</v>
      </c>
      <c r="M65">
        <f t="shared" si="2"/>
        <v>-0.18</v>
      </c>
      <c r="N65">
        <v>0</v>
      </c>
      <c r="O65">
        <v>0.3</v>
      </c>
      <c r="P65">
        <v>0.6</v>
      </c>
      <c r="Q65">
        <v>0.89999999999999991</v>
      </c>
    </row>
    <row r="66" spans="1:17" x14ac:dyDescent="0.2">
      <c r="A66" t="s">
        <v>1293</v>
      </c>
      <c r="B66">
        <f>H66*-0.8</f>
        <v>-4.8000000000000007</v>
      </c>
      <c r="C66">
        <f>G66*-0.8</f>
        <v>-3.2</v>
      </c>
      <c r="D66">
        <f>F66*-0.8</f>
        <v>-1.6</v>
      </c>
      <c r="E66">
        <v>0</v>
      </c>
      <c r="F66">
        <v>2</v>
      </c>
      <c r="G66">
        <v>4</v>
      </c>
      <c r="H66">
        <v>6</v>
      </c>
      <c r="K66">
        <f t="shared" si="0"/>
        <v>-1.0799999999999998</v>
      </c>
      <c r="L66">
        <f t="shared" si="1"/>
        <v>-0.72</v>
      </c>
      <c r="M66">
        <f t="shared" si="2"/>
        <v>-0.36</v>
      </c>
      <c r="N66">
        <v>0</v>
      </c>
      <c r="O66">
        <v>0.6</v>
      </c>
      <c r="P66">
        <v>1.2</v>
      </c>
      <c r="Q66">
        <v>1.7999999999999998</v>
      </c>
    </row>
    <row r="67" spans="1:17" x14ac:dyDescent="0.2">
      <c r="A67" t="s">
        <v>48</v>
      </c>
      <c r="B67">
        <f>H67*-0.8</f>
        <v>-4.8000000000000007</v>
      </c>
      <c r="C67">
        <f>G67*-0.8</f>
        <v>-3.2</v>
      </c>
      <c r="D67">
        <f>F67*-0.8</f>
        <v>-1.6</v>
      </c>
      <c r="E67">
        <v>0</v>
      </c>
      <c r="F67">
        <v>2</v>
      </c>
      <c r="G67">
        <v>4</v>
      </c>
      <c r="H67">
        <v>6</v>
      </c>
      <c r="K67">
        <f t="shared" si="0"/>
        <v>-1.0799999999999998</v>
      </c>
      <c r="L67">
        <f t="shared" si="1"/>
        <v>-0.72</v>
      </c>
      <c r="M67">
        <f t="shared" si="2"/>
        <v>-0.36</v>
      </c>
      <c r="N67">
        <v>0</v>
      </c>
      <c r="O67">
        <v>0.6</v>
      </c>
      <c r="P67">
        <v>1.2</v>
      </c>
      <c r="Q67">
        <v>1.7999999999999998</v>
      </c>
    </row>
    <row r="68" spans="1:17" x14ac:dyDescent="0.2">
      <c r="A68" t="s">
        <v>49</v>
      </c>
      <c r="B68">
        <f>H68*-0.8</f>
        <v>-4.8000000000000007</v>
      </c>
      <c r="C68">
        <f>G68*-0.8</f>
        <v>-3.2</v>
      </c>
      <c r="D68">
        <f>F68*-0.8</f>
        <v>-1.6</v>
      </c>
      <c r="E68">
        <v>0</v>
      </c>
      <c r="F68">
        <v>2</v>
      </c>
      <c r="G68">
        <v>4</v>
      </c>
      <c r="H68">
        <v>6</v>
      </c>
      <c r="K68">
        <f t="shared" si="0"/>
        <v>-0.72</v>
      </c>
      <c r="L68">
        <f t="shared" si="1"/>
        <v>-0.53999999999999992</v>
      </c>
      <c r="M68">
        <f t="shared" si="2"/>
        <v>-0.36</v>
      </c>
      <c r="N68">
        <v>0</v>
      </c>
      <c r="O68">
        <v>0.6</v>
      </c>
      <c r="P68">
        <v>0.89999999999999991</v>
      </c>
      <c r="Q68">
        <v>1.2</v>
      </c>
    </row>
    <row r="69" spans="1:17" x14ac:dyDescent="0.2">
      <c r="A69" t="s">
        <v>50</v>
      </c>
      <c r="B69">
        <f>H69*-0.8</f>
        <v>-4.8000000000000007</v>
      </c>
      <c r="C69">
        <f>G69*-0.8</f>
        <v>-3.2</v>
      </c>
      <c r="D69">
        <f>F69*-0.8</f>
        <v>-1.6</v>
      </c>
      <c r="E69">
        <v>0</v>
      </c>
      <c r="F69">
        <v>2</v>
      </c>
      <c r="G69">
        <v>4</v>
      </c>
      <c r="H69">
        <v>6</v>
      </c>
      <c r="K69">
        <f t="shared" si="0"/>
        <v>-0.72</v>
      </c>
      <c r="L69">
        <f t="shared" si="1"/>
        <v>-0.53999999999999992</v>
      </c>
      <c r="M69">
        <f t="shared" si="2"/>
        <v>-0.36</v>
      </c>
      <c r="N69">
        <v>0</v>
      </c>
      <c r="O69">
        <v>0.6</v>
      </c>
      <c r="P69">
        <v>0.89999999999999991</v>
      </c>
      <c r="Q69">
        <v>1.2</v>
      </c>
    </row>
    <row r="72" spans="1:17" x14ac:dyDescent="0.2">
      <c r="A72" s="5" t="s">
        <v>44</v>
      </c>
    </row>
    <row r="73" spans="1:17" x14ac:dyDescent="0.2">
      <c r="A73" t="s">
        <v>55</v>
      </c>
      <c r="B73">
        <f>H73*-0.8</f>
        <v>-0.8</v>
      </c>
      <c r="C73">
        <f>G73*-0.8</f>
        <v>-0.60000000000000009</v>
      </c>
      <c r="D73">
        <f>F73*-0.8</f>
        <v>-0.32000000000000006</v>
      </c>
      <c r="E73">
        <v>0</v>
      </c>
      <c r="F73">
        <v>0.4</v>
      </c>
      <c r="G73">
        <v>0.75</v>
      </c>
      <c r="H73">
        <v>1</v>
      </c>
      <c r="K73">
        <f>(Q73*-1)*0.6</f>
        <v>-0.216</v>
      </c>
      <c r="L73">
        <f>(P73*-1)*0.6</f>
        <v>-0.14399999999999999</v>
      </c>
      <c r="M73">
        <f>(O73*-1)*0.6</f>
        <v>-7.1999999999999995E-2</v>
      </c>
      <c r="N73">
        <v>0</v>
      </c>
      <c r="O73">
        <v>0.12</v>
      </c>
      <c r="P73">
        <v>0.24</v>
      </c>
      <c r="Q73">
        <v>0.36</v>
      </c>
    </row>
    <row r="74" spans="1:17" x14ac:dyDescent="0.2">
      <c r="A74" s="9" t="s">
        <v>1964</v>
      </c>
      <c r="B74">
        <f>H74*-0.8</f>
        <v>-4800000000</v>
      </c>
      <c r="C74">
        <f>G74*-0.8</f>
        <v>-3200000000</v>
      </c>
      <c r="D74">
        <f>F74*-0.8</f>
        <v>-1600000000</v>
      </c>
      <c r="E74">
        <v>0</v>
      </c>
      <c r="F74" s="8">
        <v>2000000000</v>
      </c>
      <c r="G74" s="8">
        <v>4000000000</v>
      </c>
      <c r="H74" s="8">
        <v>6000000000</v>
      </c>
      <c r="K74">
        <f>(Q74*-1)*0.6</f>
        <v>-2160000000</v>
      </c>
      <c r="L74">
        <f>(P74*-1)*0.6</f>
        <v>-1440000000</v>
      </c>
      <c r="M74">
        <f>(O74*-1)*0.6</f>
        <v>-720000000</v>
      </c>
      <c r="N74">
        <v>0</v>
      </c>
      <c r="O74">
        <v>1200000000</v>
      </c>
      <c r="P74">
        <v>2400000000</v>
      </c>
      <c r="Q74">
        <v>3600000000</v>
      </c>
    </row>
    <row r="75" spans="1:17" x14ac:dyDescent="0.2">
      <c r="A75" t="s">
        <v>1311</v>
      </c>
      <c r="B75">
        <f>H75*-0.8</f>
        <v>-60000</v>
      </c>
      <c r="C75">
        <f>G75*-0.8</f>
        <v>-40000</v>
      </c>
      <c r="D75">
        <f>F75*-0.8</f>
        <v>-20000</v>
      </c>
      <c r="E75">
        <v>0</v>
      </c>
      <c r="F75" s="8">
        <v>25000</v>
      </c>
      <c r="G75" s="8">
        <v>50000</v>
      </c>
      <c r="H75" s="8">
        <v>75000</v>
      </c>
      <c r="J75" s="15"/>
      <c r="K75">
        <f>(Q75*-1)*0.6</f>
        <v>-54000</v>
      </c>
      <c r="L75">
        <f>(P75*-1)*0.6</f>
        <v>-54000</v>
      </c>
      <c r="M75">
        <f>(O75*-1)*0.6</f>
        <v>-18000</v>
      </c>
      <c r="N75">
        <v>0</v>
      </c>
      <c r="O75">
        <v>30000</v>
      </c>
      <c r="P75">
        <v>90000</v>
      </c>
      <c r="Q75">
        <v>90000</v>
      </c>
    </row>
    <row r="76" spans="1:17" x14ac:dyDescent="0.2">
      <c r="A76" t="s">
        <v>1312</v>
      </c>
      <c r="B76">
        <f>H76*-0.8</f>
        <v>-120000</v>
      </c>
      <c r="C76">
        <f>G76*-0.8</f>
        <v>-80000</v>
      </c>
      <c r="D76">
        <f>F76*-0.8</f>
        <v>-40000</v>
      </c>
      <c r="E76">
        <v>0</v>
      </c>
      <c r="F76" s="8">
        <v>50000</v>
      </c>
      <c r="G76" s="8">
        <v>100000</v>
      </c>
      <c r="H76" s="8">
        <v>150000</v>
      </c>
      <c r="J76" s="15"/>
      <c r="K76">
        <f>(Q76*-1)*0.6</f>
        <v>-54000</v>
      </c>
      <c r="L76">
        <f>(P76*-1)*0.6</f>
        <v>-36000</v>
      </c>
      <c r="M76">
        <f>(O76*-1)*0.6</f>
        <v>-18000</v>
      </c>
      <c r="N76">
        <v>0</v>
      </c>
      <c r="O76">
        <v>30000</v>
      </c>
      <c r="P76">
        <v>60000</v>
      </c>
      <c r="Q76">
        <v>90000</v>
      </c>
    </row>
    <row r="77" spans="1:17" x14ac:dyDescent="0.2">
      <c r="A77" t="s">
        <v>54</v>
      </c>
      <c r="B77" s="18" t="s">
        <v>1319</v>
      </c>
      <c r="C77" s="18" t="s">
        <v>1319</v>
      </c>
      <c r="D77" s="18" t="s">
        <v>1319</v>
      </c>
      <c r="E77" s="19" t="s">
        <v>1319</v>
      </c>
      <c r="F77" s="19" t="s">
        <v>1319</v>
      </c>
      <c r="G77" s="19" t="s">
        <v>1319</v>
      </c>
      <c r="H77" s="19" t="s">
        <v>1319</v>
      </c>
      <c r="J77" s="15"/>
      <c r="K77" s="18" t="s">
        <v>1319</v>
      </c>
      <c r="L77" s="18" t="s">
        <v>1319</v>
      </c>
      <c r="M77" s="18" t="s">
        <v>1319</v>
      </c>
      <c r="N77" s="18" t="s">
        <v>1319</v>
      </c>
      <c r="O77" s="18" t="s">
        <v>1319</v>
      </c>
      <c r="P77" s="18" t="s">
        <v>1319</v>
      </c>
      <c r="Q77" s="18" t="s">
        <v>1319</v>
      </c>
    </row>
    <row r="78" spans="1:17" hidden="1" x14ac:dyDescent="0.2">
      <c r="B78">
        <f t="shared" ref="B65:B104" si="3">H78*-1</f>
        <v>-5</v>
      </c>
      <c r="C78">
        <f t="shared" ref="C65:C104" si="4">G78*-1</f>
        <v>-3</v>
      </c>
      <c r="D78">
        <f t="shared" ref="D65:D104" si="5">F78*-1</f>
        <v>-1</v>
      </c>
      <c r="E78">
        <v>0</v>
      </c>
      <c r="F78">
        <v>1</v>
      </c>
      <c r="G78">
        <v>3</v>
      </c>
      <c r="H78">
        <v>5</v>
      </c>
      <c r="K78">
        <f>(Q78*-1)*0.6</f>
        <v>-1.7999999999999998</v>
      </c>
      <c r="L78">
        <f>(P78*-1)*0.6</f>
        <v>-1.0799999999999998</v>
      </c>
      <c r="M78">
        <f>(O78*-1)*0.6</f>
        <v>-0.36</v>
      </c>
      <c r="N78">
        <v>0</v>
      </c>
      <c r="O78">
        <v>0.6</v>
      </c>
      <c r="P78">
        <v>1.7999999999999998</v>
      </c>
      <c r="Q78">
        <v>3</v>
      </c>
    </row>
    <row r="81" spans="1:17" x14ac:dyDescent="0.2">
      <c r="A81" s="5" t="s">
        <v>51</v>
      </c>
    </row>
    <row r="82" spans="1:17" x14ac:dyDescent="0.2">
      <c r="A82" s="17" t="s">
        <v>1313</v>
      </c>
      <c r="B82" s="18" t="s">
        <v>1319</v>
      </c>
      <c r="C82" s="18" t="s">
        <v>1319</v>
      </c>
      <c r="D82" s="18" t="s">
        <v>1319</v>
      </c>
      <c r="E82" s="18" t="s">
        <v>1319</v>
      </c>
      <c r="F82" s="18" t="s">
        <v>1319</v>
      </c>
      <c r="G82" s="18" t="s">
        <v>1319</v>
      </c>
      <c r="H82" s="18" t="s">
        <v>1319</v>
      </c>
      <c r="K82" s="18" t="s">
        <v>1319</v>
      </c>
      <c r="L82" s="18" t="s">
        <v>1319</v>
      </c>
      <c r="M82" s="18" t="s">
        <v>1319</v>
      </c>
      <c r="N82" s="18" t="s">
        <v>1319</v>
      </c>
      <c r="O82" s="18" t="s">
        <v>1319</v>
      </c>
      <c r="P82" s="18" t="s">
        <v>1319</v>
      </c>
      <c r="Q82" s="18" t="s">
        <v>1319</v>
      </c>
    </row>
    <row r="83" spans="1:17" x14ac:dyDescent="0.2">
      <c r="A83" s="17" t="s">
        <v>1314</v>
      </c>
      <c r="B83" s="18" t="s">
        <v>1319</v>
      </c>
      <c r="C83" s="18" t="s">
        <v>1319</v>
      </c>
      <c r="D83" s="18" t="s">
        <v>1319</v>
      </c>
      <c r="E83" s="18" t="s">
        <v>1319</v>
      </c>
      <c r="F83" s="18" t="s">
        <v>1319</v>
      </c>
      <c r="G83" s="18" t="s">
        <v>1319</v>
      </c>
      <c r="H83" s="18" t="s">
        <v>1319</v>
      </c>
      <c r="K83" s="18" t="s">
        <v>1319</v>
      </c>
      <c r="L83" s="18" t="s">
        <v>1319</v>
      </c>
      <c r="M83" s="18" t="s">
        <v>1319</v>
      </c>
      <c r="N83" s="18" t="s">
        <v>1319</v>
      </c>
      <c r="O83" s="18" t="s">
        <v>1319</v>
      </c>
      <c r="P83" s="18" t="s">
        <v>1319</v>
      </c>
      <c r="Q83" s="18" t="s">
        <v>1319</v>
      </c>
    </row>
    <row r="84" spans="1:17" x14ac:dyDescent="0.2">
      <c r="A84" s="17" t="s">
        <v>1725</v>
      </c>
      <c r="B84">
        <f>H84*-0.8</f>
        <v>-3.2</v>
      </c>
      <c r="C84">
        <f>G84*-0.8</f>
        <v>-1.6</v>
      </c>
      <c r="D84">
        <f>F84*-0.8</f>
        <v>-0.8</v>
      </c>
      <c r="E84">
        <v>0</v>
      </c>
      <c r="F84">
        <v>1</v>
      </c>
      <c r="G84">
        <v>2</v>
      </c>
      <c r="H84">
        <v>4</v>
      </c>
      <c r="K84">
        <f>(Q84*-1)*0.6</f>
        <v>-1.44</v>
      </c>
      <c r="L84">
        <f>(P84*-1)*0.6</f>
        <v>-0.72</v>
      </c>
      <c r="M84">
        <f>(O84*-1)*0.6</f>
        <v>-0.36</v>
      </c>
      <c r="N84">
        <v>0</v>
      </c>
      <c r="O84">
        <v>0.6</v>
      </c>
      <c r="P84">
        <v>1.2</v>
      </c>
      <c r="Q84">
        <v>2.4</v>
      </c>
    </row>
    <row r="85" spans="1:17" x14ac:dyDescent="0.2">
      <c r="A85" s="9" t="s">
        <v>1315</v>
      </c>
      <c r="B85">
        <f>H85*-0.8</f>
        <v>-4.8000000000000007</v>
      </c>
      <c r="C85">
        <f>G85*-0.8</f>
        <v>-3.2</v>
      </c>
      <c r="D85">
        <f>F85*-0.8</f>
        <v>-1.6</v>
      </c>
      <c r="E85">
        <v>0</v>
      </c>
      <c r="F85">
        <v>2</v>
      </c>
      <c r="G85">
        <v>4</v>
      </c>
      <c r="H85">
        <v>6</v>
      </c>
      <c r="K85">
        <f>(Q85*-1)*0.6</f>
        <v>-0.53999999999999992</v>
      </c>
      <c r="L85">
        <f>(P85*-1)*0.6</f>
        <v>-0.44999999999999996</v>
      </c>
      <c r="M85">
        <f>(O85*-1)*0.6</f>
        <v>-0.26999999999999996</v>
      </c>
      <c r="N85">
        <v>0</v>
      </c>
      <c r="O85">
        <v>0.44999999999999996</v>
      </c>
      <c r="P85">
        <v>0.75</v>
      </c>
      <c r="Q85">
        <v>0.89999999999999991</v>
      </c>
    </row>
    <row r="86" spans="1:17" x14ac:dyDescent="0.2">
      <c r="A86" s="9" t="s">
        <v>1316</v>
      </c>
      <c r="B86">
        <f>H86*-0.8</f>
        <v>-4.8000000000000007</v>
      </c>
      <c r="C86">
        <f>G86*-0.8</f>
        <v>-3.2</v>
      </c>
      <c r="D86">
        <f>F86*-0.8</f>
        <v>-1.6</v>
      </c>
      <c r="E86">
        <v>0</v>
      </c>
      <c r="F86">
        <v>2</v>
      </c>
      <c r="G86">
        <v>4</v>
      </c>
      <c r="H86">
        <v>6</v>
      </c>
      <c r="K86">
        <f>(Q86*-1)*0.6</f>
        <v>-0.53999999999999992</v>
      </c>
      <c r="L86">
        <f>(P86*-1)*0.6</f>
        <v>-0.44999999999999996</v>
      </c>
      <c r="M86">
        <f>(O86*-1)*0.6</f>
        <v>-0.26999999999999996</v>
      </c>
      <c r="N86">
        <v>0</v>
      </c>
      <c r="O86">
        <v>0.44999999999999996</v>
      </c>
      <c r="P86">
        <v>0.75</v>
      </c>
      <c r="Q86">
        <v>0.89999999999999991</v>
      </c>
    </row>
    <row r="87" spans="1:17" x14ac:dyDescent="0.2">
      <c r="A87" s="9" t="s">
        <v>1294</v>
      </c>
      <c r="B87" s="18" t="s">
        <v>1319</v>
      </c>
      <c r="C87" s="18" t="s">
        <v>1319</v>
      </c>
      <c r="D87" s="18" t="s">
        <v>1319</v>
      </c>
      <c r="E87" s="18" t="s">
        <v>1319</v>
      </c>
      <c r="F87" s="18" t="s">
        <v>1319</v>
      </c>
      <c r="G87" s="18" t="s">
        <v>1319</v>
      </c>
      <c r="H87" s="18" t="s">
        <v>1319</v>
      </c>
      <c r="K87" s="18" t="s">
        <v>1319</v>
      </c>
      <c r="L87" s="18" t="s">
        <v>1319</v>
      </c>
      <c r="M87" s="18" t="s">
        <v>1319</v>
      </c>
      <c r="N87" s="18" t="s">
        <v>1319</v>
      </c>
      <c r="O87" s="18" t="s">
        <v>1319</v>
      </c>
      <c r="P87" s="18" t="s">
        <v>1319</v>
      </c>
      <c r="Q87" s="18" t="s">
        <v>1319</v>
      </c>
    </row>
    <row r="88" spans="1:17" x14ac:dyDescent="0.2">
      <c r="A88" s="9" t="s">
        <v>1291</v>
      </c>
      <c r="B88">
        <f>H88*-0.8</f>
        <v>-3.2</v>
      </c>
      <c r="C88">
        <f>G88*-0.8</f>
        <v>-1.6</v>
      </c>
      <c r="D88">
        <f>F88*-0.8</f>
        <v>-0.8</v>
      </c>
      <c r="E88">
        <v>0</v>
      </c>
      <c r="F88">
        <v>1</v>
      </c>
      <c r="G88">
        <v>2</v>
      </c>
      <c r="H88">
        <v>4</v>
      </c>
      <c r="K88">
        <f>(Q88*-1)*0.6</f>
        <v>-0.432</v>
      </c>
      <c r="L88">
        <f>(P88*-1)*0.6</f>
        <v>-0.28799999999999998</v>
      </c>
      <c r="M88">
        <f>(O88*-1)*0.6</f>
        <v>-0.14399999999999999</v>
      </c>
      <c r="N88">
        <v>0</v>
      </c>
      <c r="O88">
        <v>0.24</v>
      </c>
      <c r="P88">
        <v>0.48</v>
      </c>
      <c r="Q88">
        <v>0.72</v>
      </c>
    </row>
    <row r="89" spans="1:17" hidden="1" x14ac:dyDescent="0.2">
      <c r="B89">
        <f t="shared" si="3"/>
        <v>-5</v>
      </c>
      <c r="C89">
        <f t="shared" si="4"/>
        <v>-3</v>
      </c>
      <c r="D89">
        <f t="shared" si="5"/>
        <v>-1</v>
      </c>
      <c r="E89">
        <v>0</v>
      </c>
      <c r="F89">
        <v>1</v>
      </c>
      <c r="G89">
        <v>3</v>
      </c>
      <c r="H89">
        <v>5</v>
      </c>
      <c r="K89">
        <f>(Q89*-1)*0.6</f>
        <v>-1.7999999999999998</v>
      </c>
      <c r="L89">
        <f>(P89*-1)*0.6</f>
        <v>-1.0799999999999998</v>
      </c>
      <c r="M89">
        <f>(O89*-1)*0.6</f>
        <v>-0.36</v>
      </c>
      <c r="N89">
        <v>0</v>
      </c>
      <c r="O89">
        <v>0.6</v>
      </c>
      <c r="P89">
        <v>1.7999999999999998</v>
      </c>
      <c r="Q89">
        <v>3</v>
      </c>
    </row>
    <row r="92" spans="1:17" x14ac:dyDescent="0.2">
      <c r="A92" s="5" t="s">
        <v>52</v>
      </c>
    </row>
    <row r="93" spans="1:17" x14ac:dyDescent="0.2">
      <c r="A93" t="s">
        <v>56</v>
      </c>
      <c r="B93">
        <f>H93*-0.8</f>
        <v>-2</v>
      </c>
      <c r="C93">
        <f>G93*-0.8</f>
        <v>-1.2000000000000002</v>
      </c>
      <c r="D93">
        <f>F93*-0.8</f>
        <v>-0.8</v>
      </c>
      <c r="E93">
        <v>0</v>
      </c>
      <c r="F93">
        <v>1</v>
      </c>
      <c r="G93">
        <v>1.5</v>
      </c>
      <c r="H93">
        <v>2.5</v>
      </c>
      <c r="K93">
        <f>(Q93*-1)*0.6</f>
        <v>-0.53999999999999992</v>
      </c>
      <c r="L93">
        <f>(P93*-1)*0.6</f>
        <v>-0.36</v>
      </c>
      <c r="M93">
        <f>(O93*-1)*0.6</f>
        <v>-0.18</v>
      </c>
      <c r="N93">
        <v>0</v>
      </c>
      <c r="O93">
        <v>0.3</v>
      </c>
      <c r="P93">
        <v>0.6</v>
      </c>
      <c r="Q93">
        <v>0.89999999999999991</v>
      </c>
    </row>
    <row r="94" spans="1:17" x14ac:dyDescent="0.2">
      <c r="A94" t="s">
        <v>1727</v>
      </c>
      <c r="B94">
        <f>H94*-0.8</f>
        <v>-2</v>
      </c>
      <c r="C94">
        <f>G94*-0.8</f>
        <v>-1.2000000000000002</v>
      </c>
      <c r="D94">
        <f>F94*-0.8</f>
        <v>-0.8</v>
      </c>
      <c r="E94">
        <v>0</v>
      </c>
      <c r="F94">
        <v>1</v>
      </c>
      <c r="G94">
        <v>1.5</v>
      </c>
      <c r="H94">
        <v>2.5</v>
      </c>
      <c r="K94">
        <f>(Q94*-1)*0.6</f>
        <v>-0.53999999999999992</v>
      </c>
      <c r="L94">
        <f>(P94*-1)*0.6</f>
        <v>-0.36</v>
      </c>
      <c r="M94">
        <f>(O94*-1)*0.6</f>
        <v>-0.18</v>
      </c>
      <c r="N94">
        <v>0</v>
      </c>
      <c r="O94">
        <v>0.3</v>
      </c>
      <c r="P94">
        <v>0.6</v>
      </c>
      <c r="Q94">
        <v>0.89999999999999991</v>
      </c>
    </row>
    <row r="95" spans="1:17" x14ac:dyDescent="0.2">
      <c r="A95" t="s">
        <v>1317</v>
      </c>
      <c r="B95">
        <f>H95*-0.8</f>
        <v>-1200000000</v>
      </c>
      <c r="C95">
        <f>G95*-0.8</f>
        <v>-800000000</v>
      </c>
      <c r="D95">
        <f>F95*-0.8</f>
        <v>-320000000</v>
      </c>
      <c r="E95">
        <v>0</v>
      </c>
      <c r="F95" s="8">
        <v>400000000</v>
      </c>
      <c r="G95" s="8">
        <v>1000000000</v>
      </c>
      <c r="H95" s="8">
        <v>1500000000</v>
      </c>
      <c r="K95">
        <f>(Q95*-1)*0.6</f>
        <v>-270000000</v>
      </c>
      <c r="L95">
        <f>(P95*-1)*0.6</f>
        <v>-144000000</v>
      </c>
      <c r="M95">
        <f>(O95*-1)*0.6</f>
        <v>-54000000</v>
      </c>
      <c r="N95">
        <v>0</v>
      </c>
      <c r="O95">
        <v>90000000</v>
      </c>
      <c r="P95">
        <v>240000000</v>
      </c>
      <c r="Q95">
        <v>450000000</v>
      </c>
    </row>
    <row r="96" spans="1:17" x14ac:dyDescent="0.2">
      <c r="A96" t="s">
        <v>1318</v>
      </c>
      <c r="B96">
        <f>H96*-0.8</f>
        <v>-600000000</v>
      </c>
      <c r="C96">
        <f>G96*-0.8</f>
        <v>-320000000</v>
      </c>
      <c r="D96">
        <f>F96*-0.8</f>
        <v>-120000000</v>
      </c>
      <c r="E96">
        <v>0</v>
      </c>
      <c r="F96" s="8">
        <v>150000000</v>
      </c>
      <c r="G96" s="8">
        <v>400000000</v>
      </c>
      <c r="H96" s="8">
        <v>750000000</v>
      </c>
      <c r="K96">
        <f>(Q96*-1)*0.6</f>
        <v>-270000000</v>
      </c>
      <c r="L96">
        <f>(P96*-1)*0.6</f>
        <v>-144000000</v>
      </c>
      <c r="M96">
        <f>(O96*-1)*0.6</f>
        <v>-54000000</v>
      </c>
      <c r="N96">
        <v>0</v>
      </c>
      <c r="O96">
        <v>90000000</v>
      </c>
      <c r="P96">
        <v>240000000</v>
      </c>
      <c r="Q96">
        <v>450000000</v>
      </c>
    </row>
    <row r="97" spans="1:17" x14ac:dyDescent="0.2">
      <c r="A97" t="s">
        <v>1295</v>
      </c>
      <c r="B97" s="18" t="s">
        <v>1319</v>
      </c>
      <c r="C97" s="18" t="s">
        <v>1319</v>
      </c>
      <c r="D97" s="18" t="s">
        <v>1319</v>
      </c>
      <c r="E97" s="18" t="s">
        <v>1319</v>
      </c>
      <c r="F97" s="18" t="s">
        <v>1319</v>
      </c>
      <c r="G97" s="18" t="s">
        <v>1319</v>
      </c>
      <c r="H97" s="18" t="s">
        <v>1319</v>
      </c>
      <c r="K97" s="18" t="s">
        <v>1319</v>
      </c>
      <c r="L97" s="18" t="s">
        <v>1319</v>
      </c>
      <c r="M97" s="18" t="s">
        <v>1319</v>
      </c>
      <c r="N97" s="18" t="s">
        <v>1319</v>
      </c>
      <c r="O97" s="18" t="s">
        <v>1319</v>
      </c>
      <c r="P97" s="18" t="s">
        <v>1319</v>
      </c>
      <c r="Q97" s="18" t="s">
        <v>1319</v>
      </c>
    </row>
    <row r="98" spans="1:17" hidden="1" x14ac:dyDescent="0.2">
      <c r="B98">
        <f t="shared" si="3"/>
        <v>-5</v>
      </c>
      <c r="C98">
        <f t="shared" si="4"/>
        <v>-3</v>
      </c>
      <c r="D98">
        <f t="shared" si="5"/>
        <v>-1</v>
      </c>
      <c r="E98">
        <v>0</v>
      </c>
      <c r="F98">
        <v>1</v>
      </c>
      <c r="G98">
        <v>3</v>
      </c>
      <c r="H98">
        <v>5</v>
      </c>
      <c r="K98">
        <f>(Q98*-1)*0.6</f>
        <v>-1.7999999999999998</v>
      </c>
      <c r="L98">
        <f>(P98*-1)*0.6</f>
        <v>-1.0799999999999998</v>
      </c>
      <c r="M98">
        <f>(O98*-1)*0.6</f>
        <v>-0.36</v>
      </c>
      <c r="N98">
        <v>0</v>
      </c>
      <c r="O98">
        <v>0.6</v>
      </c>
      <c r="P98">
        <v>1.7999999999999998</v>
      </c>
      <c r="Q98">
        <v>3</v>
      </c>
    </row>
    <row r="101" spans="1:17" x14ac:dyDescent="0.2">
      <c r="A101" s="5" t="s">
        <v>53</v>
      </c>
    </row>
    <row r="102" spans="1:17" x14ac:dyDescent="0.2">
      <c r="A102" t="s">
        <v>57</v>
      </c>
      <c r="B102">
        <f>H102*-0.8</f>
        <v>-3.2</v>
      </c>
      <c r="C102">
        <f>G102*-0.8</f>
        <v>-1.6</v>
      </c>
      <c r="D102">
        <f>F102*-0.8</f>
        <v>-0.8</v>
      </c>
      <c r="E102">
        <v>0</v>
      </c>
      <c r="F102">
        <v>1</v>
      </c>
      <c r="G102">
        <v>2</v>
      </c>
      <c r="H102">
        <v>4</v>
      </c>
      <c r="K102">
        <f>(Q102*-1)*0.6</f>
        <v>-1.0799999999999998</v>
      </c>
      <c r="L102">
        <f>(P102*-1)*0.6</f>
        <v>-0.72</v>
      </c>
      <c r="M102">
        <f>(O102*-1)*0.6</f>
        <v>-0.36</v>
      </c>
      <c r="N102">
        <v>0</v>
      </c>
      <c r="O102">
        <v>0.6</v>
      </c>
      <c r="P102">
        <v>1.2</v>
      </c>
      <c r="Q102">
        <v>1.7999999999999998</v>
      </c>
    </row>
    <row r="103" spans="1:17" x14ac:dyDescent="0.2">
      <c r="A103" t="s">
        <v>58</v>
      </c>
      <c r="B103">
        <f>H103*-0.8</f>
        <v>-1.2000000000000002</v>
      </c>
      <c r="C103">
        <f>G103*-0.8</f>
        <v>-0.8</v>
      </c>
      <c r="D103">
        <f>F103*-0.8</f>
        <v>-0.4</v>
      </c>
      <c r="E103">
        <v>0</v>
      </c>
      <c r="F103">
        <v>0.5</v>
      </c>
      <c r="G103">
        <v>1</v>
      </c>
      <c r="H103">
        <v>1.5</v>
      </c>
      <c r="K103">
        <f>(Q103*-1)*0.6</f>
        <v>-0.53999999999999992</v>
      </c>
      <c r="L103">
        <f>(P103*-1)*0.6</f>
        <v>-0.36</v>
      </c>
      <c r="M103">
        <f>(O103*-1)*0.6</f>
        <v>-0.18</v>
      </c>
      <c r="N103">
        <v>0</v>
      </c>
      <c r="O103">
        <v>0.3</v>
      </c>
      <c r="P103">
        <v>0.6</v>
      </c>
      <c r="Q103">
        <v>0.89999999999999991</v>
      </c>
    </row>
    <row r="104" spans="1:17" x14ac:dyDescent="0.2">
      <c r="A104" t="s">
        <v>1296</v>
      </c>
      <c r="B104">
        <f>H104*-0.8</f>
        <v>-4.8000000000000007</v>
      </c>
      <c r="C104">
        <f>G104*-0.8</f>
        <v>-3.2</v>
      </c>
      <c r="D104">
        <f>F104*-0.8</f>
        <v>-1.6</v>
      </c>
      <c r="E104">
        <v>0</v>
      </c>
      <c r="F104">
        <v>2</v>
      </c>
      <c r="G104">
        <v>4</v>
      </c>
      <c r="H104">
        <v>6</v>
      </c>
      <c r="K104">
        <f>(Q104*-1)*0.6</f>
        <v>-1.44</v>
      </c>
      <c r="L104">
        <f>(P104*-1)*0.6</f>
        <v>-0.72</v>
      </c>
      <c r="M104">
        <f>(O104*-1)*0.6</f>
        <v>-0.36</v>
      </c>
      <c r="N104">
        <v>0</v>
      </c>
      <c r="O104">
        <v>0.6</v>
      </c>
      <c r="P104">
        <v>1.2</v>
      </c>
      <c r="Q104">
        <v>2.4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1BA2-6063-4B89-B739-A42271CD7FDB}">
  <dimension ref="A1:SN122"/>
  <sheetViews>
    <sheetView zoomScaleNormal="100" workbookViewId="0">
      <pane xSplit="1" ySplit="20" topLeftCell="HP21" activePane="bottomRight" state="frozen"/>
      <selection pane="topRight" activeCell="B1" sqref="B1"/>
      <selection pane="bottomLeft" activeCell="A21" sqref="A21"/>
      <selection pane="bottomRight" activeCell="HT62" sqref="HT62"/>
    </sheetView>
  </sheetViews>
  <sheetFormatPr baseColWidth="10" defaultColWidth="13.83203125" defaultRowHeight="15" x14ac:dyDescent="0.2"/>
  <cols>
    <col min="1" max="1" width="25.83203125" customWidth="1"/>
    <col min="2" max="10" width="15.1640625" customWidth="1"/>
    <col min="15" max="15" width="21.83203125" bestFit="1" customWidth="1"/>
    <col min="16" max="24" width="12.6640625" customWidth="1"/>
    <col min="25" max="25" width="10.6640625" customWidth="1"/>
    <col min="26" max="26" width="12.6640625" customWidth="1"/>
    <col min="27" max="31" width="12.5" customWidth="1"/>
    <col min="33" max="33" width="21.83203125" bestFit="1" customWidth="1"/>
    <col min="34" max="42" width="12.6640625" customWidth="1"/>
    <col min="43" max="43" width="10.6640625" customWidth="1"/>
    <col min="44" max="44" width="12.6640625" customWidth="1"/>
    <col min="45" max="49" width="12.5" customWidth="1"/>
    <col min="51" max="51" width="25.83203125" customWidth="1"/>
    <col min="67" max="67" width="25.83203125" customWidth="1"/>
    <col min="83" max="83" width="25.83203125" customWidth="1"/>
    <col min="99" max="99" width="25.83203125" customWidth="1"/>
    <col min="115" max="115" width="25.83203125" customWidth="1"/>
    <col min="131" max="131" width="25.83203125" customWidth="1"/>
    <col min="147" max="147" width="25.83203125" customWidth="1"/>
    <col min="163" max="163" width="25.5" customWidth="1"/>
    <col min="179" max="179" width="25.5" customWidth="1"/>
    <col min="195" max="195" width="25.5" customWidth="1"/>
    <col min="211" max="211" width="25.5" customWidth="1"/>
    <col min="227" max="227" width="25.5" customWidth="1"/>
    <col min="243" max="243" width="25.5" customWidth="1"/>
    <col min="259" max="259" width="25.5" customWidth="1"/>
    <col min="275" max="275" width="25.5" customWidth="1"/>
    <col min="291" max="291" width="25.5" customWidth="1"/>
    <col min="307" max="307" width="25.5" customWidth="1"/>
    <col min="323" max="323" width="25.5" customWidth="1"/>
    <col min="339" max="339" width="25.5" customWidth="1"/>
    <col min="355" max="355" width="25.5" customWidth="1"/>
    <col min="371" max="371" width="25.5" customWidth="1"/>
    <col min="387" max="387" width="25.5" customWidth="1"/>
  </cols>
  <sheetData>
    <row r="1" spans="1:508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 s="9"/>
      <c r="P1">
        <v>0</v>
      </c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Z1" s="26" t="s">
        <v>10</v>
      </c>
      <c r="AA1" s="6"/>
      <c r="AB1" s="26" t="s">
        <v>7</v>
      </c>
      <c r="AC1" s="6"/>
      <c r="AD1" s="26" t="s">
        <v>11</v>
      </c>
      <c r="AE1" s="6"/>
      <c r="AH1">
        <v>0</v>
      </c>
      <c r="AI1">
        <v>1</v>
      </c>
      <c r="AJ1">
        <v>2</v>
      </c>
      <c r="AK1">
        <v>3</v>
      </c>
      <c r="AL1">
        <v>4</v>
      </c>
      <c r="AM1">
        <v>5</v>
      </c>
      <c r="AN1">
        <v>6</v>
      </c>
      <c r="AO1">
        <v>7</v>
      </c>
      <c r="AP1">
        <v>8</v>
      </c>
      <c r="AR1" s="26" t="s">
        <v>10</v>
      </c>
      <c r="AS1" s="6"/>
      <c r="AT1" s="26" t="s">
        <v>7</v>
      </c>
      <c r="AU1" s="6"/>
      <c r="AV1" s="26" t="s">
        <v>11</v>
      </c>
      <c r="AW1" s="6"/>
      <c r="AZ1">
        <v>0</v>
      </c>
      <c r="BA1">
        <v>1</v>
      </c>
      <c r="BB1">
        <v>2</v>
      </c>
      <c r="BC1">
        <v>3</v>
      </c>
      <c r="BD1">
        <v>4</v>
      </c>
      <c r="BE1">
        <v>5</v>
      </c>
      <c r="BF1">
        <v>6</v>
      </c>
      <c r="BG1">
        <v>7</v>
      </c>
      <c r="BH1">
        <v>8</v>
      </c>
      <c r="BJ1" s="33" t="s">
        <v>1870</v>
      </c>
      <c r="BK1" s="6"/>
      <c r="BL1" s="33" t="s">
        <v>1871</v>
      </c>
      <c r="BM1" s="6"/>
      <c r="BP1">
        <v>0</v>
      </c>
      <c r="BQ1">
        <v>1</v>
      </c>
      <c r="BR1">
        <v>2</v>
      </c>
      <c r="BS1">
        <v>3</v>
      </c>
      <c r="BT1">
        <v>4</v>
      </c>
      <c r="BU1">
        <v>5</v>
      </c>
      <c r="BV1">
        <v>6</v>
      </c>
      <c r="BW1">
        <v>7</v>
      </c>
      <c r="BX1">
        <v>8</v>
      </c>
      <c r="BZ1" s="34" t="s">
        <v>1870</v>
      </c>
      <c r="CA1" s="6"/>
      <c r="CB1" s="33" t="s">
        <v>1871</v>
      </c>
      <c r="CC1" s="6"/>
      <c r="CF1">
        <v>0</v>
      </c>
      <c r="CG1">
        <v>1</v>
      </c>
      <c r="CH1">
        <v>2</v>
      </c>
      <c r="CI1">
        <v>3</v>
      </c>
      <c r="CJ1">
        <v>4</v>
      </c>
      <c r="CK1">
        <v>5</v>
      </c>
      <c r="CL1">
        <v>6</v>
      </c>
      <c r="CM1">
        <v>7</v>
      </c>
      <c r="CN1">
        <v>8</v>
      </c>
      <c r="CP1" s="34" t="s">
        <v>1870</v>
      </c>
      <c r="CQ1" s="6"/>
      <c r="CR1" s="33" t="s">
        <v>1871</v>
      </c>
      <c r="CS1" s="6"/>
      <c r="CV1">
        <v>0</v>
      </c>
      <c r="CW1">
        <v>1</v>
      </c>
      <c r="CX1">
        <v>2</v>
      </c>
      <c r="CY1">
        <v>3</v>
      </c>
      <c r="CZ1">
        <v>4</v>
      </c>
      <c r="DA1">
        <v>5</v>
      </c>
      <c r="DB1">
        <v>6</v>
      </c>
      <c r="DC1">
        <v>7</v>
      </c>
      <c r="DD1">
        <v>8</v>
      </c>
      <c r="DF1" s="34" t="s">
        <v>1870</v>
      </c>
      <c r="DG1" s="6"/>
      <c r="DH1" s="33" t="s">
        <v>1871</v>
      </c>
      <c r="DI1" s="6"/>
      <c r="DL1">
        <v>0</v>
      </c>
      <c r="DM1">
        <v>1</v>
      </c>
      <c r="DN1">
        <v>2</v>
      </c>
      <c r="DO1">
        <v>3</v>
      </c>
      <c r="DP1">
        <v>4</v>
      </c>
      <c r="DQ1">
        <v>5</v>
      </c>
      <c r="DR1">
        <v>6</v>
      </c>
      <c r="DS1">
        <v>7</v>
      </c>
      <c r="DT1">
        <v>8</v>
      </c>
      <c r="DV1" s="34" t="s">
        <v>1870</v>
      </c>
      <c r="DW1" s="6"/>
      <c r="DX1" s="33" t="s">
        <v>1871</v>
      </c>
      <c r="DY1" s="6"/>
      <c r="EB1">
        <v>0</v>
      </c>
      <c r="EC1">
        <v>1</v>
      </c>
      <c r="ED1">
        <v>2</v>
      </c>
      <c r="EE1">
        <v>3</v>
      </c>
      <c r="EF1">
        <v>4</v>
      </c>
      <c r="EG1">
        <v>5</v>
      </c>
      <c r="EH1">
        <v>6</v>
      </c>
      <c r="EI1">
        <v>7</v>
      </c>
      <c r="EJ1">
        <v>8</v>
      </c>
      <c r="EL1" s="34" t="s">
        <v>1870</v>
      </c>
      <c r="EM1" s="6"/>
      <c r="EN1" s="33" t="s">
        <v>1871</v>
      </c>
      <c r="EO1" s="6"/>
      <c r="ER1">
        <v>0</v>
      </c>
      <c r="ES1">
        <v>1</v>
      </c>
      <c r="ET1">
        <v>2</v>
      </c>
      <c r="EU1">
        <v>3</v>
      </c>
      <c r="EV1">
        <v>4</v>
      </c>
      <c r="EW1">
        <v>5</v>
      </c>
      <c r="EX1">
        <v>6</v>
      </c>
      <c r="EY1">
        <v>7</v>
      </c>
      <c r="EZ1">
        <v>8</v>
      </c>
      <c r="FB1" s="5" t="s">
        <v>1870</v>
      </c>
      <c r="FC1" s="6"/>
      <c r="FD1" s="33" t="s">
        <v>1871</v>
      </c>
      <c r="FE1" s="6"/>
      <c r="FH1">
        <v>0</v>
      </c>
      <c r="FI1">
        <v>1</v>
      </c>
      <c r="FJ1">
        <v>2</v>
      </c>
      <c r="FK1">
        <v>3</v>
      </c>
      <c r="FL1">
        <v>4</v>
      </c>
      <c r="FM1">
        <v>5</v>
      </c>
      <c r="FN1">
        <v>6</v>
      </c>
      <c r="FO1">
        <v>7</v>
      </c>
      <c r="FP1">
        <v>8</v>
      </c>
      <c r="FR1" s="5" t="s">
        <v>1870</v>
      </c>
      <c r="FS1" s="6"/>
      <c r="FT1" s="33" t="s">
        <v>1871</v>
      </c>
      <c r="FU1" s="6"/>
      <c r="FX1">
        <v>0</v>
      </c>
      <c r="FY1">
        <v>1</v>
      </c>
      <c r="FZ1">
        <v>2</v>
      </c>
      <c r="GA1">
        <v>3</v>
      </c>
      <c r="GB1">
        <v>4</v>
      </c>
      <c r="GC1">
        <v>5</v>
      </c>
      <c r="GD1">
        <v>6</v>
      </c>
      <c r="GE1">
        <v>7</v>
      </c>
      <c r="GF1">
        <v>8</v>
      </c>
      <c r="GH1" s="5" t="s">
        <v>1870</v>
      </c>
      <c r="GJ1" s="33" t="s">
        <v>1871</v>
      </c>
      <c r="GK1" s="6"/>
      <c r="GN1">
        <v>0</v>
      </c>
      <c r="GO1">
        <v>1</v>
      </c>
      <c r="GP1">
        <v>2</v>
      </c>
      <c r="GQ1">
        <v>3</v>
      </c>
      <c r="GR1">
        <v>4</v>
      </c>
      <c r="GS1">
        <v>5</v>
      </c>
      <c r="GT1">
        <v>6</v>
      </c>
      <c r="GU1">
        <v>7</v>
      </c>
      <c r="GV1">
        <v>8</v>
      </c>
      <c r="GX1" s="5" t="s">
        <v>1870</v>
      </c>
      <c r="GZ1" s="33" t="s">
        <v>1871</v>
      </c>
      <c r="HA1" s="6"/>
      <c r="HD1">
        <v>0</v>
      </c>
      <c r="HE1">
        <v>1</v>
      </c>
      <c r="HF1">
        <v>2</v>
      </c>
      <c r="HG1">
        <v>3</v>
      </c>
      <c r="HH1">
        <v>4</v>
      </c>
      <c r="HI1">
        <v>5</v>
      </c>
      <c r="HJ1">
        <v>6</v>
      </c>
      <c r="HK1">
        <v>7</v>
      </c>
      <c r="HL1">
        <v>8</v>
      </c>
      <c r="HN1" s="5" t="s">
        <v>1870</v>
      </c>
      <c r="HP1" s="33" t="s">
        <v>1871</v>
      </c>
      <c r="HQ1" s="6"/>
      <c r="HT1">
        <v>0</v>
      </c>
      <c r="HU1">
        <v>1</v>
      </c>
      <c r="HV1">
        <v>2</v>
      </c>
      <c r="HW1">
        <v>3</v>
      </c>
      <c r="HX1">
        <v>4</v>
      </c>
      <c r="HY1">
        <v>5</v>
      </c>
      <c r="HZ1">
        <v>6</v>
      </c>
      <c r="IA1">
        <v>7</v>
      </c>
      <c r="IB1">
        <v>8</v>
      </c>
      <c r="ID1" s="5" t="s">
        <v>1870</v>
      </c>
      <c r="IF1" s="33" t="s">
        <v>1871</v>
      </c>
      <c r="IG1" s="6"/>
      <c r="IJ1">
        <v>0</v>
      </c>
      <c r="IK1">
        <v>1</v>
      </c>
      <c r="IL1">
        <v>2</v>
      </c>
      <c r="IM1">
        <v>3</v>
      </c>
      <c r="IN1">
        <v>4</v>
      </c>
      <c r="IO1">
        <v>5</v>
      </c>
      <c r="IP1">
        <v>6</v>
      </c>
      <c r="IQ1">
        <v>7</v>
      </c>
      <c r="IR1">
        <v>8</v>
      </c>
      <c r="IT1" s="5" t="s">
        <v>1870</v>
      </c>
      <c r="IV1" s="33" t="s">
        <v>1871</v>
      </c>
      <c r="IW1" s="6"/>
      <c r="IZ1">
        <v>0</v>
      </c>
      <c r="JA1">
        <v>1</v>
      </c>
      <c r="JB1">
        <v>2</v>
      </c>
      <c r="JC1">
        <v>3</v>
      </c>
      <c r="JD1">
        <v>4</v>
      </c>
      <c r="JE1">
        <v>5</v>
      </c>
      <c r="JF1">
        <v>6</v>
      </c>
      <c r="JG1">
        <v>7</v>
      </c>
      <c r="JH1">
        <v>8</v>
      </c>
      <c r="JJ1" s="5" t="s">
        <v>1870</v>
      </c>
      <c r="JL1" s="33" t="s">
        <v>1871</v>
      </c>
      <c r="JM1" s="6"/>
      <c r="JP1">
        <v>0</v>
      </c>
      <c r="JQ1">
        <v>1</v>
      </c>
      <c r="JR1">
        <v>2</v>
      </c>
      <c r="JS1">
        <v>3</v>
      </c>
      <c r="JT1">
        <v>4</v>
      </c>
      <c r="JU1">
        <v>5</v>
      </c>
      <c r="JV1">
        <v>6</v>
      </c>
      <c r="JW1">
        <v>7</v>
      </c>
      <c r="JX1">
        <v>8</v>
      </c>
      <c r="JZ1" s="5" t="s">
        <v>1870</v>
      </c>
      <c r="KB1" s="33" t="s">
        <v>1871</v>
      </c>
      <c r="KC1" s="6"/>
      <c r="KF1">
        <v>0</v>
      </c>
      <c r="KG1">
        <v>1</v>
      </c>
      <c r="KH1">
        <v>2</v>
      </c>
      <c r="KI1">
        <v>3</v>
      </c>
      <c r="KJ1">
        <v>4</v>
      </c>
      <c r="KK1">
        <v>5</v>
      </c>
      <c r="KL1">
        <v>6</v>
      </c>
      <c r="KM1">
        <v>7</v>
      </c>
      <c r="KN1">
        <v>8</v>
      </c>
      <c r="KP1" s="5" t="s">
        <v>1870</v>
      </c>
      <c r="KR1" s="33" t="s">
        <v>1871</v>
      </c>
      <c r="KS1" s="6"/>
      <c r="KV1">
        <v>0</v>
      </c>
      <c r="KW1">
        <v>1</v>
      </c>
      <c r="KX1">
        <v>2</v>
      </c>
      <c r="KY1">
        <v>3</v>
      </c>
      <c r="KZ1">
        <v>4</v>
      </c>
      <c r="LA1">
        <v>5</v>
      </c>
      <c r="LB1">
        <v>6</v>
      </c>
      <c r="LC1">
        <v>7</v>
      </c>
      <c r="LD1">
        <v>8</v>
      </c>
      <c r="LF1" s="5" t="s">
        <v>1870</v>
      </c>
      <c r="LH1" s="33" t="s">
        <v>1871</v>
      </c>
      <c r="LI1" s="6"/>
      <c r="LL1">
        <v>0</v>
      </c>
      <c r="LM1">
        <v>1</v>
      </c>
      <c r="LN1">
        <v>2</v>
      </c>
      <c r="LO1">
        <v>3</v>
      </c>
      <c r="LP1">
        <v>4</v>
      </c>
      <c r="LQ1">
        <v>5</v>
      </c>
      <c r="LR1">
        <v>6</v>
      </c>
      <c r="LS1">
        <v>7</v>
      </c>
      <c r="LT1">
        <v>8</v>
      </c>
      <c r="LV1" s="5" t="s">
        <v>1870</v>
      </c>
      <c r="LX1" s="33" t="s">
        <v>1871</v>
      </c>
      <c r="LY1" s="6"/>
      <c r="MB1">
        <v>0</v>
      </c>
      <c r="MC1">
        <v>1</v>
      </c>
      <c r="MD1">
        <v>2</v>
      </c>
      <c r="ME1">
        <v>3</v>
      </c>
      <c r="MF1">
        <v>4</v>
      </c>
      <c r="MG1">
        <v>5</v>
      </c>
      <c r="MH1">
        <v>6</v>
      </c>
      <c r="MI1">
        <v>7</v>
      </c>
      <c r="MJ1">
        <v>8</v>
      </c>
      <c r="ML1" s="5" t="s">
        <v>1870</v>
      </c>
      <c r="MN1" s="33" t="s">
        <v>1871</v>
      </c>
      <c r="MO1" s="6"/>
      <c r="MR1">
        <v>0</v>
      </c>
      <c r="MS1">
        <v>1</v>
      </c>
      <c r="MT1">
        <v>2</v>
      </c>
      <c r="MU1">
        <v>3</v>
      </c>
      <c r="MV1">
        <v>4</v>
      </c>
      <c r="MW1">
        <v>5</v>
      </c>
      <c r="MX1">
        <v>6</v>
      </c>
      <c r="MY1">
        <v>7</v>
      </c>
      <c r="MZ1">
        <v>8</v>
      </c>
      <c r="NB1" s="5" t="s">
        <v>1870</v>
      </c>
      <c r="ND1" s="33" t="s">
        <v>1871</v>
      </c>
      <c r="NE1" s="6"/>
      <c r="NH1">
        <v>0</v>
      </c>
      <c r="NI1">
        <v>1</v>
      </c>
      <c r="NJ1">
        <v>2</v>
      </c>
      <c r="NK1">
        <v>3</v>
      </c>
      <c r="NL1">
        <v>4</v>
      </c>
      <c r="NM1">
        <v>5</v>
      </c>
      <c r="NN1">
        <v>6</v>
      </c>
      <c r="NO1">
        <v>7</v>
      </c>
      <c r="NP1">
        <v>8</v>
      </c>
      <c r="NR1" s="5" t="s">
        <v>1870</v>
      </c>
      <c r="NT1" s="33" t="s">
        <v>1871</v>
      </c>
      <c r="NU1" s="6"/>
      <c r="NX1">
        <v>0</v>
      </c>
      <c r="NY1">
        <v>1</v>
      </c>
      <c r="NZ1">
        <v>2</v>
      </c>
      <c r="OA1">
        <v>3</v>
      </c>
      <c r="OB1">
        <v>4</v>
      </c>
      <c r="OC1">
        <v>5</v>
      </c>
      <c r="OD1">
        <v>6</v>
      </c>
      <c r="OE1">
        <v>7</v>
      </c>
      <c r="OF1">
        <v>8</v>
      </c>
      <c r="OH1" s="5" t="s">
        <v>1870</v>
      </c>
      <c r="OJ1" s="33" t="s">
        <v>1871</v>
      </c>
      <c r="OK1" s="6"/>
    </row>
    <row r="2" spans="1:508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Z2" s="6" t="s">
        <v>1321</v>
      </c>
      <c r="AA2" s="6" t="s">
        <v>1320</v>
      </c>
      <c r="AB2" s="6" t="s">
        <v>1321</v>
      </c>
      <c r="AC2" s="6" t="s">
        <v>1320</v>
      </c>
      <c r="AD2" s="6" t="s">
        <v>1321</v>
      </c>
      <c r="AE2" s="6" t="s">
        <v>1320</v>
      </c>
      <c r="AR2" s="6" t="s">
        <v>1321</v>
      </c>
      <c r="AS2" s="6" t="s">
        <v>1320</v>
      </c>
      <c r="AT2" s="6" t="s">
        <v>1321</v>
      </c>
      <c r="AU2" s="6" t="s">
        <v>1320</v>
      </c>
      <c r="AV2" s="6" t="s">
        <v>1321</v>
      </c>
      <c r="AW2" s="6" t="s">
        <v>1320</v>
      </c>
      <c r="BJ2" s="6" t="s">
        <v>1321</v>
      </c>
      <c r="BK2" s="6" t="s">
        <v>1320</v>
      </c>
      <c r="BL2" s="6" t="s">
        <v>1321</v>
      </c>
      <c r="BM2" s="6" t="s">
        <v>1320</v>
      </c>
      <c r="BZ2" s="6" t="s">
        <v>1321</v>
      </c>
      <c r="CA2" s="6" t="s">
        <v>1320</v>
      </c>
      <c r="CB2" s="6" t="s">
        <v>1321</v>
      </c>
      <c r="CC2" s="6" t="s">
        <v>1320</v>
      </c>
      <c r="CP2" s="6" t="s">
        <v>1321</v>
      </c>
      <c r="CQ2" s="6" t="s">
        <v>1320</v>
      </c>
      <c r="CR2" s="6" t="s">
        <v>1321</v>
      </c>
      <c r="CS2" s="6" t="s">
        <v>1320</v>
      </c>
      <c r="DF2" s="6" t="s">
        <v>1321</v>
      </c>
      <c r="DG2" s="6" t="s">
        <v>1320</v>
      </c>
      <c r="DH2" s="6" t="s">
        <v>1321</v>
      </c>
      <c r="DI2" s="6" t="s">
        <v>1320</v>
      </c>
      <c r="DV2" s="6" t="s">
        <v>1321</v>
      </c>
      <c r="DW2" s="6" t="s">
        <v>1320</v>
      </c>
      <c r="DX2" s="6" t="s">
        <v>1321</v>
      </c>
      <c r="DY2" s="6" t="s">
        <v>1320</v>
      </c>
      <c r="EL2" s="6" t="s">
        <v>1321</v>
      </c>
      <c r="EM2" s="6" t="s">
        <v>1320</v>
      </c>
      <c r="EN2" s="6" t="s">
        <v>1321</v>
      </c>
      <c r="EO2" s="6" t="s">
        <v>1320</v>
      </c>
      <c r="FB2" t="s">
        <v>1321</v>
      </c>
      <c r="FC2" s="6" t="s">
        <v>1320</v>
      </c>
      <c r="FD2" s="6" t="s">
        <v>1321</v>
      </c>
      <c r="FE2" s="6" t="s">
        <v>1320</v>
      </c>
      <c r="FR2" t="s">
        <v>1321</v>
      </c>
      <c r="FS2" s="6" t="s">
        <v>1320</v>
      </c>
      <c r="FT2" s="6" t="s">
        <v>1321</v>
      </c>
      <c r="FU2" s="6" t="s">
        <v>1320</v>
      </c>
      <c r="GH2" t="s">
        <v>1321</v>
      </c>
      <c r="GI2" t="s">
        <v>1320</v>
      </c>
      <c r="GJ2" s="6" t="s">
        <v>1321</v>
      </c>
      <c r="GK2" s="6" t="s">
        <v>1320</v>
      </c>
      <c r="GX2" t="s">
        <v>1321</v>
      </c>
      <c r="GY2" t="s">
        <v>1320</v>
      </c>
      <c r="GZ2" s="6" t="s">
        <v>1321</v>
      </c>
      <c r="HA2" s="6" t="s">
        <v>1320</v>
      </c>
      <c r="HN2" t="s">
        <v>1321</v>
      </c>
      <c r="HO2" t="s">
        <v>1320</v>
      </c>
      <c r="HP2" s="6" t="s">
        <v>1321</v>
      </c>
      <c r="HQ2" s="6" t="s">
        <v>1320</v>
      </c>
      <c r="ID2" t="s">
        <v>1321</v>
      </c>
      <c r="IE2" t="s">
        <v>1320</v>
      </c>
      <c r="IF2" s="6" t="s">
        <v>1321</v>
      </c>
      <c r="IG2" s="6" t="s">
        <v>1320</v>
      </c>
      <c r="IT2" t="s">
        <v>1321</v>
      </c>
      <c r="IU2" t="s">
        <v>1320</v>
      </c>
      <c r="IV2" s="6" t="s">
        <v>1321</v>
      </c>
      <c r="IW2" s="6" t="s">
        <v>1320</v>
      </c>
      <c r="JJ2" t="s">
        <v>1321</v>
      </c>
      <c r="JK2" t="s">
        <v>1320</v>
      </c>
      <c r="JL2" s="6" t="s">
        <v>1321</v>
      </c>
      <c r="JM2" s="6" t="s">
        <v>1320</v>
      </c>
      <c r="JZ2" t="s">
        <v>1321</v>
      </c>
      <c r="KA2" t="s">
        <v>1320</v>
      </c>
      <c r="KB2" s="6" t="s">
        <v>1321</v>
      </c>
      <c r="KC2" s="6" t="s">
        <v>1320</v>
      </c>
      <c r="KP2" t="s">
        <v>1321</v>
      </c>
      <c r="KQ2" t="s">
        <v>1320</v>
      </c>
      <c r="KR2" s="6" t="s">
        <v>1321</v>
      </c>
      <c r="KS2" s="6" t="s">
        <v>1320</v>
      </c>
      <c r="LF2" t="s">
        <v>1321</v>
      </c>
      <c r="LG2" t="s">
        <v>1320</v>
      </c>
      <c r="LH2" s="6" t="s">
        <v>1321</v>
      </c>
      <c r="LI2" s="6" t="s">
        <v>1320</v>
      </c>
      <c r="LV2" t="s">
        <v>1321</v>
      </c>
      <c r="LW2" t="s">
        <v>1320</v>
      </c>
      <c r="LX2" s="6" t="s">
        <v>1321</v>
      </c>
      <c r="LY2" s="6" t="s">
        <v>1320</v>
      </c>
      <c r="ML2" t="s">
        <v>1321</v>
      </c>
      <c r="MM2" t="s">
        <v>1320</v>
      </c>
      <c r="MN2" s="6" t="s">
        <v>1321</v>
      </c>
      <c r="MO2" s="6" t="s">
        <v>1320</v>
      </c>
      <c r="NB2" t="s">
        <v>1321</v>
      </c>
      <c r="NC2" t="s">
        <v>1320</v>
      </c>
      <c r="ND2" s="6" t="s">
        <v>1321</v>
      </c>
      <c r="NE2" s="6" t="s">
        <v>1320</v>
      </c>
      <c r="NR2" t="s">
        <v>1321</v>
      </c>
      <c r="NS2" t="s">
        <v>1320</v>
      </c>
      <c r="NT2" s="6" t="s">
        <v>1321</v>
      </c>
      <c r="NU2" s="6" t="s">
        <v>1320</v>
      </c>
      <c r="OH2" t="s">
        <v>1321</v>
      </c>
      <c r="OI2" t="s">
        <v>1320</v>
      </c>
      <c r="OJ2" s="6" t="s">
        <v>1321</v>
      </c>
      <c r="OK2" s="6" t="s">
        <v>1320</v>
      </c>
    </row>
    <row r="3" spans="1:508" x14ac:dyDescent="0.2">
      <c r="O3" s="5" t="s">
        <v>334</v>
      </c>
      <c r="AG3" s="5" t="s">
        <v>333</v>
      </c>
      <c r="AY3" s="5" t="s">
        <v>1423</v>
      </c>
      <c r="BL3" s="9"/>
      <c r="BO3" s="5" t="s">
        <v>1424</v>
      </c>
      <c r="CB3" s="9"/>
      <c r="CE3" s="5" t="s">
        <v>1425</v>
      </c>
      <c r="CR3" s="9"/>
      <c r="CU3" s="5" t="s">
        <v>1426</v>
      </c>
      <c r="DH3" s="9"/>
      <c r="DK3" s="5" t="s">
        <v>1427</v>
      </c>
      <c r="DX3" s="9"/>
      <c r="EA3" s="5" t="s">
        <v>1428</v>
      </c>
      <c r="EN3" s="9"/>
      <c r="EQ3" s="5" t="s">
        <v>1429</v>
      </c>
      <c r="FD3" s="9"/>
      <c r="FG3" s="5" t="s">
        <v>1969</v>
      </c>
      <c r="FT3" s="9"/>
      <c r="FW3" s="5" t="s">
        <v>1970</v>
      </c>
      <c r="GJ3" s="9"/>
      <c r="GM3" s="11" t="s">
        <v>1971</v>
      </c>
      <c r="GZ3" s="9"/>
      <c r="HC3" s="11" t="s">
        <v>1972</v>
      </c>
      <c r="HP3" s="9"/>
      <c r="HS3" s="11" t="s">
        <v>381</v>
      </c>
      <c r="IF3" s="9"/>
      <c r="II3" s="11" t="s">
        <v>382</v>
      </c>
      <c r="IV3" s="9"/>
      <c r="IY3" s="11" t="s">
        <v>383</v>
      </c>
      <c r="JL3" s="9"/>
      <c r="JO3" s="11" t="s">
        <v>384</v>
      </c>
      <c r="KB3" s="9"/>
      <c r="KE3" s="5"/>
      <c r="KR3" s="9"/>
      <c r="KU3" s="5"/>
      <c r="LH3" s="9"/>
      <c r="LK3" s="5"/>
      <c r="LX3" s="9"/>
      <c r="MA3" s="5"/>
      <c r="MN3" s="9"/>
      <c r="MQ3" s="5"/>
      <c r="ND3" s="9"/>
      <c r="NG3" s="5"/>
      <c r="NT3" s="9"/>
      <c r="NW3" s="5"/>
      <c r="OJ3" s="9"/>
      <c r="OY3" s="5"/>
      <c r="PM3" s="5"/>
      <c r="QA3" s="5"/>
      <c r="QO3" s="5"/>
      <c r="RC3" s="5"/>
      <c r="RQ3" s="5"/>
      <c r="SE3" s="5"/>
    </row>
    <row r="4" spans="1:508" x14ac:dyDescent="0.2">
      <c r="A4" s="2" t="s">
        <v>68</v>
      </c>
      <c r="O4" s="2" t="s">
        <v>1436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/>
      <c r="Z4" s="1"/>
      <c r="AG4" s="2" t="s">
        <v>1442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/>
      <c r="AR4" s="1"/>
      <c r="AY4" s="2" t="s">
        <v>69</v>
      </c>
      <c r="AZ4" s="1">
        <v>0</v>
      </c>
      <c r="BA4" s="1">
        <f t="shared" ref="BA4:BH4" si="0">+AZ4</f>
        <v>0</v>
      </c>
      <c r="BB4" s="1">
        <f t="shared" si="0"/>
        <v>0</v>
      </c>
      <c r="BC4" s="1">
        <f t="shared" si="0"/>
        <v>0</v>
      </c>
      <c r="BD4" s="1">
        <f t="shared" si="0"/>
        <v>0</v>
      </c>
      <c r="BE4" s="1">
        <f t="shared" si="0"/>
        <v>0</v>
      </c>
      <c r="BF4" s="1">
        <f t="shared" si="0"/>
        <v>0</v>
      </c>
      <c r="BG4" s="1">
        <f t="shared" si="0"/>
        <v>0</v>
      </c>
      <c r="BH4" s="1">
        <f t="shared" si="0"/>
        <v>0</v>
      </c>
      <c r="BI4" s="1"/>
      <c r="BJ4" s="1"/>
      <c r="BL4" s="9"/>
      <c r="BO4" s="2" t="s">
        <v>70</v>
      </c>
      <c r="BP4" s="1">
        <v>0</v>
      </c>
      <c r="BQ4" s="1">
        <f>+BP4</f>
        <v>0</v>
      </c>
      <c r="BR4" s="1">
        <f t="shared" ref="BR4:BX4" si="1">+BQ4</f>
        <v>0</v>
      </c>
      <c r="BS4" s="1">
        <f t="shared" si="1"/>
        <v>0</v>
      </c>
      <c r="BT4" s="1">
        <f t="shared" si="1"/>
        <v>0</v>
      </c>
      <c r="BU4" s="1">
        <f t="shared" si="1"/>
        <v>0</v>
      </c>
      <c r="BV4" s="1">
        <f t="shared" si="1"/>
        <v>0</v>
      </c>
      <c r="BW4" s="1">
        <f t="shared" si="1"/>
        <v>0</v>
      </c>
      <c r="BX4" s="1">
        <f t="shared" si="1"/>
        <v>0</v>
      </c>
      <c r="BY4" s="1"/>
      <c r="BZ4" s="1"/>
      <c r="CB4" s="9"/>
      <c r="CE4" s="2" t="s">
        <v>71</v>
      </c>
      <c r="CF4" s="1">
        <v>0</v>
      </c>
      <c r="CG4" s="1">
        <f>+CF4</f>
        <v>0</v>
      </c>
      <c r="CH4" s="1">
        <f t="shared" ref="CH4:CN4" si="2">+CG4</f>
        <v>0</v>
      </c>
      <c r="CI4" s="1">
        <f t="shared" si="2"/>
        <v>0</v>
      </c>
      <c r="CJ4" s="1">
        <f t="shared" si="2"/>
        <v>0</v>
      </c>
      <c r="CK4" s="1">
        <f t="shared" si="2"/>
        <v>0</v>
      </c>
      <c r="CL4" s="1">
        <f t="shared" si="2"/>
        <v>0</v>
      </c>
      <c r="CM4" s="1">
        <f t="shared" si="2"/>
        <v>0</v>
      </c>
      <c r="CN4" s="1">
        <f t="shared" si="2"/>
        <v>0</v>
      </c>
      <c r="CO4" s="1"/>
      <c r="CP4" s="1"/>
      <c r="CR4" s="9"/>
      <c r="CU4" s="2" t="s">
        <v>72</v>
      </c>
      <c r="CV4" s="1">
        <v>0</v>
      </c>
      <c r="CW4" s="1">
        <f>+CV4</f>
        <v>0</v>
      </c>
      <c r="CX4" s="1">
        <f t="shared" ref="CX4:DD4" si="3">+CW4</f>
        <v>0</v>
      </c>
      <c r="CY4" s="1">
        <f t="shared" si="3"/>
        <v>0</v>
      </c>
      <c r="CZ4" s="1">
        <f t="shared" si="3"/>
        <v>0</v>
      </c>
      <c r="DA4" s="1">
        <f t="shared" si="3"/>
        <v>0</v>
      </c>
      <c r="DB4" s="1">
        <f t="shared" si="3"/>
        <v>0</v>
      </c>
      <c r="DC4" s="1">
        <f t="shared" si="3"/>
        <v>0</v>
      </c>
      <c r="DD4" s="1">
        <f t="shared" si="3"/>
        <v>0</v>
      </c>
      <c r="DE4" s="1"/>
      <c r="DF4" s="1"/>
      <c r="DH4" s="9"/>
      <c r="DK4" s="2" t="s">
        <v>73</v>
      </c>
      <c r="DL4" s="1">
        <v>0</v>
      </c>
      <c r="DM4" s="1">
        <f>+DL4</f>
        <v>0</v>
      </c>
      <c r="DN4" s="1">
        <f t="shared" ref="DN4:DT4" si="4">+DM4</f>
        <v>0</v>
      </c>
      <c r="DO4" s="1">
        <f t="shared" si="4"/>
        <v>0</v>
      </c>
      <c r="DP4" s="1">
        <f t="shared" si="4"/>
        <v>0</v>
      </c>
      <c r="DQ4" s="1">
        <f t="shared" si="4"/>
        <v>0</v>
      </c>
      <c r="DR4" s="1">
        <f t="shared" si="4"/>
        <v>0</v>
      </c>
      <c r="DS4" s="1">
        <f t="shared" si="4"/>
        <v>0</v>
      </c>
      <c r="DT4" s="1">
        <f t="shared" si="4"/>
        <v>0</v>
      </c>
      <c r="DU4" s="1"/>
      <c r="DV4" s="1"/>
      <c r="DX4" s="9"/>
      <c r="EA4" s="2" t="s">
        <v>74</v>
      </c>
      <c r="EB4" s="1">
        <v>0</v>
      </c>
      <c r="EC4" s="1">
        <f>+EB4</f>
        <v>0</v>
      </c>
      <c r="ED4" s="1">
        <f t="shared" ref="ED4:EJ4" si="5">+EC4</f>
        <v>0</v>
      </c>
      <c r="EE4" s="1">
        <f t="shared" si="5"/>
        <v>0</v>
      </c>
      <c r="EF4" s="1">
        <f t="shared" si="5"/>
        <v>0</v>
      </c>
      <c r="EG4" s="1">
        <f t="shared" si="5"/>
        <v>0</v>
      </c>
      <c r="EH4" s="1">
        <f t="shared" si="5"/>
        <v>0</v>
      </c>
      <c r="EI4" s="1">
        <f t="shared" si="5"/>
        <v>0</v>
      </c>
      <c r="EJ4" s="1">
        <f t="shared" si="5"/>
        <v>0</v>
      </c>
      <c r="EK4" s="1"/>
      <c r="EL4" s="1"/>
      <c r="EN4" s="9"/>
      <c r="EQ4" s="2" t="s">
        <v>75</v>
      </c>
      <c r="ER4" s="1">
        <v>0</v>
      </c>
      <c r="ES4" s="1">
        <f>+ER4</f>
        <v>0</v>
      </c>
      <c r="ET4" s="1">
        <f t="shared" ref="ET4:EZ4" si="6">+ES4</f>
        <v>0</v>
      </c>
      <c r="EU4" s="1">
        <f t="shared" si="6"/>
        <v>0</v>
      </c>
      <c r="EV4" s="1">
        <f t="shared" si="6"/>
        <v>0</v>
      </c>
      <c r="EW4" s="1">
        <f t="shared" si="6"/>
        <v>0</v>
      </c>
      <c r="EX4" s="1">
        <f t="shared" si="6"/>
        <v>0</v>
      </c>
      <c r="EY4" s="1">
        <f t="shared" si="6"/>
        <v>0</v>
      </c>
      <c r="EZ4" s="1">
        <f t="shared" si="6"/>
        <v>0</v>
      </c>
      <c r="FA4" s="1"/>
      <c r="FB4" s="1"/>
      <c r="FD4" s="9"/>
      <c r="FG4" s="2" t="s">
        <v>76</v>
      </c>
      <c r="FH4" s="1">
        <v>0</v>
      </c>
      <c r="FI4" s="1">
        <f>+FH4</f>
        <v>0</v>
      </c>
      <c r="FJ4" s="1">
        <f t="shared" ref="FJ4:FP4" si="7">+FI4</f>
        <v>0</v>
      </c>
      <c r="FK4" s="1">
        <f t="shared" si="7"/>
        <v>0</v>
      </c>
      <c r="FL4" s="1">
        <f t="shared" si="7"/>
        <v>0</v>
      </c>
      <c r="FM4" s="1">
        <f t="shared" si="7"/>
        <v>0</v>
      </c>
      <c r="FN4" s="1">
        <f t="shared" si="7"/>
        <v>0</v>
      </c>
      <c r="FO4" s="1">
        <f t="shared" si="7"/>
        <v>0</v>
      </c>
      <c r="FP4" s="1">
        <f t="shared" si="7"/>
        <v>0</v>
      </c>
      <c r="FQ4" s="1"/>
      <c r="FR4" s="1"/>
      <c r="FT4" s="9"/>
      <c r="FW4" s="2" t="s">
        <v>77</v>
      </c>
      <c r="FX4" s="1">
        <v>0</v>
      </c>
      <c r="FY4" s="1">
        <f>+FX4</f>
        <v>0</v>
      </c>
      <c r="FZ4" s="1">
        <f t="shared" ref="FZ4:GF4" si="8">+FY4</f>
        <v>0</v>
      </c>
      <c r="GA4" s="1">
        <f t="shared" si="8"/>
        <v>0</v>
      </c>
      <c r="GB4" s="1">
        <f t="shared" si="8"/>
        <v>0</v>
      </c>
      <c r="GC4" s="1">
        <f t="shared" si="8"/>
        <v>0</v>
      </c>
      <c r="GD4" s="1">
        <f t="shared" si="8"/>
        <v>0</v>
      </c>
      <c r="GE4" s="1">
        <f t="shared" si="8"/>
        <v>0</v>
      </c>
      <c r="GF4" s="1">
        <f t="shared" si="8"/>
        <v>0</v>
      </c>
      <c r="GG4" s="1"/>
      <c r="GH4" s="1"/>
      <c r="GJ4" s="9"/>
      <c r="GM4" s="2" t="s">
        <v>78</v>
      </c>
      <c r="GN4" s="1">
        <v>0</v>
      </c>
      <c r="GO4" s="1">
        <f>+GN4</f>
        <v>0</v>
      </c>
      <c r="GP4" s="1">
        <f t="shared" ref="GP4:GV4" si="9">+GO4</f>
        <v>0</v>
      </c>
      <c r="GQ4" s="1">
        <f t="shared" si="9"/>
        <v>0</v>
      </c>
      <c r="GR4" s="1">
        <f t="shared" si="9"/>
        <v>0</v>
      </c>
      <c r="GS4" s="1">
        <f t="shared" si="9"/>
        <v>0</v>
      </c>
      <c r="GT4" s="1">
        <f t="shared" si="9"/>
        <v>0</v>
      </c>
      <c r="GU4" s="1">
        <f t="shared" si="9"/>
        <v>0</v>
      </c>
      <c r="GV4" s="1">
        <f t="shared" si="9"/>
        <v>0</v>
      </c>
      <c r="GW4" s="1"/>
      <c r="GX4" s="1"/>
      <c r="GY4" s="1"/>
      <c r="GZ4" s="9"/>
      <c r="HB4" s="1"/>
      <c r="HC4" s="2" t="s">
        <v>79</v>
      </c>
      <c r="HD4" s="1">
        <v>0</v>
      </c>
      <c r="HE4" s="1">
        <f>+HD4</f>
        <v>0</v>
      </c>
      <c r="HF4" s="1">
        <f t="shared" ref="HF4:HL4" si="10">+HE4</f>
        <v>0</v>
      </c>
      <c r="HG4" s="1">
        <f t="shared" si="10"/>
        <v>0</v>
      </c>
      <c r="HH4" s="1">
        <f t="shared" si="10"/>
        <v>0</v>
      </c>
      <c r="HI4" s="1">
        <f t="shared" si="10"/>
        <v>0</v>
      </c>
      <c r="HJ4" s="1">
        <f t="shared" si="10"/>
        <v>0</v>
      </c>
      <c r="HK4" s="1">
        <f t="shared" si="10"/>
        <v>0</v>
      </c>
      <c r="HL4" s="1">
        <f t="shared" si="10"/>
        <v>0</v>
      </c>
      <c r="HM4" s="1"/>
      <c r="HN4" s="1"/>
      <c r="HO4" s="1"/>
      <c r="HP4" s="9"/>
      <c r="HR4" s="1"/>
      <c r="HS4" s="2" t="s">
        <v>80</v>
      </c>
      <c r="HT4" s="1">
        <v>0</v>
      </c>
      <c r="HU4" s="1">
        <f>+HT4</f>
        <v>0</v>
      </c>
      <c r="HV4" s="1">
        <f t="shared" ref="HV4:IB4" si="11">+HU4</f>
        <v>0</v>
      </c>
      <c r="HW4" s="1">
        <f t="shared" si="11"/>
        <v>0</v>
      </c>
      <c r="HX4" s="1">
        <f t="shared" si="11"/>
        <v>0</v>
      </c>
      <c r="HY4" s="1">
        <f t="shared" si="11"/>
        <v>0</v>
      </c>
      <c r="HZ4" s="1">
        <f t="shared" si="11"/>
        <v>0</v>
      </c>
      <c r="IA4" s="1">
        <f t="shared" si="11"/>
        <v>0</v>
      </c>
      <c r="IB4" s="1">
        <f t="shared" si="11"/>
        <v>0</v>
      </c>
      <c r="IC4" s="1"/>
      <c r="ID4" s="1"/>
      <c r="IF4" s="9"/>
      <c r="II4" s="2" t="s">
        <v>81</v>
      </c>
      <c r="IJ4" s="1">
        <v>0</v>
      </c>
      <c r="IK4" s="1">
        <f>+IJ4</f>
        <v>0</v>
      </c>
      <c r="IL4" s="1">
        <f t="shared" ref="IL4:IR4" si="12">+IK4</f>
        <v>0</v>
      </c>
      <c r="IM4" s="1">
        <f t="shared" si="12"/>
        <v>0</v>
      </c>
      <c r="IN4" s="1">
        <f t="shared" si="12"/>
        <v>0</v>
      </c>
      <c r="IO4" s="1">
        <f t="shared" si="12"/>
        <v>0</v>
      </c>
      <c r="IP4" s="1">
        <f t="shared" si="12"/>
        <v>0</v>
      </c>
      <c r="IQ4" s="1">
        <f t="shared" si="12"/>
        <v>0</v>
      </c>
      <c r="IR4" s="1">
        <f t="shared" si="12"/>
        <v>0</v>
      </c>
      <c r="IS4" s="1"/>
      <c r="IT4" s="1"/>
      <c r="IV4" s="9"/>
      <c r="IY4" s="2" t="s">
        <v>82</v>
      </c>
      <c r="IZ4" s="1">
        <v>0</v>
      </c>
      <c r="JA4" s="1">
        <f>+IZ4</f>
        <v>0</v>
      </c>
      <c r="JB4" s="1">
        <f t="shared" ref="JB4" si="13">+JA4</f>
        <v>0</v>
      </c>
      <c r="JC4" s="1">
        <f t="shared" ref="JC4" si="14">+JB4</f>
        <v>0</v>
      </c>
      <c r="JD4" s="1">
        <f t="shared" ref="JD4" si="15">+JC4</f>
        <v>0</v>
      </c>
      <c r="JE4" s="1">
        <f t="shared" ref="JE4" si="16">+JD4</f>
        <v>0</v>
      </c>
      <c r="JF4" s="1">
        <f t="shared" ref="JF4" si="17">+JE4</f>
        <v>0</v>
      </c>
      <c r="JG4" s="1">
        <f t="shared" ref="JG4" si="18">+JF4</f>
        <v>0</v>
      </c>
      <c r="JH4" s="1">
        <f t="shared" ref="JH4" si="19">+JG4</f>
        <v>0</v>
      </c>
      <c r="JI4" s="1"/>
      <c r="JJ4" s="1"/>
      <c r="JL4" s="9"/>
      <c r="JO4" s="2" t="s">
        <v>83</v>
      </c>
      <c r="JP4" s="1">
        <v>0</v>
      </c>
      <c r="JQ4" s="1">
        <f>+JP4</f>
        <v>0</v>
      </c>
      <c r="JR4" s="1">
        <f t="shared" ref="JR4" si="20">+JQ4</f>
        <v>0</v>
      </c>
      <c r="JS4" s="1">
        <f t="shared" ref="JS4" si="21">+JR4</f>
        <v>0</v>
      </c>
      <c r="JT4" s="1">
        <f t="shared" ref="JT4" si="22">+JS4</f>
        <v>0</v>
      </c>
      <c r="JU4" s="1">
        <f t="shared" ref="JU4" si="23">+JT4</f>
        <v>0</v>
      </c>
      <c r="JV4" s="1">
        <f t="shared" ref="JV4" si="24">+JU4</f>
        <v>0</v>
      </c>
      <c r="JW4" s="1">
        <f t="shared" ref="JW4" si="25">+JV4</f>
        <v>0</v>
      </c>
      <c r="JX4" s="1">
        <f t="shared" ref="JX4" si="26">+JW4</f>
        <v>0</v>
      </c>
      <c r="JY4" s="1"/>
      <c r="JZ4" s="1"/>
      <c r="KB4" s="9"/>
      <c r="KE4" s="2" t="s">
        <v>84</v>
      </c>
      <c r="KF4" s="1">
        <v>0</v>
      </c>
      <c r="KG4" s="1">
        <f>+KF4</f>
        <v>0</v>
      </c>
      <c r="KH4" s="1">
        <f t="shared" ref="KH4:KN4" si="27">+KG4</f>
        <v>0</v>
      </c>
      <c r="KI4" s="1">
        <f t="shared" si="27"/>
        <v>0</v>
      </c>
      <c r="KJ4" s="1">
        <f t="shared" si="27"/>
        <v>0</v>
      </c>
      <c r="KK4" s="1">
        <f t="shared" si="27"/>
        <v>0</v>
      </c>
      <c r="KL4" s="1">
        <f t="shared" si="27"/>
        <v>0</v>
      </c>
      <c r="KM4" s="1">
        <f t="shared" si="27"/>
        <v>0</v>
      </c>
      <c r="KN4" s="1">
        <f t="shared" si="27"/>
        <v>0</v>
      </c>
      <c r="KO4" s="1"/>
      <c r="KP4" s="1"/>
      <c r="KR4" s="9"/>
      <c r="KU4" s="2" t="s">
        <v>85</v>
      </c>
      <c r="KV4" s="1">
        <v>0</v>
      </c>
      <c r="KW4" s="1">
        <f>+KV4</f>
        <v>0</v>
      </c>
      <c r="KX4" s="1">
        <f t="shared" ref="KX4:LD4" si="28">+KW4</f>
        <v>0</v>
      </c>
      <c r="KY4" s="1">
        <f t="shared" si="28"/>
        <v>0</v>
      </c>
      <c r="KZ4" s="1">
        <f t="shared" si="28"/>
        <v>0</v>
      </c>
      <c r="LA4" s="1">
        <f t="shared" si="28"/>
        <v>0</v>
      </c>
      <c r="LB4" s="1">
        <f t="shared" si="28"/>
        <v>0</v>
      </c>
      <c r="LC4" s="1">
        <f t="shared" si="28"/>
        <v>0</v>
      </c>
      <c r="LD4" s="1">
        <f t="shared" si="28"/>
        <v>0</v>
      </c>
      <c r="LE4" s="1"/>
      <c r="LF4" s="1"/>
      <c r="LH4" s="9"/>
      <c r="LK4" s="2" t="s">
        <v>86</v>
      </c>
      <c r="LL4" s="1">
        <v>0</v>
      </c>
      <c r="LM4" s="1">
        <f>+LL4</f>
        <v>0</v>
      </c>
      <c r="LN4" s="1">
        <f t="shared" ref="LN4:LT4" si="29">+LM4</f>
        <v>0</v>
      </c>
      <c r="LO4" s="1">
        <f t="shared" si="29"/>
        <v>0</v>
      </c>
      <c r="LP4" s="1">
        <f t="shared" si="29"/>
        <v>0</v>
      </c>
      <c r="LQ4" s="1">
        <f t="shared" si="29"/>
        <v>0</v>
      </c>
      <c r="LR4" s="1">
        <f t="shared" si="29"/>
        <v>0</v>
      </c>
      <c r="LS4" s="1">
        <f t="shared" si="29"/>
        <v>0</v>
      </c>
      <c r="LT4" s="1">
        <f t="shared" si="29"/>
        <v>0</v>
      </c>
      <c r="LU4" s="1"/>
      <c r="LV4" s="1"/>
      <c r="LX4" s="9"/>
      <c r="MA4" s="2" t="s">
        <v>87</v>
      </c>
      <c r="MB4" s="1">
        <v>0</v>
      </c>
      <c r="MC4" s="1">
        <f>+MB4</f>
        <v>0</v>
      </c>
      <c r="MD4" s="1">
        <f t="shared" ref="MD4:MJ4" si="30">+MC4</f>
        <v>0</v>
      </c>
      <c r="ME4" s="1">
        <f t="shared" si="30"/>
        <v>0</v>
      </c>
      <c r="MF4" s="1">
        <f t="shared" si="30"/>
        <v>0</v>
      </c>
      <c r="MG4" s="1">
        <f t="shared" si="30"/>
        <v>0</v>
      </c>
      <c r="MH4" s="1">
        <f t="shared" si="30"/>
        <v>0</v>
      </c>
      <c r="MI4" s="1">
        <f t="shared" si="30"/>
        <v>0</v>
      </c>
      <c r="MJ4" s="1">
        <f t="shared" si="30"/>
        <v>0</v>
      </c>
      <c r="MK4" s="1"/>
      <c r="ML4" s="1"/>
      <c r="MN4" s="9"/>
      <c r="MQ4" s="2" t="s">
        <v>88</v>
      </c>
      <c r="MR4" s="1">
        <v>0</v>
      </c>
      <c r="MS4" s="1">
        <f>+MR4</f>
        <v>0</v>
      </c>
      <c r="MT4" s="1">
        <f t="shared" ref="MT4:MZ4" si="31">+MS4</f>
        <v>0</v>
      </c>
      <c r="MU4" s="1">
        <f t="shared" si="31"/>
        <v>0</v>
      </c>
      <c r="MV4" s="1">
        <f t="shared" si="31"/>
        <v>0</v>
      </c>
      <c r="MW4" s="1">
        <f t="shared" si="31"/>
        <v>0</v>
      </c>
      <c r="MX4" s="1">
        <f t="shared" si="31"/>
        <v>0</v>
      </c>
      <c r="MY4" s="1">
        <f t="shared" si="31"/>
        <v>0</v>
      </c>
      <c r="MZ4" s="1">
        <f t="shared" si="31"/>
        <v>0</v>
      </c>
      <c r="NA4" s="1"/>
      <c r="NB4" s="1"/>
      <c r="ND4" s="9"/>
      <c r="NG4" s="2" t="s">
        <v>89</v>
      </c>
      <c r="NH4" s="1">
        <v>0</v>
      </c>
      <c r="NI4" s="1">
        <f>+NH4</f>
        <v>0</v>
      </c>
      <c r="NJ4" s="1">
        <f t="shared" ref="NJ4:NP4" si="32">+NI4</f>
        <v>0</v>
      </c>
      <c r="NK4" s="1">
        <f t="shared" si="32"/>
        <v>0</v>
      </c>
      <c r="NL4" s="1">
        <f t="shared" si="32"/>
        <v>0</v>
      </c>
      <c r="NM4" s="1">
        <f t="shared" si="32"/>
        <v>0</v>
      </c>
      <c r="NN4" s="1">
        <f t="shared" si="32"/>
        <v>0</v>
      </c>
      <c r="NO4" s="1">
        <f t="shared" si="32"/>
        <v>0</v>
      </c>
      <c r="NP4" s="1">
        <f t="shared" si="32"/>
        <v>0</v>
      </c>
      <c r="NQ4" s="1"/>
      <c r="NR4" s="1"/>
      <c r="NT4" s="9"/>
      <c r="NW4" s="2" t="s">
        <v>90</v>
      </c>
      <c r="NX4" s="1">
        <v>0</v>
      </c>
      <c r="NY4" s="1">
        <f>+NX4</f>
        <v>0</v>
      </c>
      <c r="NZ4" s="1">
        <f t="shared" ref="NZ4:OF4" si="33">+NY4</f>
        <v>0</v>
      </c>
      <c r="OA4" s="1">
        <f t="shared" si="33"/>
        <v>0</v>
      </c>
      <c r="OB4" s="1">
        <f t="shared" si="33"/>
        <v>0</v>
      </c>
      <c r="OC4" s="1">
        <f t="shared" si="33"/>
        <v>0</v>
      </c>
      <c r="OD4" s="1">
        <f t="shared" si="33"/>
        <v>0</v>
      </c>
      <c r="OE4" s="1">
        <f t="shared" si="33"/>
        <v>0</v>
      </c>
      <c r="OF4" s="1">
        <f t="shared" si="33"/>
        <v>0</v>
      </c>
      <c r="OG4" s="1"/>
      <c r="OH4" s="1"/>
      <c r="OJ4" s="9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Y4" s="2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M4" s="2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QA4" s="2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O4" s="2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C4" s="2"/>
      <c r="RD4" s="1"/>
      <c r="RE4" s="1"/>
      <c r="RF4" s="1"/>
      <c r="RG4" s="1"/>
      <c r="RH4" s="1"/>
      <c r="RI4" s="1"/>
      <c r="RJ4" s="1"/>
      <c r="RK4" s="1"/>
      <c r="RL4" s="1"/>
      <c r="RQ4" s="2"/>
      <c r="RR4" s="1"/>
      <c r="RS4" s="1"/>
      <c r="RT4" s="1"/>
      <c r="RU4" s="1"/>
      <c r="RV4" s="1"/>
      <c r="RW4" s="1"/>
      <c r="RX4" s="1"/>
      <c r="RY4" s="1"/>
      <c r="RZ4" s="1"/>
      <c r="SE4" s="2"/>
      <c r="SF4" s="1"/>
      <c r="SG4" s="1"/>
      <c r="SH4" s="1"/>
      <c r="SI4" s="1"/>
      <c r="SJ4" s="1"/>
      <c r="SK4" s="1"/>
      <c r="SL4" s="1"/>
      <c r="SM4" s="1"/>
      <c r="SN4" s="1"/>
    </row>
    <row r="5" spans="1:508" x14ac:dyDescent="0.2">
      <c r="A5" s="3" t="s">
        <v>364</v>
      </c>
      <c r="O5" s="3" t="s">
        <v>1437</v>
      </c>
      <c r="P5" s="6">
        <v>0</v>
      </c>
      <c r="Q5" s="6">
        <f t="shared" ref="Q5:X5" si="34">P4</f>
        <v>0</v>
      </c>
      <c r="R5" s="6">
        <f t="shared" si="34"/>
        <v>0</v>
      </c>
      <c r="S5" s="6">
        <f t="shared" si="34"/>
        <v>0</v>
      </c>
      <c r="T5" s="6">
        <f t="shared" si="34"/>
        <v>0</v>
      </c>
      <c r="U5" s="6">
        <f t="shared" si="34"/>
        <v>0</v>
      </c>
      <c r="V5" s="6">
        <f t="shared" si="34"/>
        <v>0</v>
      </c>
      <c r="W5" s="6">
        <f t="shared" si="34"/>
        <v>0</v>
      </c>
      <c r="X5" s="6">
        <f t="shared" si="34"/>
        <v>0</v>
      </c>
      <c r="Y5" s="1"/>
      <c r="Z5" s="1"/>
      <c r="AG5" s="3" t="s">
        <v>1443</v>
      </c>
      <c r="AH5" s="6">
        <v>0</v>
      </c>
      <c r="AI5" s="6">
        <f t="shared" ref="AI5:AP5" si="35">AH4</f>
        <v>0</v>
      </c>
      <c r="AJ5" s="6">
        <f t="shared" si="35"/>
        <v>0</v>
      </c>
      <c r="AK5" s="6">
        <f t="shared" si="35"/>
        <v>0</v>
      </c>
      <c r="AL5" s="6">
        <f t="shared" si="35"/>
        <v>0</v>
      </c>
      <c r="AM5" s="6">
        <f t="shared" si="35"/>
        <v>0</v>
      </c>
      <c r="AN5" s="6">
        <f t="shared" si="35"/>
        <v>0</v>
      </c>
      <c r="AO5" s="6">
        <f t="shared" si="35"/>
        <v>0</v>
      </c>
      <c r="AP5" s="6">
        <f t="shared" si="35"/>
        <v>0</v>
      </c>
      <c r="AQ5" s="1"/>
      <c r="AR5" s="1"/>
      <c r="AY5" s="3" t="s">
        <v>365</v>
      </c>
      <c r="AZ5" s="1">
        <f>AZ4</f>
        <v>0</v>
      </c>
      <c r="BA5" s="1">
        <f>IF(AZ5=1,1,BA4)</f>
        <v>0</v>
      </c>
      <c r="BB5" s="1">
        <f t="shared" ref="BB5" si="36">IF(BA5=1,1,BB4)</f>
        <v>0</v>
      </c>
      <c r="BC5" s="1">
        <f t="shared" ref="BC5" si="37">IF(BB5=1,1,BC4)</f>
        <v>0</v>
      </c>
      <c r="BD5" s="1">
        <f t="shared" ref="BD5" si="38">IF(BC5=1,1,BD4)</f>
        <v>0</v>
      </c>
      <c r="BE5" s="1">
        <f t="shared" ref="BE5" si="39">IF(BD5=1,1,BE4)</f>
        <v>0</v>
      </c>
      <c r="BF5" s="1">
        <f t="shared" ref="BF5" si="40">IF(BE5=1,1,BF4)</f>
        <v>0</v>
      </c>
      <c r="BG5" s="1">
        <f t="shared" ref="BG5" si="41">IF(BF5=1,1,BG4)</f>
        <v>0</v>
      </c>
      <c r="BH5" s="1">
        <f t="shared" ref="BH5" si="42">IF(BG5=1,1,BH4)</f>
        <v>0</v>
      </c>
      <c r="BI5" s="1"/>
      <c r="BJ5" s="1"/>
      <c r="BL5" s="9"/>
      <c r="BO5" s="3" t="s">
        <v>366</v>
      </c>
      <c r="BP5" s="1">
        <f>BP4</f>
        <v>0</v>
      </c>
      <c r="BQ5" s="1">
        <f>IF(BP5=1,1,BQ4)</f>
        <v>0</v>
      </c>
      <c r="BR5" s="1">
        <f t="shared" ref="BR5" si="43">IF(BQ5=1,1,BR4)</f>
        <v>0</v>
      </c>
      <c r="BS5" s="1">
        <f t="shared" ref="BS5" si="44">IF(BR5=1,1,BS4)</f>
        <v>0</v>
      </c>
      <c r="BT5" s="1">
        <f t="shared" ref="BT5" si="45">IF(BS5=1,1,BT4)</f>
        <v>0</v>
      </c>
      <c r="BU5" s="1">
        <f t="shared" ref="BU5" si="46">IF(BT5=1,1,BU4)</f>
        <v>0</v>
      </c>
      <c r="BV5" s="1">
        <f t="shared" ref="BV5" si="47">IF(BU5=1,1,BV4)</f>
        <v>0</v>
      </c>
      <c r="BW5" s="1">
        <f t="shared" ref="BW5" si="48">IF(BV5=1,1,BW4)</f>
        <v>0</v>
      </c>
      <c r="BX5" s="1">
        <f t="shared" ref="BX5" si="49">IF(BW5=1,1,BX4)</f>
        <v>0</v>
      </c>
      <c r="BY5" s="1"/>
      <c r="BZ5" s="1"/>
      <c r="CB5" s="9"/>
      <c r="CE5" s="3" t="s">
        <v>367</v>
      </c>
      <c r="CF5" s="1">
        <f>CF4</f>
        <v>0</v>
      </c>
      <c r="CG5" s="1">
        <f>IF(CF5=1,1,CG4)</f>
        <v>0</v>
      </c>
      <c r="CH5" s="1">
        <f t="shared" ref="CH5" si="50">IF(CG5=1,1,CH4)</f>
        <v>0</v>
      </c>
      <c r="CI5" s="1">
        <f t="shared" ref="CI5" si="51">IF(CH5=1,1,CI4)</f>
        <v>0</v>
      </c>
      <c r="CJ5" s="1">
        <f t="shared" ref="CJ5" si="52">IF(CI5=1,1,CJ4)</f>
        <v>0</v>
      </c>
      <c r="CK5" s="1">
        <f t="shared" ref="CK5" si="53">IF(CJ5=1,1,CK4)</f>
        <v>0</v>
      </c>
      <c r="CL5" s="1">
        <f t="shared" ref="CL5" si="54">IF(CK5=1,1,CL4)</f>
        <v>0</v>
      </c>
      <c r="CM5" s="1">
        <f t="shared" ref="CM5" si="55">IF(CL5=1,1,CM4)</f>
        <v>0</v>
      </c>
      <c r="CN5" s="1">
        <f t="shared" ref="CN5" si="56">IF(CM5=1,1,CN4)</f>
        <v>0</v>
      </c>
      <c r="CO5" s="1"/>
      <c r="CP5" s="1"/>
      <c r="CR5" s="9"/>
      <c r="CU5" s="3" t="s">
        <v>368</v>
      </c>
      <c r="CV5" s="1">
        <f>CV4</f>
        <v>0</v>
      </c>
      <c r="CW5" s="1">
        <f>IF(CV5=1,1,CW4)</f>
        <v>0</v>
      </c>
      <c r="CX5" s="1">
        <f t="shared" ref="CX5" si="57">IF(CW5=1,1,CX4)</f>
        <v>0</v>
      </c>
      <c r="CY5" s="1">
        <f t="shared" ref="CY5" si="58">IF(CX5=1,1,CY4)</f>
        <v>0</v>
      </c>
      <c r="CZ5" s="1">
        <f t="shared" ref="CZ5" si="59">IF(CY5=1,1,CZ4)</f>
        <v>0</v>
      </c>
      <c r="DA5" s="1">
        <f t="shared" ref="DA5" si="60">IF(CZ5=1,1,DA4)</f>
        <v>0</v>
      </c>
      <c r="DB5" s="1">
        <f t="shared" ref="DB5" si="61">IF(DA5=1,1,DB4)</f>
        <v>0</v>
      </c>
      <c r="DC5" s="1">
        <f t="shared" ref="DC5" si="62">IF(DB5=1,1,DC4)</f>
        <v>0</v>
      </c>
      <c r="DD5" s="1">
        <f t="shared" ref="DD5" si="63">IF(DC5=1,1,DD4)</f>
        <v>0</v>
      </c>
      <c r="DE5" s="1"/>
      <c r="DF5" s="1"/>
      <c r="DH5" s="9"/>
      <c r="DK5" s="3" t="s">
        <v>369</v>
      </c>
      <c r="DL5" s="1">
        <f>DL4</f>
        <v>0</v>
      </c>
      <c r="DM5" s="1">
        <f>IF(DL5=1,1,DM4)</f>
        <v>0</v>
      </c>
      <c r="DN5" s="1">
        <f t="shared" ref="DN5" si="64">IF(DM5=1,1,DN4)</f>
        <v>0</v>
      </c>
      <c r="DO5" s="1">
        <f t="shared" ref="DO5" si="65">IF(DN5=1,1,DO4)</f>
        <v>0</v>
      </c>
      <c r="DP5" s="1">
        <f t="shared" ref="DP5" si="66">IF(DO5=1,1,DP4)</f>
        <v>0</v>
      </c>
      <c r="DQ5" s="1">
        <f t="shared" ref="DQ5" si="67">IF(DP5=1,1,DQ4)</f>
        <v>0</v>
      </c>
      <c r="DR5" s="1">
        <f t="shared" ref="DR5" si="68">IF(DQ5=1,1,DR4)</f>
        <v>0</v>
      </c>
      <c r="DS5" s="1">
        <f t="shared" ref="DS5" si="69">IF(DR5=1,1,DS4)</f>
        <v>0</v>
      </c>
      <c r="DT5" s="1">
        <f t="shared" ref="DT5" si="70">IF(DS5=1,1,DT4)</f>
        <v>0</v>
      </c>
      <c r="DU5" s="1"/>
      <c r="DV5" s="1"/>
      <c r="DX5" s="9"/>
      <c r="EA5" s="3" t="s">
        <v>370</v>
      </c>
      <c r="EB5" s="1">
        <f>EB4</f>
        <v>0</v>
      </c>
      <c r="EC5" s="1">
        <f>IF(EB5=1,1,EC4)</f>
        <v>0</v>
      </c>
      <c r="ED5" s="1">
        <f t="shared" ref="ED5" si="71">IF(EC5=1,1,ED4)</f>
        <v>0</v>
      </c>
      <c r="EE5" s="1">
        <f t="shared" ref="EE5" si="72">IF(ED5=1,1,EE4)</f>
        <v>0</v>
      </c>
      <c r="EF5" s="1">
        <f t="shared" ref="EF5" si="73">IF(EE5=1,1,EF4)</f>
        <v>0</v>
      </c>
      <c r="EG5" s="1">
        <f t="shared" ref="EG5" si="74">IF(EF5=1,1,EG4)</f>
        <v>0</v>
      </c>
      <c r="EH5" s="1">
        <f t="shared" ref="EH5" si="75">IF(EG5=1,1,EH4)</f>
        <v>0</v>
      </c>
      <c r="EI5" s="1">
        <f t="shared" ref="EI5" si="76">IF(EH5=1,1,EI4)</f>
        <v>0</v>
      </c>
      <c r="EJ5" s="1">
        <f t="shared" ref="EJ5" si="77">IF(EI5=1,1,EJ4)</f>
        <v>0</v>
      </c>
      <c r="EK5" s="1"/>
      <c r="EL5" s="1"/>
      <c r="EN5" s="9"/>
      <c r="EQ5" s="3" t="s">
        <v>371</v>
      </c>
      <c r="ER5" s="1">
        <f>ER4</f>
        <v>0</v>
      </c>
      <c r="ES5" s="1">
        <f>IF(ER5=1,1,ES4)</f>
        <v>0</v>
      </c>
      <c r="ET5" s="1">
        <f t="shared" ref="ET5" si="78">IF(ES5=1,1,ET4)</f>
        <v>0</v>
      </c>
      <c r="EU5" s="1">
        <f t="shared" ref="EU5" si="79">IF(ET5=1,1,EU4)</f>
        <v>0</v>
      </c>
      <c r="EV5" s="1">
        <f t="shared" ref="EV5" si="80">IF(EU5=1,1,EV4)</f>
        <v>0</v>
      </c>
      <c r="EW5" s="1">
        <f t="shared" ref="EW5" si="81">IF(EV5=1,1,EW4)</f>
        <v>0</v>
      </c>
      <c r="EX5" s="1">
        <f t="shared" ref="EX5" si="82">IF(EW5=1,1,EX4)</f>
        <v>0</v>
      </c>
      <c r="EY5" s="1">
        <f t="shared" ref="EY5" si="83">IF(EX5=1,1,EY4)</f>
        <v>0</v>
      </c>
      <c r="EZ5" s="1">
        <f t="shared" ref="EZ5" si="84">IF(EY5=1,1,EZ4)</f>
        <v>0</v>
      </c>
      <c r="FA5" s="1"/>
      <c r="FB5" s="1"/>
      <c r="FD5" s="9"/>
      <c r="FG5" s="3" t="s">
        <v>372</v>
      </c>
      <c r="FH5" s="1">
        <f>FH4</f>
        <v>0</v>
      </c>
      <c r="FI5" s="1">
        <f>IF(FH5=1,1,FI4)</f>
        <v>0</v>
      </c>
      <c r="FJ5" s="1">
        <f t="shared" ref="FJ5" si="85">IF(FI5=1,1,FJ4)</f>
        <v>0</v>
      </c>
      <c r="FK5" s="1">
        <f t="shared" ref="FK5" si="86">IF(FJ5=1,1,FK4)</f>
        <v>0</v>
      </c>
      <c r="FL5" s="1">
        <f t="shared" ref="FL5" si="87">IF(FK5=1,1,FL4)</f>
        <v>0</v>
      </c>
      <c r="FM5" s="1">
        <f t="shared" ref="FM5" si="88">IF(FL5=1,1,FM4)</f>
        <v>0</v>
      </c>
      <c r="FN5" s="1">
        <f t="shared" ref="FN5" si="89">IF(FM5=1,1,FN4)</f>
        <v>0</v>
      </c>
      <c r="FO5" s="1">
        <f t="shared" ref="FO5" si="90">IF(FN5=1,1,FO4)</f>
        <v>0</v>
      </c>
      <c r="FP5" s="1">
        <f t="shared" ref="FP5" si="91">IF(FO5=1,1,FP4)</f>
        <v>0</v>
      </c>
      <c r="FQ5" s="1"/>
      <c r="FR5" s="1"/>
      <c r="FT5" s="9"/>
      <c r="FW5" s="3" t="s">
        <v>373</v>
      </c>
      <c r="FX5" s="1">
        <f>FX4</f>
        <v>0</v>
      </c>
      <c r="FY5" s="1">
        <f>IF(FX5=1,1,FY4)</f>
        <v>0</v>
      </c>
      <c r="FZ5" s="1">
        <f t="shared" ref="FZ5" si="92">IF(FY5=1,1,FZ4)</f>
        <v>0</v>
      </c>
      <c r="GA5" s="1">
        <f t="shared" ref="GA5" si="93">IF(FZ5=1,1,GA4)</f>
        <v>0</v>
      </c>
      <c r="GB5" s="1">
        <f t="shared" ref="GB5" si="94">IF(GA5=1,1,GB4)</f>
        <v>0</v>
      </c>
      <c r="GC5" s="1">
        <f t="shared" ref="GC5" si="95">IF(GB5=1,1,GC4)</f>
        <v>0</v>
      </c>
      <c r="GD5" s="1">
        <f t="shared" ref="GD5" si="96">IF(GC5=1,1,GD4)</f>
        <v>0</v>
      </c>
      <c r="GE5" s="1">
        <f t="shared" ref="GE5" si="97">IF(GD5=1,1,GE4)</f>
        <v>0</v>
      </c>
      <c r="GF5" s="1">
        <f t="shared" ref="GF5" si="98">IF(GE5=1,1,GF4)</f>
        <v>0</v>
      </c>
      <c r="GG5" s="1"/>
      <c r="GH5" s="1"/>
      <c r="GJ5" s="9"/>
      <c r="GM5" s="3" t="s">
        <v>374</v>
      </c>
      <c r="GN5" s="1">
        <f>GN4</f>
        <v>0</v>
      </c>
      <c r="GO5" s="1">
        <f>IF(GN5=1,1,GO4)</f>
        <v>0</v>
      </c>
      <c r="GP5" s="1">
        <f t="shared" ref="GP5" si="99">IF(GO5=1,1,GP4)</f>
        <v>0</v>
      </c>
      <c r="GQ5" s="1">
        <f t="shared" ref="GQ5" si="100">IF(GP5=1,1,GQ4)</f>
        <v>0</v>
      </c>
      <c r="GR5" s="1">
        <f t="shared" ref="GR5" si="101">IF(GQ5=1,1,GR4)</f>
        <v>0</v>
      </c>
      <c r="GS5" s="1">
        <f t="shared" ref="GS5" si="102">IF(GR5=1,1,GS4)</f>
        <v>0</v>
      </c>
      <c r="GT5" s="1">
        <f t="shared" ref="GT5" si="103">IF(GS5=1,1,GT4)</f>
        <v>0</v>
      </c>
      <c r="GU5" s="1">
        <f t="shared" ref="GU5" si="104">IF(GT5=1,1,GU4)</f>
        <v>0</v>
      </c>
      <c r="GV5" s="1">
        <f t="shared" ref="GV5" si="105">IF(GU5=1,1,GV4)</f>
        <v>0</v>
      </c>
      <c r="GW5" s="1"/>
      <c r="GX5" s="1"/>
      <c r="GY5" s="1"/>
      <c r="GZ5" s="9"/>
      <c r="HB5" s="1"/>
      <c r="HC5" s="3" t="s">
        <v>375</v>
      </c>
      <c r="HD5" s="1">
        <f>HD4</f>
        <v>0</v>
      </c>
      <c r="HE5" s="1">
        <f>IF(HD5=1,1,HE4)</f>
        <v>0</v>
      </c>
      <c r="HF5" s="1">
        <f t="shared" ref="HF5" si="106">IF(HE5=1,1,HF4)</f>
        <v>0</v>
      </c>
      <c r="HG5" s="1">
        <f t="shared" ref="HG5" si="107">IF(HF5=1,1,HG4)</f>
        <v>0</v>
      </c>
      <c r="HH5" s="1">
        <f t="shared" ref="HH5" si="108">IF(HG5=1,1,HH4)</f>
        <v>0</v>
      </c>
      <c r="HI5" s="1">
        <f t="shared" ref="HI5" si="109">IF(HH5=1,1,HI4)</f>
        <v>0</v>
      </c>
      <c r="HJ5" s="1">
        <f t="shared" ref="HJ5" si="110">IF(HI5=1,1,HJ4)</f>
        <v>0</v>
      </c>
      <c r="HK5" s="1">
        <f t="shared" ref="HK5" si="111">IF(HJ5=1,1,HK4)</f>
        <v>0</v>
      </c>
      <c r="HL5" s="1">
        <f t="shared" ref="HL5" si="112">IF(HK5=1,1,HL4)</f>
        <v>0</v>
      </c>
      <c r="HM5" s="1"/>
      <c r="HN5" s="1"/>
      <c r="HO5" s="1"/>
      <c r="HP5" s="9"/>
      <c r="HR5" s="1"/>
      <c r="HS5" s="3" t="s">
        <v>376</v>
      </c>
      <c r="HT5" s="1">
        <f>HT4</f>
        <v>0</v>
      </c>
      <c r="HU5" s="1">
        <f>IF(HT5=1,1,HU4)</f>
        <v>0</v>
      </c>
      <c r="HV5" s="1">
        <f t="shared" ref="HV5" si="113">IF(HU5=1,1,HV4)</f>
        <v>0</v>
      </c>
      <c r="HW5" s="1">
        <f t="shared" ref="HW5" si="114">IF(HV5=1,1,HW4)</f>
        <v>0</v>
      </c>
      <c r="HX5" s="1">
        <f t="shared" ref="HX5" si="115">IF(HW5=1,1,HX4)</f>
        <v>0</v>
      </c>
      <c r="HY5" s="1">
        <f t="shared" ref="HY5" si="116">IF(HX5=1,1,HY4)</f>
        <v>0</v>
      </c>
      <c r="HZ5" s="1">
        <f t="shared" ref="HZ5" si="117">IF(HY5=1,1,HZ4)</f>
        <v>0</v>
      </c>
      <c r="IA5" s="1">
        <f t="shared" ref="IA5" si="118">IF(HZ5=1,1,IA4)</f>
        <v>0</v>
      </c>
      <c r="IB5" s="1">
        <f t="shared" ref="IB5" si="119">IF(IA5=1,1,IB4)</f>
        <v>0</v>
      </c>
      <c r="IC5" s="1"/>
      <c r="ID5" s="1"/>
      <c r="IF5" s="9"/>
      <c r="II5" s="3" t="s">
        <v>377</v>
      </c>
      <c r="IJ5" s="1">
        <f>IJ4</f>
        <v>0</v>
      </c>
      <c r="IK5" s="1">
        <f>IF(IJ5=1,1,IK4)</f>
        <v>0</v>
      </c>
      <c r="IL5" s="1">
        <f t="shared" ref="IL5" si="120">IF(IK5=1,1,IL4)</f>
        <v>0</v>
      </c>
      <c r="IM5" s="1">
        <f t="shared" ref="IM5" si="121">IF(IL5=1,1,IM4)</f>
        <v>0</v>
      </c>
      <c r="IN5" s="1">
        <f t="shared" ref="IN5" si="122">IF(IM5=1,1,IN4)</f>
        <v>0</v>
      </c>
      <c r="IO5" s="1">
        <f t="shared" ref="IO5" si="123">IF(IN5=1,1,IO4)</f>
        <v>0</v>
      </c>
      <c r="IP5" s="1">
        <f t="shared" ref="IP5" si="124">IF(IO5=1,1,IP4)</f>
        <v>0</v>
      </c>
      <c r="IQ5" s="1">
        <f t="shared" ref="IQ5" si="125">IF(IP5=1,1,IQ4)</f>
        <v>0</v>
      </c>
      <c r="IR5" s="1">
        <f t="shared" ref="IR5" si="126">IF(IQ5=1,1,IR4)</f>
        <v>0</v>
      </c>
      <c r="IS5" s="1"/>
      <c r="IT5" s="1"/>
      <c r="IV5" s="9"/>
      <c r="IY5" s="3" t="s">
        <v>378</v>
      </c>
      <c r="IZ5" s="1">
        <f>IZ4</f>
        <v>0</v>
      </c>
      <c r="JA5" s="1">
        <f>IF(IZ5=1,1,JA4)</f>
        <v>0</v>
      </c>
      <c r="JB5" s="1">
        <f t="shared" ref="JB5" si="127">IF(JA5=1,1,JB4)</f>
        <v>0</v>
      </c>
      <c r="JC5" s="1">
        <f t="shared" ref="JC5" si="128">IF(JB5=1,1,JC4)</f>
        <v>0</v>
      </c>
      <c r="JD5" s="1">
        <f t="shared" ref="JD5" si="129">IF(JC5=1,1,JD4)</f>
        <v>0</v>
      </c>
      <c r="JE5" s="1">
        <f t="shared" ref="JE5" si="130">IF(JD5=1,1,JE4)</f>
        <v>0</v>
      </c>
      <c r="JF5" s="1">
        <f t="shared" ref="JF5" si="131">IF(JE5=1,1,JF4)</f>
        <v>0</v>
      </c>
      <c r="JG5" s="1">
        <f t="shared" ref="JG5" si="132">IF(JF5=1,1,JG4)</f>
        <v>0</v>
      </c>
      <c r="JH5" s="1">
        <f t="shared" ref="JH5" si="133">IF(JG5=1,1,JH4)</f>
        <v>0</v>
      </c>
      <c r="JI5" s="1"/>
      <c r="JJ5" s="1"/>
      <c r="JL5" s="9"/>
      <c r="JO5" s="3" t="s">
        <v>379</v>
      </c>
      <c r="JP5" s="1">
        <f>JP4</f>
        <v>0</v>
      </c>
      <c r="JQ5" s="1">
        <f>IF(JP5=1,1,JQ4)</f>
        <v>0</v>
      </c>
      <c r="JR5" s="1">
        <f t="shared" ref="JR5" si="134">IF(JQ5=1,1,JR4)</f>
        <v>0</v>
      </c>
      <c r="JS5" s="1">
        <f t="shared" ref="JS5" si="135">IF(JR5=1,1,JS4)</f>
        <v>0</v>
      </c>
      <c r="JT5" s="1">
        <f t="shared" ref="JT5" si="136">IF(JS5=1,1,JT4)</f>
        <v>0</v>
      </c>
      <c r="JU5" s="1">
        <f t="shared" ref="JU5" si="137">IF(JT5=1,1,JU4)</f>
        <v>0</v>
      </c>
      <c r="JV5" s="1">
        <f t="shared" ref="JV5" si="138">IF(JU5=1,1,JV4)</f>
        <v>0</v>
      </c>
      <c r="JW5" s="1">
        <f t="shared" ref="JW5" si="139">IF(JV5=1,1,JW4)</f>
        <v>0</v>
      </c>
      <c r="JX5" s="1">
        <f t="shared" ref="JX5" si="140">IF(JW5=1,1,JX4)</f>
        <v>0</v>
      </c>
      <c r="JY5" s="1"/>
      <c r="JZ5" s="1"/>
      <c r="KB5" s="9"/>
      <c r="KE5" s="3" t="s">
        <v>1603</v>
      </c>
      <c r="KF5" s="1">
        <f>KF4</f>
        <v>0</v>
      </c>
      <c r="KG5" s="1">
        <f>IF(KF5=1,1,KG4)</f>
        <v>0</v>
      </c>
      <c r="KH5" s="1">
        <f t="shared" ref="KH5" si="141">IF(KG5=1,1,KH4)</f>
        <v>0</v>
      </c>
      <c r="KI5" s="1">
        <f t="shared" ref="KI5" si="142">IF(KH5=1,1,KI4)</f>
        <v>0</v>
      </c>
      <c r="KJ5" s="1">
        <f t="shared" ref="KJ5" si="143">IF(KI5=1,1,KJ4)</f>
        <v>0</v>
      </c>
      <c r="KK5" s="1">
        <f t="shared" ref="KK5" si="144">IF(KJ5=1,1,KK4)</f>
        <v>0</v>
      </c>
      <c r="KL5" s="1">
        <f t="shared" ref="KL5" si="145">IF(KK5=1,1,KL4)</f>
        <v>0</v>
      </c>
      <c r="KM5" s="1">
        <f t="shared" ref="KM5" si="146">IF(KL5=1,1,KM4)</f>
        <v>0</v>
      </c>
      <c r="KN5" s="1">
        <f t="shared" ref="KN5" si="147">IF(KM5=1,1,KN4)</f>
        <v>0</v>
      </c>
      <c r="KO5" s="1"/>
      <c r="KP5" s="1"/>
      <c r="KR5" s="9"/>
      <c r="KU5" s="3" t="s">
        <v>1604</v>
      </c>
      <c r="KV5" s="1">
        <f>KV4</f>
        <v>0</v>
      </c>
      <c r="KW5" s="1">
        <f>IF(KV5=1,1,KW4)</f>
        <v>0</v>
      </c>
      <c r="KX5" s="1">
        <f t="shared" ref="KX5" si="148">IF(KW5=1,1,KX4)</f>
        <v>0</v>
      </c>
      <c r="KY5" s="1">
        <f t="shared" ref="KY5" si="149">IF(KX5=1,1,KY4)</f>
        <v>0</v>
      </c>
      <c r="KZ5" s="1">
        <f t="shared" ref="KZ5" si="150">IF(KY5=1,1,KZ4)</f>
        <v>0</v>
      </c>
      <c r="LA5" s="1">
        <f t="shared" ref="LA5" si="151">IF(KZ5=1,1,LA4)</f>
        <v>0</v>
      </c>
      <c r="LB5" s="1">
        <f t="shared" ref="LB5" si="152">IF(LA5=1,1,LB4)</f>
        <v>0</v>
      </c>
      <c r="LC5" s="1">
        <f t="shared" ref="LC5" si="153">IF(LB5=1,1,LC4)</f>
        <v>0</v>
      </c>
      <c r="LD5" s="1">
        <f t="shared" ref="LD5" si="154">IF(LC5=1,1,LD4)</f>
        <v>0</v>
      </c>
      <c r="LE5" s="1"/>
      <c r="LF5" s="1"/>
      <c r="LH5" s="9"/>
      <c r="LK5" s="3" t="s">
        <v>1605</v>
      </c>
      <c r="LL5" s="1">
        <f>LL4</f>
        <v>0</v>
      </c>
      <c r="LM5" s="1">
        <f>IF(LL5=1,1,LM4)</f>
        <v>0</v>
      </c>
      <c r="LN5" s="1">
        <f t="shared" ref="LN5" si="155">IF(LM5=1,1,LN4)</f>
        <v>0</v>
      </c>
      <c r="LO5" s="1">
        <f t="shared" ref="LO5" si="156">IF(LN5=1,1,LO4)</f>
        <v>0</v>
      </c>
      <c r="LP5" s="1">
        <f t="shared" ref="LP5" si="157">IF(LO5=1,1,LP4)</f>
        <v>0</v>
      </c>
      <c r="LQ5" s="1">
        <f t="shared" ref="LQ5" si="158">IF(LP5=1,1,LQ4)</f>
        <v>0</v>
      </c>
      <c r="LR5" s="1">
        <f t="shared" ref="LR5" si="159">IF(LQ5=1,1,LR4)</f>
        <v>0</v>
      </c>
      <c r="LS5" s="1">
        <f t="shared" ref="LS5" si="160">IF(LR5=1,1,LS4)</f>
        <v>0</v>
      </c>
      <c r="LT5" s="1">
        <f t="shared" ref="LT5" si="161">IF(LS5=1,1,LT4)</f>
        <v>0</v>
      </c>
      <c r="LU5" s="1"/>
      <c r="LV5" s="1"/>
      <c r="LX5" s="9"/>
      <c r="MA5" s="3" t="s">
        <v>1606</v>
      </c>
      <c r="MB5" s="1">
        <f>MB4</f>
        <v>0</v>
      </c>
      <c r="MC5" s="1">
        <f>IF(MB5=1,1,MC4)</f>
        <v>0</v>
      </c>
      <c r="MD5" s="1">
        <f t="shared" ref="MD5" si="162">IF(MC5=1,1,MD4)</f>
        <v>0</v>
      </c>
      <c r="ME5" s="1">
        <f t="shared" ref="ME5" si="163">IF(MD5=1,1,ME4)</f>
        <v>0</v>
      </c>
      <c r="MF5" s="1">
        <f t="shared" ref="MF5" si="164">IF(ME5=1,1,MF4)</f>
        <v>0</v>
      </c>
      <c r="MG5" s="1">
        <f t="shared" ref="MG5" si="165">IF(MF5=1,1,MG4)</f>
        <v>0</v>
      </c>
      <c r="MH5" s="1">
        <f t="shared" ref="MH5" si="166">IF(MG5=1,1,MH4)</f>
        <v>0</v>
      </c>
      <c r="MI5" s="1">
        <f t="shared" ref="MI5" si="167">IF(MH5=1,1,MI4)</f>
        <v>0</v>
      </c>
      <c r="MJ5" s="1">
        <f t="shared" ref="MJ5" si="168">IF(MI5=1,1,MJ4)</f>
        <v>0</v>
      </c>
      <c r="MK5" s="1"/>
      <c r="ML5" s="1"/>
      <c r="MN5" s="9"/>
      <c r="MQ5" s="3" t="s">
        <v>1607</v>
      </c>
      <c r="MR5" s="1">
        <f>MR4</f>
        <v>0</v>
      </c>
      <c r="MS5" s="1">
        <f>IF(MR5=1,1,MS4)</f>
        <v>0</v>
      </c>
      <c r="MT5" s="1">
        <f t="shared" ref="MT5" si="169">IF(MS5=1,1,MT4)</f>
        <v>0</v>
      </c>
      <c r="MU5" s="1">
        <f t="shared" ref="MU5" si="170">IF(MT5=1,1,MU4)</f>
        <v>0</v>
      </c>
      <c r="MV5" s="1">
        <f t="shared" ref="MV5" si="171">IF(MU5=1,1,MV4)</f>
        <v>0</v>
      </c>
      <c r="MW5" s="1">
        <f t="shared" ref="MW5" si="172">IF(MV5=1,1,MW4)</f>
        <v>0</v>
      </c>
      <c r="MX5" s="1">
        <f t="shared" ref="MX5" si="173">IF(MW5=1,1,MX4)</f>
        <v>0</v>
      </c>
      <c r="MY5" s="1">
        <f t="shared" ref="MY5" si="174">IF(MX5=1,1,MY4)</f>
        <v>0</v>
      </c>
      <c r="MZ5" s="1">
        <f t="shared" ref="MZ5" si="175">IF(MY5=1,1,MZ4)</f>
        <v>0</v>
      </c>
      <c r="NA5" s="1"/>
      <c r="NB5" s="1"/>
      <c r="ND5" s="9"/>
      <c r="NG5" s="3" t="s">
        <v>1608</v>
      </c>
      <c r="NH5" s="1">
        <f>NH4</f>
        <v>0</v>
      </c>
      <c r="NI5" s="1">
        <f>IF(NH5=1,1,NI4)</f>
        <v>0</v>
      </c>
      <c r="NJ5" s="1">
        <f t="shared" ref="NJ5" si="176">IF(NI5=1,1,NJ4)</f>
        <v>0</v>
      </c>
      <c r="NK5" s="1">
        <f t="shared" ref="NK5" si="177">IF(NJ5=1,1,NK4)</f>
        <v>0</v>
      </c>
      <c r="NL5" s="1">
        <f t="shared" ref="NL5" si="178">IF(NK5=1,1,NL4)</f>
        <v>0</v>
      </c>
      <c r="NM5" s="1">
        <f t="shared" ref="NM5" si="179">IF(NL5=1,1,NM4)</f>
        <v>0</v>
      </c>
      <c r="NN5" s="1">
        <f t="shared" ref="NN5" si="180">IF(NM5=1,1,NN4)</f>
        <v>0</v>
      </c>
      <c r="NO5" s="1">
        <f t="shared" ref="NO5" si="181">IF(NN5=1,1,NO4)</f>
        <v>0</v>
      </c>
      <c r="NP5" s="1">
        <f t="shared" ref="NP5" si="182">IF(NO5=1,1,NP4)</f>
        <v>0</v>
      </c>
      <c r="NQ5" s="1"/>
      <c r="NR5" s="1"/>
      <c r="NT5" s="9"/>
      <c r="NW5" s="3" t="s">
        <v>1602</v>
      </c>
      <c r="NX5" s="1">
        <f>NX4</f>
        <v>0</v>
      </c>
      <c r="NY5" s="1">
        <f>IF(NX5=1,1,NY4)</f>
        <v>0</v>
      </c>
      <c r="NZ5" s="1">
        <f t="shared" ref="NZ5" si="183">IF(NY5=1,1,NZ4)</f>
        <v>0</v>
      </c>
      <c r="OA5" s="1">
        <f t="shared" ref="OA5" si="184">IF(NZ5=1,1,OA4)</f>
        <v>0</v>
      </c>
      <c r="OB5" s="1">
        <f t="shared" ref="OB5" si="185">IF(OA5=1,1,OB4)</f>
        <v>0</v>
      </c>
      <c r="OC5" s="1">
        <f t="shared" ref="OC5" si="186">IF(OB5=1,1,OC4)</f>
        <v>0</v>
      </c>
      <c r="OD5" s="1">
        <f t="shared" ref="OD5" si="187">IF(OC5=1,1,OD4)</f>
        <v>0</v>
      </c>
      <c r="OE5" s="1">
        <f t="shared" ref="OE5" si="188">IF(OD5=1,1,OE4)</f>
        <v>0</v>
      </c>
      <c r="OF5" s="1">
        <f t="shared" ref="OF5" si="189">IF(OE5=1,1,OF4)</f>
        <v>0</v>
      </c>
      <c r="OG5" s="1"/>
      <c r="OH5" s="1"/>
      <c r="OJ5" s="9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Y5" s="2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M5" s="2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QA5" s="2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O5" s="2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C5" s="2"/>
      <c r="RD5" s="1"/>
      <c r="RE5" s="1"/>
      <c r="RF5" s="1"/>
      <c r="RG5" s="1"/>
      <c r="RH5" s="1"/>
      <c r="RI5" s="1"/>
      <c r="RJ5" s="1"/>
      <c r="RK5" s="1"/>
      <c r="RL5" s="1"/>
      <c r="RQ5" s="2"/>
      <c r="RR5" s="1"/>
      <c r="RS5" s="1"/>
      <c r="RT5" s="1"/>
      <c r="RU5" s="1"/>
      <c r="RV5" s="1"/>
      <c r="RW5" s="1"/>
      <c r="RX5" s="1"/>
      <c r="RY5" s="1"/>
      <c r="RZ5" s="1"/>
      <c r="SE5" s="2"/>
      <c r="SF5" s="1"/>
      <c r="SG5" s="1"/>
      <c r="SH5" s="1"/>
      <c r="SI5" s="1"/>
      <c r="SJ5" s="1"/>
      <c r="SK5" s="1"/>
      <c r="SL5" s="1"/>
      <c r="SM5" s="1"/>
      <c r="SN5" s="1"/>
    </row>
    <row r="6" spans="1:508" x14ac:dyDescent="0.2">
      <c r="A6" s="3" t="s">
        <v>91</v>
      </c>
      <c r="O6" s="3" t="s">
        <v>1438</v>
      </c>
      <c r="P6" s="1">
        <f>_xlfn.XLOOKUP(P4,'KPI Impacts'!$T$2:$W$2,'KPI Impacts'!$T$63:$W$63)</f>
        <v>0</v>
      </c>
      <c r="Q6" s="1">
        <f>_xlfn.XLOOKUP(Q4,'KPI Impacts'!$T$2:$W$2,'KPI Impacts'!$T$63:$W$63)</f>
        <v>0</v>
      </c>
      <c r="R6" s="1">
        <f>_xlfn.XLOOKUP(R4,'KPI Impacts'!$T$2:$W$2,'KPI Impacts'!$T$63:$W$63)</f>
        <v>0</v>
      </c>
      <c r="S6" s="1">
        <f>_xlfn.XLOOKUP(S4,'KPI Impacts'!$T$2:$W$2,'KPI Impacts'!$T$63:$W$63)</f>
        <v>0</v>
      </c>
      <c r="T6" s="1">
        <f>_xlfn.XLOOKUP(T4,'KPI Impacts'!$T$2:$W$2,'KPI Impacts'!$T$63:$W$63)</f>
        <v>0</v>
      </c>
      <c r="U6" s="1">
        <f>_xlfn.XLOOKUP(U4,'KPI Impacts'!$T$2:$W$2,'KPI Impacts'!$T$63:$W$63)</f>
        <v>0</v>
      </c>
      <c r="V6" s="1">
        <f>_xlfn.XLOOKUP(V4,'KPI Impacts'!$T$2:$W$2,'KPI Impacts'!$T$63:$W$63)</f>
        <v>0</v>
      </c>
      <c r="W6" s="1">
        <f>_xlfn.XLOOKUP(W4,'KPI Impacts'!$T$2:$W$2,'KPI Impacts'!$T$63:$W$63)</f>
        <v>0</v>
      </c>
      <c r="X6" s="1">
        <f>_xlfn.XLOOKUP(X4,'KPI Impacts'!$T$2:$W$2,'KPI Impacts'!$T$63:$W$63)</f>
        <v>0</v>
      </c>
      <c r="Y6" s="1"/>
      <c r="Z6" s="1"/>
      <c r="AG6" s="3" t="s">
        <v>1444</v>
      </c>
      <c r="AH6" s="1">
        <f>_xlfn.XLOOKUP(AH4,'KPI Impacts'!$T$2:$W$2,'KPI Impacts'!$T$63:$W$63)</f>
        <v>0</v>
      </c>
      <c r="AI6" s="1">
        <f>_xlfn.XLOOKUP(AI4,'KPI Impacts'!$T$2:$W$2,'KPI Impacts'!$T$63:$W$63)</f>
        <v>0</v>
      </c>
      <c r="AJ6" s="1">
        <f>_xlfn.XLOOKUP(AJ4,'KPI Impacts'!$T$2:$W$2,'KPI Impacts'!$T$63:$W$63)</f>
        <v>0</v>
      </c>
      <c r="AK6" s="1">
        <f>_xlfn.XLOOKUP(AK4,'KPI Impacts'!$T$2:$W$2,'KPI Impacts'!$T$63:$W$63)</f>
        <v>0</v>
      </c>
      <c r="AL6" s="1">
        <f>_xlfn.XLOOKUP(AL4,'KPI Impacts'!$T$2:$W$2,'KPI Impacts'!$T$63:$W$63)</f>
        <v>0</v>
      </c>
      <c r="AM6" s="1">
        <f>_xlfn.XLOOKUP(AM4,'KPI Impacts'!$T$2:$W$2,'KPI Impacts'!$T$63:$W$63)</f>
        <v>0</v>
      </c>
      <c r="AN6" s="1">
        <f>_xlfn.XLOOKUP(AN4,'KPI Impacts'!$T$2:$W$2,'KPI Impacts'!$T$63:$W$63)</f>
        <v>0</v>
      </c>
      <c r="AO6" s="1">
        <f>_xlfn.XLOOKUP(AO4,'KPI Impacts'!$T$2:$W$2,'KPI Impacts'!$T$63:$W$63)</f>
        <v>0</v>
      </c>
      <c r="AP6" s="1">
        <f>_xlfn.XLOOKUP(AP4,'KPI Impacts'!$T$2:$W$2,'KPI Impacts'!$T$63:$W$63)</f>
        <v>0</v>
      </c>
      <c r="AQ6" s="1"/>
      <c r="AR6" s="1"/>
      <c r="AY6" s="3" t="s">
        <v>297</v>
      </c>
      <c r="AZ6" s="1">
        <v>0</v>
      </c>
      <c r="BA6" s="1">
        <f>IF(AND(AZ4=1,AZ5=1),1,IF(AND(AZ4=0,AZ5=1),3,0))</f>
        <v>0</v>
      </c>
      <c r="BB6" s="1">
        <f t="shared" ref="BB6:BH6" si="190">IF(AND(BA4=1,BA5=1),1,IF(AND(BA4=0,BA5=1),3,0))</f>
        <v>0</v>
      </c>
      <c r="BC6" s="1">
        <f t="shared" si="190"/>
        <v>0</v>
      </c>
      <c r="BD6" s="1">
        <f t="shared" si="190"/>
        <v>0</v>
      </c>
      <c r="BE6" s="1">
        <f t="shared" si="190"/>
        <v>0</v>
      </c>
      <c r="BF6" s="1">
        <f t="shared" si="190"/>
        <v>0</v>
      </c>
      <c r="BG6" s="1">
        <f t="shared" si="190"/>
        <v>0</v>
      </c>
      <c r="BH6" s="1">
        <f t="shared" si="190"/>
        <v>0</v>
      </c>
      <c r="BI6" s="1"/>
      <c r="BJ6" s="1"/>
      <c r="BL6" s="9"/>
      <c r="BO6" s="3" t="s">
        <v>298</v>
      </c>
      <c r="BP6" s="1">
        <v>0</v>
      </c>
      <c r="BQ6" s="1">
        <f>IF(AND(BP4=1,BP5=1),1,IF(AND(BP4=0,BP5=1),3,0))</f>
        <v>0</v>
      </c>
      <c r="BR6" s="1">
        <f t="shared" ref="BR6" si="191">IF(AND(BQ4=1,BQ5=1),1,IF(AND(BQ4=0,BQ5=1),3,0))</f>
        <v>0</v>
      </c>
      <c r="BS6" s="1">
        <f t="shared" ref="BS6" si="192">IF(AND(BR4=1,BR5=1),1,IF(AND(BR4=0,BR5=1),3,0))</f>
        <v>0</v>
      </c>
      <c r="BT6" s="1">
        <f t="shared" ref="BT6" si="193">IF(AND(BS4=1,BS5=1),1,IF(AND(BS4=0,BS5=1),3,0))</f>
        <v>0</v>
      </c>
      <c r="BU6" s="1">
        <f t="shared" ref="BU6" si="194">IF(AND(BT4=1,BT5=1),1,IF(AND(BT4=0,BT5=1),3,0))</f>
        <v>0</v>
      </c>
      <c r="BV6" s="1">
        <f t="shared" ref="BV6" si="195">IF(AND(BU4=1,BU5=1),1,IF(AND(BU4=0,BU5=1),3,0))</f>
        <v>0</v>
      </c>
      <c r="BW6" s="1">
        <f t="shared" ref="BW6" si="196">IF(AND(BV4=1,BV5=1),1,IF(AND(BV4=0,BV5=1),3,0))</f>
        <v>0</v>
      </c>
      <c r="BX6" s="1">
        <f t="shared" ref="BX6" si="197">IF(AND(BW4=1,BW5=1),1,IF(AND(BW4=0,BW5=1),3,0))</f>
        <v>0</v>
      </c>
      <c r="BY6" s="1"/>
      <c r="BZ6" s="1"/>
      <c r="CB6" s="9"/>
      <c r="CE6" s="3" t="s">
        <v>299</v>
      </c>
      <c r="CF6" s="1">
        <v>0</v>
      </c>
      <c r="CG6" s="1">
        <f>IF(AND(CF4=1,CF5=1),1,IF(AND(CF4=0,CF5=1),3,0))</f>
        <v>0</v>
      </c>
      <c r="CH6" s="1">
        <f t="shared" ref="CH6" si="198">IF(AND(CG4=1,CG5=1),1,IF(AND(CG4=0,CG5=1),3,0))</f>
        <v>0</v>
      </c>
      <c r="CI6" s="1">
        <f t="shared" ref="CI6" si="199">IF(AND(CH4=1,CH5=1),1,IF(AND(CH4=0,CH5=1),3,0))</f>
        <v>0</v>
      </c>
      <c r="CJ6" s="1">
        <f t="shared" ref="CJ6" si="200">IF(AND(CI4=1,CI5=1),1,IF(AND(CI4=0,CI5=1),3,0))</f>
        <v>0</v>
      </c>
      <c r="CK6" s="1">
        <f t="shared" ref="CK6" si="201">IF(AND(CJ4=1,CJ5=1),1,IF(AND(CJ4=0,CJ5=1),3,0))</f>
        <v>0</v>
      </c>
      <c r="CL6" s="1">
        <f t="shared" ref="CL6" si="202">IF(AND(CK4=1,CK5=1),1,IF(AND(CK4=0,CK5=1),3,0))</f>
        <v>0</v>
      </c>
      <c r="CM6" s="1">
        <f t="shared" ref="CM6" si="203">IF(AND(CL4=1,CL5=1),1,IF(AND(CL4=0,CL5=1),3,0))</f>
        <v>0</v>
      </c>
      <c r="CN6" s="1">
        <f t="shared" ref="CN6" si="204">IF(AND(CM4=1,CM5=1),1,IF(AND(CM4=0,CM5=1),3,0))</f>
        <v>0</v>
      </c>
      <c r="CO6" s="1"/>
      <c r="CP6" s="1"/>
      <c r="CR6" s="9"/>
      <c r="CU6" s="3" t="s">
        <v>300</v>
      </c>
      <c r="CV6" s="1">
        <v>0</v>
      </c>
      <c r="CW6" s="1">
        <f t="shared" ref="CW6:CX6" si="205">IF(AND(CV4=1,CV5=1),1,IF(AND(CV4=0,CV5=1),3,0))</f>
        <v>0</v>
      </c>
      <c r="CX6" s="1">
        <f t="shared" si="205"/>
        <v>0</v>
      </c>
      <c r="CY6" s="1">
        <f t="shared" ref="CY6" si="206">IF(AND(CX4=1,CX5=1),1,IF(AND(CX4=0,CX5=1),3,0))</f>
        <v>0</v>
      </c>
      <c r="CZ6" s="1">
        <f t="shared" ref="CZ6" si="207">IF(AND(CY4=1,CY5=1),1,IF(AND(CY4=0,CY5=1),3,0))</f>
        <v>0</v>
      </c>
      <c r="DA6" s="1">
        <f t="shared" ref="DA6" si="208">IF(AND(CZ4=1,CZ5=1),1,IF(AND(CZ4=0,CZ5=1),3,0))</f>
        <v>0</v>
      </c>
      <c r="DB6" s="1">
        <f t="shared" ref="DB6" si="209">IF(AND(DA4=1,DA5=1),1,IF(AND(DA4=0,DA5=1),3,0))</f>
        <v>0</v>
      </c>
      <c r="DC6" s="1">
        <f t="shared" ref="DC6" si="210">IF(AND(DB4=1,DB5=1),1,IF(AND(DB4=0,DB5=1),3,0))</f>
        <v>0</v>
      </c>
      <c r="DD6" s="1">
        <f t="shared" ref="DD6" si="211">IF(AND(DC4=1,DC5=1),1,IF(AND(DC4=0,DC5=1),3,0))</f>
        <v>0</v>
      </c>
      <c r="DE6" s="1"/>
      <c r="DF6" s="1"/>
      <c r="DH6" s="9"/>
      <c r="DK6" s="3" t="s">
        <v>301</v>
      </c>
      <c r="DL6" s="1">
        <v>2</v>
      </c>
      <c r="DM6" s="1">
        <v>2</v>
      </c>
      <c r="DN6" s="1">
        <f t="shared" ref="DN6" si="212">IF(AND(DM4=1,DM5=1),1,IF(AND(DM4=0,DM5=1),3,0))</f>
        <v>0</v>
      </c>
      <c r="DO6" s="1">
        <f t="shared" ref="DO6" si="213">IF(AND(DN4=1,DN5=1),1,IF(AND(DN4=0,DN5=1),3,0))</f>
        <v>0</v>
      </c>
      <c r="DP6" s="1">
        <f t="shared" ref="DP6" si="214">IF(AND(DO4=1,DO5=1),1,IF(AND(DO4=0,DO5=1),3,0))</f>
        <v>0</v>
      </c>
      <c r="DQ6" s="1">
        <f t="shared" ref="DQ6" si="215">IF(AND(DP4=1,DP5=1),1,IF(AND(DP4=0,DP5=1),3,0))</f>
        <v>0</v>
      </c>
      <c r="DR6" s="1">
        <f t="shared" ref="DR6" si="216">IF(AND(DQ4=1,DQ5=1),1,IF(AND(DQ4=0,DQ5=1),3,0))</f>
        <v>0</v>
      </c>
      <c r="DS6" s="1">
        <f t="shared" ref="DS6" si="217">IF(AND(DR4=1,DR5=1),1,IF(AND(DR4=0,DR5=1),3,0))</f>
        <v>0</v>
      </c>
      <c r="DT6" s="1">
        <f t="shared" ref="DT6" si="218">IF(AND(DS4=1,DS5=1),1,IF(AND(DS4=0,DS5=1),3,0))</f>
        <v>0</v>
      </c>
      <c r="DU6" s="1"/>
      <c r="DV6" s="1"/>
      <c r="DX6" s="9"/>
      <c r="EA6" s="3" t="s">
        <v>302</v>
      </c>
      <c r="EB6" s="1">
        <v>2</v>
      </c>
      <c r="EC6" s="1">
        <v>2</v>
      </c>
      <c r="ED6" s="1">
        <f t="shared" ref="ED6:EE6" si="219">IF(AND(EC4=1,EC5=1),1,IF(AND(EC4=0,EC5=1),3,0))</f>
        <v>0</v>
      </c>
      <c r="EE6" s="1">
        <f t="shared" si="219"/>
        <v>0</v>
      </c>
      <c r="EF6" s="1">
        <f t="shared" ref="EF6" si="220">IF(AND(EE4=1,EE5=1),1,IF(AND(EE4=0,EE5=1),3,0))</f>
        <v>0</v>
      </c>
      <c r="EG6" s="1">
        <f t="shared" ref="EG6" si="221">IF(AND(EF4=1,EF5=1),1,IF(AND(EF4=0,EF5=1),3,0))</f>
        <v>0</v>
      </c>
      <c r="EH6" s="1">
        <f t="shared" ref="EH6" si="222">IF(AND(EG4=1,EG5=1),1,IF(AND(EG4=0,EG5=1),3,0))</f>
        <v>0</v>
      </c>
      <c r="EI6" s="1">
        <f t="shared" ref="EI6" si="223">IF(AND(EH4=1,EH5=1),1,IF(AND(EH4=0,EH5=1),3,0))</f>
        <v>0</v>
      </c>
      <c r="EJ6" s="1">
        <f t="shared" ref="EJ6" si="224">IF(AND(EI4=1,EI5=1),1,IF(AND(EI4=0,EI5=1),3,0))</f>
        <v>0</v>
      </c>
      <c r="EK6" s="1"/>
      <c r="EL6" s="1"/>
      <c r="EN6" s="9"/>
      <c r="EQ6" s="3" t="s">
        <v>303</v>
      </c>
      <c r="ER6" s="1">
        <v>2</v>
      </c>
      <c r="ES6" s="1">
        <v>2</v>
      </c>
      <c r="ET6" s="1">
        <v>2</v>
      </c>
      <c r="EU6" s="1">
        <f t="shared" ref="EU6:EV6" si="225">IF(AND(ET4=1,ET5=1),1,IF(AND(ET4=0,ET5=1),3,0))</f>
        <v>0</v>
      </c>
      <c r="EV6" s="1">
        <f t="shared" si="225"/>
        <v>0</v>
      </c>
      <c r="EW6" s="1">
        <f t="shared" ref="EW6" si="226">IF(AND(EV4=1,EV5=1),1,IF(AND(EV4=0,EV5=1),3,0))</f>
        <v>0</v>
      </c>
      <c r="EX6" s="1">
        <f t="shared" ref="EX6" si="227">IF(AND(EW4=1,EW5=1),1,IF(AND(EW4=0,EW5=1),3,0))</f>
        <v>0</v>
      </c>
      <c r="EY6" s="1">
        <f t="shared" ref="EY6" si="228">IF(AND(EX4=1,EX5=1),1,IF(AND(EX4=0,EX5=1),3,0))</f>
        <v>0</v>
      </c>
      <c r="EZ6" s="1">
        <f t="shared" ref="EZ6" si="229">IF(AND(EY4=1,EY5=1),1,IF(AND(EY4=0,EY5=1),3,0))</f>
        <v>0</v>
      </c>
      <c r="FA6" s="1"/>
      <c r="FB6" s="1"/>
      <c r="FD6" s="9"/>
      <c r="FG6" s="3" t="s">
        <v>304</v>
      </c>
      <c r="FH6" s="1">
        <v>2</v>
      </c>
      <c r="FI6" s="1">
        <v>2</v>
      </c>
      <c r="FJ6" s="1">
        <v>2</v>
      </c>
      <c r="FK6" s="1">
        <f t="shared" ref="FK6:FL6" si="230">IF(AND(FJ4=1,FJ5=1),1,IF(AND(FJ4=0,FJ5=1),3,0))</f>
        <v>0</v>
      </c>
      <c r="FL6" s="1">
        <f t="shared" si="230"/>
        <v>0</v>
      </c>
      <c r="FM6" s="1">
        <f t="shared" ref="FM6" si="231">IF(AND(FL4=1,FL5=1),1,IF(AND(FL4=0,FL5=1),3,0))</f>
        <v>0</v>
      </c>
      <c r="FN6" s="1">
        <f t="shared" ref="FN6" si="232">IF(AND(FM4=1,FM5=1),1,IF(AND(FM4=0,FM5=1),3,0))</f>
        <v>0</v>
      </c>
      <c r="FO6" s="1">
        <f t="shared" ref="FO6" si="233">IF(AND(FN4=1,FN5=1),1,IF(AND(FN4=0,FN5=1),3,0))</f>
        <v>0</v>
      </c>
      <c r="FP6" s="1">
        <f t="shared" ref="FP6" si="234">IF(AND(FO4=1,FO5=1),1,IF(AND(FO4=0,FO5=1),3,0))</f>
        <v>0</v>
      </c>
      <c r="FQ6" s="1"/>
      <c r="FR6" s="1"/>
      <c r="FT6" s="9"/>
      <c r="FW6" s="3" t="s">
        <v>305</v>
      </c>
      <c r="FX6" s="1">
        <v>2</v>
      </c>
      <c r="FY6" s="1">
        <v>2</v>
      </c>
      <c r="FZ6" s="1">
        <v>2</v>
      </c>
      <c r="GA6" s="1">
        <v>2</v>
      </c>
      <c r="GB6" s="1">
        <f t="shared" ref="GB6" si="235">IF(AND(GA4=1,GA5=1),1,IF(AND(GA4=0,GA5=1),3,0))</f>
        <v>0</v>
      </c>
      <c r="GC6" s="1">
        <f t="shared" ref="GC6" si="236">IF(AND(GB4=1,GB5=1),1,IF(AND(GB4=0,GB5=1),3,0))</f>
        <v>0</v>
      </c>
      <c r="GD6" s="1">
        <f t="shared" ref="GD6" si="237">IF(AND(GC4=1,GC5=1),1,IF(AND(GC4=0,GC5=1),3,0))</f>
        <v>0</v>
      </c>
      <c r="GE6" s="1">
        <f t="shared" ref="GE6" si="238">IF(AND(GD4=1,GD5=1),1,IF(AND(GD4=0,GD5=1),3,0))</f>
        <v>0</v>
      </c>
      <c r="GF6" s="1">
        <f t="shared" ref="GF6" si="239">IF(AND(GE4=1,GE5=1),1,IF(AND(GE4=0,GE5=1),3,0))</f>
        <v>0</v>
      </c>
      <c r="GG6" s="1"/>
      <c r="GH6" s="1"/>
      <c r="GJ6" s="9"/>
      <c r="GM6" s="3" t="s">
        <v>306</v>
      </c>
      <c r="GN6" s="1">
        <v>2</v>
      </c>
      <c r="GO6" s="1">
        <v>2</v>
      </c>
      <c r="GP6" s="1">
        <v>2</v>
      </c>
      <c r="GQ6" s="1">
        <v>2</v>
      </c>
      <c r="GR6" s="1">
        <f t="shared" ref="GR6" si="240">IF(AND(GQ4=1,GQ5=1),1,IF(AND(GQ4=0,GQ5=1),3,0))</f>
        <v>0</v>
      </c>
      <c r="GS6" s="1">
        <f t="shared" ref="GS6" si="241">IF(AND(GR4=1,GR5=1),1,IF(AND(GR4=0,GR5=1),3,0))</f>
        <v>0</v>
      </c>
      <c r="GT6" s="1">
        <f t="shared" ref="GT6" si="242">IF(AND(GS4=1,GS5=1),1,IF(AND(GS4=0,GS5=1),3,0))</f>
        <v>0</v>
      </c>
      <c r="GU6" s="1">
        <f t="shared" ref="GU6" si="243">IF(AND(GT4=1,GT5=1),1,IF(AND(GT4=0,GT5=1),3,0))</f>
        <v>0</v>
      </c>
      <c r="GV6" s="1">
        <f t="shared" ref="GV6" si="244">IF(AND(GU4=1,GU5=1),1,IF(AND(GU4=0,GU5=1),3,0))</f>
        <v>0</v>
      </c>
      <c r="GW6" s="1"/>
      <c r="GX6" s="1"/>
      <c r="GY6" s="1"/>
      <c r="GZ6" s="9"/>
      <c r="HB6" s="1"/>
      <c r="HC6" s="3" t="s">
        <v>307</v>
      </c>
      <c r="HD6" s="1">
        <v>2</v>
      </c>
      <c r="HE6" s="1">
        <v>2</v>
      </c>
      <c r="HF6" s="1">
        <v>2</v>
      </c>
      <c r="HG6" s="1">
        <v>2</v>
      </c>
      <c r="HH6" s="1">
        <v>2</v>
      </c>
      <c r="HI6" s="1">
        <f t="shared" ref="HI6" si="245">IF(AND(HH4=1,HH5=1),1,IF(AND(HH4=0,HH5=1),3,0))</f>
        <v>0</v>
      </c>
      <c r="HJ6" s="1">
        <f t="shared" ref="HJ6" si="246">IF(AND(HI4=1,HI5=1),1,IF(AND(HI4=0,HI5=1),3,0))</f>
        <v>0</v>
      </c>
      <c r="HK6" s="1">
        <f t="shared" ref="HK6" si="247">IF(AND(HJ4=1,HJ5=1),1,IF(AND(HJ4=0,HJ5=1),3,0))</f>
        <v>0</v>
      </c>
      <c r="HL6" s="1">
        <f t="shared" ref="HL6" si="248">IF(AND(HK4=1,HK5=1),1,IF(AND(HK4=0,HK5=1),3,0))</f>
        <v>0</v>
      </c>
      <c r="HM6" s="1"/>
      <c r="HN6" s="1"/>
      <c r="HO6" s="1"/>
      <c r="HP6" s="9"/>
      <c r="HR6" s="1"/>
      <c r="HS6" s="3" t="s">
        <v>308</v>
      </c>
      <c r="HT6" s="1">
        <v>2</v>
      </c>
      <c r="HU6" s="1">
        <v>2</v>
      </c>
      <c r="HV6" s="1">
        <v>2</v>
      </c>
      <c r="HW6" s="1">
        <f t="shared" ref="HW6" si="249">IF(AND(HV4=1,HV5=1),1,IF(AND(HV4=0,HV5=1),3,0))</f>
        <v>0</v>
      </c>
      <c r="HX6" s="1">
        <f t="shared" ref="HX6" si="250">IF(AND(HW4=1,HW5=1),1,IF(AND(HW4=0,HW5=1),3,0))</f>
        <v>0</v>
      </c>
      <c r="HY6" s="1">
        <f t="shared" ref="HY6" si="251">IF(AND(HX4=1,HX5=1),1,IF(AND(HX4=0,HX5=1),3,0))</f>
        <v>0</v>
      </c>
      <c r="HZ6" s="1">
        <f t="shared" ref="HZ6" si="252">IF(AND(HY4=1,HY5=1),1,IF(AND(HY4=0,HY5=1),3,0))</f>
        <v>0</v>
      </c>
      <c r="IA6" s="1">
        <f t="shared" ref="IA6" si="253">IF(AND(HZ4=1,HZ5=1),1,IF(AND(HZ4=0,HZ5=1),3,0))</f>
        <v>0</v>
      </c>
      <c r="IB6" s="1">
        <f t="shared" ref="IB6" si="254">IF(AND(IA4=1,IA5=1),1,IF(AND(IA4=0,IA5=1),3,0))</f>
        <v>0</v>
      </c>
      <c r="IC6" s="1"/>
      <c r="ID6" s="1"/>
      <c r="IF6" s="9"/>
      <c r="II6" s="3" t="s">
        <v>309</v>
      </c>
      <c r="IJ6" s="1">
        <v>2</v>
      </c>
      <c r="IK6" s="1">
        <v>2</v>
      </c>
      <c r="IL6" s="1">
        <v>2</v>
      </c>
      <c r="IM6" s="1">
        <f t="shared" ref="IM6" si="255">IF(AND(IL4=1,IL5=1),1,IF(AND(IL4=0,IL5=1),3,0))</f>
        <v>0</v>
      </c>
      <c r="IN6" s="1">
        <f t="shared" ref="IN6" si="256">IF(AND(IM4=1,IM5=1),1,IF(AND(IM4=0,IM5=1),3,0))</f>
        <v>0</v>
      </c>
      <c r="IO6" s="1">
        <f t="shared" ref="IO6" si="257">IF(AND(IN4=1,IN5=1),1,IF(AND(IN4=0,IN5=1),3,0))</f>
        <v>0</v>
      </c>
      <c r="IP6" s="1">
        <f t="shared" ref="IP6" si="258">IF(AND(IO4=1,IO5=1),1,IF(AND(IO4=0,IO5=1),3,0))</f>
        <v>0</v>
      </c>
      <c r="IQ6" s="1">
        <f t="shared" ref="IQ6" si="259">IF(AND(IP4=1,IP5=1),1,IF(AND(IP4=0,IP5=1),3,0))</f>
        <v>0</v>
      </c>
      <c r="IR6" s="1">
        <f t="shared" ref="IR6" si="260">IF(AND(IQ4=1,IQ5=1),1,IF(AND(IQ4=0,IQ5=1),3,0))</f>
        <v>0</v>
      </c>
      <c r="IS6" s="1"/>
      <c r="IT6" s="1"/>
      <c r="IV6" s="9"/>
      <c r="IY6" s="3" t="s">
        <v>310</v>
      </c>
      <c r="IZ6" s="1">
        <v>2</v>
      </c>
      <c r="JA6" s="1">
        <v>2</v>
      </c>
      <c r="JB6" s="1">
        <v>2</v>
      </c>
      <c r="JC6" s="1">
        <v>2</v>
      </c>
      <c r="JD6" s="1">
        <f t="shared" ref="JD6" si="261">IF(AND(JC4=1,JC5=1),1,IF(AND(JC4=0,JC5=1),3,0))</f>
        <v>0</v>
      </c>
      <c r="JE6" s="1">
        <f t="shared" ref="JE6" si="262">IF(AND(JD4=1,JD5=1),1,IF(AND(JD4=0,JD5=1),3,0))</f>
        <v>0</v>
      </c>
      <c r="JF6" s="1">
        <f t="shared" ref="JF6" si="263">IF(AND(JE4=1,JE5=1),1,IF(AND(JE4=0,JE5=1),3,0))</f>
        <v>0</v>
      </c>
      <c r="JG6" s="1">
        <f t="shared" ref="JG6" si="264">IF(AND(JF4=1,JF5=1),1,IF(AND(JF4=0,JF5=1),3,0))</f>
        <v>0</v>
      </c>
      <c r="JH6" s="1">
        <f t="shared" ref="JH6" si="265">IF(AND(JG4=1,JG5=1),1,IF(AND(JG4=0,JG5=1),3,0))</f>
        <v>0</v>
      </c>
      <c r="JI6" s="1"/>
      <c r="JJ6" s="1"/>
      <c r="JL6" s="9"/>
      <c r="JO6" s="3" t="s">
        <v>311</v>
      </c>
      <c r="JP6" s="1">
        <v>2</v>
      </c>
      <c r="JQ6" s="1">
        <v>2</v>
      </c>
      <c r="JR6" s="1">
        <v>2</v>
      </c>
      <c r="JS6" s="1">
        <v>2</v>
      </c>
      <c r="JT6" s="1">
        <f t="shared" ref="JT6" si="266">IF(AND(JS4=1,JS5=1),1,IF(AND(JS4=0,JS5=1),3,0))</f>
        <v>0</v>
      </c>
      <c r="JU6" s="1">
        <f t="shared" ref="JU6" si="267">IF(AND(JT4=1,JT5=1),1,IF(AND(JT4=0,JT5=1),3,0))</f>
        <v>0</v>
      </c>
      <c r="JV6" s="1">
        <f t="shared" ref="JV6" si="268">IF(AND(JU4=1,JU5=1),1,IF(AND(JU4=0,JU5=1),3,0))</f>
        <v>0</v>
      </c>
      <c r="JW6" s="1">
        <f t="shared" ref="JW6" si="269">IF(AND(JV4=1,JV5=1),1,IF(AND(JV4=0,JV5=1),3,0))</f>
        <v>0</v>
      </c>
      <c r="JX6" s="1">
        <f t="shared" ref="JX6" si="270">IF(AND(JW4=1,JW5=1),1,IF(AND(JW4=0,JW5=1),3,0))</f>
        <v>0</v>
      </c>
      <c r="JY6" s="1"/>
      <c r="JZ6" s="1"/>
      <c r="KB6" s="9"/>
      <c r="KE6" s="3" t="s">
        <v>312</v>
      </c>
      <c r="KF6" s="1">
        <v>0</v>
      </c>
      <c r="KG6" s="1">
        <f>IF(AND(KF4=1,KF5=1),1,IF(AND(KF4=0,KF5=1),3,0))</f>
        <v>0</v>
      </c>
      <c r="KH6" s="1">
        <f t="shared" ref="KH6" si="271">IF(AND(KG4=1,KG5=1),1,IF(AND(KG4=0,KG5=1),3,0))</f>
        <v>0</v>
      </c>
      <c r="KI6" s="1">
        <f t="shared" ref="KI6" si="272">IF(AND(KH4=1,KH5=1),1,IF(AND(KH4=0,KH5=1),3,0))</f>
        <v>0</v>
      </c>
      <c r="KJ6" s="1">
        <f t="shared" ref="KJ6" si="273">IF(AND(KI4=1,KI5=1),1,IF(AND(KI4=0,KI5=1),3,0))</f>
        <v>0</v>
      </c>
      <c r="KK6" s="1">
        <f t="shared" ref="KK6" si="274">IF(AND(KJ4=1,KJ5=1),1,IF(AND(KJ4=0,KJ5=1),3,0))</f>
        <v>0</v>
      </c>
      <c r="KL6" s="1">
        <f t="shared" ref="KL6" si="275">IF(AND(KK4=1,KK5=1),1,IF(AND(KK4=0,KK5=1),3,0))</f>
        <v>0</v>
      </c>
      <c r="KM6" s="1">
        <f t="shared" ref="KM6" si="276">IF(AND(KL4=1,KL5=1),1,IF(AND(KL4=0,KL5=1),3,0))</f>
        <v>0</v>
      </c>
      <c r="KN6" s="1">
        <f t="shared" ref="KN6" si="277">IF(AND(KM4=1,KM5=1),1,IF(AND(KM4=0,KM5=1),3,0))</f>
        <v>0</v>
      </c>
      <c r="KO6" s="1"/>
      <c r="KP6" s="1"/>
      <c r="KR6" s="9"/>
      <c r="KU6" s="3" t="s">
        <v>313</v>
      </c>
      <c r="KV6" s="1">
        <v>0</v>
      </c>
      <c r="KW6" s="1">
        <f>IF(AND(KV4=1,KV5=1),1,IF(AND(KV4=0,KV5=1),3,0))</f>
        <v>0</v>
      </c>
      <c r="KX6" s="1">
        <f t="shared" ref="KX6" si="278">IF(AND(KW4=1,KW5=1),1,IF(AND(KW4=0,KW5=1),3,0))</f>
        <v>0</v>
      </c>
      <c r="KY6" s="1">
        <f t="shared" ref="KY6" si="279">IF(AND(KX4=1,KX5=1),1,IF(AND(KX4=0,KX5=1),3,0))</f>
        <v>0</v>
      </c>
      <c r="KZ6" s="1">
        <f t="shared" ref="KZ6" si="280">IF(AND(KY4=1,KY5=1),1,IF(AND(KY4=0,KY5=1),3,0))</f>
        <v>0</v>
      </c>
      <c r="LA6" s="1">
        <f t="shared" ref="LA6" si="281">IF(AND(KZ4=1,KZ5=1),1,IF(AND(KZ4=0,KZ5=1),3,0))</f>
        <v>0</v>
      </c>
      <c r="LB6" s="1">
        <f t="shared" ref="LB6" si="282">IF(AND(LA4=1,LA5=1),1,IF(AND(LA4=0,LA5=1),3,0))</f>
        <v>0</v>
      </c>
      <c r="LC6" s="1">
        <f t="shared" ref="LC6" si="283">IF(AND(LB4=1,LB5=1),1,IF(AND(LB4=0,LB5=1),3,0))</f>
        <v>0</v>
      </c>
      <c r="LD6" s="1">
        <f t="shared" ref="LD6" si="284">IF(AND(LC4=1,LC5=1),1,IF(AND(LC4=0,LC5=1),3,0))</f>
        <v>0</v>
      </c>
      <c r="LE6" s="1"/>
      <c r="LF6" s="1"/>
      <c r="LH6" s="9"/>
      <c r="LK6" s="3" t="s">
        <v>314</v>
      </c>
      <c r="LL6" s="1">
        <v>0</v>
      </c>
      <c r="LM6" s="1">
        <f>IF(AND(LL4=1,LL5=1),1,IF(AND(LL4=0,LL5=1),3,0))</f>
        <v>0</v>
      </c>
      <c r="LN6" s="1">
        <f t="shared" ref="LN6" si="285">IF(AND(LM4=1,LM5=1),1,IF(AND(LM4=0,LM5=1),3,0))</f>
        <v>0</v>
      </c>
      <c r="LO6" s="1">
        <f t="shared" ref="LO6" si="286">IF(AND(LN4=1,LN5=1),1,IF(AND(LN4=0,LN5=1),3,0))</f>
        <v>0</v>
      </c>
      <c r="LP6" s="1">
        <f t="shared" ref="LP6" si="287">IF(AND(LO4=1,LO5=1),1,IF(AND(LO4=0,LO5=1),3,0))</f>
        <v>0</v>
      </c>
      <c r="LQ6" s="1">
        <f t="shared" ref="LQ6" si="288">IF(AND(LP4=1,LP5=1),1,IF(AND(LP4=0,LP5=1),3,0))</f>
        <v>0</v>
      </c>
      <c r="LR6" s="1">
        <f t="shared" ref="LR6" si="289">IF(AND(LQ4=1,LQ5=1),1,IF(AND(LQ4=0,LQ5=1),3,0))</f>
        <v>0</v>
      </c>
      <c r="LS6" s="1">
        <f t="shared" ref="LS6" si="290">IF(AND(LR4=1,LR5=1),1,IF(AND(LR4=0,LR5=1),3,0))</f>
        <v>0</v>
      </c>
      <c r="LT6" s="1">
        <f t="shared" ref="LT6" si="291">IF(AND(LS4=1,LS5=1),1,IF(AND(LS4=0,LS5=1),3,0))</f>
        <v>0</v>
      </c>
      <c r="LU6" s="1"/>
      <c r="LV6" s="1"/>
      <c r="LX6" s="9"/>
      <c r="MA6" s="3" t="s">
        <v>315</v>
      </c>
      <c r="MB6" s="1">
        <v>0</v>
      </c>
      <c r="MC6" s="1">
        <f>IF(AND(MB4=1,MB5=1),1,IF(AND(MB4=0,MB5=1),3,0))</f>
        <v>0</v>
      </c>
      <c r="MD6" s="1">
        <f t="shared" ref="MD6" si="292">IF(AND(MC4=1,MC5=1),1,IF(AND(MC4=0,MC5=1),3,0))</f>
        <v>0</v>
      </c>
      <c r="ME6" s="1">
        <f t="shared" ref="ME6" si="293">IF(AND(MD4=1,MD5=1),1,IF(AND(MD4=0,MD5=1),3,0))</f>
        <v>0</v>
      </c>
      <c r="MF6" s="1">
        <f t="shared" ref="MF6" si="294">IF(AND(ME4=1,ME5=1),1,IF(AND(ME4=0,ME5=1),3,0))</f>
        <v>0</v>
      </c>
      <c r="MG6" s="1">
        <f t="shared" ref="MG6" si="295">IF(AND(MF4=1,MF5=1),1,IF(AND(MF4=0,MF5=1),3,0))</f>
        <v>0</v>
      </c>
      <c r="MH6" s="1">
        <f t="shared" ref="MH6" si="296">IF(AND(MG4=1,MG5=1),1,IF(AND(MG4=0,MG5=1),3,0))</f>
        <v>0</v>
      </c>
      <c r="MI6" s="1">
        <f t="shared" ref="MI6" si="297">IF(AND(MH4=1,MH5=1),1,IF(AND(MH4=0,MH5=1),3,0))</f>
        <v>0</v>
      </c>
      <c r="MJ6" s="1">
        <f t="shared" ref="MJ6" si="298">IF(AND(MI4=1,MI5=1),1,IF(AND(MI4=0,MI5=1),3,0))</f>
        <v>0</v>
      </c>
      <c r="MK6" s="1"/>
      <c r="ML6" s="1"/>
      <c r="MN6" s="9"/>
      <c r="MQ6" s="3" t="s">
        <v>316</v>
      </c>
      <c r="MR6" s="1">
        <v>0</v>
      </c>
      <c r="MS6" s="1">
        <f>IF(AND(MR4=1,MR5=1),1,IF(AND(MR4=0,MR5=1),3,0))</f>
        <v>0</v>
      </c>
      <c r="MT6" s="1">
        <f t="shared" ref="MT6" si="299">IF(AND(MS4=1,MS5=1),1,IF(AND(MS4=0,MS5=1),3,0))</f>
        <v>0</v>
      </c>
      <c r="MU6" s="1">
        <f t="shared" ref="MU6" si="300">IF(AND(MT4=1,MT5=1),1,IF(AND(MT4=0,MT5=1),3,0))</f>
        <v>0</v>
      </c>
      <c r="MV6" s="1">
        <f t="shared" ref="MV6" si="301">IF(AND(MU4=1,MU5=1),1,IF(AND(MU4=0,MU5=1),3,0))</f>
        <v>0</v>
      </c>
      <c r="MW6" s="1">
        <f t="shared" ref="MW6" si="302">IF(AND(MV4=1,MV5=1),1,IF(AND(MV4=0,MV5=1),3,0))</f>
        <v>0</v>
      </c>
      <c r="MX6" s="1">
        <f t="shared" ref="MX6" si="303">IF(AND(MW4=1,MW5=1),1,IF(AND(MW4=0,MW5=1),3,0))</f>
        <v>0</v>
      </c>
      <c r="MY6" s="1">
        <f t="shared" ref="MY6" si="304">IF(AND(MX4=1,MX5=1),1,IF(AND(MX4=0,MX5=1),3,0))</f>
        <v>0</v>
      </c>
      <c r="MZ6" s="1">
        <f t="shared" ref="MZ6" si="305">IF(AND(MY4=1,MY5=1),1,IF(AND(MY4=0,MY5=1),3,0))</f>
        <v>0</v>
      </c>
      <c r="NA6" s="1"/>
      <c r="NB6" s="1"/>
      <c r="ND6" s="9"/>
      <c r="NG6" s="3" t="s">
        <v>317</v>
      </c>
      <c r="NH6" s="1">
        <v>0</v>
      </c>
      <c r="NI6" s="1">
        <f>IF(AND(NH4=1,NH5=1),1,IF(AND(NH4=0,NH5=1),3,0))</f>
        <v>0</v>
      </c>
      <c r="NJ6" s="1">
        <f t="shared" ref="NJ6" si="306">IF(AND(NI4=1,NI5=1),1,IF(AND(NI4=0,NI5=1),3,0))</f>
        <v>0</v>
      </c>
      <c r="NK6" s="1">
        <f t="shared" ref="NK6" si="307">IF(AND(NJ4=1,NJ5=1),1,IF(AND(NJ4=0,NJ5=1),3,0))</f>
        <v>0</v>
      </c>
      <c r="NL6" s="1">
        <f t="shared" ref="NL6" si="308">IF(AND(NK4=1,NK5=1),1,IF(AND(NK4=0,NK5=1),3,0))</f>
        <v>0</v>
      </c>
      <c r="NM6" s="1">
        <f t="shared" ref="NM6" si="309">IF(AND(NL4=1,NL5=1),1,IF(AND(NL4=0,NL5=1),3,0))</f>
        <v>0</v>
      </c>
      <c r="NN6" s="1">
        <f t="shared" ref="NN6" si="310">IF(AND(NM4=1,NM5=1),1,IF(AND(NM4=0,NM5=1),3,0))</f>
        <v>0</v>
      </c>
      <c r="NO6" s="1">
        <f t="shared" ref="NO6" si="311">IF(AND(NN4=1,NN5=1),1,IF(AND(NN4=0,NN5=1),3,0))</f>
        <v>0</v>
      </c>
      <c r="NP6" s="1">
        <f t="shared" ref="NP6" si="312">IF(AND(NO4=1,NO5=1),1,IF(AND(NO4=0,NO5=1),3,0))</f>
        <v>0</v>
      </c>
      <c r="NQ6" s="1"/>
      <c r="NR6" s="1"/>
      <c r="NT6" s="9"/>
      <c r="NW6" s="3" t="s">
        <v>318</v>
      </c>
      <c r="NX6" s="1">
        <v>0</v>
      </c>
      <c r="NY6" s="1">
        <f>IF(AND(NX4=1,NX5=1),1,IF(AND(NX4=0,NX5=1),3,0))</f>
        <v>0</v>
      </c>
      <c r="NZ6" s="1">
        <f t="shared" ref="NZ6" si="313">IF(AND(NY4=1,NY5=1),1,IF(AND(NY4=0,NY5=1),3,0))</f>
        <v>0</v>
      </c>
      <c r="OA6" s="1">
        <f t="shared" ref="OA6" si="314">IF(AND(NZ4=1,NZ5=1),1,IF(AND(NZ4=0,NZ5=1),3,0))</f>
        <v>0</v>
      </c>
      <c r="OB6" s="1">
        <f t="shared" ref="OB6" si="315">IF(AND(OA4=1,OA5=1),1,IF(AND(OA4=0,OA5=1),3,0))</f>
        <v>0</v>
      </c>
      <c r="OC6" s="1">
        <f t="shared" ref="OC6" si="316">IF(AND(OB4=1,OB5=1),1,IF(AND(OB4=0,OB5=1),3,0))</f>
        <v>0</v>
      </c>
      <c r="OD6" s="1">
        <f t="shared" ref="OD6" si="317">IF(AND(OC4=1,OC5=1),1,IF(AND(OC4=0,OC5=1),3,0))</f>
        <v>0</v>
      </c>
      <c r="OE6" s="1">
        <f t="shared" ref="OE6" si="318">IF(AND(OD4=1,OD5=1),1,IF(AND(OD4=0,OD5=1),3,0))</f>
        <v>0</v>
      </c>
      <c r="OF6" s="1">
        <f t="shared" ref="OF6" si="319">IF(AND(OE4=1,OE5=1),1,IF(AND(OE4=0,OE5=1),3,0))</f>
        <v>0</v>
      </c>
      <c r="OG6" s="1"/>
      <c r="OH6" s="1"/>
      <c r="OJ6" s="9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Y6" s="3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M6" s="3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QA6" s="3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O6" s="3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C6" s="3"/>
      <c r="RD6" s="1"/>
      <c r="RE6" s="1"/>
      <c r="RF6" s="1"/>
      <c r="RG6" s="1"/>
      <c r="RH6" s="1"/>
      <c r="RI6" s="1"/>
      <c r="RJ6" s="1"/>
      <c r="RK6" s="1"/>
      <c r="RL6" s="1"/>
      <c r="RQ6" s="3"/>
      <c r="RR6" s="1"/>
      <c r="RS6" s="1"/>
      <c r="RT6" s="1"/>
      <c r="RU6" s="1"/>
      <c r="RV6" s="1"/>
      <c r="RW6" s="1"/>
      <c r="RX6" s="1"/>
      <c r="RY6" s="1"/>
      <c r="RZ6" s="1"/>
      <c r="SE6" s="3"/>
      <c r="SF6" s="1"/>
      <c r="SG6" s="1"/>
      <c r="SH6" s="1"/>
      <c r="SI6" s="1"/>
      <c r="SJ6" s="1"/>
      <c r="SK6" s="1"/>
      <c r="SL6" s="1"/>
      <c r="SM6" s="1"/>
      <c r="SN6" s="1"/>
    </row>
    <row r="7" spans="1:508" x14ac:dyDescent="0.2">
      <c r="A7" s="3" t="s">
        <v>92</v>
      </c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G7" s="3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Y7" s="3" t="s">
        <v>93</v>
      </c>
      <c r="AZ7" s="1">
        <v>0</v>
      </c>
      <c r="BA7" s="1">
        <f>IF(AND(AZ6=2,BA6&lt;&gt;2),1,0)</f>
        <v>0</v>
      </c>
      <c r="BB7" s="1">
        <f t="shared" ref="BB7:BH7" si="320">IF(AND(BA6=2,BB6&lt;&gt;2),1,0)</f>
        <v>0</v>
      </c>
      <c r="BC7" s="1">
        <f t="shared" si="320"/>
        <v>0</v>
      </c>
      <c r="BD7" s="1">
        <f t="shared" si="320"/>
        <v>0</v>
      </c>
      <c r="BE7" s="1">
        <f t="shared" si="320"/>
        <v>0</v>
      </c>
      <c r="BF7" s="1">
        <f t="shared" si="320"/>
        <v>0</v>
      </c>
      <c r="BG7" s="1">
        <f t="shared" si="320"/>
        <v>0</v>
      </c>
      <c r="BH7" s="1">
        <f t="shared" si="320"/>
        <v>0</v>
      </c>
      <c r="BI7" s="1"/>
      <c r="BJ7" s="1"/>
      <c r="BL7" s="9"/>
      <c r="BO7" s="3" t="s">
        <v>94</v>
      </c>
      <c r="BP7" s="1">
        <v>0</v>
      </c>
      <c r="BQ7" s="1">
        <f>IF(AND(BP6=2,BQ6&lt;&gt;2),1,0)</f>
        <v>0</v>
      </c>
      <c r="BR7" s="1">
        <f t="shared" ref="BR7:BX7" si="321">IF(AND(BQ6=2,BR6&lt;&gt;2),1,0)</f>
        <v>0</v>
      </c>
      <c r="BS7" s="1">
        <f t="shared" si="321"/>
        <v>0</v>
      </c>
      <c r="BT7" s="1">
        <f t="shared" si="321"/>
        <v>0</v>
      </c>
      <c r="BU7" s="1">
        <f t="shared" si="321"/>
        <v>0</v>
      </c>
      <c r="BV7" s="1">
        <f t="shared" si="321"/>
        <v>0</v>
      </c>
      <c r="BW7" s="1">
        <f t="shared" si="321"/>
        <v>0</v>
      </c>
      <c r="BX7" s="1">
        <f t="shared" si="321"/>
        <v>0</v>
      </c>
      <c r="BY7" s="1"/>
      <c r="BZ7" s="1"/>
      <c r="CB7" s="9"/>
      <c r="CE7" s="3" t="s">
        <v>95</v>
      </c>
      <c r="CF7" s="1">
        <v>0</v>
      </c>
      <c r="CG7" s="1">
        <f>IF(AND(CF6=2,CG6&lt;&gt;2),1,0)</f>
        <v>0</v>
      </c>
      <c r="CH7" s="1">
        <f t="shared" ref="CH7:CN7" si="322">IF(AND(CG6=2,CH6&lt;&gt;2),1,0)</f>
        <v>0</v>
      </c>
      <c r="CI7" s="1">
        <f t="shared" si="322"/>
        <v>0</v>
      </c>
      <c r="CJ7" s="1">
        <f t="shared" si="322"/>
        <v>0</v>
      </c>
      <c r="CK7" s="1">
        <f t="shared" si="322"/>
        <v>0</v>
      </c>
      <c r="CL7" s="1">
        <f t="shared" si="322"/>
        <v>0</v>
      </c>
      <c r="CM7" s="1">
        <f t="shared" si="322"/>
        <v>0</v>
      </c>
      <c r="CN7" s="1">
        <f t="shared" si="322"/>
        <v>0</v>
      </c>
      <c r="CO7" s="1"/>
      <c r="CP7" s="1"/>
      <c r="CR7" s="9"/>
      <c r="CU7" s="3" t="s">
        <v>96</v>
      </c>
      <c r="CV7" s="1">
        <v>0</v>
      </c>
      <c r="CW7" s="1">
        <f>IF(AND(CV6=2,CW6&lt;&gt;2),1,0)</f>
        <v>0</v>
      </c>
      <c r="CX7" s="1">
        <f>IF(AND(CW6=2,CX6&lt;&gt;2),1,0)</f>
        <v>0</v>
      </c>
      <c r="CY7" s="1">
        <f t="shared" ref="CY7:DD7" si="323">IF(AND(CX6=2,CY6&lt;&gt;2),1,0)</f>
        <v>0</v>
      </c>
      <c r="CZ7" s="1">
        <f t="shared" si="323"/>
        <v>0</v>
      </c>
      <c r="DA7" s="1">
        <f t="shared" si="323"/>
        <v>0</v>
      </c>
      <c r="DB7" s="1">
        <f t="shared" si="323"/>
        <v>0</v>
      </c>
      <c r="DC7" s="1">
        <f t="shared" si="323"/>
        <v>0</v>
      </c>
      <c r="DD7" s="1">
        <f t="shared" si="323"/>
        <v>0</v>
      </c>
      <c r="DE7" s="1"/>
      <c r="DF7" s="1"/>
      <c r="DH7" s="9"/>
      <c r="DK7" s="3" t="s">
        <v>97</v>
      </c>
      <c r="DL7" s="1">
        <v>0</v>
      </c>
      <c r="DM7" s="1">
        <f>IF(AND(DL6=2,DM6&lt;&gt;2),1,0)</f>
        <v>0</v>
      </c>
      <c r="DN7" s="1">
        <f t="shared" ref="DN7:DT7" si="324">IF(AND(DM6=2,DN6&lt;&gt;2),1,0)</f>
        <v>1</v>
      </c>
      <c r="DO7" s="1">
        <f t="shared" si="324"/>
        <v>0</v>
      </c>
      <c r="DP7" s="1">
        <f t="shared" si="324"/>
        <v>0</v>
      </c>
      <c r="DQ7" s="1">
        <f t="shared" si="324"/>
        <v>0</v>
      </c>
      <c r="DR7" s="1">
        <f t="shared" si="324"/>
        <v>0</v>
      </c>
      <c r="DS7" s="1">
        <f t="shared" si="324"/>
        <v>0</v>
      </c>
      <c r="DT7" s="1">
        <f t="shared" si="324"/>
        <v>0</v>
      </c>
      <c r="DU7" s="1"/>
      <c r="DV7" s="1"/>
      <c r="DX7" s="9"/>
      <c r="EA7" s="3" t="s">
        <v>98</v>
      </c>
      <c r="EB7" s="1">
        <v>0</v>
      </c>
      <c r="EC7" s="1">
        <f>IF(AND(EB6=2,EC6&lt;&gt;2),1,0)</f>
        <v>0</v>
      </c>
      <c r="ED7" s="1">
        <f t="shared" ref="ED7:EJ7" si="325">IF(AND(EC6=2,ED6&lt;&gt;2),1,0)</f>
        <v>1</v>
      </c>
      <c r="EE7" s="1">
        <f t="shared" si="325"/>
        <v>0</v>
      </c>
      <c r="EF7" s="1">
        <f t="shared" si="325"/>
        <v>0</v>
      </c>
      <c r="EG7" s="1">
        <f t="shared" si="325"/>
        <v>0</v>
      </c>
      <c r="EH7" s="1">
        <f t="shared" si="325"/>
        <v>0</v>
      </c>
      <c r="EI7" s="1">
        <f t="shared" si="325"/>
        <v>0</v>
      </c>
      <c r="EJ7" s="1">
        <f t="shared" si="325"/>
        <v>0</v>
      </c>
      <c r="EK7" s="1"/>
      <c r="EL7" s="1"/>
      <c r="EN7" s="9"/>
      <c r="EQ7" s="3" t="s">
        <v>99</v>
      </c>
      <c r="ER7" s="1">
        <v>0</v>
      </c>
      <c r="ES7" s="1">
        <f>IF(AND(ER6=2,ES6&lt;&gt;2),1,0)</f>
        <v>0</v>
      </c>
      <c r="ET7" s="1">
        <f t="shared" ref="ET7:EZ7" si="326">IF(AND(ES6=2,ET6&lt;&gt;2),1,0)</f>
        <v>0</v>
      </c>
      <c r="EU7" s="1">
        <f t="shared" si="326"/>
        <v>1</v>
      </c>
      <c r="EV7" s="1">
        <f t="shared" si="326"/>
        <v>0</v>
      </c>
      <c r="EW7" s="1">
        <f t="shared" si="326"/>
        <v>0</v>
      </c>
      <c r="EX7" s="1">
        <f t="shared" si="326"/>
        <v>0</v>
      </c>
      <c r="EY7" s="1">
        <f t="shared" si="326"/>
        <v>0</v>
      </c>
      <c r="EZ7" s="1">
        <f t="shared" si="326"/>
        <v>0</v>
      </c>
      <c r="FA7" s="1"/>
      <c r="FB7" s="1"/>
      <c r="FD7" s="9"/>
      <c r="FG7" s="3" t="s">
        <v>100</v>
      </c>
      <c r="FH7" s="1">
        <v>0</v>
      </c>
      <c r="FI7" s="1">
        <f>IF(AND(FH6=2,FI6&lt;&gt;2),1,0)</f>
        <v>0</v>
      </c>
      <c r="FJ7" s="1">
        <f t="shared" ref="FJ7:FP7" si="327">IF(AND(FI6=2,FJ6&lt;&gt;2),1,0)</f>
        <v>0</v>
      </c>
      <c r="FK7" s="1">
        <f t="shared" si="327"/>
        <v>1</v>
      </c>
      <c r="FL7" s="1">
        <f t="shared" si="327"/>
        <v>0</v>
      </c>
      <c r="FM7" s="1">
        <f t="shared" si="327"/>
        <v>0</v>
      </c>
      <c r="FN7" s="1">
        <f t="shared" si="327"/>
        <v>0</v>
      </c>
      <c r="FO7" s="1">
        <f t="shared" si="327"/>
        <v>0</v>
      </c>
      <c r="FP7" s="1">
        <f t="shared" si="327"/>
        <v>0</v>
      </c>
      <c r="FQ7" s="1"/>
      <c r="FR7" s="1"/>
      <c r="FT7" s="9"/>
      <c r="FW7" s="3" t="s">
        <v>101</v>
      </c>
      <c r="FX7" s="1">
        <v>0</v>
      </c>
      <c r="FY7" s="1">
        <f>IF(AND(FX6=2,FY6&lt;&gt;2),1,0)</f>
        <v>0</v>
      </c>
      <c r="FZ7" s="1">
        <f t="shared" ref="FZ7:GF7" si="328">IF(AND(FY6=2,FZ6&lt;&gt;2),1,0)</f>
        <v>0</v>
      </c>
      <c r="GA7" s="1">
        <f t="shared" si="328"/>
        <v>0</v>
      </c>
      <c r="GB7" s="1">
        <f t="shared" si="328"/>
        <v>1</v>
      </c>
      <c r="GC7" s="1">
        <f t="shared" si="328"/>
        <v>0</v>
      </c>
      <c r="GD7" s="1">
        <f t="shared" si="328"/>
        <v>0</v>
      </c>
      <c r="GE7" s="1">
        <f t="shared" si="328"/>
        <v>0</v>
      </c>
      <c r="GF7" s="1">
        <f t="shared" si="328"/>
        <v>0</v>
      </c>
      <c r="GG7" s="1"/>
      <c r="GH7" s="1"/>
      <c r="GJ7" s="9"/>
      <c r="GM7" s="3" t="s">
        <v>102</v>
      </c>
      <c r="GN7" s="1">
        <v>0</v>
      </c>
      <c r="GO7" s="1">
        <f>IF(AND(GN6=2,GO6&lt;&gt;2),1,0)</f>
        <v>0</v>
      </c>
      <c r="GP7" s="1">
        <f t="shared" ref="GP7:GV7" si="329">IF(AND(GO6=2,GP6&lt;&gt;2),1,0)</f>
        <v>0</v>
      </c>
      <c r="GQ7" s="1">
        <f t="shared" si="329"/>
        <v>0</v>
      </c>
      <c r="GR7" s="1">
        <f t="shared" si="329"/>
        <v>1</v>
      </c>
      <c r="GS7" s="1">
        <f t="shared" si="329"/>
        <v>0</v>
      </c>
      <c r="GT7" s="1">
        <f t="shared" si="329"/>
        <v>0</v>
      </c>
      <c r="GU7" s="1">
        <f t="shared" si="329"/>
        <v>0</v>
      </c>
      <c r="GV7" s="1">
        <f t="shared" si="329"/>
        <v>0</v>
      </c>
      <c r="GW7" s="1"/>
      <c r="GX7" s="1"/>
      <c r="GY7" s="1"/>
      <c r="GZ7" s="9"/>
      <c r="HB7" s="1"/>
      <c r="HC7" s="3" t="s">
        <v>103</v>
      </c>
      <c r="HD7" s="1">
        <v>0</v>
      </c>
      <c r="HE7" s="1">
        <f>IF(AND(HD6=2,HE6&lt;&gt;2),1,0)</f>
        <v>0</v>
      </c>
      <c r="HF7" s="1">
        <f t="shared" ref="HF7:HL7" si="330">IF(AND(HE6=2,HF6&lt;&gt;2),1,0)</f>
        <v>0</v>
      </c>
      <c r="HG7" s="1">
        <f t="shared" si="330"/>
        <v>0</v>
      </c>
      <c r="HH7" s="1">
        <f t="shared" si="330"/>
        <v>0</v>
      </c>
      <c r="HI7" s="1">
        <f t="shared" si="330"/>
        <v>1</v>
      </c>
      <c r="HJ7" s="1">
        <f t="shared" si="330"/>
        <v>0</v>
      </c>
      <c r="HK7" s="1">
        <f t="shared" si="330"/>
        <v>0</v>
      </c>
      <c r="HL7" s="1">
        <f t="shared" si="330"/>
        <v>0</v>
      </c>
      <c r="HM7" s="1"/>
      <c r="HN7" s="1"/>
      <c r="HO7" s="1"/>
      <c r="HP7" s="9"/>
      <c r="HR7" s="1"/>
      <c r="HS7" s="3" t="s">
        <v>104</v>
      </c>
      <c r="HT7" s="1">
        <v>0</v>
      </c>
      <c r="HU7" s="1">
        <f>IF(AND(HT6=2,HU6&lt;&gt;2),1,0)</f>
        <v>0</v>
      </c>
      <c r="HV7" s="1">
        <f t="shared" ref="HV7:IB7" si="331">IF(AND(HU6=2,HV6&lt;&gt;2),1,0)</f>
        <v>0</v>
      </c>
      <c r="HW7" s="1">
        <f t="shared" si="331"/>
        <v>1</v>
      </c>
      <c r="HX7" s="1">
        <f t="shared" si="331"/>
        <v>0</v>
      </c>
      <c r="HY7" s="1">
        <f t="shared" si="331"/>
        <v>0</v>
      </c>
      <c r="HZ7" s="1">
        <f t="shared" si="331"/>
        <v>0</v>
      </c>
      <c r="IA7" s="1">
        <f t="shared" si="331"/>
        <v>0</v>
      </c>
      <c r="IB7" s="1">
        <f t="shared" si="331"/>
        <v>0</v>
      </c>
      <c r="IC7" s="1"/>
      <c r="ID7" s="1"/>
      <c r="IF7" s="9"/>
      <c r="II7" s="3" t="s">
        <v>105</v>
      </c>
      <c r="IJ7" s="1">
        <v>0</v>
      </c>
      <c r="IK7" s="1">
        <f>IF(AND(IJ6=2,IK6&lt;&gt;2),1,0)</f>
        <v>0</v>
      </c>
      <c r="IL7" s="1">
        <f t="shared" ref="IL7:IR7" si="332">IF(AND(IK6=2,IL6&lt;&gt;2),1,0)</f>
        <v>0</v>
      </c>
      <c r="IM7" s="1">
        <f t="shared" si="332"/>
        <v>1</v>
      </c>
      <c r="IN7" s="1">
        <f t="shared" si="332"/>
        <v>0</v>
      </c>
      <c r="IO7" s="1">
        <f t="shared" si="332"/>
        <v>0</v>
      </c>
      <c r="IP7" s="1">
        <f t="shared" si="332"/>
        <v>0</v>
      </c>
      <c r="IQ7" s="1">
        <f t="shared" si="332"/>
        <v>0</v>
      </c>
      <c r="IR7" s="1">
        <f t="shared" si="332"/>
        <v>0</v>
      </c>
      <c r="IS7" s="1"/>
      <c r="IT7" s="1"/>
      <c r="IV7" s="9"/>
      <c r="IY7" s="3" t="s">
        <v>106</v>
      </c>
      <c r="IZ7" s="1">
        <v>0</v>
      </c>
      <c r="JA7" s="1">
        <f>IF(AND(IZ6=2,JA6&lt;&gt;2),1,0)</f>
        <v>0</v>
      </c>
      <c r="JB7" s="1">
        <f t="shared" ref="JB7" si="333">IF(AND(JA6=2,JB6&lt;&gt;2),1,0)</f>
        <v>0</v>
      </c>
      <c r="JC7" s="1">
        <f t="shared" ref="JC7" si="334">IF(AND(JB6=2,JC6&lt;&gt;2),1,0)</f>
        <v>0</v>
      </c>
      <c r="JD7" s="1">
        <f t="shared" ref="JD7" si="335">IF(AND(JC6=2,JD6&lt;&gt;2),1,0)</f>
        <v>1</v>
      </c>
      <c r="JE7" s="1">
        <f t="shared" ref="JE7" si="336">IF(AND(JD6=2,JE6&lt;&gt;2),1,0)</f>
        <v>0</v>
      </c>
      <c r="JF7" s="1">
        <f t="shared" ref="JF7" si="337">IF(AND(JE6=2,JF6&lt;&gt;2),1,0)</f>
        <v>0</v>
      </c>
      <c r="JG7" s="1">
        <f t="shared" ref="JG7" si="338">IF(AND(JF6=2,JG6&lt;&gt;2),1,0)</f>
        <v>0</v>
      </c>
      <c r="JH7" s="1">
        <f t="shared" ref="JH7" si="339">IF(AND(JG6=2,JH6&lt;&gt;2),1,0)</f>
        <v>0</v>
      </c>
      <c r="JI7" s="1"/>
      <c r="JJ7" s="1"/>
      <c r="JL7" s="9"/>
      <c r="JO7" s="3" t="s">
        <v>107</v>
      </c>
      <c r="JP7" s="1">
        <v>0</v>
      </c>
      <c r="JQ7" s="1">
        <f>IF(AND(JP6=2,JQ6&lt;&gt;2),1,0)</f>
        <v>0</v>
      </c>
      <c r="JR7" s="1">
        <f t="shared" ref="JR7" si="340">IF(AND(JQ6=2,JR6&lt;&gt;2),1,0)</f>
        <v>0</v>
      </c>
      <c r="JS7" s="1">
        <f t="shared" ref="JS7" si="341">IF(AND(JR6=2,JS6&lt;&gt;2),1,0)</f>
        <v>0</v>
      </c>
      <c r="JT7" s="1">
        <f t="shared" ref="JT7" si="342">IF(AND(JS6=2,JT6&lt;&gt;2),1,0)</f>
        <v>1</v>
      </c>
      <c r="JU7" s="1">
        <f t="shared" ref="JU7" si="343">IF(AND(JT6=2,JU6&lt;&gt;2),1,0)</f>
        <v>0</v>
      </c>
      <c r="JV7" s="1">
        <f t="shared" ref="JV7" si="344">IF(AND(JU6=2,JV6&lt;&gt;2),1,0)</f>
        <v>0</v>
      </c>
      <c r="JW7" s="1">
        <f t="shared" ref="JW7" si="345">IF(AND(JV6=2,JW6&lt;&gt;2),1,0)</f>
        <v>0</v>
      </c>
      <c r="JX7" s="1">
        <f t="shared" ref="JX7" si="346">IF(AND(JW6=2,JX6&lt;&gt;2),1,0)</f>
        <v>0</v>
      </c>
      <c r="JY7" s="1"/>
      <c r="JZ7" s="1"/>
      <c r="KB7" s="9"/>
      <c r="KE7" s="3" t="s">
        <v>108</v>
      </c>
      <c r="KF7" s="1">
        <v>0</v>
      </c>
      <c r="KG7" s="1">
        <f>IF(AND(KF6=2,KG6&lt;&gt;2),1,0)</f>
        <v>0</v>
      </c>
      <c r="KH7" s="1">
        <f t="shared" ref="KH7:KN7" si="347">IF(AND(KG6=2,KH6&lt;&gt;2),1,0)</f>
        <v>0</v>
      </c>
      <c r="KI7" s="1">
        <f t="shared" si="347"/>
        <v>0</v>
      </c>
      <c r="KJ7" s="1">
        <f t="shared" si="347"/>
        <v>0</v>
      </c>
      <c r="KK7" s="1">
        <f t="shared" si="347"/>
        <v>0</v>
      </c>
      <c r="KL7" s="1">
        <f t="shared" si="347"/>
        <v>0</v>
      </c>
      <c r="KM7" s="1">
        <f t="shared" si="347"/>
        <v>0</v>
      </c>
      <c r="KN7" s="1">
        <f t="shared" si="347"/>
        <v>0</v>
      </c>
      <c r="KO7" s="1"/>
      <c r="KP7" s="1"/>
      <c r="KR7" s="9"/>
      <c r="KU7" s="3" t="s">
        <v>109</v>
      </c>
      <c r="KV7" s="1">
        <v>0</v>
      </c>
      <c r="KW7" s="1">
        <f>IF(AND(KV6=2,KW6&lt;&gt;2),1,0)</f>
        <v>0</v>
      </c>
      <c r="KX7" s="1">
        <f t="shared" ref="KX7:LD7" si="348">IF(AND(KW6=2,KX6&lt;&gt;2),1,0)</f>
        <v>0</v>
      </c>
      <c r="KY7" s="1">
        <f t="shared" si="348"/>
        <v>0</v>
      </c>
      <c r="KZ7" s="1">
        <f t="shared" si="348"/>
        <v>0</v>
      </c>
      <c r="LA7" s="1">
        <f t="shared" si="348"/>
        <v>0</v>
      </c>
      <c r="LB7" s="1">
        <f t="shared" si="348"/>
        <v>0</v>
      </c>
      <c r="LC7" s="1">
        <f t="shared" si="348"/>
        <v>0</v>
      </c>
      <c r="LD7" s="1">
        <f t="shared" si="348"/>
        <v>0</v>
      </c>
      <c r="LE7" s="1"/>
      <c r="LF7" s="1"/>
      <c r="LH7" s="9"/>
      <c r="LK7" s="3" t="s">
        <v>110</v>
      </c>
      <c r="LL7" s="1">
        <v>0</v>
      </c>
      <c r="LM7" s="1">
        <f>IF(AND(LL6=2,LM6&lt;&gt;2),1,0)</f>
        <v>0</v>
      </c>
      <c r="LN7" s="1">
        <f t="shared" ref="LN7:LT7" si="349">IF(AND(LM6=2,LN6&lt;&gt;2),1,0)</f>
        <v>0</v>
      </c>
      <c r="LO7" s="1">
        <f t="shared" si="349"/>
        <v>0</v>
      </c>
      <c r="LP7" s="1">
        <f t="shared" si="349"/>
        <v>0</v>
      </c>
      <c r="LQ7" s="1">
        <f t="shared" si="349"/>
        <v>0</v>
      </c>
      <c r="LR7" s="1">
        <f t="shared" si="349"/>
        <v>0</v>
      </c>
      <c r="LS7" s="1">
        <f t="shared" si="349"/>
        <v>0</v>
      </c>
      <c r="LT7" s="1">
        <f t="shared" si="349"/>
        <v>0</v>
      </c>
      <c r="LU7" s="1"/>
      <c r="LV7" s="1"/>
      <c r="LX7" s="9"/>
      <c r="MA7" s="3" t="s">
        <v>111</v>
      </c>
      <c r="MB7" s="1">
        <v>0</v>
      </c>
      <c r="MC7" s="1">
        <f>IF(AND(MB6=2,MC6&lt;&gt;2),1,0)</f>
        <v>0</v>
      </c>
      <c r="MD7" s="1">
        <f t="shared" ref="MD7:MJ7" si="350">IF(AND(MC6=2,MD6&lt;&gt;2),1,0)</f>
        <v>0</v>
      </c>
      <c r="ME7" s="1">
        <f t="shared" si="350"/>
        <v>0</v>
      </c>
      <c r="MF7" s="1">
        <f t="shared" si="350"/>
        <v>0</v>
      </c>
      <c r="MG7" s="1">
        <f t="shared" si="350"/>
        <v>0</v>
      </c>
      <c r="MH7" s="1">
        <f t="shared" si="350"/>
        <v>0</v>
      </c>
      <c r="MI7" s="1">
        <f t="shared" si="350"/>
        <v>0</v>
      </c>
      <c r="MJ7" s="1">
        <f t="shared" si="350"/>
        <v>0</v>
      </c>
      <c r="MK7" s="1"/>
      <c r="ML7" s="1"/>
      <c r="MN7" s="9"/>
      <c r="MQ7" s="3" t="s">
        <v>112</v>
      </c>
      <c r="MR7" s="1">
        <v>0</v>
      </c>
      <c r="MS7" s="1">
        <f>IF(AND(MR6=2,MS6&lt;&gt;2),1,0)</f>
        <v>0</v>
      </c>
      <c r="MT7" s="1">
        <f t="shared" ref="MT7:MZ7" si="351">IF(AND(MS6=2,MT6&lt;&gt;2),1,0)</f>
        <v>0</v>
      </c>
      <c r="MU7" s="1">
        <f t="shared" si="351"/>
        <v>0</v>
      </c>
      <c r="MV7" s="1">
        <f t="shared" si="351"/>
        <v>0</v>
      </c>
      <c r="MW7" s="1">
        <f t="shared" si="351"/>
        <v>0</v>
      </c>
      <c r="MX7" s="1">
        <f t="shared" si="351"/>
        <v>0</v>
      </c>
      <c r="MY7" s="1">
        <f t="shared" si="351"/>
        <v>0</v>
      </c>
      <c r="MZ7" s="1">
        <f t="shared" si="351"/>
        <v>0</v>
      </c>
      <c r="NA7" s="1"/>
      <c r="NB7" s="1"/>
      <c r="ND7" s="9"/>
      <c r="NG7" s="3" t="s">
        <v>113</v>
      </c>
      <c r="NH7" s="1">
        <v>0</v>
      </c>
      <c r="NI7" s="1">
        <f>IF(AND(NH6=2,NI6&lt;&gt;2),1,0)</f>
        <v>0</v>
      </c>
      <c r="NJ7" s="1">
        <f t="shared" ref="NJ7:NP7" si="352">IF(AND(NI6=2,NJ6&lt;&gt;2),1,0)</f>
        <v>0</v>
      </c>
      <c r="NK7" s="1">
        <f t="shared" si="352"/>
        <v>0</v>
      </c>
      <c r="NL7" s="1">
        <f t="shared" si="352"/>
        <v>0</v>
      </c>
      <c r="NM7" s="1">
        <f t="shared" si="352"/>
        <v>0</v>
      </c>
      <c r="NN7" s="1">
        <f t="shared" si="352"/>
        <v>0</v>
      </c>
      <c r="NO7" s="1">
        <f t="shared" si="352"/>
        <v>0</v>
      </c>
      <c r="NP7" s="1">
        <f t="shared" si="352"/>
        <v>0</v>
      </c>
      <c r="NQ7" s="1"/>
      <c r="NR7" s="1"/>
      <c r="NT7" s="9"/>
      <c r="NW7" s="3" t="s">
        <v>114</v>
      </c>
      <c r="NX7" s="1">
        <v>0</v>
      </c>
      <c r="NY7" s="1">
        <f>IF(AND(NX6=2,NY6&lt;&gt;2),1,0)</f>
        <v>0</v>
      </c>
      <c r="NZ7" s="1">
        <f t="shared" ref="NZ7:OF7" si="353">IF(AND(NY6=2,NZ6&lt;&gt;2),1,0)</f>
        <v>0</v>
      </c>
      <c r="OA7" s="1">
        <f t="shared" si="353"/>
        <v>0</v>
      </c>
      <c r="OB7" s="1">
        <f t="shared" si="353"/>
        <v>0</v>
      </c>
      <c r="OC7" s="1">
        <f t="shared" si="353"/>
        <v>0</v>
      </c>
      <c r="OD7" s="1">
        <f t="shared" si="353"/>
        <v>0</v>
      </c>
      <c r="OE7" s="1">
        <f t="shared" si="353"/>
        <v>0</v>
      </c>
      <c r="OF7" s="1">
        <f t="shared" si="353"/>
        <v>0</v>
      </c>
      <c r="OG7" s="1"/>
      <c r="OH7" s="1"/>
      <c r="OJ7" s="9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Y7" s="3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M7" s="3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QA7" s="3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O7" s="3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C7" s="3"/>
      <c r="RD7" s="1"/>
      <c r="RE7" s="1"/>
      <c r="RF7" s="1"/>
      <c r="RG7" s="1"/>
      <c r="RH7" s="1"/>
      <c r="RI7" s="1"/>
      <c r="RJ7" s="1"/>
      <c r="RK7" s="1"/>
      <c r="RL7" s="1"/>
      <c r="RQ7" s="3"/>
      <c r="RR7" s="1"/>
      <c r="RS7" s="1"/>
      <c r="RT7" s="1"/>
      <c r="RU7" s="1"/>
      <c r="RV7" s="1"/>
      <c r="RW7" s="1"/>
      <c r="RX7" s="1"/>
      <c r="RY7" s="1"/>
      <c r="RZ7" s="1"/>
      <c r="SE7" s="3"/>
      <c r="SF7" s="1"/>
      <c r="SG7" s="1"/>
      <c r="SH7" s="1"/>
      <c r="SI7" s="1"/>
      <c r="SJ7" s="1"/>
      <c r="SK7" s="1"/>
      <c r="SL7" s="1"/>
      <c r="SM7" s="1"/>
      <c r="SN7" s="1"/>
    </row>
    <row r="8" spans="1:508" x14ac:dyDescent="0.2">
      <c r="A8" s="3" t="s">
        <v>115</v>
      </c>
      <c r="O8" s="3"/>
      <c r="P8" s="1"/>
      <c r="Q8" s="4"/>
      <c r="R8" s="4"/>
      <c r="S8" s="4"/>
      <c r="T8" s="4"/>
      <c r="U8" s="4"/>
      <c r="V8" s="4"/>
      <c r="W8" s="4"/>
      <c r="X8" s="4"/>
      <c r="Y8" s="4"/>
      <c r="Z8" s="4"/>
      <c r="AG8" s="3"/>
      <c r="AH8" s="1"/>
      <c r="AI8" s="4"/>
      <c r="AJ8" s="4"/>
      <c r="AK8" s="4"/>
      <c r="AL8" s="4"/>
      <c r="AM8" s="4"/>
      <c r="AN8" s="4"/>
      <c r="AO8" s="4"/>
      <c r="AP8" s="4"/>
      <c r="AQ8" s="4"/>
      <c r="AR8" s="4"/>
      <c r="AY8" s="3" t="s">
        <v>116</v>
      </c>
      <c r="AZ8" s="1">
        <v>0</v>
      </c>
      <c r="BA8" s="1">
        <f>IF(BA7=1,Results!C5+1,AZ8)</f>
        <v>0</v>
      </c>
      <c r="BB8" s="1">
        <f>IF(BB7=1,Results!D5+1,BA8)</f>
        <v>0</v>
      </c>
      <c r="BC8" s="1">
        <f>IF(BC7=1,Results!E5+1,BB8)</f>
        <v>0</v>
      </c>
      <c r="BD8" s="1">
        <f>IF(BD7=1,Results!F5+1,BC8)</f>
        <v>0</v>
      </c>
      <c r="BE8" s="1">
        <f>IF(BE7=1,Results!G5+1,BD8)</f>
        <v>0</v>
      </c>
      <c r="BF8" s="1">
        <f>IF(BF7=1,Results!H5+1,BE8)</f>
        <v>0</v>
      </c>
      <c r="BG8" s="1">
        <f>IF(BG7=1,Results!I5+1,BF8)</f>
        <v>0</v>
      </c>
      <c r="BH8" s="1">
        <f>IF(BH7=1,Results!J5+1,BG8)</f>
        <v>0</v>
      </c>
      <c r="BI8" s="4"/>
      <c r="BJ8" s="4"/>
      <c r="BL8" s="9"/>
      <c r="BO8" s="3" t="s">
        <v>117</v>
      </c>
      <c r="BP8" s="1">
        <v>0</v>
      </c>
      <c r="BQ8" s="4">
        <f>IF(BQ7=1,Results!C5+1,BP8)</f>
        <v>0</v>
      </c>
      <c r="BR8" s="4">
        <f>IF(BR7=1,Results!D5+1,BQ8)</f>
        <v>0</v>
      </c>
      <c r="BS8" s="4">
        <f>IF(BS7=1,Results!E5+1,BR8)</f>
        <v>0</v>
      </c>
      <c r="BT8" s="4">
        <f>IF(BT7=1,Results!F5+1,BS8)</f>
        <v>0</v>
      </c>
      <c r="BU8" s="4">
        <f>IF(BU7=1,Results!G5+1,BT8)</f>
        <v>0</v>
      </c>
      <c r="BV8" s="4">
        <f>IF(BV7=1,Results!H5+1,BU8)</f>
        <v>0</v>
      </c>
      <c r="BW8" s="4">
        <f>IF(BW7=1,Results!I5+1,BV8)</f>
        <v>0</v>
      </c>
      <c r="BX8" s="4">
        <f>IF(BX7=1,Results!J5+1,BW8)</f>
        <v>0</v>
      </c>
      <c r="BY8" s="4"/>
      <c r="BZ8" s="4"/>
      <c r="CB8" s="9"/>
      <c r="CE8" s="3" t="s">
        <v>118</v>
      </c>
      <c r="CF8" s="1">
        <v>0</v>
      </c>
      <c r="CG8" s="4">
        <f>IF(CG7=1,Results!C5+1,CF8)</f>
        <v>0</v>
      </c>
      <c r="CH8" s="4">
        <f>IF(CH7=1,Results!D5+1,CG8)</f>
        <v>0</v>
      </c>
      <c r="CI8" s="4">
        <f>IF(CI7=1,Results!E5+1,CH8)</f>
        <v>0</v>
      </c>
      <c r="CJ8" s="4">
        <f>IF(CJ7=1,Results!F5+1,CI8)</f>
        <v>0</v>
      </c>
      <c r="CK8" s="4">
        <f>IF(CK7=1,Results!G5+1,CJ8)</f>
        <v>0</v>
      </c>
      <c r="CL8" s="4">
        <f>IF(CL7=1,Results!H5+1,CK8)</f>
        <v>0</v>
      </c>
      <c r="CM8" s="4">
        <f>IF(CM7=1,Results!I5+1,CL8)</f>
        <v>0</v>
      </c>
      <c r="CN8" s="4">
        <f>IF(CN7=1,Results!J5+1,CM8)</f>
        <v>0</v>
      </c>
      <c r="CO8" s="4"/>
      <c r="CP8" s="4"/>
      <c r="CR8" s="9"/>
      <c r="CU8" s="3" t="s">
        <v>119</v>
      </c>
      <c r="CV8" s="1">
        <v>0</v>
      </c>
      <c r="CW8" s="4">
        <f>IF(CW7=1,Results!C5+1,CV8)</f>
        <v>0</v>
      </c>
      <c r="CX8" s="4">
        <f>IF(CX7=1,Results!D5+1,CW8)</f>
        <v>0</v>
      </c>
      <c r="CY8" s="4">
        <f>IF(CY7=1,Results!E5+1,CX8)</f>
        <v>0</v>
      </c>
      <c r="CZ8" s="4">
        <f>IF(CZ7=1,Results!F5+1,CY8)</f>
        <v>0</v>
      </c>
      <c r="DA8" s="4">
        <f>IF(DA7=1,Results!G5+1,CZ8)</f>
        <v>0</v>
      </c>
      <c r="DB8" s="4">
        <f>IF(DB7=1,Results!H5+1,DA8)</f>
        <v>0</v>
      </c>
      <c r="DC8" s="4">
        <f>IF(DC7=1,Results!I5+1,DB8)</f>
        <v>0</v>
      </c>
      <c r="DD8" s="4">
        <f>IF(DD7=1,Results!J5+1,DC8)</f>
        <v>0</v>
      </c>
      <c r="DE8" s="4"/>
      <c r="DF8" s="4"/>
      <c r="DH8" s="9"/>
      <c r="DK8" s="3" t="s">
        <v>120</v>
      </c>
      <c r="DL8" s="1">
        <v>0</v>
      </c>
      <c r="DM8" s="4">
        <f>IF(DM7=1,Results!C5+1,DL8)</f>
        <v>0</v>
      </c>
      <c r="DN8" s="4">
        <f>IF(DN7=1,Results!D5+1,DM8)</f>
        <v>3</v>
      </c>
      <c r="DO8" s="4">
        <f>IF(DO7=1,Results!E5+1,DN8)</f>
        <v>3</v>
      </c>
      <c r="DP8" s="4">
        <f>IF(DP7=1,Results!F5+1,DO8)</f>
        <v>3</v>
      </c>
      <c r="DQ8" s="4">
        <f>IF(DQ7=1,Results!G5+1,DP8)</f>
        <v>3</v>
      </c>
      <c r="DR8" s="4">
        <f>IF(DR7=1,Results!H5+1,DQ8)</f>
        <v>3</v>
      </c>
      <c r="DS8" s="4">
        <f>IF(DS7=1,Results!I5+1,DR8)</f>
        <v>3</v>
      </c>
      <c r="DT8" s="4">
        <f>IF(DT7=1,Results!J5+1,DS8)</f>
        <v>3</v>
      </c>
      <c r="DU8" s="4"/>
      <c r="DV8" s="4"/>
      <c r="DX8" s="9"/>
      <c r="EA8" s="3" t="s">
        <v>121</v>
      </c>
      <c r="EB8" s="1">
        <v>0</v>
      </c>
      <c r="EC8" s="4">
        <f>IF(EC7=1,Results!C5+1,EB8)</f>
        <v>0</v>
      </c>
      <c r="ED8" s="4">
        <f>IF(ED7=1,Results!D5+1,EC8)</f>
        <v>3</v>
      </c>
      <c r="EE8" s="4">
        <f>IF(EE7=1,Results!E5+1,ED8)</f>
        <v>3</v>
      </c>
      <c r="EF8" s="4">
        <f>IF(EF7=1,Results!F5+1,EE8)</f>
        <v>3</v>
      </c>
      <c r="EG8" s="4">
        <f>IF(EG7=1,Results!G5+1,EF8)</f>
        <v>3</v>
      </c>
      <c r="EH8" s="4">
        <f>IF(EH7=1,Results!H5+1,EG8)</f>
        <v>3</v>
      </c>
      <c r="EI8" s="4">
        <f>IF(EI7=1,Results!I5+1,EH8)</f>
        <v>3</v>
      </c>
      <c r="EJ8" s="4">
        <f>IF(EJ7=1,Results!J5+1,EI8)</f>
        <v>3</v>
      </c>
      <c r="EK8" s="4"/>
      <c r="EL8" s="4"/>
      <c r="EN8" s="9"/>
      <c r="EQ8" s="3" t="s">
        <v>122</v>
      </c>
      <c r="ER8" s="1">
        <v>0</v>
      </c>
      <c r="ES8" s="4">
        <f>IF(ES7=1,Results!C5+1,ER8)</f>
        <v>0</v>
      </c>
      <c r="ET8" s="4">
        <f>IF(ET7=1,Results!D5+1,ES8)</f>
        <v>0</v>
      </c>
      <c r="EU8" s="4">
        <f>IF(EU7=1,Results!E5+1,ET8)</f>
        <v>4</v>
      </c>
      <c r="EV8" s="4">
        <f>IF(EV7=1,Results!F5+1,EU8)</f>
        <v>4</v>
      </c>
      <c r="EW8" s="4">
        <f>IF(EW7=1,Results!G5+1,EV8)</f>
        <v>4</v>
      </c>
      <c r="EX8" s="4">
        <f>IF(EX7=1,Results!H5+1,EW8)</f>
        <v>4</v>
      </c>
      <c r="EY8" s="4">
        <f>IF(EY7=1,Results!I5+1,EX8)</f>
        <v>4</v>
      </c>
      <c r="EZ8" s="1">
        <f>IF(EZ7=1,Results!J5+1,EY8)</f>
        <v>4</v>
      </c>
      <c r="FA8" s="4"/>
      <c r="FB8" s="1"/>
      <c r="FD8" s="9"/>
      <c r="FG8" s="3" t="s">
        <v>123</v>
      </c>
      <c r="FH8" s="1">
        <v>0</v>
      </c>
      <c r="FI8" s="4">
        <f>IF(FI7=1,Results!C5+1,FH8)</f>
        <v>0</v>
      </c>
      <c r="FJ8" s="4">
        <f>IF(FJ7=1,Results!D5+1,FI8)</f>
        <v>0</v>
      </c>
      <c r="FK8" s="4">
        <f>IF(FK7=1,Results!E5+1,FJ8)</f>
        <v>4</v>
      </c>
      <c r="FL8" s="4">
        <f>IF(FL7=1,Results!F5+1,FK8)</f>
        <v>4</v>
      </c>
      <c r="FM8" s="4">
        <f>IF(FM7=1,Results!G5+1,FL8)</f>
        <v>4</v>
      </c>
      <c r="FN8" s="4">
        <f>IF(FN7=1,Results!H5+1,FM8)</f>
        <v>4</v>
      </c>
      <c r="FO8" s="4">
        <f>IF(FO7=1,Results!I5+1,FN8)</f>
        <v>4</v>
      </c>
      <c r="FP8" s="1">
        <f>IF(FP7=1,Results!J5+1,FO8)</f>
        <v>4</v>
      </c>
      <c r="FQ8" s="4"/>
      <c r="FR8" s="1"/>
      <c r="FT8" s="9"/>
      <c r="FW8" s="3" t="s">
        <v>124</v>
      </c>
      <c r="FX8" s="1">
        <v>0</v>
      </c>
      <c r="FY8" s="4">
        <f>IF(FY7=1,Results!C5+1,FX8)</f>
        <v>0</v>
      </c>
      <c r="FZ8" s="4">
        <f>IF(FZ7=1,Results!D5+1,FY8)</f>
        <v>0</v>
      </c>
      <c r="GA8" s="4">
        <f>IF(GA7=1,Results!E5+1,FZ8)</f>
        <v>0</v>
      </c>
      <c r="GB8" s="4">
        <f>IF(GB7=1,Results!F5+1,GA8)</f>
        <v>5</v>
      </c>
      <c r="GC8" s="4">
        <f>IF(GC7=1,Results!G5+1,GB8)</f>
        <v>5</v>
      </c>
      <c r="GD8" s="4">
        <f>IF(GD7=1,Results!H5+1,GC8)</f>
        <v>5</v>
      </c>
      <c r="GE8" s="4">
        <f>IF(GE7=1,Results!I5+1,GD8)</f>
        <v>5</v>
      </c>
      <c r="GF8" s="1">
        <f>IF(GF7=1,Results!J5+1,GE8)</f>
        <v>5</v>
      </c>
      <c r="GG8" s="4"/>
      <c r="GH8" s="4"/>
      <c r="GJ8" s="9"/>
      <c r="GM8" s="3" t="s">
        <v>125</v>
      </c>
      <c r="GN8" s="1">
        <v>0</v>
      </c>
      <c r="GO8" s="4">
        <f>IF(GO7=1,Results!C5+1,GN8)</f>
        <v>0</v>
      </c>
      <c r="GP8" s="1">
        <f>IF(GP7=1,Results!D5+1,GO8)</f>
        <v>0</v>
      </c>
      <c r="GQ8" s="1">
        <f>IF(GQ7=1,Results!E5+1,GP8)</f>
        <v>0</v>
      </c>
      <c r="GR8" s="1">
        <f>IF(GR7=1,Results!F5+1,GQ8)</f>
        <v>5</v>
      </c>
      <c r="GS8" s="1">
        <f>IF(GS7=1,Results!G5+1,GR8)</f>
        <v>5</v>
      </c>
      <c r="GT8" s="1">
        <f>IF(GT7=1,Results!H5+1,GS8)</f>
        <v>5</v>
      </c>
      <c r="GU8" s="1">
        <f>IF(GU7=1,Results!I5+1,GT8)</f>
        <v>5</v>
      </c>
      <c r="GV8" s="1">
        <f>IF(GV7=1,Results!J5+1,GU8)</f>
        <v>5</v>
      </c>
      <c r="GW8" s="1"/>
      <c r="GX8" s="1"/>
      <c r="GY8" s="1"/>
      <c r="GZ8" s="9"/>
      <c r="HB8" s="1"/>
      <c r="HC8" s="3" t="s">
        <v>126</v>
      </c>
      <c r="HD8" s="1">
        <v>0</v>
      </c>
      <c r="HE8" s="1">
        <f>IF(HE7=1,Results!C5+1,HD8)</f>
        <v>0</v>
      </c>
      <c r="HF8" s="1">
        <f>IF(HF7=1,Results!D5+1,HE8)</f>
        <v>0</v>
      </c>
      <c r="HG8" s="1">
        <f>IF(HG7=1,Results!E5+1,HF8)</f>
        <v>0</v>
      </c>
      <c r="HH8" s="1">
        <f>IF(HH7=1,Results!F5+1,HG8)</f>
        <v>0</v>
      </c>
      <c r="HI8" s="1">
        <f>IF(HI7=1,Results!G5+1,HH8)</f>
        <v>6</v>
      </c>
      <c r="HJ8" s="1">
        <f>IF(HJ7=1,Results!H5+1,HI8)</f>
        <v>6</v>
      </c>
      <c r="HK8" s="1">
        <f>IF(HK7=1,Results!I5+1,HJ8)</f>
        <v>6</v>
      </c>
      <c r="HL8" s="1">
        <f>IF(HL7=1,Results!J5+1,HK8)</f>
        <v>6</v>
      </c>
      <c r="HM8" s="1"/>
      <c r="HN8" s="1"/>
      <c r="HO8" s="1"/>
      <c r="HP8" s="9"/>
      <c r="HR8" s="1"/>
      <c r="HS8" s="3" t="s">
        <v>127</v>
      </c>
      <c r="HT8" s="1">
        <v>0</v>
      </c>
      <c r="HU8" s="1">
        <f>IF(HU7=1,Results!C5+1,HT8)</f>
        <v>0</v>
      </c>
      <c r="HV8" s="1">
        <f>IF(HV7=1,Results!D5+1,HU8)</f>
        <v>0</v>
      </c>
      <c r="HW8" s="4">
        <f>IF(HW7=1,Results!E5+1,HV8)</f>
        <v>4</v>
      </c>
      <c r="HX8" s="4">
        <f>IF(HX7=1,Results!F5+1,HW8)</f>
        <v>4</v>
      </c>
      <c r="HY8" s="4">
        <f>IF(HY7=1,Results!G5+1,HX8)</f>
        <v>4</v>
      </c>
      <c r="HZ8" s="4">
        <f>IF(HZ7=1,Results!H5+1,HY8)</f>
        <v>4</v>
      </c>
      <c r="IA8" s="4">
        <f>IF(IA7=1,Results!I5+1,HZ8)</f>
        <v>4</v>
      </c>
      <c r="IB8" s="4">
        <f>IF(IB7=1,Results!J5+1,IA8)</f>
        <v>4</v>
      </c>
      <c r="IC8" s="4"/>
      <c r="ID8" s="4"/>
      <c r="IF8" s="9"/>
      <c r="II8" s="3" t="s">
        <v>128</v>
      </c>
      <c r="IJ8" s="1">
        <v>0</v>
      </c>
      <c r="IK8" s="4">
        <f>IF(IK7=1,Results!$C5+1,IJ8)</f>
        <v>0</v>
      </c>
      <c r="IL8" s="4">
        <f>IF(IL7=1,Results!$D5+1,IK8)</f>
        <v>0</v>
      </c>
      <c r="IM8" s="4">
        <f>IF(IM7=1,Results!$E5+1,IL8)</f>
        <v>4</v>
      </c>
      <c r="IN8" s="4">
        <f>IF(IN7=1,Results!$F5+1,IM8)</f>
        <v>4</v>
      </c>
      <c r="IO8" s="4">
        <f>IF(IO7=1,Results!$G5+1,IN8)</f>
        <v>4</v>
      </c>
      <c r="IP8" s="4">
        <f>IF(IP7=1,Results!$H5+1,IO8)</f>
        <v>4</v>
      </c>
      <c r="IQ8" s="4">
        <f>IF(IQ7=1,Results!$I5+1,IP8)</f>
        <v>4</v>
      </c>
      <c r="IR8" s="4">
        <f>IF(IR7=1,Results!$J5+1,IQ8)</f>
        <v>4</v>
      </c>
      <c r="IS8" s="4"/>
      <c r="IT8" s="4"/>
      <c r="IV8" s="9"/>
      <c r="IY8" s="3" t="s">
        <v>129</v>
      </c>
      <c r="IZ8" s="1">
        <v>0</v>
      </c>
      <c r="JA8" s="4">
        <f>IF(JA7=1,Results!$C5+1,IZ8)</f>
        <v>0</v>
      </c>
      <c r="JB8" s="4">
        <f>IF(JB7=1,Results!$D5+1,JA8)</f>
        <v>0</v>
      </c>
      <c r="JC8" s="4">
        <f>IF(JC7=1,Results!$E5+1,JB8)</f>
        <v>0</v>
      </c>
      <c r="JD8" s="4">
        <f>IF(JD7=1,Results!$F5+1,JC8)</f>
        <v>5</v>
      </c>
      <c r="JE8" s="4">
        <f>IF(JE7=1,Results!$G5+1,JD8)</f>
        <v>5</v>
      </c>
      <c r="JF8" s="4">
        <f>IF(JF7=1,Results!$H5+1,JE8)</f>
        <v>5</v>
      </c>
      <c r="JG8" s="4">
        <f>IF(JG7=1,Results!$I5+1,JF8)</f>
        <v>5</v>
      </c>
      <c r="JH8" s="4">
        <f>IF(JH7=1,Results!$J5+1,JG8)</f>
        <v>5</v>
      </c>
      <c r="JI8" s="4"/>
      <c r="JJ8" s="4"/>
      <c r="JL8" s="9"/>
      <c r="JO8" s="3" t="s">
        <v>130</v>
      </c>
      <c r="JP8" s="1">
        <v>0</v>
      </c>
      <c r="JQ8" s="4">
        <f>IF(JQ7=1,Results!$C5+1,JP8)</f>
        <v>0</v>
      </c>
      <c r="JR8" s="4">
        <f>IF(JR7=1,Results!$D5+1,JQ8)</f>
        <v>0</v>
      </c>
      <c r="JS8" s="4">
        <f>IF(JS7=1,Results!$E5+1,JR8)</f>
        <v>0</v>
      </c>
      <c r="JT8" s="4">
        <f>IF(JT7=1,Results!$F5+1,JS8)</f>
        <v>5</v>
      </c>
      <c r="JU8" s="4">
        <f>IF(JU7=1,Results!$G5+1,JT8)</f>
        <v>5</v>
      </c>
      <c r="JV8" s="4">
        <f>IF(JV7=1,Results!$H5+1,JU8)</f>
        <v>5</v>
      </c>
      <c r="JW8" s="4">
        <f>IF(JW7=1,Results!$I5+1,JV8)</f>
        <v>5</v>
      </c>
      <c r="JX8" s="4">
        <f>IF(JX7=1,Results!$J5+1,JW8)</f>
        <v>5</v>
      </c>
      <c r="JY8" s="4"/>
      <c r="JZ8" s="4"/>
      <c r="KB8" s="9"/>
      <c r="KE8" s="3" t="s">
        <v>131</v>
      </c>
      <c r="KF8" s="1">
        <v>0</v>
      </c>
      <c r="KG8" s="4">
        <f>IF(KG7=1,Results!C5+1,KF8)</f>
        <v>0</v>
      </c>
      <c r="KH8" s="4">
        <f>IF(KH7=1,Results!D5+1,KG8)</f>
        <v>0</v>
      </c>
      <c r="KI8" s="4">
        <f>IF(KI7=1,Results!E5+1,KH8)</f>
        <v>0</v>
      </c>
      <c r="KJ8" s="4">
        <f>IF(KJ7=1,Results!F5+1,KI8)</f>
        <v>0</v>
      </c>
      <c r="KK8" s="4">
        <f>IF(KK7=1,Results!G5+1,KJ8)</f>
        <v>0</v>
      </c>
      <c r="KL8" s="4">
        <f>IF(KL7=1,Results!H5+1,KK8)</f>
        <v>0</v>
      </c>
      <c r="KM8" s="4">
        <f>IF(KM7=1,Results!I5+1,KL8)</f>
        <v>0</v>
      </c>
      <c r="KN8" s="4">
        <f>IF(KN7=1,Results!J5+1,KM8)</f>
        <v>0</v>
      </c>
      <c r="KO8" s="4"/>
      <c r="KP8" s="4"/>
      <c r="KR8" s="9"/>
      <c r="KU8" s="3" t="s">
        <v>132</v>
      </c>
      <c r="KV8" s="1">
        <v>0</v>
      </c>
      <c r="KW8" s="4">
        <f>IF(KW7=1,Results!C5+1,KV8)</f>
        <v>0</v>
      </c>
      <c r="KX8" s="4">
        <f>IF(KX7=1,Results!D5+1,KW8)</f>
        <v>0</v>
      </c>
      <c r="KY8" s="4">
        <f>IF(KY7=1,Results!E5+1,KX8)</f>
        <v>0</v>
      </c>
      <c r="KZ8" s="4">
        <f>IF(KZ7=1,Results!F5+1,KY8)</f>
        <v>0</v>
      </c>
      <c r="LA8" s="4">
        <f>IF(LA7=1,Results!G5+1,KZ8)</f>
        <v>0</v>
      </c>
      <c r="LB8" s="4">
        <f>IF(LB7=1,Results!H5+1,LA8)</f>
        <v>0</v>
      </c>
      <c r="LC8" s="4">
        <f>IF(LC7=1,Results!I5+1,LB8)</f>
        <v>0</v>
      </c>
      <c r="LD8" s="4">
        <f>IF(LD7=1,Results!J5+1,LC8)</f>
        <v>0</v>
      </c>
      <c r="LE8" s="4"/>
      <c r="LF8" s="4"/>
      <c r="LH8" s="9"/>
      <c r="LK8" s="3" t="s">
        <v>133</v>
      </c>
      <c r="LL8" s="1">
        <v>0</v>
      </c>
      <c r="LM8" s="4">
        <f>IF(LM7=1,Results!C5+1,LL8)</f>
        <v>0</v>
      </c>
      <c r="LN8" s="4">
        <f>IF(LN7=1,Results!D5+1,LM8)</f>
        <v>0</v>
      </c>
      <c r="LO8" s="4">
        <f>IF(LO7=1,Results!E5+1,LN8)</f>
        <v>0</v>
      </c>
      <c r="LP8" s="4">
        <f>IF(LP7=1,Results!F5+1,LO8)</f>
        <v>0</v>
      </c>
      <c r="LQ8" s="4">
        <f>IF(LQ7=1,Results!G5+1,LP8)</f>
        <v>0</v>
      </c>
      <c r="LR8" s="4">
        <f>IF(LR7=1,Results!H5+1,LQ8)</f>
        <v>0</v>
      </c>
      <c r="LS8" s="4">
        <f>IF(LS7=1,Results!I5+1,LR8)</f>
        <v>0</v>
      </c>
      <c r="LT8" s="4">
        <f>IF(LT7=1,Results!J5+1,LS8)</f>
        <v>0</v>
      </c>
      <c r="LU8" s="4"/>
      <c r="LV8" s="4"/>
      <c r="LX8" s="9"/>
      <c r="MA8" s="3" t="s">
        <v>134</v>
      </c>
      <c r="MB8" s="1">
        <v>0</v>
      </c>
      <c r="MC8" s="4">
        <f>IF(MC7=1,Results!C5+1,MB8)</f>
        <v>0</v>
      </c>
      <c r="MD8" s="4">
        <f>IF(MD7=1,Results!D5+1,MC8)</f>
        <v>0</v>
      </c>
      <c r="ME8" s="4">
        <f>IF(ME7=1,Results!E5+1,MD8)</f>
        <v>0</v>
      </c>
      <c r="MF8" s="4">
        <f>IF(MF7=1,Results!F5+1,ME8)</f>
        <v>0</v>
      </c>
      <c r="MG8" s="4">
        <f>IF(MG7=1,Results!G5+1,MF8)</f>
        <v>0</v>
      </c>
      <c r="MH8" s="4">
        <f>IF(MH7=1,Results!H5+1,MG8)</f>
        <v>0</v>
      </c>
      <c r="MI8" s="4">
        <f>IF(MI7=1,Results!I5+1,MH8)</f>
        <v>0</v>
      </c>
      <c r="MJ8" s="4">
        <f>IF(MJ7=1,Results!J5+1,MI8)</f>
        <v>0</v>
      </c>
      <c r="MK8" s="4"/>
      <c r="ML8" s="4"/>
      <c r="MN8" s="9"/>
      <c r="MQ8" s="3" t="s">
        <v>135</v>
      </c>
      <c r="MR8" s="1">
        <v>0</v>
      </c>
      <c r="MS8" s="4">
        <f>IF(MS7=1,Results!C5+1,MR8)</f>
        <v>0</v>
      </c>
      <c r="MT8" s="4">
        <f>IF(MT7=1,Results!D5+1,MS8)</f>
        <v>0</v>
      </c>
      <c r="MU8" s="4">
        <f>IF(MU7=1,Results!E5+1,MT8)</f>
        <v>0</v>
      </c>
      <c r="MV8" s="4">
        <f>IF(MV7=1,Results!F5+1,MU8)</f>
        <v>0</v>
      </c>
      <c r="MW8" s="4">
        <f>IF(MW7=1,Results!G5+1,MV8)</f>
        <v>0</v>
      </c>
      <c r="MX8" s="4">
        <f>IF(MX7=1,Results!H5+1,MW8)</f>
        <v>0</v>
      </c>
      <c r="MY8" s="4">
        <f>IF(MY7=1,Results!I5+1,MX8)</f>
        <v>0</v>
      </c>
      <c r="MZ8" s="4">
        <f>IF(MZ7=1,Results!J5+1,MY8)</f>
        <v>0</v>
      </c>
      <c r="NA8" s="4"/>
      <c r="NB8" s="4"/>
      <c r="ND8" s="9"/>
      <c r="NG8" s="3" t="s">
        <v>136</v>
      </c>
      <c r="NH8" s="1">
        <v>0</v>
      </c>
      <c r="NI8" s="4">
        <f>IF(NI7=1,Results!C5+1,NH8)</f>
        <v>0</v>
      </c>
      <c r="NJ8" s="4">
        <f>IF(NJ7=1,Results!D5+1,NI8)</f>
        <v>0</v>
      </c>
      <c r="NK8" s="4">
        <f>IF(NK7=1,Results!E5+1,NJ8)</f>
        <v>0</v>
      </c>
      <c r="NL8" s="4">
        <f>IF(NL7=1,Results!F5+1,NK8)</f>
        <v>0</v>
      </c>
      <c r="NM8" s="4">
        <f>IF(NM7=1,Results!G5+1,NL8)</f>
        <v>0</v>
      </c>
      <c r="NN8" s="4">
        <f>IF(NN7=1,Results!H5+1,NM8)</f>
        <v>0</v>
      </c>
      <c r="NO8" s="4">
        <f>IF(NO7=1,Results!I5+1,NN8)</f>
        <v>0</v>
      </c>
      <c r="NP8" s="4">
        <f>IF(NP7=1,Results!J5+1,NO8)</f>
        <v>0</v>
      </c>
      <c r="NQ8" s="4"/>
      <c r="NR8" s="4"/>
      <c r="NT8" s="9"/>
      <c r="NW8" s="3" t="s">
        <v>137</v>
      </c>
      <c r="NX8" s="1">
        <v>0</v>
      </c>
      <c r="NY8" s="4">
        <f>IF(NY7=1,Results!C5+1,NX8)</f>
        <v>0</v>
      </c>
      <c r="NZ8" s="4">
        <f>IF(NZ7=1,Results!D5+1,NY8)</f>
        <v>0</v>
      </c>
      <c r="OA8" s="4">
        <f>IF(OA7=1,Results!E5+1,NZ8)</f>
        <v>0</v>
      </c>
      <c r="OB8" s="4">
        <f>IF(OB7=1,Results!F5+1,OA8)</f>
        <v>0</v>
      </c>
      <c r="OC8" s="4">
        <f>IF(OC7=1,Results!G5+1,OB8)</f>
        <v>0</v>
      </c>
      <c r="OD8" s="4">
        <f>IF(OD7=1,Results!H5+1,OC8)</f>
        <v>0</v>
      </c>
      <c r="OE8" s="4">
        <f>IF(OE7=1,Results!I5+1,OD8)</f>
        <v>0</v>
      </c>
      <c r="OF8" s="4">
        <f>IF(OF7=1,Results!J5+1,OE8)</f>
        <v>0</v>
      </c>
      <c r="OG8" s="4"/>
      <c r="OH8" s="4"/>
      <c r="OJ8" s="9"/>
      <c r="OL8" s="1"/>
      <c r="OM8" s="4"/>
      <c r="ON8" s="4"/>
      <c r="OO8" s="4"/>
      <c r="OP8" s="4"/>
      <c r="OQ8" s="4"/>
      <c r="OR8" s="4"/>
      <c r="OS8" s="4"/>
      <c r="OT8" s="4"/>
      <c r="OU8" s="4"/>
      <c r="OV8" s="4"/>
      <c r="OY8" s="3"/>
      <c r="OZ8" s="1"/>
      <c r="PA8" s="4"/>
      <c r="PB8" s="4"/>
      <c r="PC8" s="4"/>
      <c r="PD8" s="4"/>
      <c r="PE8" s="4"/>
      <c r="PF8" s="4"/>
      <c r="PG8" s="4"/>
      <c r="PH8" s="4"/>
      <c r="PI8" s="4"/>
      <c r="PJ8" s="4"/>
      <c r="PM8" s="3"/>
      <c r="PN8" s="1"/>
      <c r="PO8" s="4"/>
      <c r="PP8" s="4"/>
      <c r="PQ8" s="4"/>
      <c r="PR8" s="4"/>
      <c r="PS8" s="4"/>
      <c r="PT8" s="4"/>
      <c r="PU8" s="4"/>
      <c r="PV8" s="4"/>
      <c r="PW8" s="4"/>
      <c r="PX8" s="4"/>
      <c r="QA8" s="3"/>
      <c r="QB8" s="1"/>
      <c r="QC8" s="4"/>
      <c r="QD8" s="4"/>
      <c r="QE8" s="4"/>
      <c r="QF8" s="4"/>
      <c r="QG8" s="4"/>
      <c r="QH8" s="4"/>
      <c r="QI8" s="4"/>
      <c r="QJ8" s="4"/>
      <c r="QK8" s="4"/>
      <c r="QL8" s="4"/>
      <c r="QO8" s="3"/>
      <c r="QP8" s="1"/>
      <c r="QQ8" s="4"/>
      <c r="QR8" s="4"/>
      <c r="QS8" s="4"/>
      <c r="QT8" s="4"/>
      <c r="QU8" s="4"/>
      <c r="QV8" s="4"/>
      <c r="QW8" s="4"/>
      <c r="QX8" s="4"/>
      <c r="QY8" s="4"/>
      <c r="QZ8" s="4"/>
      <c r="RC8" s="3"/>
      <c r="RD8" s="1"/>
      <c r="RE8" s="4"/>
      <c r="RF8" s="4"/>
      <c r="RG8" s="4"/>
      <c r="RH8" s="4"/>
      <c r="RI8" s="4"/>
      <c r="RJ8" s="4"/>
      <c r="RK8" s="4"/>
      <c r="RL8" s="4"/>
      <c r="RQ8" s="3"/>
      <c r="RR8" s="1"/>
      <c r="RS8" s="4"/>
      <c r="RT8" s="4"/>
      <c r="RU8" s="4"/>
      <c r="RV8" s="4"/>
      <c r="RW8" s="4"/>
      <c r="RX8" s="4"/>
      <c r="RY8" s="4"/>
      <c r="RZ8" s="4"/>
      <c r="SE8" s="3"/>
      <c r="SF8" s="1"/>
      <c r="SG8" s="4"/>
      <c r="SH8" s="4"/>
      <c r="SI8" s="4"/>
      <c r="SJ8" s="4"/>
      <c r="SK8" s="4"/>
      <c r="SL8" s="4"/>
      <c r="SM8" s="4"/>
      <c r="SN8" s="4"/>
    </row>
    <row r="9" spans="1:508" x14ac:dyDescent="0.2">
      <c r="A9" s="3" t="s">
        <v>138</v>
      </c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G9" s="3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Y9" s="3" t="s">
        <v>139</v>
      </c>
      <c r="AZ9" s="4">
        <v>0</v>
      </c>
      <c r="BA9" s="4">
        <f>+AZ4</f>
        <v>0</v>
      </c>
      <c r="BB9" s="4">
        <f t="shared" ref="BB9:BH9" si="354">+BA4-AZ4</f>
        <v>0</v>
      </c>
      <c r="BC9" s="4">
        <f t="shared" si="354"/>
        <v>0</v>
      </c>
      <c r="BD9" s="4">
        <f t="shared" si="354"/>
        <v>0</v>
      </c>
      <c r="BE9" s="4">
        <f t="shared" si="354"/>
        <v>0</v>
      </c>
      <c r="BF9" s="4">
        <f t="shared" si="354"/>
        <v>0</v>
      </c>
      <c r="BG9" s="4">
        <f t="shared" si="354"/>
        <v>0</v>
      </c>
      <c r="BH9" s="4">
        <f t="shared" si="354"/>
        <v>0</v>
      </c>
      <c r="BI9" s="4"/>
      <c r="BJ9" s="4"/>
      <c r="BL9" s="9"/>
      <c r="BO9" s="3" t="s">
        <v>140</v>
      </c>
      <c r="BP9" s="4">
        <v>0</v>
      </c>
      <c r="BQ9" s="4">
        <f>+BP4</f>
        <v>0</v>
      </c>
      <c r="BR9" s="4">
        <f t="shared" ref="BR9:BX9" si="355">+BQ4-BP4</f>
        <v>0</v>
      </c>
      <c r="BS9" s="4">
        <f t="shared" si="355"/>
        <v>0</v>
      </c>
      <c r="BT9" s="4">
        <f t="shared" si="355"/>
        <v>0</v>
      </c>
      <c r="BU9" s="4">
        <f t="shared" si="355"/>
        <v>0</v>
      </c>
      <c r="BV9" s="4">
        <f t="shared" si="355"/>
        <v>0</v>
      </c>
      <c r="BW9" s="4">
        <f t="shared" si="355"/>
        <v>0</v>
      </c>
      <c r="BX9" s="4">
        <f t="shared" si="355"/>
        <v>0</v>
      </c>
      <c r="BY9" s="4"/>
      <c r="BZ9" s="4"/>
      <c r="CB9" s="9"/>
      <c r="CE9" s="3" t="s">
        <v>141</v>
      </c>
      <c r="CF9" s="4">
        <v>0</v>
      </c>
      <c r="CG9" s="4">
        <f>+CF4</f>
        <v>0</v>
      </c>
      <c r="CH9" s="4">
        <f t="shared" ref="CH9:CN9" si="356">+CG4-CF4</f>
        <v>0</v>
      </c>
      <c r="CI9" s="4">
        <f t="shared" si="356"/>
        <v>0</v>
      </c>
      <c r="CJ9" s="4">
        <f t="shared" si="356"/>
        <v>0</v>
      </c>
      <c r="CK9" s="4">
        <f t="shared" si="356"/>
        <v>0</v>
      </c>
      <c r="CL9" s="4">
        <f t="shared" si="356"/>
        <v>0</v>
      </c>
      <c r="CM9" s="4">
        <f t="shared" si="356"/>
        <v>0</v>
      </c>
      <c r="CN9" s="4">
        <f t="shared" si="356"/>
        <v>0</v>
      </c>
      <c r="CO9" s="4"/>
      <c r="CP9" s="4"/>
      <c r="CR9" s="9"/>
      <c r="CU9" s="3" t="s">
        <v>142</v>
      </c>
      <c r="CV9" s="4">
        <v>0</v>
      </c>
      <c r="CW9" s="4">
        <f>+CV4</f>
        <v>0</v>
      </c>
      <c r="CX9" s="4">
        <f t="shared" ref="CX9:DD9" si="357">+CW4-CV4</f>
        <v>0</v>
      </c>
      <c r="CY9" s="4">
        <f t="shared" si="357"/>
        <v>0</v>
      </c>
      <c r="CZ9" s="4">
        <f t="shared" si="357"/>
        <v>0</v>
      </c>
      <c r="DA9" s="4">
        <f t="shared" si="357"/>
        <v>0</v>
      </c>
      <c r="DB9" s="4">
        <f t="shared" si="357"/>
        <v>0</v>
      </c>
      <c r="DC9" s="4">
        <f t="shared" si="357"/>
        <v>0</v>
      </c>
      <c r="DD9" s="4">
        <f t="shared" si="357"/>
        <v>0</v>
      </c>
      <c r="DE9" s="4"/>
      <c r="DF9" s="4"/>
      <c r="DH9" s="9"/>
      <c r="DK9" s="3" t="s">
        <v>143</v>
      </c>
      <c r="DL9" s="4">
        <v>0</v>
      </c>
      <c r="DM9" s="4">
        <f>+DL4</f>
        <v>0</v>
      </c>
      <c r="DN9" s="4">
        <f t="shared" ref="DN9:DT9" si="358">+DM4-DL4</f>
        <v>0</v>
      </c>
      <c r="DO9" s="4">
        <f t="shared" si="358"/>
        <v>0</v>
      </c>
      <c r="DP9" s="4">
        <f t="shared" si="358"/>
        <v>0</v>
      </c>
      <c r="DQ9" s="4">
        <f t="shared" si="358"/>
        <v>0</v>
      </c>
      <c r="DR9" s="4">
        <f t="shared" si="358"/>
        <v>0</v>
      </c>
      <c r="DS9" s="4">
        <f t="shared" si="358"/>
        <v>0</v>
      </c>
      <c r="DT9" s="4">
        <f t="shared" si="358"/>
        <v>0</v>
      </c>
      <c r="DU9" s="4"/>
      <c r="DV9" s="4"/>
      <c r="DX9" s="9"/>
      <c r="EA9" s="3" t="s">
        <v>144</v>
      </c>
      <c r="EB9" s="4">
        <v>0</v>
      </c>
      <c r="EC9" s="4">
        <f>+EB4</f>
        <v>0</v>
      </c>
      <c r="ED9" s="4">
        <f t="shared" ref="ED9:EJ9" si="359">+EC4-EB4</f>
        <v>0</v>
      </c>
      <c r="EE9" s="4">
        <f t="shared" si="359"/>
        <v>0</v>
      </c>
      <c r="EF9" s="4">
        <f t="shared" si="359"/>
        <v>0</v>
      </c>
      <c r="EG9" s="4">
        <f t="shared" si="359"/>
        <v>0</v>
      </c>
      <c r="EH9" s="4">
        <f t="shared" si="359"/>
        <v>0</v>
      </c>
      <c r="EI9" s="4">
        <f t="shared" si="359"/>
        <v>0</v>
      </c>
      <c r="EJ9" s="4">
        <f t="shared" si="359"/>
        <v>0</v>
      </c>
      <c r="EK9" s="4"/>
      <c r="EL9" s="4"/>
      <c r="EN9" s="9"/>
      <c r="EQ9" s="3" t="s">
        <v>145</v>
      </c>
      <c r="ER9" s="4">
        <v>0</v>
      </c>
      <c r="ES9" s="4">
        <f>+ER4</f>
        <v>0</v>
      </c>
      <c r="ET9" s="4">
        <f t="shared" ref="ET9:EZ9" si="360">+ES4-ER4</f>
        <v>0</v>
      </c>
      <c r="EU9" s="4">
        <f t="shared" si="360"/>
        <v>0</v>
      </c>
      <c r="EV9" s="4">
        <f t="shared" si="360"/>
        <v>0</v>
      </c>
      <c r="EW9" s="4">
        <f t="shared" si="360"/>
        <v>0</v>
      </c>
      <c r="EX9" s="4">
        <f t="shared" si="360"/>
        <v>0</v>
      </c>
      <c r="EY9" s="4">
        <f t="shared" si="360"/>
        <v>0</v>
      </c>
      <c r="EZ9" s="4">
        <f t="shared" si="360"/>
        <v>0</v>
      </c>
      <c r="FA9" s="4"/>
      <c r="FB9" s="4"/>
      <c r="FD9" s="9"/>
      <c r="FG9" s="3" t="s">
        <v>146</v>
      </c>
      <c r="FH9" s="4">
        <v>0</v>
      </c>
      <c r="FI9" s="4">
        <f>+FH4</f>
        <v>0</v>
      </c>
      <c r="FJ9" s="4">
        <f>+FI4-FH4</f>
        <v>0</v>
      </c>
      <c r="FK9" s="4">
        <f t="shared" ref="FK9:FP9" si="361">+FJ4-FI4</f>
        <v>0</v>
      </c>
      <c r="FL9" s="4">
        <f t="shared" si="361"/>
        <v>0</v>
      </c>
      <c r="FM9" s="4">
        <f t="shared" si="361"/>
        <v>0</v>
      </c>
      <c r="FN9" s="4">
        <f t="shared" si="361"/>
        <v>0</v>
      </c>
      <c r="FO9" s="4">
        <f t="shared" si="361"/>
        <v>0</v>
      </c>
      <c r="FP9" s="4">
        <f t="shared" si="361"/>
        <v>0</v>
      </c>
      <c r="FQ9" s="4"/>
      <c r="FR9" s="4"/>
      <c r="FT9" s="9"/>
      <c r="FW9" s="3" t="s">
        <v>147</v>
      </c>
      <c r="FX9" s="4">
        <v>0</v>
      </c>
      <c r="FY9" s="4">
        <f>+FX4</f>
        <v>0</v>
      </c>
      <c r="FZ9" s="4">
        <f t="shared" ref="FZ9:GF9" si="362">+FY4-FX4</f>
        <v>0</v>
      </c>
      <c r="GA9" s="4">
        <f t="shared" si="362"/>
        <v>0</v>
      </c>
      <c r="GB9" s="4">
        <f t="shared" si="362"/>
        <v>0</v>
      </c>
      <c r="GC9" s="4">
        <f t="shared" si="362"/>
        <v>0</v>
      </c>
      <c r="GD9" s="4">
        <f t="shared" si="362"/>
        <v>0</v>
      </c>
      <c r="GE9" s="4">
        <f t="shared" si="362"/>
        <v>0</v>
      </c>
      <c r="GF9" s="4">
        <f t="shared" si="362"/>
        <v>0</v>
      </c>
      <c r="GG9" s="4"/>
      <c r="GH9" s="4"/>
      <c r="GJ9" s="9"/>
      <c r="GM9" s="3" t="s">
        <v>148</v>
      </c>
      <c r="GN9" s="4">
        <v>0</v>
      </c>
      <c r="GO9" s="4">
        <f>+GN4</f>
        <v>0</v>
      </c>
      <c r="GP9" s="4">
        <f t="shared" ref="GP9:GV9" si="363">+GO4-GN4</f>
        <v>0</v>
      </c>
      <c r="GQ9" s="4">
        <f t="shared" si="363"/>
        <v>0</v>
      </c>
      <c r="GR9" s="4">
        <f t="shared" si="363"/>
        <v>0</v>
      </c>
      <c r="GS9" s="4">
        <f t="shared" si="363"/>
        <v>0</v>
      </c>
      <c r="GT9" s="4">
        <f t="shared" si="363"/>
        <v>0</v>
      </c>
      <c r="GU9" s="4">
        <f t="shared" si="363"/>
        <v>0</v>
      </c>
      <c r="GV9" s="4">
        <f t="shared" si="363"/>
        <v>0</v>
      </c>
      <c r="GW9" s="4"/>
      <c r="GX9" s="4"/>
      <c r="GY9" s="4"/>
      <c r="GZ9" s="9"/>
      <c r="HB9" s="4"/>
      <c r="HC9" s="3" t="s">
        <v>149</v>
      </c>
      <c r="HD9" s="4">
        <v>0</v>
      </c>
      <c r="HE9" s="4">
        <f>+HD4</f>
        <v>0</v>
      </c>
      <c r="HF9" s="4">
        <f t="shared" ref="HF9:HL9" si="364">+HE4-HD4</f>
        <v>0</v>
      </c>
      <c r="HG9" s="4">
        <f t="shared" si="364"/>
        <v>0</v>
      </c>
      <c r="HH9" s="4">
        <f t="shared" si="364"/>
        <v>0</v>
      </c>
      <c r="HI9" s="4">
        <f t="shared" si="364"/>
        <v>0</v>
      </c>
      <c r="HJ9" s="4">
        <f t="shared" si="364"/>
        <v>0</v>
      </c>
      <c r="HK9" s="4">
        <f t="shared" si="364"/>
        <v>0</v>
      </c>
      <c r="HL9" s="4">
        <f t="shared" si="364"/>
        <v>0</v>
      </c>
      <c r="HM9" s="4"/>
      <c r="HN9" s="4"/>
      <c r="HO9" s="4"/>
      <c r="HP9" s="9"/>
      <c r="HR9" s="4"/>
      <c r="HS9" s="3" t="s">
        <v>150</v>
      </c>
      <c r="HT9" s="4">
        <v>0</v>
      </c>
      <c r="HU9" s="4">
        <f>+HT4</f>
        <v>0</v>
      </c>
      <c r="HV9" s="4">
        <f t="shared" ref="HV9:IB9" si="365">+HU4-HT4</f>
        <v>0</v>
      </c>
      <c r="HW9" s="4">
        <f t="shared" si="365"/>
        <v>0</v>
      </c>
      <c r="HX9" s="4">
        <f t="shared" si="365"/>
        <v>0</v>
      </c>
      <c r="HY9" s="4">
        <f t="shared" si="365"/>
        <v>0</v>
      </c>
      <c r="HZ9" s="4">
        <f t="shared" si="365"/>
        <v>0</v>
      </c>
      <c r="IA9" s="4">
        <f t="shared" si="365"/>
        <v>0</v>
      </c>
      <c r="IB9" s="4">
        <f t="shared" si="365"/>
        <v>0</v>
      </c>
      <c r="IC9" s="4"/>
      <c r="ID9" s="4"/>
      <c r="IF9" s="9"/>
      <c r="II9" s="3" t="s">
        <v>151</v>
      </c>
      <c r="IJ9" s="4">
        <v>0</v>
      </c>
      <c r="IK9" s="4">
        <f>+IJ4</f>
        <v>0</v>
      </c>
      <c r="IL9" s="4">
        <f t="shared" ref="IL9:IR9" si="366">+IK4-IJ4</f>
        <v>0</v>
      </c>
      <c r="IM9" s="4">
        <f t="shared" si="366"/>
        <v>0</v>
      </c>
      <c r="IN9" s="4">
        <f t="shared" si="366"/>
        <v>0</v>
      </c>
      <c r="IO9" s="4">
        <f t="shared" si="366"/>
        <v>0</v>
      </c>
      <c r="IP9" s="4">
        <f t="shared" si="366"/>
        <v>0</v>
      </c>
      <c r="IQ9" s="4">
        <f t="shared" si="366"/>
        <v>0</v>
      </c>
      <c r="IR9" s="4">
        <f t="shared" si="366"/>
        <v>0</v>
      </c>
      <c r="IS9" s="4"/>
      <c r="IT9" s="4"/>
      <c r="IV9" s="9"/>
      <c r="IY9" s="3" t="s">
        <v>152</v>
      </c>
      <c r="IZ9" s="4">
        <v>0</v>
      </c>
      <c r="JA9" s="4">
        <f>+IZ4</f>
        <v>0</v>
      </c>
      <c r="JB9" s="4">
        <f t="shared" ref="JB9" si="367">+JA4-IZ4</f>
        <v>0</v>
      </c>
      <c r="JC9" s="4">
        <f t="shared" ref="JC9" si="368">+JB4-JA4</f>
        <v>0</v>
      </c>
      <c r="JD9" s="4">
        <f t="shared" ref="JD9" si="369">+JC4-JB4</f>
        <v>0</v>
      </c>
      <c r="JE9" s="4">
        <f t="shared" ref="JE9" si="370">+JD4-JC4</f>
        <v>0</v>
      </c>
      <c r="JF9" s="4">
        <f t="shared" ref="JF9" si="371">+JE4-JD4</f>
        <v>0</v>
      </c>
      <c r="JG9" s="4">
        <f t="shared" ref="JG9" si="372">+JF4-JE4</f>
        <v>0</v>
      </c>
      <c r="JH9" s="4">
        <f t="shared" ref="JH9" si="373">+JG4-JF4</f>
        <v>0</v>
      </c>
      <c r="JI9" s="4"/>
      <c r="JJ9" s="4"/>
      <c r="JL9" s="9"/>
      <c r="JO9" s="3" t="s">
        <v>153</v>
      </c>
      <c r="JP9" s="4">
        <v>0</v>
      </c>
      <c r="JQ9" s="4">
        <f>+JP4</f>
        <v>0</v>
      </c>
      <c r="JR9" s="4">
        <f t="shared" ref="JR9" si="374">+JQ4-JP4</f>
        <v>0</v>
      </c>
      <c r="JS9" s="4">
        <f t="shared" ref="JS9" si="375">+JR4-JQ4</f>
        <v>0</v>
      </c>
      <c r="JT9" s="4">
        <f t="shared" ref="JT9" si="376">+JS4-JR4</f>
        <v>0</v>
      </c>
      <c r="JU9" s="4">
        <f t="shared" ref="JU9" si="377">+JT4-JS4</f>
        <v>0</v>
      </c>
      <c r="JV9" s="4">
        <f t="shared" ref="JV9" si="378">+JU4-JT4</f>
        <v>0</v>
      </c>
      <c r="JW9" s="4">
        <f t="shared" ref="JW9" si="379">+JV4-JU4</f>
        <v>0</v>
      </c>
      <c r="JX9" s="4">
        <f t="shared" ref="JX9" si="380">+JW4-JV4</f>
        <v>0</v>
      </c>
      <c r="JY9" s="4"/>
      <c r="JZ9" s="4"/>
      <c r="KB9" s="9"/>
      <c r="KE9" s="3" t="s">
        <v>154</v>
      </c>
      <c r="KF9" s="4">
        <v>0</v>
      </c>
      <c r="KG9" s="4">
        <f>+KF4</f>
        <v>0</v>
      </c>
      <c r="KH9" s="4">
        <f t="shared" ref="KH9:KN9" si="381">+KG4-KF4</f>
        <v>0</v>
      </c>
      <c r="KI9" s="4">
        <f t="shared" si="381"/>
        <v>0</v>
      </c>
      <c r="KJ9" s="4">
        <f t="shared" si="381"/>
        <v>0</v>
      </c>
      <c r="KK9" s="4">
        <f t="shared" si="381"/>
        <v>0</v>
      </c>
      <c r="KL9" s="4">
        <f t="shared" si="381"/>
        <v>0</v>
      </c>
      <c r="KM9" s="4">
        <f t="shared" si="381"/>
        <v>0</v>
      </c>
      <c r="KN9" s="4">
        <f t="shared" si="381"/>
        <v>0</v>
      </c>
      <c r="KO9" s="4"/>
      <c r="KP9" s="4"/>
      <c r="KR9" s="9"/>
      <c r="KU9" s="3" t="s">
        <v>155</v>
      </c>
      <c r="KV9" s="4">
        <v>0</v>
      </c>
      <c r="KW9" s="4">
        <f>+KV4</f>
        <v>0</v>
      </c>
      <c r="KX9" s="4">
        <f t="shared" ref="KX9:LD9" si="382">+KW4-KV4</f>
        <v>0</v>
      </c>
      <c r="KY9" s="4">
        <f t="shared" si="382"/>
        <v>0</v>
      </c>
      <c r="KZ9" s="4">
        <f t="shared" si="382"/>
        <v>0</v>
      </c>
      <c r="LA9" s="4">
        <f t="shared" si="382"/>
        <v>0</v>
      </c>
      <c r="LB9" s="4">
        <f t="shared" si="382"/>
        <v>0</v>
      </c>
      <c r="LC9" s="4">
        <f t="shared" si="382"/>
        <v>0</v>
      </c>
      <c r="LD9" s="4">
        <f t="shared" si="382"/>
        <v>0</v>
      </c>
      <c r="LE9" s="4"/>
      <c r="LF9" s="4"/>
      <c r="LH9" s="9"/>
      <c r="LK9" s="3" t="s">
        <v>156</v>
      </c>
      <c r="LL9" s="4">
        <v>0</v>
      </c>
      <c r="LM9" s="4">
        <f>+LL4</f>
        <v>0</v>
      </c>
      <c r="LN9" s="4">
        <f t="shared" ref="LN9:LT9" si="383">+LM4-LL4</f>
        <v>0</v>
      </c>
      <c r="LO9" s="4">
        <f t="shared" si="383"/>
        <v>0</v>
      </c>
      <c r="LP9" s="4">
        <f t="shared" si="383"/>
        <v>0</v>
      </c>
      <c r="LQ9" s="4">
        <f t="shared" si="383"/>
        <v>0</v>
      </c>
      <c r="LR9" s="4">
        <f t="shared" si="383"/>
        <v>0</v>
      </c>
      <c r="LS9" s="4">
        <f t="shared" si="383"/>
        <v>0</v>
      </c>
      <c r="LT9" s="4">
        <f t="shared" si="383"/>
        <v>0</v>
      </c>
      <c r="LU9" s="4"/>
      <c r="LV9" s="4"/>
      <c r="LX9" s="9"/>
      <c r="MA9" s="3" t="s">
        <v>157</v>
      </c>
      <c r="MB9" s="4">
        <v>0</v>
      </c>
      <c r="MC9" s="4">
        <f>+MB4</f>
        <v>0</v>
      </c>
      <c r="MD9" s="4">
        <f t="shared" ref="MD9:MJ9" si="384">+MC4-MB4</f>
        <v>0</v>
      </c>
      <c r="ME9" s="4">
        <f t="shared" si="384"/>
        <v>0</v>
      </c>
      <c r="MF9" s="4">
        <f t="shared" si="384"/>
        <v>0</v>
      </c>
      <c r="MG9" s="4">
        <f t="shared" si="384"/>
        <v>0</v>
      </c>
      <c r="MH9" s="4">
        <f t="shared" si="384"/>
        <v>0</v>
      </c>
      <c r="MI9" s="4">
        <f t="shared" si="384"/>
        <v>0</v>
      </c>
      <c r="MJ9" s="4">
        <f t="shared" si="384"/>
        <v>0</v>
      </c>
      <c r="MK9" s="4"/>
      <c r="ML9" s="4"/>
      <c r="MN9" s="9"/>
      <c r="MQ9" s="3" t="s">
        <v>158</v>
      </c>
      <c r="MR9" s="4">
        <v>0</v>
      </c>
      <c r="MS9" s="4">
        <f>+MR4</f>
        <v>0</v>
      </c>
      <c r="MT9" s="4">
        <f t="shared" ref="MT9:MZ9" si="385">+MS4-MR4</f>
        <v>0</v>
      </c>
      <c r="MU9" s="4">
        <f t="shared" si="385"/>
        <v>0</v>
      </c>
      <c r="MV9" s="4">
        <f t="shared" si="385"/>
        <v>0</v>
      </c>
      <c r="MW9" s="4">
        <f t="shared" si="385"/>
        <v>0</v>
      </c>
      <c r="MX9" s="4">
        <f t="shared" si="385"/>
        <v>0</v>
      </c>
      <c r="MY9" s="4">
        <f t="shared" si="385"/>
        <v>0</v>
      </c>
      <c r="MZ9" s="4">
        <f t="shared" si="385"/>
        <v>0</v>
      </c>
      <c r="NA9" s="4"/>
      <c r="NB9" s="4"/>
      <c r="ND9" s="9"/>
      <c r="NG9" s="3" t="s">
        <v>159</v>
      </c>
      <c r="NH9" s="4">
        <v>0</v>
      </c>
      <c r="NI9" s="4">
        <f>+NH4</f>
        <v>0</v>
      </c>
      <c r="NJ9" s="4">
        <f t="shared" ref="NJ9:NP9" si="386">+NI4-NH4</f>
        <v>0</v>
      </c>
      <c r="NK9" s="4">
        <f t="shared" si="386"/>
        <v>0</v>
      </c>
      <c r="NL9" s="4">
        <f t="shared" si="386"/>
        <v>0</v>
      </c>
      <c r="NM9" s="4">
        <f t="shared" si="386"/>
        <v>0</v>
      </c>
      <c r="NN9" s="4">
        <f t="shared" si="386"/>
        <v>0</v>
      </c>
      <c r="NO9" s="4">
        <f t="shared" si="386"/>
        <v>0</v>
      </c>
      <c r="NP9" s="4">
        <f t="shared" si="386"/>
        <v>0</v>
      </c>
      <c r="NQ9" s="4"/>
      <c r="NR9" s="4"/>
      <c r="NT9" s="9"/>
      <c r="NW9" s="3" t="s">
        <v>160</v>
      </c>
      <c r="NX9" s="4">
        <v>0</v>
      </c>
      <c r="NY9" s="4">
        <f>+NX4</f>
        <v>0</v>
      </c>
      <c r="NZ9" s="4">
        <f t="shared" ref="NZ9:OF9" si="387">+NY4-NX4</f>
        <v>0</v>
      </c>
      <c r="OA9" s="4">
        <f t="shared" si="387"/>
        <v>0</v>
      </c>
      <c r="OB9" s="4">
        <f t="shared" si="387"/>
        <v>0</v>
      </c>
      <c r="OC9" s="4">
        <f t="shared" si="387"/>
        <v>0</v>
      </c>
      <c r="OD9" s="4">
        <f t="shared" si="387"/>
        <v>0</v>
      </c>
      <c r="OE9" s="4">
        <f t="shared" si="387"/>
        <v>0</v>
      </c>
      <c r="OF9" s="4">
        <f t="shared" si="387"/>
        <v>0</v>
      </c>
      <c r="OG9" s="4"/>
      <c r="OH9" s="4"/>
      <c r="OJ9" s="9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Y9" s="3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M9" s="3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QA9" s="3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O9" s="3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C9" s="3"/>
      <c r="RD9" s="4"/>
      <c r="RE9" s="4"/>
      <c r="RF9" s="4"/>
      <c r="RG9" s="4"/>
      <c r="RH9" s="4"/>
      <c r="RI9" s="4"/>
      <c r="RJ9" s="4"/>
      <c r="RK9" s="4"/>
      <c r="RL9" s="4"/>
      <c r="RQ9" s="3"/>
      <c r="RR9" s="4"/>
      <c r="RS9" s="4"/>
      <c r="RT9" s="4"/>
      <c r="RU9" s="4"/>
      <c r="RV9" s="4"/>
      <c r="RW9" s="4"/>
      <c r="RX9" s="4"/>
      <c r="RY9" s="4"/>
      <c r="RZ9" s="4"/>
      <c r="SE9" s="3"/>
      <c r="SF9" s="4"/>
      <c r="SG9" s="4"/>
      <c r="SH9" s="4"/>
      <c r="SI9" s="4"/>
      <c r="SJ9" s="4"/>
      <c r="SK9" s="4"/>
      <c r="SL9" s="4"/>
      <c r="SM9" s="4"/>
      <c r="SN9" s="4"/>
    </row>
    <row r="10" spans="1:508" x14ac:dyDescent="0.2">
      <c r="A10" s="3" t="s">
        <v>161</v>
      </c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G10" s="3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Y10" s="3" t="s">
        <v>162</v>
      </c>
      <c r="AZ10" s="4">
        <v>0</v>
      </c>
      <c r="BA10" s="4">
        <f>AZ9</f>
        <v>0</v>
      </c>
      <c r="BB10" s="4">
        <f t="shared" ref="BB10:BH10" si="388">BA9</f>
        <v>0</v>
      </c>
      <c r="BC10" s="4">
        <f t="shared" si="388"/>
        <v>0</v>
      </c>
      <c r="BD10" s="4">
        <f t="shared" si="388"/>
        <v>0</v>
      </c>
      <c r="BE10" s="4">
        <f>BD9</f>
        <v>0</v>
      </c>
      <c r="BF10" s="4">
        <f t="shared" si="388"/>
        <v>0</v>
      </c>
      <c r="BG10" s="4">
        <f t="shared" si="388"/>
        <v>0</v>
      </c>
      <c r="BH10" s="4">
        <f t="shared" si="388"/>
        <v>0</v>
      </c>
      <c r="BI10" s="4"/>
      <c r="BJ10" s="4"/>
      <c r="BL10" s="9"/>
      <c r="BO10" s="3" t="s">
        <v>163</v>
      </c>
      <c r="BP10" s="4">
        <v>0</v>
      </c>
      <c r="BQ10" s="4">
        <f>BP9</f>
        <v>0</v>
      </c>
      <c r="BR10" s="4">
        <f t="shared" ref="BR10:BX10" si="389">BQ9</f>
        <v>0</v>
      </c>
      <c r="BS10" s="4">
        <f t="shared" si="389"/>
        <v>0</v>
      </c>
      <c r="BT10" s="4">
        <f t="shared" si="389"/>
        <v>0</v>
      </c>
      <c r="BU10" s="4">
        <f t="shared" si="389"/>
        <v>0</v>
      </c>
      <c r="BV10" s="4">
        <f t="shared" si="389"/>
        <v>0</v>
      </c>
      <c r="BW10" s="4">
        <f t="shared" si="389"/>
        <v>0</v>
      </c>
      <c r="BX10" s="4">
        <f t="shared" si="389"/>
        <v>0</v>
      </c>
      <c r="BY10" s="4"/>
      <c r="BZ10" s="4"/>
      <c r="CB10" s="9"/>
      <c r="CE10" s="3" t="s">
        <v>164</v>
      </c>
      <c r="CF10" s="4">
        <v>0</v>
      </c>
      <c r="CG10" s="4">
        <f>CF9</f>
        <v>0</v>
      </c>
      <c r="CH10" s="4">
        <f t="shared" ref="CH10:CN10" si="390">CG9</f>
        <v>0</v>
      </c>
      <c r="CI10" s="4">
        <f t="shared" si="390"/>
        <v>0</v>
      </c>
      <c r="CJ10" s="4">
        <f t="shared" si="390"/>
        <v>0</v>
      </c>
      <c r="CK10" s="4">
        <f t="shared" si="390"/>
        <v>0</v>
      </c>
      <c r="CL10" s="4">
        <f t="shared" si="390"/>
        <v>0</v>
      </c>
      <c r="CM10" s="4">
        <f t="shared" si="390"/>
        <v>0</v>
      </c>
      <c r="CN10" s="4">
        <f t="shared" si="390"/>
        <v>0</v>
      </c>
      <c r="CO10" s="4"/>
      <c r="CP10" s="4"/>
      <c r="CR10" s="9"/>
      <c r="CU10" s="3" t="s">
        <v>165</v>
      </c>
      <c r="CV10" s="4">
        <v>0</v>
      </c>
      <c r="CW10" s="4">
        <f>CV9</f>
        <v>0</v>
      </c>
      <c r="CX10" s="4">
        <f t="shared" ref="CX10:DD10" si="391">CW9</f>
        <v>0</v>
      </c>
      <c r="CY10" s="4">
        <f t="shared" si="391"/>
        <v>0</v>
      </c>
      <c r="CZ10" s="4">
        <f t="shared" si="391"/>
        <v>0</v>
      </c>
      <c r="DA10" s="4">
        <f t="shared" si="391"/>
        <v>0</v>
      </c>
      <c r="DB10" s="4">
        <f t="shared" si="391"/>
        <v>0</v>
      </c>
      <c r="DC10" s="4">
        <f t="shared" si="391"/>
        <v>0</v>
      </c>
      <c r="DD10" s="4">
        <f t="shared" si="391"/>
        <v>0</v>
      </c>
      <c r="DE10" s="4"/>
      <c r="DF10" s="4"/>
      <c r="DH10" s="9"/>
      <c r="DK10" s="3" t="s">
        <v>166</v>
      </c>
      <c r="DL10" s="4">
        <v>0</v>
      </c>
      <c r="DM10" s="4">
        <f>DL9</f>
        <v>0</v>
      </c>
      <c r="DN10" s="4">
        <f t="shared" ref="DN10:DT10" si="392">DM9</f>
        <v>0</v>
      </c>
      <c r="DO10" s="4">
        <f t="shared" si="392"/>
        <v>0</v>
      </c>
      <c r="DP10" s="4">
        <f t="shared" si="392"/>
        <v>0</v>
      </c>
      <c r="DQ10" s="4">
        <f t="shared" si="392"/>
        <v>0</v>
      </c>
      <c r="DR10" s="4">
        <f t="shared" si="392"/>
        <v>0</v>
      </c>
      <c r="DS10" s="4">
        <f t="shared" si="392"/>
        <v>0</v>
      </c>
      <c r="DT10" s="4">
        <f t="shared" si="392"/>
        <v>0</v>
      </c>
      <c r="DU10" s="4"/>
      <c r="DV10" s="4"/>
      <c r="DX10" s="9"/>
      <c r="EA10" s="3" t="s">
        <v>167</v>
      </c>
      <c r="EB10" s="4">
        <v>0</v>
      </c>
      <c r="EC10" s="4">
        <f>EB9</f>
        <v>0</v>
      </c>
      <c r="ED10" s="4">
        <f t="shared" ref="ED10:EJ10" si="393">EC9</f>
        <v>0</v>
      </c>
      <c r="EE10" s="4">
        <f t="shared" si="393"/>
        <v>0</v>
      </c>
      <c r="EF10" s="4">
        <f t="shared" si="393"/>
        <v>0</v>
      </c>
      <c r="EG10" s="4">
        <f t="shared" si="393"/>
        <v>0</v>
      </c>
      <c r="EH10" s="4">
        <f t="shared" si="393"/>
        <v>0</v>
      </c>
      <c r="EI10" s="4">
        <f t="shared" si="393"/>
        <v>0</v>
      </c>
      <c r="EJ10" s="4">
        <f t="shared" si="393"/>
        <v>0</v>
      </c>
      <c r="EK10" s="4"/>
      <c r="EL10" s="4"/>
      <c r="EN10" s="9"/>
      <c r="EQ10" s="3" t="s">
        <v>168</v>
      </c>
      <c r="ER10" s="4">
        <v>0</v>
      </c>
      <c r="ES10" s="4">
        <f>ER9</f>
        <v>0</v>
      </c>
      <c r="ET10" s="4">
        <f t="shared" ref="ET10:EZ10" si="394">ES9</f>
        <v>0</v>
      </c>
      <c r="EU10" s="4">
        <f t="shared" si="394"/>
        <v>0</v>
      </c>
      <c r="EV10" s="4">
        <f t="shared" si="394"/>
        <v>0</v>
      </c>
      <c r="EW10" s="4">
        <f t="shared" si="394"/>
        <v>0</v>
      </c>
      <c r="EX10" s="4">
        <f t="shared" si="394"/>
        <v>0</v>
      </c>
      <c r="EY10" s="4">
        <f t="shared" si="394"/>
        <v>0</v>
      </c>
      <c r="EZ10" s="4">
        <f t="shared" si="394"/>
        <v>0</v>
      </c>
      <c r="FA10" s="4"/>
      <c r="FB10" s="4"/>
      <c r="FD10" s="9"/>
      <c r="FG10" s="3" t="s">
        <v>169</v>
      </c>
      <c r="FH10" s="4">
        <v>0</v>
      </c>
      <c r="FI10" s="4">
        <f>FH9</f>
        <v>0</v>
      </c>
      <c r="FJ10" s="4">
        <f t="shared" ref="FJ10:FP10" si="395">FI9</f>
        <v>0</v>
      </c>
      <c r="FK10" s="4">
        <f t="shared" si="395"/>
        <v>0</v>
      </c>
      <c r="FL10" s="4">
        <f t="shared" si="395"/>
        <v>0</v>
      </c>
      <c r="FM10" s="4">
        <f t="shared" si="395"/>
        <v>0</v>
      </c>
      <c r="FN10" s="4">
        <f t="shared" si="395"/>
        <v>0</v>
      </c>
      <c r="FO10" s="4">
        <f t="shared" si="395"/>
        <v>0</v>
      </c>
      <c r="FP10" s="4">
        <f t="shared" si="395"/>
        <v>0</v>
      </c>
      <c r="FQ10" s="4"/>
      <c r="FR10" s="4"/>
      <c r="FT10" s="9"/>
      <c r="FW10" s="3" t="s">
        <v>170</v>
      </c>
      <c r="FX10" s="4">
        <v>0</v>
      </c>
      <c r="FY10" s="4">
        <f>FX9</f>
        <v>0</v>
      </c>
      <c r="FZ10" s="4">
        <f t="shared" ref="FZ10:GF10" si="396">FY9</f>
        <v>0</v>
      </c>
      <c r="GA10" s="4">
        <f t="shared" si="396"/>
        <v>0</v>
      </c>
      <c r="GB10" s="4">
        <f t="shared" si="396"/>
        <v>0</v>
      </c>
      <c r="GC10" s="4">
        <f t="shared" si="396"/>
        <v>0</v>
      </c>
      <c r="GD10" s="4">
        <f t="shared" si="396"/>
        <v>0</v>
      </c>
      <c r="GE10" s="4">
        <f t="shared" si="396"/>
        <v>0</v>
      </c>
      <c r="GF10" s="4">
        <f t="shared" si="396"/>
        <v>0</v>
      </c>
      <c r="GG10" s="4"/>
      <c r="GH10" s="4"/>
      <c r="GJ10" s="9"/>
      <c r="GM10" s="3" t="s">
        <v>171</v>
      </c>
      <c r="GN10" s="4">
        <v>0</v>
      </c>
      <c r="GO10" s="4">
        <f>GN9</f>
        <v>0</v>
      </c>
      <c r="GP10" s="4">
        <f t="shared" ref="GP10:GV10" si="397">GO9</f>
        <v>0</v>
      </c>
      <c r="GQ10" s="4">
        <f t="shared" si="397"/>
        <v>0</v>
      </c>
      <c r="GR10" s="4">
        <f t="shared" si="397"/>
        <v>0</v>
      </c>
      <c r="GS10" s="4">
        <f t="shared" si="397"/>
        <v>0</v>
      </c>
      <c r="GT10" s="4">
        <f t="shared" si="397"/>
        <v>0</v>
      </c>
      <c r="GU10" s="4">
        <f t="shared" si="397"/>
        <v>0</v>
      </c>
      <c r="GV10" s="4">
        <f t="shared" si="397"/>
        <v>0</v>
      </c>
      <c r="GW10" s="4"/>
      <c r="GX10" s="4"/>
      <c r="GY10" s="4"/>
      <c r="GZ10" s="9"/>
      <c r="HB10" s="4"/>
      <c r="HC10" s="3" t="s">
        <v>172</v>
      </c>
      <c r="HD10" s="4">
        <v>0</v>
      </c>
      <c r="HE10" s="4">
        <f>HD9</f>
        <v>0</v>
      </c>
      <c r="HF10" s="4">
        <f t="shared" ref="HF10:HL10" si="398">HE9</f>
        <v>0</v>
      </c>
      <c r="HG10" s="4">
        <f t="shared" si="398"/>
        <v>0</v>
      </c>
      <c r="HH10" s="4">
        <f t="shared" si="398"/>
        <v>0</v>
      </c>
      <c r="HI10" s="4">
        <f t="shared" si="398"/>
        <v>0</v>
      </c>
      <c r="HJ10" s="4">
        <f t="shared" si="398"/>
        <v>0</v>
      </c>
      <c r="HK10" s="4">
        <f t="shared" si="398"/>
        <v>0</v>
      </c>
      <c r="HL10" s="4">
        <f t="shared" si="398"/>
        <v>0</v>
      </c>
      <c r="HM10" s="4"/>
      <c r="HN10" s="4"/>
      <c r="HO10" s="4"/>
      <c r="HP10" s="9"/>
      <c r="HR10" s="4"/>
      <c r="HS10" s="3" t="s">
        <v>173</v>
      </c>
      <c r="HT10" s="4">
        <v>0</v>
      </c>
      <c r="HU10" s="4">
        <f>HT9</f>
        <v>0</v>
      </c>
      <c r="HV10" s="4">
        <f t="shared" ref="HV10:IB10" si="399">HU9</f>
        <v>0</v>
      </c>
      <c r="HW10" s="4">
        <f t="shared" si="399"/>
        <v>0</v>
      </c>
      <c r="HX10" s="4">
        <f t="shared" si="399"/>
        <v>0</v>
      </c>
      <c r="HY10" s="4">
        <f t="shared" si="399"/>
        <v>0</v>
      </c>
      <c r="HZ10" s="4">
        <f t="shared" si="399"/>
        <v>0</v>
      </c>
      <c r="IA10" s="4">
        <f t="shared" si="399"/>
        <v>0</v>
      </c>
      <c r="IB10" s="4">
        <f t="shared" si="399"/>
        <v>0</v>
      </c>
      <c r="IC10" s="4"/>
      <c r="ID10" s="4"/>
      <c r="IF10" s="9"/>
      <c r="II10" s="3" t="s">
        <v>174</v>
      </c>
      <c r="IJ10" s="4">
        <v>0</v>
      </c>
      <c r="IK10" s="4">
        <f>IJ9</f>
        <v>0</v>
      </c>
      <c r="IL10" s="4">
        <f t="shared" ref="IL10:IR10" si="400">IK9</f>
        <v>0</v>
      </c>
      <c r="IM10" s="4">
        <f t="shared" si="400"/>
        <v>0</v>
      </c>
      <c r="IN10" s="4">
        <f t="shared" si="400"/>
        <v>0</v>
      </c>
      <c r="IO10" s="4">
        <f t="shared" si="400"/>
        <v>0</v>
      </c>
      <c r="IP10" s="4">
        <f t="shared" si="400"/>
        <v>0</v>
      </c>
      <c r="IQ10" s="4">
        <f t="shared" si="400"/>
        <v>0</v>
      </c>
      <c r="IR10" s="4">
        <f t="shared" si="400"/>
        <v>0</v>
      </c>
      <c r="IS10" s="4"/>
      <c r="IT10" s="4"/>
      <c r="IV10" s="9"/>
      <c r="IY10" s="3" t="s">
        <v>175</v>
      </c>
      <c r="IZ10" s="4">
        <v>0</v>
      </c>
      <c r="JA10" s="4">
        <f>IZ9</f>
        <v>0</v>
      </c>
      <c r="JB10" s="4">
        <f t="shared" ref="JB10:JH10" si="401">JA9</f>
        <v>0</v>
      </c>
      <c r="JC10" s="4">
        <f t="shared" si="401"/>
        <v>0</v>
      </c>
      <c r="JD10" s="4">
        <f t="shared" si="401"/>
        <v>0</v>
      </c>
      <c r="JE10" s="4">
        <f t="shared" si="401"/>
        <v>0</v>
      </c>
      <c r="JF10" s="4">
        <f t="shared" si="401"/>
        <v>0</v>
      </c>
      <c r="JG10" s="4">
        <f t="shared" si="401"/>
        <v>0</v>
      </c>
      <c r="JH10" s="4">
        <f t="shared" si="401"/>
        <v>0</v>
      </c>
      <c r="JI10" s="4"/>
      <c r="JJ10" s="4"/>
      <c r="JL10" s="9"/>
      <c r="JO10" s="3" t="s">
        <v>176</v>
      </c>
      <c r="JP10" s="4">
        <v>0</v>
      </c>
      <c r="JQ10" s="4">
        <f>JP9</f>
        <v>0</v>
      </c>
      <c r="JR10" s="4">
        <f t="shared" ref="JR10:JX10" si="402">JQ9</f>
        <v>0</v>
      </c>
      <c r="JS10" s="4">
        <f t="shared" si="402"/>
        <v>0</v>
      </c>
      <c r="JT10" s="4">
        <f t="shared" si="402"/>
        <v>0</v>
      </c>
      <c r="JU10" s="4">
        <f t="shared" si="402"/>
        <v>0</v>
      </c>
      <c r="JV10" s="4">
        <f t="shared" si="402"/>
        <v>0</v>
      </c>
      <c r="JW10" s="4">
        <f t="shared" si="402"/>
        <v>0</v>
      </c>
      <c r="JX10" s="4">
        <f t="shared" si="402"/>
        <v>0</v>
      </c>
      <c r="JY10" s="4"/>
      <c r="JZ10" s="4"/>
      <c r="KB10" s="9"/>
      <c r="KE10" s="3" t="s">
        <v>177</v>
      </c>
      <c r="KF10" s="4">
        <v>0</v>
      </c>
      <c r="KG10" s="4">
        <f>KF9</f>
        <v>0</v>
      </c>
      <c r="KH10" s="4">
        <f t="shared" ref="KH10:KN10" si="403">KG9</f>
        <v>0</v>
      </c>
      <c r="KI10" s="4">
        <f t="shared" si="403"/>
        <v>0</v>
      </c>
      <c r="KJ10" s="4">
        <f t="shared" si="403"/>
        <v>0</v>
      </c>
      <c r="KK10" s="4">
        <f t="shared" si="403"/>
        <v>0</v>
      </c>
      <c r="KL10" s="4">
        <f t="shared" si="403"/>
        <v>0</v>
      </c>
      <c r="KM10" s="4">
        <f t="shared" si="403"/>
        <v>0</v>
      </c>
      <c r="KN10" s="4">
        <f t="shared" si="403"/>
        <v>0</v>
      </c>
      <c r="KO10" s="4"/>
      <c r="KP10" s="4"/>
      <c r="KR10" s="9"/>
      <c r="KU10" s="3" t="s">
        <v>178</v>
      </c>
      <c r="KV10" s="4">
        <v>0</v>
      </c>
      <c r="KW10" s="4">
        <f>KV9</f>
        <v>0</v>
      </c>
      <c r="KX10" s="4">
        <f t="shared" ref="KX10:LD10" si="404">KW9</f>
        <v>0</v>
      </c>
      <c r="KY10" s="4">
        <f t="shared" si="404"/>
        <v>0</v>
      </c>
      <c r="KZ10" s="4">
        <f t="shared" si="404"/>
        <v>0</v>
      </c>
      <c r="LA10" s="4">
        <f t="shared" si="404"/>
        <v>0</v>
      </c>
      <c r="LB10" s="4">
        <f t="shared" si="404"/>
        <v>0</v>
      </c>
      <c r="LC10" s="4">
        <f t="shared" si="404"/>
        <v>0</v>
      </c>
      <c r="LD10" s="4">
        <f t="shared" si="404"/>
        <v>0</v>
      </c>
      <c r="LE10" s="4"/>
      <c r="LF10" s="4"/>
      <c r="LH10" s="9"/>
      <c r="LK10" s="3" t="s">
        <v>179</v>
      </c>
      <c r="LL10" s="4">
        <v>0</v>
      </c>
      <c r="LM10" s="4">
        <f>LL9</f>
        <v>0</v>
      </c>
      <c r="LN10" s="4">
        <f t="shared" ref="LN10:LT10" si="405">LM9</f>
        <v>0</v>
      </c>
      <c r="LO10" s="4">
        <f t="shared" si="405"/>
        <v>0</v>
      </c>
      <c r="LP10" s="4">
        <f t="shared" si="405"/>
        <v>0</v>
      </c>
      <c r="LQ10" s="4">
        <f t="shared" si="405"/>
        <v>0</v>
      </c>
      <c r="LR10" s="4">
        <f t="shared" si="405"/>
        <v>0</v>
      </c>
      <c r="LS10" s="4">
        <f t="shared" si="405"/>
        <v>0</v>
      </c>
      <c r="LT10" s="4">
        <f t="shared" si="405"/>
        <v>0</v>
      </c>
      <c r="LU10" s="4"/>
      <c r="LV10" s="4"/>
      <c r="LX10" s="9"/>
      <c r="MA10" s="3" t="s">
        <v>180</v>
      </c>
      <c r="MB10" s="4">
        <v>0</v>
      </c>
      <c r="MC10" s="4">
        <f>MB9</f>
        <v>0</v>
      </c>
      <c r="MD10" s="4">
        <f t="shared" ref="MD10:MJ10" si="406">MC9</f>
        <v>0</v>
      </c>
      <c r="ME10" s="4">
        <f t="shared" si="406"/>
        <v>0</v>
      </c>
      <c r="MF10" s="4">
        <f t="shared" si="406"/>
        <v>0</v>
      </c>
      <c r="MG10" s="4">
        <f t="shared" si="406"/>
        <v>0</v>
      </c>
      <c r="MH10" s="4">
        <f t="shared" si="406"/>
        <v>0</v>
      </c>
      <c r="MI10" s="4">
        <f t="shared" si="406"/>
        <v>0</v>
      </c>
      <c r="MJ10" s="4">
        <f t="shared" si="406"/>
        <v>0</v>
      </c>
      <c r="MK10" s="4"/>
      <c r="ML10" s="4"/>
      <c r="MN10" s="9"/>
      <c r="MQ10" s="3" t="s">
        <v>181</v>
      </c>
      <c r="MR10" s="4">
        <v>0</v>
      </c>
      <c r="MS10" s="4">
        <f>MR9</f>
        <v>0</v>
      </c>
      <c r="MT10" s="4">
        <f t="shared" ref="MT10:MZ10" si="407">MS9</f>
        <v>0</v>
      </c>
      <c r="MU10" s="4">
        <f t="shared" si="407"/>
        <v>0</v>
      </c>
      <c r="MV10" s="4">
        <f t="shared" si="407"/>
        <v>0</v>
      </c>
      <c r="MW10" s="4">
        <f t="shared" si="407"/>
        <v>0</v>
      </c>
      <c r="MX10" s="4">
        <f t="shared" si="407"/>
        <v>0</v>
      </c>
      <c r="MY10" s="4">
        <f t="shared" si="407"/>
        <v>0</v>
      </c>
      <c r="MZ10" s="4">
        <f t="shared" si="407"/>
        <v>0</v>
      </c>
      <c r="NA10" s="4"/>
      <c r="NB10" s="4"/>
      <c r="ND10" s="9"/>
      <c r="NG10" s="3" t="s">
        <v>182</v>
      </c>
      <c r="NH10" s="4">
        <v>0</v>
      </c>
      <c r="NI10" s="4">
        <f>NH9</f>
        <v>0</v>
      </c>
      <c r="NJ10" s="4">
        <f t="shared" ref="NJ10:NP10" si="408">NI9</f>
        <v>0</v>
      </c>
      <c r="NK10" s="4">
        <f t="shared" si="408"/>
        <v>0</v>
      </c>
      <c r="NL10" s="4">
        <f t="shared" si="408"/>
        <v>0</v>
      </c>
      <c r="NM10" s="4">
        <f t="shared" si="408"/>
        <v>0</v>
      </c>
      <c r="NN10" s="4">
        <f t="shared" si="408"/>
        <v>0</v>
      </c>
      <c r="NO10" s="4">
        <f t="shared" si="408"/>
        <v>0</v>
      </c>
      <c r="NP10" s="4">
        <f t="shared" si="408"/>
        <v>0</v>
      </c>
      <c r="NQ10" s="4"/>
      <c r="NR10" s="4"/>
      <c r="NT10" s="9"/>
      <c r="NW10" s="3" t="s">
        <v>183</v>
      </c>
      <c r="NX10" s="4">
        <v>0</v>
      </c>
      <c r="NY10" s="4">
        <f>NX9</f>
        <v>0</v>
      </c>
      <c r="NZ10" s="4">
        <f t="shared" ref="NZ10:OF10" si="409">NY9</f>
        <v>0</v>
      </c>
      <c r="OA10" s="4">
        <f t="shared" si="409"/>
        <v>0</v>
      </c>
      <c r="OB10" s="4">
        <f t="shared" si="409"/>
        <v>0</v>
      </c>
      <c r="OC10" s="4">
        <f t="shared" si="409"/>
        <v>0</v>
      </c>
      <c r="OD10" s="4">
        <f t="shared" si="409"/>
        <v>0</v>
      </c>
      <c r="OE10" s="4">
        <f t="shared" si="409"/>
        <v>0</v>
      </c>
      <c r="OF10" s="4">
        <f t="shared" si="409"/>
        <v>0</v>
      </c>
      <c r="OG10" s="4"/>
      <c r="OH10" s="4"/>
      <c r="OI10" s="4"/>
      <c r="OJ10" s="9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Y10" s="3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M10" s="3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QA10" s="3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O10" s="3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C10" s="3"/>
      <c r="RD10" s="4"/>
      <c r="RE10" s="4"/>
      <c r="RF10" s="4"/>
      <c r="RG10" s="4"/>
      <c r="RH10" s="4"/>
      <c r="RI10" s="4"/>
      <c r="RJ10" s="4"/>
      <c r="RK10" s="4"/>
      <c r="RL10" s="4"/>
      <c r="RQ10" s="3"/>
      <c r="RR10" s="4"/>
      <c r="RS10" s="4"/>
      <c r="RT10" s="4"/>
      <c r="RU10" s="4"/>
      <c r="RV10" s="4"/>
      <c r="RW10" s="4"/>
      <c r="RX10" s="4"/>
      <c r="RY10" s="4"/>
      <c r="RZ10" s="4"/>
      <c r="SE10" s="3"/>
      <c r="SF10" s="4"/>
      <c r="SG10" s="4"/>
      <c r="SH10" s="4"/>
      <c r="SI10" s="4"/>
      <c r="SJ10" s="4"/>
      <c r="SK10" s="4"/>
      <c r="SL10" s="4"/>
      <c r="SM10" s="4"/>
      <c r="SN10" s="4"/>
    </row>
    <row r="11" spans="1:508" x14ac:dyDescent="0.2">
      <c r="A11" s="3" t="s">
        <v>1451</v>
      </c>
      <c r="AY11" s="3" t="s">
        <v>184</v>
      </c>
      <c r="AZ11" s="6">
        <f>IF(AZ18=1,MAX((AZ4-AZ6)*AZ12,0),MAX((AZ4-AZ6),0))</f>
        <v>0</v>
      </c>
      <c r="BA11" s="6">
        <f>IF(AZ18=1,MAX((BA4-BA6)*AZ12,0),MAX((BA4-BA6),0))</f>
        <v>0</v>
      </c>
      <c r="BB11" s="6">
        <f>IF(AZ18=1,MAX((BB4-BB6)*AZ12,0),MAX((BB4-BB6),0))</f>
        <v>0</v>
      </c>
      <c r="BC11" s="6">
        <f>IF(AZ18=1,MAX((BC4-BC6)*AZ12,0),MAX((BC4-BC6),0))</f>
        <v>0</v>
      </c>
      <c r="BD11" s="6">
        <f>IF(AZ18=1,MAX((BD4-BD6)*AZ12,0),MAX((BD4-BD6),0))</f>
        <v>0</v>
      </c>
      <c r="BE11" s="6">
        <f>IF(AZ18=1,MAX((BE4-BE6)*AZ12,0),MAX((BE4-BE6),0))</f>
        <v>0</v>
      </c>
      <c r="BF11" s="6">
        <f>IF(AZ18=1,MAX((BF4-BF6)*AZ12,0),MAX((BF4-BF6),0))</f>
        <v>0</v>
      </c>
      <c r="BG11" s="6">
        <f>IF(AZ18=1,MAX((BG4-BG6)*AZ12,0),MAX((BG4-BG6),0))</f>
        <v>0</v>
      </c>
      <c r="BH11" s="6">
        <f>IF(AZ18=1,MAX((BH4-BH6)*AZ12,0),MAX((BH4-BH6),0))</f>
        <v>0</v>
      </c>
      <c r="BL11" s="9"/>
      <c r="BO11" s="3" t="s">
        <v>185</v>
      </c>
      <c r="BP11" s="6">
        <f>IF(BP18=1,MAX((BP4-BP6)*BP12,0),MAX((BP4-BP6),0))</f>
        <v>0</v>
      </c>
      <c r="BQ11" s="6">
        <f>IF(BP18=1,MAX((BQ4-BQ6)*BP12,0),MAX((BQ4-BQ6),0))</f>
        <v>0</v>
      </c>
      <c r="BR11" s="6">
        <f>IF(BP18=1,MAX((BR4-BR6)*BP12,0),MAX((BR4-BR6),0))</f>
        <v>0</v>
      </c>
      <c r="BS11" s="6">
        <f>IF(BP18=1,MAX((BS4-BS6)*BP12,0),MAX((BS4-BS6),0))</f>
        <v>0</v>
      </c>
      <c r="BT11" s="6">
        <f>IF(BP18=1,MAX((BT4-BT6)*BP12,0),MAX((BT4-BT6),0))</f>
        <v>0</v>
      </c>
      <c r="BU11" s="6">
        <f>IF(BP18=1,MAX((BU4-BU6)*BP12,0),MAX((BU4-BU6),0))</f>
        <v>0</v>
      </c>
      <c r="BV11" s="6">
        <f>IF(BP18=1,MAX((BV4-BV6)*BP12,0),MAX((BV4-BV6),0))</f>
        <v>0</v>
      </c>
      <c r="BW11" s="6">
        <f>IF(BP18=1,MAX((BW4-BW6)*BP12,0),MAX((BW4-BW6),0))</f>
        <v>0</v>
      </c>
      <c r="BX11" s="6">
        <f>IF(BP18=1,MAX((BX4-BX6)*BP12,0),MAX((BX4-BX6),0))</f>
        <v>0</v>
      </c>
      <c r="CB11" s="9"/>
      <c r="CE11" s="3" t="s">
        <v>186</v>
      </c>
      <c r="CF11" s="6">
        <f>IF(CF18=1,MAX((CF4-CF6)*CF12,0),MAX((CF4-CF6),0))</f>
        <v>0</v>
      </c>
      <c r="CG11" s="6">
        <f>IF(CF18=1,MAX((CG4-CG6)*CF12,0),MAX((CG4-CG6),0))</f>
        <v>0</v>
      </c>
      <c r="CH11" s="6">
        <f>IF(CF18=1,MAX((CH4-CH6)*CF12,0),MAX((CH4-CH6),0))</f>
        <v>0</v>
      </c>
      <c r="CI11" s="6">
        <f>IF(CF18=1,MAX((CI4-CI6)*CF12,0),MAX((CI4-CI6),0))</f>
        <v>0</v>
      </c>
      <c r="CJ11" s="6">
        <f>IF(CF18=1,MAX((CJ4-CJ6)*CF12,0),MAX((CJ4-CJ6),0))</f>
        <v>0</v>
      </c>
      <c r="CK11" s="6">
        <f>IF(CF18=1,MAX((CK4-CK6)*CF12,0),MAX((CK4-CK6),0))</f>
        <v>0</v>
      </c>
      <c r="CL11" s="6">
        <f>IF(CF18=1,MAX((CL4-CL6)*CF12,0),MAX((CL4-CL6),0))</f>
        <v>0</v>
      </c>
      <c r="CM11" s="6">
        <f>IF(CF18=1,MAX((CM4-CM6)*CF12,0),MAX((CM4-CM6),0))</f>
        <v>0</v>
      </c>
      <c r="CN11" s="6">
        <f>IF(CF18=1,MAX((CN4-CN6)*CF12,0),MAX((CN4-CN6),0))</f>
        <v>0</v>
      </c>
      <c r="CR11" s="9"/>
      <c r="CU11" s="3" t="s">
        <v>187</v>
      </c>
      <c r="CV11" s="6">
        <f>IF(CV18=1,MAX((CV4-CV6)*CV12,0),MAX((CV4-CV6),0))</f>
        <v>0</v>
      </c>
      <c r="CW11" s="6">
        <f>IF(CV18=1,MAX((CW4-CW6)*CV12,0),MAX((CW4-CW6),0))</f>
        <v>0</v>
      </c>
      <c r="CX11" s="6">
        <f>IF(CV18=1,MAX((CX4-CX6)*CV12,0),MAX((CX4-CX6),0))</f>
        <v>0</v>
      </c>
      <c r="CY11" s="6">
        <f>IF(CV18=1,MAX((CY4-CY6)*CV12,0),MAX((CY4-CY6),0))</f>
        <v>0</v>
      </c>
      <c r="CZ11" s="6">
        <f>IF(CV18=1,MAX((CZ4-CZ6)*CV12,0),MAX((CZ4-CZ6),0))</f>
        <v>0</v>
      </c>
      <c r="DA11" s="6">
        <f>IF(CV18=1,MAX((DA4-DA6)*CV12,0),MAX((DA4-DA6),0))</f>
        <v>0</v>
      </c>
      <c r="DB11" s="6">
        <f>IF(CV18=1,MAX((DB4-DB6)*CV12,0),MAX((DB4-DB6),0))</f>
        <v>0</v>
      </c>
      <c r="DC11" s="6">
        <f>IF(CV18=1,MAX((DC4-DC6)*CV12,0),MAX((DC4-DC6),0))</f>
        <v>0</v>
      </c>
      <c r="DD11" s="6">
        <f>IF(CV18=1,MAX((DD4-DD6)*CV12,0),MAX((DD4-DD6),0))</f>
        <v>0</v>
      </c>
      <c r="DH11" s="9"/>
      <c r="DK11" s="3" t="s">
        <v>188</v>
      </c>
      <c r="DL11" s="6">
        <f>IF(DL18=1,MAX((DL4-DL6)*DL12,0),MAX((DL4-DL6),0))</f>
        <v>0</v>
      </c>
      <c r="DM11" s="6">
        <f>IF(DL18=1,MAX((DM4-DM6)*DL12,0),MAX((DM4-DM6),0))</f>
        <v>0</v>
      </c>
      <c r="DN11" s="6">
        <f>IF(DL18=1,MAX((DN4-DN6)*DL12,0),MAX((DN4-DN6),0))</f>
        <v>0</v>
      </c>
      <c r="DO11" s="6">
        <f>IF(DL18=1,MAX((DO4-DO6)*DL12,0),MAX((DO4-DO6),0))</f>
        <v>0</v>
      </c>
      <c r="DP11" s="6">
        <f>IF(DL18=1,MAX((DP4-DP6)*DL12,0),MAX((DP4-DP6),0))</f>
        <v>0</v>
      </c>
      <c r="DQ11" s="6">
        <f>IF(DL18=1,MAX((DQ4-DQ6)*DL12,0),MAX((DQ4-DQ6),0))</f>
        <v>0</v>
      </c>
      <c r="DR11" s="6">
        <f>IF(DL18=1,MAX((DR4-DR6)*DL12,0),MAX((DR4-DR6),0))</f>
        <v>0</v>
      </c>
      <c r="DS11" s="6">
        <f>IF(DL18=1,MAX((DS4-DS6)*DL12,0),MAX((DS4-DS6),0))</f>
        <v>0</v>
      </c>
      <c r="DT11" s="6">
        <f>IF(DL18=1,MAX((DT4-DT6)*DL12,0),MAX((DT4-DT6),0))</f>
        <v>0</v>
      </c>
      <c r="DX11" s="9"/>
      <c r="EA11" s="3" t="s">
        <v>189</v>
      </c>
      <c r="EB11" s="6">
        <f>IF(EB18=1,MAX((EB4-EB6)*EB12,0),MAX((EB4-EB6),0))</f>
        <v>0</v>
      </c>
      <c r="EC11" s="6">
        <f>IF(EB18=1,MAX((EC4-EC6)*EB12,0),MAX((EC4-EC6),0))</f>
        <v>0</v>
      </c>
      <c r="ED11" s="6">
        <f>IF(EB18=1,MAX((ED4-ED6)*EB12,0),MAX((ED4-ED6),0))</f>
        <v>0</v>
      </c>
      <c r="EE11" s="6">
        <f>IF(EB18=1,MAX((EE4-EE6)*EB12,0),MAX((EE4-EE6),0))</f>
        <v>0</v>
      </c>
      <c r="EF11" s="6">
        <f>IF(EB18=1,MAX((EF4-EF6)*EB12,0),MAX((EF4-EF6),0))</f>
        <v>0</v>
      </c>
      <c r="EG11" s="6">
        <f>IF(EB18=1,MAX((EG4-EG6)*EB12,0),MAX((EG4-EG6),0))</f>
        <v>0</v>
      </c>
      <c r="EH11" s="6">
        <f>IF(EB18=1,MAX((EH4-EH6)*EB12,0),MAX((EH4-EH6),0))</f>
        <v>0</v>
      </c>
      <c r="EI11" s="6">
        <f>IF(EB18=1,MAX((EI4-EI6)*EB12,0),MAX((EI4-EI6),0))</f>
        <v>0</v>
      </c>
      <c r="EJ11" s="6">
        <f>IF(EB18=1,MAX((EJ4-EJ6)*EB12,0),MAX((EJ4-EJ6),0))</f>
        <v>0</v>
      </c>
      <c r="EN11" s="9"/>
      <c r="EQ11" s="3" t="s">
        <v>190</v>
      </c>
      <c r="ER11" s="6">
        <f>IF(ER18=1,MAX((ER4-ER6)*ER12,0),MAX((ER4-ER6),0))</f>
        <v>0</v>
      </c>
      <c r="ES11" s="6">
        <f>IF(ER18=1,MAX((ES4-ES6)*ER12,0),MAX((ES4-ES6),0))</f>
        <v>0</v>
      </c>
      <c r="ET11" s="6">
        <f>IF(ER18=1,MAX((ET4-ET6)*ER12,0),MAX((ET4-ET6),0))</f>
        <v>0</v>
      </c>
      <c r="EU11" s="6">
        <f>IF(ER18=1,MAX((EU4-EU6)*ER12,0),MAX((EU4-EU6),0))</f>
        <v>0</v>
      </c>
      <c r="EV11" s="6">
        <f>IF(ER18=1,MAX((EV4-EV6)*ER12,0),MAX((EV4-EV6),0))</f>
        <v>0</v>
      </c>
      <c r="EW11" s="6">
        <f>IF(ER18=1,MAX((EW4-EW6)*ER12,0),MAX((EW4-EW6),0))</f>
        <v>0</v>
      </c>
      <c r="EX11" s="6">
        <f>IF(ER18=1,MAX((EX4-EX6)*ER12,0),MAX((EX4-EX6),0))</f>
        <v>0</v>
      </c>
      <c r="EY11" s="6">
        <f>IF(ER18=1,MAX((EY4-EY6)*ER12,0),MAX((EY4-EY6),0))</f>
        <v>0</v>
      </c>
      <c r="EZ11" s="6">
        <f>IF(ER18=1,MAX((EZ4-EZ6)*ER12,0),MAX((EZ4-EZ6),0))</f>
        <v>0</v>
      </c>
      <c r="FD11" s="9"/>
      <c r="FG11" s="3" t="s">
        <v>191</v>
      </c>
      <c r="FH11" s="6">
        <f>IF(FH18=1,MAX((FH4-FH6)*FH12,0),MAX((FH4-FH6),0))</f>
        <v>0</v>
      </c>
      <c r="FI11" s="6">
        <f>IF(FH18=1,MAX((FI4-FI6)*FH12,0),MAX((FI4-FI6),0))</f>
        <v>0</v>
      </c>
      <c r="FJ11" s="6">
        <f>IF(FH18=1,MAX((FJ4-FJ6)*FH12,0),MAX((FJ4-FJ6),0))</f>
        <v>0</v>
      </c>
      <c r="FK11" s="6">
        <f>IF(FH18=1,MAX((FK4-FK6)*FH12,0),MAX((FK4-FK6),0))</f>
        <v>0</v>
      </c>
      <c r="FL11" s="6">
        <f>IF(FH18=1,MAX((FL4-FL6)*FH12,0),MAX((FL4-FL6),0))</f>
        <v>0</v>
      </c>
      <c r="FM11" s="6">
        <f>IF(FH18=1,MAX((FM4-FM6)*FH12,0),MAX((FM4-FM6),0))</f>
        <v>0</v>
      </c>
      <c r="FN11" s="6">
        <f>IF(FH18=1,MAX((FN4-FN6)*FH12,0),MAX((FN4-FN6),0))</f>
        <v>0</v>
      </c>
      <c r="FO11" s="6">
        <f>IF(FH18=1,MAX((FO4-FO6)*FH12,0),MAX((FO4-FO6),0))</f>
        <v>0</v>
      </c>
      <c r="FP11" s="6">
        <f>IF(FH18=1,MAX((FP4-FP6)*FH12,0),MAX((FP4-FP6),0))</f>
        <v>0</v>
      </c>
      <c r="FT11" s="9"/>
      <c r="FW11" s="3" t="s">
        <v>192</v>
      </c>
      <c r="FX11" s="6">
        <f>IF(FX18=1,MAX((FX4-FX6)*FX12,0),MAX((FX4-FX6),0))</f>
        <v>0</v>
      </c>
      <c r="FY11" s="6">
        <f>IF(FX18=1,MAX((FY4-FY6)*FX12,0),MAX((FY4-FY6),0))</f>
        <v>0</v>
      </c>
      <c r="FZ11" s="6">
        <f>IF(FX18=1,MAX((FZ4-FZ6)*FX12,0),MAX((FZ4-FZ6),0))</f>
        <v>0</v>
      </c>
      <c r="GA11" s="6">
        <f>IF(FX18=1,MAX((GA4-GA6)*FX12,0),MAX((GA4-GA6),0))</f>
        <v>0</v>
      </c>
      <c r="GB11" s="6">
        <f>IF(FX18=1,MAX((GB4-GB6)*FX12,0),MAX((GB4-GB6),0))</f>
        <v>0</v>
      </c>
      <c r="GC11" s="6">
        <f>IF(FX18=1,MAX((GC4-GC6)*FX12,0),MAX((GC4-GC6),0))</f>
        <v>0</v>
      </c>
      <c r="GD11" s="6">
        <f>IF(FX18=1,MAX((GD4-GD6)*FX12,0),MAX((GD4-GD6),0))</f>
        <v>0</v>
      </c>
      <c r="GE11" s="6">
        <f>IF(FX18=1,MAX((GE4-GE6)*FX12,0),MAX((GE4-GE6),0))</f>
        <v>0</v>
      </c>
      <c r="GF11" s="6">
        <f>IF(FX18=1,MAX((GF4-GF6)*FX12,0),MAX((GF4-GF6),0))</f>
        <v>0</v>
      </c>
      <c r="GJ11" s="9"/>
      <c r="GM11" s="3" t="s">
        <v>193</v>
      </c>
      <c r="GN11" s="6">
        <f>IF(GN18=1,MAX((GN4-GN6)*GN12,0),MAX((GN4-GN6),0))</f>
        <v>0</v>
      </c>
      <c r="GO11" s="6">
        <f>IF(GN18=1,MAX((GO4-GO6)*GN12,0),MAX((GO4-GO6),0))</f>
        <v>0</v>
      </c>
      <c r="GP11" s="6">
        <f>IF(GN18=1,MAX((GP4-GP6)*GN12,0),MAX((GP4-GP6),0))</f>
        <v>0</v>
      </c>
      <c r="GQ11" s="6">
        <f>IF(GN18=1,MAX((GQ4-GQ6)*GN12,0),MAX((GQ4-GQ6),0))</f>
        <v>0</v>
      </c>
      <c r="GR11" s="6">
        <f>IF(GN18=1,MAX((GR4-GR6)*GN12,0),MAX((GR4-GR6),0))</f>
        <v>0</v>
      </c>
      <c r="GS11" s="6">
        <f>IF(GN18=1,MAX((GS4-GS6)*GN12,0),MAX((GS4-GS6),0))</f>
        <v>0</v>
      </c>
      <c r="GT11" s="6">
        <f>IF(GN18=1,MAX((GT4-GT6)*GN12,0),MAX((GT4-GT6),0))</f>
        <v>0</v>
      </c>
      <c r="GU11" s="6">
        <f>IF(GN18=1,MAX((GU4-GU6)*GN12,0),MAX((GU4-GU6),0))</f>
        <v>0</v>
      </c>
      <c r="GV11" s="6">
        <f>IF(GN18=1,MAX((GV4-GV6)*GN12,0),MAX((GV4-GV6),0))</f>
        <v>0</v>
      </c>
      <c r="GZ11" s="9"/>
      <c r="HC11" s="3" t="s">
        <v>194</v>
      </c>
      <c r="HD11" s="6">
        <f>IF(HD18=1,MAX((HD4-HD6)*HD12,0),MAX((HD4-HD6),0))</f>
        <v>0</v>
      </c>
      <c r="HE11" s="6">
        <f>IF(HD18=1,MAX((HE4-HE6)*HD12,0),MAX((HE4-HE6),0))</f>
        <v>0</v>
      </c>
      <c r="HF11" s="6">
        <f>IF(HD18=1,MAX((HF4-HF6)*HD12,0),MAX((HF4-HF6),0))</f>
        <v>0</v>
      </c>
      <c r="HG11" s="6">
        <f>IF(HD18=1,MAX((HG4-HG6)*HD12,0),MAX((HG4-HG6),0))</f>
        <v>0</v>
      </c>
      <c r="HH11" s="6">
        <f>IF(HD18=1,MAX((HH4-HH6)*HD12,0),MAX((HH4-HH6),0))</f>
        <v>0</v>
      </c>
      <c r="HI11" s="6">
        <f>IF(HD18=1,MAX((HI4-HI6)*HD12,0),MAX((HI4-HI6),0))</f>
        <v>0</v>
      </c>
      <c r="HJ11" s="6">
        <f>IF(HD18=1,MAX((HJ4-HJ6)*HD12,0),MAX((HJ4-HJ6),0))</f>
        <v>0</v>
      </c>
      <c r="HK11" s="6">
        <f>IF(HD18=1,MAX((HK4-HK6)*HD12,0),MAX((HK4-HK6),0))</f>
        <v>0</v>
      </c>
      <c r="HL11" s="6">
        <f>IF(HD18=1,MAX((HL4-HL6)*HD12,0),MAX((HL4-HL6),0))</f>
        <v>0</v>
      </c>
      <c r="HP11" s="9"/>
      <c r="HS11" s="3" t="s">
        <v>195</v>
      </c>
      <c r="HT11" s="6">
        <f>IF(HT18=1,MAX((HT4-HT6)*HT12,0),MAX((HT4-HT6),0))</f>
        <v>0</v>
      </c>
      <c r="HU11" s="6">
        <f>IF(HT18=1,MAX((HU4-HU6)*HT12,0),MAX((HU4-HU6),0))</f>
        <v>0</v>
      </c>
      <c r="HV11" s="6">
        <f>IF(HT18=1,MAX((HV4-HV6)*HT12,0),MAX((HV4-HV6),0))</f>
        <v>0</v>
      </c>
      <c r="HW11" s="6">
        <f>IF(HT18=1,MAX((HW4-HW6)*HT12,0),MAX((HW4-HW6),0))</f>
        <v>0</v>
      </c>
      <c r="HX11" s="6">
        <f>IF(HT18=1,MAX((HX4-HX6)*HT12,0),MAX((HX4-HX6),0))</f>
        <v>0</v>
      </c>
      <c r="HY11" s="6">
        <f>IF(HT18=1,MAX((HY4-HY6)*HT12,0),MAX((HY4-HY6),0))</f>
        <v>0</v>
      </c>
      <c r="HZ11" s="6">
        <f>IF(HT18=1,MAX((HZ4-HZ6)*HT12,0),MAX((HZ4-HZ6),0))</f>
        <v>0</v>
      </c>
      <c r="IA11" s="6">
        <f>IF(HT18=1,MAX((IA4-IA6)*HT12,0),MAX((IA4-IA6),0))</f>
        <v>0</v>
      </c>
      <c r="IB11" s="6">
        <f>IF(HT18=1,MAX((IB4-IB6)*HT12,0),MAX((IB4-IB6),0))</f>
        <v>0</v>
      </c>
      <c r="IF11" s="9"/>
      <c r="II11" s="3" t="s">
        <v>196</v>
      </c>
      <c r="IJ11" s="6">
        <f>IF(IJ18=1,MAX((IJ4-IJ6)*IJ12,0),MAX((IJ4-IJ6),0))</f>
        <v>0</v>
      </c>
      <c r="IK11" s="6">
        <f>IF(IJ18=1,MAX((IK4-IK6)*IJ12,0),MAX((IK4-IK6),0))</f>
        <v>0</v>
      </c>
      <c r="IL11" s="6">
        <f>IF(IJ18=1,MAX((IL4-IL6)*IJ12,0),MAX((IL4-IL6),0))</f>
        <v>0</v>
      </c>
      <c r="IM11" s="6">
        <f>IF(IJ18=1,MAX((IM4-IM6)*IJ12,0),MAX((IM4-IM6),0))</f>
        <v>0</v>
      </c>
      <c r="IN11" s="6">
        <f>IF(IJ18=1,MAX((IN4-IN6)*IJ12,0),MAX((IN4-IN6),0))</f>
        <v>0</v>
      </c>
      <c r="IO11" s="6">
        <f>IF(IJ18=1,MAX((IO4-IO6)*IJ12,0),MAX((IO4-IO6),0))</f>
        <v>0</v>
      </c>
      <c r="IP11" s="6">
        <f>IF(IJ18=1,MAX((IP4-IP6)*IJ12,0),MAX((IP4-IP6),0))</f>
        <v>0</v>
      </c>
      <c r="IQ11" s="6">
        <f>IF(IJ18=1,MAX((IQ4-IQ6)*IJ12,0),MAX((IQ4-IQ6),0))</f>
        <v>0</v>
      </c>
      <c r="IR11" s="6">
        <f>IF(IJ18=1,MAX((IR4-IR6)*IJ12,0),MAX((IR4-IR6),0))</f>
        <v>0</v>
      </c>
      <c r="IV11" s="9"/>
      <c r="IY11" s="3" t="s">
        <v>197</v>
      </c>
      <c r="IZ11" s="6">
        <f>IF(IZ18=1,MAX((IZ4-IZ6)*IZ12,0),MAX((IZ4-IZ6),0))</f>
        <v>0</v>
      </c>
      <c r="JA11" s="6">
        <f>IF(IZ18=1,MAX((JA4-JA6)*IZ12,0),MAX((JA4-JA6),0))</f>
        <v>0</v>
      </c>
      <c r="JB11" s="6">
        <f>IF(IZ18=1,MAX((JB4-JB6)*IZ12,0),MAX((JB4-JB6),0))</f>
        <v>0</v>
      </c>
      <c r="JC11" s="6">
        <f>IF(IZ18=1,MAX((JC4-JC6)*IZ12,0),MAX((JC4-JC6),0))</f>
        <v>0</v>
      </c>
      <c r="JD11" s="6">
        <f>IF(IZ18=1,MAX((JD4-JD6)*IZ12,0),MAX((JD4-JD6),0))</f>
        <v>0</v>
      </c>
      <c r="JE11" s="6">
        <f>IF(IZ18=1,MAX((JE4-JE6)*IZ12,0),MAX((JE4-JE6),0))</f>
        <v>0</v>
      </c>
      <c r="JF11" s="6">
        <f>IF(IZ18=1,MAX((JF4-JF6)*IZ12,0),MAX((JF4-JF6),0))</f>
        <v>0</v>
      </c>
      <c r="JG11" s="6">
        <f>IF(IZ18=1,MAX((JG4-JG6)*IZ12,0),MAX((JG4-JG6),0))</f>
        <v>0</v>
      </c>
      <c r="JH11" s="6">
        <f>IF(IZ18=1,MAX((JH4-JH6)*IZ12,0),MAX((JH4-JH6),0))</f>
        <v>0</v>
      </c>
      <c r="JL11" s="9"/>
      <c r="JO11" s="3" t="s">
        <v>198</v>
      </c>
      <c r="JP11" s="6">
        <f>IF(JP18=1,MAX((JP4-JP6)*JP12,0),MAX((JP4-JP6),0))</f>
        <v>0</v>
      </c>
      <c r="JQ11" s="6">
        <f>IF(JP18=1,MAX((JQ4-JQ6)*JP12,0),MAX((JQ4-JQ6),0))</f>
        <v>0</v>
      </c>
      <c r="JR11" s="6">
        <f>IF(JP18=1,MAX((JR4-JR6)*JP12,0),MAX((JR4-JR6),0))</f>
        <v>0</v>
      </c>
      <c r="JS11" s="6">
        <f>IF(JP18=1,MAX((JS4-JS6)*JP12,0),MAX((JS4-JS6),0))</f>
        <v>0</v>
      </c>
      <c r="JT11" s="6">
        <f>IF(JP18=1,MAX((JT4-JT6)*JP12,0),MAX((JT4-JT6),0))</f>
        <v>0</v>
      </c>
      <c r="JU11" s="6">
        <f>IF(JP18=1,MAX((JU4-JU6)*JP12,0),MAX((JU4-JU6),0))</f>
        <v>0</v>
      </c>
      <c r="JV11" s="6">
        <f>IF(JP18=1,MAX((JV4-JV6)*JP12,0),MAX((JV4-JV6),0))</f>
        <v>0</v>
      </c>
      <c r="JW11" s="6">
        <f>IF(JP18=1,MAX((JW4-JW6)*JP12,0),MAX((JW4-JW6),0))</f>
        <v>0</v>
      </c>
      <c r="JX11" s="6">
        <f>IF(JP18=1,MAX((JX4-JX6)*JP12,0),MAX((JX4-JX6),0))</f>
        <v>0</v>
      </c>
      <c r="KB11" s="9"/>
      <c r="KE11" s="3" t="s">
        <v>199</v>
      </c>
      <c r="KF11">
        <f t="shared" ref="KF11:KN11" si="410">+MAX((KF4-KF6)*$KF12,0)</f>
        <v>0</v>
      </c>
      <c r="KG11">
        <f t="shared" si="410"/>
        <v>0</v>
      </c>
      <c r="KH11">
        <f t="shared" si="410"/>
        <v>0</v>
      </c>
      <c r="KI11">
        <f t="shared" si="410"/>
        <v>0</v>
      </c>
      <c r="KJ11">
        <f t="shared" si="410"/>
        <v>0</v>
      </c>
      <c r="KK11">
        <f t="shared" si="410"/>
        <v>0</v>
      </c>
      <c r="KL11">
        <f t="shared" si="410"/>
        <v>0</v>
      </c>
      <c r="KM11">
        <f t="shared" si="410"/>
        <v>0</v>
      </c>
      <c r="KN11">
        <f t="shared" si="410"/>
        <v>0</v>
      </c>
      <c r="KR11" s="9"/>
      <c r="KU11" s="3" t="s">
        <v>200</v>
      </c>
      <c r="KV11">
        <f t="shared" ref="KV11:LD11" si="411">+MAX((KV4-KV6)*$KV12,0)</f>
        <v>0</v>
      </c>
      <c r="KW11">
        <f t="shared" si="411"/>
        <v>0</v>
      </c>
      <c r="KX11">
        <f t="shared" si="411"/>
        <v>0</v>
      </c>
      <c r="KY11">
        <f t="shared" si="411"/>
        <v>0</v>
      </c>
      <c r="KZ11">
        <f t="shared" si="411"/>
        <v>0</v>
      </c>
      <c r="LA11">
        <f t="shared" si="411"/>
        <v>0</v>
      </c>
      <c r="LB11">
        <f t="shared" si="411"/>
        <v>0</v>
      </c>
      <c r="LC11">
        <f t="shared" si="411"/>
        <v>0</v>
      </c>
      <c r="LD11">
        <f t="shared" si="411"/>
        <v>0</v>
      </c>
      <c r="LH11" s="9"/>
      <c r="LK11" s="3" t="s">
        <v>201</v>
      </c>
      <c r="LL11">
        <f t="shared" ref="LL11:LT11" si="412">+MAX((LL4-LL6)*$LL12,0)</f>
        <v>0</v>
      </c>
      <c r="LM11">
        <f t="shared" si="412"/>
        <v>0</v>
      </c>
      <c r="LN11">
        <f t="shared" si="412"/>
        <v>0</v>
      </c>
      <c r="LO11">
        <f t="shared" si="412"/>
        <v>0</v>
      </c>
      <c r="LP11">
        <f t="shared" si="412"/>
        <v>0</v>
      </c>
      <c r="LQ11">
        <f t="shared" si="412"/>
        <v>0</v>
      </c>
      <c r="LR11">
        <f t="shared" si="412"/>
        <v>0</v>
      </c>
      <c r="LS11">
        <f t="shared" si="412"/>
        <v>0</v>
      </c>
      <c r="LT11">
        <f t="shared" si="412"/>
        <v>0</v>
      </c>
      <c r="LX11" s="9"/>
      <c r="MA11" s="3" t="s">
        <v>202</v>
      </c>
      <c r="MB11">
        <f t="shared" ref="MB11:MJ11" si="413">+MAX((MB4-MB6)*$MB12,0)</f>
        <v>0</v>
      </c>
      <c r="MC11">
        <f t="shared" si="413"/>
        <v>0</v>
      </c>
      <c r="MD11">
        <f t="shared" si="413"/>
        <v>0</v>
      </c>
      <c r="ME11">
        <f t="shared" si="413"/>
        <v>0</v>
      </c>
      <c r="MF11">
        <f t="shared" si="413"/>
        <v>0</v>
      </c>
      <c r="MG11">
        <f t="shared" si="413"/>
        <v>0</v>
      </c>
      <c r="MH11">
        <f t="shared" si="413"/>
        <v>0</v>
      </c>
      <c r="MI11">
        <f t="shared" si="413"/>
        <v>0</v>
      </c>
      <c r="MJ11">
        <f t="shared" si="413"/>
        <v>0</v>
      </c>
      <c r="MN11" s="9"/>
      <c r="MQ11" s="3" t="s">
        <v>203</v>
      </c>
      <c r="MR11">
        <f t="shared" ref="MR11:MZ11" si="414">+MAX((MR4-MR6)*$MR12,0)</f>
        <v>0</v>
      </c>
      <c r="MS11">
        <f t="shared" si="414"/>
        <v>0</v>
      </c>
      <c r="MT11">
        <f t="shared" si="414"/>
        <v>0</v>
      </c>
      <c r="MU11">
        <f t="shared" si="414"/>
        <v>0</v>
      </c>
      <c r="MV11">
        <f t="shared" si="414"/>
        <v>0</v>
      </c>
      <c r="MW11">
        <f t="shared" si="414"/>
        <v>0</v>
      </c>
      <c r="MX11">
        <f t="shared" si="414"/>
        <v>0</v>
      </c>
      <c r="MY11">
        <f t="shared" si="414"/>
        <v>0</v>
      </c>
      <c r="MZ11">
        <f t="shared" si="414"/>
        <v>0</v>
      </c>
      <c r="ND11" s="9"/>
      <c r="NG11" s="3" t="s">
        <v>204</v>
      </c>
      <c r="NH11">
        <f t="shared" ref="NH11:NP11" si="415">+MAX((NH4-NH6)*$NH12,0)</f>
        <v>0</v>
      </c>
      <c r="NI11">
        <f t="shared" si="415"/>
        <v>0</v>
      </c>
      <c r="NJ11">
        <f t="shared" si="415"/>
        <v>0</v>
      </c>
      <c r="NK11">
        <f t="shared" si="415"/>
        <v>0</v>
      </c>
      <c r="NL11">
        <f t="shared" si="415"/>
        <v>0</v>
      </c>
      <c r="NM11">
        <f t="shared" si="415"/>
        <v>0</v>
      </c>
      <c r="NN11">
        <f t="shared" si="415"/>
        <v>0</v>
      </c>
      <c r="NO11">
        <f t="shared" si="415"/>
        <v>0</v>
      </c>
      <c r="NP11">
        <f t="shared" si="415"/>
        <v>0</v>
      </c>
      <c r="NT11" s="9"/>
      <c r="NW11" s="3" t="s">
        <v>205</v>
      </c>
      <c r="NX11">
        <f t="shared" ref="NX11:OF11" si="416">+MAX((NX4-NX6)*$NX12,0)</f>
        <v>0</v>
      </c>
      <c r="NY11">
        <f t="shared" si="416"/>
        <v>0</v>
      </c>
      <c r="NZ11">
        <f t="shared" si="416"/>
        <v>0</v>
      </c>
      <c r="OA11">
        <f t="shared" si="416"/>
        <v>0</v>
      </c>
      <c r="OB11">
        <f t="shared" si="416"/>
        <v>0</v>
      </c>
      <c r="OC11">
        <f t="shared" si="416"/>
        <v>0</v>
      </c>
      <c r="OD11">
        <f t="shared" si="416"/>
        <v>0</v>
      </c>
      <c r="OE11">
        <f t="shared" si="416"/>
        <v>0</v>
      </c>
      <c r="OF11">
        <f t="shared" si="416"/>
        <v>0</v>
      </c>
      <c r="OJ11" s="9"/>
      <c r="OY11" s="3"/>
      <c r="PM11" s="3"/>
      <c r="QA11" s="3"/>
      <c r="QO11" s="3"/>
      <c r="RC11" s="3"/>
      <c r="RQ11" s="3"/>
      <c r="SE11" s="3"/>
    </row>
    <row r="12" spans="1:508" x14ac:dyDescent="0.2">
      <c r="A12" s="3" t="s">
        <v>1335</v>
      </c>
      <c r="O12" s="3"/>
      <c r="P12" s="6"/>
      <c r="Q12" s="4"/>
      <c r="R12" s="4"/>
      <c r="S12" s="4"/>
      <c r="T12" s="4"/>
      <c r="U12" s="4"/>
      <c r="V12" s="4"/>
      <c r="W12" s="4"/>
      <c r="X12" s="4"/>
      <c r="Y12" s="4"/>
      <c r="Z12" s="4"/>
      <c r="AG12" s="3"/>
      <c r="AH12" s="6"/>
      <c r="AI12" s="4"/>
      <c r="AJ12" s="4"/>
      <c r="AK12" s="4"/>
      <c r="AL12" s="4"/>
      <c r="AM12" s="4"/>
      <c r="AN12" s="4"/>
      <c r="AO12" s="4"/>
      <c r="AP12" s="4"/>
      <c r="AQ12" s="4"/>
      <c r="AR12" s="4"/>
      <c r="AY12" s="3" t="s">
        <v>206</v>
      </c>
      <c r="AZ12" s="6">
        <v>20000000</v>
      </c>
      <c r="BA12" s="6"/>
      <c r="BB12" s="6"/>
      <c r="BC12" s="6"/>
      <c r="BD12" s="6"/>
      <c r="BE12" s="6"/>
      <c r="BF12" s="6"/>
      <c r="BG12" s="6"/>
      <c r="BH12" s="6"/>
      <c r="BI12" s="4"/>
      <c r="BJ12" s="4"/>
      <c r="BL12" s="9"/>
      <c r="BO12" s="3" t="s">
        <v>207</v>
      </c>
      <c r="BP12" s="31">
        <v>10000000</v>
      </c>
      <c r="BQ12" s="4"/>
      <c r="BR12" s="4"/>
      <c r="BS12" s="4"/>
      <c r="BT12" s="4"/>
      <c r="BU12" s="4"/>
      <c r="BV12" s="4"/>
      <c r="BW12" s="4"/>
      <c r="BX12" s="4"/>
      <c r="BY12" s="4"/>
      <c r="BZ12" s="4"/>
      <c r="CB12" s="9"/>
      <c r="CE12" s="3" t="s">
        <v>208</v>
      </c>
      <c r="CF12" s="31">
        <v>20000000</v>
      </c>
      <c r="CG12" s="4"/>
      <c r="CH12" s="4"/>
      <c r="CI12" s="4"/>
      <c r="CJ12" s="4"/>
      <c r="CK12" s="4"/>
      <c r="CL12" s="4"/>
      <c r="CM12" s="4"/>
      <c r="CN12" s="4"/>
      <c r="CO12" s="4"/>
      <c r="CP12" s="4"/>
      <c r="CR12" s="9"/>
      <c r="CU12" s="3" t="s">
        <v>209</v>
      </c>
      <c r="CV12" s="31">
        <v>40000000</v>
      </c>
      <c r="CW12" s="4"/>
      <c r="CX12" s="4"/>
      <c r="CY12" s="4"/>
      <c r="CZ12" s="4"/>
      <c r="DA12" s="4"/>
      <c r="DB12" s="4"/>
      <c r="DC12" s="4"/>
      <c r="DD12" s="4"/>
      <c r="DE12" s="4"/>
      <c r="DF12" s="4"/>
      <c r="DH12" s="9"/>
      <c r="DK12" s="3" t="s">
        <v>210</v>
      </c>
      <c r="DL12" s="31">
        <v>20000000</v>
      </c>
      <c r="DM12" s="4"/>
      <c r="DN12" s="4"/>
      <c r="DO12" s="4"/>
      <c r="DP12" s="4"/>
      <c r="DQ12" s="4"/>
      <c r="DR12" s="4"/>
      <c r="DS12" s="4"/>
      <c r="DT12" s="4"/>
      <c r="DU12" s="4"/>
      <c r="DV12" s="4"/>
      <c r="DX12" s="9"/>
      <c r="EA12" s="3" t="s">
        <v>211</v>
      </c>
      <c r="EB12" s="31">
        <v>20000000</v>
      </c>
      <c r="EC12" s="4"/>
      <c r="ED12" s="4"/>
      <c r="EE12" s="4"/>
      <c r="EF12" s="4"/>
      <c r="EG12" s="4"/>
      <c r="EH12" s="4"/>
      <c r="EI12" s="4"/>
      <c r="EJ12" s="4"/>
      <c r="EK12" s="4"/>
      <c r="EL12" s="4"/>
      <c r="EN12" s="9"/>
      <c r="EQ12" s="3" t="s">
        <v>212</v>
      </c>
      <c r="ER12" s="31">
        <v>40000000</v>
      </c>
      <c r="ES12" s="4"/>
      <c r="ET12" s="4"/>
      <c r="EU12" s="4"/>
      <c r="EV12" s="4"/>
      <c r="EW12" s="4"/>
      <c r="EX12" s="4"/>
      <c r="EY12" s="4"/>
      <c r="EZ12" s="6"/>
      <c r="FA12" s="4"/>
      <c r="FB12" s="6"/>
      <c r="FD12" s="9"/>
      <c r="FG12" s="3" t="s">
        <v>213</v>
      </c>
      <c r="FH12" s="31">
        <v>10000000</v>
      </c>
      <c r="FI12" s="4"/>
      <c r="FJ12" s="4"/>
      <c r="FK12" s="4"/>
      <c r="FL12" s="4"/>
      <c r="FM12" s="4"/>
      <c r="FN12" s="4"/>
      <c r="FO12" s="4"/>
      <c r="FP12" s="6"/>
      <c r="FQ12" s="4"/>
      <c r="FR12" s="6"/>
      <c r="FT12" s="9"/>
      <c r="FW12" s="3" t="s">
        <v>214</v>
      </c>
      <c r="FX12" s="31">
        <v>10000000</v>
      </c>
      <c r="FY12" s="4"/>
      <c r="FZ12" s="4"/>
      <c r="GA12" s="4"/>
      <c r="GB12" s="4"/>
      <c r="GC12" s="4"/>
      <c r="GD12" s="4"/>
      <c r="GE12" s="4"/>
      <c r="GF12" s="6"/>
      <c r="GG12" s="4"/>
      <c r="GH12" s="4"/>
      <c r="GJ12" s="9"/>
      <c r="GM12" s="3" t="s">
        <v>215</v>
      </c>
      <c r="GN12" s="31">
        <v>40000000</v>
      </c>
      <c r="GO12" s="4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9"/>
      <c r="HB12" s="6"/>
      <c r="HC12" s="3" t="s">
        <v>216</v>
      </c>
      <c r="HD12" s="31">
        <v>40000000</v>
      </c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9"/>
      <c r="HR12" s="6"/>
      <c r="HS12" s="3" t="s">
        <v>217</v>
      </c>
      <c r="HT12" s="6">
        <v>20000000</v>
      </c>
      <c r="HU12" s="6"/>
      <c r="HV12" s="6"/>
      <c r="HW12" s="4"/>
      <c r="HX12" s="4"/>
      <c r="HY12" s="4"/>
      <c r="HZ12" s="4"/>
      <c r="IA12" s="4"/>
      <c r="IB12" s="4"/>
      <c r="IC12" s="4"/>
      <c r="ID12" s="4"/>
      <c r="IF12" s="9"/>
      <c r="II12" s="3" t="s">
        <v>218</v>
      </c>
      <c r="IJ12" s="6">
        <v>20000000</v>
      </c>
      <c r="IK12" s="4"/>
      <c r="IL12" s="4"/>
      <c r="IM12" s="4"/>
      <c r="IN12" s="4"/>
      <c r="IO12" s="4"/>
      <c r="IP12" s="4"/>
      <c r="IQ12" s="4"/>
      <c r="IR12" s="4"/>
      <c r="IS12" s="4"/>
      <c r="IT12" s="4"/>
      <c r="IV12" s="9"/>
      <c r="IY12" s="3" t="s">
        <v>219</v>
      </c>
      <c r="IZ12" s="8">
        <v>20000000</v>
      </c>
      <c r="JA12" s="4"/>
      <c r="JB12" s="4"/>
      <c r="JC12" s="4"/>
      <c r="JD12" s="4"/>
      <c r="JE12" s="4"/>
      <c r="JF12" s="4"/>
      <c r="JG12" s="4"/>
      <c r="JH12" s="4"/>
      <c r="JI12" s="4"/>
      <c r="JJ12" s="4"/>
      <c r="JL12" s="9"/>
      <c r="JO12" s="3" t="s">
        <v>220</v>
      </c>
      <c r="JP12" s="8">
        <v>20000000</v>
      </c>
      <c r="JQ12" s="4"/>
      <c r="JR12" s="4"/>
      <c r="JS12" s="4"/>
      <c r="JT12" s="4"/>
      <c r="JU12" s="4"/>
      <c r="JV12" s="4"/>
      <c r="JW12" s="4"/>
      <c r="JX12" s="4"/>
      <c r="JY12" s="4"/>
      <c r="JZ12" s="4"/>
      <c r="KB12" s="9"/>
      <c r="KE12" s="3" t="s">
        <v>221</v>
      </c>
      <c r="KF12" s="8">
        <v>20000000</v>
      </c>
      <c r="KG12" s="4"/>
      <c r="KH12" s="4"/>
      <c r="KI12" s="4"/>
      <c r="KJ12" s="4"/>
      <c r="KK12" s="4"/>
      <c r="KL12" s="4"/>
      <c r="KM12" s="4"/>
      <c r="KN12" s="4"/>
      <c r="KO12" s="4"/>
      <c r="KP12" s="4"/>
      <c r="KR12" s="9"/>
      <c r="KU12" s="3" t="s">
        <v>222</v>
      </c>
      <c r="KV12" s="8">
        <v>20000000</v>
      </c>
      <c r="KW12" s="4"/>
      <c r="KX12" s="4"/>
      <c r="KY12" s="4"/>
      <c r="KZ12" s="4"/>
      <c r="LA12" s="4"/>
      <c r="LB12" s="4"/>
      <c r="LC12" s="4"/>
      <c r="LD12" s="4"/>
      <c r="LE12" s="4"/>
      <c r="LF12" s="4"/>
      <c r="LH12" s="9"/>
      <c r="LK12" s="3" t="s">
        <v>223</v>
      </c>
      <c r="LL12" s="8">
        <v>20000000</v>
      </c>
      <c r="LM12" s="4"/>
      <c r="LN12" s="4"/>
      <c r="LO12" s="4"/>
      <c r="LP12" s="4"/>
      <c r="LQ12" s="4"/>
      <c r="LR12" s="4"/>
      <c r="LS12" s="4"/>
      <c r="LT12" s="4"/>
      <c r="LU12" s="4"/>
      <c r="LV12" s="4"/>
      <c r="LX12" s="9"/>
      <c r="MA12" s="3" t="s">
        <v>224</v>
      </c>
      <c r="MB12" s="8">
        <v>20000000</v>
      </c>
      <c r="MC12" s="4"/>
      <c r="MD12" s="4"/>
      <c r="ME12" s="4"/>
      <c r="MF12" s="4"/>
      <c r="MG12" s="4"/>
      <c r="MH12" s="4"/>
      <c r="MI12" s="4"/>
      <c r="MJ12" s="4"/>
      <c r="MK12" s="4"/>
      <c r="ML12" s="4"/>
      <c r="MN12" s="9"/>
      <c r="MQ12" s="3" t="s">
        <v>225</v>
      </c>
      <c r="MR12" s="8">
        <v>20000000</v>
      </c>
      <c r="MS12" s="4"/>
      <c r="MT12" s="4"/>
      <c r="MU12" s="4"/>
      <c r="MV12" s="4"/>
      <c r="MW12" s="4"/>
      <c r="MX12" s="4"/>
      <c r="MY12" s="4"/>
      <c r="MZ12" s="4"/>
      <c r="NA12" s="4"/>
      <c r="NB12" s="4"/>
      <c r="ND12" s="9"/>
      <c r="NG12" s="3" t="s">
        <v>226</v>
      </c>
      <c r="NH12" s="8">
        <v>20000000</v>
      </c>
      <c r="NI12" s="4"/>
      <c r="NJ12" s="4"/>
      <c r="NK12" s="4"/>
      <c r="NL12" s="4"/>
      <c r="NM12" s="4"/>
      <c r="NN12" s="4"/>
      <c r="NO12" s="4"/>
      <c r="NP12" s="4"/>
      <c r="NQ12" s="4"/>
      <c r="NR12" s="4"/>
      <c r="NT12" s="9"/>
      <c r="NW12" s="3" t="s">
        <v>227</v>
      </c>
      <c r="NX12" s="8">
        <v>20000000</v>
      </c>
      <c r="NY12" s="4"/>
      <c r="NZ12" s="4"/>
      <c r="OA12" s="4"/>
      <c r="OB12" s="4"/>
      <c r="OC12" s="4"/>
      <c r="OD12" s="4"/>
      <c r="OE12" s="4"/>
      <c r="OF12" s="4"/>
      <c r="OG12" s="4"/>
      <c r="OH12" s="4"/>
      <c r="OJ12" s="9"/>
      <c r="OL12" s="8"/>
      <c r="OM12" s="4"/>
      <c r="ON12" s="4"/>
      <c r="OO12" s="4"/>
      <c r="OP12" s="4"/>
      <c r="OQ12" s="4"/>
      <c r="OR12" s="4"/>
      <c r="OS12" s="4"/>
      <c r="OT12" s="4"/>
      <c r="OU12" s="4"/>
      <c r="OV12" s="4"/>
      <c r="OY12" s="3"/>
      <c r="OZ12" s="8"/>
      <c r="PA12" s="4"/>
      <c r="PB12" s="4"/>
      <c r="PC12" s="4"/>
      <c r="PD12" s="4"/>
      <c r="PE12" s="4"/>
      <c r="PF12" s="4"/>
      <c r="PG12" s="4"/>
      <c r="PH12" s="4"/>
      <c r="PI12" s="4"/>
      <c r="PJ12" s="4"/>
      <c r="PM12" s="3"/>
      <c r="PN12" s="8"/>
      <c r="PO12" s="4"/>
      <c r="PP12" s="4"/>
      <c r="PQ12" s="4"/>
      <c r="PR12" s="4"/>
      <c r="PS12" s="4"/>
      <c r="PT12" s="4"/>
      <c r="PU12" s="4"/>
      <c r="PV12" s="4"/>
      <c r="PW12" s="4"/>
      <c r="PX12" s="4"/>
      <c r="QA12" s="3"/>
      <c r="QB12" s="8"/>
      <c r="QC12" s="4"/>
      <c r="QD12" s="4"/>
      <c r="QE12" s="4"/>
      <c r="QF12" s="4"/>
      <c r="QG12" s="4"/>
      <c r="QH12" s="4"/>
      <c r="QI12" s="4"/>
      <c r="QJ12" s="4"/>
      <c r="QK12" s="4"/>
      <c r="QL12" s="4"/>
      <c r="QO12" s="3"/>
      <c r="QP12" s="8"/>
      <c r="QQ12" s="4"/>
      <c r="QR12" s="4"/>
      <c r="QS12" s="4"/>
      <c r="QT12" s="4"/>
      <c r="QU12" s="4"/>
      <c r="QV12" s="4"/>
      <c r="QW12" s="4"/>
      <c r="QX12" s="4"/>
      <c r="QY12" s="4"/>
      <c r="QZ12" s="4"/>
      <c r="RC12" s="3"/>
      <c r="RD12" s="8"/>
      <c r="RE12" s="4"/>
      <c r="RF12" s="4"/>
      <c r="RG12" s="4"/>
      <c r="RH12" s="4"/>
      <c r="RI12" s="4"/>
      <c r="RJ12" s="4"/>
      <c r="RK12" s="4"/>
      <c r="RL12" s="4"/>
      <c r="RQ12" s="3"/>
      <c r="RR12" s="8"/>
      <c r="RS12" s="4"/>
      <c r="RT12" s="4"/>
      <c r="RU12" s="4"/>
      <c r="RV12" s="4"/>
      <c r="RW12" s="4"/>
      <c r="RX12" s="4"/>
      <c r="RY12" s="4"/>
      <c r="RZ12" s="4"/>
      <c r="SE12" s="3"/>
      <c r="SF12" s="8"/>
      <c r="SG12" s="4"/>
      <c r="SH12" s="4"/>
      <c r="SI12" s="4"/>
      <c r="SJ12" s="4"/>
      <c r="SK12" s="4"/>
      <c r="SL12" s="4"/>
      <c r="SM12" s="4"/>
      <c r="SN12" s="4"/>
    </row>
    <row r="13" spans="1:508" x14ac:dyDescent="0.2">
      <c r="A13" s="3" t="s">
        <v>1336</v>
      </c>
      <c r="O13" s="3"/>
      <c r="P13" s="6"/>
      <c r="Q13" s="4"/>
      <c r="R13" s="4"/>
      <c r="S13" s="4"/>
      <c r="T13" s="4"/>
      <c r="U13" s="4"/>
      <c r="V13" s="4"/>
      <c r="W13" s="4"/>
      <c r="X13" s="4"/>
      <c r="Y13" s="4"/>
      <c r="Z13" s="4"/>
      <c r="AG13" s="3"/>
      <c r="AH13" s="6"/>
      <c r="AI13" s="4"/>
      <c r="AJ13" s="4"/>
      <c r="AK13" s="4"/>
      <c r="AL13" s="4"/>
      <c r="AM13" s="4"/>
      <c r="AN13" s="4"/>
      <c r="AO13" s="4"/>
      <c r="AP13" s="4"/>
      <c r="AQ13" s="4"/>
      <c r="AR13" s="4"/>
      <c r="AY13" s="3" t="s">
        <v>1338</v>
      </c>
      <c r="AZ13" s="6">
        <f>IF(AND(AZ6=1,AZ4=1),$AZ$14,0)</f>
        <v>0</v>
      </c>
      <c r="BA13" s="6">
        <f t="shared" ref="BA13:BH13" si="417">IF(AND(BA6=1,BA4=1),$AZ$14,0)</f>
        <v>0</v>
      </c>
      <c r="BB13" s="6">
        <f t="shared" si="417"/>
        <v>0</v>
      </c>
      <c r="BC13" s="6">
        <f t="shared" si="417"/>
        <v>0</v>
      </c>
      <c r="BD13" s="6">
        <f t="shared" si="417"/>
        <v>0</v>
      </c>
      <c r="BE13" s="6">
        <f t="shared" si="417"/>
        <v>0</v>
      </c>
      <c r="BF13" s="6">
        <f t="shared" si="417"/>
        <v>0</v>
      </c>
      <c r="BG13" s="6">
        <f t="shared" si="417"/>
        <v>0</v>
      </c>
      <c r="BH13" s="6">
        <f t="shared" si="417"/>
        <v>0</v>
      </c>
      <c r="BI13" s="4"/>
      <c r="BJ13" s="4"/>
      <c r="BL13" s="9"/>
      <c r="BO13" s="3" t="s">
        <v>1344</v>
      </c>
      <c r="BP13" s="6">
        <f>IF(AND(BP6=1,BP4=1),$BP$14,0)</f>
        <v>0</v>
      </c>
      <c r="BQ13" s="6">
        <f t="shared" ref="BQ13:BX13" si="418">IF(AND(BQ6=1,BQ4=1),$BP$14,0)</f>
        <v>0</v>
      </c>
      <c r="BR13" s="6">
        <f t="shared" si="418"/>
        <v>0</v>
      </c>
      <c r="BS13" s="6">
        <f t="shared" si="418"/>
        <v>0</v>
      </c>
      <c r="BT13" s="6">
        <f t="shared" si="418"/>
        <v>0</v>
      </c>
      <c r="BU13" s="6">
        <f t="shared" si="418"/>
        <v>0</v>
      </c>
      <c r="BV13" s="6">
        <f t="shared" si="418"/>
        <v>0</v>
      </c>
      <c r="BW13" s="6">
        <f t="shared" si="418"/>
        <v>0</v>
      </c>
      <c r="BX13" s="6">
        <f t="shared" si="418"/>
        <v>0</v>
      </c>
      <c r="BY13" s="4"/>
      <c r="BZ13" s="4"/>
      <c r="CB13" s="9"/>
      <c r="CE13" s="3" t="s">
        <v>1346</v>
      </c>
      <c r="CF13" s="6">
        <f>IF(AND(CF6=1,CF4=1),$CF$14,0)</f>
        <v>0</v>
      </c>
      <c r="CG13" s="6">
        <f t="shared" ref="CG13:CN13" si="419">IF(AND(CG6=1,CG4=1),$CF$14,0)</f>
        <v>0</v>
      </c>
      <c r="CH13" s="6">
        <f t="shared" si="419"/>
        <v>0</v>
      </c>
      <c r="CI13" s="6">
        <f t="shared" si="419"/>
        <v>0</v>
      </c>
      <c r="CJ13" s="6">
        <f t="shared" si="419"/>
        <v>0</v>
      </c>
      <c r="CK13" s="6">
        <f t="shared" si="419"/>
        <v>0</v>
      </c>
      <c r="CL13" s="6">
        <f t="shared" si="419"/>
        <v>0</v>
      </c>
      <c r="CM13" s="6">
        <f t="shared" si="419"/>
        <v>0</v>
      </c>
      <c r="CN13" s="6">
        <f t="shared" si="419"/>
        <v>0</v>
      </c>
      <c r="CO13" s="4"/>
      <c r="CP13" s="4"/>
      <c r="CR13" s="9"/>
      <c r="CU13" s="3" t="s">
        <v>1348</v>
      </c>
      <c r="CV13" s="6">
        <f>IF(AND(CV6=1,CV4=1),$CV$14,0)</f>
        <v>0</v>
      </c>
      <c r="CW13" s="6">
        <f t="shared" ref="CW13:DD13" si="420">IF(AND(CW6=1,CW4=1),$CV$14,0)</f>
        <v>0</v>
      </c>
      <c r="CX13" s="6">
        <f t="shared" si="420"/>
        <v>0</v>
      </c>
      <c r="CY13" s="6">
        <f t="shared" si="420"/>
        <v>0</v>
      </c>
      <c r="CZ13" s="6">
        <f t="shared" si="420"/>
        <v>0</v>
      </c>
      <c r="DA13" s="6">
        <f t="shared" si="420"/>
        <v>0</v>
      </c>
      <c r="DB13" s="6">
        <f t="shared" si="420"/>
        <v>0</v>
      </c>
      <c r="DC13" s="6">
        <f t="shared" si="420"/>
        <v>0</v>
      </c>
      <c r="DD13" s="6">
        <f t="shared" si="420"/>
        <v>0</v>
      </c>
      <c r="DE13" s="4"/>
      <c r="DF13" s="4"/>
      <c r="DH13" s="9"/>
      <c r="DK13" s="3" t="s">
        <v>1350</v>
      </c>
      <c r="DL13" s="6">
        <f>IF(AND(DL6=1,DL4=1),$DL$14,0)</f>
        <v>0</v>
      </c>
      <c r="DM13" s="6">
        <f t="shared" ref="DM13:DT13" si="421">IF(AND(DM6=1,DM4=1),$DL$14,0)</f>
        <v>0</v>
      </c>
      <c r="DN13" s="6">
        <f t="shared" si="421"/>
        <v>0</v>
      </c>
      <c r="DO13" s="6">
        <f t="shared" si="421"/>
        <v>0</v>
      </c>
      <c r="DP13" s="6">
        <f t="shared" si="421"/>
        <v>0</v>
      </c>
      <c r="DQ13" s="6">
        <f t="shared" si="421"/>
        <v>0</v>
      </c>
      <c r="DR13" s="6">
        <f t="shared" si="421"/>
        <v>0</v>
      </c>
      <c r="DS13" s="6">
        <f t="shared" si="421"/>
        <v>0</v>
      </c>
      <c r="DT13" s="6">
        <f t="shared" si="421"/>
        <v>0</v>
      </c>
      <c r="DU13" s="4"/>
      <c r="DV13" s="4"/>
      <c r="DX13" s="9"/>
      <c r="EA13" s="3" t="s">
        <v>1352</v>
      </c>
      <c r="EB13" s="6">
        <f>IF(AND(EB6=1,EB4=1),$EB$14,0)</f>
        <v>0</v>
      </c>
      <c r="EC13" s="6">
        <f t="shared" ref="EC13:EJ13" si="422">IF(AND(EC6=1,EC4=1),$EB$14,0)</f>
        <v>0</v>
      </c>
      <c r="ED13" s="6">
        <f t="shared" si="422"/>
        <v>0</v>
      </c>
      <c r="EE13" s="6">
        <f t="shared" si="422"/>
        <v>0</v>
      </c>
      <c r="EF13" s="6">
        <f t="shared" si="422"/>
        <v>0</v>
      </c>
      <c r="EG13" s="6">
        <f t="shared" si="422"/>
        <v>0</v>
      </c>
      <c r="EH13" s="6">
        <f t="shared" si="422"/>
        <v>0</v>
      </c>
      <c r="EI13" s="6">
        <f t="shared" si="422"/>
        <v>0</v>
      </c>
      <c r="EJ13" s="6">
        <f t="shared" si="422"/>
        <v>0</v>
      </c>
      <c r="EK13" s="4"/>
      <c r="EL13" s="4"/>
      <c r="EN13" s="9"/>
      <c r="EQ13" s="3" t="s">
        <v>1354</v>
      </c>
      <c r="ER13" s="6">
        <f>IF(AND(ER6=1,ER4=1),$ER$14,0)</f>
        <v>0</v>
      </c>
      <c r="ES13" s="6">
        <f t="shared" ref="ES13:EZ13" si="423">IF(AND(ES6=1,ES4=1),$ER$14,0)</f>
        <v>0</v>
      </c>
      <c r="ET13" s="6">
        <f t="shared" si="423"/>
        <v>0</v>
      </c>
      <c r="EU13" s="6">
        <f t="shared" si="423"/>
        <v>0</v>
      </c>
      <c r="EV13" s="6">
        <f t="shared" si="423"/>
        <v>0</v>
      </c>
      <c r="EW13" s="6">
        <f t="shared" si="423"/>
        <v>0</v>
      </c>
      <c r="EX13" s="6">
        <f t="shared" si="423"/>
        <v>0</v>
      </c>
      <c r="EY13" s="6">
        <f t="shared" si="423"/>
        <v>0</v>
      </c>
      <c r="EZ13" s="6">
        <f t="shared" si="423"/>
        <v>0</v>
      </c>
      <c r="FA13" s="4"/>
      <c r="FB13" s="6"/>
      <c r="FD13" s="9"/>
      <c r="FG13" s="3" t="s">
        <v>1356</v>
      </c>
      <c r="FH13" s="6">
        <f>IF(AND(FH6=1,FH4=1),$FH$14,0)</f>
        <v>0</v>
      </c>
      <c r="FI13" s="6">
        <f t="shared" ref="FI13:FP13" si="424">IF(AND(FI6=1,FI4=1),$FH$14,0)</f>
        <v>0</v>
      </c>
      <c r="FJ13" s="6">
        <f t="shared" si="424"/>
        <v>0</v>
      </c>
      <c r="FK13" s="6">
        <f t="shared" si="424"/>
        <v>0</v>
      </c>
      <c r="FL13" s="6">
        <f t="shared" si="424"/>
        <v>0</v>
      </c>
      <c r="FM13" s="6">
        <f t="shared" si="424"/>
        <v>0</v>
      </c>
      <c r="FN13" s="6">
        <f t="shared" si="424"/>
        <v>0</v>
      </c>
      <c r="FO13" s="6">
        <f t="shared" si="424"/>
        <v>0</v>
      </c>
      <c r="FP13" s="6">
        <f t="shared" si="424"/>
        <v>0</v>
      </c>
      <c r="FQ13" s="4"/>
      <c r="FR13" s="6"/>
      <c r="FT13" s="9"/>
      <c r="FW13" s="3" t="s">
        <v>1358</v>
      </c>
      <c r="FX13" s="6">
        <f>IF(AND(FX6=1,FX4=1),$FX$14,0)</f>
        <v>0</v>
      </c>
      <c r="FY13" s="6">
        <f t="shared" ref="FY13:GF13" si="425">IF(AND(FY6=1,FY4=1),$FX$14,0)</f>
        <v>0</v>
      </c>
      <c r="FZ13" s="6">
        <f t="shared" si="425"/>
        <v>0</v>
      </c>
      <c r="GA13" s="6">
        <f t="shared" si="425"/>
        <v>0</v>
      </c>
      <c r="GB13" s="6">
        <f t="shared" si="425"/>
        <v>0</v>
      </c>
      <c r="GC13" s="6">
        <f t="shared" si="425"/>
        <v>0</v>
      </c>
      <c r="GD13" s="6">
        <f t="shared" si="425"/>
        <v>0</v>
      </c>
      <c r="GE13" s="6">
        <f t="shared" si="425"/>
        <v>0</v>
      </c>
      <c r="GF13" s="6">
        <f t="shared" si="425"/>
        <v>0</v>
      </c>
      <c r="GG13" s="4"/>
      <c r="GH13" s="4"/>
      <c r="GJ13" s="9"/>
      <c r="GM13" s="3" t="s">
        <v>1360</v>
      </c>
      <c r="GN13" s="6">
        <f>IF(AND(GN6=1,GN4=1),$GN$14,0)</f>
        <v>0</v>
      </c>
      <c r="GO13" s="6">
        <f t="shared" ref="GO13:GV13" si="426">IF(AND(GO6=1,GO4=1),$GN$14,0)</f>
        <v>0</v>
      </c>
      <c r="GP13" s="6">
        <f t="shared" si="426"/>
        <v>0</v>
      </c>
      <c r="GQ13" s="6">
        <f t="shared" si="426"/>
        <v>0</v>
      </c>
      <c r="GR13" s="6">
        <f t="shared" si="426"/>
        <v>0</v>
      </c>
      <c r="GS13" s="6">
        <f t="shared" si="426"/>
        <v>0</v>
      </c>
      <c r="GT13" s="6">
        <f t="shared" si="426"/>
        <v>0</v>
      </c>
      <c r="GU13" s="6">
        <f t="shared" si="426"/>
        <v>0</v>
      </c>
      <c r="GV13" s="6">
        <f t="shared" si="426"/>
        <v>0</v>
      </c>
      <c r="GW13" s="6"/>
      <c r="GX13" s="6"/>
      <c r="GY13" s="6"/>
      <c r="GZ13" s="9"/>
      <c r="HB13" s="6"/>
      <c r="HC13" s="3" t="s">
        <v>1362</v>
      </c>
      <c r="HD13" s="6">
        <f>IF(AND(HD6=1,HD4=1),$HD$14,0)</f>
        <v>0</v>
      </c>
      <c r="HE13" s="6">
        <f t="shared" ref="HE13:HL13" si="427">IF(AND(HE6=1,HE4=1),$HD$14,0)</f>
        <v>0</v>
      </c>
      <c r="HF13" s="6">
        <f t="shared" si="427"/>
        <v>0</v>
      </c>
      <c r="HG13" s="6">
        <f t="shared" si="427"/>
        <v>0</v>
      </c>
      <c r="HH13" s="6">
        <f t="shared" si="427"/>
        <v>0</v>
      </c>
      <c r="HI13" s="6">
        <f t="shared" si="427"/>
        <v>0</v>
      </c>
      <c r="HJ13" s="6">
        <f t="shared" si="427"/>
        <v>0</v>
      </c>
      <c r="HK13" s="6">
        <f t="shared" si="427"/>
        <v>0</v>
      </c>
      <c r="HL13" s="6">
        <f t="shared" si="427"/>
        <v>0</v>
      </c>
      <c r="HM13" s="6"/>
      <c r="HN13" s="6"/>
      <c r="HO13" s="6"/>
      <c r="HP13" s="9"/>
      <c r="HR13" s="6"/>
      <c r="HS13" s="3" t="s">
        <v>1364</v>
      </c>
      <c r="HT13" s="6">
        <f>IF(AND(HT6=1,HT4=1),$HT$14,0)</f>
        <v>0</v>
      </c>
      <c r="HU13" s="6">
        <f t="shared" ref="HU13:IB13" si="428">IF(AND(HU6=1,HU4=1),$HT$14,0)</f>
        <v>0</v>
      </c>
      <c r="HV13" s="6">
        <f t="shared" si="428"/>
        <v>0</v>
      </c>
      <c r="HW13" s="6">
        <f t="shared" si="428"/>
        <v>0</v>
      </c>
      <c r="HX13" s="6">
        <f t="shared" si="428"/>
        <v>0</v>
      </c>
      <c r="HY13" s="6">
        <f t="shared" si="428"/>
        <v>0</v>
      </c>
      <c r="HZ13" s="6">
        <f t="shared" si="428"/>
        <v>0</v>
      </c>
      <c r="IA13" s="6">
        <f t="shared" si="428"/>
        <v>0</v>
      </c>
      <c r="IB13" s="6">
        <f t="shared" si="428"/>
        <v>0</v>
      </c>
      <c r="IC13" s="4"/>
      <c r="ID13" s="4"/>
      <c r="IF13" s="9"/>
      <c r="II13" s="3" t="s">
        <v>1367</v>
      </c>
      <c r="IJ13" s="6">
        <f>IF(AND(IJ6=1,IJ4=1),$IJ$14,0)</f>
        <v>0</v>
      </c>
      <c r="IK13" s="6">
        <f t="shared" ref="IK13:IR13" si="429">IF(AND(IK6=1,IK4=1),$IJ$14,0)</f>
        <v>0</v>
      </c>
      <c r="IL13" s="6">
        <f t="shared" si="429"/>
        <v>0</v>
      </c>
      <c r="IM13" s="6">
        <f t="shared" si="429"/>
        <v>0</v>
      </c>
      <c r="IN13" s="6">
        <f t="shared" si="429"/>
        <v>0</v>
      </c>
      <c r="IO13" s="6">
        <f t="shared" si="429"/>
        <v>0</v>
      </c>
      <c r="IP13" s="6">
        <f t="shared" si="429"/>
        <v>0</v>
      </c>
      <c r="IQ13" s="6">
        <f t="shared" si="429"/>
        <v>0</v>
      </c>
      <c r="IR13" s="6">
        <f t="shared" si="429"/>
        <v>0</v>
      </c>
      <c r="IS13" s="4"/>
      <c r="IT13" s="4"/>
      <c r="IV13" s="9"/>
      <c r="IY13" s="3" t="s">
        <v>1368</v>
      </c>
      <c r="IZ13" s="6">
        <f>IF(AND(IZ6=1,IZ4=1),$IZ$14,0)</f>
        <v>0</v>
      </c>
      <c r="JA13" s="6">
        <f t="shared" ref="JA13:JH13" si="430">IF(AND(JA6=1,JA4=1),$IZ$14,0)</f>
        <v>0</v>
      </c>
      <c r="JB13" s="6">
        <f t="shared" si="430"/>
        <v>0</v>
      </c>
      <c r="JC13" s="6">
        <f t="shared" si="430"/>
        <v>0</v>
      </c>
      <c r="JD13" s="6">
        <f t="shared" si="430"/>
        <v>0</v>
      </c>
      <c r="JE13" s="6">
        <f t="shared" si="430"/>
        <v>0</v>
      </c>
      <c r="JF13" s="6">
        <f t="shared" si="430"/>
        <v>0</v>
      </c>
      <c r="JG13" s="6">
        <f t="shared" si="430"/>
        <v>0</v>
      </c>
      <c r="JH13" s="6">
        <f t="shared" si="430"/>
        <v>0</v>
      </c>
      <c r="JI13" s="4"/>
      <c r="JJ13" s="4"/>
      <c r="JL13" s="9"/>
      <c r="JO13" s="3" t="s">
        <v>1371</v>
      </c>
      <c r="JP13" s="6">
        <f>IF(AND(JP6=1,JP4=1),$JP$14,0)</f>
        <v>0</v>
      </c>
      <c r="JQ13" s="6">
        <f t="shared" ref="JQ13:JX13" si="431">IF(AND(JQ6=1,JQ4=1),$JP$14,0)</f>
        <v>0</v>
      </c>
      <c r="JR13" s="6">
        <f t="shared" si="431"/>
        <v>0</v>
      </c>
      <c r="JS13" s="6">
        <f t="shared" si="431"/>
        <v>0</v>
      </c>
      <c r="JT13" s="6">
        <f t="shared" si="431"/>
        <v>0</v>
      </c>
      <c r="JU13" s="6">
        <f t="shared" si="431"/>
        <v>0</v>
      </c>
      <c r="JV13" s="6">
        <f t="shared" si="431"/>
        <v>0</v>
      </c>
      <c r="JW13" s="6">
        <f t="shared" si="431"/>
        <v>0</v>
      </c>
      <c r="JX13" s="6">
        <f t="shared" si="431"/>
        <v>0</v>
      </c>
      <c r="JY13" s="4"/>
      <c r="JZ13" s="4"/>
      <c r="KB13" s="9"/>
      <c r="KE13" s="3" t="s">
        <v>1372</v>
      </c>
      <c r="KF13" s="6">
        <f>IF(AND(KF6=1,KF4=1),$KF$14,0)</f>
        <v>0</v>
      </c>
      <c r="KG13" s="6">
        <f t="shared" ref="KG13:KN13" si="432">IF(AND(KG6=1,KG4=1),$KF$14,0)</f>
        <v>0</v>
      </c>
      <c r="KH13" s="6">
        <f t="shared" si="432"/>
        <v>0</v>
      </c>
      <c r="KI13" s="6">
        <f t="shared" si="432"/>
        <v>0</v>
      </c>
      <c r="KJ13" s="6">
        <f t="shared" si="432"/>
        <v>0</v>
      </c>
      <c r="KK13" s="6">
        <f t="shared" si="432"/>
        <v>0</v>
      </c>
      <c r="KL13" s="6">
        <f t="shared" si="432"/>
        <v>0</v>
      </c>
      <c r="KM13" s="6">
        <f t="shared" si="432"/>
        <v>0</v>
      </c>
      <c r="KN13" s="6">
        <f t="shared" si="432"/>
        <v>0</v>
      </c>
      <c r="KO13" s="4"/>
      <c r="KP13" s="4"/>
      <c r="KR13" s="9"/>
      <c r="KU13" s="3" t="s">
        <v>1374</v>
      </c>
      <c r="KV13" s="6">
        <f>IF(AND(KV6=1,KV4=1),$KV$14,0)</f>
        <v>0</v>
      </c>
      <c r="KW13" s="6">
        <f t="shared" ref="KW13:LD13" si="433">IF(AND(KW6=1,KW4=1),$KV$14,0)</f>
        <v>0</v>
      </c>
      <c r="KX13" s="6">
        <f t="shared" si="433"/>
        <v>0</v>
      </c>
      <c r="KY13" s="6">
        <f t="shared" si="433"/>
        <v>0</v>
      </c>
      <c r="KZ13" s="6">
        <f t="shared" si="433"/>
        <v>0</v>
      </c>
      <c r="LA13" s="6">
        <f t="shared" si="433"/>
        <v>0</v>
      </c>
      <c r="LB13" s="6">
        <f t="shared" si="433"/>
        <v>0</v>
      </c>
      <c r="LC13" s="6">
        <f t="shared" si="433"/>
        <v>0</v>
      </c>
      <c r="LD13" s="6">
        <f t="shared" si="433"/>
        <v>0</v>
      </c>
      <c r="LE13" s="4"/>
      <c r="LF13" s="4"/>
      <c r="LH13" s="9"/>
      <c r="LK13" s="3" t="s">
        <v>1377</v>
      </c>
      <c r="LL13" s="6">
        <f>IF(AND(LL6=1,LL4=1),$LL$14,0)</f>
        <v>0</v>
      </c>
      <c r="LM13" s="6">
        <f t="shared" ref="LM13:LT13" si="434">IF(AND(LM6=1,LM4=1),$LL$14,0)</f>
        <v>0</v>
      </c>
      <c r="LN13" s="6">
        <f t="shared" si="434"/>
        <v>0</v>
      </c>
      <c r="LO13" s="6">
        <f t="shared" si="434"/>
        <v>0</v>
      </c>
      <c r="LP13" s="6">
        <f t="shared" si="434"/>
        <v>0</v>
      </c>
      <c r="LQ13" s="6">
        <f t="shared" si="434"/>
        <v>0</v>
      </c>
      <c r="LR13" s="6">
        <f t="shared" si="434"/>
        <v>0</v>
      </c>
      <c r="LS13" s="6">
        <f t="shared" si="434"/>
        <v>0</v>
      </c>
      <c r="LT13" s="6">
        <f t="shared" si="434"/>
        <v>0</v>
      </c>
      <c r="LU13" s="4"/>
      <c r="LV13" s="4"/>
      <c r="LX13" s="9"/>
      <c r="MA13" s="3" t="s">
        <v>1378</v>
      </c>
      <c r="MB13" s="6">
        <f>IF(AND(MB6=1,MB4=1),$MB$14,0)</f>
        <v>0</v>
      </c>
      <c r="MC13" s="6">
        <f t="shared" ref="MC13:MJ13" si="435">IF(AND(MC6=1,MC4=1),$MB$14,0)</f>
        <v>0</v>
      </c>
      <c r="MD13" s="6">
        <f t="shared" si="435"/>
        <v>0</v>
      </c>
      <c r="ME13" s="6">
        <f t="shared" si="435"/>
        <v>0</v>
      </c>
      <c r="MF13" s="6">
        <f t="shared" si="435"/>
        <v>0</v>
      </c>
      <c r="MG13" s="6">
        <f t="shared" si="435"/>
        <v>0</v>
      </c>
      <c r="MH13" s="6">
        <f t="shared" si="435"/>
        <v>0</v>
      </c>
      <c r="MI13" s="6">
        <f t="shared" si="435"/>
        <v>0</v>
      </c>
      <c r="MJ13" s="6">
        <f t="shared" si="435"/>
        <v>0</v>
      </c>
      <c r="MK13" s="4"/>
      <c r="ML13" s="4"/>
      <c r="MN13" s="9"/>
      <c r="MQ13" s="3" t="s">
        <v>1380</v>
      </c>
      <c r="MR13" s="6">
        <f>IF(AND(MR6=1,MR4=1),$MR$14,0)</f>
        <v>0</v>
      </c>
      <c r="MS13" s="6">
        <f t="shared" ref="MS13:MZ13" si="436">IF(AND(MS6=1,MS4=1),$MR$14,0)</f>
        <v>0</v>
      </c>
      <c r="MT13" s="6">
        <f t="shared" si="436"/>
        <v>0</v>
      </c>
      <c r="MU13" s="6">
        <f t="shared" si="436"/>
        <v>0</v>
      </c>
      <c r="MV13" s="6">
        <f t="shared" si="436"/>
        <v>0</v>
      </c>
      <c r="MW13" s="6">
        <f t="shared" si="436"/>
        <v>0</v>
      </c>
      <c r="MX13" s="6">
        <f t="shared" si="436"/>
        <v>0</v>
      </c>
      <c r="MY13" s="6">
        <f t="shared" si="436"/>
        <v>0</v>
      </c>
      <c r="MZ13" s="6">
        <f t="shared" si="436"/>
        <v>0</v>
      </c>
      <c r="NA13" s="4"/>
      <c r="NB13" s="4"/>
      <c r="ND13" s="9"/>
      <c r="NG13" s="3" t="s">
        <v>1382</v>
      </c>
      <c r="NH13" s="6">
        <f>IF(AND(NH6=1,NH4=1),$NH$14,0)</f>
        <v>0</v>
      </c>
      <c r="NI13" s="6">
        <f t="shared" ref="NI13:NP13" si="437">IF(AND(NI6=1,NI4=1),$NH$14,0)</f>
        <v>0</v>
      </c>
      <c r="NJ13" s="6">
        <f t="shared" si="437"/>
        <v>0</v>
      </c>
      <c r="NK13" s="6">
        <f t="shared" si="437"/>
        <v>0</v>
      </c>
      <c r="NL13" s="6">
        <f t="shared" si="437"/>
        <v>0</v>
      </c>
      <c r="NM13" s="6">
        <f t="shared" si="437"/>
        <v>0</v>
      </c>
      <c r="NN13" s="6">
        <f t="shared" si="437"/>
        <v>0</v>
      </c>
      <c r="NO13" s="6">
        <f>IF(AND(NO6=1,NO4=1),$NH$14,0)</f>
        <v>0</v>
      </c>
      <c r="NP13" s="6">
        <f t="shared" si="437"/>
        <v>0</v>
      </c>
      <c r="NQ13" s="4"/>
      <c r="NR13" s="4"/>
      <c r="NT13" s="9"/>
      <c r="NW13" s="3" t="s">
        <v>1342</v>
      </c>
      <c r="NX13" s="6">
        <f>IF(AND(NX6=1,NX4=1),$NX$14,0)</f>
        <v>0</v>
      </c>
      <c r="NY13" s="6">
        <f t="shared" ref="NY13:OF13" si="438">IF(AND(NY6=1,NY4=1),$NX$14,0)</f>
        <v>0</v>
      </c>
      <c r="NZ13" s="6">
        <f t="shared" si="438"/>
        <v>0</v>
      </c>
      <c r="OA13" s="6">
        <f t="shared" si="438"/>
        <v>0</v>
      </c>
      <c r="OB13" s="6">
        <f t="shared" si="438"/>
        <v>0</v>
      </c>
      <c r="OC13" s="6">
        <f t="shared" si="438"/>
        <v>0</v>
      </c>
      <c r="OD13" s="6">
        <f t="shared" si="438"/>
        <v>0</v>
      </c>
      <c r="OE13" s="6">
        <f t="shared" si="438"/>
        <v>0</v>
      </c>
      <c r="OF13" s="6">
        <f t="shared" si="438"/>
        <v>0</v>
      </c>
      <c r="OG13" s="4"/>
      <c r="OH13" s="4"/>
      <c r="OJ13" s="9"/>
      <c r="OL13" s="8"/>
      <c r="OM13" s="4"/>
      <c r="ON13" s="4"/>
      <c r="OO13" s="4"/>
      <c r="OP13" s="4"/>
      <c r="OQ13" s="4"/>
      <c r="OR13" s="4"/>
      <c r="OS13" s="4"/>
      <c r="OT13" s="4"/>
      <c r="OU13" s="4"/>
      <c r="OV13" s="4"/>
      <c r="OY13" s="3"/>
      <c r="OZ13" s="8"/>
      <c r="PA13" s="4"/>
      <c r="PB13" s="4"/>
      <c r="PC13" s="4"/>
      <c r="PD13" s="4"/>
      <c r="PE13" s="4"/>
      <c r="PF13" s="4"/>
      <c r="PG13" s="4"/>
      <c r="PH13" s="4"/>
      <c r="PI13" s="4"/>
      <c r="PJ13" s="4"/>
      <c r="PM13" s="3"/>
      <c r="PN13" s="8"/>
      <c r="PO13" s="4"/>
      <c r="PP13" s="4"/>
      <c r="PQ13" s="4"/>
      <c r="PR13" s="4"/>
      <c r="PS13" s="4"/>
      <c r="PT13" s="4"/>
      <c r="PU13" s="4"/>
      <c r="PV13" s="4"/>
      <c r="PW13" s="4"/>
      <c r="PX13" s="4"/>
      <c r="QA13" s="3"/>
      <c r="QB13" s="8"/>
      <c r="QC13" s="4"/>
      <c r="QD13" s="4"/>
      <c r="QE13" s="4"/>
      <c r="QF13" s="4"/>
      <c r="QG13" s="4"/>
      <c r="QH13" s="4"/>
      <c r="QI13" s="4"/>
      <c r="QJ13" s="4"/>
      <c r="QK13" s="4"/>
      <c r="QL13" s="4"/>
      <c r="QO13" s="3"/>
      <c r="QP13" s="8"/>
      <c r="QQ13" s="4"/>
      <c r="QR13" s="4"/>
      <c r="QS13" s="4"/>
      <c r="QT13" s="4"/>
      <c r="QU13" s="4"/>
      <c r="QV13" s="4"/>
      <c r="QW13" s="4"/>
      <c r="QX13" s="4"/>
      <c r="QY13" s="4"/>
      <c r="QZ13" s="4"/>
      <c r="RC13" s="3"/>
      <c r="RD13" s="8"/>
      <c r="RE13" s="4"/>
      <c r="RF13" s="4"/>
      <c r="RG13" s="4"/>
      <c r="RH13" s="4"/>
      <c r="RI13" s="4"/>
      <c r="RJ13" s="4"/>
      <c r="RK13" s="4"/>
      <c r="RL13" s="4"/>
      <c r="RQ13" s="3"/>
      <c r="RR13" s="8"/>
      <c r="RS13" s="4"/>
      <c r="RT13" s="4"/>
      <c r="RU13" s="4"/>
      <c r="RV13" s="4"/>
      <c r="RW13" s="4"/>
      <c r="RX13" s="4"/>
      <c r="RY13" s="4"/>
      <c r="RZ13" s="4"/>
      <c r="SE13" s="3"/>
      <c r="SF13" s="8"/>
      <c r="SG13" s="4"/>
      <c r="SH13" s="4"/>
      <c r="SI13" s="4"/>
      <c r="SJ13" s="4"/>
      <c r="SK13" s="4"/>
      <c r="SL13" s="4"/>
      <c r="SM13" s="4"/>
      <c r="SN13" s="4"/>
    </row>
    <row r="14" spans="1:508" x14ac:dyDescent="0.2">
      <c r="A14" s="3" t="s">
        <v>1337</v>
      </c>
      <c r="O14" s="3"/>
      <c r="P14" s="6"/>
      <c r="Q14" s="4"/>
      <c r="R14" s="4"/>
      <c r="S14" s="4"/>
      <c r="T14" s="4"/>
      <c r="U14" s="4"/>
      <c r="V14" s="4"/>
      <c r="W14" s="4"/>
      <c r="X14" s="4"/>
      <c r="Y14" s="4"/>
      <c r="Z14" s="4"/>
      <c r="AG14" s="3"/>
      <c r="AH14" s="6"/>
      <c r="AI14" s="4"/>
      <c r="AJ14" s="4"/>
      <c r="AK14" s="4"/>
      <c r="AL14" s="4"/>
      <c r="AM14" s="4"/>
      <c r="AN14" s="4"/>
      <c r="AO14" s="4"/>
      <c r="AP14" s="4"/>
      <c r="AQ14" s="4"/>
      <c r="AR14" s="4"/>
      <c r="AY14" s="3" t="s">
        <v>1339</v>
      </c>
      <c r="AZ14" s="6">
        <f>AZ12/5</f>
        <v>4000000</v>
      </c>
      <c r="BA14" s="6"/>
      <c r="BB14" s="6"/>
      <c r="BC14" s="6"/>
      <c r="BD14" s="6"/>
      <c r="BE14" s="6"/>
      <c r="BF14" s="6"/>
      <c r="BG14" s="6"/>
      <c r="BH14" s="6"/>
      <c r="BI14" s="4"/>
      <c r="BJ14" s="4"/>
      <c r="BL14" s="9"/>
      <c r="BO14" s="3" t="s">
        <v>1345</v>
      </c>
      <c r="BP14" s="6">
        <f>BP12/5</f>
        <v>2000000</v>
      </c>
      <c r="BQ14" s="4"/>
      <c r="BR14" s="4"/>
      <c r="BS14" s="4"/>
      <c r="BT14" s="4"/>
      <c r="BU14" s="4"/>
      <c r="BV14" s="4"/>
      <c r="BW14" s="4"/>
      <c r="BX14" s="4"/>
      <c r="BY14" s="4"/>
      <c r="BZ14" s="4"/>
      <c r="CB14" s="9"/>
      <c r="CE14" s="3" t="s">
        <v>1347</v>
      </c>
      <c r="CF14" s="6">
        <f>CF12/5</f>
        <v>4000000</v>
      </c>
      <c r="CG14" s="4"/>
      <c r="CH14" s="4"/>
      <c r="CI14" s="4"/>
      <c r="CJ14" s="4"/>
      <c r="CK14" s="4"/>
      <c r="CL14" s="4"/>
      <c r="CM14" s="4"/>
      <c r="CN14" s="4"/>
      <c r="CO14" s="4"/>
      <c r="CP14" s="4"/>
      <c r="CR14" s="9"/>
      <c r="CU14" s="3" t="s">
        <v>1349</v>
      </c>
      <c r="CV14" s="6">
        <f>CV12/5</f>
        <v>8000000</v>
      </c>
      <c r="CW14" s="4"/>
      <c r="CX14" s="4"/>
      <c r="CY14" s="4"/>
      <c r="CZ14" s="4"/>
      <c r="DA14" s="4"/>
      <c r="DB14" s="4"/>
      <c r="DC14" s="4"/>
      <c r="DD14" s="4"/>
      <c r="DE14" s="4"/>
      <c r="DF14" s="4"/>
      <c r="DH14" s="9"/>
      <c r="DK14" s="3" t="s">
        <v>1351</v>
      </c>
      <c r="DL14" s="6">
        <f>DL12/5</f>
        <v>4000000</v>
      </c>
      <c r="DM14" s="4"/>
      <c r="DN14" s="4"/>
      <c r="DO14" s="4"/>
      <c r="DP14" s="4"/>
      <c r="DQ14" s="4"/>
      <c r="DR14" s="4"/>
      <c r="DS14" s="4"/>
      <c r="DT14" s="4"/>
      <c r="DU14" s="4"/>
      <c r="DV14" s="4"/>
      <c r="DX14" s="9"/>
      <c r="EA14" s="3" t="s">
        <v>1353</v>
      </c>
      <c r="EB14" s="6">
        <f>EB12/5</f>
        <v>4000000</v>
      </c>
      <c r="EC14" s="4"/>
      <c r="ED14" s="4"/>
      <c r="EE14" s="4"/>
      <c r="EF14" s="4"/>
      <c r="EG14" s="4"/>
      <c r="EH14" s="4"/>
      <c r="EI14" s="4"/>
      <c r="EJ14" s="4"/>
      <c r="EK14" s="4"/>
      <c r="EL14" s="4"/>
      <c r="EN14" s="9"/>
      <c r="EQ14" s="3" t="s">
        <v>1355</v>
      </c>
      <c r="ER14" s="6">
        <f>ER12/5</f>
        <v>8000000</v>
      </c>
      <c r="ES14" s="4"/>
      <c r="ET14" s="4"/>
      <c r="EU14" s="4"/>
      <c r="EV14" s="4"/>
      <c r="EW14" s="4"/>
      <c r="EX14" s="4"/>
      <c r="EY14" s="4"/>
      <c r="EZ14" s="6"/>
      <c r="FA14" s="4"/>
      <c r="FB14" s="6"/>
      <c r="FD14" s="9"/>
      <c r="FG14" s="3" t="s">
        <v>1357</v>
      </c>
      <c r="FH14" s="6">
        <f>FH12/5</f>
        <v>2000000</v>
      </c>
      <c r="FI14" s="4"/>
      <c r="FJ14" s="4"/>
      <c r="FK14" s="4"/>
      <c r="FL14" s="4"/>
      <c r="FM14" s="4"/>
      <c r="FN14" s="4"/>
      <c r="FO14" s="4"/>
      <c r="FP14" s="6"/>
      <c r="FQ14" s="4"/>
      <c r="FR14" s="6"/>
      <c r="FT14" s="9"/>
      <c r="FW14" s="3" t="s">
        <v>1359</v>
      </c>
      <c r="FX14" s="6">
        <f>FX12/5</f>
        <v>2000000</v>
      </c>
      <c r="FY14" s="4"/>
      <c r="FZ14" s="4"/>
      <c r="GA14" s="4"/>
      <c r="GB14" s="4"/>
      <c r="GC14" s="4"/>
      <c r="GD14" s="4"/>
      <c r="GE14" s="4"/>
      <c r="GF14" s="6"/>
      <c r="GG14" s="4"/>
      <c r="GH14" s="4"/>
      <c r="GJ14" s="9"/>
      <c r="GM14" s="3" t="s">
        <v>1361</v>
      </c>
      <c r="GN14" s="6">
        <f>GN12/5</f>
        <v>8000000</v>
      </c>
      <c r="GO14" s="4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9"/>
      <c r="HB14" s="6"/>
      <c r="HC14" s="3" t="s">
        <v>1363</v>
      </c>
      <c r="HD14" s="6">
        <f>HD12/5</f>
        <v>8000000</v>
      </c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9"/>
      <c r="HR14" s="6"/>
      <c r="HS14" s="3" t="s">
        <v>1365</v>
      </c>
      <c r="HT14" s="6">
        <f>HT12/5</f>
        <v>4000000</v>
      </c>
      <c r="HU14" s="6"/>
      <c r="HV14" s="6"/>
      <c r="HW14" s="4"/>
      <c r="HX14" s="4"/>
      <c r="HY14" s="4"/>
      <c r="HZ14" s="4"/>
      <c r="IA14" s="4"/>
      <c r="IB14" s="4"/>
      <c r="IC14" s="4"/>
      <c r="ID14" s="4"/>
      <c r="IF14" s="9"/>
      <c r="II14" s="3" t="s">
        <v>1366</v>
      </c>
      <c r="IJ14" s="6">
        <f>IJ12/5</f>
        <v>4000000</v>
      </c>
      <c r="IK14" s="4"/>
      <c r="IL14" s="4"/>
      <c r="IM14" s="4"/>
      <c r="IN14" s="4"/>
      <c r="IO14" s="4"/>
      <c r="IP14" s="4"/>
      <c r="IQ14" s="4"/>
      <c r="IR14" s="4"/>
      <c r="IS14" s="4"/>
      <c r="IT14" s="4"/>
      <c r="IV14" s="9"/>
      <c r="IY14" s="3" t="s">
        <v>1369</v>
      </c>
      <c r="IZ14" s="6">
        <f>IZ12/5</f>
        <v>4000000</v>
      </c>
      <c r="JA14" s="4"/>
      <c r="JB14" s="4"/>
      <c r="JC14" s="4"/>
      <c r="JD14" s="4"/>
      <c r="JE14" s="4"/>
      <c r="JF14" s="4"/>
      <c r="JG14" s="4"/>
      <c r="JH14" s="4"/>
      <c r="JI14" s="4"/>
      <c r="JJ14" s="4"/>
      <c r="JL14" s="9"/>
      <c r="JO14" s="3" t="s">
        <v>1370</v>
      </c>
      <c r="JP14" s="6">
        <f>JP12/5</f>
        <v>4000000</v>
      </c>
      <c r="JQ14" s="4"/>
      <c r="JR14" s="4"/>
      <c r="JS14" s="4"/>
      <c r="JT14" s="4"/>
      <c r="JU14" s="4"/>
      <c r="JV14" s="4"/>
      <c r="JW14" s="4"/>
      <c r="JX14" s="4"/>
      <c r="JY14" s="4"/>
      <c r="JZ14" s="4"/>
      <c r="KB14" s="9"/>
      <c r="KE14" s="3" t="s">
        <v>1373</v>
      </c>
      <c r="KF14" s="6">
        <f>KF12/5</f>
        <v>4000000</v>
      </c>
      <c r="KG14" s="4"/>
      <c r="KH14" s="4"/>
      <c r="KI14" s="4"/>
      <c r="KJ14" s="4"/>
      <c r="KK14" s="4"/>
      <c r="KL14" s="4"/>
      <c r="KM14" s="4"/>
      <c r="KN14" s="4"/>
      <c r="KO14" s="4"/>
      <c r="KP14" s="4"/>
      <c r="KR14" s="9"/>
      <c r="KU14" s="3" t="s">
        <v>1375</v>
      </c>
      <c r="KV14" s="6">
        <f>KV12/5</f>
        <v>4000000</v>
      </c>
      <c r="KW14" s="4"/>
      <c r="KX14" s="4"/>
      <c r="KY14" s="4"/>
      <c r="KZ14" s="4"/>
      <c r="LA14" s="4"/>
      <c r="LB14" s="4"/>
      <c r="LC14" s="4"/>
      <c r="LD14" s="4"/>
      <c r="LE14" s="4"/>
      <c r="LF14" s="4"/>
      <c r="LH14" s="9"/>
      <c r="LK14" s="3" t="s">
        <v>1376</v>
      </c>
      <c r="LL14" s="6">
        <f>LL12/5</f>
        <v>4000000</v>
      </c>
      <c r="LM14" s="4"/>
      <c r="LN14" s="4"/>
      <c r="LO14" s="4"/>
      <c r="LP14" s="4"/>
      <c r="LQ14" s="4"/>
      <c r="LR14" s="4"/>
      <c r="LS14" s="4"/>
      <c r="LT14" s="4"/>
      <c r="LU14" s="4"/>
      <c r="LV14" s="4"/>
      <c r="LX14" s="9"/>
      <c r="MA14" s="3" t="s">
        <v>1379</v>
      </c>
      <c r="MB14" s="6">
        <f>MB12/5</f>
        <v>4000000</v>
      </c>
      <c r="MC14" s="4"/>
      <c r="MD14" s="4"/>
      <c r="ME14" s="4"/>
      <c r="MF14" s="4"/>
      <c r="MG14" s="4"/>
      <c r="MH14" s="4"/>
      <c r="MI14" s="4"/>
      <c r="MJ14" s="4"/>
      <c r="MK14" s="4"/>
      <c r="ML14" s="4"/>
      <c r="MN14" s="9"/>
      <c r="MQ14" s="3" t="s">
        <v>1381</v>
      </c>
      <c r="MR14" s="6">
        <f>MR12/5</f>
        <v>4000000</v>
      </c>
      <c r="MS14" s="4"/>
      <c r="MT14" s="4"/>
      <c r="MU14" s="4"/>
      <c r="MV14" s="4"/>
      <c r="MW14" s="4"/>
      <c r="MX14" s="4"/>
      <c r="MY14" s="4"/>
      <c r="MZ14" s="4"/>
      <c r="NA14" s="4"/>
      <c r="NB14" s="4"/>
      <c r="ND14" s="9"/>
      <c r="NG14" s="3" t="s">
        <v>1383</v>
      </c>
      <c r="NH14" s="6">
        <f>NH12/5</f>
        <v>4000000</v>
      </c>
      <c r="NI14" s="4"/>
      <c r="NJ14" s="4"/>
      <c r="NK14" s="4"/>
      <c r="NL14" s="4"/>
      <c r="NM14" s="4"/>
      <c r="NN14" s="4"/>
      <c r="NO14" s="4"/>
      <c r="NP14" s="4"/>
      <c r="NQ14" s="4"/>
      <c r="NR14" s="4"/>
      <c r="NT14" s="9"/>
      <c r="NW14" s="3" t="s">
        <v>1343</v>
      </c>
      <c r="NX14" s="6">
        <f>NX12/5</f>
        <v>4000000</v>
      </c>
      <c r="NY14" s="4"/>
      <c r="NZ14" s="4"/>
      <c r="OA14" s="4"/>
      <c r="OB14" s="4"/>
      <c r="OC14" s="4"/>
      <c r="OD14" s="4"/>
      <c r="OE14" s="4"/>
      <c r="OF14" s="4"/>
      <c r="OG14" s="4"/>
      <c r="OH14" s="4"/>
      <c r="OJ14" s="9"/>
      <c r="OL14" s="8"/>
      <c r="OM14" s="4"/>
      <c r="ON14" s="4"/>
      <c r="OO14" s="4"/>
      <c r="OP14" s="4"/>
      <c r="OQ14" s="4"/>
      <c r="OR14" s="4"/>
      <c r="OS14" s="4"/>
      <c r="OT14" s="4"/>
      <c r="OU14" s="4"/>
      <c r="OV14" s="4"/>
      <c r="OY14" s="3"/>
      <c r="OZ14" s="8"/>
      <c r="PA14" s="4"/>
      <c r="PB14" s="4"/>
      <c r="PC14" s="4"/>
      <c r="PD14" s="4"/>
      <c r="PE14" s="4"/>
      <c r="PF14" s="4"/>
      <c r="PG14" s="4"/>
      <c r="PH14" s="4"/>
      <c r="PI14" s="4"/>
      <c r="PJ14" s="4"/>
      <c r="PM14" s="3"/>
      <c r="PN14" s="8"/>
      <c r="PO14" s="4"/>
      <c r="PP14" s="4"/>
      <c r="PQ14" s="4"/>
      <c r="PR14" s="4"/>
      <c r="PS14" s="4"/>
      <c r="PT14" s="4"/>
      <c r="PU14" s="4"/>
      <c r="PV14" s="4"/>
      <c r="PW14" s="4"/>
      <c r="PX14" s="4"/>
      <c r="QA14" s="3"/>
      <c r="QB14" s="8"/>
      <c r="QC14" s="4"/>
      <c r="QD14" s="4"/>
      <c r="QE14" s="4"/>
      <c r="QF14" s="4"/>
      <c r="QG14" s="4"/>
      <c r="QH14" s="4"/>
      <c r="QI14" s="4"/>
      <c r="QJ14" s="4"/>
      <c r="QK14" s="4"/>
      <c r="QL14" s="4"/>
      <c r="QO14" s="3"/>
      <c r="QP14" s="8"/>
      <c r="QQ14" s="4"/>
      <c r="QR14" s="4"/>
      <c r="QS14" s="4"/>
      <c r="QT14" s="4"/>
      <c r="QU14" s="4"/>
      <c r="QV14" s="4"/>
      <c r="QW14" s="4"/>
      <c r="QX14" s="4"/>
      <c r="QY14" s="4"/>
      <c r="QZ14" s="4"/>
      <c r="RC14" s="3"/>
      <c r="RD14" s="8"/>
      <c r="RE14" s="4"/>
      <c r="RF14" s="4"/>
      <c r="RG14" s="4"/>
      <c r="RH14" s="4"/>
      <c r="RI14" s="4"/>
      <c r="RJ14" s="4"/>
      <c r="RK14" s="4"/>
      <c r="RL14" s="4"/>
      <c r="RQ14" s="3"/>
      <c r="RR14" s="8"/>
      <c r="RS14" s="4"/>
      <c r="RT14" s="4"/>
      <c r="RU14" s="4"/>
      <c r="RV14" s="4"/>
      <c r="RW14" s="4"/>
      <c r="RX14" s="4"/>
      <c r="RY14" s="4"/>
      <c r="RZ14" s="4"/>
      <c r="SE14" s="3"/>
      <c r="SF14" s="8"/>
      <c r="SG14" s="4"/>
      <c r="SH14" s="4"/>
      <c r="SI14" s="4"/>
      <c r="SJ14" s="4"/>
      <c r="SK14" s="4"/>
      <c r="SL14" s="4"/>
      <c r="SM14" s="4"/>
      <c r="SN14" s="4"/>
    </row>
    <row r="15" spans="1:508" x14ac:dyDescent="0.2">
      <c r="A15" s="3" t="s">
        <v>228</v>
      </c>
      <c r="O15" s="3"/>
      <c r="P15" s="7"/>
      <c r="AG15" s="3"/>
      <c r="AH15" s="7"/>
      <c r="AY15" s="3" t="s">
        <v>229</v>
      </c>
      <c r="AZ15" s="7" t="s">
        <v>6</v>
      </c>
      <c r="BA15" s="7"/>
      <c r="BB15" s="7"/>
      <c r="BC15" s="7"/>
      <c r="BD15" s="7"/>
      <c r="BE15" s="7"/>
      <c r="BF15" s="7"/>
      <c r="BG15" s="7"/>
      <c r="BH15" s="7"/>
      <c r="BL15" s="9"/>
      <c r="BO15" s="3" t="s">
        <v>230</v>
      </c>
      <c r="BP15" s="7" t="s">
        <v>6</v>
      </c>
      <c r="CB15" s="9"/>
      <c r="CE15" s="3" t="s">
        <v>231</v>
      </c>
      <c r="CF15" s="7" t="s">
        <v>6</v>
      </c>
      <c r="CR15" s="9"/>
      <c r="CU15" s="3" t="s">
        <v>232</v>
      </c>
      <c r="CV15" s="7" t="s">
        <v>6</v>
      </c>
      <c r="DH15" s="9"/>
      <c r="DK15" s="3" t="s">
        <v>233</v>
      </c>
      <c r="DL15" s="7" t="s">
        <v>6</v>
      </c>
      <c r="DX15" s="9"/>
      <c r="EA15" s="3" t="s">
        <v>234</v>
      </c>
      <c r="EB15" s="7" t="s">
        <v>6</v>
      </c>
      <c r="EN15" s="9"/>
      <c r="EQ15" s="3" t="s">
        <v>235</v>
      </c>
      <c r="ER15" s="7" t="s">
        <v>6</v>
      </c>
      <c r="EZ15" s="7"/>
      <c r="FB15" s="7"/>
      <c r="FD15" s="9"/>
      <c r="FG15" s="3" t="s">
        <v>236</v>
      </c>
      <c r="FH15" s="7" t="s">
        <v>6</v>
      </c>
      <c r="FP15" s="7"/>
      <c r="FR15" s="7"/>
      <c r="FT15" s="9"/>
      <c r="FW15" s="3" t="s">
        <v>237</v>
      </c>
      <c r="FX15" s="7" t="s">
        <v>6</v>
      </c>
      <c r="GF15" s="7"/>
      <c r="GJ15" s="9"/>
      <c r="GM15" s="3" t="s">
        <v>238</v>
      </c>
      <c r="GN15" s="7" t="s">
        <v>6</v>
      </c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9"/>
      <c r="HB15" s="7"/>
      <c r="HC15" s="3" t="s">
        <v>239</v>
      </c>
      <c r="HD15" s="7" t="s">
        <v>6</v>
      </c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9"/>
      <c r="HR15" s="7"/>
      <c r="HS15" s="3" t="s">
        <v>240</v>
      </c>
      <c r="HT15" s="7" t="s">
        <v>6</v>
      </c>
      <c r="HU15" s="7"/>
      <c r="HV15" s="7"/>
      <c r="IF15" s="9"/>
      <c r="II15" s="3" t="s">
        <v>241</v>
      </c>
      <c r="IJ15" s="7" t="s">
        <v>6</v>
      </c>
      <c r="IV15" s="9"/>
      <c r="IY15" s="3" t="s">
        <v>242</v>
      </c>
      <c r="IZ15" s="7" t="s">
        <v>6</v>
      </c>
      <c r="JL15" s="9"/>
      <c r="JO15" s="3" t="s">
        <v>243</v>
      </c>
      <c r="JP15" s="7" t="s">
        <v>6</v>
      </c>
      <c r="KB15" s="9"/>
      <c r="KE15" s="3" t="s">
        <v>244</v>
      </c>
      <c r="KF15" s="7" t="s">
        <v>6</v>
      </c>
      <c r="KR15" s="9"/>
      <c r="KU15" s="3" t="s">
        <v>245</v>
      </c>
      <c r="KV15" s="7" t="s">
        <v>6</v>
      </c>
      <c r="LH15" s="9"/>
      <c r="LK15" s="3" t="s">
        <v>246</v>
      </c>
      <c r="LL15" s="7" t="s">
        <v>6</v>
      </c>
      <c r="LX15" s="9"/>
      <c r="MA15" s="3" t="s">
        <v>247</v>
      </c>
      <c r="MB15" s="7" t="s">
        <v>6</v>
      </c>
      <c r="MN15" s="9"/>
      <c r="MQ15" s="3" t="s">
        <v>248</v>
      </c>
      <c r="MR15" s="7" t="s">
        <v>6</v>
      </c>
      <c r="ND15" s="9"/>
      <c r="NG15" s="3" t="s">
        <v>249</v>
      </c>
      <c r="NH15" s="7" t="s">
        <v>6</v>
      </c>
      <c r="NT15" s="9"/>
      <c r="NW15" s="3" t="s">
        <v>250</v>
      </c>
      <c r="NX15" s="7" t="s">
        <v>6</v>
      </c>
      <c r="OJ15" s="9"/>
      <c r="OL15" s="7"/>
      <c r="OY15" s="3"/>
      <c r="OZ15" s="7"/>
      <c r="PM15" s="3"/>
      <c r="PN15" s="7"/>
      <c r="QA15" s="3"/>
      <c r="QB15" s="7"/>
      <c r="QO15" s="3"/>
      <c r="QP15" s="7"/>
      <c r="RC15" s="3"/>
      <c r="RD15" s="7"/>
      <c r="RQ15" s="3"/>
      <c r="RR15" s="7"/>
      <c r="SE15" s="3"/>
      <c r="SF15" s="7"/>
    </row>
    <row r="16" spans="1:508" x14ac:dyDescent="0.2">
      <c r="A16" s="3" t="s">
        <v>251</v>
      </c>
      <c r="O16" s="3"/>
      <c r="P16" s="7"/>
      <c r="AG16" s="3"/>
      <c r="AH16" s="7"/>
      <c r="AY16" s="3" t="s">
        <v>252</v>
      </c>
      <c r="AZ16" s="7" t="s">
        <v>6</v>
      </c>
      <c r="BA16" s="7"/>
      <c r="BB16" s="7"/>
      <c r="BC16" s="7"/>
      <c r="BD16" s="7"/>
      <c r="BE16" s="7"/>
      <c r="BF16" s="7"/>
      <c r="BG16" s="7"/>
      <c r="BH16" s="7"/>
      <c r="BL16" s="9"/>
      <c r="BO16" s="3" t="s">
        <v>253</v>
      </c>
      <c r="BP16" s="7" t="s">
        <v>6</v>
      </c>
      <c r="CB16" s="9"/>
      <c r="CE16" s="3" t="s">
        <v>254</v>
      </c>
      <c r="CF16" s="7" t="s">
        <v>6</v>
      </c>
      <c r="CR16" s="9"/>
      <c r="CU16" s="3" t="s">
        <v>255</v>
      </c>
      <c r="CV16" s="7" t="s">
        <v>6</v>
      </c>
      <c r="DH16" s="9"/>
      <c r="DK16" s="3" t="s">
        <v>256</v>
      </c>
      <c r="DL16" s="7" t="s">
        <v>6</v>
      </c>
      <c r="DX16" s="9"/>
      <c r="EA16" s="3" t="s">
        <v>257</v>
      </c>
      <c r="EB16" s="7" t="s">
        <v>6</v>
      </c>
      <c r="EN16" s="9"/>
      <c r="EQ16" s="3" t="s">
        <v>258</v>
      </c>
      <c r="ER16" s="7" t="s">
        <v>6</v>
      </c>
      <c r="EZ16" s="7"/>
      <c r="FB16" s="7"/>
      <c r="FD16" s="9"/>
      <c r="FG16" s="3" t="s">
        <v>259</v>
      </c>
      <c r="FH16" s="7" t="s">
        <v>6</v>
      </c>
      <c r="FP16" s="7"/>
      <c r="FR16" s="7"/>
      <c r="FT16" s="9"/>
      <c r="FW16" s="3" t="s">
        <v>260</v>
      </c>
      <c r="FX16" s="7" t="s">
        <v>6</v>
      </c>
      <c r="GF16" s="7"/>
      <c r="GJ16" s="9"/>
      <c r="GM16" s="3" t="s">
        <v>261</v>
      </c>
      <c r="GN16" s="7" t="s">
        <v>6</v>
      </c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9"/>
      <c r="HB16" s="7"/>
      <c r="HC16" s="3" t="s">
        <v>262</v>
      </c>
      <c r="HD16" s="7" t="s">
        <v>6</v>
      </c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9"/>
      <c r="HR16" s="7"/>
      <c r="HS16" s="3" t="s">
        <v>263</v>
      </c>
      <c r="HT16" s="7" t="s">
        <v>6</v>
      </c>
      <c r="HU16" s="7"/>
      <c r="HV16" s="7"/>
      <c r="IF16" s="9"/>
      <c r="II16" s="3" t="s">
        <v>264</v>
      </c>
      <c r="IJ16" s="7" t="s">
        <v>6</v>
      </c>
      <c r="IV16" s="9"/>
      <c r="IY16" s="3" t="s">
        <v>265</v>
      </c>
      <c r="IZ16" s="7" t="s">
        <v>6</v>
      </c>
      <c r="JL16" s="9"/>
      <c r="JO16" s="3" t="s">
        <v>266</v>
      </c>
      <c r="JP16" s="7" t="s">
        <v>6</v>
      </c>
      <c r="KB16" s="9"/>
      <c r="KE16" s="3" t="s">
        <v>267</v>
      </c>
      <c r="KF16" s="7" t="s">
        <v>6</v>
      </c>
      <c r="KR16" s="9"/>
      <c r="KU16" s="3" t="s">
        <v>268</v>
      </c>
      <c r="KV16" s="7" t="s">
        <v>6</v>
      </c>
      <c r="LH16" s="9"/>
      <c r="LK16" s="3" t="s">
        <v>269</v>
      </c>
      <c r="LL16" s="7" t="s">
        <v>6</v>
      </c>
      <c r="LX16" s="9"/>
      <c r="MA16" s="3" t="s">
        <v>270</v>
      </c>
      <c r="MB16" s="7" t="s">
        <v>6</v>
      </c>
      <c r="MN16" s="9"/>
      <c r="MQ16" s="3" t="s">
        <v>271</v>
      </c>
      <c r="MR16" s="7" t="s">
        <v>6</v>
      </c>
      <c r="ND16" s="9"/>
      <c r="NG16" s="3" t="s">
        <v>272</v>
      </c>
      <c r="NH16" s="7" t="s">
        <v>6</v>
      </c>
      <c r="NT16" s="9"/>
      <c r="NW16" s="3" t="s">
        <v>273</v>
      </c>
      <c r="NX16" s="7" t="s">
        <v>6</v>
      </c>
      <c r="OJ16" s="9"/>
      <c r="OL16" s="7"/>
      <c r="OY16" s="3"/>
      <c r="OZ16" s="7"/>
      <c r="PM16" s="3"/>
      <c r="PN16" s="7"/>
      <c r="QA16" s="3"/>
      <c r="QB16" s="7"/>
      <c r="QO16" s="3"/>
      <c r="QP16" s="7"/>
      <c r="RC16" s="3"/>
      <c r="RD16" s="7"/>
      <c r="RQ16" s="3"/>
      <c r="RR16" s="7"/>
      <c r="SE16" s="3"/>
      <c r="SF16" s="7"/>
    </row>
    <row r="17" spans="1:499" x14ac:dyDescent="0.2">
      <c r="A17" s="3" t="s">
        <v>274</v>
      </c>
      <c r="O17" s="3"/>
      <c r="AG17" s="3"/>
      <c r="AY17" s="3" t="s">
        <v>275</v>
      </c>
      <c r="AZ17">
        <f>IF(AZ4=1,1,IF(AND(AZ4=0,BA4=1),2,IF(AND(BA4=0,BB4=1),3,IF(AND(BB4=0,BC4=1),4,IF(AND(BC4=0,BD4=1),5,IF(AND(BD4=0,BE4=1),6,IF(AND(BE4=0,BF4=1),7,IF(AND(BF4=0,BG4=1),8,-1))))))))</f>
        <v>-1</v>
      </c>
      <c r="BL17" s="9"/>
      <c r="BO17" s="3" t="s">
        <v>276</v>
      </c>
      <c r="BP17">
        <f>IF(BP4=1,1,IF(AND(BP4=0,BQ4=1),2,IF(AND(BQ4=0,BR4=1),3,IF(AND(BR4=0,BS4=1),4,IF(AND(BS4=0,BT4=1),5,IF(AND(BT4=0,BU4=1),6,IF(AND(BU4=0,BV4=1),7,IF(AND(BV4=0,BW4=1),8,-1))))))))</f>
        <v>-1</v>
      </c>
      <c r="CB17" s="9"/>
      <c r="CE17" s="3" t="s">
        <v>277</v>
      </c>
      <c r="CF17">
        <f>IF(CF4=1,1,IF(AND(CF4=0,CG4=1),2,IF(AND(CG4=0,CH4=1),3,IF(AND(CH4=0,CI4=1),4,IF(AND(CI4=0,CJ4=1),5,IF(AND(CJ4=0,CK4=1),6,IF(AND(CK4=0,CL4=1),7,IF(AND(CL4=0,CM4=1),8,-1))))))))</f>
        <v>-1</v>
      </c>
      <c r="CR17" s="9"/>
      <c r="CU17" s="3" t="s">
        <v>278</v>
      </c>
      <c r="CV17">
        <f>IF(CV4=1,1,IF(AND(CV4=0,CW4=1),2,IF(AND(CW4=0,CX4=1),3,IF(AND(CX4=0,CY4=1),4,IF(AND(CY4=0,CZ4=1),5,IF(AND(CZ4=0,DA4=1),6,IF(AND(DA4=0,DB4=1),7,IF(AND(DB4=0,DC4=1),8,-1))))))))</f>
        <v>-1</v>
      </c>
      <c r="DH17" s="9"/>
      <c r="DK17" s="3" t="s">
        <v>279</v>
      </c>
      <c r="DL17">
        <f>IF(DL4=1,1,IF(AND(DL4=0,DM4=1),2,IF(AND(DM4=0,DN4=1),3,IF(AND(DN4=0,DO4=1),4,IF(AND(DO4=0,DP4=1),5,IF(AND(DP4=0,DQ4=1),6,IF(AND(DQ4=0,DR4=1),7,IF(AND(DR4=0,DS4=1),8,-1))))))))</f>
        <v>-1</v>
      </c>
      <c r="DX17" s="9"/>
      <c r="EA17" s="3" t="s">
        <v>280</v>
      </c>
      <c r="EB17">
        <f>IF(EB4=1,1,IF(AND(EB4=0,EC4=1),2,IF(AND(EC4=0,ED4=1),3,IF(AND(ED4=0,EE4=1),4,IF(AND(EE4=0,EF4=1),5,IF(AND(EF4=0,EG4=1),6,IF(AND(EG4=0,EH4=1),7,IF(AND(EH4=0,EI4=1),8,-1))))))))</f>
        <v>-1</v>
      </c>
      <c r="EN17" s="9"/>
      <c r="EQ17" s="3" t="s">
        <v>281</v>
      </c>
      <c r="ER17">
        <f>IF(ER4=1,1,IF(AND(ER4=0,ES4=1),2,IF(AND(ES4=0,ET4=1),3,IF(AND(ET4=0,EU4=1),4,IF(AND(EU4=0,EV4=1),5,IF(AND(EV4=0,EW4=1),6,IF(AND(EW4=0,EX4=1),7,IF(AND(EX4=0,EY4=1),8,-1))))))))</f>
        <v>-1</v>
      </c>
      <c r="FD17" s="9"/>
      <c r="FG17" s="3" t="s">
        <v>282</v>
      </c>
      <c r="FH17">
        <f>IF(FH4=1,1,IF(AND(FH4=0,FI4=1),2,IF(AND(FI4=0,FJ4=1),3,IF(AND(FJ4=0,FK4=1),4,IF(AND(FK4=0,FL4=1),5,IF(AND(FL4=0,FM4=1),6,IF(AND(FM4=0,FN4=1),7,IF(AND(FN4=0,FO4=1),8,-1))))))))</f>
        <v>-1</v>
      </c>
      <c r="FT17" s="9"/>
      <c r="FW17" s="3" t="s">
        <v>283</v>
      </c>
      <c r="FX17">
        <f>IF(FX4=1,1,IF(AND(FX4=0,FY4=1),2,IF(AND(FY4=0,FZ4=1),3,IF(AND(FZ4=0,GA4=1),4,IF(AND(GA4=0,GB4=1),5,IF(AND(GB4=0,GC4=1),6,IF(AND(GC4=0,GD4=1),7,IF(AND(GD4=0,GE4=1),8,-1))))))))</f>
        <v>-1</v>
      </c>
      <c r="GJ17" s="9"/>
      <c r="GM17" s="3" t="s">
        <v>284</v>
      </c>
      <c r="GN17">
        <f>IF(GN4=1,1,IF(AND(GN4=0,GO4=1),2,IF(AND(GO4=0,GP4=1),3,IF(AND(GP4=0,GQ4=1),4,IF(AND(GQ4=0,GR4=1),5,IF(AND(GR4=0,GS4=1),6,IF(AND(GS4=0,GT4=1),7,IF(AND(GT4=0,GU4=1),8,-1))))))))</f>
        <v>-1</v>
      </c>
      <c r="GZ17" s="9"/>
      <c r="HC17" s="3" t="s">
        <v>285</v>
      </c>
      <c r="HD17">
        <f>IF(HD4=1,1,IF(AND(HD4=0,HE4=1),2,IF(AND(HE4=0,HF4=1),3,IF(AND(HF4=0,HG4=1),4,IF(AND(HG4=0,HH4=1),5,IF(AND(HH4=0,HI4=1),6,IF(AND(HI4=0,HJ4=1),7,IF(AND(HJ4=0,HK4=1),8,-1))))))))</f>
        <v>-1</v>
      </c>
      <c r="HP17" s="9"/>
      <c r="HS17" s="3" t="s">
        <v>286</v>
      </c>
      <c r="HT17">
        <f>IF(HT4=1,1,IF(AND(HT4=0,HU4=1),2,IF(AND(HU4=0,HV4=1),3,IF(AND(HV4=0,HW4=1),4,IF(AND(HW4=0,HX4=1),5,IF(AND(HX4=0,HY4=1),6,IF(AND(HY4=0,HZ4=1),7,IF(AND(HZ4=0,IA4=1),8,-1))))))))</f>
        <v>-1</v>
      </c>
      <c r="IF17" s="9"/>
      <c r="II17" s="3" t="s">
        <v>287</v>
      </c>
      <c r="IJ17">
        <f>IF(IJ4=1,1,IF(AND(IJ4=0,IK4=1),2,IF(AND(IK4=0,IL4=1),3,IF(AND(IL4=0,IM4=1),4,IF(AND(IM4=0,IN4=1),5,IF(AND(IN4=0,IO4=1),6,IF(AND(IO4=0,IP4=1),7,IF(AND(IP4=0,IQ4=1),8,-1))))))))</f>
        <v>-1</v>
      </c>
      <c r="IV17" s="9"/>
      <c r="IY17" s="3" t="s">
        <v>288</v>
      </c>
      <c r="IZ17">
        <f>IF(IZ4=1,1,IF(AND(IZ4=0,JA4=1),2,IF(AND(JA4=0,JB4=1),3,IF(AND(JB4=0,JC4=1),4,IF(AND(JC4=0,JD4=1),5,IF(AND(JD4=0,JE4=1),6,IF(AND(JE4=0,JF4=1),7,IF(AND(JF4=0,JG4=1),8,-1))))))))</f>
        <v>-1</v>
      </c>
      <c r="JL17" s="9"/>
      <c r="JO17" s="3" t="s">
        <v>289</v>
      </c>
      <c r="JP17">
        <f>IF(JP4=1,1,IF(AND(JP4=0,JQ4=1),2,IF(AND(JQ4=0,JR4=1),3,IF(AND(JR4=0,JS4=1),4,IF(AND(JS4=0,JT4=1),5,IF(AND(JT4=0,JU4=1),6,IF(AND(JU4=0,JV4=1),7,IF(AND(JV4=0,JW4=1),8,-1))))))))</f>
        <v>-1</v>
      </c>
      <c r="KB17" s="9"/>
      <c r="KE17" s="3" t="s">
        <v>290</v>
      </c>
      <c r="KF17">
        <f>IF(KF4=1,1,IF(AND(KF4=0,KG4=1),2,IF(AND(KG4=0,KH4=1),3,IF(AND(KH4=0,KI4=1),4,IF(AND(KI4=0,KJ4=1),5,IF(AND(KJ4=0,KK4=1),6,IF(AND(KK4=0,KL4=1),7,IF(AND(KL4=0,KM4=1),8,-1))))))))</f>
        <v>-1</v>
      </c>
      <c r="KR17" s="9"/>
      <c r="KU17" s="3" t="s">
        <v>291</v>
      </c>
      <c r="KV17">
        <f>IF(KV4=1,1,IF(AND(KV4=0,KW4=1),2,IF(AND(KW4=0,KX4=1),3,IF(AND(KX4=0,KY4=1),4,IF(AND(KY4=0,KZ4=1),5,IF(AND(KZ4=0,LA4=1),6,IF(AND(LA4=0,LB4=1),7,IF(AND(LB4=0,LC4=1),8,-1))))))))</f>
        <v>-1</v>
      </c>
      <c r="LH17" s="9"/>
      <c r="LK17" s="3" t="s">
        <v>292</v>
      </c>
      <c r="LL17">
        <f>IF(LL4=1,1,IF(AND(LL4=0,LM4=1),2,IF(AND(LM4=0,LN4=1),3,IF(AND(LN4=0,LO4=1),4,IF(AND(LO4=0,LP4=1),5,IF(AND(LP4=0,LQ4=1),6,IF(AND(LQ4=0,LR4=1),7,IF(AND(LR4=0,LS4=1),8,-1))))))))</f>
        <v>-1</v>
      </c>
      <c r="LX17" s="9"/>
      <c r="MA17" s="3" t="s">
        <v>293</v>
      </c>
      <c r="MB17">
        <f>IF(MB4=1,1,IF(AND(MB4=0,MC4=1),2,IF(AND(MC4=0,MD4=1),3,IF(AND(MD4=0,ME4=1),4,IF(AND(ME4=0,MF4=1),5,IF(AND(MF4=0,MG4=1),6,IF(AND(MG4=0,MH4=1),7,IF(AND(MH4=0,MI4=1),8,-1))))))))</f>
        <v>-1</v>
      </c>
      <c r="MN17" s="9"/>
      <c r="MQ17" s="3" t="s">
        <v>294</v>
      </c>
      <c r="MR17">
        <f>IF(MR4=1,1,IF(AND(MR4=0,MS4=1),2,IF(AND(MS4=0,MT4=1),3,IF(AND(MT4=0,MU4=1),4,IF(AND(MU4=0,MV4=1),5,IF(AND(MV4=0,MW4=1),6,IF(AND(MW4=0,MX4=1),7,IF(AND(MX4=0,MY4=1),8,-1))))))))</f>
        <v>-1</v>
      </c>
      <c r="ND17" s="9"/>
      <c r="NG17" s="3" t="s">
        <v>295</v>
      </c>
      <c r="NH17">
        <f>IF(NH4=1,1,IF(AND(NH4=0,NI4=1),2,IF(AND(NI4=0,NJ4=1),3,IF(AND(NJ4=0,NK4=1),4,IF(AND(NK4=0,NL4=1),5,IF(AND(NL4=0,NM4=1),6,IF(AND(NM4=0,NN4=1),7,IF(AND(NN4=0,NO4=1),8,-1))))))))</f>
        <v>-1</v>
      </c>
      <c r="NT17" s="9"/>
      <c r="NW17" s="3" t="s">
        <v>296</v>
      </c>
      <c r="NX17">
        <f>IF(NX4=1,1,IF(AND(NX4=0,NY4=1),2,IF(AND(NY4=0,NZ4=1),3,IF(AND(NZ4=0,OA4=1),4,IF(AND(OA4=0,OB4=1),5,IF(AND(OB4=0,OC4=1),6,IF(AND(OC4=0,OD4=1),7,IF(AND(OD4=0,OE4=1),8,-1))))))))</f>
        <v>-1</v>
      </c>
      <c r="OJ17" s="9"/>
      <c r="OY17" s="3"/>
      <c r="PM17" s="3"/>
      <c r="QA17" s="3"/>
      <c r="QO17" s="3"/>
      <c r="RC17" s="3"/>
      <c r="RQ17" s="3"/>
      <c r="SE17" s="3"/>
    </row>
    <row r="18" spans="1:499" x14ac:dyDescent="0.2">
      <c r="A18" s="3" t="s">
        <v>319</v>
      </c>
      <c r="O18" s="3"/>
      <c r="AG18" s="3"/>
      <c r="AY18" s="3" t="s">
        <v>321</v>
      </c>
      <c r="AZ18">
        <v>1</v>
      </c>
      <c r="BL18" s="9"/>
      <c r="BO18" s="3" t="s">
        <v>322</v>
      </c>
      <c r="BP18">
        <v>1</v>
      </c>
      <c r="CB18" s="9"/>
      <c r="CE18" s="3" t="s">
        <v>323</v>
      </c>
      <c r="CF18">
        <v>1</v>
      </c>
      <c r="CR18" s="9"/>
      <c r="CU18" s="3" t="s">
        <v>324</v>
      </c>
      <c r="CV18">
        <v>1</v>
      </c>
      <c r="DH18" s="9"/>
      <c r="DK18" s="3" t="s">
        <v>325</v>
      </c>
      <c r="DL18">
        <v>1</v>
      </c>
      <c r="DX18" s="9"/>
      <c r="EA18" s="3" t="s">
        <v>326</v>
      </c>
      <c r="EB18">
        <v>1</v>
      </c>
      <c r="EN18" s="9"/>
      <c r="EQ18" s="3" t="s">
        <v>327</v>
      </c>
      <c r="ER18">
        <v>1</v>
      </c>
      <c r="FD18" s="9"/>
      <c r="FG18" s="3" t="s">
        <v>328</v>
      </c>
      <c r="FH18">
        <v>1</v>
      </c>
      <c r="FT18" s="9"/>
      <c r="FW18" s="3" t="s">
        <v>329</v>
      </c>
      <c r="FX18">
        <v>1</v>
      </c>
      <c r="GJ18" s="9"/>
      <c r="GM18" s="3" t="s">
        <v>330</v>
      </c>
      <c r="GN18">
        <v>1</v>
      </c>
      <c r="GZ18" s="9"/>
      <c r="HC18" s="3" t="s">
        <v>331</v>
      </c>
      <c r="HD18">
        <v>1</v>
      </c>
      <c r="HP18" s="9"/>
      <c r="HS18" s="3" t="s">
        <v>332</v>
      </c>
      <c r="HT18">
        <v>1</v>
      </c>
      <c r="IF18" s="9"/>
      <c r="II18" s="3" t="s">
        <v>346</v>
      </c>
      <c r="IJ18">
        <v>1</v>
      </c>
      <c r="IV18" s="9"/>
      <c r="IY18" s="3" t="s">
        <v>360</v>
      </c>
      <c r="IZ18">
        <v>1</v>
      </c>
      <c r="JL18" s="9"/>
      <c r="JO18" s="3" t="s">
        <v>362</v>
      </c>
      <c r="JP18">
        <v>1</v>
      </c>
      <c r="KB18" s="9"/>
      <c r="KE18" s="3"/>
      <c r="KR18" s="9"/>
      <c r="KU18" s="3"/>
      <c r="LH18" s="9"/>
      <c r="LK18" s="3"/>
      <c r="LX18" s="9"/>
      <c r="MA18" s="3"/>
      <c r="MN18" s="9"/>
      <c r="MQ18" s="3"/>
      <c r="ND18" s="9"/>
      <c r="NG18" s="3"/>
      <c r="NT18" s="9"/>
      <c r="NW18" s="3"/>
      <c r="OJ18" s="9"/>
      <c r="OY18" s="3"/>
      <c r="PM18" s="3"/>
      <c r="QA18" s="3"/>
      <c r="QO18" s="3"/>
      <c r="RC18" s="3"/>
      <c r="SE18" s="3"/>
    </row>
    <row r="19" spans="1:499" x14ac:dyDescent="0.2">
      <c r="A19" s="3" t="s">
        <v>345</v>
      </c>
      <c r="O19" s="3"/>
      <c r="AG19" s="3"/>
      <c r="AY19" s="3" t="s">
        <v>347</v>
      </c>
      <c r="AZ19">
        <v>1</v>
      </c>
      <c r="BL19" s="9"/>
      <c r="BO19" s="3" t="s">
        <v>348</v>
      </c>
      <c r="BP19">
        <v>1</v>
      </c>
      <c r="CB19" s="9"/>
      <c r="CE19" s="3" t="s">
        <v>349</v>
      </c>
      <c r="CF19">
        <v>1</v>
      </c>
      <c r="CR19" s="9"/>
      <c r="CU19" s="3" t="s">
        <v>350</v>
      </c>
      <c r="CV19">
        <v>0</v>
      </c>
      <c r="DH19" s="9"/>
      <c r="DK19" s="3" t="s">
        <v>351</v>
      </c>
      <c r="DL19">
        <v>1</v>
      </c>
      <c r="DX19" s="9"/>
      <c r="EA19" s="3" t="s">
        <v>352</v>
      </c>
      <c r="EB19">
        <v>1</v>
      </c>
      <c r="EN19" s="9"/>
      <c r="EQ19" s="3" t="s">
        <v>353</v>
      </c>
      <c r="ER19">
        <v>1</v>
      </c>
      <c r="FD19" s="9"/>
      <c r="FG19" s="3" t="s">
        <v>354</v>
      </c>
      <c r="FH19">
        <v>1</v>
      </c>
      <c r="FT19" s="9"/>
      <c r="FW19" s="3" t="s">
        <v>355</v>
      </c>
      <c r="FX19">
        <v>1</v>
      </c>
      <c r="GJ19" s="9"/>
      <c r="GM19" s="3" t="s">
        <v>356</v>
      </c>
      <c r="GN19">
        <v>0</v>
      </c>
      <c r="GZ19" s="9"/>
      <c r="HC19" s="3" t="s">
        <v>357</v>
      </c>
      <c r="HD19">
        <v>1</v>
      </c>
      <c r="HP19" s="9"/>
      <c r="HS19" s="3" t="s">
        <v>358</v>
      </c>
      <c r="HT19">
        <v>0</v>
      </c>
      <c r="IF19" s="9"/>
      <c r="II19" s="3" t="s">
        <v>359</v>
      </c>
      <c r="IJ19">
        <v>1</v>
      </c>
      <c r="IV19" s="9"/>
      <c r="IY19" s="3" t="s">
        <v>361</v>
      </c>
      <c r="IZ19">
        <v>0</v>
      </c>
      <c r="JL19" s="9"/>
      <c r="JO19" s="3" t="s">
        <v>363</v>
      </c>
      <c r="JP19">
        <v>1</v>
      </c>
      <c r="KB19" s="9"/>
      <c r="KE19" s="3" t="s">
        <v>1504</v>
      </c>
      <c r="KF19">
        <v>1</v>
      </c>
      <c r="KR19" s="9"/>
      <c r="KU19" s="3" t="s">
        <v>1505</v>
      </c>
      <c r="KV19">
        <v>1</v>
      </c>
      <c r="LH19" s="9"/>
      <c r="LK19" s="3" t="s">
        <v>1506</v>
      </c>
      <c r="LL19">
        <v>1</v>
      </c>
      <c r="LX19" s="9"/>
      <c r="MA19" s="3" t="s">
        <v>1507</v>
      </c>
      <c r="MB19">
        <v>1</v>
      </c>
      <c r="MN19" s="9"/>
      <c r="MQ19" s="3" t="s">
        <v>1508</v>
      </c>
      <c r="MR19">
        <v>1</v>
      </c>
      <c r="ND19" s="9"/>
      <c r="NG19" s="3" t="s">
        <v>1509</v>
      </c>
      <c r="NH19">
        <v>1</v>
      </c>
      <c r="NT19" s="9"/>
      <c r="NW19" s="3" t="s">
        <v>1510</v>
      </c>
      <c r="NX19">
        <v>1</v>
      </c>
      <c r="OJ19" s="9"/>
      <c r="OY19" s="3"/>
      <c r="PM19" s="3"/>
      <c r="QA19" s="3"/>
      <c r="QO19" s="3"/>
      <c r="RC19" s="3"/>
      <c r="SE19" s="3"/>
    </row>
    <row r="20" spans="1:499" x14ac:dyDescent="0.2">
      <c r="A20" s="3" t="s">
        <v>1872</v>
      </c>
      <c r="O20" s="3"/>
      <c r="AG20" s="3"/>
      <c r="AY20" s="3" t="s">
        <v>1873</v>
      </c>
      <c r="AZ20">
        <v>0</v>
      </c>
      <c r="BL20" s="9"/>
      <c r="BO20" s="3" t="s">
        <v>1874</v>
      </c>
      <c r="BP20">
        <v>0</v>
      </c>
      <c r="CB20" s="9"/>
      <c r="CE20" s="3" t="s">
        <v>1875</v>
      </c>
      <c r="CF20">
        <v>0</v>
      </c>
      <c r="CR20" s="9"/>
      <c r="CU20" s="3" t="s">
        <v>1876</v>
      </c>
      <c r="CV20">
        <v>0</v>
      </c>
      <c r="DH20" s="9"/>
      <c r="DK20" s="3" t="s">
        <v>1877</v>
      </c>
      <c r="DL20">
        <v>0</v>
      </c>
      <c r="DX20" s="9"/>
      <c r="EA20" s="3" t="s">
        <v>1878</v>
      </c>
      <c r="EB20">
        <v>0</v>
      </c>
      <c r="EN20" s="9"/>
      <c r="EQ20" s="3" t="s">
        <v>1879</v>
      </c>
      <c r="ER20">
        <v>0</v>
      </c>
      <c r="FD20" s="9"/>
      <c r="FG20" s="3" t="s">
        <v>1880</v>
      </c>
      <c r="FH20">
        <v>0</v>
      </c>
      <c r="FT20" s="9"/>
      <c r="FW20" s="3" t="s">
        <v>1881</v>
      </c>
      <c r="FX20">
        <v>0</v>
      </c>
      <c r="GJ20" s="9"/>
      <c r="GM20" s="3" t="s">
        <v>1882</v>
      </c>
      <c r="GN20">
        <v>0</v>
      </c>
      <c r="GZ20" s="9"/>
      <c r="HC20" s="3" t="s">
        <v>1883</v>
      </c>
      <c r="HD20">
        <v>0</v>
      </c>
      <c r="HP20" s="9"/>
      <c r="HS20" s="3" t="s">
        <v>1884</v>
      </c>
      <c r="HT20">
        <v>0</v>
      </c>
      <c r="IF20" s="9"/>
      <c r="II20" s="3" t="s">
        <v>1885</v>
      </c>
      <c r="IJ20">
        <v>0</v>
      </c>
      <c r="IV20" s="9"/>
      <c r="IY20" s="3" t="s">
        <v>1886</v>
      </c>
      <c r="IZ20">
        <v>0</v>
      </c>
      <c r="JL20" s="9"/>
      <c r="JO20" s="3" t="s">
        <v>1887</v>
      </c>
      <c r="JP20">
        <v>0</v>
      </c>
      <c r="KB20" s="9"/>
      <c r="KE20" s="3" t="s">
        <v>1888</v>
      </c>
      <c r="KF20">
        <v>0</v>
      </c>
      <c r="KR20" s="9"/>
      <c r="KU20" s="3" t="s">
        <v>1889</v>
      </c>
      <c r="KV20">
        <v>0</v>
      </c>
      <c r="LH20" s="9"/>
      <c r="LK20" s="3" t="s">
        <v>1890</v>
      </c>
      <c r="LL20">
        <v>0</v>
      </c>
      <c r="LX20" s="9"/>
      <c r="MA20" s="3" t="s">
        <v>1891</v>
      </c>
      <c r="MB20">
        <v>0</v>
      </c>
      <c r="MN20" s="9"/>
      <c r="MQ20" s="3" t="s">
        <v>1892</v>
      </c>
      <c r="MR20">
        <v>0</v>
      </c>
      <c r="ND20" s="9"/>
      <c r="NG20" s="3" t="s">
        <v>1893</v>
      </c>
      <c r="NH20">
        <v>0</v>
      </c>
      <c r="NT20" s="9"/>
      <c r="NW20" s="3" t="s">
        <v>1894</v>
      </c>
      <c r="NX20">
        <v>0</v>
      </c>
      <c r="OJ20" s="9"/>
      <c r="OY20" s="3"/>
      <c r="PM20" s="3"/>
      <c r="QA20" s="3"/>
      <c r="QO20" s="3"/>
      <c r="RC20" s="3"/>
      <c r="SE20" s="3"/>
    </row>
    <row r="21" spans="1:499" x14ac:dyDescent="0.2">
      <c r="BL21" s="9"/>
      <c r="CB21" s="9"/>
      <c r="CR21" s="9"/>
      <c r="DH21" s="9"/>
      <c r="DX21" s="9"/>
      <c r="EN21" s="9"/>
      <c r="FD21" s="9"/>
      <c r="FT21" s="9"/>
      <c r="GJ21" s="9"/>
      <c r="GZ21" s="9"/>
      <c r="HP21" s="9"/>
      <c r="IF21" s="9"/>
      <c r="IV21" s="9"/>
      <c r="JL21" s="9"/>
      <c r="KB21" s="9"/>
      <c r="KR21" s="9"/>
      <c r="LH21" s="9"/>
      <c r="LX21" s="9"/>
      <c r="MN21" s="9"/>
      <c r="ND21" s="9"/>
      <c r="NT21" s="9"/>
      <c r="OJ21" s="9"/>
    </row>
    <row r="22" spans="1:499" hidden="1" x14ac:dyDescent="0.2">
      <c r="BL22" s="9"/>
      <c r="CB22" s="9"/>
      <c r="CR22" s="9"/>
      <c r="DH22" s="9"/>
      <c r="DX22" s="9"/>
      <c r="EN22" s="9"/>
      <c r="FD22" s="9"/>
      <c r="FT22" s="9"/>
      <c r="GJ22" s="9"/>
      <c r="GZ22" s="9"/>
      <c r="HP22" s="9"/>
      <c r="IF22" s="9"/>
      <c r="IV22" s="9"/>
      <c r="JL22" s="9"/>
      <c r="KB22" s="9"/>
      <c r="KR22" s="9"/>
      <c r="LH22" s="9"/>
      <c r="LX22" s="9"/>
      <c r="MN22" s="9"/>
      <c r="ND22" s="9"/>
      <c r="NT22" s="9"/>
      <c r="OJ22" s="9"/>
    </row>
    <row r="23" spans="1:499" hidden="1" x14ac:dyDescent="0.2">
      <c r="BL23" s="9"/>
      <c r="CB23" s="9"/>
      <c r="CR23" s="9"/>
      <c r="DH23" s="9"/>
      <c r="DX23" s="9"/>
      <c r="EN23" s="9"/>
      <c r="FD23" s="9"/>
      <c r="FT23" s="9"/>
      <c r="GJ23" s="9"/>
      <c r="GZ23" s="9"/>
      <c r="HP23" s="9"/>
      <c r="IF23" s="9"/>
      <c r="IV23" s="9"/>
      <c r="JL23" s="9"/>
      <c r="KB23" s="9"/>
      <c r="KR23" s="9"/>
      <c r="LH23" s="9"/>
      <c r="LX23" s="9"/>
      <c r="MN23" s="9"/>
      <c r="ND23" s="9"/>
      <c r="NT23" s="9"/>
      <c r="OJ23" s="9"/>
    </row>
    <row r="24" spans="1:499" hidden="1" x14ac:dyDescent="0.2">
      <c r="BL24" s="9"/>
      <c r="CB24" s="9"/>
      <c r="CR24" s="9"/>
      <c r="DH24" s="9"/>
      <c r="DX24" s="9"/>
      <c r="EN24" s="9"/>
      <c r="FD24" s="9"/>
      <c r="FT24" s="9"/>
      <c r="GJ24" s="9"/>
      <c r="GZ24" s="9"/>
      <c r="HP24" s="9"/>
      <c r="IF24" s="9"/>
      <c r="IV24" s="9"/>
      <c r="JL24" s="9"/>
      <c r="KB24" s="9"/>
      <c r="KR24" s="9"/>
      <c r="LH24" s="9"/>
      <c r="LX24" s="9"/>
      <c r="MN24" s="9"/>
      <c r="ND24" s="9"/>
      <c r="NT24" s="9"/>
      <c r="OJ24" s="9"/>
    </row>
    <row r="25" spans="1:499" hidden="1" x14ac:dyDescent="0.2">
      <c r="BL25" s="9"/>
      <c r="CB25" s="9"/>
      <c r="CR25" s="9"/>
      <c r="DH25" s="9"/>
      <c r="DX25" s="9"/>
      <c r="EN25" s="9"/>
      <c r="FD25" s="9"/>
      <c r="FT25" s="9"/>
      <c r="GJ25" s="9"/>
      <c r="GZ25" s="9"/>
      <c r="HP25" s="9"/>
      <c r="IF25" s="9"/>
      <c r="IV25" s="9"/>
      <c r="JL25" s="9"/>
      <c r="KB25" s="9"/>
      <c r="KR25" s="9"/>
      <c r="LH25" s="9"/>
      <c r="LX25" s="9"/>
      <c r="MN25" s="9"/>
      <c r="ND25" s="9"/>
      <c r="NT25" s="9"/>
      <c r="OJ25" s="9"/>
    </row>
    <row r="26" spans="1:499" hidden="1" x14ac:dyDescent="0.2">
      <c r="BL26" s="9"/>
      <c r="CB26" s="9"/>
      <c r="CR26" s="9"/>
      <c r="DH26" s="9"/>
      <c r="DX26" s="9"/>
      <c r="EN26" s="9"/>
      <c r="FD26" s="9"/>
      <c r="FT26" s="9"/>
      <c r="GJ26" s="9"/>
      <c r="GZ26" s="9"/>
      <c r="HP26" s="9"/>
      <c r="IF26" s="9"/>
      <c r="IV26" s="9"/>
      <c r="JL26" s="9"/>
      <c r="KB26" s="9"/>
      <c r="KR26" s="9"/>
      <c r="LH26" s="9"/>
      <c r="LX26" s="9"/>
      <c r="MN26" s="9"/>
      <c r="ND26" s="9"/>
      <c r="NT26" s="9"/>
      <c r="OJ26" s="9"/>
    </row>
    <row r="27" spans="1:499" hidden="1" x14ac:dyDescent="0.2">
      <c r="BL27" s="9"/>
      <c r="CB27" s="9"/>
      <c r="CR27" s="9"/>
      <c r="DH27" s="9"/>
      <c r="DX27" s="9"/>
      <c r="EN27" s="9"/>
      <c r="FD27" s="9"/>
      <c r="FT27" s="9"/>
      <c r="GJ27" s="9"/>
      <c r="GZ27" s="9"/>
      <c r="HP27" s="9"/>
      <c r="IF27" s="9"/>
      <c r="IV27" s="9"/>
      <c r="JL27" s="9"/>
      <c r="KB27" s="9"/>
      <c r="KR27" s="9"/>
      <c r="LH27" s="9"/>
      <c r="LX27" s="9"/>
      <c r="MN27" s="9"/>
      <c r="ND27" s="9"/>
      <c r="NT27" s="9"/>
      <c r="OJ27" s="9"/>
    </row>
    <row r="28" spans="1:499" hidden="1" x14ac:dyDescent="0.2">
      <c r="BL28" s="9"/>
      <c r="CB28" s="9"/>
      <c r="CR28" s="9"/>
      <c r="DH28" s="9"/>
      <c r="DX28" s="9"/>
      <c r="EN28" s="9"/>
      <c r="FD28" s="9"/>
      <c r="FT28" s="9"/>
      <c r="GJ28" s="9"/>
      <c r="GZ28" s="9"/>
      <c r="HP28" s="9"/>
      <c r="IF28" s="9"/>
      <c r="IV28" s="9"/>
      <c r="JL28" s="9"/>
      <c r="KB28" s="9"/>
      <c r="KR28" s="9"/>
      <c r="LH28" s="9"/>
      <c r="LX28" s="9"/>
      <c r="MN28" s="9"/>
      <c r="ND28" s="9"/>
      <c r="NT28" s="9"/>
      <c r="OJ28" s="9"/>
    </row>
    <row r="29" spans="1:499" hidden="1" x14ac:dyDescent="0.2">
      <c r="BL29" s="9"/>
      <c r="CB29" s="9"/>
      <c r="CR29" s="9"/>
      <c r="DH29" s="9"/>
      <c r="DX29" s="9"/>
      <c r="EN29" s="9"/>
      <c r="FD29" s="9"/>
      <c r="FT29" s="9"/>
      <c r="GJ29" s="9"/>
      <c r="GZ29" s="9"/>
      <c r="HP29" s="9"/>
      <c r="IF29" s="9"/>
      <c r="IV29" s="9"/>
      <c r="JL29" s="9"/>
      <c r="KB29" s="9"/>
      <c r="KR29" s="9"/>
      <c r="LH29" s="9"/>
      <c r="LX29" s="9"/>
      <c r="MN29" s="9"/>
      <c r="ND29" s="9"/>
      <c r="NT29" s="9"/>
      <c r="OJ29" s="9"/>
    </row>
    <row r="30" spans="1:499" hidden="1" x14ac:dyDescent="0.2">
      <c r="BL30" s="9"/>
      <c r="CB30" s="9"/>
      <c r="CR30" s="9"/>
      <c r="DH30" s="9"/>
      <c r="DX30" s="9"/>
      <c r="EN30" s="9"/>
      <c r="FD30" s="9"/>
      <c r="FT30" s="9"/>
      <c r="GJ30" s="9"/>
      <c r="GZ30" s="9"/>
      <c r="HP30" s="9"/>
      <c r="IF30" s="9"/>
      <c r="IV30" s="9"/>
      <c r="JL30" s="9"/>
      <c r="KB30" s="9"/>
      <c r="KR30" s="9"/>
      <c r="LH30" s="9"/>
      <c r="LX30" s="9"/>
      <c r="MN30" s="9"/>
      <c r="ND30" s="9"/>
      <c r="NT30" s="9"/>
      <c r="OJ30" s="9"/>
    </row>
    <row r="31" spans="1:499" hidden="1" x14ac:dyDescent="0.2">
      <c r="BL31" s="9"/>
      <c r="CB31" s="9"/>
      <c r="CR31" s="9"/>
      <c r="DH31" s="9"/>
      <c r="DX31" s="9"/>
      <c r="EN31" s="9"/>
      <c r="FD31" s="9"/>
      <c r="FT31" s="9"/>
      <c r="GJ31" s="9"/>
      <c r="GZ31" s="9"/>
      <c r="HP31" s="9"/>
      <c r="IF31" s="9"/>
      <c r="IV31" s="9"/>
      <c r="JL31" s="9"/>
      <c r="KB31" s="9"/>
      <c r="KR31" s="9"/>
      <c r="LH31" s="9"/>
      <c r="LX31" s="9"/>
      <c r="MN31" s="9"/>
      <c r="ND31" s="9"/>
      <c r="NT31" s="9"/>
      <c r="OJ31" s="9"/>
    </row>
    <row r="32" spans="1:499" hidden="1" x14ac:dyDescent="0.2">
      <c r="BL32" s="9"/>
      <c r="CB32" s="9"/>
      <c r="CR32" s="9"/>
      <c r="DH32" s="9"/>
      <c r="DX32" s="9"/>
      <c r="EN32" s="9"/>
      <c r="FD32" s="9"/>
      <c r="FT32" s="9"/>
      <c r="GJ32" s="9"/>
      <c r="GZ32" s="9"/>
      <c r="HP32" s="9"/>
      <c r="IF32" s="9"/>
      <c r="IV32" s="9"/>
      <c r="JL32" s="9"/>
      <c r="KB32" s="9"/>
      <c r="KR32" s="9"/>
      <c r="LH32" s="9"/>
      <c r="LX32" s="9"/>
      <c r="MN32" s="9"/>
      <c r="ND32" s="9"/>
      <c r="NT32" s="9"/>
      <c r="OJ32" s="9"/>
    </row>
    <row r="33" spans="64:400" hidden="1" x14ac:dyDescent="0.2">
      <c r="BL33" s="9"/>
      <c r="CB33" s="9"/>
      <c r="CR33" s="9"/>
      <c r="DH33" s="9"/>
      <c r="DX33" s="9"/>
      <c r="EN33" s="9"/>
      <c r="FD33" s="9"/>
      <c r="FT33" s="9"/>
      <c r="GJ33" s="9"/>
      <c r="GZ33" s="9"/>
      <c r="HP33" s="9"/>
      <c r="IF33" s="9"/>
      <c r="IV33" s="9"/>
      <c r="JL33" s="9"/>
      <c r="KB33" s="9"/>
      <c r="KR33" s="9"/>
      <c r="LH33" s="9"/>
      <c r="LX33" s="9"/>
      <c r="MN33" s="9"/>
      <c r="ND33" s="9"/>
      <c r="NT33" s="9"/>
      <c r="OJ33" s="9"/>
    </row>
    <row r="34" spans="64:400" hidden="1" x14ac:dyDescent="0.2">
      <c r="BL34" s="9"/>
      <c r="CB34" s="9"/>
      <c r="CR34" s="9"/>
      <c r="DH34" s="9"/>
      <c r="DX34" s="9"/>
      <c r="EN34" s="9"/>
      <c r="FD34" s="9"/>
      <c r="FT34" s="9"/>
      <c r="GJ34" s="9"/>
      <c r="GZ34" s="9"/>
      <c r="HP34" s="9"/>
      <c r="IF34" s="9"/>
      <c r="IV34" s="9"/>
      <c r="JL34" s="9"/>
      <c r="KB34" s="9"/>
      <c r="KR34" s="9"/>
      <c r="LH34" s="9"/>
      <c r="LX34" s="9"/>
      <c r="MN34" s="9"/>
      <c r="ND34" s="9"/>
      <c r="NT34" s="9"/>
      <c r="OJ34" s="9"/>
    </row>
    <row r="35" spans="64:400" hidden="1" x14ac:dyDescent="0.2">
      <c r="BL35" s="9"/>
      <c r="CB35" s="9"/>
      <c r="CR35" s="9"/>
      <c r="DH35" s="9"/>
      <c r="DX35" s="9"/>
      <c r="EN35" s="9"/>
      <c r="FD35" s="9"/>
      <c r="FT35" s="9"/>
      <c r="GJ35" s="9"/>
      <c r="GZ35" s="9"/>
      <c r="HP35" s="9"/>
      <c r="IF35" s="9"/>
      <c r="IV35" s="9"/>
      <c r="JL35" s="9"/>
      <c r="KB35" s="9"/>
      <c r="KR35" s="9"/>
      <c r="LH35" s="9"/>
      <c r="LX35" s="9"/>
      <c r="MN35" s="9"/>
      <c r="ND35" s="9"/>
      <c r="NT35" s="9"/>
      <c r="OJ35" s="9"/>
    </row>
    <row r="36" spans="64:400" hidden="1" x14ac:dyDescent="0.2">
      <c r="BL36" s="9"/>
      <c r="CB36" s="9"/>
      <c r="CR36" s="9"/>
      <c r="DH36" s="9"/>
      <c r="DX36" s="9"/>
      <c r="EN36" s="9"/>
      <c r="FD36" s="9"/>
      <c r="FT36" s="9"/>
      <c r="GJ36" s="9"/>
      <c r="GZ36" s="9"/>
      <c r="HP36" s="9"/>
      <c r="IF36" s="9"/>
      <c r="IV36" s="9"/>
      <c r="JL36" s="9"/>
      <c r="KB36" s="9"/>
      <c r="KR36" s="9"/>
      <c r="LH36" s="9"/>
      <c r="LX36" s="9"/>
      <c r="MN36" s="9"/>
      <c r="ND36" s="9"/>
      <c r="NT36" s="9"/>
      <c r="OJ36" s="9"/>
    </row>
    <row r="37" spans="64:400" hidden="1" x14ac:dyDescent="0.2">
      <c r="BL37" s="9"/>
      <c r="CB37" s="9"/>
      <c r="CR37" s="9"/>
      <c r="DH37" s="9"/>
      <c r="DX37" s="9"/>
      <c r="EN37" s="9"/>
      <c r="FD37" s="9"/>
      <c r="FT37" s="9"/>
      <c r="GJ37" s="9"/>
      <c r="GZ37" s="9"/>
      <c r="HP37" s="9"/>
      <c r="IF37" s="9"/>
      <c r="IV37" s="9"/>
      <c r="JL37" s="9"/>
      <c r="KB37" s="9"/>
      <c r="KR37" s="9"/>
      <c r="LH37" s="9"/>
      <c r="LX37" s="9"/>
      <c r="MN37" s="9"/>
      <c r="ND37" s="9"/>
      <c r="NT37" s="9"/>
      <c r="OJ37" s="9"/>
    </row>
    <row r="38" spans="64:400" hidden="1" x14ac:dyDescent="0.2">
      <c r="BL38" s="9"/>
      <c r="CB38" s="9"/>
      <c r="CR38" s="9"/>
      <c r="DH38" s="9"/>
      <c r="DX38" s="9"/>
      <c r="EN38" s="9"/>
      <c r="FD38" s="9"/>
      <c r="FT38" s="9"/>
      <c r="GJ38" s="9"/>
      <c r="GZ38" s="9"/>
      <c r="HP38" s="9"/>
      <c r="IF38" s="9"/>
      <c r="IV38" s="9"/>
      <c r="JL38" s="9"/>
      <c r="KB38" s="9"/>
      <c r="KR38" s="9"/>
      <c r="LH38" s="9"/>
      <c r="LX38" s="9"/>
      <c r="MN38" s="9"/>
      <c r="ND38" s="9"/>
      <c r="NT38" s="9"/>
      <c r="OJ38" s="9"/>
    </row>
    <row r="39" spans="64:400" hidden="1" x14ac:dyDescent="0.2">
      <c r="BL39" s="9"/>
      <c r="CB39" s="9"/>
      <c r="CR39" s="9"/>
      <c r="DH39" s="9"/>
      <c r="DX39" s="9"/>
      <c r="EN39" s="9"/>
      <c r="FD39" s="9"/>
      <c r="FT39" s="9"/>
      <c r="GJ39" s="9"/>
      <c r="GZ39" s="9"/>
      <c r="HP39" s="9"/>
      <c r="IF39" s="9"/>
      <c r="IV39" s="9"/>
      <c r="JL39" s="9"/>
      <c r="KB39" s="9"/>
      <c r="KR39" s="9"/>
      <c r="LH39" s="9"/>
      <c r="LX39" s="9"/>
      <c r="MN39" s="9"/>
      <c r="ND39" s="9"/>
      <c r="NT39" s="9"/>
      <c r="OJ39" s="9"/>
    </row>
    <row r="40" spans="64:400" hidden="1" x14ac:dyDescent="0.2">
      <c r="BL40" s="9"/>
      <c r="CB40" s="9"/>
      <c r="CR40" s="9"/>
      <c r="DH40" s="9"/>
      <c r="DX40" s="9"/>
      <c r="EN40" s="9"/>
      <c r="FD40" s="9"/>
      <c r="FT40" s="9"/>
      <c r="GJ40" s="9"/>
      <c r="GZ40" s="9"/>
      <c r="HP40" s="9"/>
      <c r="IF40" s="9"/>
      <c r="IV40" s="9"/>
      <c r="JL40" s="9"/>
      <c r="KB40" s="9"/>
      <c r="KR40" s="9"/>
      <c r="LH40" s="9"/>
      <c r="LX40" s="9"/>
      <c r="MN40" s="9"/>
      <c r="ND40" s="9"/>
      <c r="NT40" s="9"/>
      <c r="OJ40" s="9"/>
    </row>
    <row r="41" spans="64:400" hidden="1" x14ac:dyDescent="0.2">
      <c r="BL41" s="9"/>
      <c r="CB41" s="9"/>
      <c r="CR41" s="9"/>
      <c r="DH41" s="9"/>
      <c r="DX41" s="9"/>
      <c r="EN41" s="9"/>
      <c r="FD41" s="9"/>
      <c r="FT41" s="9"/>
      <c r="GJ41" s="9"/>
      <c r="GZ41" s="9"/>
      <c r="HP41" s="9"/>
      <c r="IF41" s="9"/>
      <c r="IV41" s="9"/>
      <c r="JL41" s="9"/>
      <c r="KB41" s="9"/>
      <c r="KR41" s="9"/>
      <c r="LH41" s="9"/>
      <c r="LX41" s="9"/>
      <c r="MN41" s="9"/>
      <c r="ND41" s="9"/>
      <c r="NT41" s="9"/>
      <c r="OJ41" s="9"/>
    </row>
    <row r="42" spans="64:400" hidden="1" x14ac:dyDescent="0.2">
      <c r="BL42" s="9"/>
      <c r="CB42" s="9"/>
      <c r="CR42" s="9"/>
      <c r="DH42" s="9"/>
      <c r="DX42" s="9"/>
      <c r="EN42" s="9"/>
      <c r="FD42" s="9"/>
      <c r="FT42" s="9"/>
      <c r="GJ42" s="9"/>
      <c r="GZ42" s="9"/>
      <c r="HP42" s="9"/>
      <c r="IF42" s="9"/>
      <c r="IV42" s="9"/>
      <c r="JL42" s="9"/>
      <c r="KB42" s="9"/>
      <c r="KR42" s="9"/>
      <c r="LH42" s="9"/>
      <c r="LX42" s="9"/>
      <c r="MN42" s="9"/>
      <c r="ND42" s="9"/>
      <c r="NT42" s="9"/>
      <c r="OJ42" s="9"/>
    </row>
    <row r="43" spans="64:400" hidden="1" x14ac:dyDescent="0.2">
      <c r="BL43" s="9"/>
      <c r="CB43" s="9"/>
      <c r="CR43" s="9"/>
      <c r="DH43" s="9"/>
      <c r="DX43" s="9"/>
      <c r="EN43" s="9"/>
      <c r="FD43" s="9"/>
      <c r="FT43" s="9"/>
      <c r="GJ43" s="9"/>
      <c r="GZ43" s="9"/>
      <c r="HP43" s="9"/>
      <c r="IF43" s="9"/>
      <c r="IV43" s="9"/>
      <c r="JL43" s="9"/>
      <c r="KB43" s="9"/>
      <c r="KR43" s="9"/>
      <c r="LH43" s="9"/>
      <c r="LX43" s="9"/>
      <c r="MN43" s="9"/>
      <c r="ND43" s="9"/>
      <c r="NT43" s="9"/>
      <c r="OJ43" s="9"/>
    </row>
    <row r="44" spans="64:400" hidden="1" x14ac:dyDescent="0.2">
      <c r="BL44" s="9"/>
      <c r="CB44" s="9"/>
      <c r="CR44" s="9"/>
      <c r="DH44" s="9"/>
      <c r="DX44" s="9"/>
      <c r="EN44" s="9"/>
      <c r="FD44" s="9"/>
      <c r="FT44" s="9"/>
      <c r="GJ44" s="9"/>
      <c r="GZ44" s="9"/>
      <c r="HP44" s="9"/>
      <c r="IF44" s="9"/>
      <c r="IV44" s="9"/>
      <c r="JL44" s="9"/>
      <c r="KB44" s="9"/>
      <c r="KR44" s="9"/>
      <c r="LH44" s="9"/>
      <c r="LX44" s="9"/>
      <c r="MN44" s="9"/>
      <c r="ND44" s="9"/>
      <c r="NT44" s="9"/>
      <c r="OJ44" s="9"/>
    </row>
    <row r="45" spans="64:400" hidden="1" x14ac:dyDescent="0.2">
      <c r="BL45" s="9"/>
      <c r="CB45" s="9"/>
      <c r="CR45" s="9"/>
      <c r="DH45" s="9"/>
      <c r="DX45" s="9"/>
      <c r="EN45" s="9"/>
      <c r="FD45" s="9"/>
      <c r="FT45" s="9"/>
      <c r="GJ45" s="9"/>
      <c r="GZ45" s="9"/>
      <c r="HP45" s="9"/>
      <c r="IF45" s="9"/>
      <c r="IV45" s="9"/>
      <c r="JL45" s="9"/>
      <c r="KB45" s="9"/>
      <c r="KR45" s="9"/>
      <c r="LH45" s="9"/>
      <c r="LX45" s="9"/>
      <c r="MN45" s="9"/>
      <c r="ND45" s="9"/>
      <c r="NT45" s="9"/>
      <c r="OJ45" s="9"/>
    </row>
    <row r="46" spans="64:400" hidden="1" x14ac:dyDescent="0.2">
      <c r="BL46" s="9"/>
      <c r="CB46" s="9"/>
      <c r="CR46" s="9"/>
      <c r="DH46" s="9"/>
      <c r="DX46" s="9"/>
      <c r="EN46" s="9"/>
      <c r="FD46" s="9"/>
      <c r="FT46" s="9"/>
      <c r="GJ46" s="9"/>
      <c r="GZ46" s="9"/>
      <c r="HP46" s="9"/>
      <c r="IF46" s="9"/>
      <c r="IV46" s="9"/>
      <c r="JL46" s="9"/>
      <c r="KB46" s="9"/>
      <c r="KR46" s="9"/>
      <c r="LH46" s="9"/>
      <c r="LX46" s="9"/>
      <c r="MN46" s="9"/>
      <c r="ND46" s="9"/>
      <c r="NT46" s="9"/>
      <c r="OJ46" s="9"/>
    </row>
    <row r="47" spans="64:400" hidden="1" x14ac:dyDescent="0.2">
      <c r="BL47" s="9"/>
      <c r="CB47" s="9"/>
      <c r="CR47" s="9"/>
      <c r="DH47" s="9"/>
      <c r="DX47" s="9"/>
      <c r="EN47" s="9"/>
      <c r="FD47" s="9"/>
      <c r="FT47" s="9"/>
      <c r="GJ47" s="9"/>
      <c r="GZ47" s="9"/>
      <c r="HP47" s="9"/>
      <c r="IF47" s="9"/>
      <c r="IV47" s="9"/>
      <c r="JL47" s="9"/>
      <c r="KB47" s="9"/>
      <c r="KR47" s="9"/>
      <c r="LH47" s="9"/>
      <c r="LX47" s="9"/>
      <c r="MN47" s="9"/>
      <c r="ND47" s="9"/>
      <c r="NT47" s="9"/>
      <c r="OJ47" s="9"/>
    </row>
    <row r="48" spans="64:400" hidden="1" x14ac:dyDescent="0.2">
      <c r="BL48" s="9"/>
      <c r="CB48" s="9"/>
      <c r="CR48" s="9"/>
      <c r="DH48" s="9"/>
      <c r="DX48" s="9"/>
      <c r="EN48" s="9"/>
      <c r="FD48" s="9"/>
      <c r="FT48" s="9"/>
      <c r="GJ48" s="9"/>
      <c r="GZ48" s="9"/>
      <c r="HP48" s="9"/>
      <c r="IF48" s="9"/>
      <c r="IV48" s="9"/>
      <c r="JL48" s="9"/>
      <c r="KB48" s="9"/>
      <c r="KR48" s="9"/>
      <c r="LH48" s="9"/>
      <c r="LX48" s="9"/>
      <c r="MN48" s="9"/>
      <c r="ND48" s="9"/>
      <c r="NT48" s="9"/>
      <c r="OJ48" s="9"/>
    </row>
    <row r="49" spans="1:401" hidden="1" x14ac:dyDescent="0.2">
      <c r="BL49" s="9"/>
      <c r="CB49" s="9"/>
      <c r="CR49" s="9"/>
      <c r="DH49" s="9"/>
      <c r="DX49" s="9"/>
      <c r="EN49" s="9"/>
      <c r="FD49" s="9"/>
      <c r="FT49" s="9"/>
      <c r="GJ49" s="9"/>
      <c r="GZ49" s="9"/>
      <c r="HP49" s="9"/>
      <c r="IF49" s="9"/>
      <c r="IV49" s="9"/>
      <c r="JL49" s="9"/>
      <c r="KB49" s="9"/>
      <c r="KR49" s="9"/>
      <c r="LH49" s="9"/>
      <c r="LX49" s="9"/>
      <c r="MN49" s="9"/>
      <c r="ND49" s="9"/>
      <c r="NT49" s="9"/>
      <c r="OJ49" s="9"/>
    </row>
    <row r="50" spans="1:401" hidden="1" x14ac:dyDescent="0.2">
      <c r="BL50" s="9"/>
      <c r="CB50" s="9"/>
      <c r="CR50" s="9"/>
      <c r="DH50" s="9"/>
      <c r="DX50" s="9"/>
      <c r="EN50" s="9"/>
      <c r="FD50" s="9"/>
      <c r="FT50" s="9"/>
      <c r="GJ50" s="9"/>
      <c r="GZ50" s="9"/>
      <c r="HP50" s="9"/>
      <c r="IF50" s="9"/>
      <c r="IV50" s="9"/>
      <c r="JL50" s="9"/>
      <c r="KB50" s="9"/>
      <c r="KR50" s="9"/>
      <c r="LH50" s="9"/>
      <c r="LX50" s="9"/>
      <c r="MN50" s="9"/>
      <c r="ND50" s="9"/>
      <c r="NT50" s="9"/>
      <c r="OJ50" s="9"/>
    </row>
    <row r="51" spans="1:401" hidden="1" x14ac:dyDescent="0.2">
      <c r="BL51" s="9"/>
      <c r="CB51" s="9"/>
      <c r="CR51" s="9"/>
      <c r="DH51" s="9"/>
      <c r="DX51" s="9"/>
      <c r="EN51" s="9"/>
      <c r="FD51" s="9"/>
      <c r="FT51" s="9"/>
      <c r="GJ51" s="9"/>
      <c r="GZ51" s="9"/>
      <c r="HP51" s="9"/>
      <c r="IF51" s="9"/>
      <c r="IV51" s="9"/>
      <c r="JL51" s="9"/>
      <c r="KB51" s="9"/>
      <c r="KR51" s="9"/>
      <c r="LH51" s="9"/>
      <c r="LX51" s="9"/>
      <c r="MN51" s="9"/>
      <c r="ND51" s="9"/>
      <c r="NT51" s="9"/>
      <c r="OJ51" s="9"/>
    </row>
    <row r="52" spans="1:401" hidden="1" x14ac:dyDescent="0.2">
      <c r="BL52" s="9"/>
      <c r="CB52" s="9"/>
      <c r="CR52" s="9"/>
      <c r="DH52" s="9"/>
      <c r="DX52" s="9"/>
      <c r="EN52" s="9"/>
      <c r="FD52" s="9"/>
      <c r="FT52" s="9"/>
      <c r="GJ52" s="9"/>
      <c r="GZ52" s="9"/>
      <c r="HP52" s="9"/>
      <c r="IF52" s="9"/>
      <c r="IV52" s="9"/>
      <c r="JL52" s="9"/>
      <c r="KB52" s="9"/>
      <c r="KR52" s="9"/>
      <c r="LH52" s="9"/>
      <c r="LX52" s="9"/>
      <c r="MN52" s="9"/>
      <c r="ND52" s="9"/>
      <c r="NT52" s="9"/>
      <c r="OJ52" s="9"/>
    </row>
    <row r="53" spans="1:401" hidden="1" x14ac:dyDescent="0.2">
      <c r="BL53" s="9"/>
      <c r="CB53" s="9"/>
      <c r="CR53" s="9"/>
      <c r="DH53" s="9"/>
      <c r="DX53" s="9"/>
      <c r="EN53" s="9"/>
      <c r="FD53" s="9"/>
      <c r="FT53" s="9"/>
      <c r="GJ53" s="9"/>
      <c r="GZ53" s="9"/>
      <c r="HP53" s="9"/>
      <c r="IF53" s="9"/>
      <c r="IV53" s="9"/>
      <c r="JL53" s="9"/>
      <c r="KB53" s="9"/>
      <c r="KR53" s="9"/>
      <c r="LH53" s="9"/>
      <c r="LX53" s="9"/>
      <c r="MN53" s="9"/>
      <c r="ND53" s="9"/>
      <c r="NT53" s="9"/>
      <c r="OJ53" s="9"/>
    </row>
    <row r="54" spans="1:401" hidden="1" x14ac:dyDescent="0.2">
      <c r="BL54" s="9"/>
      <c r="CB54" s="9"/>
      <c r="CR54" s="9"/>
      <c r="DH54" s="9"/>
      <c r="DX54" s="9"/>
      <c r="EN54" s="9"/>
      <c r="FD54" s="9"/>
      <c r="FT54" s="9"/>
      <c r="GJ54" s="9"/>
      <c r="GZ54" s="9"/>
      <c r="HP54" s="9"/>
      <c r="IF54" s="9"/>
      <c r="IV54" s="9"/>
      <c r="JL54" s="9"/>
      <c r="KB54" s="9"/>
      <c r="KR54" s="9"/>
      <c r="LH54" s="9"/>
      <c r="LX54" s="9"/>
      <c r="MN54" s="9"/>
      <c r="ND54" s="9"/>
      <c r="NT54" s="9"/>
      <c r="OJ54" s="9"/>
    </row>
    <row r="55" spans="1:401" hidden="1" x14ac:dyDescent="0.2">
      <c r="BL55" s="9"/>
      <c r="CB55" s="9"/>
      <c r="CR55" s="9"/>
      <c r="DH55" s="9"/>
      <c r="DX55" s="9"/>
      <c r="EN55" s="9"/>
      <c r="FD55" s="9"/>
      <c r="FT55" s="9"/>
      <c r="GJ55" s="9"/>
      <c r="GZ55" s="9"/>
      <c r="HP55" s="9"/>
      <c r="IF55" s="9"/>
      <c r="IV55" s="9"/>
      <c r="JL55" s="9"/>
      <c r="KB55" s="9"/>
      <c r="KR55" s="9"/>
      <c r="LH55" s="9"/>
      <c r="LX55" s="9"/>
      <c r="MN55" s="9"/>
      <c r="ND55" s="9"/>
      <c r="NT55" s="9"/>
      <c r="OJ55" s="9"/>
    </row>
    <row r="56" spans="1:401" hidden="1" x14ac:dyDescent="0.2">
      <c r="BL56" s="9"/>
      <c r="CB56" s="9"/>
      <c r="CR56" s="9"/>
      <c r="DH56" s="9"/>
      <c r="DX56" s="9"/>
      <c r="EN56" s="9"/>
      <c r="FD56" s="9"/>
      <c r="FT56" s="9"/>
      <c r="GJ56" s="9"/>
      <c r="GZ56" s="9"/>
      <c r="HP56" s="9"/>
      <c r="IF56" s="9"/>
      <c r="IV56" s="9"/>
      <c r="JL56" s="9"/>
      <c r="KB56" s="9"/>
      <c r="KR56" s="9"/>
      <c r="LH56" s="9"/>
      <c r="LX56" s="9"/>
      <c r="MN56" s="9"/>
      <c r="ND56" s="9"/>
      <c r="NT56" s="9"/>
      <c r="OJ56" s="9"/>
    </row>
    <row r="57" spans="1:401" hidden="1" x14ac:dyDescent="0.2">
      <c r="BL57" s="9"/>
      <c r="CB57" s="9"/>
      <c r="CR57" s="9"/>
      <c r="DH57" s="9"/>
      <c r="DX57" s="9"/>
      <c r="EN57" s="9"/>
      <c r="FD57" s="9"/>
      <c r="FT57" s="9"/>
      <c r="GJ57" s="9"/>
      <c r="GZ57" s="9"/>
      <c r="HP57" s="9"/>
      <c r="IF57" s="9"/>
      <c r="IV57" s="9"/>
      <c r="JL57" s="9"/>
      <c r="KB57" s="9"/>
      <c r="KR57" s="9"/>
      <c r="LH57" s="9"/>
      <c r="LX57" s="9"/>
      <c r="MN57" s="9"/>
      <c r="ND57" s="9"/>
      <c r="NT57" s="9"/>
      <c r="OJ57" s="9"/>
    </row>
    <row r="58" spans="1:401" hidden="1" x14ac:dyDescent="0.2">
      <c r="BL58" s="9"/>
      <c r="CB58" s="9"/>
      <c r="CR58" s="9"/>
      <c r="DH58" s="9"/>
      <c r="DX58" s="9"/>
      <c r="EN58" s="9"/>
      <c r="FD58" s="9"/>
      <c r="FT58" s="9"/>
      <c r="GJ58" s="9"/>
      <c r="GZ58" s="9"/>
      <c r="HP58" s="9"/>
      <c r="IF58" s="9"/>
      <c r="IV58" s="9"/>
      <c r="JL58" s="9"/>
      <c r="KB58" s="9"/>
      <c r="KR58" s="9"/>
      <c r="LH58" s="9"/>
      <c r="LX58" s="9"/>
      <c r="MN58" s="9"/>
      <c r="ND58" s="9"/>
      <c r="NT58" s="9"/>
      <c r="OJ58" s="9"/>
    </row>
    <row r="59" spans="1:401" hidden="1" x14ac:dyDescent="0.2">
      <c r="BL59" s="9"/>
      <c r="CB59" s="9"/>
      <c r="CR59" s="9"/>
      <c r="DH59" s="9"/>
      <c r="DX59" s="9"/>
      <c r="EN59" s="9"/>
      <c r="FD59" s="9"/>
      <c r="FT59" s="9"/>
      <c r="GJ59" s="9"/>
      <c r="GZ59" s="9"/>
      <c r="HP59" s="9"/>
      <c r="IF59" s="9"/>
      <c r="IV59" s="9"/>
      <c r="JL59" s="9"/>
      <c r="KB59" s="9"/>
      <c r="KR59" s="9"/>
      <c r="LH59" s="9"/>
      <c r="LX59" s="9"/>
      <c r="MN59" s="9"/>
      <c r="ND59" s="9"/>
      <c r="NT59" s="9"/>
      <c r="OJ59" s="9"/>
    </row>
    <row r="60" spans="1:401" hidden="1" x14ac:dyDescent="0.2">
      <c r="BL60" s="9"/>
      <c r="CB60" s="9"/>
      <c r="CR60" s="9"/>
      <c r="DH60" s="9"/>
      <c r="DX60" s="9"/>
      <c r="EN60" s="9"/>
      <c r="FD60" s="9"/>
      <c r="FT60" s="9"/>
      <c r="GJ60" s="9"/>
      <c r="GZ60" s="9"/>
      <c r="HP60" s="9"/>
      <c r="IF60" s="9"/>
      <c r="IV60" s="9"/>
      <c r="JL60" s="9"/>
      <c r="KB60" s="9"/>
      <c r="KR60" s="9"/>
      <c r="LH60" s="9"/>
      <c r="LX60" s="9"/>
      <c r="MN60" s="9"/>
      <c r="ND60" s="9"/>
      <c r="NT60" s="9"/>
      <c r="OJ60" s="9"/>
    </row>
    <row r="61" spans="1:401" hidden="1" x14ac:dyDescent="0.2">
      <c r="BL61" s="9"/>
      <c r="CB61" s="9"/>
      <c r="CR61" s="9"/>
      <c r="DH61" s="9"/>
      <c r="DX61" s="9"/>
      <c r="EN61" s="9"/>
      <c r="FD61" s="9"/>
      <c r="FT61" s="9"/>
      <c r="GJ61" s="9"/>
      <c r="GZ61" s="9"/>
      <c r="HP61" s="9"/>
      <c r="IF61" s="9"/>
      <c r="IV61" s="9"/>
      <c r="JL61" s="9"/>
      <c r="KB61" s="9"/>
      <c r="KR61" s="9"/>
      <c r="LH61" s="9"/>
      <c r="LX61" s="9"/>
      <c r="MN61" s="9"/>
      <c r="ND61" s="9"/>
      <c r="NT61" s="9"/>
      <c r="OJ61" s="9"/>
    </row>
    <row r="62" spans="1:401" x14ac:dyDescent="0.2">
      <c r="AZ62" s="16"/>
      <c r="BA62" s="16"/>
      <c r="BB62" s="16"/>
      <c r="BC62" s="30"/>
      <c r="BD62" s="30"/>
      <c r="BE62" s="30"/>
      <c r="BF62" s="16"/>
      <c r="BG62" s="16"/>
      <c r="BH62" s="16"/>
      <c r="BI62" s="30"/>
      <c r="BJ62" s="30"/>
      <c r="BK62" s="16"/>
      <c r="BL62" s="16"/>
      <c r="BP62" s="16"/>
      <c r="BQ62" s="16"/>
      <c r="BR62" s="30"/>
      <c r="BS62" s="30"/>
      <c r="BT62" s="30"/>
      <c r="BU62" s="30"/>
      <c r="BV62" s="16"/>
      <c r="BW62" s="16"/>
      <c r="BX62" s="16"/>
      <c r="BY62" s="30"/>
      <c r="BZ62" s="30"/>
      <c r="CA62" s="16"/>
      <c r="CB62" s="30"/>
      <c r="CF62" s="30"/>
      <c r="CG62" s="16"/>
      <c r="CH62" s="16"/>
      <c r="CI62" s="16"/>
      <c r="CJ62" s="16"/>
      <c r="CK62" s="16"/>
      <c r="CL62" s="16"/>
      <c r="CM62" s="16"/>
      <c r="CN62" s="16"/>
      <c r="CO62" s="30"/>
      <c r="CP62" s="30"/>
      <c r="CQ62" s="30"/>
      <c r="CR62" s="16"/>
      <c r="CV62" s="30"/>
      <c r="CW62" s="16"/>
      <c r="CX62" s="29"/>
      <c r="CY62" s="16"/>
      <c r="CZ62" s="16"/>
      <c r="DA62" s="16"/>
      <c r="DB62" s="16"/>
      <c r="DC62" s="16"/>
      <c r="DD62" s="16"/>
      <c r="DE62" s="30"/>
      <c r="DF62" s="30"/>
      <c r="DG62" s="30"/>
      <c r="DH62" s="16"/>
      <c r="DL62" s="30"/>
      <c r="DM62" s="30"/>
      <c r="DN62" s="16"/>
      <c r="DO62" s="16"/>
      <c r="DP62" s="16"/>
      <c r="DQ62" s="30"/>
      <c r="DR62" s="16"/>
      <c r="DS62" s="16"/>
      <c r="DT62" s="16"/>
      <c r="DU62" s="29"/>
      <c r="DV62" s="16"/>
      <c r="DW62" s="30"/>
      <c r="DX62" s="29"/>
      <c r="EB62" s="30"/>
      <c r="EC62" s="16"/>
      <c r="ED62" s="30"/>
      <c r="EE62" s="16"/>
      <c r="EF62" s="30"/>
      <c r="EG62" s="30"/>
      <c r="EH62" s="16"/>
      <c r="EI62" s="16"/>
      <c r="EJ62" s="16"/>
      <c r="EK62" s="30"/>
      <c r="EL62" s="30"/>
      <c r="EM62" s="30"/>
      <c r="EN62" s="16"/>
      <c r="ER62" s="30"/>
      <c r="ES62" s="16"/>
      <c r="ET62" s="29"/>
      <c r="EU62" s="16"/>
      <c r="EV62" s="16"/>
      <c r="EW62" s="16"/>
      <c r="EX62" s="16"/>
      <c r="EY62" s="16"/>
      <c r="EZ62" s="16"/>
      <c r="FA62" s="30"/>
      <c r="FB62" s="30"/>
      <c r="FC62" s="16"/>
      <c r="FD62" s="16"/>
      <c r="FH62" s="30"/>
      <c r="FI62" s="30"/>
      <c r="FJ62" s="16"/>
      <c r="FK62" s="16"/>
      <c r="FL62" s="16"/>
      <c r="FM62" s="30"/>
      <c r="FN62" s="16"/>
      <c r="FO62" s="16"/>
      <c r="FP62" s="16"/>
      <c r="FQ62" s="16"/>
      <c r="FR62" s="16"/>
      <c r="FS62" s="30"/>
      <c r="FT62" s="16"/>
      <c r="FX62" s="30"/>
      <c r="FY62" s="16"/>
      <c r="FZ62" s="16"/>
      <c r="GA62" s="16"/>
      <c r="GB62" s="30"/>
      <c r="GC62" s="16"/>
      <c r="GD62" s="16"/>
      <c r="GE62" s="16"/>
      <c r="GF62" s="16"/>
      <c r="GG62" s="30"/>
      <c r="GH62" s="29"/>
      <c r="GI62" s="30"/>
      <c r="GJ62" s="16"/>
      <c r="GN62" s="30"/>
      <c r="GO62" s="16"/>
      <c r="GP62" s="16"/>
      <c r="GQ62" s="16"/>
      <c r="GR62" s="16"/>
      <c r="GS62" s="16"/>
      <c r="GT62" s="16"/>
      <c r="GU62" s="16"/>
      <c r="GV62" s="16"/>
      <c r="GW62" s="30"/>
      <c r="GX62" s="30"/>
      <c r="GY62" s="30"/>
      <c r="GZ62" s="16"/>
      <c r="HD62" s="16"/>
      <c r="HE62" s="16"/>
      <c r="HF62" s="16"/>
      <c r="HG62" s="16"/>
      <c r="HH62" s="16"/>
      <c r="HI62" s="16"/>
      <c r="HJ62" s="16"/>
      <c r="HK62" s="16"/>
      <c r="HL62" s="16"/>
      <c r="HM62" s="30"/>
      <c r="HN62" s="30"/>
      <c r="HO62" s="30"/>
      <c r="HP62" s="30"/>
      <c r="IF62" s="35"/>
      <c r="IV62" s="35"/>
      <c r="JL62" s="35"/>
      <c r="KB62" s="35"/>
      <c r="KR62" s="35"/>
      <c r="LH62" s="35"/>
      <c r="LX62" s="35"/>
      <c r="MN62" s="35"/>
      <c r="ND62" s="35"/>
      <c r="NT62" s="35"/>
      <c r="OJ62" s="35"/>
    </row>
    <row r="63" spans="1:401" x14ac:dyDescent="0.2">
      <c r="A63" s="5" t="s">
        <v>45</v>
      </c>
      <c r="AH63" s="12"/>
      <c r="AI63" s="12"/>
      <c r="AJ63" s="12"/>
      <c r="AK63" s="12"/>
      <c r="AL63" s="12"/>
      <c r="AM63" s="12"/>
      <c r="AN63" s="12"/>
      <c r="AO63" s="12"/>
      <c r="AP63" s="12"/>
      <c r="BL63" s="9"/>
      <c r="CB63" s="9"/>
      <c r="CR63" s="9"/>
      <c r="DH63" s="9"/>
      <c r="DX63" s="9"/>
      <c r="EN63" s="9"/>
      <c r="FD63" s="9"/>
      <c r="FT63" s="9"/>
      <c r="GJ63" s="9"/>
      <c r="GZ63" s="9"/>
      <c r="HP63" s="9"/>
      <c r="IF63" s="9"/>
      <c r="IV63" s="9"/>
      <c r="JL63" s="9"/>
      <c r="KB63" s="9"/>
      <c r="KR63" s="9"/>
      <c r="LH63" s="9"/>
      <c r="LX63" s="9"/>
      <c r="MN63" s="9"/>
      <c r="ND63" s="9"/>
      <c r="NT63" s="9"/>
      <c r="OJ63" s="9"/>
    </row>
    <row r="64" spans="1:401" x14ac:dyDescent="0.2">
      <c r="A64" t="s">
        <v>1292</v>
      </c>
      <c r="B64" s="12">
        <f>P64+AH64+AZ64+BP64+CF64+CV64+DL64+EB64+ER64+FH64+FX64+GN64+HD64+HT64+IJ64+IZ64+JP64+KF64+KV64+LL64+MB64+MR64+NH64+NX64</f>
        <v>0</v>
      </c>
      <c r="C64" s="12">
        <f t="shared" ref="C64:J64" si="439">Q64+AI64+BA64+BQ64+CG64+CW64+DM64+EC64+ES64+FI64+FY64+GO64+HE64+HU64+IK64+JA64+JQ64+KG64+KW64+LM64+MC64+MS64+NI64+NY64</f>
        <v>0</v>
      </c>
      <c r="D64" s="12">
        <f t="shared" si="439"/>
        <v>0</v>
      </c>
      <c r="E64" s="12">
        <f t="shared" si="439"/>
        <v>0</v>
      </c>
      <c r="F64" s="12">
        <f t="shared" si="439"/>
        <v>0</v>
      </c>
      <c r="G64" s="12">
        <f t="shared" si="439"/>
        <v>0</v>
      </c>
      <c r="H64" s="12">
        <f t="shared" si="439"/>
        <v>0</v>
      </c>
      <c r="I64" s="12">
        <f t="shared" si="439"/>
        <v>0</v>
      </c>
      <c r="J64" s="12">
        <f t="shared" si="439"/>
        <v>0</v>
      </c>
      <c r="P64" s="12" cm="1">
        <f t="array" ref="P64">_xlfn.SWITCH(P$4, 0,0, 1, AA64,2,AC64,3,AE64,0)</f>
        <v>0</v>
      </c>
      <c r="Q64" s="12" cm="1">
        <f t="array" ref="Q64">_xlfn.SWITCH(Q$4, 0,0, 1, AA64,2,AC64,3,AE64,0)+P64</f>
        <v>0</v>
      </c>
      <c r="R64" s="12" cm="1">
        <f t="array" ref="R64">_xlfn.SWITCH(R$4, 0,0, 1, AA64,2,AC64,3,AE64,0)+Q64</f>
        <v>0</v>
      </c>
      <c r="S64" s="12" cm="1">
        <f t="array" ref="S64">_xlfn.SWITCH(S$4, 0,0, 1, AA64,2,AC64,3,AE64,0)+R64</f>
        <v>0</v>
      </c>
      <c r="T64" s="12" cm="1">
        <f t="array" ref="T64">_xlfn.SWITCH(T$4, 0,0, 1, AA64,2,AC64,3,AE64,0)+S64</f>
        <v>0</v>
      </c>
      <c r="U64" s="12" cm="1">
        <f t="array" ref="U64">_xlfn.SWITCH(U$4, 0,0, 1, AA64,2,AC64,3,AE64,0)+T64</f>
        <v>0</v>
      </c>
      <c r="V64" s="12" cm="1">
        <f t="array" ref="V64">_xlfn.SWITCH(V$4, 0,0, 1, AA64,2,AC64,3,AE64,0)+U64</f>
        <v>0</v>
      </c>
      <c r="W64" s="12" cm="1">
        <f t="array" ref="W64">_xlfn.SWITCH(W$4, 0,0, 1, AA64,2,AC64,3,AE64,0)+V64</f>
        <v>0</v>
      </c>
      <c r="X64" s="12" cm="1">
        <f t="array" ref="X64">_xlfn.SWITCH(X$4, 0,0, 1, AA64,2,AC64,3,AE64,0)+W64</f>
        <v>0</v>
      </c>
      <c r="Z64" t="s">
        <v>1304</v>
      </c>
      <c r="AA64">
        <f>_xlfn.XLOOKUP(Z64,'KPI Impacts'!$K$2:$Q$2,'KPI Impacts'!$K64:$Q64)</f>
        <v>0</v>
      </c>
      <c r="AB64" t="s">
        <v>1304</v>
      </c>
      <c r="AC64">
        <f>_xlfn.XLOOKUP(AB64,'KPI Impacts'!$K$2:$Q$2,'KPI Impacts'!$K64:$Q64)</f>
        <v>0</v>
      </c>
      <c r="AD64" t="s">
        <v>1304</v>
      </c>
      <c r="AE64">
        <f>_xlfn.XLOOKUP(AD64,'KPI Impacts'!$K$2:$Q$2,'KPI Impacts'!$K64:$Q64)</f>
        <v>0</v>
      </c>
      <c r="AH64" s="12" cm="1">
        <f t="array" ref="AH64">_xlfn.SWITCH(AH$4, 0,0, 1, AS64,2,AU64,3,AW64,0)</f>
        <v>0</v>
      </c>
      <c r="AI64" s="12" cm="1">
        <f t="array" ref="AI64">_xlfn.SWITCH(AI$4, 0,0, 1, AS64,2,AU64,3,AW64,0)+AH64</f>
        <v>0</v>
      </c>
      <c r="AJ64" s="12" cm="1">
        <f t="array" ref="AJ64">_xlfn.SWITCH(AJ$4, 0,0, 1, AS64,2,AU64,3,AW64,0)+AI64</f>
        <v>0</v>
      </c>
      <c r="AK64" s="12" cm="1">
        <f t="array" ref="AK64">_xlfn.SWITCH(AK$4, 0,0, 1, AS64,2,AU64,3,AW64,0)+AJ64</f>
        <v>0</v>
      </c>
      <c r="AL64" s="12" cm="1">
        <f t="array" ref="AL64">_xlfn.SWITCH(AL$4, 0,0, 1, AS64,2,AU64,3,AW64,0)+AK64</f>
        <v>0</v>
      </c>
      <c r="AM64" s="12" cm="1">
        <f t="array" ref="AM64">_xlfn.SWITCH(AM$4, 0,0, 1, AS64,2,AU64,3,AW64,0)+AL64</f>
        <v>0</v>
      </c>
      <c r="AN64" s="12" cm="1">
        <f t="array" ref="AN64">_xlfn.SWITCH(AN$4, 0,0, 1, AS64,2,AU64,3,AW64,0)+AM64</f>
        <v>0</v>
      </c>
      <c r="AO64" s="12" cm="1">
        <f t="array" ref="AO64">_xlfn.SWITCH(AO$4, 0,0, 1, AS64,2,AU64,3,AW64,0)+AN64</f>
        <v>0</v>
      </c>
      <c r="AP64" s="12" cm="1">
        <f t="array" ref="AP64">_xlfn.SWITCH(AP$4, 0,0, 1, AS64,2,AU64,3,AW64,0)+AO64</f>
        <v>0</v>
      </c>
      <c r="AR64" t="s">
        <v>1308</v>
      </c>
      <c r="AS64">
        <f>_xlfn.XLOOKUP(AR64,'KPI Impacts'!$K$2:$Q$2,'KPI Impacts'!$K64:$Q64)</f>
        <v>0.3</v>
      </c>
      <c r="AT64" t="s">
        <v>1310</v>
      </c>
      <c r="AU64">
        <f>_xlfn.XLOOKUP(AT64,'KPI Impacts'!$K$2:$Q$2,'KPI Impacts'!$K64:$Q64)</f>
        <v>0.44999999999999996</v>
      </c>
      <c r="AV64" t="s">
        <v>1309</v>
      </c>
      <c r="AW64">
        <f>_xlfn.XLOOKUP(AV64,'KPI Impacts'!$K$2:$Q$2,'KPI Impacts'!$K64:$Q64)</f>
        <v>0.6</v>
      </c>
      <c r="AZ64" s="12">
        <f t="shared" ref="AZ64:AZ69" si="440">AZ$4*BK64</f>
        <v>0</v>
      </c>
      <c r="BA64" s="12">
        <f t="shared" ref="BA64:BA69" si="441">BA$4 * IF(AND(AZ$4=1,AZ$20=1), BM64, BK64)</f>
        <v>0</v>
      </c>
      <c r="BB64" s="12">
        <f t="shared" ref="BB64:BB69" si="442">BB$4 * IF(AND(BA$4=1,AZ$20=1), BM64, BK64)</f>
        <v>0</v>
      </c>
      <c r="BC64" s="12">
        <f t="shared" ref="BC64:BC69" si="443">BC$4 * IF(AND(BB$4=1,AZ$20=1), BM64, BK64)</f>
        <v>0</v>
      </c>
      <c r="BD64" s="12">
        <f t="shared" ref="BD64:BD69" si="444">BD$4 * IF(AND(BC$4=1,AZ$20=1), BM64, BK64)</f>
        <v>0</v>
      </c>
      <c r="BE64" s="12">
        <f t="shared" ref="BE64:BE69" si="445">BE$4 * IF(AND(BD$4=1,AZ$20=1), BM64, BK64)</f>
        <v>0</v>
      </c>
      <c r="BF64" s="12">
        <f t="shared" ref="BF64:BF69" si="446">BF$4 * IF(AND(BE$4=1,AZ$20=1), BM64, BK64)</f>
        <v>0</v>
      </c>
      <c r="BG64" s="12">
        <f t="shared" ref="BG64:BG69" si="447">BG$4 * IF(AND(BF$4=1,AZ$20=1), BM64, BK64)</f>
        <v>0</v>
      </c>
      <c r="BH64" s="12">
        <f t="shared" ref="BH64:BH69" si="448">BH$4 * IF(AND(BG$4=1,AZ$20=1), BM64, BK64)</f>
        <v>0</v>
      </c>
      <c r="BJ64" s="16" t="s">
        <v>1304</v>
      </c>
      <c r="BK64">
        <f>_xlfn.XLOOKUP(BJ64,'KPI Impacts'!$B$2:$H$2,'KPI Impacts'!$B64:$H64)</f>
        <v>0</v>
      </c>
      <c r="BL64" s="35" t="s">
        <v>1304</v>
      </c>
      <c r="BM64">
        <f>_xlfn.XLOOKUP(BL64,'KPI Impacts'!$B$2:$H$2,'KPI Impacts'!$B64:$H64)</f>
        <v>0</v>
      </c>
      <c r="BP64" s="12">
        <f t="shared" ref="BP64:BP69" si="449">BP$4*CA64</f>
        <v>0</v>
      </c>
      <c r="BQ64" s="12">
        <f t="shared" ref="BQ64:BQ69" si="450">BQ$4 * IF(AND(BP$4=1,BP$20=1), CC64, CA64)</f>
        <v>0</v>
      </c>
      <c r="BR64" s="12">
        <f t="shared" ref="BR64:BR69" si="451">BR$4 * IF(AND(BQ$4=1,BP$20=1), CC64, CA64)</f>
        <v>0</v>
      </c>
      <c r="BS64" s="12">
        <f t="shared" ref="BS64:BS69" si="452">BS$4 * IF(AND(BR$4=1,BP$20=1), CC64, CA64)</f>
        <v>0</v>
      </c>
      <c r="BT64" s="12">
        <f t="shared" ref="BT64:BT69" si="453">BT$4 * IF(AND(BS$4=1,BP$20=1), CC64, CA64)</f>
        <v>0</v>
      </c>
      <c r="BU64" s="12">
        <f t="shared" ref="BU64:BU69" si="454">BU$4 * IF(AND(BT$4=1,BP$20=1), CC64, CA64)</f>
        <v>0</v>
      </c>
      <c r="BV64" s="12">
        <f t="shared" ref="BV64:BV69" si="455">BV$4 * IF(AND(BU$4=1,BP$20=1), CC64, CA64)</f>
        <v>0</v>
      </c>
      <c r="BW64" s="12">
        <f t="shared" ref="BW64:BW69" si="456">BW$4 * IF(AND(BV$4=1,BP$20=1), CC64, CA64)</f>
        <v>0</v>
      </c>
      <c r="BX64" s="12">
        <f t="shared" ref="BX64:BX69" si="457">BX$4 * IF(AND(BW$4=1,BP$20=1), CC64, CA64)</f>
        <v>0</v>
      </c>
      <c r="BZ64" s="16" t="s">
        <v>1304</v>
      </c>
      <c r="CA64">
        <f>_xlfn.XLOOKUP(BZ64,'KPI Impacts'!$B$2:$H$2,'KPI Impacts'!$B64:$H64)</f>
        <v>0</v>
      </c>
      <c r="CB64" s="35" t="s">
        <v>1304</v>
      </c>
      <c r="CC64">
        <f>_xlfn.XLOOKUP(CB64,'KPI Impacts'!$B$2:$H$2,'KPI Impacts'!$B64:$H64)</f>
        <v>0</v>
      </c>
      <c r="CF64" s="12">
        <f t="shared" ref="CF64:CF69" si="458">CF$4*CQ64</f>
        <v>0</v>
      </c>
      <c r="CG64" s="12">
        <f t="shared" ref="CG64:CG69" si="459">CG$4 * IF(AND(CF$4=1,CF$20=1), CS64, CQ64)</f>
        <v>0</v>
      </c>
      <c r="CH64" s="12">
        <f t="shared" ref="CH64:CH69" si="460">CH$4 * IF(AND(CG$4=1,CF$20=1), CS64, CQ64)</f>
        <v>0</v>
      </c>
      <c r="CI64" s="12">
        <f t="shared" ref="CI64:CI69" si="461">CI$4 * IF(AND(CH$4=1,CF$20=1), CS64, CQ64)</f>
        <v>0</v>
      </c>
      <c r="CJ64" s="12">
        <f t="shared" ref="CJ64:CJ69" si="462">CJ$4 * IF(AND(CI$4=1,CF$20=1), CS64, CQ64)</f>
        <v>0</v>
      </c>
      <c r="CK64" s="12">
        <f t="shared" ref="CK64:CK69" si="463">CK$4 * IF(AND(CJ$4=1,CF$20=1), CS64, CQ64)</f>
        <v>0</v>
      </c>
      <c r="CL64" s="12">
        <f t="shared" ref="CL64:CL69" si="464">CL$4 * IF(AND(CK$4=1,CF$20=1), CS64, CQ64)</f>
        <v>0</v>
      </c>
      <c r="CM64" s="12">
        <f t="shared" ref="CM64:CM69" si="465">CM$4 * IF(AND(CL$4=1,CF$20=1), CS64, CQ64)</f>
        <v>0</v>
      </c>
      <c r="CN64" s="12">
        <f t="shared" ref="CN64:CN69" si="466">CN$4 * IF(AND(CM$4=1,CF$20=1), CS64, CQ64)</f>
        <v>0</v>
      </c>
      <c r="CP64" s="30" t="s">
        <v>1308</v>
      </c>
      <c r="CQ64">
        <f>_xlfn.XLOOKUP(CP64,'KPI Impacts'!$B$2:$H$2,'KPI Impacts'!$B64:$H64)</f>
        <v>1</v>
      </c>
      <c r="CR64" s="35" t="s">
        <v>1304</v>
      </c>
      <c r="CS64">
        <f>_xlfn.XLOOKUP(CR64,'KPI Impacts'!$B$2:$H$2,'KPI Impacts'!$B64:$H64)</f>
        <v>0</v>
      </c>
      <c r="CV64" s="12">
        <f t="shared" ref="CV64:CV69" si="467">CV$4*DG64</f>
        <v>0</v>
      </c>
      <c r="CW64" s="12">
        <f t="shared" ref="CW64:CW69" si="468">CW$4 * IF(AND(CV$4=1,CV$20=1), DI64, DG64)</f>
        <v>0</v>
      </c>
      <c r="CX64" s="12">
        <f t="shared" ref="CX64:CX69" si="469">CX$4 * IF(AND(CW$4=1,CV$20=1), DI64, DG64)</f>
        <v>0</v>
      </c>
      <c r="CY64" s="12">
        <f t="shared" ref="CY64:CY69" si="470">CY$4 * IF(AND(CX$4=1,CV$20=1), DI64, DG64)</f>
        <v>0</v>
      </c>
      <c r="CZ64" s="12">
        <f t="shared" ref="CZ64:CZ69" si="471">CZ$4 * IF(AND(CY$4=1,CV$20=1), DI64, DG64)</f>
        <v>0</v>
      </c>
      <c r="DA64" s="12">
        <f t="shared" ref="DA64:DA69" si="472">DA$4 * IF(AND(CZ$4=1,CV$20=1), DI64, DG64)</f>
        <v>0</v>
      </c>
      <c r="DB64" s="12">
        <f t="shared" ref="DB64:DB69" si="473">DB$4 * IF(AND(DA$4=1,CV$20=1), DI64, DG64)</f>
        <v>0</v>
      </c>
      <c r="DC64" s="12">
        <f t="shared" ref="DC64:DC69" si="474">DC$4 * IF(AND(DB$4=1,CV$20=1), DI64, DG64)</f>
        <v>0</v>
      </c>
      <c r="DD64" s="12">
        <f t="shared" ref="DD64:DD69" si="475">DD$4 * IF(AND(DC$4=1,CV$20=1), DI64, DG64)</f>
        <v>0</v>
      </c>
      <c r="DF64" s="30" t="s">
        <v>1308</v>
      </c>
      <c r="DG64">
        <f>_xlfn.XLOOKUP(DF64,'KPI Impacts'!$B$2:$H$2,'KPI Impacts'!$B64:$H64)</f>
        <v>1</v>
      </c>
      <c r="DH64" s="35" t="s">
        <v>1304</v>
      </c>
      <c r="DI64">
        <f>_xlfn.XLOOKUP(DH64,'KPI Impacts'!$B$2:$H$2,'KPI Impacts'!$B64:$H64)</f>
        <v>0</v>
      </c>
      <c r="DL64" s="12">
        <f t="shared" ref="DL64:DL69" si="476">DL$4*DW64</f>
        <v>0</v>
      </c>
      <c r="DM64" s="12">
        <f t="shared" ref="DM64:DM69" si="477">DM$4 * IF(AND(DL$4=1,DL$20=1), DY64, DW64)</f>
        <v>0</v>
      </c>
      <c r="DN64" s="12">
        <f t="shared" ref="DN64:DN69" si="478">DN$4 * IF(AND(DM$4=1,DL$20=1), DY64, DW64)</f>
        <v>0</v>
      </c>
      <c r="DO64" s="12">
        <f t="shared" ref="DO64:DO69" si="479">DO$4 * IF(AND(DN$4=1,DL$20=1), DY64, DW64)</f>
        <v>0</v>
      </c>
      <c r="DP64" s="12">
        <f t="shared" ref="DP64:DP69" si="480">DP$4 * IF(AND(DO$4=1,DL$20=1), DY64, DW64)</f>
        <v>0</v>
      </c>
      <c r="DQ64" s="12">
        <f t="shared" ref="DQ64:DQ69" si="481">DQ$4 * IF(AND(DP$4=1,DL$20=1), DY64, DW64)</f>
        <v>0</v>
      </c>
      <c r="DR64" s="12">
        <f t="shared" ref="DR64:DR69" si="482">DR$4 * IF(AND(DQ$4=1,DL$20=1), DY64, DW64)</f>
        <v>0</v>
      </c>
      <c r="DS64" s="12">
        <f t="shared" ref="DS64:DS69" si="483">DS$4 * IF(AND(DR$4=1,DL$20=1), DY64, DW64)</f>
        <v>0</v>
      </c>
      <c r="DT64" s="12">
        <f t="shared" ref="DT64:DT69" si="484">DT$4 * IF(AND(DS$4=1,DL$20=1), DY64, DW64)</f>
        <v>0</v>
      </c>
      <c r="DV64" s="30" t="s">
        <v>1310</v>
      </c>
      <c r="DW64">
        <f>_xlfn.XLOOKUP(DV64,'KPI Impacts'!$B$2:$H$2,'KPI Impacts'!$B64:$H64)</f>
        <v>2</v>
      </c>
      <c r="DX64" s="35" t="s">
        <v>1304</v>
      </c>
      <c r="DY64">
        <f>_xlfn.XLOOKUP(DX64,'KPI Impacts'!$B$2:$H$2,'KPI Impacts'!$B64:$H64)</f>
        <v>0</v>
      </c>
      <c r="EB64" s="12">
        <f t="shared" ref="EB64:EB69" si="485">EB$4*EM64</f>
        <v>0</v>
      </c>
      <c r="EC64" s="12">
        <f t="shared" ref="EC64:EC69" si="486">EC$4 * IF(AND(EB$4=1,EB$20=1), EO64, EM64)</f>
        <v>0</v>
      </c>
      <c r="ED64" s="12">
        <f t="shared" ref="ED64:ED69" si="487">ED$4 * IF(AND(EC$4=1,EB$20=1), EO64, EM64)</f>
        <v>0</v>
      </c>
      <c r="EE64" s="12">
        <f t="shared" ref="EE64:EE69" si="488">EE$4 * IF(AND(ED$4=1,EB$20=1), EO64, EM64)</f>
        <v>0</v>
      </c>
      <c r="EF64" s="12">
        <f t="shared" ref="EF64:EF69" si="489">EF$4 * IF(AND(EE$4=1,EB$20=1), EO64, EM64)</f>
        <v>0</v>
      </c>
      <c r="EG64" s="12">
        <f t="shared" ref="EG64:EG69" si="490">EG$4 * IF(AND(EF$4=1,EB$20=1), EO64, EM64)</f>
        <v>0</v>
      </c>
      <c r="EH64" s="12">
        <f t="shared" ref="EH64:EH69" si="491">EH$4 * IF(AND(EG$4=1,EB$20=1), EO64, EM64)</f>
        <v>0</v>
      </c>
      <c r="EI64" s="12">
        <f t="shared" ref="EI64:EI69" si="492">EI$4 * IF(AND(EH$4=1,EB$20=1), EO64, EM64)</f>
        <v>0</v>
      </c>
      <c r="EJ64" s="12">
        <f t="shared" ref="EJ64:EJ69" si="493">EJ$4 * IF(AND(EI$4=1,EB$20=1), EO64, EM64)</f>
        <v>0</v>
      </c>
      <c r="EL64" s="30" t="s">
        <v>1308</v>
      </c>
      <c r="EM64">
        <f>_xlfn.XLOOKUP(EL64,'KPI Impacts'!$B$2:$H$2,'KPI Impacts'!$B64:$H64)</f>
        <v>1</v>
      </c>
      <c r="EN64" s="35" t="s">
        <v>1304</v>
      </c>
      <c r="EO64">
        <f>_xlfn.XLOOKUP(EN64,'KPI Impacts'!$B$2:$H$2,'KPI Impacts'!$B64:$H64)</f>
        <v>0</v>
      </c>
      <c r="ER64" s="12">
        <f t="shared" ref="ER64:ER69" si="494">ER$4*FC64</f>
        <v>0</v>
      </c>
      <c r="ES64" s="12">
        <f t="shared" ref="ES64:ES69" si="495">ES$4 * IF(AND(ER$4=1,ER$20=1), FE64, FC64)</f>
        <v>0</v>
      </c>
      <c r="ET64" s="12">
        <f t="shared" ref="ET64:ET69" si="496">ET$4 * IF(AND(ES$4=1,ER$20=1), FE64, FC64)</f>
        <v>0</v>
      </c>
      <c r="EU64" s="12">
        <f t="shared" ref="EU64:EU69" si="497">EU$4 * IF(AND(ET$4=1,ER$20=1), FE64, FC64)</f>
        <v>0</v>
      </c>
      <c r="EV64" s="12">
        <f t="shared" ref="EV64:EV69" si="498">EV$4 * IF(AND(EU$4=1,ER$20=1), FE64, FC64)</f>
        <v>0</v>
      </c>
      <c r="EW64" s="12">
        <f t="shared" ref="EW64:EW69" si="499">EW$4 * IF(AND(EV$4=1,ER$20=1), FE64, FC64)</f>
        <v>0</v>
      </c>
      <c r="EX64" s="12">
        <f t="shared" ref="EX64:EX69" si="500">EX$4 * IF(AND(EW$4=1,ER$20=1), FE64, FC64)</f>
        <v>0</v>
      </c>
      <c r="EY64" s="12">
        <f t="shared" ref="EY64:EY69" si="501">EY$4 * IF(AND(EX$4=1,ER$20=1), FE64, FC64)</f>
        <v>0</v>
      </c>
      <c r="EZ64" s="12">
        <f t="shared" ref="EZ64:EZ69" si="502">EZ$4 * IF(AND(EY$4=1,ER$20=1), FE64, FC64)</f>
        <v>0</v>
      </c>
      <c r="FB64" s="30" t="s">
        <v>1308</v>
      </c>
      <c r="FC64">
        <f>_xlfn.XLOOKUP(FB64,'KPI Impacts'!$B$2:$H$2,'KPI Impacts'!$B64:$H64)</f>
        <v>1</v>
      </c>
      <c r="FD64" s="35" t="s">
        <v>1304</v>
      </c>
      <c r="FE64">
        <f>_xlfn.XLOOKUP(FD64,'KPI Impacts'!$B$2:$H$2,'KPI Impacts'!$B64:$H64)</f>
        <v>0</v>
      </c>
      <c r="FH64" s="12">
        <f t="shared" ref="FH64:FH69" si="503">FH$4*FS64</f>
        <v>0</v>
      </c>
      <c r="FI64" s="12">
        <f t="shared" ref="FI64:FI69" si="504">FI$4 * IF(AND(FH$4=1,FH$20=1), FU64, FS64)</f>
        <v>0</v>
      </c>
      <c r="FJ64" s="12">
        <f t="shared" ref="FJ64:FJ69" si="505">FJ$4 * IF(AND(FI$4=1,FH$20=1), FU64, FS64)</f>
        <v>0</v>
      </c>
      <c r="FK64" s="12">
        <f t="shared" ref="FK64:FK69" si="506">FK$4 * IF(AND(FJ$4=1,FH$20=1), FU64, FS64)</f>
        <v>0</v>
      </c>
      <c r="FL64" s="12">
        <f t="shared" ref="FL64:FL69" si="507">FL$4 * IF(AND(FK$4=1,FH$20=1), FU64, FS64)</f>
        <v>0</v>
      </c>
      <c r="FM64" s="12">
        <f t="shared" ref="FM64:FM69" si="508">FM$4 * IF(AND(FL$4=1,FH$20=1), FU64, FS64)</f>
        <v>0</v>
      </c>
      <c r="FN64" s="12">
        <f t="shared" ref="FN64:FN69" si="509">FN$4 * IF(AND(FM$4=1,FH$20=1), FU64, FS64)</f>
        <v>0</v>
      </c>
      <c r="FO64" s="12">
        <f t="shared" ref="FO64:FO69" si="510">FO$4 * IF(AND(FN$4=1,FH$20=1), FU64, FS64)</f>
        <v>0</v>
      </c>
      <c r="FP64" s="12">
        <f t="shared" ref="FP64:FP69" si="511">FP$4 * IF(AND(FO$4=1,FH$20=1), FU64, FS64)</f>
        <v>0</v>
      </c>
      <c r="FR64" s="30" t="s">
        <v>1309</v>
      </c>
      <c r="FS64">
        <f>_xlfn.XLOOKUP(FR64,'KPI Impacts'!$B$2:$H$2,'KPI Impacts'!$B64:$H64)</f>
        <v>3</v>
      </c>
      <c r="FT64" s="35" t="s">
        <v>1304</v>
      </c>
      <c r="FU64">
        <f>_xlfn.XLOOKUP(FT64,'KPI Impacts'!$B$2:$H$2,'KPI Impacts'!$B64:$H64)</f>
        <v>0</v>
      </c>
      <c r="FX64" s="12">
        <f t="shared" ref="FX64:FX69" si="512">FX$4*GI64</f>
        <v>0</v>
      </c>
      <c r="FY64" s="12">
        <f t="shared" ref="FY64:FY69" si="513">FY$4 * IF(AND(FX$4=1,FX$20=1), GK64, GI64)</f>
        <v>0</v>
      </c>
      <c r="FZ64" s="12">
        <f t="shared" ref="FZ64:FZ69" si="514">FZ$4 * IF(AND(FY$4=1,FX$20=1), GK64, GI64)</f>
        <v>0</v>
      </c>
      <c r="GA64" s="12">
        <f t="shared" ref="GA64:GA69" si="515">GA$4 * IF(AND(FZ$4=1,FX$20=1), GK64, GI64)</f>
        <v>0</v>
      </c>
      <c r="GB64" s="12">
        <f t="shared" ref="GB64:GB69" si="516">GB$4 * IF(AND(GA$4=1,FX$20=1), GK64, GI64)</f>
        <v>0</v>
      </c>
      <c r="GC64" s="12">
        <f t="shared" ref="GC64:GC69" si="517">GC$4 * IF(AND(GB$4=1,FX$20=1), GK64, GI64)</f>
        <v>0</v>
      </c>
      <c r="GD64" s="12">
        <f t="shared" ref="GD64:GD69" si="518">GD$4 * IF(AND(GC$4=1,FX$20=1), GK64, GI64)</f>
        <v>0</v>
      </c>
      <c r="GE64" s="12">
        <f t="shared" ref="GE64:GE69" si="519">GE$4 * IF(AND(GD$4=1,FX$20=1), GK64, GI64)</f>
        <v>0</v>
      </c>
      <c r="GF64" s="12">
        <f t="shared" ref="GF64:GF69" si="520">GF$4 * IF(AND(GE$4=1,FX$20=1), GK64, GI64)</f>
        <v>0</v>
      </c>
      <c r="GH64" s="30" t="s">
        <v>1310</v>
      </c>
      <c r="GI64">
        <f>_xlfn.XLOOKUP(GH64,'KPI Impacts'!$B$2:$H$2,'KPI Impacts'!$B64:$H64)</f>
        <v>2</v>
      </c>
      <c r="GJ64" s="35" t="s">
        <v>1304</v>
      </c>
      <c r="GK64">
        <f>_xlfn.XLOOKUP(GJ64,'KPI Impacts'!$B$2:$H$2,'KPI Impacts'!$B64:$H64)</f>
        <v>0</v>
      </c>
      <c r="GN64" s="12">
        <f t="shared" ref="GN64:GN69" si="521">GN$4*GY64</f>
        <v>0</v>
      </c>
      <c r="GO64" s="12">
        <f t="shared" ref="GO64:GO69" si="522">GO$4 * IF(AND(GN$4=1,GN$20=1), HA64, GY64)</f>
        <v>0</v>
      </c>
      <c r="GP64" s="12">
        <f t="shared" ref="GP64:GP69" si="523">GP$4 * IF(AND(GO$4=1,GN$20=1), HA64, GY64)</f>
        <v>0</v>
      </c>
      <c r="GQ64" s="12">
        <f t="shared" ref="GQ64:GQ69" si="524">GQ$4 * IF(AND(GP$4=1,GN$20=1), HA64, GY64)</f>
        <v>0</v>
      </c>
      <c r="GR64" s="12">
        <f t="shared" ref="GR64:GR69" si="525">GR$4 * IF(AND(GQ$4=1,GN$20=1), HA64, GY64)</f>
        <v>0</v>
      </c>
      <c r="GS64" s="12">
        <f t="shared" ref="GS64:GS69" si="526">GS$4 * IF(AND(GR$4=1,GN$20=1), HA64, GY64)</f>
        <v>0</v>
      </c>
      <c r="GT64" s="12">
        <f t="shared" ref="GT64:GT69" si="527">GT$4 * IF(AND(GS$4=1,GN$20=1), HA64, GY64)</f>
        <v>0</v>
      </c>
      <c r="GU64" s="12">
        <f t="shared" ref="GU64:GU69" si="528">GU$4 * IF(AND(GT$4=1,GN$20=1), HA64, GY64)</f>
        <v>0</v>
      </c>
      <c r="GV64" s="12">
        <f t="shared" ref="GV64:GV69" si="529">GV$4 * IF(AND(GU$4=1,GN$20=1), HA64, GY64)</f>
        <v>0</v>
      </c>
      <c r="GX64" s="30" t="s">
        <v>1308</v>
      </c>
      <c r="GY64">
        <f>_xlfn.XLOOKUP(GX64,'KPI Impacts'!$B$2:$H$2,'KPI Impacts'!$B64:$H64)</f>
        <v>1</v>
      </c>
      <c r="GZ64" s="35" t="s">
        <v>1304</v>
      </c>
      <c r="HA64">
        <f>_xlfn.XLOOKUP(GZ64,'KPI Impacts'!$B$2:$H$2,'KPI Impacts'!$B64:$H64)</f>
        <v>0</v>
      </c>
      <c r="HD64" s="12">
        <f t="shared" ref="HD64:HD69" si="530">HD$4*HO64</f>
        <v>0</v>
      </c>
      <c r="HE64" s="12">
        <f t="shared" ref="HE64:HE69" si="531">HE$4 * IF(AND(HD$4=1,HD$20=1), HQ64, HO64)</f>
        <v>0</v>
      </c>
      <c r="HF64" s="12">
        <f t="shared" ref="HF64:HF69" si="532">HF$4 * IF(AND(HE$4=1,HD$20=1), HQ64, HO64)</f>
        <v>0</v>
      </c>
      <c r="HG64" s="12">
        <f t="shared" ref="HG64:HG69" si="533">HG$4 * IF(AND(HF$4=1,HD$20=1), HQ64, HO64)</f>
        <v>0</v>
      </c>
      <c r="HH64" s="12">
        <f t="shared" ref="HH64:HH69" si="534">HH$4 * IF(AND(HG$4=1,HD$20=1), HQ64, HO64)</f>
        <v>0</v>
      </c>
      <c r="HI64" s="12">
        <f t="shared" ref="HI64:HI69" si="535">HI$4 * IF(AND(HH$4=1,HD$20=1), HQ64, HO64)</f>
        <v>0</v>
      </c>
      <c r="HJ64" s="12">
        <f t="shared" ref="HJ64:HJ69" si="536">HJ$4 * IF(AND(HI$4=1,HD$20=1), HQ64, HO64)</f>
        <v>0</v>
      </c>
      <c r="HK64" s="12">
        <f t="shared" ref="HK64:HK69" si="537">HK$4 * IF(AND(HJ$4=1,HD$20=1), HQ64, HO64)</f>
        <v>0</v>
      </c>
      <c r="HL64" s="12">
        <f t="shared" ref="HL64:HL69" si="538">HL$4 * IF(AND(HK$4=1,HD$20=1), HQ64, HO64)</f>
        <v>0</v>
      </c>
      <c r="HN64" s="16" t="s">
        <v>1304</v>
      </c>
      <c r="HO64">
        <f>_xlfn.XLOOKUP(HN64,'KPI Impacts'!$B$2:$H$2,'KPI Impacts'!$B64:$H64)</f>
        <v>0</v>
      </c>
      <c r="HP64" s="35" t="s">
        <v>1304</v>
      </c>
      <c r="HQ64">
        <f>_xlfn.XLOOKUP(HP64,'KPI Impacts'!$B$2:$H$2,'KPI Impacts'!$B64:$H64)</f>
        <v>0</v>
      </c>
      <c r="HT64" s="12">
        <f t="shared" ref="HT64:HT69" si="539">HT$4*IE64</f>
        <v>0</v>
      </c>
      <c r="HU64" s="12">
        <f t="shared" ref="HU64:HU69" si="540">HU$4 * IF(AND(HT$4=1,HT$20=1), IG64, IE64)</f>
        <v>0</v>
      </c>
      <c r="HV64" s="12">
        <f t="shared" ref="HV64:HV69" si="541">HV$4 * IF(AND(HU$4=1,HT$20=1), IG64, IE64)</f>
        <v>0</v>
      </c>
      <c r="HW64" s="12">
        <f t="shared" ref="HW64:HW69" si="542">HW$4 * IF(AND(HV$4=1,HT$20=1), IG64, IE64)</f>
        <v>0</v>
      </c>
      <c r="HX64" s="12">
        <f t="shared" ref="HX64:HX69" si="543">HX$4 * IF(AND(HW$4=1,HT$20=1), IG64, IE64)</f>
        <v>0</v>
      </c>
      <c r="HY64" s="12">
        <f t="shared" ref="HY64:HY69" si="544">HY$4 * IF(AND(HX$4=1,HT$20=1), IG64, IE64)</f>
        <v>0</v>
      </c>
      <c r="HZ64" s="12">
        <f t="shared" ref="HZ64:HZ69" si="545">HZ$4 * IF(AND(HY$4=1,HT$20=1), IG64, IE64)</f>
        <v>0</v>
      </c>
      <c r="IA64" s="12">
        <f t="shared" ref="IA64:IA69" si="546">IA$4 * IF(AND(HZ$4=1,HT$20=1), IG64, IE64)</f>
        <v>0</v>
      </c>
      <c r="IB64" s="12">
        <f t="shared" ref="IB64:IB69" si="547">IB$4 * IF(AND(IA$4=1,HT$20=1), IG64, IE64)</f>
        <v>0</v>
      </c>
      <c r="ID64" t="s">
        <v>1304</v>
      </c>
      <c r="IE64">
        <f>_xlfn.XLOOKUP(ID64,'KPI Impacts'!$B$2:$H$2,'KPI Impacts'!$B64:$H64)</f>
        <v>0</v>
      </c>
      <c r="IF64" s="35" t="s">
        <v>1304</v>
      </c>
      <c r="IG64">
        <f>_xlfn.XLOOKUP(IF64,'KPI Impacts'!$B$2:$H$2,'KPI Impacts'!$B64:$H64)</f>
        <v>0</v>
      </c>
      <c r="IJ64" s="12">
        <f t="shared" ref="IJ64:IJ69" si="548">IJ$4*IU64</f>
        <v>0</v>
      </c>
      <c r="IK64" s="12">
        <f t="shared" ref="IK64:IK69" si="549">IK$4 * IF(AND(IJ$4=1,IJ$20=1), IW64, IU64)</f>
        <v>0</v>
      </c>
      <c r="IL64" s="12">
        <f t="shared" ref="IL64:IL69" si="550">IL$4 * IF(AND(IK$4=1,IJ$20=1), IW64, IU64)</f>
        <v>0</v>
      </c>
      <c r="IM64" s="12">
        <f t="shared" ref="IM64:IM69" si="551">IM$4 * IF(AND(IL$4=1,IJ$20=1), IW64, IU64)</f>
        <v>0</v>
      </c>
      <c r="IN64" s="12">
        <f t="shared" ref="IN64:IN69" si="552">IN$4 * IF(AND(IM$4=1,IJ$20=1), IW64, IU64)</f>
        <v>0</v>
      </c>
      <c r="IO64" s="12">
        <f t="shared" ref="IO64:IO69" si="553">IO$4 * IF(AND(IN$4=1,IJ$20=1), IW64, IU64)</f>
        <v>0</v>
      </c>
      <c r="IP64" s="12">
        <f t="shared" ref="IP64:IP69" si="554">IP$4 * IF(AND(IO$4=1,IJ$20=1), IW64, IU64)</f>
        <v>0</v>
      </c>
      <c r="IQ64" s="12">
        <f t="shared" ref="IQ64:IQ69" si="555">IQ$4 * IF(AND(IP$4=1,IJ$20=1), IW64, IU64)</f>
        <v>0</v>
      </c>
      <c r="IR64" s="12">
        <f t="shared" ref="IR64:IR69" si="556">IR$4 * IF(AND(IQ$4=1,IJ$20=1), IW64, IU64)</f>
        <v>0</v>
      </c>
      <c r="IT64" t="s">
        <v>1304</v>
      </c>
      <c r="IU64">
        <f>_xlfn.XLOOKUP(IT64,'KPI Impacts'!$B$2:$H$2,'KPI Impacts'!$B64:$H64)</f>
        <v>0</v>
      </c>
      <c r="IV64" s="35" t="s">
        <v>1304</v>
      </c>
      <c r="IW64">
        <f>_xlfn.XLOOKUP(IV64,'KPI Impacts'!$B$2:$H$2,'KPI Impacts'!$B64:$H64)</f>
        <v>0</v>
      </c>
      <c r="IZ64" s="12">
        <f t="shared" ref="IZ64:IZ69" si="557">IZ$4*JK64</f>
        <v>0</v>
      </c>
      <c r="JA64" s="12">
        <f t="shared" ref="JA64:JA69" si="558">JA$4 * IF(AND(IZ$4=1,IZ$20=1), JM64, JK64)</f>
        <v>0</v>
      </c>
      <c r="JB64" s="12">
        <f t="shared" ref="JB64:JB69" si="559">JB$4 * IF(AND(JA$4=1,IZ$20=1), JM64, JK64)</f>
        <v>0</v>
      </c>
      <c r="JC64" s="12">
        <f t="shared" ref="JC64:JC69" si="560">JC$4 * IF(AND(JB$4=1,IZ$20=1), JM64, JK64)</f>
        <v>0</v>
      </c>
      <c r="JD64" s="12">
        <f t="shared" ref="JD64:JD69" si="561">JD$4 * IF(AND(JC$4=1,IZ$20=1), JM64, JK64)</f>
        <v>0</v>
      </c>
      <c r="JE64" s="12">
        <f t="shared" ref="JE64:JE69" si="562">JE$4 * IF(AND(JD$4=1,IZ$20=1), JM64, JK64)</f>
        <v>0</v>
      </c>
      <c r="JF64" s="12">
        <f t="shared" ref="JF64:JF69" si="563">JF$4 * IF(AND(JE$4=1,IZ$20=1), JM64, JK64)</f>
        <v>0</v>
      </c>
      <c r="JG64" s="12">
        <f t="shared" ref="JG64:JG69" si="564">JG$4 * IF(AND(JF$4=1,IZ$20=1), JM64, JK64)</f>
        <v>0</v>
      </c>
      <c r="JH64" s="12">
        <f t="shared" ref="JH64:JH69" si="565">JH$4 * IF(AND(JG$4=1,IZ$20=1), JM64, JK64)</f>
        <v>0</v>
      </c>
      <c r="JJ64" t="s">
        <v>1304</v>
      </c>
      <c r="JK64">
        <f>_xlfn.XLOOKUP(JJ64,'KPI Impacts'!$B$2:$H$2,'KPI Impacts'!$B64:$H64)</f>
        <v>0</v>
      </c>
      <c r="JL64" s="35" t="s">
        <v>1304</v>
      </c>
      <c r="JM64">
        <f>_xlfn.XLOOKUP(JL64,'KPI Impacts'!$B$2:$H$2,'KPI Impacts'!$B64:$H64)</f>
        <v>0</v>
      </c>
      <c r="JP64" s="12">
        <f t="shared" ref="JP64:JP69" si="566">JP$4*KA64</f>
        <v>0</v>
      </c>
      <c r="JQ64" s="12">
        <f t="shared" ref="JQ64:JQ69" si="567">JQ$4 * IF(AND(JP$4=1,JP$20=1), KC64, KA64)</f>
        <v>0</v>
      </c>
      <c r="JR64" s="12">
        <f t="shared" ref="JR64:JR69" si="568">JR$4 * IF(AND(JQ$4=1,JP$20=1), KC64, KA64)</f>
        <v>0</v>
      </c>
      <c r="JS64" s="12">
        <f t="shared" ref="JS64:JS69" si="569">JS$4 * IF(AND(JR$4=1,JP$20=1), KC64, KA64)</f>
        <v>0</v>
      </c>
      <c r="JT64" s="12">
        <f t="shared" ref="JT64:JT69" si="570">JT$4 * IF(AND(JS$4=1,JP$20=1), KC64, KA64)</f>
        <v>0</v>
      </c>
      <c r="JU64" s="12">
        <f t="shared" ref="JU64:JU69" si="571">JU$4 * IF(AND(JT$4=1,JP$20=1), KC64, KA64)</f>
        <v>0</v>
      </c>
      <c r="JV64" s="12">
        <f t="shared" ref="JV64:JV69" si="572">JV$4 * IF(AND(JU$4=1,JP$20=1), KC64, KA64)</f>
        <v>0</v>
      </c>
      <c r="JW64" s="12">
        <f t="shared" ref="JW64:JW69" si="573">JW$4 * IF(AND(JV$4=1,JP$20=1), KC64, KA64)</f>
        <v>0</v>
      </c>
      <c r="JX64" s="12">
        <f t="shared" ref="JX64:JX69" si="574">JX$4 * IF(AND(JW$4=1,JP$20=1), KC64, KA64)</f>
        <v>0</v>
      </c>
      <c r="JZ64" t="s">
        <v>1304</v>
      </c>
      <c r="KA64">
        <f>_xlfn.XLOOKUP(JZ64,'KPI Impacts'!$B$2:$H$2,'KPI Impacts'!$B64:$H64)</f>
        <v>0</v>
      </c>
      <c r="KB64" s="35" t="s">
        <v>1304</v>
      </c>
      <c r="KC64">
        <f>_xlfn.XLOOKUP(KB64,'KPI Impacts'!$B$2:$H$2,'KPI Impacts'!$B64:$H64)</f>
        <v>0</v>
      </c>
      <c r="KF64" s="12">
        <f t="shared" ref="KF64:KF69" si="575">KF$4*KQ64</f>
        <v>0</v>
      </c>
      <c r="KG64" s="12">
        <f t="shared" ref="KG64:KG69" si="576">KG$4 * IF(AND(KF$4=1,KF$20=1), KS64, KQ64)</f>
        <v>0</v>
      </c>
      <c r="KH64" s="12">
        <f t="shared" ref="KH64:KH69" si="577">KH$4 * IF(AND(KG$4=1,KF$20=1), KS64, KQ64)</f>
        <v>0</v>
      </c>
      <c r="KI64" s="12">
        <f t="shared" ref="KI64:KI69" si="578">KI$4 * IF(AND(KH$4=1,KF$20=1), KS64, KQ64)</f>
        <v>0</v>
      </c>
      <c r="KJ64" s="12">
        <f t="shared" ref="KJ64:KJ69" si="579">KJ$4 * IF(AND(KI$4=1,KF$20=1), KS64, KQ64)</f>
        <v>0</v>
      </c>
      <c r="KK64" s="12">
        <f t="shared" ref="KK64:KK69" si="580">KK$4 * IF(AND(KJ$4=1,KF$20=1), KS64, KQ64)</f>
        <v>0</v>
      </c>
      <c r="KL64" s="12">
        <f t="shared" ref="KL64:KL69" si="581">KL$4 * IF(AND(KK$4=1,KF$20=1), KS64, KQ64)</f>
        <v>0</v>
      </c>
      <c r="KM64" s="12">
        <f t="shared" ref="KM64:KM69" si="582">KM$4 * IF(AND(KL$4=1,KF$20=1), KS64, KQ64)</f>
        <v>0</v>
      </c>
      <c r="KN64" s="12">
        <f t="shared" ref="KN64:KN69" si="583">KN$4 * IF(AND(KM$4=1,KF$20=1), KS64, KQ64)</f>
        <v>0</v>
      </c>
      <c r="KP64" t="s">
        <v>1304</v>
      </c>
      <c r="KQ64">
        <f>_xlfn.XLOOKUP(KP64,'KPI Impacts'!$B$2:$H$2,'KPI Impacts'!$B64:$H64)</f>
        <v>0</v>
      </c>
      <c r="KR64" s="35" t="s">
        <v>1304</v>
      </c>
      <c r="KS64">
        <f>_xlfn.XLOOKUP(KR64,'KPI Impacts'!$B$2:$H$2,'KPI Impacts'!$B64:$H64)</f>
        <v>0</v>
      </c>
      <c r="KV64" s="12">
        <f t="shared" ref="KV64:KV69" si="584">KV$4*LG64</f>
        <v>0</v>
      </c>
      <c r="KW64" s="12">
        <f t="shared" ref="KW64:KW69" si="585">KW$4 * IF(AND(KV$4=1,KV$20=1), LI64, LG64)</f>
        <v>0</v>
      </c>
      <c r="KX64" s="12">
        <f t="shared" ref="KX64:KX69" si="586">KX$4 * IF(AND(KW$4=1,KV$20=1), LI64, LG64)</f>
        <v>0</v>
      </c>
      <c r="KY64" s="12">
        <f t="shared" ref="KY64:KY69" si="587">KY$4 * IF(AND(KX$4=1,KV$20=1), LI64, LG64)</f>
        <v>0</v>
      </c>
      <c r="KZ64" s="12">
        <f t="shared" ref="KZ64:KZ69" si="588">KZ$4 * IF(AND(KY$4=1,KV$20=1), LI64, LG64)</f>
        <v>0</v>
      </c>
      <c r="LA64" s="12">
        <f t="shared" ref="LA64:LA69" si="589">LA$4 * IF(AND(KZ$4=1,KV$20=1), LI64, LG64)</f>
        <v>0</v>
      </c>
      <c r="LB64" s="12">
        <f t="shared" ref="LB64:LB69" si="590">LB$4 * IF(AND(LA$4=1,KV$20=1), LI64, LG64)</f>
        <v>0</v>
      </c>
      <c r="LC64" s="12">
        <f t="shared" ref="LC64:LC69" si="591">LC$4 * IF(AND(LB$4=1,KV$20=1), LI64, LG64)</f>
        <v>0</v>
      </c>
      <c r="LD64" s="12">
        <f t="shared" ref="LD64:LD69" si="592">LD$4 * IF(AND(LC$4=1,KV$20=1), LI64, LG64)</f>
        <v>0</v>
      </c>
      <c r="LF64" t="s">
        <v>1304</v>
      </c>
      <c r="LG64">
        <f>_xlfn.XLOOKUP(LF64,'KPI Impacts'!$B$2:$H$2,'KPI Impacts'!$B64:$H64)</f>
        <v>0</v>
      </c>
      <c r="LH64" s="35" t="s">
        <v>1304</v>
      </c>
      <c r="LI64">
        <f>_xlfn.XLOOKUP(LH64,'KPI Impacts'!$B$2:$H$2,'KPI Impacts'!$B64:$H64)</f>
        <v>0</v>
      </c>
      <c r="LL64" s="12">
        <f t="shared" ref="LL64:LL69" si="593">LL$4*LW64</f>
        <v>0</v>
      </c>
      <c r="LM64" s="12">
        <f t="shared" ref="LM64:LM69" si="594">LM$4 * IF(AND(LL$4=1,LL$20=1), LY64, LW64)</f>
        <v>0</v>
      </c>
      <c r="LN64" s="12">
        <f t="shared" ref="LN64:LN69" si="595">LN$4 * IF(AND(LM$4=1,LL$20=1), LY64, LW64)</f>
        <v>0</v>
      </c>
      <c r="LO64" s="12">
        <f t="shared" ref="LO64:LO69" si="596">LO$4 * IF(AND(LN$4=1,LL$20=1), LY64, LW64)</f>
        <v>0</v>
      </c>
      <c r="LP64" s="12">
        <f t="shared" ref="LP64:LP69" si="597">LP$4 * IF(AND(LO$4=1,LL$20=1), LY64, LW64)</f>
        <v>0</v>
      </c>
      <c r="LQ64" s="12">
        <f t="shared" ref="LQ64:LQ69" si="598">LQ$4 * IF(AND(LP$4=1,LL$20=1), LY64, LW64)</f>
        <v>0</v>
      </c>
      <c r="LR64" s="12">
        <f t="shared" ref="LR64:LR69" si="599">LR$4 * IF(AND(LQ$4=1,LL$20=1), LY64, LW64)</f>
        <v>0</v>
      </c>
      <c r="LS64" s="12">
        <f t="shared" ref="LS64:LS69" si="600">LS$4 * IF(AND(LR$4=1,LL$20=1), LY64, LW64)</f>
        <v>0</v>
      </c>
      <c r="LT64" s="12">
        <f t="shared" ref="LT64:LT69" si="601">LT$4 * IF(AND(LS$4=1,LL$20=1), LY64, LW64)</f>
        <v>0</v>
      </c>
      <c r="LV64" t="s">
        <v>1304</v>
      </c>
      <c r="LW64">
        <f>_xlfn.XLOOKUP(LV64,'KPI Impacts'!$B$2:$H$2,'KPI Impacts'!$B64:$H64)</f>
        <v>0</v>
      </c>
      <c r="LX64" s="35" t="s">
        <v>1304</v>
      </c>
      <c r="LY64">
        <f>_xlfn.XLOOKUP(LX64,'KPI Impacts'!$B$2:$H$2,'KPI Impacts'!$B64:$H64)</f>
        <v>0</v>
      </c>
      <c r="MB64" s="12">
        <f t="shared" ref="MB64:MB69" si="602">MB$4*MM64</f>
        <v>0</v>
      </c>
      <c r="MC64" s="12">
        <f t="shared" ref="MC64:MC69" si="603">MC$4 * IF(AND(MB$4=1,MB$20=1), MO64, MM64)</f>
        <v>0</v>
      </c>
      <c r="MD64" s="12">
        <f t="shared" ref="MD64:MD69" si="604">MD$4 * IF(AND(MC$4=1,MB$20=1), MO64, MM64)</f>
        <v>0</v>
      </c>
      <c r="ME64" s="12">
        <f t="shared" ref="ME64:ME69" si="605">ME$4 * IF(AND(MD$4=1,MB$20=1), MO64, MM64)</f>
        <v>0</v>
      </c>
      <c r="MF64" s="12">
        <f t="shared" ref="MF64:MF69" si="606">MF$4 * IF(AND(ME$4=1,MB$20=1), MO64, MM64)</f>
        <v>0</v>
      </c>
      <c r="MG64" s="12">
        <f t="shared" ref="MG64:MG69" si="607">MG$4 * IF(AND(MF$4=1,MB$20=1), MO64, MM64)</f>
        <v>0</v>
      </c>
      <c r="MH64" s="12">
        <f t="shared" ref="MH64:MH69" si="608">MH$4 * IF(AND(MG$4=1,MB$20=1), MO64, MM64)</f>
        <v>0</v>
      </c>
      <c r="MI64" s="12">
        <f t="shared" ref="MI64:MI69" si="609">MI$4 * IF(AND(MH$4=1,MB$20=1), MO64, MM64)</f>
        <v>0</v>
      </c>
      <c r="MJ64" s="12">
        <f t="shared" ref="MJ64:MJ69" si="610">MJ$4 * IF(AND(MI$4=1,MB$20=1), MO64, MM64)</f>
        <v>0</v>
      </c>
      <c r="ML64" t="s">
        <v>1304</v>
      </c>
      <c r="MM64">
        <f>_xlfn.XLOOKUP(ML64,'KPI Impacts'!$B$2:$H$2,'KPI Impacts'!$B64:$H64)</f>
        <v>0</v>
      </c>
      <c r="MN64" s="35" t="s">
        <v>1304</v>
      </c>
      <c r="MO64">
        <f>_xlfn.XLOOKUP(MN64,'KPI Impacts'!$B$2:$H$2,'KPI Impacts'!$B64:$H64)</f>
        <v>0</v>
      </c>
      <c r="MR64" s="12">
        <f t="shared" ref="MR64:MR69" si="611">MR$4*NC64</f>
        <v>0</v>
      </c>
      <c r="MS64" s="12">
        <f t="shared" ref="MS64:MS69" si="612">MS$4 * IF(AND(MR$4=1,MR$20=1), NE64, NC64)</f>
        <v>0</v>
      </c>
      <c r="MT64" s="12">
        <f t="shared" ref="MT64:MT69" si="613">MT$4 * IF(AND(MS$4=1,MR$20=1), NE64, NC64)</f>
        <v>0</v>
      </c>
      <c r="MU64" s="12">
        <f t="shared" ref="MU64:MU69" si="614">MU$4 * IF(AND(MT$4=1,MR$20=1), NE64, NC64)</f>
        <v>0</v>
      </c>
      <c r="MV64" s="12">
        <f t="shared" ref="MV64:MV69" si="615">MV$4 * IF(AND(MU$4=1,MR$20=1), NE64, NC64)</f>
        <v>0</v>
      </c>
      <c r="MW64" s="12">
        <f t="shared" ref="MW64:MW69" si="616">MW$4 * IF(AND(MV$4=1,MR$20=1), NE64, NC64)</f>
        <v>0</v>
      </c>
      <c r="MX64" s="12">
        <f t="shared" ref="MX64:MX69" si="617">MX$4 * IF(AND(MW$4=1,MR$20=1), NE64, NC64)</f>
        <v>0</v>
      </c>
      <c r="MY64" s="12">
        <f t="shared" ref="MY64:MY69" si="618">MY$4 * IF(AND(MX$4=1,MR$20=1), NE64, NC64)</f>
        <v>0</v>
      </c>
      <c r="MZ64" s="12">
        <f t="shared" ref="MZ64:MZ69" si="619">MZ$4 * IF(AND(MY$4=1,MR$20=1), NE64, NC64)</f>
        <v>0</v>
      </c>
      <c r="NB64" t="s">
        <v>1304</v>
      </c>
      <c r="NC64">
        <f>_xlfn.XLOOKUP(NB64,'KPI Impacts'!$B$2:$H$2,'KPI Impacts'!$B64:$H64)</f>
        <v>0</v>
      </c>
      <c r="ND64" s="35" t="s">
        <v>1304</v>
      </c>
      <c r="NE64">
        <f>_xlfn.XLOOKUP(ND64,'KPI Impacts'!$B$2:$H$2,'KPI Impacts'!$B64:$H64)</f>
        <v>0</v>
      </c>
      <c r="NH64" s="12">
        <f t="shared" ref="NH64:NH69" si="620">NH$4*NS64</f>
        <v>0</v>
      </c>
      <c r="NI64" s="12">
        <f t="shared" ref="NI64:NI69" si="621">NI$4 * IF(AND(NH$4=1,NH$20=1), NU64, NS64)</f>
        <v>0</v>
      </c>
      <c r="NJ64" s="12">
        <f t="shared" ref="NJ64:NJ69" si="622">NJ$4 * IF(AND(NI$4=1,NH$20=1), NU64, NS64)</f>
        <v>0</v>
      </c>
      <c r="NK64" s="12">
        <f t="shared" ref="NK64:NK69" si="623">NK$4 * IF(AND(NJ$4=1,NH$20=1), NU64, NS64)</f>
        <v>0</v>
      </c>
      <c r="NL64" s="12">
        <f t="shared" ref="NL64:NL69" si="624">NL$4 * IF(AND(NK$4=1,NH$20=1), NU64, NS64)</f>
        <v>0</v>
      </c>
      <c r="NM64" s="12">
        <f t="shared" ref="NM64:NM69" si="625">NM$4 * IF(AND(NL$4=1,NH$20=1), NU64, NS64)</f>
        <v>0</v>
      </c>
      <c r="NN64" s="12">
        <f t="shared" ref="NN64:NN69" si="626">NN$4 * IF(AND(NM$4=1,NH$20=1), NU64, NS64)</f>
        <v>0</v>
      </c>
      <c r="NO64" s="12">
        <f t="shared" ref="NO64:NO69" si="627">NO$4 * IF(AND(NN$4=1,NH$20=1), NU64, NS64)</f>
        <v>0</v>
      </c>
      <c r="NP64" s="12">
        <f t="shared" ref="NP64:NP69" si="628">NP$4 * IF(AND(NO$4=1,NH$20=1), NU64, NS64)</f>
        <v>0</v>
      </c>
      <c r="NR64" t="s">
        <v>1304</v>
      </c>
      <c r="NS64">
        <f>_xlfn.XLOOKUP(NR64,'KPI Impacts'!$B$2:$H$2,'KPI Impacts'!$B64:$H64)</f>
        <v>0</v>
      </c>
      <c r="NT64" s="35" t="s">
        <v>1304</v>
      </c>
      <c r="NU64">
        <f>_xlfn.XLOOKUP(NT64,'KPI Impacts'!$B$2:$H$2,'KPI Impacts'!$B64:$H64)</f>
        <v>0</v>
      </c>
      <c r="NX64" s="12">
        <f t="shared" ref="NX64:NX69" si="629">NX$4*OI64</f>
        <v>0</v>
      </c>
      <c r="NY64" s="12">
        <f t="shared" ref="NY64:NY69" si="630">NY$4 * IF(AND(NX$4=1,NX$20=1), OK64, OI64)</f>
        <v>0</v>
      </c>
      <c r="NZ64" s="12">
        <f t="shared" ref="NZ64:NZ69" si="631">NZ$4 * IF(AND(NY$4=1,NX$20=1), OK64, OI64)</f>
        <v>0</v>
      </c>
      <c r="OA64" s="12">
        <f t="shared" ref="OA64:OA69" si="632">OA$4 * IF(AND(NZ$4=1,NX$20=1), OK64, OI64)</f>
        <v>0</v>
      </c>
      <c r="OB64" s="12">
        <f t="shared" ref="OB64:OB69" si="633">OB$4 * IF(AND(OA$4=1,NX$20=1), OK64, OI64)</f>
        <v>0</v>
      </c>
      <c r="OC64" s="12">
        <f t="shared" ref="OC64:OC69" si="634">OC$4 * IF(AND(OB$4=1,NX$20=1), OK64, OI64)</f>
        <v>0</v>
      </c>
      <c r="OD64" s="12">
        <f t="shared" ref="OD64:OD69" si="635">OD$4 * IF(AND(OC$4=1,NX$20=1), OK64, OI64)</f>
        <v>0</v>
      </c>
      <c r="OE64" s="12">
        <f t="shared" ref="OE64:OE69" si="636">OE$4 * IF(AND(OD$4=1,NX$20=1), OK64, OI64)</f>
        <v>0</v>
      </c>
      <c r="OF64" s="12">
        <f t="shared" ref="OF64:OF69" si="637">OF$4 * IF(AND(OE$4=1,NX$20=1), OK64, OI64)</f>
        <v>0</v>
      </c>
      <c r="OH64" t="s">
        <v>1304</v>
      </c>
      <c r="OI64">
        <f>_xlfn.XLOOKUP(OH64,'KPI Impacts'!$B$2:$H$2,'KPI Impacts'!$B64:$H64)</f>
        <v>0</v>
      </c>
      <c r="OJ64" s="35" t="s">
        <v>1304</v>
      </c>
      <c r="OK64">
        <f>_xlfn.XLOOKUP(OJ64,'KPI Impacts'!$B$2:$H$2,'KPI Impacts'!$B64:$H64)</f>
        <v>0</v>
      </c>
    </row>
    <row r="65" spans="1:401" x14ac:dyDescent="0.2">
      <c r="A65" t="s">
        <v>47</v>
      </c>
      <c r="B65" s="12">
        <f t="shared" ref="B65:B76" si="638">P65+AH65+AZ65+BP65+CF65+CV65+DL65+EB65+ER65+FH65+FX65+GN65+HD65+HT65+IJ65+IZ65+JP65+KF65+KV65+LL65+MB65+MR65+NH65+NX65</f>
        <v>0</v>
      </c>
      <c r="C65" s="12">
        <f t="shared" ref="C65:C76" si="639">Q65+AI65+BA65+BQ65+CG65+CW65+DM65+EC65+ES65+FI65+FY65+GO65+HE65+HU65+IK65+JA65+JQ65+KG65+KW65+LM65+MC65+MS65+NI65+NY65</f>
        <v>0</v>
      </c>
      <c r="D65" s="12">
        <f t="shared" ref="D65:D76" si="640">R65+AJ65+BB65+BR65+CH65+CX65+DN65+ED65+ET65+FJ65+FZ65+GP65+HF65+HV65+IL65+JB65+JR65+KH65+KX65+LN65+MD65+MT65+NJ65+NZ65</f>
        <v>0</v>
      </c>
      <c r="E65" s="12">
        <f t="shared" ref="E65:E76" si="641">S65+AK65+BC65+BS65+CI65+CY65+DO65+EE65+EU65+FK65+GA65+GQ65+HG65+HW65+IM65+JC65+JS65+KI65+KY65+LO65+ME65+MU65+NK65+OA65</f>
        <v>0</v>
      </c>
      <c r="F65" s="12">
        <f t="shared" ref="F65:F76" si="642">T65+AL65+BD65+BT65+CJ65+CZ65+DP65+EF65+EV65+FL65+GB65+GR65+HH65+HX65+IN65+JD65+JT65+KJ65+KZ65+LP65+MF65+MV65+NL65+OB65</f>
        <v>0</v>
      </c>
      <c r="G65" s="12">
        <f t="shared" ref="G65:G76" si="643">U65+AM65+BE65+BU65+CK65+DA65+DQ65+EG65+EW65+FM65+GC65+GS65+HI65+HY65+IO65+JE65+JU65+KK65+LA65+LQ65+MG65+MW65+NM65+OC65</f>
        <v>0</v>
      </c>
      <c r="H65" s="12">
        <f t="shared" ref="H65:H76" si="644">V65+AN65+BF65+BV65+CL65+DB65+DR65+EH65+EX65+FN65+GD65+GT65+HJ65+HZ65+IP65+JF65+JV65+KL65+LB65+LR65+MH65+MX65+NN65+OD65</f>
        <v>0</v>
      </c>
      <c r="I65" s="12">
        <f t="shared" ref="I65:I76" si="645">W65+AO65+BG65+BW65+CM65+DC65+DS65+EI65+EY65+FO65+GE65+GU65+HK65+IA65+IQ65+JG65+JW65+KM65+LC65+LS65+MI65+MY65+NO65+OE65</f>
        <v>0</v>
      </c>
      <c r="J65" s="12">
        <f t="shared" ref="J65:J76" si="646">X65+AP65+BH65+BX65+CN65+DD65+DT65+EJ65+EZ65+FP65+GF65+GV65+HL65+IB65+IR65+JH65+JX65+KN65+LD65+LT65+MJ65+MZ65+NP65+OF65</f>
        <v>0</v>
      </c>
      <c r="P65" s="12" cm="1">
        <f t="array" ref="P65">_xlfn.SWITCH(P$4, 0,0, 1, AA65,2,AC65,3,AE65,0)</f>
        <v>0</v>
      </c>
      <c r="Q65" s="12" cm="1">
        <f t="array" ref="Q65">_xlfn.SWITCH(Q$4, 0,0, 1, AA65,2,AC65,3,AE65,0)+P65</f>
        <v>0</v>
      </c>
      <c r="R65" s="12" cm="1">
        <f t="array" ref="R65">_xlfn.SWITCH(R$4, 0,0, 1, AA65,2,AC65,3,AE65,0)+Q65</f>
        <v>0</v>
      </c>
      <c r="S65" s="12" cm="1">
        <f t="array" ref="S65">_xlfn.SWITCH(S$4, 0,0, 1, AA65,2,AC65,3,AE65,0)+R65</f>
        <v>0</v>
      </c>
      <c r="T65" s="12" cm="1">
        <f t="array" ref="T65">_xlfn.SWITCH(T$4, 0,0, 1, AA65,2,AC65,3,AE65,0)+S65</f>
        <v>0</v>
      </c>
      <c r="U65" s="12" cm="1">
        <f t="array" ref="U65">_xlfn.SWITCH(U$4, 0,0, 1, AA65,2,AC65,3,AE65,0)+T65</f>
        <v>0</v>
      </c>
      <c r="V65" s="12" cm="1">
        <f t="array" ref="V65">_xlfn.SWITCH(V$4, 0,0, 1, AA65,2,AC65,3,AE65,0)+U65</f>
        <v>0</v>
      </c>
      <c r="W65" s="12" cm="1">
        <f t="array" ref="W65">_xlfn.SWITCH(W$4, 0,0, 1, AA65,2,AC65,3,AE65,0)+V65</f>
        <v>0</v>
      </c>
      <c r="X65" s="12" cm="1">
        <f t="array" ref="X65">_xlfn.SWITCH(X$4, 0,0, 1, AA65,2,AC65,3,AE65,0)+W65</f>
        <v>0</v>
      </c>
      <c r="Z65" t="s">
        <v>1304</v>
      </c>
      <c r="AA65">
        <f>_xlfn.XLOOKUP(Z65,'KPI Impacts'!$K$2:$Q$2,'KPI Impacts'!$K65:$Q65)</f>
        <v>0</v>
      </c>
      <c r="AB65" t="s">
        <v>1304</v>
      </c>
      <c r="AC65">
        <f>_xlfn.XLOOKUP(AB65,'KPI Impacts'!$K$2:$Q$2,'KPI Impacts'!$K65:$Q65)</f>
        <v>0</v>
      </c>
      <c r="AD65" t="s">
        <v>1304</v>
      </c>
      <c r="AE65">
        <f>_xlfn.XLOOKUP(AD65,'KPI Impacts'!$K$2:$Q$2,'KPI Impacts'!$K65:$Q65)</f>
        <v>0</v>
      </c>
      <c r="AH65" s="12" cm="1">
        <f t="array" ref="AH65">_xlfn.SWITCH(AH$4, 0,0, 1, AS65,2,AU65,3,AW65,0)</f>
        <v>0</v>
      </c>
      <c r="AI65" s="12" cm="1">
        <f t="array" ref="AI65">_xlfn.SWITCH(AI$4, 0,0, 1, AS65,2,AU65,3,AW65,0)+AH65</f>
        <v>0</v>
      </c>
      <c r="AJ65" s="12" cm="1">
        <f t="array" ref="AJ65">_xlfn.SWITCH(AJ$4, 0,0, 1, AS65,2,AU65,3,AW65,0)+AI65</f>
        <v>0</v>
      </c>
      <c r="AK65" s="12" cm="1">
        <f t="array" ref="AK65">_xlfn.SWITCH(AK$4, 0,0, 1, AS65,2,AU65,3,AW65,0)+AJ65</f>
        <v>0</v>
      </c>
      <c r="AL65" s="12" cm="1">
        <f t="array" ref="AL65">_xlfn.SWITCH(AL$4, 0,0, 1, AS65,2,AU65,3,AW65,0)+AK65</f>
        <v>0</v>
      </c>
      <c r="AM65" s="12" cm="1">
        <f t="array" ref="AM65">_xlfn.SWITCH(AM$4, 0,0, 1, AS65,2,AU65,3,AW65,0)+AL65</f>
        <v>0</v>
      </c>
      <c r="AN65" s="12" cm="1">
        <f t="array" ref="AN65">_xlfn.SWITCH(AN$4, 0,0, 1, AS65,2,AU65,3,AW65,0)+AM65</f>
        <v>0</v>
      </c>
      <c r="AO65" s="12" cm="1">
        <f t="array" ref="AO65">_xlfn.SWITCH(AO$4, 0,0, 1, AS65,2,AU65,3,AW65,0)+AN65</f>
        <v>0</v>
      </c>
      <c r="AP65" s="12" cm="1">
        <f t="array" ref="AP65">_xlfn.SWITCH(AP$4, 0,0, 1, AS65,2,AU65,3,AW65,0)+AO65</f>
        <v>0</v>
      </c>
      <c r="AR65" t="s">
        <v>1304</v>
      </c>
      <c r="AS65">
        <f>_xlfn.XLOOKUP(AR65,'KPI Impacts'!$K$2:$Q$2,'KPI Impacts'!$K65:$Q65)</f>
        <v>0</v>
      </c>
      <c r="AT65" t="s">
        <v>1304</v>
      </c>
      <c r="AU65">
        <f>_xlfn.XLOOKUP(AT65,'KPI Impacts'!$K$2:$Q$2,'KPI Impacts'!$K65:$Q65)</f>
        <v>0</v>
      </c>
      <c r="AV65" t="s">
        <v>1304</v>
      </c>
      <c r="AW65">
        <f>_xlfn.XLOOKUP(AV65,'KPI Impacts'!$K$2:$Q$2,'KPI Impacts'!$K65:$Q65)</f>
        <v>0</v>
      </c>
      <c r="AZ65" s="12">
        <f t="shared" si="440"/>
        <v>0</v>
      </c>
      <c r="BA65" s="12">
        <f t="shared" si="441"/>
        <v>0</v>
      </c>
      <c r="BB65" s="12">
        <f t="shared" si="442"/>
        <v>0</v>
      </c>
      <c r="BC65" s="12">
        <f t="shared" si="443"/>
        <v>0</v>
      </c>
      <c r="BD65" s="12">
        <f t="shared" si="444"/>
        <v>0</v>
      </c>
      <c r="BE65" s="12">
        <f t="shared" si="445"/>
        <v>0</v>
      </c>
      <c r="BF65" s="12">
        <f t="shared" si="446"/>
        <v>0</v>
      </c>
      <c r="BG65" s="12">
        <f t="shared" si="447"/>
        <v>0</v>
      </c>
      <c r="BH65" s="12">
        <f t="shared" si="448"/>
        <v>0</v>
      </c>
      <c r="BJ65" s="16" t="s">
        <v>1304</v>
      </c>
      <c r="BK65">
        <f>_xlfn.XLOOKUP(BJ65,'KPI Impacts'!$B$2:$H$2,'KPI Impacts'!$B65:$H65)</f>
        <v>0</v>
      </c>
      <c r="BL65" s="35" t="s">
        <v>1304</v>
      </c>
      <c r="BM65">
        <f>_xlfn.XLOOKUP(BL65,'KPI Impacts'!$B$2:$H$2,'KPI Impacts'!$B65:$H65)</f>
        <v>0</v>
      </c>
      <c r="BP65" s="12">
        <f t="shared" si="449"/>
        <v>0</v>
      </c>
      <c r="BQ65" s="12">
        <f t="shared" si="450"/>
        <v>0</v>
      </c>
      <c r="BR65" s="12">
        <f t="shared" si="451"/>
        <v>0</v>
      </c>
      <c r="BS65" s="12">
        <f t="shared" si="452"/>
        <v>0</v>
      </c>
      <c r="BT65" s="12">
        <f t="shared" si="453"/>
        <v>0</v>
      </c>
      <c r="BU65" s="12">
        <f t="shared" si="454"/>
        <v>0</v>
      </c>
      <c r="BV65" s="12">
        <f t="shared" si="455"/>
        <v>0</v>
      </c>
      <c r="BW65" s="12">
        <f t="shared" si="456"/>
        <v>0</v>
      </c>
      <c r="BX65" s="12">
        <f t="shared" si="457"/>
        <v>0</v>
      </c>
      <c r="BZ65" s="16" t="s">
        <v>1304</v>
      </c>
      <c r="CA65">
        <f>_xlfn.XLOOKUP(BZ65,'KPI Impacts'!$B$2:$H$2,'KPI Impacts'!$B65:$H65)</f>
        <v>0</v>
      </c>
      <c r="CB65" s="35" t="s">
        <v>1304</v>
      </c>
      <c r="CC65">
        <f>_xlfn.XLOOKUP(CB65,'KPI Impacts'!$B$2:$H$2,'KPI Impacts'!$B65:$H65)</f>
        <v>0</v>
      </c>
      <c r="CF65" s="12">
        <f t="shared" si="458"/>
        <v>0</v>
      </c>
      <c r="CG65" s="12">
        <f t="shared" si="459"/>
        <v>0</v>
      </c>
      <c r="CH65" s="12">
        <f t="shared" si="460"/>
        <v>0</v>
      </c>
      <c r="CI65" s="12">
        <f t="shared" si="461"/>
        <v>0</v>
      </c>
      <c r="CJ65" s="12">
        <f t="shared" si="462"/>
        <v>0</v>
      </c>
      <c r="CK65" s="12">
        <f t="shared" si="463"/>
        <v>0</v>
      </c>
      <c r="CL65" s="12">
        <f t="shared" si="464"/>
        <v>0</v>
      </c>
      <c r="CM65" s="12">
        <f t="shared" si="465"/>
        <v>0</v>
      </c>
      <c r="CN65" s="12">
        <f t="shared" si="466"/>
        <v>0</v>
      </c>
      <c r="CP65" s="16" t="s">
        <v>1304</v>
      </c>
      <c r="CQ65">
        <f>_xlfn.XLOOKUP(CP65,'KPI Impacts'!$B$2:$H$2,'KPI Impacts'!$B65:$H65)</f>
        <v>0</v>
      </c>
      <c r="CR65" s="35" t="s">
        <v>1304</v>
      </c>
      <c r="CS65">
        <f>_xlfn.XLOOKUP(CR65,'KPI Impacts'!$B$2:$H$2,'KPI Impacts'!$B65:$H65)</f>
        <v>0</v>
      </c>
      <c r="CV65" s="12">
        <f t="shared" si="467"/>
        <v>0</v>
      </c>
      <c r="CW65" s="12">
        <f t="shared" si="468"/>
        <v>0</v>
      </c>
      <c r="CX65" s="12">
        <f t="shared" si="469"/>
        <v>0</v>
      </c>
      <c r="CY65" s="12">
        <f t="shared" si="470"/>
        <v>0</v>
      </c>
      <c r="CZ65" s="12">
        <f t="shared" si="471"/>
        <v>0</v>
      </c>
      <c r="DA65" s="12">
        <f t="shared" si="472"/>
        <v>0</v>
      </c>
      <c r="DB65" s="12">
        <f t="shared" si="473"/>
        <v>0</v>
      </c>
      <c r="DC65" s="12">
        <f t="shared" si="474"/>
        <v>0</v>
      </c>
      <c r="DD65" s="12">
        <f t="shared" si="475"/>
        <v>0</v>
      </c>
      <c r="DF65" s="16" t="s">
        <v>1304</v>
      </c>
      <c r="DG65">
        <f>_xlfn.XLOOKUP(DF65,'KPI Impacts'!$B$2:$H$2,'KPI Impacts'!$B65:$H65)</f>
        <v>0</v>
      </c>
      <c r="DH65" s="35" t="s">
        <v>1304</v>
      </c>
      <c r="DI65">
        <f>_xlfn.XLOOKUP(DH65,'KPI Impacts'!$B$2:$H$2,'KPI Impacts'!$B65:$H65)</f>
        <v>0</v>
      </c>
      <c r="DL65" s="12">
        <f t="shared" si="476"/>
        <v>0</v>
      </c>
      <c r="DM65" s="12">
        <f t="shared" si="477"/>
        <v>0</v>
      </c>
      <c r="DN65" s="12">
        <f t="shared" si="478"/>
        <v>0</v>
      </c>
      <c r="DO65" s="12">
        <f t="shared" si="479"/>
        <v>0</v>
      </c>
      <c r="DP65" s="12">
        <f t="shared" si="480"/>
        <v>0</v>
      </c>
      <c r="DQ65" s="12">
        <f t="shared" si="481"/>
        <v>0</v>
      </c>
      <c r="DR65" s="12">
        <f t="shared" si="482"/>
        <v>0</v>
      </c>
      <c r="DS65" s="12">
        <f t="shared" si="483"/>
        <v>0</v>
      </c>
      <c r="DT65" s="12">
        <f t="shared" si="484"/>
        <v>0</v>
      </c>
      <c r="DV65" s="30" t="s">
        <v>1308</v>
      </c>
      <c r="DW65">
        <f>_xlfn.XLOOKUP(DV65,'KPI Impacts'!$B$2:$H$2,'KPI Impacts'!$B65:$H65)</f>
        <v>1</v>
      </c>
      <c r="DX65" s="35" t="s">
        <v>1304</v>
      </c>
      <c r="DY65">
        <f>_xlfn.XLOOKUP(DX65,'KPI Impacts'!$B$2:$H$2,'KPI Impacts'!$B65:$H65)</f>
        <v>0</v>
      </c>
      <c r="EB65" s="12">
        <f t="shared" si="485"/>
        <v>0</v>
      </c>
      <c r="EC65" s="12">
        <f t="shared" si="486"/>
        <v>0</v>
      </c>
      <c r="ED65" s="12">
        <f t="shared" si="487"/>
        <v>0</v>
      </c>
      <c r="EE65" s="12">
        <f t="shared" si="488"/>
        <v>0</v>
      </c>
      <c r="EF65" s="12">
        <f t="shared" si="489"/>
        <v>0</v>
      </c>
      <c r="EG65" s="12">
        <f t="shared" si="490"/>
        <v>0</v>
      </c>
      <c r="EH65" s="12">
        <f t="shared" si="491"/>
        <v>0</v>
      </c>
      <c r="EI65" s="12">
        <f t="shared" si="492"/>
        <v>0</v>
      </c>
      <c r="EJ65" s="12">
        <f t="shared" si="493"/>
        <v>0</v>
      </c>
      <c r="EL65" s="16" t="s">
        <v>1304</v>
      </c>
      <c r="EM65">
        <f>_xlfn.XLOOKUP(EL65,'KPI Impacts'!$B$2:$H$2,'KPI Impacts'!$B65:$H65)</f>
        <v>0</v>
      </c>
      <c r="EN65" s="35" t="s">
        <v>1304</v>
      </c>
      <c r="EO65">
        <f>_xlfn.XLOOKUP(EN65,'KPI Impacts'!$B$2:$H$2,'KPI Impacts'!$B65:$H65)</f>
        <v>0</v>
      </c>
      <c r="ER65" s="12">
        <f t="shared" si="494"/>
        <v>0</v>
      </c>
      <c r="ES65" s="12">
        <f t="shared" si="495"/>
        <v>0</v>
      </c>
      <c r="ET65" s="12">
        <f t="shared" si="496"/>
        <v>0</v>
      </c>
      <c r="EU65" s="12">
        <f t="shared" si="497"/>
        <v>0</v>
      </c>
      <c r="EV65" s="12">
        <f t="shared" si="498"/>
        <v>0</v>
      </c>
      <c r="EW65" s="12">
        <f t="shared" si="499"/>
        <v>0</v>
      </c>
      <c r="EX65" s="12">
        <f t="shared" si="500"/>
        <v>0</v>
      </c>
      <c r="EY65" s="12">
        <f t="shared" si="501"/>
        <v>0</v>
      </c>
      <c r="EZ65" s="12">
        <f t="shared" si="502"/>
        <v>0</v>
      </c>
      <c r="FB65" s="16" t="s">
        <v>1304</v>
      </c>
      <c r="FC65">
        <f>_xlfn.XLOOKUP(FB65,'KPI Impacts'!$B$2:$H$2,'KPI Impacts'!$B65:$H65)</f>
        <v>0</v>
      </c>
      <c r="FD65" s="35" t="s">
        <v>1304</v>
      </c>
      <c r="FE65">
        <f>_xlfn.XLOOKUP(FD65,'KPI Impacts'!$B$2:$H$2,'KPI Impacts'!$B65:$H65)</f>
        <v>0</v>
      </c>
      <c r="FH65" s="12">
        <f t="shared" si="503"/>
        <v>0</v>
      </c>
      <c r="FI65" s="12">
        <f t="shared" si="504"/>
        <v>0</v>
      </c>
      <c r="FJ65" s="12">
        <f t="shared" si="505"/>
        <v>0</v>
      </c>
      <c r="FK65" s="12">
        <f t="shared" si="506"/>
        <v>0</v>
      </c>
      <c r="FL65" s="12">
        <f t="shared" si="507"/>
        <v>0</v>
      </c>
      <c r="FM65" s="12">
        <f t="shared" si="508"/>
        <v>0</v>
      </c>
      <c r="FN65" s="12">
        <f t="shared" si="509"/>
        <v>0</v>
      </c>
      <c r="FO65" s="12">
        <f t="shared" si="510"/>
        <v>0</v>
      </c>
      <c r="FP65" s="12">
        <f t="shared" si="511"/>
        <v>0</v>
      </c>
      <c r="FR65" s="30" t="s">
        <v>1310</v>
      </c>
      <c r="FS65">
        <f>_xlfn.XLOOKUP(FR65,'KPI Impacts'!$B$2:$H$2,'KPI Impacts'!$B65:$H65)</f>
        <v>2</v>
      </c>
      <c r="FT65" s="35" t="s">
        <v>1304</v>
      </c>
      <c r="FU65">
        <f>_xlfn.XLOOKUP(FT65,'KPI Impacts'!$B$2:$H$2,'KPI Impacts'!$B65:$H65)</f>
        <v>0</v>
      </c>
      <c r="FX65" s="12">
        <f t="shared" si="512"/>
        <v>0</v>
      </c>
      <c r="FY65" s="12">
        <f t="shared" si="513"/>
        <v>0</v>
      </c>
      <c r="FZ65" s="12">
        <f t="shared" si="514"/>
        <v>0</v>
      </c>
      <c r="GA65" s="12">
        <f t="shared" si="515"/>
        <v>0</v>
      </c>
      <c r="GB65" s="12">
        <f t="shared" si="516"/>
        <v>0</v>
      </c>
      <c r="GC65" s="12">
        <f t="shared" si="517"/>
        <v>0</v>
      </c>
      <c r="GD65" s="12">
        <f t="shared" si="518"/>
        <v>0</v>
      </c>
      <c r="GE65" s="12">
        <f t="shared" si="519"/>
        <v>0</v>
      </c>
      <c r="GF65" s="12">
        <f t="shared" si="520"/>
        <v>0</v>
      </c>
      <c r="GH65" s="16" t="s">
        <v>1304</v>
      </c>
      <c r="GI65">
        <f>_xlfn.XLOOKUP(GH65,'KPI Impacts'!$B$2:$H$2,'KPI Impacts'!$B65:$H65)</f>
        <v>0</v>
      </c>
      <c r="GJ65" s="35" t="s">
        <v>1304</v>
      </c>
      <c r="GK65">
        <f>_xlfn.XLOOKUP(GJ65,'KPI Impacts'!$B$2:$H$2,'KPI Impacts'!$B65:$H65)</f>
        <v>0</v>
      </c>
      <c r="GN65" s="12">
        <f t="shared" si="521"/>
        <v>0</v>
      </c>
      <c r="GO65" s="12">
        <f t="shared" si="522"/>
        <v>0</v>
      </c>
      <c r="GP65" s="12">
        <f t="shared" si="523"/>
        <v>0</v>
      </c>
      <c r="GQ65" s="12">
        <f t="shared" si="524"/>
        <v>0</v>
      </c>
      <c r="GR65" s="12">
        <f t="shared" si="525"/>
        <v>0</v>
      </c>
      <c r="GS65" s="12">
        <f t="shared" si="526"/>
        <v>0</v>
      </c>
      <c r="GT65" s="12">
        <f t="shared" si="527"/>
        <v>0</v>
      </c>
      <c r="GU65" s="12">
        <f t="shared" si="528"/>
        <v>0</v>
      </c>
      <c r="GV65" s="12">
        <f t="shared" si="529"/>
        <v>0</v>
      </c>
      <c r="GX65" s="16" t="s">
        <v>1304</v>
      </c>
      <c r="GY65">
        <f>_xlfn.XLOOKUP(GX65,'KPI Impacts'!$B$2:$H$2,'KPI Impacts'!$B65:$H65)</f>
        <v>0</v>
      </c>
      <c r="GZ65" s="35" t="s">
        <v>1304</v>
      </c>
      <c r="HA65">
        <f>_xlfn.XLOOKUP(GZ65,'KPI Impacts'!$B$2:$H$2,'KPI Impacts'!$B65:$H65)</f>
        <v>0</v>
      </c>
      <c r="HD65" s="12">
        <f t="shared" si="530"/>
        <v>0</v>
      </c>
      <c r="HE65" s="12">
        <f t="shared" si="531"/>
        <v>0</v>
      </c>
      <c r="HF65" s="12">
        <f t="shared" si="532"/>
        <v>0</v>
      </c>
      <c r="HG65" s="12">
        <f t="shared" si="533"/>
        <v>0</v>
      </c>
      <c r="HH65" s="12">
        <f t="shared" si="534"/>
        <v>0</v>
      </c>
      <c r="HI65" s="12">
        <f t="shared" si="535"/>
        <v>0</v>
      </c>
      <c r="HJ65" s="12">
        <f t="shared" si="536"/>
        <v>0</v>
      </c>
      <c r="HK65" s="12">
        <f t="shared" si="537"/>
        <v>0</v>
      </c>
      <c r="HL65" s="12">
        <f t="shared" si="538"/>
        <v>0</v>
      </c>
      <c r="HN65" s="16" t="s">
        <v>1304</v>
      </c>
      <c r="HO65">
        <f>_xlfn.XLOOKUP(HN65,'KPI Impacts'!$B$2:$H$2,'KPI Impacts'!$B65:$H65)</f>
        <v>0</v>
      </c>
      <c r="HP65" s="35" t="s">
        <v>1304</v>
      </c>
      <c r="HQ65">
        <f>_xlfn.XLOOKUP(HP65,'KPI Impacts'!$B$2:$H$2,'KPI Impacts'!$B65:$H65)</f>
        <v>0</v>
      </c>
      <c r="HT65" s="12">
        <f t="shared" si="539"/>
        <v>0</v>
      </c>
      <c r="HU65" s="12">
        <f t="shared" si="540"/>
        <v>0</v>
      </c>
      <c r="HV65" s="12">
        <f t="shared" si="541"/>
        <v>0</v>
      </c>
      <c r="HW65" s="12">
        <f t="shared" si="542"/>
        <v>0</v>
      </c>
      <c r="HX65" s="12">
        <f t="shared" si="543"/>
        <v>0</v>
      </c>
      <c r="HY65" s="12">
        <f t="shared" si="544"/>
        <v>0</v>
      </c>
      <c r="HZ65" s="12">
        <f t="shared" si="545"/>
        <v>0</v>
      </c>
      <c r="IA65" s="12">
        <f t="shared" si="546"/>
        <v>0</v>
      </c>
      <c r="IB65" s="12">
        <f t="shared" si="547"/>
        <v>0</v>
      </c>
      <c r="ID65" t="s">
        <v>1304</v>
      </c>
      <c r="IE65">
        <f>_xlfn.XLOOKUP(ID65,'KPI Impacts'!$B$2:$H$2,'KPI Impacts'!$B65:$H65)</f>
        <v>0</v>
      </c>
      <c r="IF65" s="35" t="s">
        <v>1304</v>
      </c>
      <c r="IG65">
        <f>_xlfn.XLOOKUP(IF65,'KPI Impacts'!$B$2:$H$2,'KPI Impacts'!$B65:$H65)</f>
        <v>0</v>
      </c>
      <c r="IJ65" s="12">
        <f t="shared" si="548"/>
        <v>0</v>
      </c>
      <c r="IK65" s="12">
        <f t="shared" si="549"/>
        <v>0</v>
      </c>
      <c r="IL65" s="12">
        <f t="shared" si="550"/>
        <v>0</v>
      </c>
      <c r="IM65" s="12">
        <f t="shared" si="551"/>
        <v>0</v>
      </c>
      <c r="IN65" s="12">
        <f t="shared" si="552"/>
        <v>0</v>
      </c>
      <c r="IO65" s="12">
        <f t="shared" si="553"/>
        <v>0</v>
      </c>
      <c r="IP65" s="12">
        <f t="shared" si="554"/>
        <v>0</v>
      </c>
      <c r="IQ65" s="12">
        <f t="shared" si="555"/>
        <v>0</v>
      </c>
      <c r="IR65" s="12">
        <f t="shared" si="556"/>
        <v>0</v>
      </c>
      <c r="IT65" t="s">
        <v>1304</v>
      </c>
      <c r="IU65">
        <f>_xlfn.XLOOKUP(IT65,'KPI Impacts'!$B$2:$H$2,'KPI Impacts'!$B65:$H65)</f>
        <v>0</v>
      </c>
      <c r="IV65" s="35" t="s">
        <v>1304</v>
      </c>
      <c r="IW65">
        <f>_xlfn.XLOOKUP(IV65,'KPI Impacts'!$B$2:$H$2,'KPI Impacts'!$B65:$H65)</f>
        <v>0</v>
      </c>
      <c r="IZ65" s="12">
        <f t="shared" si="557"/>
        <v>0</v>
      </c>
      <c r="JA65" s="12">
        <f t="shared" si="558"/>
        <v>0</v>
      </c>
      <c r="JB65" s="12">
        <f t="shared" si="559"/>
        <v>0</v>
      </c>
      <c r="JC65" s="12">
        <f t="shared" si="560"/>
        <v>0</v>
      </c>
      <c r="JD65" s="12">
        <f t="shared" si="561"/>
        <v>0</v>
      </c>
      <c r="JE65" s="12">
        <f t="shared" si="562"/>
        <v>0</v>
      </c>
      <c r="JF65" s="12">
        <f t="shared" si="563"/>
        <v>0</v>
      </c>
      <c r="JG65" s="12">
        <f t="shared" si="564"/>
        <v>0</v>
      </c>
      <c r="JH65" s="12">
        <f t="shared" si="565"/>
        <v>0</v>
      </c>
      <c r="JJ65" t="s">
        <v>1304</v>
      </c>
      <c r="JK65">
        <f>_xlfn.XLOOKUP(JJ65,'KPI Impacts'!$B$2:$H$2,'KPI Impacts'!$B65:$H65)</f>
        <v>0</v>
      </c>
      <c r="JL65" s="35" t="s">
        <v>1304</v>
      </c>
      <c r="JM65">
        <f>_xlfn.XLOOKUP(JL65,'KPI Impacts'!$B$2:$H$2,'KPI Impacts'!$B65:$H65)</f>
        <v>0</v>
      </c>
      <c r="JP65" s="12">
        <f t="shared" si="566"/>
        <v>0</v>
      </c>
      <c r="JQ65" s="12">
        <f t="shared" si="567"/>
        <v>0</v>
      </c>
      <c r="JR65" s="12">
        <f t="shared" si="568"/>
        <v>0</v>
      </c>
      <c r="JS65" s="12">
        <f t="shared" si="569"/>
        <v>0</v>
      </c>
      <c r="JT65" s="12">
        <f t="shared" si="570"/>
        <v>0</v>
      </c>
      <c r="JU65" s="12">
        <f t="shared" si="571"/>
        <v>0</v>
      </c>
      <c r="JV65" s="12">
        <f t="shared" si="572"/>
        <v>0</v>
      </c>
      <c r="JW65" s="12">
        <f t="shared" si="573"/>
        <v>0</v>
      </c>
      <c r="JX65" s="12">
        <f t="shared" si="574"/>
        <v>0</v>
      </c>
      <c r="JZ65" t="s">
        <v>1304</v>
      </c>
      <c r="KA65">
        <f>_xlfn.XLOOKUP(JZ65,'KPI Impacts'!$B$2:$H$2,'KPI Impacts'!$B65:$H65)</f>
        <v>0</v>
      </c>
      <c r="KB65" s="35" t="s">
        <v>1304</v>
      </c>
      <c r="KC65">
        <f>_xlfn.XLOOKUP(KB65,'KPI Impacts'!$B$2:$H$2,'KPI Impacts'!$B65:$H65)</f>
        <v>0</v>
      </c>
      <c r="KF65" s="12">
        <f t="shared" si="575"/>
        <v>0</v>
      </c>
      <c r="KG65" s="12">
        <f t="shared" si="576"/>
        <v>0</v>
      </c>
      <c r="KH65" s="12">
        <f t="shared" si="577"/>
        <v>0</v>
      </c>
      <c r="KI65" s="12">
        <f t="shared" si="578"/>
        <v>0</v>
      </c>
      <c r="KJ65" s="12">
        <f t="shared" si="579"/>
        <v>0</v>
      </c>
      <c r="KK65" s="12">
        <f t="shared" si="580"/>
        <v>0</v>
      </c>
      <c r="KL65" s="12">
        <f t="shared" si="581"/>
        <v>0</v>
      </c>
      <c r="KM65" s="12">
        <f t="shared" si="582"/>
        <v>0</v>
      </c>
      <c r="KN65" s="12">
        <f t="shared" si="583"/>
        <v>0</v>
      </c>
      <c r="KP65" t="s">
        <v>1304</v>
      </c>
      <c r="KQ65">
        <f>_xlfn.XLOOKUP(KP65,'KPI Impacts'!$B$2:$H$2,'KPI Impacts'!$B65:$H65)</f>
        <v>0</v>
      </c>
      <c r="KR65" s="35" t="s">
        <v>1304</v>
      </c>
      <c r="KS65">
        <f>_xlfn.XLOOKUP(KR65,'KPI Impacts'!$B$2:$H$2,'KPI Impacts'!$B65:$H65)</f>
        <v>0</v>
      </c>
      <c r="KV65" s="12">
        <f t="shared" si="584"/>
        <v>0</v>
      </c>
      <c r="KW65" s="12">
        <f t="shared" si="585"/>
        <v>0</v>
      </c>
      <c r="KX65" s="12">
        <f t="shared" si="586"/>
        <v>0</v>
      </c>
      <c r="KY65" s="12">
        <f t="shared" si="587"/>
        <v>0</v>
      </c>
      <c r="KZ65" s="12">
        <f t="shared" si="588"/>
        <v>0</v>
      </c>
      <c r="LA65" s="12">
        <f t="shared" si="589"/>
        <v>0</v>
      </c>
      <c r="LB65" s="12">
        <f t="shared" si="590"/>
        <v>0</v>
      </c>
      <c r="LC65" s="12">
        <f t="shared" si="591"/>
        <v>0</v>
      </c>
      <c r="LD65" s="12">
        <f t="shared" si="592"/>
        <v>0</v>
      </c>
      <c r="LF65" t="s">
        <v>1304</v>
      </c>
      <c r="LG65">
        <f>_xlfn.XLOOKUP(LF65,'KPI Impacts'!$B$2:$H$2,'KPI Impacts'!$B65:$H65)</f>
        <v>0</v>
      </c>
      <c r="LH65" s="35" t="s">
        <v>1304</v>
      </c>
      <c r="LI65">
        <f>_xlfn.XLOOKUP(LH65,'KPI Impacts'!$B$2:$H$2,'KPI Impacts'!$B65:$H65)</f>
        <v>0</v>
      </c>
      <c r="LL65" s="12">
        <f t="shared" si="593"/>
        <v>0</v>
      </c>
      <c r="LM65" s="12">
        <f t="shared" si="594"/>
        <v>0</v>
      </c>
      <c r="LN65" s="12">
        <f t="shared" si="595"/>
        <v>0</v>
      </c>
      <c r="LO65" s="12">
        <f t="shared" si="596"/>
        <v>0</v>
      </c>
      <c r="LP65" s="12">
        <f t="shared" si="597"/>
        <v>0</v>
      </c>
      <c r="LQ65" s="12">
        <f t="shared" si="598"/>
        <v>0</v>
      </c>
      <c r="LR65" s="12">
        <f t="shared" si="599"/>
        <v>0</v>
      </c>
      <c r="LS65" s="12">
        <f t="shared" si="600"/>
        <v>0</v>
      </c>
      <c r="LT65" s="12">
        <f t="shared" si="601"/>
        <v>0</v>
      </c>
      <c r="LV65" t="s">
        <v>1304</v>
      </c>
      <c r="LW65">
        <f>_xlfn.XLOOKUP(LV65,'KPI Impacts'!$B$2:$H$2,'KPI Impacts'!$B65:$H65)</f>
        <v>0</v>
      </c>
      <c r="LX65" s="35" t="s">
        <v>1304</v>
      </c>
      <c r="LY65">
        <f>_xlfn.XLOOKUP(LX65,'KPI Impacts'!$B$2:$H$2,'KPI Impacts'!$B65:$H65)</f>
        <v>0</v>
      </c>
      <c r="MB65" s="12">
        <f t="shared" si="602"/>
        <v>0</v>
      </c>
      <c r="MC65" s="12">
        <f t="shared" si="603"/>
        <v>0</v>
      </c>
      <c r="MD65" s="12">
        <f t="shared" si="604"/>
        <v>0</v>
      </c>
      <c r="ME65" s="12">
        <f t="shared" si="605"/>
        <v>0</v>
      </c>
      <c r="MF65" s="12">
        <f t="shared" si="606"/>
        <v>0</v>
      </c>
      <c r="MG65" s="12">
        <f t="shared" si="607"/>
        <v>0</v>
      </c>
      <c r="MH65" s="12">
        <f t="shared" si="608"/>
        <v>0</v>
      </c>
      <c r="MI65" s="12">
        <f t="shared" si="609"/>
        <v>0</v>
      </c>
      <c r="MJ65" s="12">
        <f t="shared" si="610"/>
        <v>0</v>
      </c>
      <c r="ML65" t="s">
        <v>1304</v>
      </c>
      <c r="MM65">
        <f>_xlfn.XLOOKUP(ML65,'KPI Impacts'!$B$2:$H$2,'KPI Impacts'!$B65:$H65)</f>
        <v>0</v>
      </c>
      <c r="MN65" s="35" t="s">
        <v>1304</v>
      </c>
      <c r="MO65">
        <f>_xlfn.XLOOKUP(MN65,'KPI Impacts'!$B$2:$H$2,'KPI Impacts'!$B65:$H65)</f>
        <v>0</v>
      </c>
      <c r="MR65" s="12">
        <f t="shared" si="611"/>
        <v>0</v>
      </c>
      <c r="MS65" s="12">
        <f t="shared" si="612"/>
        <v>0</v>
      </c>
      <c r="MT65" s="12">
        <f t="shared" si="613"/>
        <v>0</v>
      </c>
      <c r="MU65" s="12">
        <f t="shared" si="614"/>
        <v>0</v>
      </c>
      <c r="MV65" s="12">
        <f t="shared" si="615"/>
        <v>0</v>
      </c>
      <c r="MW65" s="12">
        <f t="shared" si="616"/>
        <v>0</v>
      </c>
      <c r="MX65" s="12">
        <f t="shared" si="617"/>
        <v>0</v>
      </c>
      <c r="MY65" s="12">
        <f t="shared" si="618"/>
        <v>0</v>
      </c>
      <c r="MZ65" s="12">
        <f t="shared" si="619"/>
        <v>0</v>
      </c>
      <c r="NB65" t="s">
        <v>1304</v>
      </c>
      <c r="NC65">
        <f>_xlfn.XLOOKUP(NB65,'KPI Impacts'!$B$2:$H$2,'KPI Impacts'!$B65:$H65)</f>
        <v>0</v>
      </c>
      <c r="ND65" s="35" t="s">
        <v>1304</v>
      </c>
      <c r="NE65">
        <f>_xlfn.XLOOKUP(ND65,'KPI Impacts'!$B$2:$H$2,'KPI Impacts'!$B65:$H65)</f>
        <v>0</v>
      </c>
      <c r="NH65" s="12">
        <f t="shared" si="620"/>
        <v>0</v>
      </c>
      <c r="NI65" s="12">
        <f t="shared" si="621"/>
        <v>0</v>
      </c>
      <c r="NJ65" s="12">
        <f t="shared" si="622"/>
        <v>0</v>
      </c>
      <c r="NK65" s="12">
        <f t="shared" si="623"/>
        <v>0</v>
      </c>
      <c r="NL65" s="12">
        <f t="shared" si="624"/>
        <v>0</v>
      </c>
      <c r="NM65" s="12">
        <f t="shared" si="625"/>
        <v>0</v>
      </c>
      <c r="NN65" s="12">
        <f t="shared" si="626"/>
        <v>0</v>
      </c>
      <c r="NO65" s="12">
        <f t="shared" si="627"/>
        <v>0</v>
      </c>
      <c r="NP65" s="12">
        <f t="shared" si="628"/>
        <v>0</v>
      </c>
      <c r="NR65" t="s">
        <v>1304</v>
      </c>
      <c r="NS65">
        <f>_xlfn.XLOOKUP(NR65,'KPI Impacts'!$B$2:$H$2,'KPI Impacts'!$B65:$H65)</f>
        <v>0</v>
      </c>
      <c r="NT65" s="35" t="s">
        <v>1304</v>
      </c>
      <c r="NU65">
        <f>_xlfn.XLOOKUP(NT65,'KPI Impacts'!$B$2:$H$2,'KPI Impacts'!$B65:$H65)</f>
        <v>0</v>
      </c>
      <c r="NX65" s="12">
        <f t="shared" si="629"/>
        <v>0</v>
      </c>
      <c r="NY65" s="12">
        <f t="shared" si="630"/>
        <v>0</v>
      </c>
      <c r="NZ65" s="12">
        <f t="shared" si="631"/>
        <v>0</v>
      </c>
      <c r="OA65" s="12">
        <f t="shared" si="632"/>
        <v>0</v>
      </c>
      <c r="OB65" s="12">
        <f t="shared" si="633"/>
        <v>0</v>
      </c>
      <c r="OC65" s="12">
        <f t="shared" si="634"/>
        <v>0</v>
      </c>
      <c r="OD65" s="12">
        <f t="shared" si="635"/>
        <v>0</v>
      </c>
      <c r="OE65" s="12">
        <f t="shared" si="636"/>
        <v>0</v>
      </c>
      <c r="OF65" s="12">
        <f t="shared" si="637"/>
        <v>0</v>
      </c>
      <c r="OH65" t="s">
        <v>1304</v>
      </c>
      <c r="OI65">
        <f>_xlfn.XLOOKUP(OH65,'KPI Impacts'!$B$2:$H$2,'KPI Impacts'!$B65:$H65)</f>
        <v>0</v>
      </c>
      <c r="OJ65" s="35" t="s">
        <v>1304</v>
      </c>
      <c r="OK65">
        <f>_xlfn.XLOOKUP(OJ65,'KPI Impacts'!$B$2:$H$2,'KPI Impacts'!$B65:$H65)</f>
        <v>0</v>
      </c>
    </row>
    <row r="66" spans="1:401" x14ac:dyDescent="0.2">
      <c r="A66" t="s">
        <v>1293</v>
      </c>
      <c r="B66" s="12">
        <f t="shared" si="638"/>
        <v>0</v>
      </c>
      <c r="C66" s="12">
        <f t="shared" si="639"/>
        <v>0</v>
      </c>
      <c r="D66" s="12">
        <f t="shared" si="640"/>
        <v>0</v>
      </c>
      <c r="E66" s="12">
        <f t="shared" si="641"/>
        <v>0</v>
      </c>
      <c r="F66" s="12">
        <f t="shared" si="642"/>
        <v>0</v>
      </c>
      <c r="G66" s="12">
        <f t="shared" si="643"/>
        <v>0</v>
      </c>
      <c r="H66" s="12">
        <f t="shared" si="644"/>
        <v>0</v>
      </c>
      <c r="I66" s="12">
        <f t="shared" si="645"/>
        <v>0</v>
      </c>
      <c r="J66" s="12">
        <f t="shared" si="646"/>
        <v>0</v>
      </c>
      <c r="P66" s="12" cm="1">
        <f t="array" ref="P66">_xlfn.SWITCH(P$4, 0,0, 1, AA66,2,AC66,3,AE66,0)</f>
        <v>0</v>
      </c>
      <c r="Q66" s="12" cm="1">
        <f t="array" ref="Q66">_xlfn.SWITCH(Q$4, 0,0, 1, AA66,2,AC66,3,AE66,0)+P66</f>
        <v>0</v>
      </c>
      <c r="R66" s="12" cm="1">
        <f t="array" ref="R66">_xlfn.SWITCH(R$4, 0,0, 1, AA66,2,AC66,3,AE66,0)+Q66</f>
        <v>0</v>
      </c>
      <c r="S66" s="12" cm="1">
        <f t="array" ref="S66">_xlfn.SWITCH(S$4, 0,0, 1, AA66,2,AC66,3,AE66,0)+R66</f>
        <v>0</v>
      </c>
      <c r="T66" s="12" cm="1">
        <f t="array" ref="T66">_xlfn.SWITCH(T$4, 0,0, 1, AA66,2,AC66,3,AE66,0)+S66</f>
        <v>0</v>
      </c>
      <c r="U66" s="12" cm="1">
        <f t="array" ref="U66">_xlfn.SWITCH(U$4, 0,0, 1, AA66,2,AC66,3,AE66,0)+T66</f>
        <v>0</v>
      </c>
      <c r="V66" s="12" cm="1">
        <f t="array" ref="V66">_xlfn.SWITCH(V$4, 0,0, 1, AA66,2,AC66,3,AE66,0)+U66</f>
        <v>0</v>
      </c>
      <c r="W66" s="12" cm="1">
        <f t="array" ref="W66">_xlfn.SWITCH(W$4, 0,0, 1, AA66,2,AC66,3,AE66,0)+V66</f>
        <v>0</v>
      </c>
      <c r="X66" s="12" cm="1">
        <f t="array" ref="X66">_xlfn.SWITCH(X$4, 0,0, 1, AA66,2,AC66,3,AE66,0)+W66</f>
        <v>0</v>
      </c>
      <c r="Z66" t="s">
        <v>1304</v>
      </c>
      <c r="AA66">
        <f>_xlfn.XLOOKUP(Z66,'KPI Impacts'!$K$2:$Q$2,'KPI Impacts'!$K66:$Q66)</f>
        <v>0</v>
      </c>
      <c r="AB66" t="s">
        <v>1304</v>
      </c>
      <c r="AC66">
        <f>_xlfn.XLOOKUP(AB66,'KPI Impacts'!$K$2:$Q$2,'KPI Impacts'!$K66:$Q66)</f>
        <v>0</v>
      </c>
      <c r="AD66" t="s">
        <v>1304</v>
      </c>
      <c r="AE66">
        <f>_xlfn.XLOOKUP(AD66,'KPI Impacts'!$K$2:$Q$2,'KPI Impacts'!$K66:$Q66)</f>
        <v>0</v>
      </c>
      <c r="AH66" s="12" cm="1">
        <f t="array" ref="AH66">_xlfn.SWITCH(AH$4, 0,0, 1, AS66,2,AU66,3,AW66,0)</f>
        <v>0</v>
      </c>
      <c r="AI66" s="12" cm="1">
        <f t="array" ref="AI66">_xlfn.SWITCH(AI$4, 0,0, 1, AS66,2,AU66,3,AW66,0)+AH66</f>
        <v>0</v>
      </c>
      <c r="AJ66" s="12" cm="1">
        <f t="array" ref="AJ66">_xlfn.SWITCH(AJ$4, 0,0, 1, AS66,2,AU66,3,AW66,0)+AI66</f>
        <v>0</v>
      </c>
      <c r="AK66" s="12" cm="1">
        <f t="array" ref="AK66">_xlfn.SWITCH(AK$4, 0,0, 1, AS66,2,AU66,3,AW66,0)+AJ66</f>
        <v>0</v>
      </c>
      <c r="AL66" s="12" cm="1">
        <f t="array" ref="AL66">_xlfn.SWITCH(AL$4, 0,0, 1, AS66,2,AU66,3,AW66,0)+AK66</f>
        <v>0</v>
      </c>
      <c r="AM66" s="12" cm="1">
        <f t="array" ref="AM66">_xlfn.SWITCH(AM$4, 0,0, 1, AS66,2,AU66,3,AW66,0)+AL66</f>
        <v>0</v>
      </c>
      <c r="AN66" s="12" cm="1">
        <f t="array" ref="AN66">_xlfn.SWITCH(AN$4, 0,0, 1, AS66,2,AU66,3,AW66,0)+AM66</f>
        <v>0</v>
      </c>
      <c r="AO66" s="12" cm="1">
        <f t="array" ref="AO66">_xlfn.SWITCH(AO$4, 0,0, 1, AS66,2,AU66,3,AW66,0)+AN66</f>
        <v>0</v>
      </c>
      <c r="AP66" s="12" cm="1">
        <f t="array" ref="AP66">_xlfn.SWITCH(AP$4, 0,0, 1, AS66,2,AU66,3,AW66,0)+AO66</f>
        <v>0</v>
      </c>
      <c r="AR66" t="s">
        <v>1304</v>
      </c>
      <c r="AS66">
        <f>_xlfn.XLOOKUP(AR66,'KPI Impacts'!$K$2:$Q$2,'KPI Impacts'!$K66:$Q66)</f>
        <v>0</v>
      </c>
      <c r="AT66" t="s">
        <v>1304</v>
      </c>
      <c r="AU66">
        <f>_xlfn.XLOOKUP(AT66,'KPI Impacts'!$K$2:$Q$2,'KPI Impacts'!$K66:$Q66)</f>
        <v>0</v>
      </c>
      <c r="AV66" t="s">
        <v>1304</v>
      </c>
      <c r="AW66">
        <f>_xlfn.XLOOKUP(AV66,'KPI Impacts'!$K$2:$Q$2,'KPI Impacts'!$K66:$Q66)</f>
        <v>0</v>
      </c>
      <c r="AZ66" s="12">
        <f t="shared" si="440"/>
        <v>0</v>
      </c>
      <c r="BA66" s="12">
        <f t="shared" si="441"/>
        <v>0</v>
      </c>
      <c r="BB66" s="12">
        <f t="shared" si="442"/>
        <v>0</v>
      </c>
      <c r="BC66" s="12">
        <f t="shared" si="443"/>
        <v>0</v>
      </c>
      <c r="BD66" s="12">
        <f t="shared" si="444"/>
        <v>0</v>
      </c>
      <c r="BE66" s="12">
        <f t="shared" si="445"/>
        <v>0</v>
      </c>
      <c r="BF66" s="12">
        <f t="shared" si="446"/>
        <v>0</v>
      </c>
      <c r="BG66" s="12">
        <f t="shared" si="447"/>
        <v>0</v>
      </c>
      <c r="BH66" s="12">
        <f t="shared" si="448"/>
        <v>0</v>
      </c>
      <c r="BJ66" s="16" t="s">
        <v>1304</v>
      </c>
      <c r="BK66">
        <f>_xlfn.XLOOKUP(BJ66,'KPI Impacts'!$B$2:$H$2,'KPI Impacts'!$B66:$H66)</f>
        <v>0</v>
      </c>
      <c r="BL66" s="35" t="s">
        <v>1304</v>
      </c>
      <c r="BM66">
        <f>_xlfn.XLOOKUP(BL66,'KPI Impacts'!$B$2:$H$2,'KPI Impacts'!$B66:$H66)</f>
        <v>0</v>
      </c>
      <c r="BP66" s="12">
        <f t="shared" si="449"/>
        <v>0</v>
      </c>
      <c r="BQ66" s="12">
        <f t="shared" si="450"/>
        <v>0</v>
      </c>
      <c r="BR66" s="12">
        <f t="shared" si="451"/>
        <v>0</v>
      </c>
      <c r="BS66" s="12">
        <f t="shared" si="452"/>
        <v>0</v>
      </c>
      <c r="BT66" s="12">
        <f t="shared" si="453"/>
        <v>0</v>
      </c>
      <c r="BU66" s="12">
        <f t="shared" si="454"/>
        <v>0</v>
      </c>
      <c r="BV66" s="12">
        <f t="shared" si="455"/>
        <v>0</v>
      </c>
      <c r="BW66" s="12">
        <f t="shared" si="456"/>
        <v>0</v>
      </c>
      <c r="BX66" s="12">
        <f t="shared" si="457"/>
        <v>0</v>
      </c>
      <c r="BZ66" s="30" t="s">
        <v>1308</v>
      </c>
      <c r="CA66">
        <f>_xlfn.XLOOKUP(BZ66,'KPI Impacts'!$B$2:$H$2,'KPI Impacts'!$B66:$H66)</f>
        <v>2</v>
      </c>
      <c r="CB66" s="35" t="s">
        <v>1304</v>
      </c>
      <c r="CC66">
        <f>_xlfn.XLOOKUP(CB66,'KPI Impacts'!$B$2:$H$2,'KPI Impacts'!$B66:$H66)</f>
        <v>0</v>
      </c>
      <c r="CF66" s="12">
        <f t="shared" si="458"/>
        <v>0</v>
      </c>
      <c r="CG66" s="12">
        <f t="shared" si="459"/>
        <v>0</v>
      </c>
      <c r="CH66" s="12">
        <f t="shared" si="460"/>
        <v>0</v>
      </c>
      <c r="CI66" s="12">
        <f t="shared" si="461"/>
        <v>0</v>
      </c>
      <c r="CJ66" s="12">
        <f t="shared" si="462"/>
        <v>0</v>
      </c>
      <c r="CK66" s="12">
        <f t="shared" si="463"/>
        <v>0</v>
      </c>
      <c r="CL66" s="12">
        <f t="shared" si="464"/>
        <v>0</v>
      </c>
      <c r="CM66" s="12">
        <f t="shared" si="465"/>
        <v>0</v>
      </c>
      <c r="CN66" s="12">
        <f t="shared" si="466"/>
        <v>0</v>
      </c>
      <c r="CP66" s="16" t="s">
        <v>1304</v>
      </c>
      <c r="CQ66">
        <f>_xlfn.XLOOKUP(CP66,'KPI Impacts'!$B$2:$H$2,'KPI Impacts'!$B66:$H66)</f>
        <v>0</v>
      </c>
      <c r="CR66" s="35" t="s">
        <v>1304</v>
      </c>
      <c r="CS66">
        <f>_xlfn.XLOOKUP(CR66,'KPI Impacts'!$B$2:$H$2,'KPI Impacts'!$B66:$H66)</f>
        <v>0</v>
      </c>
      <c r="CV66" s="12">
        <f t="shared" si="467"/>
        <v>0</v>
      </c>
      <c r="CW66" s="12">
        <f t="shared" si="468"/>
        <v>0</v>
      </c>
      <c r="CX66" s="12">
        <f t="shared" si="469"/>
        <v>0</v>
      </c>
      <c r="CY66" s="12">
        <f t="shared" si="470"/>
        <v>0</v>
      </c>
      <c r="CZ66" s="12">
        <f t="shared" si="471"/>
        <v>0</v>
      </c>
      <c r="DA66" s="12">
        <f t="shared" si="472"/>
        <v>0</v>
      </c>
      <c r="DB66" s="12">
        <f t="shared" si="473"/>
        <v>0</v>
      </c>
      <c r="DC66" s="12">
        <f t="shared" si="474"/>
        <v>0</v>
      </c>
      <c r="DD66" s="12">
        <f t="shared" si="475"/>
        <v>0</v>
      </c>
      <c r="DF66" s="29" t="s">
        <v>1307</v>
      </c>
      <c r="DG66">
        <f>_xlfn.XLOOKUP(DF66,'KPI Impacts'!$B$2:$H$2,'KPI Impacts'!$B66:$H66)</f>
        <v>-3.2</v>
      </c>
      <c r="DH66" s="35" t="s">
        <v>1304</v>
      </c>
      <c r="DI66">
        <f>_xlfn.XLOOKUP(DH66,'KPI Impacts'!$B$2:$H$2,'KPI Impacts'!$B66:$H66)</f>
        <v>0</v>
      </c>
      <c r="DL66" s="12">
        <f t="shared" si="476"/>
        <v>0</v>
      </c>
      <c r="DM66" s="12">
        <f t="shared" si="477"/>
        <v>0</v>
      </c>
      <c r="DN66" s="12">
        <f t="shared" si="478"/>
        <v>0</v>
      </c>
      <c r="DO66" s="12">
        <f t="shared" si="479"/>
        <v>0</v>
      </c>
      <c r="DP66" s="12">
        <f t="shared" si="480"/>
        <v>0</v>
      </c>
      <c r="DQ66" s="12">
        <f t="shared" si="481"/>
        <v>0</v>
      </c>
      <c r="DR66" s="12">
        <f t="shared" si="482"/>
        <v>0</v>
      </c>
      <c r="DS66" s="12">
        <f t="shared" si="483"/>
        <v>0</v>
      </c>
      <c r="DT66" s="12">
        <f t="shared" si="484"/>
        <v>0</v>
      </c>
      <c r="DV66" s="16" t="s">
        <v>1304</v>
      </c>
      <c r="DW66">
        <f>_xlfn.XLOOKUP(DV66,'KPI Impacts'!$B$2:$H$2,'KPI Impacts'!$B66:$H66)</f>
        <v>0</v>
      </c>
      <c r="DX66" s="35" t="s">
        <v>1304</v>
      </c>
      <c r="DY66">
        <f>_xlfn.XLOOKUP(DX66,'KPI Impacts'!$B$2:$H$2,'KPI Impacts'!$B66:$H66)</f>
        <v>0</v>
      </c>
      <c r="EB66" s="12">
        <f t="shared" si="485"/>
        <v>0</v>
      </c>
      <c r="EC66" s="12">
        <f t="shared" si="486"/>
        <v>0</v>
      </c>
      <c r="ED66" s="12">
        <f t="shared" si="487"/>
        <v>0</v>
      </c>
      <c r="EE66" s="12">
        <f t="shared" si="488"/>
        <v>0</v>
      </c>
      <c r="EF66" s="12">
        <f t="shared" si="489"/>
        <v>0</v>
      </c>
      <c r="EG66" s="12">
        <f t="shared" si="490"/>
        <v>0</v>
      </c>
      <c r="EH66" s="12">
        <f t="shared" si="491"/>
        <v>0</v>
      </c>
      <c r="EI66" s="12">
        <f t="shared" si="492"/>
        <v>0</v>
      </c>
      <c r="EJ66" s="12">
        <f t="shared" si="493"/>
        <v>0</v>
      </c>
      <c r="EL66" s="30" t="s">
        <v>1308</v>
      </c>
      <c r="EM66">
        <f>_xlfn.XLOOKUP(EL66,'KPI Impacts'!$B$2:$H$2,'KPI Impacts'!$B66:$H66)</f>
        <v>2</v>
      </c>
      <c r="EN66" s="35" t="s">
        <v>1304</v>
      </c>
      <c r="EO66">
        <f>_xlfn.XLOOKUP(EN66,'KPI Impacts'!$B$2:$H$2,'KPI Impacts'!$B66:$H66)</f>
        <v>0</v>
      </c>
      <c r="ER66" s="12">
        <f t="shared" si="494"/>
        <v>0</v>
      </c>
      <c r="ES66" s="12">
        <f t="shared" si="495"/>
        <v>0</v>
      </c>
      <c r="ET66" s="12">
        <f t="shared" si="496"/>
        <v>0</v>
      </c>
      <c r="EU66" s="12">
        <f t="shared" si="497"/>
        <v>0</v>
      </c>
      <c r="EV66" s="12">
        <f t="shared" si="498"/>
        <v>0</v>
      </c>
      <c r="EW66" s="12">
        <f t="shared" si="499"/>
        <v>0</v>
      </c>
      <c r="EX66" s="12">
        <f t="shared" si="500"/>
        <v>0</v>
      </c>
      <c r="EY66" s="12">
        <f t="shared" si="501"/>
        <v>0</v>
      </c>
      <c r="EZ66" s="12">
        <f t="shared" si="502"/>
        <v>0</v>
      </c>
      <c r="FB66" s="29" t="s">
        <v>1305</v>
      </c>
      <c r="FC66">
        <f>_xlfn.XLOOKUP(FB66,'KPI Impacts'!$B$2:$H$2,'KPI Impacts'!$B66:$H66)</f>
        <v>-1.6</v>
      </c>
      <c r="FD66" s="35" t="s">
        <v>1304</v>
      </c>
      <c r="FE66">
        <f>_xlfn.XLOOKUP(FD66,'KPI Impacts'!$B$2:$H$2,'KPI Impacts'!$B66:$H66)</f>
        <v>0</v>
      </c>
      <c r="FH66" s="12">
        <f t="shared" si="503"/>
        <v>0</v>
      </c>
      <c r="FI66" s="12">
        <f t="shared" si="504"/>
        <v>0</v>
      </c>
      <c r="FJ66" s="12">
        <f t="shared" si="505"/>
        <v>0</v>
      </c>
      <c r="FK66" s="12">
        <f t="shared" si="506"/>
        <v>0</v>
      </c>
      <c r="FL66" s="12">
        <f t="shared" si="507"/>
        <v>0</v>
      </c>
      <c r="FM66" s="12">
        <f t="shared" si="508"/>
        <v>0</v>
      </c>
      <c r="FN66" s="12">
        <f t="shared" si="509"/>
        <v>0</v>
      </c>
      <c r="FO66" s="12">
        <f t="shared" si="510"/>
        <v>0</v>
      </c>
      <c r="FP66" s="12">
        <f t="shared" si="511"/>
        <v>0</v>
      </c>
      <c r="FR66" s="16" t="s">
        <v>1304</v>
      </c>
      <c r="FS66">
        <f>_xlfn.XLOOKUP(FR66,'KPI Impacts'!$B$2:$H$2,'KPI Impacts'!$B66:$H66)</f>
        <v>0</v>
      </c>
      <c r="FT66" s="35" t="s">
        <v>1304</v>
      </c>
      <c r="FU66">
        <f>_xlfn.XLOOKUP(FT66,'KPI Impacts'!$B$2:$H$2,'KPI Impacts'!$B66:$H66)</f>
        <v>0</v>
      </c>
      <c r="FX66" s="12">
        <f t="shared" si="512"/>
        <v>0</v>
      </c>
      <c r="FY66" s="12">
        <f t="shared" si="513"/>
        <v>0</v>
      </c>
      <c r="FZ66" s="12">
        <f t="shared" si="514"/>
        <v>0</v>
      </c>
      <c r="GA66" s="12">
        <f t="shared" si="515"/>
        <v>0</v>
      </c>
      <c r="GB66" s="12">
        <f t="shared" si="516"/>
        <v>0</v>
      </c>
      <c r="GC66" s="12">
        <f t="shared" si="517"/>
        <v>0</v>
      </c>
      <c r="GD66" s="12">
        <f t="shared" si="518"/>
        <v>0</v>
      </c>
      <c r="GE66" s="12">
        <f t="shared" si="519"/>
        <v>0</v>
      </c>
      <c r="GF66" s="12">
        <f t="shared" si="520"/>
        <v>0</v>
      </c>
      <c r="GH66" s="16" t="s">
        <v>1304</v>
      </c>
      <c r="GI66">
        <f>_xlfn.XLOOKUP(GH66,'KPI Impacts'!$B$2:$H$2,'KPI Impacts'!$B66:$H66)</f>
        <v>0</v>
      </c>
      <c r="GJ66" s="35" t="s">
        <v>1304</v>
      </c>
      <c r="GK66">
        <f>_xlfn.XLOOKUP(GJ66,'KPI Impacts'!$B$2:$H$2,'KPI Impacts'!$B66:$H66)</f>
        <v>0</v>
      </c>
      <c r="GN66" s="12">
        <f t="shared" si="521"/>
        <v>0</v>
      </c>
      <c r="GO66" s="12">
        <f t="shared" si="522"/>
        <v>0</v>
      </c>
      <c r="GP66" s="12">
        <f t="shared" si="523"/>
        <v>0</v>
      </c>
      <c r="GQ66" s="12">
        <f t="shared" si="524"/>
        <v>0</v>
      </c>
      <c r="GR66" s="12">
        <f t="shared" si="525"/>
        <v>0</v>
      </c>
      <c r="GS66" s="12">
        <f t="shared" si="526"/>
        <v>0</v>
      </c>
      <c r="GT66" s="12">
        <f t="shared" si="527"/>
        <v>0</v>
      </c>
      <c r="GU66" s="12">
        <f t="shared" si="528"/>
        <v>0</v>
      </c>
      <c r="GV66" s="12">
        <f t="shared" si="529"/>
        <v>0</v>
      </c>
      <c r="GX66" s="16" t="s">
        <v>1304</v>
      </c>
      <c r="GY66">
        <f>_xlfn.XLOOKUP(GX66,'KPI Impacts'!$B$2:$H$2,'KPI Impacts'!$B66:$H66)</f>
        <v>0</v>
      </c>
      <c r="GZ66" s="35" t="s">
        <v>1304</v>
      </c>
      <c r="HA66">
        <f>_xlfn.XLOOKUP(GZ66,'KPI Impacts'!$B$2:$H$2,'KPI Impacts'!$B66:$H66)</f>
        <v>0</v>
      </c>
      <c r="HD66" s="12">
        <f t="shared" si="530"/>
        <v>0</v>
      </c>
      <c r="HE66" s="12">
        <f t="shared" si="531"/>
        <v>0</v>
      </c>
      <c r="HF66" s="12">
        <f t="shared" si="532"/>
        <v>0</v>
      </c>
      <c r="HG66" s="12">
        <f t="shared" si="533"/>
        <v>0</v>
      </c>
      <c r="HH66" s="12">
        <f t="shared" si="534"/>
        <v>0</v>
      </c>
      <c r="HI66" s="12">
        <f t="shared" si="535"/>
        <v>0</v>
      </c>
      <c r="HJ66" s="12">
        <f t="shared" si="536"/>
        <v>0</v>
      </c>
      <c r="HK66" s="12">
        <f t="shared" si="537"/>
        <v>0</v>
      </c>
      <c r="HL66" s="12">
        <f t="shared" si="538"/>
        <v>0</v>
      </c>
      <c r="HN66" s="16" t="s">
        <v>1304</v>
      </c>
      <c r="HO66">
        <f>_xlfn.XLOOKUP(HN66,'KPI Impacts'!$B$2:$H$2,'KPI Impacts'!$B66:$H66)</f>
        <v>0</v>
      </c>
      <c r="HP66" s="35" t="s">
        <v>1304</v>
      </c>
      <c r="HQ66">
        <f>_xlfn.XLOOKUP(HP66,'KPI Impacts'!$B$2:$H$2,'KPI Impacts'!$B66:$H66)</f>
        <v>0</v>
      </c>
      <c r="HT66" s="12">
        <f t="shared" si="539"/>
        <v>0</v>
      </c>
      <c r="HU66" s="12">
        <f t="shared" si="540"/>
        <v>0</v>
      </c>
      <c r="HV66" s="12">
        <f t="shared" si="541"/>
        <v>0</v>
      </c>
      <c r="HW66" s="12">
        <f t="shared" si="542"/>
        <v>0</v>
      </c>
      <c r="HX66" s="12">
        <f t="shared" si="543"/>
        <v>0</v>
      </c>
      <c r="HY66" s="12">
        <f t="shared" si="544"/>
        <v>0</v>
      </c>
      <c r="HZ66" s="12">
        <f t="shared" si="545"/>
        <v>0</v>
      </c>
      <c r="IA66" s="12">
        <f t="shared" si="546"/>
        <v>0</v>
      </c>
      <c r="IB66" s="12">
        <f t="shared" si="547"/>
        <v>0</v>
      </c>
      <c r="ID66" t="s">
        <v>1304</v>
      </c>
      <c r="IE66">
        <f>_xlfn.XLOOKUP(ID66,'KPI Impacts'!$B$2:$H$2,'KPI Impacts'!$B66:$H66)</f>
        <v>0</v>
      </c>
      <c r="IF66" s="35" t="s">
        <v>1304</v>
      </c>
      <c r="IG66">
        <f>_xlfn.XLOOKUP(IF66,'KPI Impacts'!$B$2:$H$2,'KPI Impacts'!$B66:$H66)</f>
        <v>0</v>
      </c>
      <c r="IJ66" s="12">
        <f t="shared" si="548"/>
        <v>0</v>
      </c>
      <c r="IK66" s="12">
        <f t="shared" si="549"/>
        <v>0</v>
      </c>
      <c r="IL66" s="12">
        <f t="shared" si="550"/>
        <v>0</v>
      </c>
      <c r="IM66" s="12">
        <f t="shared" si="551"/>
        <v>0</v>
      </c>
      <c r="IN66" s="12">
        <f t="shared" si="552"/>
        <v>0</v>
      </c>
      <c r="IO66" s="12">
        <f t="shared" si="553"/>
        <v>0</v>
      </c>
      <c r="IP66" s="12">
        <f t="shared" si="554"/>
        <v>0</v>
      </c>
      <c r="IQ66" s="12">
        <f t="shared" si="555"/>
        <v>0</v>
      </c>
      <c r="IR66" s="12">
        <f t="shared" si="556"/>
        <v>0</v>
      </c>
      <c r="IT66" t="s">
        <v>1304</v>
      </c>
      <c r="IU66">
        <f>_xlfn.XLOOKUP(IT66,'KPI Impacts'!$B$2:$H$2,'KPI Impacts'!$B66:$H66)</f>
        <v>0</v>
      </c>
      <c r="IV66" s="35" t="s">
        <v>1304</v>
      </c>
      <c r="IW66">
        <f>_xlfn.XLOOKUP(IV66,'KPI Impacts'!$B$2:$H$2,'KPI Impacts'!$B66:$H66)</f>
        <v>0</v>
      </c>
      <c r="IZ66" s="12">
        <f t="shared" si="557"/>
        <v>0</v>
      </c>
      <c r="JA66" s="12">
        <f t="shared" si="558"/>
        <v>0</v>
      </c>
      <c r="JB66" s="12">
        <f t="shared" si="559"/>
        <v>0</v>
      </c>
      <c r="JC66" s="12">
        <f t="shared" si="560"/>
        <v>0</v>
      </c>
      <c r="JD66" s="12">
        <f t="shared" si="561"/>
        <v>0</v>
      </c>
      <c r="JE66" s="12">
        <f t="shared" si="562"/>
        <v>0</v>
      </c>
      <c r="JF66" s="12">
        <f t="shared" si="563"/>
        <v>0</v>
      </c>
      <c r="JG66" s="12">
        <f t="shared" si="564"/>
        <v>0</v>
      </c>
      <c r="JH66" s="12">
        <f t="shared" si="565"/>
        <v>0</v>
      </c>
      <c r="JJ66" t="s">
        <v>1304</v>
      </c>
      <c r="JK66">
        <f>_xlfn.XLOOKUP(JJ66,'KPI Impacts'!$B$2:$H$2,'KPI Impacts'!$B66:$H66)</f>
        <v>0</v>
      </c>
      <c r="JL66" s="35" t="s">
        <v>1304</v>
      </c>
      <c r="JM66">
        <f>_xlfn.XLOOKUP(JL66,'KPI Impacts'!$B$2:$H$2,'KPI Impacts'!$B66:$H66)</f>
        <v>0</v>
      </c>
      <c r="JP66" s="12">
        <f t="shared" si="566"/>
        <v>0</v>
      </c>
      <c r="JQ66" s="12">
        <f t="shared" si="567"/>
        <v>0</v>
      </c>
      <c r="JR66" s="12">
        <f t="shared" si="568"/>
        <v>0</v>
      </c>
      <c r="JS66" s="12">
        <f t="shared" si="569"/>
        <v>0</v>
      </c>
      <c r="JT66" s="12">
        <f t="shared" si="570"/>
        <v>0</v>
      </c>
      <c r="JU66" s="12">
        <f t="shared" si="571"/>
        <v>0</v>
      </c>
      <c r="JV66" s="12">
        <f t="shared" si="572"/>
        <v>0</v>
      </c>
      <c r="JW66" s="12">
        <f t="shared" si="573"/>
        <v>0</v>
      </c>
      <c r="JX66" s="12">
        <f t="shared" si="574"/>
        <v>0</v>
      </c>
      <c r="JZ66" t="s">
        <v>1304</v>
      </c>
      <c r="KA66">
        <f>_xlfn.XLOOKUP(JZ66,'KPI Impacts'!$B$2:$H$2,'KPI Impacts'!$B66:$H66)</f>
        <v>0</v>
      </c>
      <c r="KB66" s="35" t="s">
        <v>1304</v>
      </c>
      <c r="KC66">
        <f>_xlfn.XLOOKUP(KB66,'KPI Impacts'!$B$2:$H$2,'KPI Impacts'!$B66:$H66)</f>
        <v>0</v>
      </c>
      <c r="KF66" s="12">
        <f t="shared" si="575"/>
        <v>0</v>
      </c>
      <c r="KG66" s="12">
        <f t="shared" si="576"/>
        <v>0</v>
      </c>
      <c r="KH66" s="12">
        <f t="shared" si="577"/>
        <v>0</v>
      </c>
      <c r="KI66" s="12">
        <f t="shared" si="578"/>
        <v>0</v>
      </c>
      <c r="KJ66" s="12">
        <f t="shared" si="579"/>
        <v>0</v>
      </c>
      <c r="KK66" s="12">
        <f t="shared" si="580"/>
        <v>0</v>
      </c>
      <c r="KL66" s="12">
        <f t="shared" si="581"/>
        <v>0</v>
      </c>
      <c r="KM66" s="12">
        <f t="shared" si="582"/>
        <v>0</v>
      </c>
      <c r="KN66" s="12">
        <f t="shared" si="583"/>
        <v>0</v>
      </c>
      <c r="KP66" t="s">
        <v>1304</v>
      </c>
      <c r="KQ66">
        <f>_xlfn.XLOOKUP(KP66,'KPI Impacts'!$B$2:$H$2,'KPI Impacts'!$B66:$H66)</f>
        <v>0</v>
      </c>
      <c r="KR66" s="35" t="s">
        <v>1304</v>
      </c>
      <c r="KS66">
        <f>_xlfn.XLOOKUP(KR66,'KPI Impacts'!$B$2:$H$2,'KPI Impacts'!$B66:$H66)</f>
        <v>0</v>
      </c>
      <c r="KV66" s="12">
        <f t="shared" si="584"/>
        <v>0</v>
      </c>
      <c r="KW66" s="12">
        <f t="shared" si="585"/>
        <v>0</v>
      </c>
      <c r="KX66" s="12">
        <f t="shared" si="586"/>
        <v>0</v>
      </c>
      <c r="KY66" s="12">
        <f t="shared" si="587"/>
        <v>0</v>
      </c>
      <c r="KZ66" s="12">
        <f t="shared" si="588"/>
        <v>0</v>
      </c>
      <c r="LA66" s="12">
        <f t="shared" si="589"/>
        <v>0</v>
      </c>
      <c r="LB66" s="12">
        <f t="shared" si="590"/>
        <v>0</v>
      </c>
      <c r="LC66" s="12">
        <f t="shared" si="591"/>
        <v>0</v>
      </c>
      <c r="LD66" s="12">
        <f t="shared" si="592"/>
        <v>0</v>
      </c>
      <c r="LF66" t="s">
        <v>1304</v>
      </c>
      <c r="LG66">
        <f>_xlfn.XLOOKUP(LF66,'KPI Impacts'!$B$2:$H$2,'KPI Impacts'!$B66:$H66)</f>
        <v>0</v>
      </c>
      <c r="LH66" s="35" t="s">
        <v>1304</v>
      </c>
      <c r="LI66">
        <f>_xlfn.XLOOKUP(LH66,'KPI Impacts'!$B$2:$H$2,'KPI Impacts'!$B66:$H66)</f>
        <v>0</v>
      </c>
      <c r="LL66" s="12">
        <f t="shared" si="593"/>
        <v>0</v>
      </c>
      <c r="LM66" s="12">
        <f t="shared" si="594"/>
        <v>0</v>
      </c>
      <c r="LN66" s="12">
        <f t="shared" si="595"/>
        <v>0</v>
      </c>
      <c r="LO66" s="12">
        <f t="shared" si="596"/>
        <v>0</v>
      </c>
      <c r="LP66" s="12">
        <f t="shared" si="597"/>
        <v>0</v>
      </c>
      <c r="LQ66" s="12">
        <f t="shared" si="598"/>
        <v>0</v>
      </c>
      <c r="LR66" s="12">
        <f t="shared" si="599"/>
        <v>0</v>
      </c>
      <c r="LS66" s="12">
        <f t="shared" si="600"/>
        <v>0</v>
      </c>
      <c r="LT66" s="12">
        <f t="shared" si="601"/>
        <v>0</v>
      </c>
      <c r="LV66" t="s">
        <v>1304</v>
      </c>
      <c r="LW66">
        <f>_xlfn.XLOOKUP(LV66,'KPI Impacts'!$B$2:$H$2,'KPI Impacts'!$B66:$H66)</f>
        <v>0</v>
      </c>
      <c r="LX66" s="35" t="s">
        <v>1304</v>
      </c>
      <c r="LY66">
        <f>_xlfn.XLOOKUP(LX66,'KPI Impacts'!$B$2:$H$2,'KPI Impacts'!$B66:$H66)</f>
        <v>0</v>
      </c>
      <c r="MB66" s="12">
        <f t="shared" si="602"/>
        <v>0</v>
      </c>
      <c r="MC66" s="12">
        <f t="shared" si="603"/>
        <v>0</v>
      </c>
      <c r="MD66" s="12">
        <f t="shared" si="604"/>
        <v>0</v>
      </c>
      <c r="ME66" s="12">
        <f t="shared" si="605"/>
        <v>0</v>
      </c>
      <c r="MF66" s="12">
        <f t="shared" si="606"/>
        <v>0</v>
      </c>
      <c r="MG66" s="12">
        <f t="shared" si="607"/>
        <v>0</v>
      </c>
      <c r="MH66" s="12">
        <f t="shared" si="608"/>
        <v>0</v>
      </c>
      <c r="MI66" s="12">
        <f t="shared" si="609"/>
        <v>0</v>
      </c>
      <c r="MJ66" s="12">
        <f t="shared" si="610"/>
        <v>0</v>
      </c>
      <c r="ML66" t="s">
        <v>1304</v>
      </c>
      <c r="MM66">
        <f>_xlfn.XLOOKUP(ML66,'KPI Impacts'!$B$2:$H$2,'KPI Impacts'!$B66:$H66)</f>
        <v>0</v>
      </c>
      <c r="MN66" s="35" t="s">
        <v>1304</v>
      </c>
      <c r="MO66">
        <f>_xlfn.XLOOKUP(MN66,'KPI Impacts'!$B$2:$H$2,'KPI Impacts'!$B66:$H66)</f>
        <v>0</v>
      </c>
      <c r="MR66" s="12">
        <f t="shared" si="611"/>
        <v>0</v>
      </c>
      <c r="MS66" s="12">
        <f t="shared" si="612"/>
        <v>0</v>
      </c>
      <c r="MT66" s="12">
        <f t="shared" si="613"/>
        <v>0</v>
      </c>
      <c r="MU66" s="12">
        <f t="shared" si="614"/>
        <v>0</v>
      </c>
      <c r="MV66" s="12">
        <f t="shared" si="615"/>
        <v>0</v>
      </c>
      <c r="MW66" s="12">
        <f t="shared" si="616"/>
        <v>0</v>
      </c>
      <c r="MX66" s="12">
        <f t="shared" si="617"/>
        <v>0</v>
      </c>
      <c r="MY66" s="12">
        <f t="shared" si="618"/>
        <v>0</v>
      </c>
      <c r="MZ66" s="12">
        <f t="shared" si="619"/>
        <v>0</v>
      </c>
      <c r="NB66" t="s">
        <v>1304</v>
      </c>
      <c r="NC66">
        <f>_xlfn.XLOOKUP(NB66,'KPI Impacts'!$B$2:$H$2,'KPI Impacts'!$B66:$H66)</f>
        <v>0</v>
      </c>
      <c r="ND66" s="35" t="s">
        <v>1304</v>
      </c>
      <c r="NE66">
        <f>_xlfn.XLOOKUP(ND66,'KPI Impacts'!$B$2:$H$2,'KPI Impacts'!$B66:$H66)</f>
        <v>0</v>
      </c>
      <c r="NH66" s="12">
        <f t="shared" si="620"/>
        <v>0</v>
      </c>
      <c r="NI66" s="12">
        <f t="shared" si="621"/>
        <v>0</v>
      </c>
      <c r="NJ66" s="12">
        <f t="shared" si="622"/>
        <v>0</v>
      </c>
      <c r="NK66" s="12">
        <f t="shared" si="623"/>
        <v>0</v>
      </c>
      <c r="NL66" s="12">
        <f t="shared" si="624"/>
        <v>0</v>
      </c>
      <c r="NM66" s="12">
        <f t="shared" si="625"/>
        <v>0</v>
      </c>
      <c r="NN66" s="12">
        <f t="shared" si="626"/>
        <v>0</v>
      </c>
      <c r="NO66" s="12">
        <f t="shared" si="627"/>
        <v>0</v>
      </c>
      <c r="NP66" s="12">
        <f t="shared" si="628"/>
        <v>0</v>
      </c>
      <c r="NR66" t="s">
        <v>1304</v>
      </c>
      <c r="NS66">
        <f>_xlfn.XLOOKUP(NR66,'KPI Impacts'!$B$2:$H$2,'KPI Impacts'!$B66:$H66)</f>
        <v>0</v>
      </c>
      <c r="NT66" s="35" t="s">
        <v>1304</v>
      </c>
      <c r="NU66">
        <f>_xlfn.XLOOKUP(NT66,'KPI Impacts'!$B$2:$H$2,'KPI Impacts'!$B66:$H66)</f>
        <v>0</v>
      </c>
      <c r="NX66" s="12">
        <f t="shared" si="629"/>
        <v>0</v>
      </c>
      <c r="NY66" s="12">
        <f t="shared" si="630"/>
        <v>0</v>
      </c>
      <c r="NZ66" s="12">
        <f t="shared" si="631"/>
        <v>0</v>
      </c>
      <c r="OA66" s="12">
        <f t="shared" si="632"/>
        <v>0</v>
      </c>
      <c r="OB66" s="12">
        <f t="shared" si="633"/>
        <v>0</v>
      </c>
      <c r="OC66" s="12">
        <f t="shared" si="634"/>
        <v>0</v>
      </c>
      <c r="OD66" s="12">
        <f t="shared" si="635"/>
        <v>0</v>
      </c>
      <c r="OE66" s="12">
        <f t="shared" si="636"/>
        <v>0</v>
      </c>
      <c r="OF66" s="12">
        <f t="shared" si="637"/>
        <v>0</v>
      </c>
      <c r="OH66" t="s">
        <v>1304</v>
      </c>
      <c r="OI66">
        <f>_xlfn.XLOOKUP(OH66,'KPI Impacts'!$B$2:$H$2,'KPI Impacts'!$B66:$H66)</f>
        <v>0</v>
      </c>
      <c r="OJ66" s="35" t="s">
        <v>1304</v>
      </c>
      <c r="OK66">
        <f>_xlfn.XLOOKUP(OJ66,'KPI Impacts'!$B$2:$H$2,'KPI Impacts'!$B66:$H66)</f>
        <v>0</v>
      </c>
    </row>
    <row r="67" spans="1:401" x14ac:dyDescent="0.2">
      <c r="A67" t="s">
        <v>48</v>
      </c>
      <c r="B67" s="12">
        <f t="shared" si="638"/>
        <v>0</v>
      </c>
      <c r="C67" s="12">
        <f t="shared" si="639"/>
        <v>0</v>
      </c>
      <c r="D67" s="12">
        <f t="shared" si="640"/>
        <v>0</v>
      </c>
      <c r="E67" s="12">
        <f t="shared" si="641"/>
        <v>0</v>
      </c>
      <c r="F67" s="12">
        <f t="shared" si="642"/>
        <v>0</v>
      </c>
      <c r="G67" s="12">
        <f t="shared" si="643"/>
        <v>0</v>
      </c>
      <c r="H67" s="12">
        <f t="shared" si="644"/>
        <v>0</v>
      </c>
      <c r="I67" s="12">
        <f t="shared" si="645"/>
        <v>0</v>
      </c>
      <c r="J67" s="12">
        <f t="shared" si="646"/>
        <v>0</v>
      </c>
      <c r="P67" s="12" cm="1">
        <f t="array" ref="P67">_xlfn.SWITCH(P$4, 0,0, 1, AA67,2,AC67,3,AE67,0)</f>
        <v>0</v>
      </c>
      <c r="Q67" s="12" cm="1">
        <f t="array" ref="Q67">_xlfn.SWITCH(Q$4, 0,0, 1, AA67,2,AC67,3,AE67,0)+P67</f>
        <v>0</v>
      </c>
      <c r="R67" s="12" cm="1">
        <f t="array" ref="R67">_xlfn.SWITCH(R$4, 0,0, 1, AA67,2,AC67,3,AE67,0)+Q67</f>
        <v>0</v>
      </c>
      <c r="S67" s="12" cm="1">
        <f t="array" ref="S67">_xlfn.SWITCH(S$4, 0,0, 1, AA67,2,AC67,3,AE67,0)+R67</f>
        <v>0</v>
      </c>
      <c r="T67" s="12" cm="1">
        <f t="array" ref="T67">_xlfn.SWITCH(T$4, 0,0, 1, AA67,2,AC67,3,AE67,0)+S67</f>
        <v>0</v>
      </c>
      <c r="U67" s="12" cm="1">
        <f t="array" ref="U67">_xlfn.SWITCH(U$4, 0,0, 1, AA67,2,AC67,3,AE67,0)+T67</f>
        <v>0</v>
      </c>
      <c r="V67" s="12" cm="1">
        <f t="array" ref="V67">_xlfn.SWITCH(V$4, 0,0, 1, AA67,2,AC67,3,AE67,0)+U67</f>
        <v>0</v>
      </c>
      <c r="W67" s="12" cm="1">
        <f t="array" ref="W67">_xlfn.SWITCH(W$4, 0,0, 1, AA67,2,AC67,3,AE67,0)+V67</f>
        <v>0</v>
      </c>
      <c r="X67" s="12" cm="1">
        <f t="array" ref="X67">_xlfn.SWITCH(X$4, 0,0, 1, AA67,2,AC67,3,AE67,0)+W67</f>
        <v>0</v>
      </c>
      <c r="Z67" t="s">
        <v>1304</v>
      </c>
      <c r="AA67">
        <f>_xlfn.XLOOKUP(Z67,'KPI Impacts'!$K$2:$Q$2,'KPI Impacts'!$K67:$Q67)</f>
        <v>0</v>
      </c>
      <c r="AB67" t="s">
        <v>1304</v>
      </c>
      <c r="AC67">
        <f>_xlfn.XLOOKUP(AB67,'KPI Impacts'!$K$2:$Q$2,'KPI Impacts'!$K67:$Q67)</f>
        <v>0</v>
      </c>
      <c r="AD67" t="s">
        <v>1304</v>
      </c>
      <c r="AE67">
        <f>_xlfn.XLOOKUP(AD67,'KPI Impacts'!$K$2:$Q$2,'KPI Impacts'!$K67:$Q67)</f>
        <v>0</v>
      </c>
      <c r="AH67" s="12" cm="1">
        <f t="array" ref="AH67">_xlfn.SWITCH(AH$4, 0,0, 1, AS67,2,AU67,3,AW67,0)</f>
        <v>0</v>
      </c>
      <c r="AI67" s="12" cm="1">
        <f t="array" ref="AI67">_xlfn.SWITCH(AI$4, 0,0, 1, AS67,2,AU67,3,AW67,0)+AH67</f>
        <v>0</v>
      </c>
      <c r="AJ67" s="12" cm="1">
        <f t="array" ref="AJ67">_xlfn.SWITCH(AJ$4, 0,0, 1, AS67,2,AU67,3,AW67,0)+AI67</f>
        <v>0</v>
      </c>
      <c r="AK67" s="12" cm="1">
        <f t="array" ref="AK67">_xlfn.SWITCH(AK$4, 0,0, 1, AS67,2,AU67,3,AW67,0)+AJ67</f>
        <v>0</v>
      </c>
      <c r="AL67" s="12" cm="1">
        <f t="array" ref="AL67">_xlfn.SWITCH(AL$4, 0,0, 1, AS67,2,AU67,3,AW67,0)+AK67</f>
        <v>0</v>
      </c>
      <c r="AM67" s="12" cm="1">
        <f t="array" ref="AM67">_xlfn.SWITCH(AM$4, 0,0, 1, AS67,2,AU67,3,AW67,0)+AL67</f>
        <v>0</v>
      </c>
      <c r="AN67" s="12" cm="1">
        <f t="array" ref="AN67">_xlfn.SWITCH(AN$4, 0,0, 1, AS67,2,AU67,3,AW67,0)+AM67</f>
        <v>0</v>
      </c>
      <c r="AO67" s="12" cm="1">
        <f t="array" ref="AO67">_xlfn.SWITCH(AO$4, 0,0, 1, AS67,2,AU67,3,AW67,0)+AN67</f>
        <v>0</v>
      </c>
      <c r="AP67" s="12" cm="1">
        <f t="array" ref="AP67">_xlfn.SWITCH(AP$4, 0,0, 1, AS67,2,AU67,3,AW67,0)+AO67</f>
        <v>0</v>
      </c>
      <c r="AR67" t="s">
        <v>1304</v>
      </c>
      <c r="AS67">
        <f>_xlfn.XLOOKUP(AR67,'KPI Impacts'!$K$2:$Q$2,'KPI Impacts'!$K67:$Q67)</f>
        <v>0</v>
      </c>
      <c r="AT67" t="s">
        <v>1304</v>
      </c>
      <c r="AU67">
        <f>_xlfn.XLOOKUP(AT67,'KPI Impacts'!$K$2:$Q$2,'KPI Impacts'!$K67:$Q67)</f>
        <v>0</v>
      </c>
      <c r="AV67" t="s">
        <v>1304</v>
      </c>
      <c r="AW67">
        <f>_xlfn.XLOOKUP(AV67,'KPI Impacts'!$K$2:$Q$2,'KPI Impacts'!$K67:$Q67)</f>
        <v>0</v>
      </c>
      <c r="AZ67" s="12">
        <f t="shared" si="440"/>
        <v>0</v>
      </c>
      <c r="BA67" s="12">
        <f t="shared" si="441"/>
        <v>0</v>
      </c>
      <c r="BB67" s="12">
        <f t="shared" si="442"/>
        <v>0</v>
      </c>
      <c r="BC67" s="12">
        <f t="shared" si="443"/>
        <v>0</v>
      </c>
      <c r="BD67" s="12">
        <f t="shared" si="444"/>
        <v>0</v>
      </c>
      <c r="BE67" s="12">
        <f t="shared" si="445"/>
        <v>0</v>
      </c>
      <c r="BF67" s="12">
        <f t="shared" si="446"/>
        <v>0</v>
      </c>
      <c r="BG67" s="12">
        <f t="shared" si="447"/>
        <v>0</v>
      </c>
      <c r="BH67" s="12">
        <f t="shared" si="448"/>
        <v>0</v>
      </c>
      <c r="BJ67" s="30" t="s">
        <v>1308</v>
      </c>
      <c r="BK67">
        <f>_xlfn.XLOOKUP(BJ67,'KPI Impacts'!$B$2:$H$2,'KPI Impacts'!$B67:$H67)</f>
        <v>2</v>
      </c>
      <c r="BL67" s="35" t="s">
        <v>1304</v>
      </c>
      <c r="BM67">
        <f>_xlfn.XLOOKUP(BL67,'KPI Impacts'!$B$2:$H$2,'KPI Impacts'!$B67:$H67)</f>
        <v>0</v>
      </c>
      <c r="BP67" s="12">
        <f t="shared" si="449"/>
        <v>0</v>
      </c>
      <c r="BQ67" s="12">
        <f t="shared" si="450"/>
        <v>0</v>
      </c>
      <c r="BR67" s="12">
        <f t="shared" si="451"/>
        <v>0</v>
      </c>
      <c r="BS67" s="12">
        <f t="shared" si="452"/>
        <v>0</v>
      </c>
      <c r="BT67" s="12">
        <f t="shared" si="453"/>
        <v>0</v>
      </c>
      <c r="BU67" s="12">
        <f t="shared" si="454"/>
        <v>0</v>
      </c>
      <c r="BV67" s="12">
        <f t="shared" si="455"/>
        <v>0</v>
      </c>
      <c r="BW67" s="12">
        <f t="shared" si="456"/>
        <v>0</v>
      </c>
      <c r="BX67" s="12">
        <f t="shared" si="457"/>
        <v>0</v>
      </c>
      <c r="BZ67" s="30" t="s">
        <v>1310</v>
      </c>
      <c r="CA67">
        <f>_xlfn.XLOOKUP(BZ67,'KPI Impacts'!$B$2:$H$2,'KPI Impacts'!$B67:$H67)</f>
        <v>4</v>
      </c>
      <c r="CB67" s="35" t="s">
        <v>1304</v>
      </c>
      <c r="CC67">
        <f>_xlfn.XLOOKUP(CB67,'KPI Impacts'!$B$2:$H$2,'KPI Impacts'!$B67:$H67)</f>
        <v>0</v>
      </c>
      <c r="CF67" s="12">
        <f t="shared" si="458"/>
        <v>0</v>
      </c>
      <c r="CG67" s="12">
        <f t="shared" si="459"/>
        <v>0</v>
      </c>
      <c r="CH67" s="12">
        <f t="shared" si="460"/>
        <v>0</v>
      </c>
      <c r="CI67" s="12">
        <f t="shared" si="461"/>
        <v>0</v>
      </c>
      <c r="CJ67" s="12">
        <f t="shared" si="462"/>
        <v>0</v>
      </c>
      <c r="CK67" s="12">
        <f t="shared" si="463"/>
        <v>0</v>
      </c>
      <c r="CL67" s="12">
        <f t="shared" si="464"/>
        <v>0</v>
      </c>
      <c r="CM67" s="12">
        <f t="shared" si="465"/>
        <v>0</v>
      </c>
      <c r="CN67" s="12">
        <f t="shared" si="466"/>
        <v>0</v>
      </c>
      <c r="CP67" s="16" t="s">
        <v>1304</v>
      </c>
      <c r="CQ67">
        <f>_xlfn.XLOOKUP(CP67,'KPI Impacts'!$B$2:$H$2,'KPI Impacts'!$B67:$H67)</f>
        <v>0</v>
      </c>
      <c r="CR67" s="35" t="s">
        <v>1304</v>
      </c>
      <c r="CS67">
        <f>_xlfn.XLOOKUP(CR67,'KPI Impacts'!$B$2:$H$2,'KPI Impacts'!$B67:$H67)</f>
        <v>0</v>
      </c>
      <c r="CV67" s="12">
        <f t="shared" si="467"/>
        <v>0</v>
      </c>
      <c r="CW67" s="12">
        <f t="shared" si="468"/>
        <v>0</v>
      </c>
      <c r="CX67" s="12">
        <f t="shared" si="469"/>
        <v>0</v>
      </c>
      <c r="CY67" s="12">
        <f t="shared" si="470"/>
        <v>0</v>
      </c>
      <c r="CZ67" s="12">
        <f t="shared" si="471"/>
        <v>0</v>
      </c>
      <c r="DA67" s="12">
        <f t="shared" si="472"/>
        <v>0</v>
      </c>
      <c r="DB67" s="12">
        <f t="shared" si="473"/>
        <v>0</v>
      </c>
      <c r="DC67" s="12">
        <f t="shared" si="474"/>
        <v>0</v>
      </c>
      <c r="DD67" s="12">
        <f t="shared" si="475"/>
        <v>0</v>
      </c>
      <c r="DF67" s="16" t="s">
        <v>1304</v>
      </c>
      <c r="DG67">
        <f>_xlfn.XLOOKUP(DF67,'KPI Impacts'!$B$2:$H$2,'KPI Impacts'!$B67:$H67)</f>
        <v>0</v>
      </c>
      <c r="DH67" s="35" t="s">
        <v>1304</v>
      </c>
      <c r="DI67">
        <f>_xlfn.XLOOKUP(DH67,'KPI Impacts'!$B$2:$H$2,'KPI Impacts'!$B67:$H67)</f>
        <v>0</v>
      </c>
      <c r="DL67" s="12">
        <f t="shared" si="476"/>
        <v>0</v>
      </c>
      <c r="DM67" s="12">
        <f t="shared" si="477"/>
        <v>0</v>
      </c>
      <c r="DN67" s="12">
        <f t="shared" si="478"/>
        <v>0</v>
      </c>
      <c r="DO67" s="12">
        <f t="shared" si="479"/>
        <v>0</v>
      </c>
      <c r="DP67" s="12">
        <f t="shared" si="480"/>
        <v>0</v>
      </c>
      <c r="DQ67" s="12">
        <f t="shared" si="481"/>
        <v>0</v>
      </c>
      <c r="DR67" s="12">
        <f t="shared" si="482"/>
        <v>0</v>
      </c>
      <c r="DS67" s="12">
        <f t="shared" si="483"/>
        <v>0</v>
      </c>
      <c r="DT67" s="12">
        <f t="shared" si="484"/>
        <v>0</v>
      </c>
      <c r="DV67" s="16" t="s">
        <v>1304</v>
      </c>
      <c r="DW67">
        <f>_xlfn.XLOOKUP(DV67,'KPI Impacts'!$B$2:$H$2,'KPI Impacts'!$B67:$H67)</f>
        <v>0</v>
      </c>
      <c r="DX67" s="35" t="s">
        <v>1304</v>
      </c>
      <c r="DY67">
        <f>_xlfn.XLOOKUP(DX67,'KPI Impacts'!$B$2:$H$2,'KPI Impacts'!$B67:$H67)</f>
        <v>0</v>
      </c>
      <c r="EB67" s="12">
        <f t="shared" si="485"/>
        <v>0</v>
      </c>
      <c r="EC67" s="12">
        <f t="shared" si="486"/>
        <v>0</v>
      </c>
      <c r="ED67" s="12">
        <f t="shared" si="487"/>
        <v>0</v>
      </c>
      <c r="EE67" s="12">
        <f t="shared" si="488"/>
        <v>0</v>
      </c>
      <c r="EF67" s="12">
        <f t="shared" si="489"/>
        <v>0</v>
      </c>
      <c r="EG67" s="12">
        <f t="shared" si="490"/>
        <v>0</v>
      </c>
      <c r="EH67" s="12">
        <f t="shared" si="491"/>
        <v>0</v>
      </c>
      <c r="EI67" s="12">
        <f t="shared" si="492"/>
        <v>0</v>
      </c>
      <c r="EJ67" s="12">
        <f t="shared" si="493"/>
        <v>0</v>
      </c>
      <c r="EL67" s="16" t="s">
        <v>1304</v>
      </c>
      <c r="EM67">
        <f>_xlfn.XLOOKUP(EL67,'KPI Impacts'!$B$2:$H$2,'KPI Impacts'!$B67:$H67)</f>
        <v>0</v>
      </c>
      <c r="EN67" s="35" t="s">
        <v>1304</v>
      </c>
      <c r="EO67">
        <f>_xlfn.XLOOKUP(EN67,'KPI Impacts'!$B$2:$H$2,'KPI Impacts'!$B67:$H67)</f>
        <v>0</v>
      </c>
      <c r="ER67" s="12">
        <f t="shared" si="494"/>
        <v>0</v>
      </c>
      <c r="ES67" s="12">
        <f t="shared" si="495"/>
        <v>0</v>
      </c>
      <c r="ET67" s="12">
        <f t="shared" si="496"/>
        <v>0</v>
      </c>
      <c r="EU67" s="12">
        <f t="shared" si="497"/>
        <v>0</v>
      </c>
      <c r="EV67" s="12">
        <f t="shared" si="498"/>
        <v>0</v>
      </c>
      <c r="EW67" s="12">
        <f t="shared" si="499"/>
        <v>0</v>
      </c>
      <c r="EX67" s="12">
        <f t="shared" si="500"/>
        <v>0</v>
      </c>
      <c r="EY67" s="12">
        <f t="shared" si="501"/>
        <v>0</v>
      </c>
      <c r="EZ67" s="12">
        <f t="shared" si="502"/>
        <v>0</v>
      </c>
      <c r="FB67" s="16" t="s">
        <v>1304</v>
      </c>
      <c r="FC67">
        <f>_xlfn.XLOOKUP(FB67,'KPI Impacts'!$B$2:$H$2,'KPI Impacts'!$B67:$H67)</f>
        <v>0</v>
      </c>
      <c r="FD67" s="35" t="s">
        <v>1304</v>
      </c>
      <c r="FE67">
        <f>_xlfn.XLOOKUP(FD67,'KPI Impacts'!$B$2:$H$2,'KPI Impacts'!$B67:$H67)</f>
        <v>0</v>
      </c>
      <c r="FH67" s="12">
        <f t="shared" si="503"/>
        <v>0</v>
      </c>
      <c r="FI67" s="12">
        <f t="shared" si="504"/>
        <v>0</v>
      </c>
      <c r="FJ67" s="12">
        <f t="shared" si="505"/>
        <v>0</v>
      </c>
      <c r="FK67" s="12">
        <f t="shared" si="506"/>
        <v>0</v>
      </c>
      <c r="FL67" s="12">
        <f t="shared" si="507"/>
        <v>0</v>
      </c>
      <c r="FM67" s="12">
        <f t="shared" si="508"/>
        <v>0</v>
      </c>
      <c r="FN67" s="12">
        <f t="shared" si="509"/>
        <v>0</v>
      </c>
      <c r="FO67" s="12">
        <f t="shared" si="510"/>
        <v>0</v>
      </c>
      <c r="FP67" s="12">
        <f t="shared" si="511"/>
        <v>0</v>
      </c>
      <c r="FR67" s="16" t="s">
        <v>1304</v>
      </c>
      <c r="FS67">
        <f>_xlfn.XLOOKUP(FR67,'KPI Impacts'!$B$2:$H$2,'KPI Impacts'!$B67:$H67)</f>
        <v>0</v>
      </c>
      <c r="FT67" s="35" t="s">
        <v>1304</v>
      </c>
      <c r="FU67">
        <f>_xlfn.XLOOKUP(FT67,'KPI Impacts'!$B$2:$H$2,'KPI Impacts'!$B67:$H67)</f>
        <v>0</v>
      </c>
      <c r="FX67" s="12">
        <f t="shared" si="512"/>
        <v>0</v>
      </c>
      <c r="FY67" s="12">
        <f t="shared" si="513"/>
        <v>0</v>
      </c>
      <c r="FZ67" s="12">
        <f t="shared" si="514"/>
        <v>0</v>
      </c>
      <c r="GA67" s="12">
        <f t="shared" si="515"/>
        <v>0</v>
      </c>
      <c r="GB67" s="12">
        <f t="shared" si="516"/>
        <v>0</v>
      </c>
      <c r="GC67" s="12">
        <f t="shared" si="517"/>
        <v>0</v>
      </c>
      <c r="GD67" s="12">
        <f t="shared" si="518"/>
        <v>0</v>
      </c>
      <c r="GE67" s="12">
        <f t="shared" si="519"/>
        <v>0</v>
      </c>
      <c r="GF67" s="12">
        <f t="shared" si="520"/>
        <v>0</v>
      </c>
      <c r="GH67" s="16" t="s">
        <v>1304</v>
      </c>
      <c r="GI67">
        <f>_xlfn.XLOOKUP(GH67,'KPI Impacts'!$B$2:$H$2,'KPI Impacts'!$B67:$H67)</f>
        <v>0</v>
      </c>
      <c r="GJ67" s="35" t="s">
        <v>1304</v>
      </c>
      <c r="GK67">
        <f>_xlfn.XLOOKUP(GJ67,'KPI Impacts'!$B$2:$H$2,'KPI Impacts'!$B67:$H67)</f>
        <v>0</v>
      </c>
      <c r="GN67" s="12">
        <f t="shared" si="521"/>
        <v>0</v>
      </c>
      <c r="GO67" s="12">
        <f t="shared" si="522"/>
        <v>0</v>
      </c>
      <c r="GP67" s="12">
        <f t="shared" si="523"/>
        <v>0</v>
      </c>
      <c r="GQ67" s="12">
        <f t="shared" si="524"/>
        <v>0</v>
      </c>
      <c r="GR67" s="12">
        <f t="shared" si="525"/>
        <v>0</v>
      </c>
      <c r="GS67" s="12">
        <f t="shared" si="526"/>
        <v>0</v>
      </c>
      <c r="GT67" s="12">
        <f t="shared" si="527"/>
        <v>0</v>
      </c>
      <c r="GU67" s="12">
        <f t="shared" si="528"/>
        <v>0</v>
      </c>
      <c r="GV67" s="12">
        <f t="shared" si="529"/>
        <v>0</v>
      </c>
      <c r="GX67" s="16" t="s">
        <v>1304</v>
      </c>
      <c r="GY67">
        <f>_xlfn.XLOOKUP(GX67,'KPI Impacts'!$B$2:$H$2,'KPI Impacts'!$B67:$H67)</f>
        <v>0</v>
      </c>
      <c r="GZ67" s="35" t="s">
        <v>1304</v>
      </c>
      <c r="HA67">
        <f>_xlfn.XLOOKUP(GZ67,'KPI Impacts'!$B$2:$H$2,'KPI Impacts'!$B67:$H67)</f>
        <v>0</v>
      </c>
      <c r="HD67" s="12">
        <f t="shared" si="530"/>
        <v>0</v>
      </c>
      <c r="HE67" s="12">
        <f t="shared" si="531"/>
        <v>0</v>
      </c>
      <c r="HF67" s="12">
        <f t="shared" si="532"/>
        <v>0</v>
      </c>
      <c r="HG67" s="12">
        <f t="shared" si="533"/>
        <v>0</v>
      </c>
      <c r="HH67" s="12">
        <f t="shared" si="534"/>
        <v>0</v>
      </c>
      <c r="HI67" s="12">
        <f t="shared" si="535"/>
        <v>0</v>
      </c>
      <c r="HJ67" s="12">
        <f t="shared" si="536"/>
        <v>0</v>
      </c>
      <c r="HK67" s="12">
        <f t="shared" si="537"/>
        <v>0</v>
      </c>
      <c r="HL67" s="12">
        <f t="shared" si="538"/>
        <v>0</v>
      </c>
      <c r="HN67" s="16" t="s">
        <v>1304</v>
      </c>
      <c r="HO67">
        <f>_xlfn.XLOOKUP(HN67,'KPI Impacts'!$B$2:$H$2,'KPI Impacts'!$B67:$H67)</f>
        <v>0</v>
      </c>
      <c r="HP67" s="35" t="s">
        <v>1304</v>
      </c>
      <c r="HQ67">
        <f>_xlfn.XLOOKUP(HP67,'KPI Impacts'!$B$2:$H$2,'KPI Impacts'!$B67:$H67)</f>
        <v>0</v>
      </c>
      <c r="HT67" s="12">
        <f t="shared" si="539"/>
        <v>0</v>
      </c>
      <c r="HU67" s="12">
        <f t="shared" si="540"/>
        <v>0</v>
      </c>
      <c r="HV67" s="12">
        <f t="shared" si="541"/>
        <v>0</v>
      </c>
      <c r="HW67" s="12">
        <f t="shared" si="542"/>
        <v>0</v>
      </c>
      <c r="HX67" s="12">
        <f t="shared" si="543"/>
        <v>0</v>
      </c>
      <c r="HY67" s="12">
        <f t="shared" si="544"/>
        <v>0</v>
      </c>
      <c r="HZ67" s="12">
        <f t="shared" si="545"/>
        <v>0</v>
      </c>
      <c r="IA67" s="12">
        <f t="shared" si="546"/>
        <v>0</v>
      </c>
      <c r="IB67" s="12">
        <f t="shared" si="547"/>
        <v>0</v>
      </c>
      <c r="ID67" t="s">
        <v>1304</v>
      </c>
      <c r="IE67">
        <f>_xlfn.XLOOKUP(ID67,'KPI Impacts'!$B$2:$H$2,'KPI Impacts'!$B67:$H67)</f>
        <v>0</v>
      </c>
      <c r="IF67" s="35" t="s">
        <v>1304</v>
      </c>
      <c r="IG67">
        <f>_xlfn.XLOOKUP(IF67,'KPI Impacts'!$B$2:$H$2,'KPI Impacts'!$B67:$H67)</f>
        <v>0</v>
      </c>
      <c r="IJ67" s="12">
        <f t="shared" si="548"/>
        <v>0</v>
      </c>
      <c r="IK67" s="12">
        <f t="shared" si="549"/>
        <v>0</v>
      </c>
      <c r="IL67" s="12">
        <f t="shared" si="550"/>
        <v>0</v>
      </c>
      <c r="IM67" s="12">
        <f t="shared" si="551"/>
        <v>0</v>
      </c>
      <c r="IN67" s="12">
        <f t="shared" si="552"/>
        <v>0</v>
      </c>
      <c r="IO67" s="12">
        <f t="shared" si="553"/>
        <v>0</v>
      </c>
      <c r="IP67" s="12">
        <f t="shared" si="554"/>
        <v>0</v>
      </c>
      <c r="IQ67" s="12">
        <f t="shared" si="555"/>
        <v>0</v>
      </c>
      <c r="IR67" s="12">
        <f t="shared" si="556"/>
        <v>0</v>
      </c>
      <c r="IT67" t="s">
        <v>1304</v>
      </c>
      <c r="IU67">
        <f>_xlfn.XLOOKUP(IT67,'KPI Impacts'!$B$2:$H$2,'KPI Impacts'!$B67:$H67)</f>
        <v>0</v>
      </c>
      <c r="IV67" s="35" t="s">
        <v>1304</v>
      </c>
      <c r="IW67">
        <f>_xlfn.XLOOKUP(IV67,'KPI Impacts'!$B$2:$H$2,'KPI Impacts'!$B67:$H67)</f>
        <v>0</v>
      </c>
      <c r="IZ67" s="12">
        <f t="shared" si="557"/>
        <v>0</v>
      </c>
      <c r="JA67" s="12">
        <f t="shared" si="558"/>
        <v>0</v>
      </c>
      <c r="JB67" s="12">
        <f t="shared" si="559"/>
        <v>0</v>
      </c>
      <c r="JC67" s="12">
        <f t="shared" si="560"/>
        <v>0</v>
      </c>
      <c r="JD67" s="12">
        <f t="shared" si="561"/>
        <v>0</v>
      </c>
      <c r="JE67" s="12">
        <f t="shared" si="562"/>
        <v>0</v>
      </c>
      <c r="JF67" s="12">
        <f t="shared" si="563"/>
        <v>0</v>
      </c>
      <c r="JG67" s="12">
        <f t="shared" si="564"/>
        <v>0</v>
      </c>
      <c r="JH67" s="12">
        <f t="shared" si="565"/>
        <v>0</v>
      </c>
      <c r="JJ67" t="s">
        <v>1304</v>
      </c>
      <c r="JK67">
        <f>_xlfn.XLOOKUP(JJ67,'KPI Impacts'!$B$2:$H$2,'KPI Impacts'!$B67:$H67)</f>
        <v>0</v>
      </c>
      <c r="JL67" s="35" t="s">
        <v>1304</v>
      </c>
      <c r="JM67">
        <f>_xlfn.XLOOKUP(JL67,'KPI Impacts'!$B$2:$H$2,'KPI Impacts'!$B67:$H67)</f>
        <v>0</v>
      </c>
      <c r="JP67" s="12">
        <f t="shared" si="566"/>
        <v>0</v>
      </c>
      <c r="JQ67" s="12">
        <f t="shared" si="567"/>
        <v>0</v>
      </c>
      <c r="JR67" s="12">
        <f t="shared" si="568"/>
        <v>0</v>
      </c>
      <c r="JS67" s="12">
        <f t="shared" si="569"/>
        <v>0</v>
      </c>
      <c r="JT67" s="12">
        <f t="shared" si="570"/>
        <v>0</v>
      </c>
      <c r="JU67" s="12">
        <f t="shared" si="571"/>
        <v>0</v>
      </c>
      <c r="JV67" s="12">
        <f t="shared" si="572"/>
        <v>0</v>
      </c>
      <c r="JW67" s="12">
        <f t="shared" si="573"/>
        <v>0</v>
      </c>
      <c r="JX67" s="12">
        <f t="shared" si="574"/>
        <v>0</v>
      </c>
      <c r="JZ67" t="s">
        <v>1304</v>
      </c>
      <c r="KA67">
        <f>_xlfn.XLOOKUP(JZ67,'KPI Impacts'!$B$2:$H$2,'KPI Impacts'!$B67:$H67)</f>
        <v>0</v>
      </c>
      <c r="KB67" s="35" t="s">
        <v>1304</v>
      </c>
      <c r="KC67">
        <f>_xlfn.XLOOKUP(KB67,'KPI Impacts'!$B$2:$H$2,'KPI Impacts'!$B67:$H67)</f>
        <v>0</v>
      </c>
      <c r="KF67" s="12">
        <f t="shared" si="575"/>
        <v>0</v>
      </c>
      <c r="KG67" s="12">
        <f t="shared" si="576"/>
        <v>0</v>
      </c>
      <c r="KH67" s="12">
        <f t="shared" si="577"/>
        <v>0</v>
      </c>
      <c r="KI67" s="12">
        <f t="shared" si="578"/>
        <v>0</v>
      </c>
      <c r="KJ67" s="12">
        <f t="shared" si="579"/>
        <v>0</v>
      </c>
      <c r="KK67" s="12">
        <f t="shared" si="580"/>
        <v>0</v>
      </c>
      <c r="KL67" s="12">
        <f t="shared" si="581"/>
        <v>0</v>
      </c>
      <c r="KM67" s="12">
        <f t="shared" si="582"/>
        <v>0</v>
      </c>
      <c r="KN67" s="12">
        <f t="shared" si="583"/>
        <v>0</v>
      </c>
      <c r="KP67" t="s">
        <v>1304</v>
      </c>
      <c r="KQ67">
        <f>_xlfn.XLOOKUP(KP67,'KPI Impacts'!$B$2:$H$2,'KPI Impacts'!$B67:$H67)</f>
        <v>0</v>
      </c>
      <c r="KR67" s="35" t="s">
        <v>1304</v>
      </c>
      <c r="KS67">
        <f>_xlfn.XLOOKUP(KR67,'KPI Impacts'!$B$2:$H$2,'KPI Impacts'!$B67:$H67)</f>
        <v>0</v>
      </c>
      <c r="KV67" s="12">
        <f t="shared" si="584"/>
        <v>0</v>
      </c>
      <c r="KW67" s="12">
        <f t="shared" si="585"/>
        <v>0</v>
      </c>
      <c r="KX67" s="12">
        <f t="shared" si="586"/>
        <v>0</v>
      </c>
      <c r="KY67" s="12">
        <f t="shared" si="587"/>
        <v>0</v>
      </c>
      <c r="KZ67" s="12">
        <f t="shared" si="588"/>
        <v>0</v>
      </c>
      <c r="LA67" s="12">
        <f t="shared" si="589"/>
        <v>0</v>
      </c>
      <c r="LB67" s="12">
        <f t="shared" si="590"/>
        <v>0</v>
      </c>
      <c r="LC67" s="12">
        <f t="shared" si="591"/>
        <v>0</v>
      </c>
      <c r="LD67" s="12">
        <f t="shared" si="592"/>
        <v>0</v>
      </c>
      <c r="LF67" t="s">
        <v>1304</v>
      </c>
      <c r="LG67">
        <f>_xlfn.XLOOKUP(LF67,'KPI Impacts'!$B$2:$H$2,'KPI Impacts'!$B67:$H67)</f>
        <v>0</v>
      </c>
      <c r="LH67" s="35" t="s">
        <v>1304</v>
      </c>
      <c r="LI67">
        <f>_xlfn.XLOOKUP(LH67,'KPI Impacts'!$B$2:$H$2,'KPI Impacts'!$B67:$H67)</f>
        <v>0</v>
      </c>
      <c r="LL67" s="12">
        <f t="shared" si="593"/>
        <v>0</v>
      </c>
      <c r="LM67" s="12">
        <f t="shared" si="594"/>
        <v>0</v>
      </c>
      <c r="LN67" s="12">
        <f t="shared" si="595"/>
        <v>0</v>
      </c>
      <c r="LO67" s="12">
        <f t="shared" si="596"/>
        <v>0</v>
      </c>
      <c r="LP67" s="12">
        <f t="shared" si="597"/>
        <v>0</v>
      </c>
      <c r="LQ67" s="12">
        <f t="shared" si="598"/>
        <v>0</v>
      </c>
      <c r="LR67" s="12">
        <f t="shared" si="599"/>
        <v>0</v>
      </c>
      <c r="LS67" s="12">
        <f t="shared" si="600"/>
        <v>0</v>
      </c>
      <c r="LT67" s="12">
        <f t="shared" si="601"/>
        <v>0</v>
      </c>
      <c r="LV67" t="s">
        <v>1304</v>
      </c>
      <c r="LW67">
        <f>_xlfn.XLOOKUP(LV67,'KPI Impacts'!$B$2:$H$2,'KPI Impacts'!$B67:$H67)</f>
        <v>0</v>
      </c>
      <c r="LX67" s="35" t="s">
        <v>1304</v>
      </c>
      <c r="LY67">
        <f>_xlfn.XLOOKUP(LX67,'KPI Impacts'!$B$2:$H$2,'KPI Impacts'!$B67:$H67)</f>
        <v>0</v>
      </c>
      <c r="MB67" s="12">
        <f t="shared" si="602"/>
        <v>0</v>
      </c>
      <c r="MC67" s="12">
        <f t="shared" si="603"/>
        <v>0</v>
      </c>
      <c r="MD67" s="12">
        <f t="shared" si="604"/>
        <v>0</v>
      </c>
      <c r="ME67" s="12">
        <f t="shared" si="605"/>
        <v>0</v>
      </c>
      <c r="MF67" s="12">
        <f t="shared" si="606"/>
        <v>0</v>
      </c>
      <c r="MG67" s="12">
        <f t="shared" si="607"/>
        <v>0</v>
      </c>
      <c r="MH67" s="12">
        <f t="shared" si="608"/>
        <v>0</v>
      </c>
      <c r="MI67" s="12">
        <f t="shared" si="609"/>
        <v>0</v>
      </c>
      <c r="MJ67" s="12">
        <f t="shared" si="610"/>
        <v>0</v>
      </c>
      <c r="ML67" t="s">
        <v>1304</v>
      </c>
      <c r="MM67">
        <f>_xlfn.XLOOKUP(ML67,'KPI Impacts'!$B$2:$H$2,'KPI Impacts'!$B67:$H67)</f>
        <v>0</v>
      </c>
      <c r="MN67" s="35" t="s">
        <v>1304</v>
      </c>
      <c r="MO67">
        <f>_xlfn.XLOOKUP(MN67,'KPI Impacts'!$B$2:$H$2,'KPI Impacts'!$B67:$H67)</f>
        <v>0</v>
      </c>
      <c r="MR67" s="12">
        <f t="shared" si="611"/>
        <v>0</v>
      </c>
      <c r="MS67" s="12">
        <f t="shared" si="612"/>
        <v>0</v>
      </c>
      <c r="MT67" s="12">
        <f t="shared" si="613"/>
        <v>0</v>
      </c>
      <c r="MU67" s="12">
        <f t="shared" si="614"/>
        <v>0</v>
      </c>
      <c r="MV67" s="12">
        <f t="shared" si="615"/>
        <v>0</v>
      </c>
      <c r="MW67" s="12">
        <f t="shared" si="616"/>
        <v>0</v>
      </c>
      <c r="MX67" s="12">
        <f t="shared" si="617"/>
        <v>0</v>
      </c>
      <c r="MY67" s="12">
        <f t="shared" si="618"/>
        <v>0</v>
      </c>
      <c r="MZ67" s="12">
        <f t="shared" si="619"/>
        <v>0</v>
      </c>
      <c r="NB67" t="s">
        <v>1304</v>
      </c>
      <c r="NC67">
        <f>_xlfn.XLOOKUP(NB67,'KPI Impacts'!$B$2:$H$2,'KPI Impacts'!$B67:$H67)</f>
        <v>0</v>
      </c>
      <c r="ND67" s="35" t="s">
        <v>1304</v>
      </c>
      <c r="NE67">
        <f>_xlfn.XLOOKUP(ND67,'KPI Impacts'!$B$2:$H$2,'KPI Impacts'!$B67:$H67)</f>
        <v>0</v>
      </c>
      <c r="NH67" s="12">
        <f t="shared" si="620"/>
        <v>0</v>
      </c>
      <c r="NI67" s="12">
        <f t="shared" si="621"/>
        <v>0</v>
      </c>
      <c r="NJ67" s="12">
        <f t="shared" si="622"/>
        <v>0</v>
      </c>
      <c r="NK67" s="12">
        <f t="shared" si="623"/>
        <v>0</v>
      </c>
      <c r="NL67" s="12">
        <f t="shared" si="624"/>
        <v>0</v>
      </c>
      <c r="NM67" s="12">
        <f t="shared" si="625"/>
        <v>0</v>
      </c>
      <c r="NN67" s="12">
        <f t="shared" si="626"/>
        <v>0</v>
      </c>
      <c r="NO67" s="12">
        <f t="shared" si="627"/>
        <v>0</v>
      </c>
      <c r="NP67" s="12">
        <f t="shared" si="628"/>
        <v>0</v>
      </c>
      <c r="NR67" t="s">
        <v>1304</v>
      </c>
      <c r="NS67">
        <f>_xlfn.XLOOKUP(NR67,'KPI Impacts'!$B$2:$H$2,'KPI Impacts'!$B67:$H67)</f>
        <v>0</v>
      </c>
      <c r="NT67" s="35" t="s">
        <v>1304</v>
      </c>
      <c r="NU67">
        <f>_xlfn.XLOOKUP(NT67,'KPI Impacts'!$B$2:$H$2,'KPI Impacts'!$B67:$H67)</f>
        <v>0</v>
      </c>
      <c r="NX67" s="12">
        <f t="shared" si="629"/>
        <v>0</v>
      </c>
      <c r="NY67" s="12">
        <f t="shared" si="630"/>
        <v>0</v>
      </c>
      <c r="NZ67" s="12">
        <f t="shared" si="631"/>
        <v>0</v>
      </c>
      <c r="OA67" s="12">
        <f t="shared" si="632"/>
        <v>0</v>
      </c>
      <c r="OB67" s="12">
        <f t="shared" si="633"/>
        <v>0</v>
      </c>
      <c r="OC67" s="12">
        <f t="shared" si="634"/>
        <v>0</v>
      </c>
      <c r="OD67" s="12">
        <f t="shared" si="635"/>
        <v>0</v>
      </c>
      <c r="OE67" s="12">
        <f t="shared" si="636"/>
        <v>0</v>
      </c>
      <c r="OF67" s="12">
        <f t="shared" si="637"/>
        <v>0</v>
      </c>
      <c r="OH67" t="s">
        <v>1304</v>
      </c>
      <c r="OI67">
        <f>_xlfn.XLOOKUP(OH67,'KPI Impacts'!$B$2:$H$2,'KPI Impacts'!$B67:$H67)</f>
        <v>0</v>
      </c>
      <c r="OJ67" s="35" t="s">
        <v>1304</v>
      </c>
      <c r="OK67">
        <f>_xlfn.XLOOKUP(OJ67,'KPI Impacts'!$B$2:$H$2,'KPI Impacts'!$B67:$H67)</f>
        <v>0</v>
      </c>
    </row>
    <row r="68" spans="1:401" x14ac:dyDescent="0.2">
      <c r="A68" t="s">
        <v>49</v>
      </c>
      <c r="B68" s="12">
        <f t="shared" si="638"/>
        <v>0</v>
      </c>
      <c r="C68" s="12">
        <f t="shared" si="639"/>
        <v>0</v>
      </c>
      <c r="D68" s="12">
        <f t="shared" si="640"/>
        <v>0</v>
      </c>
      <c r="E68" s="12">
        <f t="shared" si="641"/>
        <v>0</v>
      </c>
      <c r="F68" s="12">
        <f t="shared" si="642"/>
        <v>0</v>
      </c>
      <c r="G68" s="12">
        <f t="shared" si="643"/>
        <v>0</v>
      </c>
      <c r="H68" s="12">
        <f t="shared" si="644"/>
        <v>0</v>
      </c>
      <c r="I68" s="12">
        <f t="shared" si="645"/>
        <v>0</v>
      </c>
      <c r="J68" s="12">
        <f t="shared" si="646"/>
        <v>0</v>
      </c>
      <c r="P68" s="12" cm="1">
        <f t="array" ref="P68">_xlfn.SWITCH(P$4, 0,0, 1, AA68,2,AC68,3,AE68,0)</f>
        <v>0</v>
      </c>
      <c r="Q68" s="12" cm="1">
        <f t="array" ref="Q68">_xlfn.SWITCH(Q$4, 0,0, 1, AA68,2,AC68,3,AE68,0)+P68</f>
        <v>0</v>
      </c>
      <c r="R68" s="12" cm="1">
        <f t="array" ref="R68">_xlfn.SWITCH(R$4, 0,0, 1, AA68,2,AC68,3,AE68,0)+Q68</f>
        <v>0</v>
      </c>
      <c r="S68" s="12" cm="1">
        <f t="array" ref="S68">_xlfn.SWITCH(S$4, 0,0, 1, AA68,2,AC68,3,AE68,0)+R68</f>
        <v>0</v>
      </c>
      <c r="T68" s="12" cm="1">
        <f t="array" ref="T68">_xlfn.SWITCH(T$4, 0,0, 1, AA68,2,AC68,3,AE68,0)+S68</f>
        <v>0</v>
      </c>
      <c r="U68" s="12" cm="1">
        <f t="array" ref="U68">_xlfn.SWITCH(U$4, 0,0, 1, AA68,2,AC68,3,AE68,0)+T68</f>
        <v>0</v>
      </c>
      <c r="V68" s="12" cm="1">
        <f t="array" ref="V68">_xlfn.SWITCH(V$4, 0,0, 1, AA68,2,AC68,3,AE68,0)+U68</f>
        <v>0</v>
      </c>
      <c r="W68" s="12" cm="1">
        <f t="array" ref="W68">_xlfn.SWITCH(W$4, 0,0, 1, AA68,2,AC68,3,AE68,0)+V68</f>
        <v>0</v>
      </c>
      <c r="X68" s="12" cm="1">
        <f t="array" ref="X68">_xlfn.SWITCH(X$4, 0,0, 1, AA68,2,AC68,3,AE68,0)+W68</f>
        <v>0</v>
      </c>
      <c r="Z68" t="s">
        <v>1304</v>
      </c>
      <c r="AA68">
        <f>_xlfn.XLOOKUP(Z68,'KPI Impacts'!$K$2:$Q$2,'KPI Impacts'!$K68:$Q68)</f>
        <v>0</v>
      </c>
      <c r="AB68" t="s">
        <v>1304</v>
      </c>
      <c r="AC68">
        <f>_xlfn.XLOOKUP(AB68,'KPI Impacts'!$K$2:$Q$2,'KPI Impacts'!$K68:$Q68)</f>
        <v>0</v>
      </c>
      <c r="AD68" t="s">
        <v>1304</v>
      </c>
      <c r="AE68">
        <f>_xlfn.XLOOKUP(AD68,'KPI Impacts'!$K$2:$Q$2,'KPI Impacts'!$K68:$Q68)</f>
        <v>0</v>
      </c>
      <c r="AH68" s="12" cm="1">
        <f t="array" ref="AH68">_xlfn.SWITCH(AH$4, 0,0, 1, AS68,2,AU68,3,AW68,0)</f>
        <v>0</v>
      </c>
      <c r="AI68" s="12" cm="1">
        <f t="array" ref="AI68">_xlfn.SWITCH(AI$4, 0,0, 1, AS68,2,AU68,3,AW68,0)+AH68</f>
        <v>0</v>
      </c>
      <c r="AJ68" s="12" cm="1">
        <f t="array" ref="AJ68">_xlfn.SWITCH(AJ$4, 0,0, 1, AS68,2,AU68,3,AW68,0)+AI68</f>
        <v>0</v>
      </c>
      <c r="AK68" s="12" cm="1">
        <f t="array" ref="AK68">_xlfn.SWITCH(AK$4, 0,0, 1, AS68,2,AU68,3,AW68,0)+AJ68</f>
        <v>0</v>
      </c>
      <c r="AL68" s="12" cm="1">
        <f t="array" ref="AL68">_xlfn.SWITCH(AL$4, 0,0, 1, AS68,2,AU68,3,AW68,0)+AK68</f>
        <v>0</v>
      </c>
      <c r="AM68" s="12" cm="1">
        <f t="array" ref="AM68">_xlfn.SWITCH(AM$4, 0,0, 1, AS68,2,AU68,3,AW68,0)+AL68</f>
        <v>0</v>
      </c>
      <c r="AN68" s="12" cm="1">
        <f t="array" ref="AN68">_xlfn.SWITCH(AN$4, 0,0, 1, AS68,2,AU68,3,AW68,0)+AM68</f>
        <v>0</v>
      </c>
      <c r="AO68" s="12" cm="1">
        <f t="array" ref="AO68">_xlfn.SWITCH(AO$4, 0,0, 1, AS68,2,AU68,3,AW68,0)+AN68</f>
        <v>0</v>
      </c>
      <c r="AP68" s="12" cm="1">
        <f t="array" ref="AP68">_xlfn.SWITCH(AP$4, 0,0, 1, AS68,2,AU68,3,AW68,0)+AO68</f>
        <v>0</v>
      </c>
      <c r="AR68" t="s">
        <v>1304</v>
      </c>
      <c r="AS68">
        <f>_xlfn.XLOOKUP(AR68,'KPI Impacts'!$K$2:$Q$2,'KPI Impacts'!$K68:$Q68)</f>
        <v>0</v>
      </c>
      <c r="AT68" t="s">
        <v>1304</v>
      </c>
      <c r="AU68">
        <f>_xlfn.XLOOKUP(AT68,'KPI Impacts'!$K$2:$Q$2,'KPI Impacts'!$K68:$Q68)</f>
        <v>0</v>
      </c>
      <c r="AV68" t="s">
        <v>1304</v>
      </c>
      <c r="AW68">
        <f>_xlfn.XLOOKUP(AV68,'KPI Impacts'!$K$2:$Q$2,'KPI Impacts'!$K68:$Q68)</f>
        <v>0</v>
      </c>
      <c r="AZ68" s="12">
        <f t="shared" si="440"/>
        <v>0</v>
      </c>
      <c r="BA68" s="12">
        <f t="shared" si="441"/>
        <v>0</v>
      </c>
      <c r="BB68" s="12">
        <f t="shared" si="442"/>
        <v>0</v>
      </c>
      <c r="BC68" s="12">
        <f t="shared" si="443"/>
        <v>0</v>
      </c>
      <c r="BD68" s="12">
        <f t="shared" si="444"/>
        <v>0</v>
      </c>
      <c r="BE68" s="12">
        <f t="shared" si="445"/>
        <v>0</v>
      </c>
      <c r="BF68" s="12">
        <f t="shared" si="446"/>
        <v>0</v>
      </c>
      <c r="BG68" s="12">
        <f t="shared" si="447"/>
        <v>0</v>
      </c>
      <c r="BH68" s="12">
        <f t="shared" si="448"/>
        <v>0</v>
      </c>
      <c r="BJ68" s="30" t="s">
        <v>1310</v>
      </c>
      <c r="BK68">
        <f>_xlfn.XLOOKUP(BJ68,'KPI Impacts'!$B$2:$H$2,'KPI Impacts'!$B68:$H68)</f>
        <v>4</v>
      </c>
      <c r="BL68" s="35" t="s">
        <v>1304</v>
      </c>
      <c r="BM68">
        <f>_xlfn.XLOOKUP(BL68,'KPI Impacts'!$B$2:$H$2,'KPI Impacts'!$B68:$H68)</f>
        <v>0</v>
      </c>
      <c r="BP68" s="12">
        <f t="shared" si="449"/>
        <v>0</v>
      </c>
      <c r="BQ68" s="12">
        <f t="shared" si="450"/>
        <v>0</v>
      </c>
      <c r="BR68" s="12">
        <f t="shared" si="451"/>
        <v>0</v>
      </c>
      <c r="BS68" s="12">
        <f t="shared" si="452"/>
        <v>0</v>
      </c>
      <c r="BT68" s="12">
        <f t="shared" si="453"/>
        <v>0</v>
      </c>
      <c r="BU68" s="12">
        <f t="shared" si="454"/>
        <v>0</v>
      </c>
      <c r="BV68" s="12">
        <f t="shared" si="455"/>
        <v>0</v>
      </c>
      <c r="BW68" s="12">
        <f t="shared" si="456"/>
        <v>0</v>
      </c>
      <c r="BX68" s="12">
        <f t="shared" si="457"/>
        <v>0</v>
      </c>
      <c r="BZ68" s="30" t="s">
        <v>1308</v>
      </c>
      <c r="CA68">
        <f>_xlfn.XLOOKUP(BZ68,'KPI Impacts'!$B$2:$H$2,'KPI Impacts'!$B68:$H68)</f>
        <v>2</v>
      </c>
      <c r="CB68" s="35" t="s">
        <v>1304</v>
      </c>
      <c r="CC68">
        <f>_xlfn.XLOOKUP(CB68,'KPI Impacts'!$B$2:$H$2,'KPI Impacts'!$B68:$H68)</f>
        <v>0</v>
      </c>
      <c r="CF68" s="12">
        <f t="shared" si="458"/>
        <v>0</v>
      </c>
      <c r="CG68" s="12">
        <f t="shared" si="459"/>
        <v>0</v>
      </c>
      <c r="CH68" s="12">
        <f t="shared" si="460"/>
        <v>0</v>
      </c>
      <c r="CI68" s="12">
        <f t="shared" si="461"/>
        <v>0</v>
      </c>
      <c r="CJ68" s="12">
        <f t="shared" si="462"/>
        <v>0</v>
      </c>
      <c r="CK68" s="12">
        <f t="shared" si="463"/>
        <v>0</v>
      </c>
      <c r="CL68" s="12">
        <f t="shared" si="464"/>
        <v>0</v>
      </c>
      <c r="CM68" s="12">
        <f t="shared" si="465"/>
        <v>0</v>
      </c>
      <c r="CN68" s="12">
        <f t="shared" si="466"/>
        <v>0</v>
      </c>
      <c r="CP68" s="16" t="s">
        <v>1304</v>
      </c>
      <c r="CQ68">
        <f>_xlfn.XLOOKUP(CP68,'KPI Impacts'!$B$2:$H$2,'KPI Impacts'!$B68:$H68)</f>
        <v>0</v>
      </c>
      <c r="CR68" s="35" t="s">
        <v>1304</v>
      </c>
      <c r="CS68">
        <f>_xlfn.XLOOKUP(CR68,'KPI Impacts'!$B$2:$H$2,'KPI Impacts'!$B68:$H68)</f>
        <v>0</v>
      </c>
      <c r="CV68" s="12">
        <f t="shared" si="467"/>
        <v>0</v>
      </c>
      <c r="CW68" s="12">
        <f t="shared" si="468"/>
        <v>0</v>
      </c>
      <c r="CX68" s="12">
        <f t="shared" si="469"/>
        <v>0</v>
      </c>
      <c r="CY68" s="12">
        <f t="shared" si="470"/>
        <v>0</v>
      </c>
      <c r="CZ68" s="12">
        <f t="shared" si="471"/>
        <v>0</v>
      </c>
      <c r="DA68" s="12">
        <f t="shared" si="472"/>
        <v>0</v>
      </c>
      <c r="DB68" s="12">
        <f t="shared" si="473"/>
        <v>0</v>
      </c>
      <c r="DC68" s="12">
        <f t="shared" si="474"/>
        <v>0</v>
      </c>
      <c r="DD68" s="12">
        <f t="shared" si="475"/>
        <v>0</v>
      </c>
      <c r="DF68" s="16" t="s">
        <v>1304</v>
      </c>
      <c r="DG68">
        <f>_xlfn.XLOOKUP(DF68,'KPI Impacts'!$B$2:$H$2,'KPI Impacts'!$B68:$H68)</f>
        <v>0</v>
      </c>
      <c r="DH68" s="35" t="s">
        <v>1304</v>
      </c>
      <c r="DI68">
        <f>_xlfn.XLOOKUP(DH68,'KPI Impacts'!$B$2:$H$2,'KPI Impacts'!$B68:$H68)</f>
        <v>0</v>
      </c>
      <c r="DL68" s="12">
        <f t="shared" si="476"/>
        <v>0</v>
      </c>
      <c r="DM68" s="12">
        <f t="shared" si="477"/>
        <v>0</v>
      </c>
      <c r="DN68" s="12">
        <f t="shared" si="478"/>
        <v>0</v>
      </c>
      <c r="DO68" s="12">
        <f t="shared" si="479"/>
        <v>0</v>
      </c>
      <c r="DP68" s="12">
        <f t="shared" si="480"/>
        <v>0</v>
      </c>
      <c r="DQ68" s="12">
        <f t="shared" si="481"/>
        <v>0</v>
      </c>
      <c r="DR68" s="12">
        <f t="shared" si="482"/>
        <v>0</v>
      </c>
      <c r="DS68" s="12">
        <f t="shared" si="483"/>
        <v>0</v>
      </c>
      <c r="DT68" s="12">
        <f t="shared" si="484"/>
        <v>0</v>
      </c>
      <c r="DV68" s="16" t="s">
        <v>1304</v>
      </c>
      <c r="DW68">
        <f>_xlfn.XLOOKUP(DV68,'KPI Impacts'!$B$2:$H$2,'KPI Impacts'!$B68:$H68)</f>
        <v>0</v>
      </c>
      <c r="DX68" s="35" t="s">
        <v>1304</v>
      </c>
      <c r="DY68">
        <f>_xlfn.XLOOKUP(DX68,'KPI Impacts'!$B$2:$H$2,'KPI Impacts'!$B68:$H68)</f>
        <v>0</v>
      </c>
      <c r="EB68" s="12">
        <f t="shared" si="485"/>
        <v>0</v>
      </c>
      <c r="EC68" s="12">
        <f t="shared" si="486"/>
        <v>0</v>
      </c>
      <c r="ED68" s="12">
        <f t="shared" si="487"/>
        <v>0</v>
      </c>
      <c r="EE68" s="12">
        <f t="shared" si="488"/>
        <v>0</v>
      </c>
      <c r="EF68" s="12">
        <f t="shared" si="489"/>
        <v>0</v>
      </c>
      <c r="EG68" s="12">
        <f t="shared" si="490"/>
        <v>0</v>
      </c>
      <c r="EH68" s="12">
        <f t="shared" si="491"/>
        <v>0</v>
      </c>
      <c r="EI68" s="12">
        <f t="shared" si="492"/>
        <v>0</v>
      </c>
      <c r="EJ68" s="12">
        <f t="shared" si="493"/>
        <v>0</v>
      </c>
      <c r="EL68" s="30" t="s">
        <v>1308</v>
      </c>
      <c r="EM68">
        <f>_xlfn.XLOOKUP(EL68,'KPI Impacts'!$B$2:$H$2,'KPI Impacts'!$B68:$H68)</f>
        <v>2</v>
      </c>
      <c r="EN68" s="35" t="s">
        <v>1304</v>
      </c>
      <c r="EO68">
        <f>_xlfn.XLOOKUP(EN68,'KPI Impacts'!$B$2:$H$2,'KPI Impacts'!$B68:$H68)</f>
        <v>0</v>
      </c>
      <c r="ER68" s="12">
        <f t="shared" si="494"/>
        <v>0</v>
      </c>
      <c r="ES68" s="12">
        <f t="shared" si="495"/>
        <v>0</v>
      </c>
      <c r="ET68" s="12">
        <f t="shared" si="496"/>
        <v>0</v>
      </c>
      <c r="EU68" s="12">
        <f t="shared" si="497"/>
        <v>0</v>
      </c>
      <c r="EV68" s="12">
        <f t="shared" si="498"/>
        <v>0</v>
      </c>
      <c r="EW68" s="12">
        <f t="shared" si="499"/>
        <v>0</v>
      </c>
      <c r="EX68" s="12">
        <f t="shared" si="500"/>
        <v>0</v>
      </c>
      <c r="EY68" s="12">
        <f t="shared" si="501"/>
        <v>0</v>
      </c>
      <c r="EZ68" s="12">
        <f t="shared" si="502"/>
        <v>0</v>
      </c>
      <c r="FB68" s="16" t="s">
        <v>1304</v>
      </c>
      <c r="FC68">
        <f>_xlfn.XLOOKUP(FB68,'KPI Impacts'!$B$2:$H$2,'KPI Impacts'!$B68:$H68)</f>
        <v>0</v>
      </c>
      <c r="FD68" s="35" t="s">
        <v>1304</v>
      </c>
      <c r="FE68">
        <f>_xlfn.XLOOKUP(FD68,'KPI Impacts'!$B$2:$H$2,'KPI Impacts'!$B68:$H68)</f>
        <v>0</v>
      </c>
      <c r="FH68" s="12">
        <f t="shared" si="503"/>
        <v>0</v>
      </c>
      <c r="FI68" s="12">
        <f t="shared" si="504"/>
        <v>0</v>
      </c>
      <c r="FJ68" s="12">
        <f t="shared" si="505"/>
        <v>0</v>
      </c>
      <c r="FK68" s="12">
        <f t="shared" si="506"/>
        <v>0</v>
      </c>
      <c r="FL68" s="12">
        <f t="shared" si="507"/>
        <v>0</v>
      </c>
      <c r="FM68" s="12">
        <f t="shared" si="508"/>
        <v>0</v>
      </c>
      <c r="FN68" s="12">
        <f t="shared" si="509"/>
        <v>0</v>
      </c>
      <c r="FO68" s="12">
        <f t="shared" si="510"/>
        <v>0</v>
      </c>
      <c r="FP68" s="12">
        <f t="shared" si="511"/>
        <v>0</v>
      </c>
      <c r="FR68" s="16" t="s">
        <v>1304</v>
      </c>
      <c r="FS68">
        <f>_xlfn.XLOOKUP(FR68,'KPI Impacts'!$B$2:$H$2,'KPI Impacts'!$B68:$H68)</f>
        <v>0</v>
      </c>
      <c r="FT68" s="35" t="s">
        <v>1304</v>
      </c>
      <c r="FU68">
        <f>_xlfn.XLOOKUP(FT68,'KPI Impacts'!$B$2:$H$2,'KPI Impacts'!$B68:$H68)</f>
        <v>0</v>
      </c>
      <c r="FX68" s="12">
        <f t="shared" si="512"/>
        <v>0</v>
      </c>
      <c r="FY68" s="12">
        <f t="shared" si="513"/>
        <v>0</v>
      </c>
      <c r="FZ68" s="12">
        <f t="shared" si="514"/>
        <v>0</v>
      </c>
      <c r="GA68" s="12">
        <f t="shared" si="515"/>
        <v>0</v>
      </c>
      <c r="GB68" s="12">
        <f t="shared" si="516"/>
        <v>0</v>
      </c>
      <c r="GC68" s="12">
        <f t="shared" si="517"/>
        <v>0</v>
      </c>
      <c r="GD68" s="12">
        <f t="shared" si="518"/>
        <v>0</v>
      </c>
      <c r="GE68" s="12">
        <f t="shared" si="519"/>
        <v>0</v>
      </c>
      <c r="GF68" s="12">
        <f t="shared" si="520"/>
        <v>0</v>
      </c>
      <c r="GH68" s="30" t="s">
        <v>1310</v>
      </c>
      <c r="GI68">
        <f>_xlfn.XLOOKUP(GH68,'KPI Impacts'!$B$2:$H$2,'KPI Impacts'!$B68:$H68)</f>
        <v>4</v>
      </c>
      <c r="GJ68" s="35" t="s">
        <v>1304</v>
      </c>
      <c r="GK68">
        <f>_xlfn.XLOOKUP(GJ68,'KPI Impacts'!$B$2:$H$2,'KPI Impacts'!$B68:$H68)</f>
        <v>0</v>
      </c>
      <c r="GN68" s="12">
        <f t="shared" si="521"/>
        <v>0</v>
      </c>
      <c r="GO68" s="12">
        <f t="shared" si="522"/>
        <v>0</v>
      </c>
      <c r="GP68" s="12">
        <f t="shared" si="523"/>
        <v>0</v>
      </c>
      <c r="GQ68" s="12">
        <f t="shared" si="524"/>
        <v>0</v>
      </c>
      <c r="GR68" s="12">
        <f t="shared" si="525"/>
        <v>0</v>
      </c>
      <c r="GS68" s="12">
        <f t="shared" si="526"/>
        <v>0</v>
      </c>
      <c r="GT68" s="12">
        <f t="shared" si="527"/>
        <v>0</v>
      </c>
      <c r="GU68" s="12">
        <f t="shared" si="528"/>
        <v>0</v>
      </c>
      <c r="GV68" s="12">
        <f t="shared" si="529"/>
        <v>0</v>
      </c>
      <c r="GX68" s="16" t="s">
        <v>1304</v>
      </c>
      <c r="GY68">
        <f>_xlfn.XLOOKUP(GX68,'KPI Impacts'!$B$2:$H$2,'KPI Impacts'!$B68:$H68)</f>
        <v>0</v>
      </c>
      <c r="GZ68" s="35" t="s">
        <v>1304</v>
      </c>
      <c r="HA68">
        <f>_xlfn.XLOOKUP(GZ68,'KPI Impacts'!$B$2:$H$2,'KPI Impacts'!$B68:$H68)</f>
        <v>0</v>
      </c>
      <c r="HD68" s="12">
        <f t="shared" si="530"/>
        <v>0</v>
      </c>
      <c r="HE68" s="12">
        <f t="shared" si="531"/>
        <v>0</v>
      </c>
      <c r="HF68" s="12">
        <f t="shared" si="532"/>
        <v>0</v>
      </c>
      <c r="HG68" s="12">
        <f t="shared" si="533"/>
        <v>0</v>
      </c>
      <c r="HH68" s="12">
        <f t="shared" si="534"/>
        <v>0</v>
      </c>
      <c r="HI68" s="12">
        <f t="shared" si="535"/>
        <v>0</v>
      </c>
      <c r="HJ68" s="12">
        <f t="shared" si="536"/>
        <v>0</v>
      </c>
      <c r="HK68" s="12">
        <f t="shared" si="537"/>
        <v>0</v>
      </c>
      <c r="HL68" s="12">
        <f t="shared" si="538"/>
        <v>0</v>
      </c>
      <c r="HN68" s="16" t="s">
        <v>1304</v>
      </c>
      <c r="HO68">
        <f>_xlfn.XLOOKUP(HN68,'KPI Impacts'!$B$2:$H$2,'KPI Impacts'!$B68:$H68)</f>
        <v>0</v>
      </c>
      <c r="HP68" s="35" t="s">
        <v>1304</v>
      </c>
      <c r="HQ68">
        <f>_xlfn.XLOOKUP(HP68,'KPI Impacts'!$B$2:$H$2,'KPI Impacts'!$B68:$H68)</f>
        <v>0</v>
      </c>
      <c r="HT68" s="12">
        <f t="shared" si="539"/>
        <v>0</v>
      </c>
      <c r="HU68" s="12">
        <f t="shared" si="540"/>
        <v>0</v>
      </c>
      <c r="HV68" s="12">
        <f t="shared" si="541"/>
        <v>0</v>
      </c>
      <c r="HW68" s="12">
        <f t="shared" si="542"/>
        <v>0</v>
      </c>
      <c r="HX68" s="12">
        <f t="shared" si="543"/>
        <v>0</v>
      </c>
      <c r="HY68" s="12">
        <f t="shared" si="544"/>
        <v>0</v>
      </c>
      <c r="HZ68" s="12">
        <f t="shared" si="545"/>
        <v>0</v>
      </c>
      <c r="IA68" s="12">
        <f t="shared" si="546"/>
        <v>0</v>
      </c>
      <c r="IB68" s="12">
        <f t="shared" si="547"/>
        <v>0</v>
      </c>
      <c r="ID68" t="s">
        <v>1304</v>
      </c>
      <c r="IE68">
        <f>_xlfn.XLOOKUP(ID68,'KPI Impacts'!$B$2:$H$2,'KPI Impacts'!$B68:$H68)</f>
        <v>0</v>
      </c>
      <c r="IF68" s="35" t="s">
        <v>1304</v>
      </c>
      <c r="IG68">
        <f>_xlfn.XLOOKUP(IF68,'KPI Impacts'!$B$2:$H$2,'KPI Impacts'!$B68:$H68)</f>
        <v>0</v>
      </c>
      <c r="IJ68" s="12">
        <f t="shared" si="548"/>
        <v>0</v>
      </c>
      <c r="IK68" s="12">
        <f t="shared" si="549"/>
        <v>0</v>
      </c>
      <c r="IL68" s="12">
        <f t="shared" si="550"/>
        <v>0</v>
      </c>
      <c r="IM68" s="12">
        <f t="shared" si="551"/>
        <v>0</v>
      </c>
      <c r="IN68" s="12">
        <f t="shared" si="552"/>
        <v>0</v>
      </c>
      <c r="IO68" s="12">
        <f t="shared" si="553"/>
        <v>0</v>
      </c>
      <c r="IP68" s="12">
        <f t="shared" si="554"/>
        <v>0</v>
      </c>
      <c r="IQ68" s="12">
        <f t="shared" si="555"/>
        <v>0</v>
      </c>
      <c r="IR68" s="12">
        <f t="shared" si="556"/>
        <v>0</v>
      </c>
      <c r="IT68" t="s">
        <v>1304</v>
      </c>
      <c r="IU68">
        <f>_xlfn.XLOOKUP(IT68,'KPI Impacts'!$B$2:$H$2,'KPI Impacts'!$B68:$H68)</f>
        <v>0</v>
      </c>
      <c r="IV68" s="35" t="s">
        <v>1304</v>
      </c>
      <c r="IW68">
        <f>_xlfn.XLOOKUP(IV68,'KPI Impacts'!$B$2:$H$2,'KPI Impacts'!$B68:$H68)</f>
        <v>0</v>
      </c>
      <c r="IZ68" s="12">
        <f t="shared" si="557"/>
        <v>0</v>
      </c>
      <c r="JA68" s="12">
        <f t="shared" si="558"/>
        <v>0</v>
      </c>
      <c r="JB68" s="12">
        <f t="shared" si="559"/>
        <v>0</v>
      </c>
      <c r="JC68" s="12">
        <f t="shared" si="560"/>
        <v>0</v>
      </c>
      <c r="JD68" s="12">
        <f t="shared" si="561"/>
        <v>0</v>
      </c>
      <c r="JE68" s="12">
        <f t="shared" si="562"/>
        <v>0</v>
      </c>
      <c r="JF68" s="12">
        <f t="shared" si="563"/>
        <v>0</v>
      </c>
      <c r="JG68" s="12">
        <f t="shared" si="564"/>
        <v>0</v>
      </c>
      <c r="JH68" s="12">
        <f t="shared" si="565"/>
        <v>0</v>
      </c>
      <c r="JJ68" t="s">
        <v>1304</v>
      </c>
      <c r="JK68">
        <f>_xlfn.XLOOKUP(JJ68,'KPI Impacts'!$B$2:$H$2,'KPI Impacts'!$B68:$H68)</f>
        <v>0</v>
      </c>
      <c r="JL68" s="35" t="s">
        <v>1304</v>
      </c>
      <c r="JM68">
        <f>_xlfn.XLOOKUP(JL68,'KPI Impacts'!$B$2:$H$2,'KPI Impacts'!$B68:$H68)</f>
        <v>0</v>
      </c>
      <c r="JP68" s="12">
        <f t="shared" si="566"/>
        <v>0</v>
      </c>
      <c r="JQ68" s="12">
        <f t="shared" si="567"/>
        <v>0</v>
      </c>
      <c r="JR68" s="12">
        <f t="shared" si="568"/>
        <v>0</v>
      </c>
      <c r="JS68" s="12">
        <f t="shared" si="569"/>
        <v>0</v>
      </c>
      <c r="JT68" s="12">
        <f t="shared" si="570"/>
        <v>0</v>
      </c>
      <c r="JU68" s="12">
        <f t="shared" si="571"/>
        <v>0</v>
      </c>
      <c r="JV68" s="12">
        <f t="shared" si="572"/>
        <v>0</v>
      </c>
      <c r="JW68" s="12">
        <f t="shared" si="573"/>
        <v>0</v>
      </c>
      <c r="JX68" s="12">
        <f t="shared" si="574"/>
        <v>0</v>
      </c>
      <c r="JZ68" t="s">
        <v>1304</v>
      </c>
      <c r="KA68">
        <f>_xlfn.XLOOKUP(JZ68,'KPI Impacts'!$B$2:$H$2,'KPI Impacts'!$B68:$H68)</f>
        <v>0</v>
      </c>
      <c r="KB68" s="35" t="s">
        <v>1304</v>
      </c>
      <c r="KC68">
        <f>_xlfn.XLOOKUP(KB68,'KPI Impacts'!$B$2:$H$2,'KPI Impacts'!$B68:$H68)</f>
        <v>0</v>
      </c>
      <c r="KF68" s="12">
        <f t="shared" si="575"/>
        <v>0</v>
      </c>
      <c r="KG68" s="12">
        <f t="shared" si="576"/>
        <v>0</v>
      </c>
      <c r="KH68" s="12">
        <f t="shared" si="577"/>
        <v>0</v>
      </c>
      <c r="KI68" s="12">
        <f t="shared" si="578"/>
        <v>0</v>
      </c>
      <c r="KJ68" s="12">
        <f t="shared" si="579"/>
        <v>0</v>
      </c>
      <c r="KK68" s="12">
        <f t="shared" si="580"/>
        <v>0</v>
      </c>
      <c r="KL68" s="12">
        <f t="shared" si="581"/>
        <v>0</v>
      </c>
      <c r="KM68" s="12">
        <f t="shared" si="582"/>
        <v>0</v>
      </c>
      <c r="KN68" s="12">
        <f t="shared" si="583"/>
        <v>0</v>
      </c>
      <c r="KP68" t="s">
        <v>1304</v>
      </c>
      <c r="KQ68">
        <f>_xlfn.XLOOKUP(KP68,'KPI Impacts'!$B$2:$H$2,'KPI Impacts'!$B68:$H68)</f>
        <v>0</v>
      </c>
      <c r="KR68" s="35" t="s">
        <v>1304</v>
      </c>
      <c r="KS68">
        <f>_xlfn.XLOOKUP(KR68,'KPI Impacts'!$B$2:$H$2,'KPI Impacts'!$B68:$H68)</f>
        <v>0</v>
      </c>
      <c r="KV68" s="12">
        <f t="shared" si="584"/>
        <v>0</v>
      </c>
      <c r="KW68" s="12">
        <f t="shared" si="585"/>
        <v>0</v>
      </c>
      <c r="KX68" s="12">
        <f t="shared" si="586"/>
        <v>0</v>
      </c>
      <c r="KY68" s="12">
        <f t="shared" si="587"/>
        <v>0</v>
      </c>
      <c r="KZ68" s="12">
        <f t="shared" si="588"/>
        <v>0</v>
      </c>
      <c r="LA68" s="12">
        <f t="shared" si="589"/>
        <v>0</v>
      </c>
      <c r="LB68" s="12">
        <f t="shared" si="590"/>
        <v>0</v>
      </c>
      <c r="LC68" s="12">
        <f t="shared" si="591"/>
        <v>0</v>
      </c>
      <c r="LD68" s="12">
        <f t="shared" si="592"/>
        <v>0</v>
      </c>
      <c r="LF68" t="s">
        <v>1304</v>
      </c>
      <c r="LG68">
        <f>_xlfn.XLOOKUP(LF68,'KPI Impacts'!$B$2:$H$2,'KPI Impacts'!$B68:$H68)</f>
        <v>0</v>
      </c>
      <c r="LH68" s="35" t="s">
        <v>1304</v>
      </c>
      <c r="LI68">
        <f>_xlfn.XLOOKUP(LH68,'KPI Impacts'!$B$2:$H$2,'KPI Impacts'!$B68:$H68)</f>
        <v>0</v>
      </c>
      <c r="LL68" s="12">
        <f t="shared" si="593"/>
        <v>0</v>
      </c>
      <c r="LM68" s="12">
        <f t="shared" si="594"/>
        <v>0</v>
      </c>
      <c r="LN68" s="12">
        <f t="shared" si="595"/>
        <v>0</v>
      </c>
      <c r="LO68" s="12">
        <f t="shared" si="596"/>
        <v>0</v>
      </c>
      <c r="LP68" s="12">
        <f t="shared" si="597"/>
        <v>0</v>
      </c>
      <c r="LQ68" s="12">
        <f t="shared" si="598"/>
        <v>0</v>
      </c>
      <c r="LR68" s="12">
        <f t="shared" si="599"/>
        <v>0</v>
      </c>
      <c r="LS68" s="12">
        <f t="shared" si="600"/>
        <v>0</v>
      </c>
      <c r="LT68" s="12">
        <f t="shared" si="601"/>
        <v>0</v>
      </c>
      <c r="LV68" t="s">
        <v>1304</v>
      </c>
      <c r="LW68">
        <f>_xlfn.XLOOKUP(LV68,'KPI Impacts'!$B$2:$H$2,'KPI Impacts'!$B68:$H68)</f>
        <v>0</v>
      </c>
      <c r="LX68" s="35" t="s">
        <v>1304</v>
      </c>
      <c r="LY68">
        <f>_xlfn.XLOOKUP(LX68,'KPI Impacts'!$B$2:$H$2,'KPI Impacts'!$B68:$H68)</f>
        <v>0</v>
      </c>
      <c r="MB68" s="12">
        <f t="shared" si="602"/>
        <v>0</v>
      </c>
      <c r="MC68" s="12">
        <f t="shared" si="603"/>
        <v>0</v>
      </c>
      <c r="MD68" s="12">
        <f t="shared" si="604"/>
        <v>0</v>
      </c>
      <c r="ME68" s="12">
        <f t="shared" si="605"/>
        <v>0</v>
      </c>
      <c r="MF68" s="12">
        <f t="shared" si="606"/>
        <v>0</v>
      </c>
      <c r="MG68" s="12">
        <f t="shared" si="607"/>
        <v>0</v>
      </c>
      <c r="MH68" s="12">
        <f t="shared" si="608"/>
        <v>0</v>
      </c>
      <c r="MI68" s="12">
        <f t="shared" si="609"/>
        <v>0</v>
      </c>
      <c r="MJ68" s="12">
        <f t="shared" si="610"/>
        <v>0</v>
      </c>
      <c r="ML68" t="s">
        <v>1304</v>
      </c>
      <c r="MM68">
        <f>_xlfn.XLOOKUP(ML68,'KPI Impacts'!$B$2:$H$2,'KPI Impacts'!$B68:$H68)</f>
        <v>0</v>
      </c>
      <c r="MN68" s="35" t="s">
        <v>1304</v>
      </c>
      <c r="MO68">
        <f>_xlfn.XLOOKUP(MN68,'KPI Impacts'!$B$2:$H$2,'KPI Impacts'!$B68:$H68)</f>
        <v>0</v>
      </c>
      <c r="MR68" s="12">
        <f t="shared" si="611"/>
        <v>0</v>
      </c>
      <c r="MS68" s="12">
        <f t="shared" si="612"/>
        <v>0</v>
      </c>
      <c r="MT68" s="12">
        <f t="shared" si="613"/>
        <v>0</v>
      </c>
      <c r="MU68" s="12">
        <f t="shared" si="614"/>
        <v>0</v>
      </c>
      <c r="MV68" s="12">
        <f t="shared" si="615"/>
        <v>0</v>
      </c>
      <c r="MW68" s="12">
        <f t="shared" si="616"/>
        <v>0</v>
      </c>
      <c r="MX68" s="12">
        <f t="shared" si="617"/>
        <v>0</v>
      </c>
      <c r="MY68" s="12">
        <f t="shared" si="618"/>
        <v>0</v>
      </c>
      <c r="MZ68" s="12">
        <f t="shared" si="619"/>
        <v>0</v>
      </c>
      <c r="NB68" t="s">
        <v>1304</v>
      </c>
      <c r="NC68">
        <f>_xlfn.XLOOKUP(NB68,'KPI Impacts'!$B$2:$H$2,'KPI Impacts'!$B68:$H68)</f>
        <v>0</v>
      </c>
      <c r="ND68" s="35" t="s">
        <v>1304</v>
      </c>
      <c r="NE68">
        <f>_xlfn.XLOOKUP(ND68,'KPI Impacts'!$B$2:$H$2,'KPI Impacts'!$B68:$H68)</f>
        <v>0</v>
      </c>
      <c r="NH68" s="12">
        <f t="shared" si="620"/>
        <v>0</v>
      </c>
      <c r="NI68" s="12">
        <f t="shared" si="621"/>
        <v>0</v>
      </c>
      <c r="NJ68" s="12">
        <f t="shared" si="622"/>
        <v>0</v>
      </c>
      <c r="NK68" s="12">
        <f t="shared" si="623"/>
        <v>0</v>
      </c>
      <c r="NL68" s="12">
        <f t="shared" si="624"/>
        <v>0</v>
      </c>
      <c r="NM68" s="12">
        <f t="shared" si="625"/>
        <v>0</v>
      </c>
      <c r="NN68" s="12">
        <f t="shared" si="626"/>
        <v>0</v>
      </c>
      <c r="NO68" s="12">
        <f t="shared" si="627"/>
        <v>0</v>
      </c>
      <c r="NP68" s="12">
        <f t="shared" si="628"/>
        <v>0</v>
      </c>
      <c r="NR68" t="s">
        <v>1304</v>
      </c>
      <c r="NS68">
        <f>_xlfn.XLOOKUP(NR68,'KPI Impacts'!$B$2:$H$2,'KPI Impacts'!$B68:$H68)</f>
        <v>0</v>
      </c>
      <c r="NT68" s="35" t="s">
        <v>1304</v>
      </c>
      <c r="NU68">
        <f>_xlfn.XLOOKUP(NT68,'KPI Impacts'!$B$2:$H$2,'KPI Impacts'!$B68:$H68)</f>
        <v>0</v>
      </c>
      <c r="NX68" s="12">
        <f t="shared" si="629"/>
        <v>0</v>
      </c>
      <c r="NY68" s="12">
        <f t="shared" si="630"/>
        <v>0</v>
      </c>
      <c r="NZ68" s="12">
        <f t="shared" si="631"/>
        <v>0</v>
      </c>
      <c r="OA68" s="12">
        <f t="shared" si="632"/>
        <v>0</v>
      </c>
      <c r="OB68" s="12">
        <f t="shared" si="633"/>
        <v>0</v>
      </c>
      <c r="OC68" s="12">
        <f t="shared" si="634"/>
        <v>0</v>
      </c>
      <c r="OD68" s="12">
        <f t="shared" si="635"/>
        <v>0</v>
      </c>
      <c r="OE68" s="12">
        <f t="shared" si="636"/>
        <v>0</v>
      </c>
      <c r="OF68" s="12">
        <f t="shared" si="637"/>
        <v>0</v>
      </c>
      <c r="OH68" t="s">
        <v>1304</v>
      </c>
      <c r="OI68">
        <f>_xlfn.XLOOKUP(OH68,'KPI Impacts'!$B$2:$H$2,'KPI Impacts'!$B68:$H68)</f>
        <v>0</v>
      </c>
      <c r="OJ68" s="35" t="s">
        <v>1304</v>
      </c>
      <c r="OK68">
        <f>_xlfn.XLOOKUP(OJ68,'KPI Impacts'!$B$2:$H$2,'KPI Impacts'!$B68:$H68)</f>
        <v>0</v>
      </c>
    </row>
    <row r="69" spans="1:401" x14ac:dyDescent="0.2">
      <c r="A69" t="s">
        <v>50</v>
      </c>
      <c r="B69" s="12">
        <f t="shared" si="638"/>
        <v>0</v>
      </c>
      <c r="C69" s="12">
        <f t="shared" si="639"/>
        <v>0</v>
      </c>
      <c r="D69" s="12">
        <f t="shared" si="640"/>
        <v>0</v>
      </c>
      <c r="E69" s="12">
        <f t="shared" si="641"/>
        <v>0</v>
      </c>
      <c r="F69" s="12">
        <f t="shared" si="642"/>
        <v>0</v>
      </c>
      <c r="G69" s="12">
        <f t="shared" si="643"/>
        <v>0</v>
      </c>
      <c r="H69" s="12">
        <f t="shared" si="644"/>
        <v>0</v>
      </c>
      <c r="I69" s="12">
        <f t="shared" si="645"/>
        <v>0</v>
      </c>
      <c r="J69" s="12">
        <f t="shared" si="646"/>
        <v>0</v>
      </c>
      <c r="P69" s="12" cm="1">
        <f t="array" ref="P69">_xlfn.SWITCH(P$4, 0,0, 1, AA69,2,AC69,3,AE69,0)</f>
        <v>0</v>
      </c>
      <c r="Q69" s="12" cm="1">
        <f t="array" ref="Q69">_xlfn.SWITCH(Q$4, 0,0, 1, AA69,2,AC69,3,AE69,0)+P69</f>
        <v>0</v>
      </c>
      <c r="R69" s="12" cm="1">
        <f t="array" ref="R69">_xlfn.SWITCH(R$4, 0,0, 1, AA69,2,AC69,3,AE69,0)+Q69</f>
        <v>0</v>
      </c>
      <c r="S69" s="12" cm="1">
        <f t="array" ref="S69">_xlfn.SWITCH(S$4, 0,0, 1, AA69,2,AC69,3,AE69,0)+R69</f>
        <v>0</v>
      </c>
      <c r="T69" s="12" cm="1">
        <f t="array" ref="T69">_xlfn.SWITCH(T$4, 0,0, 1, AA69,2,AC69,3,AE69,0)+S69</f>
        <v>0</v>
      </c>
      <c r="U69" s="12" cm="1">
        <f t="array" ref="U69">_xlfn.SWITCH(U$4, 0,0, 1, AA69,2,AC69,3,AE69,0)+T69</f>
        <v>0</v>
      </c>
      <c r="V69" s="12" cm="1">
        <f t="array" ref="V69">_xlfn.SWITCH(V$4, 0,0, 1, AA69,2,AC69,3,AE69,0)+U69</f>
        <v>0</v>
      </c>
      <c r="W69" s="12" cm="1">
        <f t="array" ref="W69">_xlfn.SWITCH(W$4, 0,0, 1, AA69,2,AC69,3,AE69,0)+V69</f>
        <v>0</v>
      </c>
      <c r="X69" s="12" cm="1">
        <f t="array" ref="X69">_xlfn.SWITCH(X$4, 0,0, 1, AA69,2,AC69,3,AE69,0)+W69</f>
        <v>0</v>
      </c>
      <c r="Z69" t="s">
        <v>1304</v>
      </c>
      <c r="AA69">
        <f>_xlfn.XLOOKUP(Z69,'KPI Impacts'!$K$2:$Q$2,'KPI Impacts'!$K69:$Q69)</f>
        <v>0</v>
      </c>
      <c r="AB69" t="s">
        <v>1304</v>
      </c>
      <c r="AC69">
        <f>_xlfn.XLOOKUP(AB69,'KPI Impacts'!$K$2:$Q$2,'KPI Impacts'!$K69:$Q69)</f>
        <v>0</v>
      </c>
      <c r="AD69" t="s">
        <v>1304</v>
      </c>
      <c r="AE69">
        <f>_xlfn.XLOOKUP(AD69,'KPI Impacts'!$K$2:$Q$2,'KPI Impacts'!$K69:$Q69)</f>
        <v>0</v>
      </c>
      <c r="AH69" s="12" cm="1">
        <f t="array" ref="AH69">_xlfn.SWITCH(AH$4, 0,0, 1, AS69,2,AU69,3,AW69,0)</f>
        <v>0</v>
      </c>
      <c r="AI69" s="12" cm="1">
        <f t="array" ref="AI69">_xlfn.SWITCH(AI$4, 0,0, 1, AS69,2,AU69,3,AW69,0)+AH69</f>
        <v>0</v>
      </c>
      <c r="AJ69" s="12" cm="1">
        <f t="array" ref="AJ69">_xlfn.SWITCH(AJ$4, 0,0, 1, AS69,2,AU69,3,AW69,0)+AI69</f>
        <v>0</v>
      </c>
      <c r="AK69" s="12" cm="1">
        <f t="array" ref="AK69">_xlfn.SWITCH(AK$4, 0,0, 1, AS69,2,AU69,3,AW69,0)+AJ69</f>
        <v>0</v>
      </c>
      <c r="AL69" s="12" cm="1">
        <f t="array" ref="AL69">_xlfn.SWITCH(AL$4, 0,0, 1, AS69,2,AU69,3,AW69,0)+AK69</f>
        <v>0</v>
      </c>
      <c r="AM69" s="12" cm="1">
        <f t="array" ref="AM69">_xlfn.SWITCH(AM$4, 0,0, 1, AS69,2,AU69,3,AW69,0)+AL69</f>
        <v>0</v>
      </c>
      <c r="AN69" s="12" cm="1">
        <f t="array" ref="AN69">_xlfn.SWITCH(AN$4, 0,0, 1, AS69,2,AU69,3,AW69,0)+AM69</f>
        <v>0</v>
      </c>
      <c r="AO69" s="12" cm="1">
        <f t="array" ref="AO69">_xlfn.SWITCH(AO$4, 0,0, 1, AS69,2,AU69,3,AW69,0)+AN69</f>
        <v>0</v>
      </c>
      <c r="AP69" s="12" cm="1">
        <f t="array" ref="AP69">_xlfn.SWITCH(AP$4, 0,0, 1, AS69,2,AU69,3,AW69,0)+AO69</f>
        <v>0</v>
      </c>
      <c r="AR69" t="s">
        <v>1304</v>
      </c>
      <c r="AS69">
        <f>_xlfn.XLOOKUP(AR69,'KPI Impacts'!$K$2:$Q$2,'KPI Impacts'!$K69:$Q69)</f>
        <v>0</v>
      </c>
      <c r="AT69" t="s">
        <v>1304</v>
      </c>
      <c r="AU69">
        <f>_xlfn.XLOOKUP(AT69,'KPI Impacts'!$K$2:$Q$2,'KPI Impacts'!$K69:$Q69)</f>
        <v>0</v>
      </c>
      <c r="AV69" t="s">
        <v>1304</v>
      </c>
      <c r="AW69">
        <f>_xlfn.XLOOKUP(AV69,'KPI Impacts'!$K$2:$Q$2,'KPI Impacts'!$K69:$Q69)</f>
        <v>0</v>
      </c>
      <c r="AZ69" s="12">
        <f t="shared" si="440"/>
        <v>0</v>
      </c>
      <c r="BA69" s="12">
        <f t="shared" si="441"/>
        <v>0</v>
      </c>
      <c r="BB69" s="12">
        <f t="shared" si="442"/>
        <v>0</v>
      </c>
      <c r="BC69" s="12">
        <f t="shared" si="443"/>
        <v>0</v>
      </c>
      <c r="BD69" s="12">
        <f t="shared" si="444"/>
        <v>0</v>
      </c>
      <c r="BE69" s="12">
        <f t="shared" si="445"/>
        <v>0</v>
      </c>
      <c r="BF69" s="12">
        <f t="shared" si="446"/>
        <v>0</v>
      </c>
      <c r="BG69" s="12">
        <f t="shared" si="447"/>
        <v>0</v>
      </c>
      <c r="BH69" s="12">
        <f t="shared" si="448"/>
        <v>0</v>
      </c>
      <c r="BJ69" s="30" t="s">
        <v>1310</v>
      </c>
      <c r="BK69">
        <f>_xlfn.XLOOKUP(BJ69,'KPI Impacts'!$B$2:$H$2,'KPI Impacts'!$B69:$H69)</f>
        <v>4</v>
      </c>
      <c r="BL69" s="35" t="s">
        <v>1304</v>
      </c>
      <c r="BM69">
        <f>_xlfn.XLOOKUP(BL69,'KPI Impacts'!$B$2:$H$2,'KPI Impacts'!$B69:$H69)</f>
        <v>0</v>
      </c>
      <c r="BP69" s="12">
        <f t="shared" si="449"/>
        <v>0</v>
      </c>
      <c r="BQ69" s="12">
        <f t="shared" si="450"/>
        <v>0</v>
      </c>
      <c r="BR69" s="12">
        <f t="shared" si="451"/>
        <v>0</v>
      </c>
      <c r="BS69" s="12">
        <f t="shared" si="452"/>
        <v>0</v>
      </c>
      <c r="BT69" s="12">
        <f t="shared" si="453"/>
        <v>0</v>
      </c>
      <c r="BU69" s="12">
        <f t="shared" si="454"/>
        <v>0</v>
      </c>
      <c r="BV69" s="12">
        <f t="shared" si="455"/>
        <v>0</v>
      </c>
      <c r="BW69" s="12">
        <f t="shared" si="456"/>
        <v>0</v>
      </c>
      <c r="BX69" s="12">
        <f t="shared" si="457"/>
        <v>0</v>
      </c>
      <c r="BZ69" s="30" t="s">
        <v>1310</v>
      </c>
      <c r="CA69">
        <f>_xlfn.XLOOKUP(BZ69,'KPI Impacts'!$B$2:$H$2,'KPI Impacts'!$B69:$H69)</f>
        <v>4</v>
      </c>
      <c r="CB69" s="35" t="s">
        <v>1304</v>
      </c>
      <c r="CC69">
        <f>_xlfn.XLOOKUP(CB69,'KPI Impacts'!$B$2:$H$2,'KPI Impacts'!$B69:$H69)</f>
        <v>0</v>
      </c>
      <c r="CF69" s="12">
        <f t="shared" si="458"/>
        <v>0</v>
      </c>
      <c r="CG69" s="12">
        <f t="shared" si="459"/>
        <v>0</v>
      </c>
      <c r="CH69" s="12">
        <f t="shared" si="460"/>
        <v>0</v>
      </c>
      <c r="CI69" s="12">
        <f t="shared" si="461"/>
        <v>0</v>
      </c>
      <c r="CJ69" s="12">
        <f t="shared" si="462"/>
        <v>0</v>
      </c>
      <c r="CK69" s="12">
        <f t="shared" si="463"/>
        <v>0</v>
      </c>
      <c r="CL69" s="12">
        <f t="shared" si="464"/>
        <v>0</v>
      </c>
      <c r="CM69" s="12">
        <f t="shared" si="465"/>
        <v>0</v>
      </c>
      <c r="CN69" s="12">
        <f t="shared" si="466"/>
        <v>0</v>
      </c>
      <c r="CP69" s="16" t="s">
        <v>1304</v>
      </c>
      <c r="CQ69">
        <f>_xlfn.XLOOKUP(CP69,'KPI Impacts'!$B$2:$H$2,'KPI Impacts'!$B69:$H69)</f>
        <v>0</v>
      </c>
      <c r="CR69" s="35" t="s">
        <v>1304</v>
      </c>
      <c r="CS69">
        <f>_xlfn.XLOOKUP(CR69,'KPI Impacts'!$B$2:$H$2,'KPI Impacts'!$B69:$H69)</f>
        <v>0</v>
      </c>
      <c r="CV69" s="12">
        <f t="shared" si="467"/>
        <v>0</v>
      </c>
      <c r="CW69" s="12">
        <f t="shared" si="468"/>
        <v>0</v>
      </c>
      <c r="CX69" s="12">
        <f t="shared" si="469"/>
        <v>0</v>
      </c>
      <c r="CY69" s="12">
        <f t="shared" si="470"/>
        <v>0</v>
      </c>
      <c r="CZ69" s="12">
        <f t="shared" si="471"/>
        <v>0</v>
      </c>
      <c r="DA69" s="12">
        <f t="shared" si="472"/>
        <v>0</v>
      </c>
      <c r="DB69" s="12">
        <f t="shared" si="473"/>
        <v>0</v>
      </c>
      <c r="DC69" s="12">
        <f t="shared" si="474"/>
        <v>0</v>
      </c>
      <c r="DD69" s="12">
        <f t="shared" si="475"/>
        <v>0</v>
      </c>
      <c r="DF69" s="16" t="s">
        <v>1304</v>
      </c>
      <c r="DG69">
        <f>_xlfn.XLOOKUP(DF69,'KPI Impacts'!$B$2:$H$2,'KPI Impacts'!$B69:$H69)</f>
        <v>0</v>
      </c>
      <c r="DH69" s="35" t="s">
        <v>1304</v>
      </c>
      <c r="DI69">
        <f>_xlfn.XLOOKUP(DH69,'KPI Impacts'!$B$2:$H$2,'KPI Impacts'!$B69:$H69)</f>
        <v>0</v>
      </c>
      <c r="DL69" s="12">
        <f t="shared" si="476"/>
        <v>0</v>
      </c>
      <c r="DM69" s="12">
        <f t="shared" si="477"/>
        <v>0</v>
      </c>
      <c r="DN69" s="12">
        <f t="shared" si="478"/>
        <v>0</v>
      </c>
      <c r="DO69" s="12">
        <f t="shared" si="479"/>
        <v>0</v>
      </c>
      <c r="DP69" s="12">
        <f t="shared" si="480"/>
        <v>0</v>
      </c>
      <c r="DQ69" s="12">
        <f t="shared" si="481"/>
        <v>0</v>
      </c>
      <c r="DR69" s="12">
        <f t="shared" si="482"/>
        <v>0</v>
      </c>
      <c r="DS69" s="12">
        <f t="shared" si="483"/>
        <v>0</v>
      </c>
      <c r="DT69" s="12">
        <f t="shared" si="484"/>
        <v>0</v>
      </c>
      <c r="DV69" s="30" t="s">
        <v>1310</v>
      </c>
      <c r="DW69">
        <f>_xlfn.XLOOKUP(DV69,'KPI Impacts'!$B$2:$H$2,'KPI Impacts'!$B69:$H69)</f>
        <v>4</v>
      </c>
      <c r="DX69" s="35" t="s">
        <v>1304</v>
      </c>
      <c r="DY69">
        <f>_xlfn.XLOOKUP(DX69,'KPI Impacts'!$B$2:$H$2,'KPI Impacts'!$B69:$H69)</f>
        <v>0</v>
      </c>
      <c r="EB69" s="12">
        <f t="shared" si="485"/>
        <v>0</v>
      </c>
      <c r="EC69" s="12">
        <f t="shared" si="486"/>
        <v>0</v>
      </c>
      <c r="ED69" s="12">
        <f t="shared" si="487"/>
        <v>0</v>
      </c>
      <c r="EE69" s="12">
        <f t="shared" si="488"/>
        <v>0</v>
      </c>
      <c r="EF69" s="12">
        <f t="shared" si="489"/>
        <v>0</v>
      </c>
      <c r="EG69" s="12">
        <f t="shared" si="490"/>
        <v>0</v>
      </c>
      <c r="EH69" s="12">
        <f t="shared" si="491"/>
        <v>0</v>
      </c>
      <c r="EI69" s="12">
        <f t="shared" si="492"/>
        <v>0</v>
      </c>
      <c r="EJ69" s="12">
        <f t="shared" si="493"/>
        <v>0</v>
      </c>
      <c r="EL69" s="30" t="s">
        <v>1308</v>
      </c>
      <c r="EM69">
        <f>_xlfn.XLOOKUP(EL69,'KPI Impacts'!$B$2:$H$2,'KPI Impacts'!$B69:$H69)</f>
        <v>2</v>
      </c>
      <c r="EN69" s="35" t="s">
        <v>1304</v>
      </c>
      <c r="EO69">
        <f>_xlfn.XLOOKUP(EN69,'KPI Impacts'!$B$2:$H$2,'KPI Impacts'!$B69:$H69)</f>
        <v>0</v>
      </c>
      <c r="ER69" s="12">
        <f t="shared" si="494"/>
        <v>0</v>
      </c>
      <c r="ES69" s="12">
        <f t="shared" si="495"/>
        <v>0</v>
      </c>
      <c r="ET69" s="12">
        <f t="shared" si="496"/>
        <v>0</v>
      </c>
      <c r="EU69" s="12">
        <f t="shared" si="497"/>
        <v>0</v>
      </c>
      <c r="EV69" s="12">
        <f t="shared" si="498"/>
        <v>0</v>
      </c>
      <c r="EW69" s="12">
        <f t="shared" si="499"/>
        <v>0</v>
      </c>
      <c r="EX69" s="12">
        <f t="shared" si="500"/>
        <v>0</v>
      </c>
      <c r="EY69" s="12">
        <f t="shared" si="501"/>
        <v>0</v>
      </c>
      <c r="EZ69" s="12">
        <f t="shared" si="502"/>
        <v>0</v>
      </c>
      <c r="FB69" s="16" t="s">
        <v>1304</v>
      </c>
      <c r="FC69">
        <f>_xlfn.XLOOKUP(FB69,'KPI Impacts'!$B$2:$H$2,'KPI Impacts'!$B69:$H69)</f>
        <v>0</v>
      </c>
      <c r="FD69" s="35" t="s">
        <v>1304</v>
      </c>
      <c r="FE69">
        <f>_xlfn.XLOOKUP(FD69,'KPI Impacts'!$B$2:$H$2,'KPI Impacts'!$B69:$H69)</f>
        <v>0</v>
      </c>
      <c r="FH69" s="12">
        <f t="shared" si="503"/>
        <v>0</v>
      </c>
      <c r="FI69" s="12">
        <f t="shared" si="504"/>
        <v>0</v>
      </c>
      <c r="FJ69" s="12">
        <f t="shared" si="505"/>
        <v>0</v>
      </c>
      <c r="FK69" s="12">
        <f t="shared" si="506"/>
        <v>0</v>
      </c>
      <c r="FL69" s="12">
        <f t="shared" si="507"/>
        <v>0</v>
      </c>
      <c r="FM69" s="12">
        <f t="shared" si="508"/>
        <v>0</v>
      </c>
      <c r="FN69" s="12">
        <f t="shared" si="509"/>
        <v>0</v>
      </c>
      <c r="FO69" s="12">
        <f t="shared" si="510"/>
        <v>0</v>
      </c>
      <c r="FP69" s="12">
        <f t="shared" si="511"/>
        <v>0</v>
      </c>
      <c r="FR69" s="30" t="s">
        <v>1310</v>
      </c>
      <c r="FS69">
        <f>_xlfn.XLOOKUP(FR69,'KPI Impacts'!$B$2:$H$2,'KPI Impacts'!$B69:$H69)</f>
        <v>4</v>
      </c>
      <c r="FT69" s="35" t="s">
        <v>1304</v>
      </c>
      <c r="FU69">
        <f>_xlfn.XLOOKUP(FT69,'KPI Impacts'!$B$2:$H$2,'KPI Impacts'!$B69:$H69)</f>
        <v>0</v>
      </c>
      <c r="FX69" s="12">
        <f t="shared" si="512"/>
        <v>0</v>
      </c>
      <c r="FY69" s="12">
        <f t="shared" si="513"/>
        <v>0</v>
      </c>
      <c r="FZ69" s="12">
        <f t="shared" si="514"/>
        <v>0</v>
      </c>
      <c r="GA69" s="12">
        <f t="shared" si="515"/>
        <v>0</v>
      </c>
      <c r="GB69" s="12">
        <f t="shared" si="516"/>
        <v>0</v>
      </c>
      <c r="GC69" s="12">
        <f t="shared" si="517"/>
        <v>0</v>
      </c>
      <c r="GD69" s="12">
        <f t="shared" si="518"/>
        <v>0</v>
      </c>
      <c r="GE69" s="12">
        <f t="shared" si="519"/>
        <v>0</v>
      </c>
      <c r="GF69" s="12">
        <f t="shared" si="520"/>
        <v>0</v>
      </c>
      <c r="GH69" s="16" t="s">
        <v>1304</v>
      </c>
      <c r="GI69">
        <f>_xlfn.XLOOKUP(GH69,'KPI Impacts'!$B$2:$H$2,'KPI Impacts'!$B69:$H69)</f>
        <v>0</v>
      </c>
      <c r="GJ69" s="35" t="s">
        <v>1304</v>
      </c>
      <c r="GK69">
        <f>_xlfn.XLOOKUP(GJ69,'KPI Impacts'!$B$2:$H$2,'KPI Impacts'!$B69:$H69)</f>
        <v>0</v>
      </c>
      <c r="GN69" s="12">
        <f t="shared" si="521"/>
        <v>0</v>
      </c>
      <c r="GO69" s="12">
        <f t="shared" si="522"/>
        <v>0</v>
      </c>
      <c r="GP69" s="12">
        <f t="shared" si="523"/>
        <v>0</v>
      </c>
      <c r="GQ69" s="12">
        <f t="shared" si="524"/>
        <v>0</v>
      </c>
      <c r="GR69" s="12">
        <f t="shared" si="525"/>
        <v>0</v>
      </c>
      <c r="GS69" s="12">
        <f t="shared" si="526"/>
        <v>0</v>
      </c>
      <c r="GT69" s="12">
        <f t="shared" si="527"/>
        <v>0</v>
      </c>
      <c r="GU69" s="12">
        <f t="shared" si="528"/>
        <v>0</v>
      </c>
      <c r="GV69" s="12">
        <f t="shared" si="529"/>
        <v>0</v>
      </c>
      <c r="GX69" s="16" t="s">
        <v>1304</v>
      </c>
      <c r="GY69">
        <f>_xlfn.XLOOKUP(GX69,'KPI Impacts'!$B$2:$H$2,'KPI Impacts'!$B69:$H69)</f>
        <v>0</v>
      </c>
      <c r="GZ69" s="35" t="s">
        <v>1304</v>
      </c>
      <c r="HA69">
        <f>_xlfn.XLOOKUP(GZ69,'KPI Impacts'!$B$2:$H$2,'KPI Impacts'!$B69:$H69)</f>
        <v>0</v>
      </c>
      <c r="HD69" s="12">
        <f t="shared" si="530"/>
        <v>0</v>
      </c>
      <c r="HE69" s="12">
        <f t="shared" si="531"/>
        <v>0</v>
      </c>
      <c r="HF69" s="12">
        <f t="shared" si="532"/>
        <v>0</v>
      </c>
      <c r="HG69" s="12">
        <f t="shared" si="533"/>
        <v>0</v>
      </c>
      <c r="HH69" s="12">
        <f t="shared" si="534"/>
        <v>0</v>
      </c>
      <c r="HI69" s="12">
        <f t="shared" si="535"/>
        <v>0</v>
      </c>
      <c r="HJ69" s="12">
        <f t="shared" si="536"/>
        <v>0</v>
      </c>
      <c r="HK69" s="12">
        <f t="shared" si="537"/>
        <v>0</v>
      </c>
      <c r="HL69" s="12">
        <f t="shared" si="538"/>
        <v>0</v>
      </c>
      <c r="HN69" s="16" t="s">
        <v>1304</v>
      </c>
      <c r="HO69">
        <f>_xlfn.XLOOKUP(HN69,'KPI Impacts'!$B$2:$H$2,'KPI Impacts'!$B69:$H69)</f>
        <v>0</v>
      </c>
      <c r="HP69" s="35" t="s">
        <v>1304</v>
      </c>
      <c r="HQ69">
        <f>_xlfn.XLOOKUP(HP69,'KPI Impacts'!$B$2:$H$2,'KPI Impacts'!$B69:$H69)</f>
        <v>0</v>
      </c>
      <c r="HT69" s="12">
        <f t="shared" si="539"/>
        <v>0</v>
      </c>
      <c r="HU69" s="12">
        <f t="shared" si="540"/>
        <v>0</v>
      </c>
      <c r="HV69" s="12">
        <f t="shared" si="541"/>
        <v>0</v>
      </c>
      <c r="HW69" s="12">
        <f t="shared" si="542"/>
        <v>0</v>
      </c>
      <c r="HX69" s="12">
        <f t="shared" si="543"/>
        <v>0</v>
      </c>
      <c r="HY69" s="12">
        <f t="shared" si="544"/>
        <v>0</v>
      </c>
      <c r="HZ69" s="12">
        <f t="shared" si="545"/>
        <v>0</v>
      </c>
      <c r="IA69" s="12">
        <f t="shared" si="546"/>
        <v>0</v>
      </c>
      <c r="IB69" s="12">
        <f t="shared" si="547"/>
        <v>0</v>
      </c>
      <c r="ID69" t="s">
        <v>1304</v>
      </c>
      <c r="IE69">
        <f>_xlfn.XLOOKUP(ID69,'KPI Impacts'!$B$2:$H$2,'KPI Impacts'!$B69:$H69)</f>
        <v>0</v>
      </c>
      <c r="IF69" s="35" t="s">
        <v>1304</v>
      </c>
      <c r="IG69">
        <f>_xlfn.XLOOKUP(IF69,'KPI Impacts'!$B$2:$H$2,'KPI Impacts'!$B69:$H69)</f>
        <v>0</v>
      </c>
      <c r="IJ69" s="12">
        <f t="shared" si="548"/>
        <v>0</v>
      </c>
      <c r="IK69" s="12">
        <f t="shared" si="549"/>
        <v>0</v>
      </c>
      <c r="IL69" s="12">
        <f t="shared" si="550"/>
        <v>0</v>
      </c>
      <c r="IM69" s="12">
        <f t="shared" si="551"/>
        <v>0</v>
      </c>
      <c r="IN69" s="12">
        <f t="shared" si="552"/>
        <v>0</v>
      </c>
      <c r="IO69" s="12">
        <f t="shared" si="553"/>
        <v>0</v>
      </c>
      <c r="IP69" s="12">
        <f t="shared" si="554"/>
        <v>0</v>
      </c>
      <c r="IQ69" s="12">
        <f t="shared" si="555"/>
        <v>0</v>
      </c>
      <c r="IR69" s="12">
        <f t="shared" si="556"/>
        <v>0</v>
      </c>
      <c r="IT69" t="s">
        <v>1304</v>
      </c>
      <c r="IU69">
        <f>_xlfn.XLOOKUP(IT69,'KPI Impacts'!$B$2:$H$2,'KPI Impacts'!$B69:$H69)</f>
        <v>0</v>
      </c>
      <c r="IV69" s="35" t="s">
        <v>1304</v>
      </c>
      <c r="IW69">
        <f>_xlfn.XLOOKUP(IV69,'KPI Impacts'!$B$2:$H$2,'KPI Impacts'!$B69:$H69)</f>
        <v>0</v>
      </c>
      <c r="IZ69" s="12">
        <f t="shared" si="557"/>
        <v>0</v>
      </c>
      <c r="JA69" s="12">
        <f t="shared" si="558"/>
        <v>0</v>
      </c>
      <c r="JB69" s="12">
        <f t="shared" si="559"/>
        <v>0</v>
      </c>
      <c r="JC69" s="12">
        <f t="shared" si="560"/>
        <v>0</v>
      </c>
      <c r="JD69" s="12">
        <f t="shared" si="561"/>
        <v>0</v>
      </c>
      <c r="JE69" s="12">
        <f t="shared" si="562"/>
        <v>0</v>
      </c>
      <c r="JF69" s="12">
        <f t="shared" si="563"/>
        <v>0</v>
      </c>
      <c r="JG69" s="12">
        <f t="shared" si="564"/>
        <v>0</v>
      </c>
      <c r="JH69" s="12">
        <f t="shared" si="565"/>
        <v>0</v>
      </c>
      <c r="JJ69" t="s">
        <v>1304</v>
      </c>
      <c r="JK69">
        <f>_xlfn.XLOOKUP(JJ69,'KPI Impacts'!$B$2:$H$2,'KPI Impacts'!$B69:$H69)</f>
        <v>0</v>
      </c>
      <c r="JL69" s="35" t="s">
        <v>1304</v>
      </c>
      <c r="JM69">
        <f>_xlfn.XLOOKUP(JL69,'KPI Impacts'!$B$2:$H$2,'KPI Impacts'!$B69:$H69)</f>
        <v>0</v>
      </c>
      <c r="JP69" s="12">
        <f t="shared" si="566"/>
        <v>0</v>
      </c>
      <c r="JQ69" s="12">
        <f t="shared" si="567"/>
        <v>0</v>
      </c>
      <c r="JR69" s="12">
        <f t="shared" si="568"/>
        <v>0</v>
      </c>
      <c r="JS69" s="12">
        <f t="shared" si="569"/>
        <v>0</v>
      </c>
      <c r="JT69" s="12">
        <f t="shared" si="570"/>
        <v>0</v>
      </c>
      <c r="JU69" s="12">
        <f t="shared" si="571"/>
        <v>0</v>
      </c>
      <c r="JV69" s="12">
        <f t="shared" si="572"/>
        <v>0</v>
      </c>
      <c r="JW69" s="12">
        <f t="shared" si="573"/>
        <v>0</v>
      </c>
      <c r="JX69" s="12">
        <f t="shared" si="574"/>
        <v>0</v>
      </c>
      <c r="JZ69" t="s">
        <v>1304</v>
      </c>
      <c r="KA69">
        <f>_xlfn.XLOOKUP(JZ69,'KPI Impacts'!$B$2:$H$2,'KPI Impacts'!$B69:$H69)</f>
        <v>0</v>
      </c>
      <c r="KB69" s="35" t="s">
        <v>1304</v>
      </c>
      <c r="KC69">
        <f>_xlfn.XLOOKUP(KB69,'KPI Impacts'!$B$2:$H$2,'KPI Impacts'!$B69:$H69)</f>
        <v>0</v>
      </c>
      <c r="KF69" s="12">
        <f t="shared" si="575"/>
        <v>0</v>
      </c>
      <c r="KG69" s="12">
        <f t="shared" si="576"/>
        <v>0</v>
      </c>
      <c r="KH69" s="12">
        <f t="shared" si="577"/>
        <v>0</v>
      </c>
      <c r="KI69" s="12">
        <f t="shared" si="578"/>
        <v>0</v>
      </c>
      <c r="KJ69" s="12">
        <f t="shared" si="579"/>
        <v>0</v>
      </c>
      <c r="KK69" s="12">
        <f t="shared" si="580"/>
        <v>0</v>
      </c>
      <c r="KL69" s="12">
        <f t="shared" si="581"/>
        <v>0</v>
      </c>
      <c r="KM69" s="12">
        <f t="shared" si="582"/>
        <v>0</v>
      </c>
      <c r="KN69" s="12">
        <f t="shared" si="583"/>
        <v>0</v>
      </c>
      <c r="KP69" t="s">
        <v>1304</v>
      </c>
      <c r="KQ69">
        <f>_xlfn.XLOOKUP(KP69,'KPI Impacts'!$B$2:$H$2,'KPI Impacts'!$B69:$H69)</f>
        <v>0</v>
      </c>
      <c r="KR69" s="35" t="s">
        <v>1304</v>
      </c>
      <c r="KS69">
        <f>_xlfn.XLOOKUP(KR69,'KPI Impacts'!$B$2:$H$2,'KPI Impacts'!$B69:$H69)</f>
        <v>0</v>
      </c>
      <c r="KV69" s="12">
        <f t="shared" si="584"/>
        <v>0</v>
      </c>
      <c r="KW69" s="12">
        <f t="shared" si="585"/>
        <v>0</v>
      </c>
      <c r="KX69" s="12">
        <f t="shared" si="586"/>
        <v>0</v>
      </c>
      <c r="KY69" s="12">
        <f t="shared" si="587"/>
        <v>0</v>
      </c>
      <c r="KZ69" s="12">
        <f t="shared" si="588"/>
        <v>0</v>
      </c>
      <c r="LA69" s="12">
        <f t="shared" si="589"/>
        <v>0</v>
      </c>
      <c r="LB69" s="12">
        <f t="shared" si="590"/>
        <v>0</v>
      </c>
      <c r="LC69" s="12">
        <f t="shared" si="591"/>
        <v>0</v>
      </c>
      <c r="LD69" s="12">
        <f t="shared" si="592"/>
        <v>0</v>
      </c>
      <c r="LF69" t="s">
        <v>1304</v>
      </c>
      <c r="LG69">
        <f>_xlfn.XLOOKUP(LF69,'KPI Impacts'!$B$2:$H$2,'KPI Impacts'!$B69:$H69)</f>
        <v>0</v>
      </c>
      <c r="LH69" s="35" t="s">
        <v>1304</v>
      </c>
      <c r="LI69">
        <f>_xlfn.XLOOKUP(LH69,'KPI Impacts'!$B$2:$H$2,'KPI Impacts'!$B69:$H69)</f>
        <v>0</v>
      </c>
      <c r="LL69" s="12">
        <f t="shared" si="593"/>
        <v>0</v>
      </c>
      <c r="LM69" s="12">
        <f t="shared" si="594"/>
        <v>0</v>
      </c>
      <c r="LN69" s="12">
        <f t="shared" si="595"/>
        <v>0</v>
      </c>
      <c r="LO69" s="12">
        <f t="shared" si="596"/>
        <v>0</v>
      </c>
      <c r="LP69" s="12">
        <f t="shared" si="597"/>
        <v>0</v>
      </c>
      <c r="LQ69" s="12">
        <f t="shared" si="598"/>
        <v>0</v>
      </c>
      <c r="LR69" s="12">
        <f t="shared" si="599"/>
        <v>0</v>
      </c>
      <c r="LS69" s="12">
        <f t="shared" si="600"/>
        <v>0</v>
      </c>
      <c r="LT69" s="12">
        <f t="shared" si="601"/>
        <v>0</v>
      </c>
      <c r="LV69" t="s">
        <v>1304</v>
      </c>
      <c r="LW69">
        <f>_xlfn.XLOOKUP(LV69,'KPI Impacts'!$B$2:$H$2,'KPI Impacts'!$B69:$H69)</f>
        <v>0</v>
      </c>
      <c r="LX69" s="35" t="s">
        <v>1304</v>
      </c>
      <c r="LY69">
        <f>_xlfn.XLOOKUP(LX69,'KPI Impacts'!$B$2:$H$2,'KPI Impacts'!$B69:$H69)</f>
        <v>0</v>
      </c>
      <c r="MB69" s="12">
        <f t="shared" si="602"/>
        <v>0</v>
      </c>
      <c r="MC69" s="12">
        <f t="shared" si="603"/>
        <v>0</v>
      </c>
      <c r="MD69" s="12">
        <f t="shared" si="604"/>
        <v>0</v>
      </c>
      <c r="ME69" s="12">
        <f t="shared" si="605"/>
        <v>0</v>
      </c>
      <c r="MF69" s="12">
        <f t="shared" si="606"/>
        <v>0</v>
      </c>
      <c r="MG69" s="12">
        <f t="shared" si="607"/>
        <v>0</v>
      </c>
      <c r="MH69" s="12">
        <f t="shared" si="608"/>
        <v>0</v>
      </c>
      <c r="MI69" s="12">
        <f t="shared" si="609"/>
        <v>0</v>
      </c>
      <c r="MJ69" s="12">
        <f t="shared" si="610"/>
        <v>0</v>
      </c>
      <c r="ML69" t="s">
        <v>1304</v>
      </c>
      <c r="MM69">
        <f>_xlfn.XLOOKUP(ML69,'KPI Impacts'!$B$2:$H$2,'KPI Impacts'!$B69:$H69)</f>
        <v>0</v>
      </c>
      <c r="MN69" s="35" t="s">
        <v>1304</v>
      </c>
      <c r="MO69">
        <f>_xlfn.XLOOKUP(MN69,'KPI Impacts'!$B$2:$H$2,'KPI Impacts'!$B69:$H69)</f>
        <v>0</v>
      </c>
      <c r="MR69" s="12">
        <f t="shared" si="611"/>
        <v>0</v>
      </c>
      <c r="MS69" s="12">
        <f t="shared" si="612"/>
        <v>0</v>
      </c>
      <c r="MT69" s="12">
        <f t="shared" si="613"/>
        <v>0</v>
      </c>
      <c r="MU69" s="12">
        <f t="shared" si="614"/>
        <v>0</v>
      </c>
      <c r="MV69" s="12">
        <f t="shared" si="615"/>
        <v>0</v>
      </c>
      <c r="MW69" s="12">
        <f t="shared" si="616"/>
        <v>0</v>
      </c>
      <c r="MX69" s="12">
        <f t="shared" si="617"/>
        <v>0</v>
      </c>
      <c r="MY69" s="12">
        <f t="shared" si="618"/>
        <v>0</v>
      </c>
      <c r="MZ69" s="12">
        <f t="shared" si="619"/>
        <v>0</v>
      </c>
      <c r="NB69" t="s">
        <v>1304</v>
      </c>
      <c r="NC69">
        <f>_xlfn.XLOOKUP(NB69,'KPI Impacts'!$B$2:$H$2,'KPI Impacts'!$B69:$H69)</f>
        <v>0</v>
      </c>
      <c r="ND69" s="35" t="s">
        <v>1304</v>
      </c>
      <c r="NE69">
        <f>_xlfn.XLOOKUP(ND69,'KPI Impacts'!$B$2:$H$2,'KPI Impacts'!$B69:$H69)</f>
        <v>0</v>
      </c>
      <c r="NH69" s="12">
        <f t="shared" si="620"/>
        <v>0</v>
      </c>
      <c r="NI69" s="12">
        <f t="shared" si="621"/>
        <v>0</v>
      </c>
      <c r="NJ69" s="12">
        <f t="shared" si="622"/>
        <v>0</v>
      </c>
      <c r="NK69" s="12">
        <f t="shared" si="623"/>
        <v>0</v>
      </c>
      <c r="NL69" s="12">
        <f t="shared" si="624"/>
        <v>0</v>
      </c>
      <c r="NM69" s="12">
        <f t="shared" si="625"/>
        <v>0</v>
      </c>
      <c r="NN69" s="12">
        <f t="shared" si="626"/>
        <v>0</v>
      </c>
      <c r="NO69" s="12">
        <f t="shared" si="627"/>
        <v>0</v>
      </c>
      <c r="NP69" s="12">
        <f t="shared" si="628"/>
        <v>0</v>
      </c>
      <c r="NR69" t="s">
        <v>1304</v>
      </c>
      <c r="NS69">
        <f>_xlfn.XLOOKUP(NR69,'KPI Impacts'!$B$2:$H$2,'KPI Impacts'!$B69:$H69)</f>
        <v>0</v>
      </c>
      <c r="NT69" s="35" t="s">
        <v>1304</v>
      </c>
      <c r="NU69">
        <f>_xlfn.XLOOKUP(NT69,'KPI Impacts'!$B$2:$H$2,'KPI Impacts'!$B69:$H69)</f>
        <v>0</v>
      </c>
      <c r="NX69" s="12">
        <f t="shared" si="629"/>
        <v>0</v>
      </c>
      <c r="NY69" s="12">
        <f t="shared" si="630"/>
        <v>0</v>
      </c>
      <c r="NZ69" s="12">
        <f t="shared" si="631"/>
        <v>0</v>
      </c>
      <c r="OA69" s="12">
        <f t="shared" si="632"/>
        <v>0</v>
      </c>
      <c r="OB69" s="12">
        <f t="shared" si="633"/>
        <v>0</v>
      </c>
      <c r="OC69" s="12">
        <f t="shared" si="634"/>
        <v>0</v>
      </c>
      <c r="OD69" s="12">
        <f t="shared" si="635"/>
        <v>0</v>
      </c>
      <c r="OE69" s="12">
        <f t="shared" si="636"/>
        <v>0</v>
      </c>
      <c r="OF69" s="12">
        <f t="shared" si="637"/>
        <v>0</v>
      </c>
      <c r="OH69" t="s">
        <v>1304</v>
      </c>
      <c r="OI69">
        <f>_xlfn.XLOOKUP(OH69,'KPI Impacts'!$B$2:$H$2,'KPI Impacts'!$B69:$H69)</f>
        <v>0</v>
      </c>
      <c r="OJ69" s="35" t="s">
        <v>1304</v>
      </c>
      <c r="OK69">
        <f>_xlfn.XLOOKUP(OJ69,'KPI Impacts'!$B$2:$H$2,'KPI Impacts'!$B69:$H69)</f>
        <v>0</v>
      </c>
    </row>
    <row r="70" spans="1:401" x14ac:dyDescent="0.2">
      <c r="B70" s="12"/>
      <c r="C70" s="12"/>
      <c r="D70" s="12"/>
      <c r="E70" s="12"/>
      <c r="F70" s="12"/>
      <c r="G70" s="12"/>
      <c r="H70" s="12"/>
      <c r="I70" s="12"/>
      <c r="J70" s="12"/>
      <c r="P70" s="12"/>
      <c r="Q70" s="12"/>
      <c r="R70" s="12"/>
      <c r="S70" s="12"/>
      <c r="T70" s="12"/>
      <c r="U70" s="12"/>
      <c r="V70" s="12"/>
      <c r="W70" s="12"/>
      <c r="X70" s="12"/>
      <c r="AH70" s="12"/>
      <c r="AI70" s="12"/>
      <c r="AJ70" s="12"/>
      <c r="AK70" s="12"/>
      <c r="AL70" s="12"/>
      <c r="AM70" s="12"/>
      <c r="AN70" s="12"/>
      <c r="AO70" s="12"/>
      <c r="AP70" s="12"/>
      <c r="AZ70" s="12"/>
      <c r="BA70" s="12"/>
      <c r="BB70" s="12"/>
      <c r="BC70" s="12"/>
      <c r="BD70" s="12"/>
      <c r="BE70" s="12"/>
      <c r="BF70" s="12"/>
      <c r="BG70" s="12"/>
      <c r="BH70" s="12"/>
      <c r="BJ70" s="16"/>
      <c r="BL70" s="9"/>
      <c r="BP70" s="12"/>
      <c r="BQ70" s="12"/>
      <c r="BR70" s="12"/>
      <c r="BS70" s="12"/>
      <c r="BT70" s="12"/>
      <c r="BU70" s="12"/>
      <c r="BV70" s="12"/>
      <c r="BW70" s="12"/>
      <c r="BX70" s="12"/>
      <c r="BZ70" s="16"/>
      <c r="CB70" s="9"/>
      <c r="CF70" s="12"/>
      <c r="CG70" s="12"/>
      <c r="CH70" s="12"/>
      <c r="CI70" s="12"/>
      <c r="CJ70" s="12"/>
      <c r="CK70" s="12"/>
      <c r="CL70" s="12"/>
      <c r="CM70" s="12"/>
      <c r="CN70" s="12"/>
      <c r="CP70" s="16"/>
      <c r="CR70" s="9"/>
      <c r="CV70" s="12"/>
      <c r="CW70" s="12"/>
      <c r="CX70" s="12"/>
      <c r="CY70" s="12"/>
      <c r="CZ70" s="12"/>
      <c r="DA70" s="12"/>
      <c r="DB70" s="12"/>
      <c r="DC70" s="12"/>
      <c r="DD70" s="12"/>
      <c r="DF70" s="16"/>
      <c r="DH70" s="9"/>
      <c r="DL70" s="12"/>
      <c r="DM70" s="12"/>
      <c r="DN70" s="12"/>
      <c r="DO70" s="12"/>
      <c r="DP70" s="12"/>
      <c r="DQ70" s="12"/>
      <c r="DR70" s="12"/>
      <c r="DS70" s="12"/>
      <c r="DT70" s="12"/>
      <c r="DV70" s="16"/>
      <c r="DX70" s="9"/>
      <c r="EB70" s="12"/>
      <c r="EC70" s="12"/>
      <c r="ED70" s="12"/>
      <c r="EE70" s="12"/>
      <c r="EF70" s="12"/>
      <c r="EG70" s="12"/>
      <c r="EH70" s="12"/>
      <c r="EI70" s="12"/>
      <c r="EJ70" s="12"/>
      <c r="EL70" s="16"/>
      <c r="EN70" s="9"/>
      <c r="ER70" s="12"/>
      <c r="ES70" s="12"/>
      <c r="ET70" s="12"/>
      <c r="EU70" s="12"/>
      <c r="EV70" s="12"/>
      <c r="EW70" s="12"/>
      <c r="EX70" s="12"/>
      <c r="EY70" s="12"/>
      <c r="EZ70" s="12"/>
      <c r="FB70" s="16"/>
      <c r="FD70" s="9"/>
      <c r="FH70" s="12"/>
      <c r="FI70" s="12"/>
      <c r="FJ70" s="12"/>
      <c r="FK70" s="12"/>
      <c r="FL70" s="12"/>
      <c r="FM70" s="12"/>
      <c r="FN70" s="12"/>
      <c r="FO70" s="12"/>
      <c r="FP70" s="12"/>
      <c r="FR70" s="16"/>
      <c r="FT70" s="9"/>
      <c r="FX70" s="12"/>
      <c r="FY70" s="12"/>
      <c r="FZ70" s="12"/>
      <c r="GA70" s="12"/>
      <c r="GB70" s="12"/>
      <c r="GC70" s="12"/>
      <c r="GD70" s="12"/>
      <c r="GE70" s="12"/>
      <c r="GF70" s="12"/>
      <c r="GH70" s="16"/>
      <c r="GJ70" s="9"/>
      <c r="GN70" s="12"/>
      <c r="GO70" s="12"/>
      <c r="GP70" s="12"/>
      <c r="GQ70" s="12"/>
      <c r="GR70" s="12"/>
      <c r="GS70" s="12"/>
      <c r="GT70" s="12"/>
      <c r="GU70" s="12"/>
      <c r="GV70" s="12"/>
      <c r="GX70" s="16"/>
      <c r="GZ70" s="9"/>
      <c r="HD70" s="12"/>
      <c r="HE70" s="12"/>
      <c r="HF70" s="12"/>
      <c r="HG70" s="12"/>
      <c r="HH70" s="12"/>
      <c r="HI70" s="12"/>
      <c r="HJ70" s="12"/>
      <c r="HK70" s="12"/>
      <c r="HL70" s="12"/>
      <c r="HN70" s="16"/>
      <c r="HP70" s="9"/>
      <c r="HT70" s="12"/>
      <c r="HU70" s="12"/>
      <c r="HV70" s="12"/>
      <c r="HW70" s="12"/>
      <c r="HX70" s="12"/>
      <c r="HY70" s="12"/>
      <c r="HZ70" s="12"/>
      <c r="IA70" s="12"/>
      <c r="IB70" s="12"/>
      <c r="IF70" s="9"/>
      <c r="IJ70" s="12"/>
      <c r="IK70" s="12"/>
      <c r="IL70" s="12"/>
      <c r="IM70" s="12"/>
      <c r="IN70" s="12"/>
      <c r="IO70" s="12"/>
      <c r="IP70" s="12"/>
      <c r="IQ70" s="12"/>
      <c r="IR70" s="12"/>
      <c r="IV70" s="9"/>
      <c r="IZ70" s="12"/>
      <c r="JA70" s="12"/>
      <c r="JB70" s="12"/>
      <c r="JC70" s="12"/>
      <c r="JD70" s="12"/>
      <c r="JE70" s="12"/>
      <c r="JF70" s="12"/>
      <c r="JG70" s="12"/>
      <c r="JH70" s="12"/>
      <c r="JL70" s="9"/>
      <c r="JP70" s="12"/>
      <c r="JQ70" s="12"/>
      <c r="JR70" s="12"/>
      <c r="JS70" s="12"/>
      <c r="JT70" s="12"/>
      <c r="JU70" s="12"/>
      <c r="JV70" s="12"/>
      <c r="JW70" s="12"/>
      <c r="JX70" s="12"/>
      <c r="KB70" s="9"/>
      <c r="KF70" s="12"/>
      <c r="KG70" s="12"/>
      <c r="KH70" s="12"/>
      <c r="KI70" s="12"/>
      <c r="KJ70" s="12"/>
      <c r="KK70" s="12"/>
      <c r="KL70" s="12"/>
      <c r="KM70" s="12"/>
      <c r="KN70" s="12"/>
      <c r="KR70" s="9"/>
      <c r="KV70" s="12"/>
      <c r="KW70" s="12"/>
      <c r="KX70" s="12"/>
      <c r="KY70" s="12"/>
      <c r="KZ70" s="12"/>
      <c r="LA70" s="12"/>
      <c r="LB70" s="12"/>
      <c r="LC70" s="12"/>
      <c r="LD70" s="12"/>
      <c r="LH70" s="9"/>
      <c r="LL70" s="12"/>
      <c r="LM70" s="12"/>
      <c r="LN70" s="12"/>
      <c r="LO70" s="12"/>
      <c r="LP70" s="12"/>
      <c r="LQ70" s="12"/>
      <c r="LR70" s="12"/>
      <c r="LS70" s="12"/>
      <c r="LT70" s="12"/>
      <c r="LX70" s="9"/>
      <c r="MB70" s="12"/>
      <c r="MC70" s="12"/>
      <c r="MD70" s="12"/>
      <c r="ME70" s="12"/>
      <c r="MF70" s="12"/>
      <c r="MG70" s="12"/>
      <c r="MH70" s="12"/>
      <c r="MI70" s="12"/>
      <c r="MJ70" s="12"/>
      <c r="MN70" s="9"/>
      <c r="MR70" s="12"/>
      <c r="MS70" s="12"/>
      <c r="MT70" s="12"/>
      <c r="MU70" s="12"/>
      <c r="MV70" s="12"/>
      <c r="MW70" s="12"/>
      <c r="MX70" s="12"/>
      <c r="MY70" s="12"/>
      <c r="MZ70" s="12"/>
      <c r="ND70" s="9"/>
      <c r="NH70" s="12"/>
      <c r="NI70" s="12"/>
      <c r="NJ70" s="12"/>
      <c r="NK70" s="12"/>
      <c r="NL70" s="12"/>
      <c r="NM70" s="12"/>
      <c r="NN70" s="12"/>
      <c r="NO70" s="12"/>
      <c r="NP70" s="12"/>
      <c r="NT70" s="9"/>
      <c r="NX70" s="12"/>
      <c r="NY70" s="12"/>
      <c r="NZ70" s="12"/>
      <c r="OA70" s="12"/>
      <c r="OB70" s="12"/>
      <c r="OC70" s="12"/>
      <c r="OD70" s="12"/>
      <c r="OE70" s="12"/>
      <c r="OF70" s="12"/>
      <c r="OJ70" s="9"/>
    </row>
    <row r="71" spans="1:401" x14ac:dyDescent="0.2">
      <c r="B71" s="12"/>
      <c r="C71" s="12"/>
      <c r="D71" s="12"/>
      <c r="E71" s="12"/>
      <c r="F71" s="12"/>
      <c r="G71" s="12"/>
      <c r="H71" s="12"/>
      <c r="I71" s="12"/>
      <c r="J71" s="12"/>
      <c r="O71" s="5"/>
      <c r="P71" s="12"/>
      <c r="Q71" s="12"/>
      <c r="R71" s="12"/>
      <c r="S71" s="12"/>
      <c r="T71" s="12"/>
      <c r="U71" s="12"/>
      <c r="V71" s="12"/>
      <c r="W71" s="12"/>
      <c r="X71" s="12"/>
      <c r="AG71" s="5"/>
      <c r="AH71" s="12"/>
      <c r="AI71" s="12"/>
      <c r="AJ71" s="12"/>
      <c r="AK71" s="12"/>
      <c r="AL71" s="12"/>
      <c r="AM71" s="12"/>
      <c r="AN71" s="12"/>
      <c r="AO71" s="12"/>
      <c r="AP71" s="12"/>
      <c r="AZ71" s="12"/>
      <c r="BA71" s="12"/>
      <c r="BB71" s="12"/>
      <c r="BC71" s="12"/>
      <c r="BD71" s="12"/>
      <c r="BE71" s="12"/>
      <c r="BF71" s="12"/>
      <c r="BG71" s="12"/>
      <c r="BH71" s="12"/>
      <c r="BJ71" s="16"/>
      <c r="BL71" s="9"/>
      <c r="BP71" s="12"/>
      <c r="BQ71" s="12"/>
      <c r="BR71" s="12"/>
      <c r="BS71" s="12"/>
      <c r="BT71" s="12"/>
      <c r="BU71" s="12"/>
      <c r="BV71" s="12"/>
      <c r="BW71" s="12"/>
      <c r="BX71" s="12"/>
      <c r="BZ71" s="16"/>
      <c r="CB71" s="9"/>
      <c r="CF71" s="12"/>
      <c r="CG71" s="12"/>
      <c r="CH71" s="12"/>
      <c r="CI71" s="12"/>
      <c r="CJ71" s="12"/>
      <c r="CK71" s="12"/>
      <c r="CL71" s="12"/>
      <c r="CM71" s="12"/>
      <c r="CN71" s="12"/>
      <c r="CP71" s="16"/>
      <c r="CR71" s="9"/>
      <c r="CV71" s="12"/>
      <c r="CW71" s="12"/>
      <c r="CX71" s="12"/>
      <c r="CY71" s="12"/>
      <c r="CZ71" s="12"/>
      <c r="DA71" s="12"/>
      <c r="DB71" s="12"/>
      <c r="DC71" s="12"/>
      <c r="DD71" s="12"/>
      <c r="DF71" s="16"/>
      <c r="DH71" s="9"/>
      <c r="DL71" s="12"/>
      <c r="DM71" s="12"/>
      <c r="DN71" s="12"/>
      <c r="DO71" s="12"/>
      <c r="DP71" s="12"/>
      <c r="DQ71" s="12"/>
      <c r="DR71" s="12"/>
      <c r="DS71" s="12"/>
      <c r="DT71" s="12"/>
      <c r="DV71" s="16"/>
      <c r="DX71" s="9"/>
      <c r="EB71" s="12"/>
      <c r="EC71" s="12"/>
      <c r="ED71" s="12"/>
      <c r="EE71" s="12"/>
      <c r="EF71" s="12"/>
      <c r="EG71" s="12"/>
      <c r="EH71" s="12"/>
      <c r="EI71" s="12"/>
      <c r="EJ71" s="12"/>
      <c r="EL71" s="16"/>
      <c r="EN71" s="9"/>
      <c r="ER71" s="12"/>
      <c r="ES71" s="12"/>
      <c r="ET71" s="12"/>
      <c r="EU71" s="12"/>
      <c r="EV71" s="12"/>
      <c r="EW71" s="12"/>
      <c r="EX71" s="12"/>
      <c r="EY71" s="12"/>
      <c r="EZ71" s="12"/>
      <c r="FB71" s="16"/>
      <c r="FD71" s="9"/>
      <c r="FH71" s="12"/>
      <c r="FI71" s="12"/>
      <c r="FJ71" s="12"/>
      <c r="FK71" s="12"/>
      <c r="FL71" s="12"/>
      <c r="FM71" s="12"/>
      <c r="FN71" s="12"/>
      <c r="FO71" s="12"/>
      <c r="FP71" s="12"/>
      <c r="FR71" s="16"/>
      <c r="FT71" s="9"/>
      <c r="FX71" s="12"/>
      <c r="FY71" s="12"/>
      <c r="FZ71" s="12"/>
      <c r="GA71" s="12"/>
      <c r="GB71" s="12"/>
      <c r="GC71" s="12"/>
      <c r="GD71" s="12"/>
      <c r="GE71" s="12"/>
      <c r="GF71" s="12"/>
      <c r="GH71" s="16"/>
      <c r="GJ71" s="9"/>
      <c r="GN71" s="12"/>
      <c r="GO71" s="12"/>
      <c r="GP71" s="12"/>
      <c r="GQ71" s="12"/>
      <c r="GR71" s="12"/>
      <c r="GS71" s="12"/>
      <c r="GT71" s="12"/>
      <c r="GU71" s="12"/>
      <c r="GV71" s="12"/>
      <c r="GX71" s="16"/>
      <c r="GZ71" s="9"/>
      <c r="HD71" s="12"/>
      <c r="HE71" s="12"/>
      <c r="HF71" s="12"/>
      <c r="HG71" s="12"/>
      <c r="HH71" s="12"/>
      <c r="HI71" s="12"/>
      <c r="HJ71" s="12"/>
      <c r="HK71" s="12"/>
      <c r="HL71" s="12"/>
      <c r="HN71" s="16"/>
      <c r="HP71" s="9"/>
      <c r="HT71" s="12"/>
      <c r="HU71" s="12"/>
      <c r="HV71" s="12"/>
      <c r="HW71" s="12"/>
      <c r="HX71" s="12"/>
      <c r="HY71" s="12"/>
      <c r="HZ71" s="12"/>
      <c r="IA71" s="12"/>
      <c r="IB71" s="12"/>
      <c r="IF71" s="9"/>
      <c r="IJ71" s="12"/>
      <c r="IK71" s="12"/>
      <c r="IL71" s="12"/>
      <c r="IM71" s="12"/>
      <c r="IN71" s="12"/>
      <c r="IO71" s="12"/>
      <c r="IP71" s="12"/>
      <c r="IQ71" s="12"/>
      <c r="IR71" s="12"/>
      <c r="IV71" s="9"/>
      <c r="IZ71" s="12"/>
      <c r="JA71" s="12"/>
      <c r="JB71" s="12"/>
      <c r="JC71" s="12"/>
      <c r="JD71" s="12"/>
      <c r="JE71" s="12"/>
      <c r="JF71" s="12"/>
      <c r="JG71" s="12"/>
      <c r="JH71" s="12"/>
      <c r="JL71" s="9"/>
      <c r="JP71" s="12"/>
      <c r="JQ71" s="12"/>
      <c r="JR71" s="12"/>
      <c r="JS71" s="12"/>
      <c r="JT71" s="12"/>
      <c r="JU71" s="12"/>
      <c r="JV71" s="12"/>
      <c r="JW71" s="12"/>
      <c r="JX71" s="12"/>
      <c r="KB71" s="9"/>
      <c r="KF71" s="12"/>
      <c r="KG71" s="12"/>
      <c r="KH71" s="12"/>
      <c r="KI71" s="12"/>
      <c r="KJ71" s="12"/>
      <c r="KK71" s="12"/>
      <c r="KL71" s="12"/>
      <c r="KM71" s="12"/>
      <c r="KN71" s="12"/>
      <c r="KR71" s="9"/>
      <c r="KV71" s="12"/>
      <c r="KW71" s="12"/>
      <c r="KX71" s="12"/>
      <c r="KY71" s="12"/>
      <c r="KZ71" s="12"/>
      <c r="LA71" s="12"/>
      <c r="LB71" s="12"/>
      <c r="LC71" s="12"/>
      <c r="LD71" s="12"/>
      <c r="LH71" s="9"/>
      <c r="LL71" s="12"/>
      <c r="LM71" s="12"/>
      <c r="LN71" s="12"/>
      <c r="LO71" s="12"/>
      <c r="LP71" s="12"/>
      <c r="LQ71" s="12"/>
      <c r="LR71" s="12"/>
      <c r="LS71" s="12"/>
      <c r="LT71" s="12"/>
      <c r="LX71" s="9"/>
      <c r="MB71" s="12"/>
      <c r="MC71" s="12"/>
      <c r="MD71" s="12"/>
      <c r="ME71" s="12"/>
      <c r="MF71" s="12"/>
      <c r="MG71" s="12"/>
      <c r="MH71" s="12"/>
      <c r="MI71" s="12"/>
      <c r="MJ71" s="12"/>
      <c r="MN71" s="9"/>
      <c r="MR71" s="12"/>
      <c r="MS71" s="12"/>
      <c r="MT71" s="12"/>
      <c r="MU71" s="12"/>
      <c r="MV71" s="12"/>
      <c r="MW71" s="12"/>
      <c r="MX71" s="12"/>
      <c r="MY71" s="12"/>
      <c r="MZ71" s="12"/>
      <c r="ND71" s="9"/>
      <c r="NH71" s="12"/>
      <c r="NI71" s="12"/>
      <c r="NJ71" s="12"/>
      <c r="NK71" s="12"/>
      <c r="NL71" s="12"/>
      <c r="NM71" s="12"/>
      <c r="NN71" s="12"/>
      <c r="NO71" s="12"/>
      <c r="NP71" s="12"/>
      <c r="NT71" s="9"/>
      <c r="NX71" s="12"/>
      <c r="NY71" s="12"/>
      <c r="NZ71" s="12"/>
      <c r="OA71" s="12"/>
      <c r="OB71" s="12"/>
      <c r="OC71" s="12"/>
      <c r="OD71" s="12"/>
      <c r="OE71" s="12"/>
      <c r="OF71" s="12"/>
      <c r="OJ71" s="9"/>
    </row>
    <row r="72" spans="1:401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P72" s="12"/>
      <c r="Q72" s="12"/>
      <c r="R72" s="12"/>
      <c r="S72" s="12"/>
      <c r="T72" s="12"/>
      <c r="U72" s="12"/>
      <c r="V72" s="12"/>
      <c r="W72" s="12"/>
      <c r="X72" s="12"/>
      <c r="AH72" s="12"/>
      <c r="AI72" s="12"/>
      <c r="AJ72" s="12"/>
      <c r="AK72" s="12"/>
      <c r="AL72" s="12"/>
      <c r="AM72" s="12"/>
      <c r="AN72" s="12"/>
      <c r="AO72" s="12"/>
      <c r="AP72" s="12"/>
      <c r="AY72" s="5"/>
      <c r="AZ72" s="12"/>
      <c r="BA72" s="12"/>
      <c r="BB72" s="12"/>
      <c r="BC72" s="12"/>
      <c r="BD72" s="12"/>
      <c r="BE72" s="12"/>
      <c r="BF72" s="12"/>
      <c r="BG72" s="12"/>
      <c r="BH72" s="12"/>
      <c r="BJ72" s="16"/>
      <c r="BL72" s="9"/>
      <c r="BO72" s="5"/>
      <c r="BP72" s="12"/>
      <c r="BQ72" s="12"/>
      <c r="BR72" s="12"/>
      <c r="BS72" s="12"/>
      <c r="BT72" s="12"/>
      <c r="BU72" s="12"/>
      <c r="BV72" s="12"/>
      <c r="BW72" s="12"/>
      <c r="BX72" s="12"/>
      <c r="BZ72" s="16"/>
      <c r="CB72" s="9"/>
      <c r="CE72" s="5"/>
      <c r="CF72" s="12"/>
      <c r="CG72" s="12"/>
      <c r="CH72" s="12"/>
      <c r="CI72" s="12"/>
      <c r="CJ72" s="12"/>
      <c r="CK72" s="12"/>
      <c r="CL72" s="12"/>
      <c r="CM72" s="12"/>
      <c r="CN72" s="12"/>
      <c r="CP72" s="16"/>
      <c r="CR72" s="9"/>
      <c r="CU72" s="5"/>
      <c r="CV72" s="12"/>
      <c r="CW72" s="12"/>
      <c r="CX72" s="12"/>
      <c r="CY72" s="12"/>
      <c r="CZ72" s="12"/>
      <c r="DA72" s="12"/>
      <c r="DB72" s="12"/>
      <c r="DC72" s="12"/>
      <c r="DD72" s="12"/>
      <c r="DF72" s="16"/>
      <c r="DH72" s="9"/>
      <c r="DK72" s="5"/>
      <c r="DL72" s="12"/>
      <c r="DM72" s="12"/>
      <c r="DN72" s="12"/>
      <c r="DO72" s="12"/>
      <c r="DP72" s="12"/>
      <c r="DQ72" s="12"/>
      <c r="DR72" s="12"/>
      <c r="DS72" s="12"/>
      <c r="DT72" s="12"/>
      <c r="DV72" s="16"/>
      <c r="DX72" s="9"/>
      <c r="EA72" s="5"/>
      <c r="EB72" s="12"/>
      <c r="EC72" s="12"/>
      <c r="ED72" s="12"/>
      <c r="EE72" s="12"/>
      <c r="EF72" s="12"/>
      <c r="EG72" s="12"/>
      <c r="EH72" s="12"/>
      <c r="EI72" s="12"/>
      <c r="EJ72" s="12"/>
      <c r="EL72" s="16"/>
      <c r="EN72" s="9"/>
      <c r="EQ72" s="5"/>
      <c r="ER72" s="12"/>
      <c r="ES72" s="12"/>
      <c r="ET72" s="12"/>
      <c r="EU72" s="12"/>
      <c r="EV72" s="12"/>
      <c r="EW72" s="12"/>
      <c r="EX72" s="12"/>
      <c r="EY72" s="12"/>
      <c r="EZ72" s="12"/>
      <c r="FB72" s="16"/>
      <c r="FD72" s="9"/>
      <c r="FG72" s="5"/>
      <c r="FH72" s="12"/>
      <c r="FI72" s="12"/>
      <c r="FJ72" s="12"/>
      <c r="FK72" s="12"/>
      <c r="FL72" s="12"/>
      <c r="FM72" s="12"/>
      <c r="FN72" s="12"/>
      <c r="FO72" s="12"/>
      <c r="FP72" s="12"/>
      <c r="FR72" s="16"/>
      <c r="FT72" s="9"/>
      <c r="FW72" s="5"/>
      <c r="FX72" s="12"/>
      <c r="FY72" s="12"/>
      <c r="FZ72" s="12"/>
      <c r="GA72" s="12"/>
      <c r="GB72" s="12"/>
      <c r="GC72" s="12"/>
      <c r="GD72" s="12"/>
      <c r="GE72" s="12"/>
      <c r="GF72" s="12"/>
      <c r="GH72" s="16"/>
      <c r="GJ72" s="9"/>
      <c r="GN72" s="12"/>
      <c r="GO72" s="12"/>
      <c r="GP72" s="12"/>
      <c r="GQ72" s="12"/>
      <c r="GR72" s="12"/>
      <c r="GS72" s="12"/>
      <c r="GT72" s="12"/>
      <c r="GU72" s="12"/>
      <c r="GV72" s="12"/>
      <c r="GX72" s="16"/>
      <c r="GZ72" s="9"/>
      <c r="HD72" s="12"/>
      <c r="HE72" s="12"/>
      <c r="HF72" s="12"/>
      <c r="HG72" s="12"/>
      <c r="HH72" s="12"/>
      <c r="HI72" s="12"/>
      <c r="HJ72" s="12"/>
      <c r="HK72" s="12"/>
      <c r="HL72" s="12"/>
      <c r="HN72" s="16"/>
      <c r="HP72" s="9"/>
      <c r="HT72" s="12"/>
      <c r="HU72" s="12"/>
      <c r="HV72" s="12"/>
      <c r="HW72" s="12"/>
      <c r="HX72" s="12"/>
      <c r="HY72" s="12"/>
      <c r="HZ72" s="12"/>
      <c r="IA72" s="12"/>
      <c r="IB72" s="12"/>
      <c r="IF72" s="9"/>
      <c r="IJ72" s="12"/>
      <c r="IK72" s="12"/>
      <c r="IL72" s="12"/>
      <c r="IM72" s="12"/>
      <c r="IN72" s="12"/>
      <c r="IO72" s="12"/>
      <c r="IP72" s="12"/>
      <c r="IQ72" s="12"/>
      <c r="IR72" s="12"/>
      <c r="IV72" s="9"/>
      <c r="IZ72" s="12"/>
      <c r="JA72" s="12"/>
      <c r="JB72" s="12"/>
      <c r="JC72" s="12"/>
      <c r="JD72" s="12"/>
      <c r="JE72" s="12"/>
      <c r="JF72" s="12"/>
      <c r="JG72" s="12"/>
      <c r="JH72" s="12"/>
      <c r="JL72" s="9"/>
      <c r="JP72" s="12"/>
      <c r="JQ72" s="12"/>
      <c r="JR72" s="12"/>
      <c r="JS72" s="12"/>
      <c r="JT72" s="12"/>
      <c r="JU72" s="12"/>
      <c r="JV72" s="12"/>
      <c r="JW72" s="12"/>
      <c r="JX72" s="12"/>
      <c r="KB72" s="9"/>
      <c r="KF72" s="12"/>
      <c r="KG72" s="12"/>
      <c r="KH72" s="12"/>
      <c r="KI72" s="12"/>
      <c r="KJ72" s="12"/>
      <c r="KK72" s="12"/>
      <c r="KL72" s="12"/>
      <c r="KM72" s="12"/>
      <c r="KN72" s="12"/>
      <c r="KR72" s="9"/>
      <c r="KV72" s="12"/>
      <c r="KW72" s="12"/>
      <c r="KX72" s="12"/>
      <c r="KY72" s="12"/>
      <c r="KZ72" s="12"/>
      <c r="LA72" s="12"/>
      <c r="LB72" s="12"/>
      <c r="LC72" s="12"/>
      <c r="LD72" s="12"/>
      <c r="LH72" s="9"/>
      <c r="LL72" s="12"/>
      <c r="LM72" s="12"/>
      <c r="LN72" s="12"/>
      <c r="LO72" s="12"/>
      <c r="LP72" s="12"/>
      <c r="LQ72" s="12"/>
      <c r="LR72" s="12"/>
      <c r="LS72" s="12"/>
      <c r="LT72" s="12"/>
      <c r="LX72" s="9"/>
      <c r="MB72" s="12"/>
      <c r="MC72" s="12"/>
      <c r="MD72" s="12"/>
      <c r="ME72" s="12"/>
      <c r="MF72" s="12"/>
      <c r="MG72" s="12"/>
      <c r="MH72" s="12"/>
      <c r="MI72" s="12"/>
      <c r="MJ72" s="12"/>
      <c r="MN72" s="9"/>
      <c r="MR72" s="12"/>
      <c r="MS72" s="12"/>
      <c r="MT72" s="12"/>
      <c r="MU72" s="12"/>
      <c r="MV72" s="12"/>
      <c r="MW72" s="12"/>
      <c r="MX72" s="12"/>
      <c r="MY72" s="12"/>
      <c r="MZ72" s="12"/>
      <c r="ND72" s="9"/>
      <c r="NH72" s="12"/>
      <c r="NI72" s="12"/>
      <c r="NJ72" s="12"/>
      <c r="NK72" s="12"/>
      <c r="NL72" s="12"/>
      <c r="NM72" s="12"/>
      <c r="NN72" s="12"/>
      <c r="NO72" s="12"/>
      <c r="NP72" s="12"/>
      <c r="NT72" s="9"/>
      <c r="NX72" s="12"/>
      <c r="NY72" s="12"/>
      <c r="NZ72" s="12"/>
      <c r="OA72" s="12"/>
      <c r="OB72" s="12"/>
      <c r="OC72" s="12"/>
      <c r="OD72" s="12"/>
      <c r="OE72" s="12"/>
      <c r="OF72" s="12"/>
      <c r="OJ72" s="9"/>
    </row>
    <row r="73" spans="1:401" x14ac:dyDescent="0.2">
      <c r="A73" t="s">
        <v>55</v>
      </c>
      <c r="B73" s="12">
        <f t="shared" si="638"/>
        <v>0</v>
      </c>
      <c r="C73" s="12">
        <f t="shared" si="639"/>
        <v>0</v>
      </c>
      <c r="D73" s="12">
        <f t="shared" si="640"/>
        <v>0</v>
      </c>
      <c r="E73" s="12">
        <f t="shared" si="641"/>
        <v>0</v>
      </c>
      <c r="F73" s="12">
        <f t="shared" si="642"/>
        <v>0</v>
      </c>
      <c r="G73" s="12">
        <f t="shared" si="643"/>
        <v>0</v>
      </c>
      <c r="H73" s="12">
        <f t="shared" si="644"/>
        <v>0</v>
      </c>
      <c r="I73" s="12">
        <f t="shared" si="645"/>
        <v>0</v>
      </c>
      <c r="J73" s="12">
        <f t="shared" si="646"/>
        <v>0</v>
      </c>
      <c r="P73" s="12" cm="1">
        <f t="array" ref="P73">_xlfn.SWITCH(P$4, 0,0, 1, AA73,2,AC73,3,AE73,0)</f>
        <v>0</v>
      </c>
      <c r="Q73" s="12" cm="1">
        <f t="array" ref="Q73">_xlfn.SWITCH(Q$4, 0,0, 1, AA73,2,AC73,3,AE73,0)+P73</f>
        <v>0</v>
      </c>
      <c r="R73" s="12" cm="1">
        <f t="array" ref="R73">_xlfn.SWITCH(R$4, 0,0, 1, AA73,2,AC73,3,AE73,0)+Q73</f>
        <v>0</v>
      </c>
      <c r="S73" s="12" cm="1">
        <f t="array" ref="S73">_xlfn.SWITCH(S$4, 0,0, 1, AA73,2,AC73,3,AE73,0)+R73</f>
        <v>0</v>
      </c>
      <c r="T73" s="12" cm="1">
        <f t="array" ref="T73">_xlfn.SWITCH(T$4, 0,0, 1, AA73,2,AC73,3,AE73,0)+S73</f>
        <v>0</v>
      </c>
      <c r="U73" s="12" cm="1">
        <f t="array" ref="U73">_xlfn.SWITCH(U$4, 0,0, 1, AA73,2,AC73,3,AE73,0)+T73</f>
        <v>0</v>
      </c>
      <c r="V73" s="12" cm="1">
        <f t="array" ref="V73">_xlfn.SWITCH(V$4, 0,0, 1, AA73,2,AC73,3,AE73,0)+U73</f>
        <v>0</v>
      </c>
      <c r="W73" s="12" cm="1">
        <f t="array" ref="W73">_xlfn.SWITCH(W$4, 0,0, 1, AA73,2,AC73,3,AE73,0)+V73</f>
        <v>0</v>
      </c>
      <c r="X73" s="12" cm="1">
        <f t="array" ref="X73">_xlfn.SWITCH(X$4, 0,0, 1, AA73,2,AC73,3,AE73,0)+W73</f>
        <v>0</v>
      </c>
      <c r="Z73" t="s">
        <v>1308</v>
      </c>
      <c r="AA73">
        <f>_xlfn.XLOOKUP(Z73,'KPI Impacts'!$K$2:$Q$2,'KPI Impacts'!$K73:$Q73)</f>
        <v>0.12</v>
      </c>
      <c r="AB73" t="s">
        <v>1308</v>
      </c>
      <c r="AC73">
        <f>_xlfn.XLOOKUP(AB73,'KPI Impacts'!$K$2:$Q$2,'KPI Impacts'!$K73:$Q73)</f>
        <v>0.12</v>
      </c>
      <c r="AD73" t="s">
        <v>1310</v>
      </c>
      <c r="AE73">
        <f>_xlfn.XLOOKUP(AD73,'KPI Impacts'!$K$2:$Q$2,'KPI Impacts'!$K73:$Q73)</f>
        <v>0.24</v>
      </c>
      <c r="AH73" s="12" cm="1">
        <f t="array" ref="AH73">_xlfn.SWITCH(AH$4, 0,0, 1, AS73,2,AU73,3,AW73,0)</f>
        <v>0</v>
      </c>
      <c r="AI73" s="12" cm="1">
        <f t="array" ref="AI73">_xlfn.SWITCH(AI$4, 0,0, 1, AS73,2,AU73,3,AW73,0)+AH73</f>
        <v>0</v>
      </c>
      <c r="AJ73" s="12" cm="1">
        <f t="array" ref="AJ73">_xlfn.SWITCH(AJ$4, 0,0, 1, AS73,2,AU73,3,AW73,0)+AI73</f>
        <v>0</v>
      </c>
      <c r="AK73" s="12" cm="1">
        <f t="array" ref="AK73">_xlfn.SWITCH(AK$4, 0,0, 1, AS73,2,AU73,3,AW73,0)+AJ73</f>
        <v>0</v>
      </c>
      <c r="AL73" s="12" cm="1">
        <f t="array" ref="AL73">_xlfn.SWITCH(AL$4, 0,0, 1, AS73,2,AU73,3,AW73,0)+AK73</f>
        <v>0</v>
      </c>
      <c r="AM73" s="12" cm="1">
        <f t="array" ref="AM73">_xlfn.SWITCH(AM$4, 0,0, 1, AS73,2,AU73,3,AW73,0)+AL73</f>
        <v>0</v>
      </c>
      <c r="AN73" s="12" cm="1">
        <f t="array" ref="AN73">_xlfn.SWITCH(AN$4, 0,0, 1, AS73,2,AU73,3,AW73,0)+AM73</f>
        <v>0</v>
      </c>
      <c r="AO73" s="12" cm="1">
        <f t="array" ref="AO73">_xlfn.SWITCH(AO$4, 0,0, 1, AS73,2,AU73,3,AW73,0)+AN73</f>
        <v>0</v>
      </c>
      <c r="AP73" s="12" cm="1">
        <f t="array" ref="AP73">_xlfn.SWITCH(AP$4, 0,0, 1, AS73,2,AU73,3,AW73,0)+AO73</f>
        <v>0</v>
      </c>
      <c r="AR73" t="s">
        <v>1308</v>
      </c>
      <c r="AS73">
        <f>_xlfn.XLOOKUP(AR73,'KPI Impacts'!$K$2:$Q$2,'KPI Impacts'!$K73:$Q73)</f>
        <v>0.12</v>
      </c>
      <c r="AT73" t="s">
        <v>1310</v>
      </c>
      <c r="AU73">
        <f>_xlfn.XLOOKUP(AT73,'KPI Impacts'!$K$2:$Q$2,'KPI Impacts'!$K73:$Q73)</f>
        <v>0.24</v>
      </c>
      <c r="AV73" t="s">
        <v>1309</v>
      </c>
      <c r="AW73">
        <f>_xlfn.XLOOKUP(AV73,'KPI Impacts'!$K$2:$Q$2,'KPI Impacts'!$K73:$Q73)</f>
        <v>0.36</v>
      </c>
      <c r="AZ73" s="12">
        <f>AZ$4*BK73</f>
        <v>0</v>
      </c>
      <c r="BA73" s="12">
        <f>BA$4 * IF(AND(AZ$4=1,AZ$20=1), BM73, BK73)</f>
        <v>0</v>
      </c>
      <c r="BB73" s="12">
        <f>BB$4 * IF(AND(BA$4=1,AZ$20=1), BM73, BK73)</f>
        <v>0</v>
      </c>
      <c r="BC73" s="12">
        <f>BC$4 * IF(AND(BB$4=1,AZ$20=1), BM73, BK73)</f>
        <v>0</v>
      </c>
      <c r="BD73" s="12">
        <f>BD$4 * IF(AND(BC$4=1,AZ$20=1), BM73, BK73)</f>
        <v>0</v>
      </c>
      <c r="BE73" s="12">
        <f>BE$4 * IF(AND(BD$4=1,AZ$20=1), BM73, BK73)</f>
        <v>0</v>
      </c>
      <c r="BF73" s="12">
        <f>BF$4 * IF(AND(BE$4=1,AZ$20=1), BM73, BK73)</f>
        <v>0</v>
      </c>
      <c r="BG73" s="12">
        <f>BG$4 * IF(AND(BF$4=1,AZ$20=1), BM73, BK73)</f>
        <v>0</v>
      </c>
      <c r="BH73" s="12">
        <f>BH$4 * IF(AND(BG$4=1,AZ$20=1), BM73, BK73)</f>
        <v>0</v>
      </c>
      <c r="BJ73" s="30" t="s">
        <v>1310</v>
      </c>
      <c r="BK73">
        <f>_xlfn.XLOOKUP(BJ73,'KPI Impacts'!$B$2:$H$2,'KPI Impacts'!$B73:$H73)</f>
        <v>0.75</v>
      </c>
      <c r="BL73" s="35" t="s">
        <v>1304</v>
      </c>
      <c r="BM73">
        <f>_xlfn.XLOOKUP(BL73,'KPI Impacts'!$B$2:$H$2,'KPI Impacts'!$B73:$H73)</f>
        <v>0</v>
      </c>
      <c r="BP73" s="12">
        <f>BP$4*CA73</f>
        <v>0</v>
      </c>
      <c r="BQ73" s="12">
        <f>BQ$4 * IF(AND(BP$4=1,BP$20=1), CC73, CA73)</f>
        <v>0</v>
      </c>
      <c r="BR73" s="12">
        <f>BR$4 * IF(AND(BQ$4=1,BP$20=1), CC73, CA73)</f>
        <v>0</v>
      </c>
      <c r="BS73" s="12">
        <f>BS$4 * IF(AND(BR$4=1,BP$20=1), CC73, CA73)</f>
        <v>0</v>
      </c>
      <c r="BT73" s="12">
        <f>BT$4 * IF(AND(BS$4=1,BP$20=1), CC73, CA73)</f>
        <v>0</v>
      </c>
      <c r="BU73" s="12">
        <f>BU$4 * IF(AND(BT$4=1,BP$20=1), CC73, CA73)</f>
        <v>0</v>
      </c>
      <c r="BV73" s="12">
        <f>BV$4 * IF(AND(BU$4=1,BP$20=1), CC73, CA73)</f>
        <v>0</v>
      </c>
      <c r="BW73" s="12">
        <f>BW$4 * IF(AND(BV$4=1,BP$20=1), CC73, CA73)</f>
        <v>0</v>
      </c>
      <c r="BX73" s="12">
        <f>BX$4 * IF(AND(BW$4=1,BP$20=1), CC73, CA73)</f>
        <v>0</v>
      </c>
      <c r="BZ73" s="30" t="s">
        <v>1308</v>
      </c>
      <c r="CA73">
        <f>_xlfn.XLOOKUP(BZ73,'KPI Impacts'!$B$2:$H$2,'KPI Impacts'!$B73:$H73)</f>
        <v>0.4</v>
      </c>
      <c r="CB73" s="35" t="s">
        <v>1304</v>
      </c>
      <c r="CC73">
        <f>_xlfn.XLOOKUP(CB73,'KPI Impacts'!$B$2:$H$2,'KPI Impacts'!$B73:$H73)</f>
        <v>0</v>
      </c>
      <c r="CF73" s="12">
        <f>CF$4*CQ73</f>
        <v>0</v>
      </c>
      <c r="CG73" s="12">
        <f>CG$4 * IF(AND(CF$4=1,CF$20=1), CS73, CQ73)</f>
        <v>0</v>
      </c>
      <c r="CH73" s="12">
        <f>CH$4 * IF(AND(CG$4=1,CF$20=1), CS73, CQ73)</f>
        <v>0</v>
      </c>
      <c r="CI73" s="12">
        <f>CI$4 * IF(AND(CH$4=1,CF$20=1), CS73, CQ73)</f>
        <v>0</v>
      </c>
      <c r="CJ73" s="12">
        <f>CJ$4 * IF(AND(CI$4=1,CF$20=1), CS73, CQ73)</f>
        <v>0</v>
      </c>
      <c r="CK73" s="12">
        <f>CK$4 * IF(AND(CJ$4=1,CF$20=1), CS73, CQ73)</f>
        <v>0</v>
      </c>
      <c r="CL73" s="12">
        <f>CL$4 * IF(AND(CK$4=1,CF$20=1), CS73, CQ73)</f>
        <v>0</v>
      </c>
      <c r="CM73" s="12">
        <f>CM$4 * IF(AND(CL$4=1,CF$20=1), CS73, CQ73)</f>
        <v>0</v>
      </c>
      <c r="CN73" s="12">
        <f>CN$4 * IF(AND(CM$4=1,CF$20=1), CS73, CQ73)</f>
        <v>0</v>
      </c>
      <c r="CP73" s="30" t="s">
        <v>1310</v>
      </c>
      <c r="CQ73">
        <f>_xlfn.XLOOKUP(CP73,'KPI Impacts'!$B$2:$H$2,'KPI Impacts'!$B73:$H73)</f>
        <v>0.75</v>
      </c>
      <c r="CR73" s="35" t="s">
        <v>1304</v>
      </c>
      <c r="CS73">
        <f>_xlfn.XLOOKUP(CR73,'KPI Impacts'!$B$2:$H$2,'KPI Impacts'!$B73:$H73)</f>
        <v>0</v>
      </c>
      <c r="CV73" s="12">
        <f>CV$4*DG73</f>
        <v>0</v>
      </c>
      <c r="CW73" s="12">
        <f>CW$4 * IF(AND(CV$4=1,CV$20=1), DI73, DG73)</f>
        <v>0</v>
      </c>
      <c r="CX73" s="12">
        <f>CX$4 * IF(AND(CW$4=1,CV$20=1), DI73, DG73)</f>
        <v>0</v>
      </c>
      <c r="CY73" s="12">
        <f>CY$4 * IF(AND(CX$4=1,CV$20=1), DI73, DG73)</f>
        <v>0</v>
      </c>
      <c r="CZ73" s="12">
        <f>CZ$4 * IF(AND(CY$4=1,CV$20=1), DI73, DG73)</f>
        <v>0</v>
      </c>
      <c r="DA73" s="12">
        <f>DA$4 * IF(AND(CZ$4=1,CV$20=1), DI73, DG73)</f>
        <v>0</v>
      </c>
      <c r="DB73" s="12">
        <f>DB$4 * IF(AND(DA$4=1,CV$20=1), DI73, DG73)</f>
        <v>0</v>
      </c>
      <c r="DC73" s="12">
        <f>DC$4 * IF(AND(DB$4=1,CV$20=1), DI73, DG73)</f>
        <v>0</v>
      </c>
      <c r="DD73" s="12">
        <f>DD$4 * IF(AND(DC$4=1,CV$20=1), DI73, DG73)</f>
        <v>0</v>
      </c>
      <c r="DF73" s="30" t="s">
        <v>1310</v>
      </c>
      <c r="DG73">
        <f>_xlfn.XLOOKUP(DF73,'KPI Impacts'!$B$2:$H$2,'KPI Impacts'!$B73:$H73)</f>
        <v>0.75</v>
      </c>
      <c r="DH73" s="35" t="s">
        <v>1304</v>
      </c>
      <c r="DI73">
        <f>_xlfn.XLOOKUP(DH73,'KPI Impacts'!$B$2:$H$2,'KPI Impacts'!$B73:$H73)</f>
        <v>0</v>
      </c>
      <c r="DL73" s="12">
        <f>DL$4*DW73</f>
        <v>0</v>
      </c>
      <c r="DM73" s="12">
        <f>DM$4 * IF(AND(DL$4=1,DL$20=1), DY73, DW73)</f>
        <v>0</v>
      </c>
      <c r="DN73" s="12">
        <f>DN$4 * IF(AND(DM$4=1,DL$20=1), DY73, DW73)</f>
        <v>0</v>
      </c>
      <c r="DO73" s="12">
        <f>DO$4 * IF(AND(DN$4=1,DL$20=1), DY73, DW73)</f>
        <v>0</v>
      </c>
      <c r="DP73" s="12">
        <f>DP$4 * IF(AND(DO$4=1,DL$20=1), DY73, DW73)</f>
        <v>0</v>
      </c>
      <c r="DQ73" s="12">
        <f>DQ$4 * IF(AND(DP$4=1,DL$20=1), DY73, DW73)</f>
        <v>0</v>
      </c>
      <c r="DR73" s="12">
        <f>DR$4 * IF(AND(DQ$4=1,DL$20=1), DY73, DW73)</f>
        <v>0</v>
      </c>
      <c r="DS73" s="12">
        <f>DS$4 * IF(AND(DR$4=1,DL$20=1), DY73, DW73)</f>
        <v>0</v>
      </c>
      <c r="DT73" s="12">
        <f>DT$4 * IF(AND(DS$4=1,DL$20=1), DY73, DW73)</f>
        <v>0</v>
      </c>
      <c r="DV73" s="29" t="s">
        <v>1305</v>
      </c>
      <c r="DW73">
        <f>_xlfn.XLOOKUP(DV73,'KPI Impacts'!$B$2:$H$2,'KPI Impacts'!$B73:$H73)</f>
        <v>-0.32000000000000006</v>
      </c>
      <c r="DX73" s="35" t="s">
        <v>1304</v>
      </c>
      <c r="DY73">
        <f>_xlfn.XLOOKUP(DX73,'KPI Impacts'!$B$2:$H$2,'KPI Impacts'!$B73:$H73)</f>
        <v>0</v>
      </c>
      <c r="EB73" s="12">
        <f>EB$4*EM73</f>
        <v>0</v>
      </c>
      <c r="EC73" s="12">
        <f>EC$4 * IF(AND(EB$4=1,EB$20=1), EO73, EM73)</f>
        <v>0</v>
      </c>
      <c r="ED73" s="12">
        <f>ED$4 * IF(AND(EC$4=1,EB$20=1), EO73, EM73)</f>
        <v>0</v>
      </c>
      <c r="EE73" s="12">
        <f>EE$4 * IF(AND(ED$4=1,EB$20=1), EO73, EM73)</f>
        <v>0</v>
      </c>
      <c r="EF73" s="12">
        <f>EF$4 * IF(AND(EE$4=1,EB$20=1), EO73, EM73)</f>
        <v>0</v>
      </c>
      <c r="EG73" s="12">
        <f>EG$4 * IF(AND(EF$4=1,EB$20=1), EO73, EM73)</f>
        <v>0</v>
      </c>
      <c r="EH73" s="12">
        <f>EH$4 * IF(AND(EG$4=1,EB$20=1), EO73, EM73)</f>
        <v>0</v>
      </c>
      <c r="EI73" s="12">
        <f>EI$4 * IF(AND(EH$4=1,EB$20=1), EO73, EM73)</f>
        <v>0</v>
      </c>
      <c r="EJ73" s="12">
        <f>EJ$4 * IF(AND(EI$4=1,EB$20=1), EO73, EM73)</f>
        <v>0</v>
      </c>
      <c r="EL73" s="30" t="s">
        <v>1310</v>
      </c>
      <c r="EM73">
        <f>_xlfn.XLOOKUP(EL73,'KPI Impacts'!$B$2:$H$2,'KPI Impacts'!$B73:$H73)</f>
        <v>0.75</v>
      </c>
      <c r="EN73" s="35" t="s">
        <v>1304</v>
      </c>
      <c r="EO73">
        <f>_xlfn.XLOOKUP(EN73,'KPI Impacts'!$B$2:$H$2,'KPI Impacts'!$B73:$H73)</f>
        <v>0</v>
      </c>
      <c r="ER73" s="12">
        <f>ER$4*FC73</f>
        <v>0</v>
      </c>
      <c r="ES73" s="12">
        <f>ES$4 * IF(AND(ER$4=1,ER$20=1), FE73, FC73)</f>
        <v>0</v>
      </c>
      <c r="ET73" s="12">
        <f>ET$4 * IF(AND(ES$4=1,ER$20=1), FE73, FC73)</f>
        <v>0</v>
      </c>
      <c r="EU73" s="12">
        <f>EU$4 * IF(AND(ET$4=1,ER$20=1), FE73, FC73)</f>
        <v>0</v>
      </c>
      <c r="EV73" s="12">
        <f>EV$4 * IF(AND(EU$4=1,ER$20=1), FE73, FC73)</f>
        <v>0</v>
      </c>
      <c r="EW73" s="12">
        <f>EW$4 * IF(AND(EV$4=1,ER$20=1), FE73, FC73)</f>
        <v>0</v>
      </c>
      <c r="EX73" s="12">
        <f>EX$4 * IF(AND(EW$4=1,ER$20=1), FE73, FC73)</f>
        <v>0</v>
      </c>
      <c r="EY73" s="12">
        <f>EY$4 * IF(AND(EX$4=1,ER$20=1), FE73, FC73)</f>
        <v>0</v>
      </c>
      <c r="EZ73" s="12">
        <f>EZ$4 * IF(AND(EY$4=1,ER$20=1), FE73, FC73)</f>
        <v>0</v>
      </c>
      <c r="FB73" s="30" t="s">
        <v>1310</v>
      </c>
      <c r="FC73">
        <f>_xlfn.XLOOKUP(FB73,'KPI Impacts'!$B$2:$H$2,'KPI Impacts'!$B73:$H73)</f>
        <v>0.75</v>
      </c>
      <c r="FD73" s="35" t="s">
        <v>1304</v>
      </c>
      <c r="FE73">
        <f>_xlfn.XLOOKUP(FD73,'KPI Impacts'!$B$2:$H$2,'KPI Impacts'!$B73:$H73)</f>
        <v>0</v>
      </c>
      <c r="FH73" s="12">
        <f>FH$4*FS73</f>
        <v>0</v>
      </c>
      <c r="FI73" s="12">
        <f>FI$4 * IF(AND(FH$4=1,FH$20=1), FU73, FS73)</f>
        <v>0</v>
      </c>
      <c r="FJ73" s="12">
        <f>FJ$4 * IF(AND(FI$4=1,FH$20=1), FU73, FS73)</f>
        <v>0</v>
      </c>
      <c r="FK73" s="12">
        <f>FK$4 * IF(AND(FJ$4=1,FH$20=1), FU73, FS73)</f>
        <v>0</v>
      </c>
      <c r="FL73" s="12">
        <f>FL$4 * IF(AND(FK$4=1,FH$20=1), FU73, FS73)</f>
        <v>0</v>
      </c>
      <c r="FM73" s="12">
        <f>FM$4 * IF(AND(FL$4=1,FH$20=1), FU73, FS73)</f>
        <v>0</v>
      </c>
      <c r="FN73" s="12">
        <f>FN$4 * IF(AND(FM$4=1,FH$20=1), FU73, FS73)</f>
        <v>0</v>
      </c>
      <c r="FO73" s="12">
        <f>FO$4 * IF(AND(FN$4=1,FH$20=1), FU73, FS73)</f>
        <v>0</v>
      </c>
      <c r="FP73" s="12">
        <f>FP$4 * IF(AND(FO$4=1,FH$20=1), FU73, FS73)</f>
        <v>0</v>
      </c>
      <c r="FR73" s="16" t="s">
        <v>1304</v>
      </c>
      <c r="FS73">
        <f>_xlfn.XLOOKUP(FR73,'KPI Impacts'!$B$2:$H$2,'KPI Impacts'!$B73:$H73)</f>
        <v>0</v>
      </c>
      <c r="FT73" s="35" t="s">
        <v>1304</v>
      </c>
      <c r="FU73">
        <f>_xlfn.XLOOKUP(FT73,'KPI Impacts'!$B$2:$H$2,'KPI Impacts'!$B73:$H73)</f>
        <v>0</v>
      </c>
      <c r="FX73" s="12">
        <f>FX$4*GI73</f>
        <v>0</v>
      </c>
      <c r="FY73" s="12">
        <f>FY$4 * IF(AND(FX$4=1,FX$20=1), GK73, GI73)</f>
        <v>0</v>
      </c>
      <c r="FZ73" s="12">
        <f>FZ$4 * IF(AND(FY$4=1,FX$20=1), GK73, GI73)</f>
        <v>0</v>
      </c>
      <c r="GA73" s="12">
        <f>GA$4 * IF(AND(FZ$4=1,FX$20=1), GK73, GI73)</f>
        <v>0</v>
      </c>
      <c r="GB73" s="12">
        <f>GB$4 * IF(AND(GA$4=1,FX$20=1), GK73, GI73)</f>
        <v>0</v>
      </c>
      <c r="GC73" s="12">
        <f>GC$4 * IF(AND(GB$4=1,FX$20=1), GK73, GI73)</f>
        <v>0</v>
      </c>
      <c r="GD73" s="12">
        <f>GD$4 * IF(AND(GC$4=1,FX$20=1), GK73, GI73)</f>
        <v>0</v>
      </c>
      <c r="GE73" s="12">
        <f>GE$4 * IF(AND(GD$4=1,FX$20=1), GK73, GI73)</f>
        <v>0</v>
      </c>
      <c r="GF73" s="12">
        <f>GF$4 * IF(AND(GE$4=1,FX$20=1), GK73, GI73)</f>
        <v>0</v>
      </c>
      <c r="GH73" s="30" t="s">
        <v>1310</v>
      </c>
      <c r="GI73">
        <f>_xlfn.XLOOKUP(GH73,'KPI Impacts'!$B$2:$H$2,'KPI Impacts'!$B73:$H73)</f>
        <v>0.75</v>
      </c>
      <c r="GJ73" s="35" t="s">
        <v>1304</v>
      </c>
      <c r="GK73">
        <f>_xlfn.XLOOKUP(GJ73,'KPI Impacts'!$B$2:$H$2,'KPI Impacts'!$B73:$H73)</f>
        <v>0</v>
      </c>
      <c r="GN73" s="12">
        <f>GN$4*GY73</f>
        <v>0</v>
      </c>
      <c r="GO73" s="12">
        <f>GO$4 * IF(AND(GN$4=1,GN$20=1), HA73, GY73)</f>
        <v>0</v>
      </c>
      <c r="GP73" s="12">
        <f>GP$4 * IF(AND(GO$4=1,GN$20=1), HA73, GY73)</f>
        <v>0</v>
      </c>
      <c r="GQ73" s="12">
        <f>GQ$4 * IF(AND(GP$4=1,GN$20=1), HA73, GY73)</f>
        <v>0</v>
      </c>
      <c r="GR73" s="12">
        <f>GR$4 * IF(AND(GQ$4=1,GN$20=1), HA73, GY73)</f>
        <v>0</v>
      </c>
      <c r="GS73" s="12">
        <f>GS$4 * IF(AND(GR$4=1,GN$20=1), HA73, GY73)</f>
        <v>0</v>
      </c>
      <c r="GT73" s="12">
        <f>GT$4 * IF(AND(GS$4=1,GN$20=1), HA73, GY73)</f>
        <v>0</v>
      </c>
      <c r="GU73" s="12">
        <f>GU$4 * IF(AND(GT$4=1,GN$20=1), HA73, GY73)</f>
        <v>0</v>
      </c>
      <c r="GV73" s="12">
        <f>GV$4 * IF(AND(GU$4=1,GN$20=1), HA73, GY73)</f>
        <v>0</v>
      </c>
      <c r="GX73" s="30" t="s">
        <v>1309</v>
      </c>
      <c r="GY73">
        <f>_xlfn.XLOOKUP(GX73,'KPI Impacts'!$B$2:$H$2,'KPI Impacts'!$B73:$H73)</f>
        <v>1</v>
      </c>
      <c r="GZ73" s="35" t="s">
        <v>1304</v>
      </c>
      <c r="HA73">
        <f>_xlfn.XLOOKUP(GZ73,'KPI Impacts'!$B$2:$H$2,'KPI Impacts'!$B73:$H73)</f>
        <v>0</v>
      </c>
      <c r="HD73" s="12">
        <f>HD$4*HO73</f>
        <v>0</v>
      </c>
      <c r="HE73" s="12">
        <f>HE$4 * IF(AND(HD$4=1,HD$20=1), HQ73, HO73)</f>
        <v>0</v>
      </c>
      <c r="HF73" s="12">
        <f>HF$4 * IF(AND(HE$4=1,HD$20=1), HQ73, HO73)</f>
        <v>0</v>
      </c>
      <c r="HG73" s="12">
        <f>HG$4 * IF(AND(HF$4=1,HD$20=1), HQ73, HO73)</f>
        <v>0</v>
      </c>
      <c r="HH73" s="12">
        <f>HH$4 * IF(AND(HG$4=1,HD$20=1), HQ73, HO73)</f>
        <v>0</v>
      </c>
      <c r="HI73" s="12">
        <f>HI$4 * IF(AND(HH$4=1,HD$20=1), HQ73, HO73)</f>
        <v>0</v>
      </c>
      <c r="HJ73" s="12">
        <f>HJ$4 * IF(AND(HI$4=1,HD$20=1), HQ73, HO73)</f>
        <v>0</v>
      </c>
      <c r="HK73" s="12">
        <f>HK$4 * IF(AND(HJ$4=1,HD$20=1), HQ73, HO73)</f>
        <v>0</v>
      </c>
      <c r="HL73" s="12">
        <f>HL$4 * IF(AND(HK$4=1,HD$20=1), HQ73, HO73)</f>
        <v>0</v>
      </c>
      <c r="HN73" s="30" t="s">
        <v>1309</v>
      </c>
      <c r="HO73">
        <f>_xlfn.XLOOKUP(HN73,'KPI Impacts'!$B$2:$H$2,'KPI Impacts'!$B73:$H73)</f>
        <v>1</v>
      </c>
      <c r="HP73" s="35" t="s">
        <v>1304</v>
      </c>
      <c r="HQ73">
        <f>_xlfn.XLOOKUP(HP73,'KPI Impacts'!$B$2:$H$2,'KPI Impacts'!$B73:$H73)</f>
        <v>0</v>
      </c>
      <c r="HT73" s="12">
        <f>HT$4*IE73</f>
        <v>0</v>
      </c>
      <c r="HU73" s="12">
        <f>HU$4 * IF(AND(HT$4=1,HT$20=1), IG73, IE73)</f>
        <v>0</v>
      </c>
      <c r="HV73" s="12">
        <f>HV$4 * IF(AND(HU$4=1,HT$20=1), IG73, IE73)</f>
        <v>0</v>
      </c>
      <c r="HW73" s="12">
        <f>HW$4 * IF(AND(HV$4=1,HT$20=1), IG73, IE73)</f>
        <v>0</v>
      </c>
      <c r="HX73" s="12">
        <f>HX$4 * IF(AND(HW$4=1,HT$20=1), IG73, IE73)</f>
        <v>0</v>
      </c>
      <c r="HY73" s="12">
        <f>HY$4 * IF(AND(HX$4=1,HT$20=1), IG73, IE73)</f>
        <v>0</v>
      </c>
      <c r="HZ73" s="12">
        <f>HZ$4 * IF(AND(HY$4=1,HT$20=1), IG73, IE73)</f>
        <v>0</v>
      </c>
      <c r="IA73" s="12">
        <f>IA$4 * IF(AND(HZ$4=1,HT$20=1), IG73, IE73)</f>
        <v>0</v>
      </c>
      <c r="IB73" s="12">
        <f>IB$4 * IF(AND(IA$4=1,HT$20=1), IG73, IE73)</f>
        <v>0</v>
      </c>
      <c r="ID73" t="s">
        <v>1304</v>
      </c>
      <c r="IE73">
        <f>_xlfn.XLOOKUP(ID73,'KPI Impacts'!$B$2:$H$2,'KPI Impacts'!$B73:$H73)</f>
        <v>0</v>
      </c>
      <c r="IF73" s="35" t="s">
        <v>1304</v>
      </c>
      <c r="IG73">
        <f>_xlfn.XLOOKUP(IF73,'KPI Impacts'!$B$2:$H$2,'KPI Impacts'!$B73:$H73)</f>
        <v>0</v>
      </c>
      <c r="IJ73" s="12">
        <f>IJ$4*IU73</f>
        <v>0</v>
      </c>
      <c r="IK73" s="12">
        <f>IK$4 * IF(AND(IJ$4=1,IJ$20=1), IW73, IU73)</f>
        <v>0</v>
      </c>
      <c r="IL73" s="12">
        <f>IL$4 * IF(AND(IK$4=1,IJ$20=1), IW73, IU73)</f>
        <v>0</v>
      </c>
      <c r="IM73" s="12">
        <f>IM$4 * IF(AND(IL$4=1,IJ$20=1), IW73, IU73)</f>
        <v>0</v>
      </c>
      <c r="IN73" s="12">
        <f>IN$4 * IF(AND(IM$4=1,IJ$20=1), IW73, IU73)</f>
        <v>0</v>
      </c>
      <c r="IO73" s="12">
        <f>IO$4 * IF(AND(IN$4=1,IJ$20=1), IW73, IU73)</f>
        <v>0</v>
      </c>
      <c r="IP73" s="12">
        <f>IP$4 * IF(AND(IO$4=1,IJ$20=1), IW73, IU73)</f>
        <v>0</v>
      </c>
      <c r="IQ73" s="12">
        <f>IQ$4 * IF(AND(IP$4=1,IJ$20=1), IW73, IU73)</f>
        <v>0</v>
      </c>
      <c r="IR73" s="12">
        <f>IR$4 * IF(AND(IQ$4=1,IJ$20=1), IW73, IU73)</f>
        <v>0</v>
      </c>
      <c r="IT73" t="s">
        <v>1304</v>
      </c>
      <c r="IU73">
        <f>_xlfn.XLOOKUP(IT73,'KPI Impacts'!$B$2:$H$2,'KPI Impacts'!$B73:$H73)</f>
        <v>0</v>
      </c>
      <c r="IV73" s="35" t="s">
        <v>1304</v>
      </c>
      <c r="IW73">
        <f>_xlfn.XLOOKUP(IV73,'KPI Impacts'!$B$2:$H$2,'KPI Impacts'!$B73:$H73)</f>
        <v>0</v>
      </c>
      <c r="IZ73" s="12">
        <f>IZ$4*JK73</f>
        <v>0</v>
      </c>
      <c r="JA73" s="12">
        <f>JA$4 * IF(AND(IZ$4=1,IZ$20=1), JM73, JK73)</f>
        <v>0</v>
      </c>
      <c r="JB73" s="12">
        <f>JB$4 * IF(AND(JA$4=1,IZ$20=1), JM73, JK73)</f>
        <v>0</v>
      </c>
      <c r="JC73" s="12">
        <f>JC$4 * IF(AND(JB$4=1,IZ$20=1), JM73, JK73)</f>
        <v>0</v>
      </c>
      <c r="JD73" s="12">
        <f>JD$4 * IF(AND(JC$4=1,IZ$20=1), JM73, JK73)</f>
        <v>0</v>
      </c>
      <c r="JE73" s="12">
        <f>JE$4 * IF(AND(JD$4=1,IZ$20=1), JM73, JK73)</f>
        <v>0</v>
      </c>
      <c r="JF73" s="12">
        <f>JF$4 * IF(AND(JE$4=1,IZ$20=1), JM73, JK73)</f>
        <v>0</v>
      </c>
      <c r="JG73" s="12">
        <f>JG$4 * IF(AND(JF$4=1,IZ$20=1), JM73, JK73)</f>
        <v>0</v>
      </c>
      <c r="JH73" s="12">
        <f>JH$4 * IF(AND(JG$4=1,IZ$20=1), JM73, JK73)</f>
        <v>0</v>
      </c>
      <c r="JJ73" t="s">
        <v>1304</v>
      </c>
      <c r="JK73">
        <f>_xlfn.XLOOKUP(JJ73,'KPI Impacts'!$B$2:$H$2,'KPI Impacts'!$B73:$H73)</f>
        <v>0</v>
      </c>
      <c r="JL73" s="35" t="s">
        <v>1304</v>
      </c>
      <c r="JM73">
        <f>_xlfn.XLOOKUP(JL73,'KPI Impacts'!$B$2:$H$2,'KPI Impacts'!$B73:$H73)</f>
        <v>0</v>
      </c>
      <c r="JP73" s="12">
        <f>JP$4*KA73</f>
        <v>0</v>
      </c>
      <c r="JQ73" s="12">
        <f>JQ$4 * IF(AND(JP$4=1,JP$20=1), KC73, KA73)</f>
        <v>0</v>
      </c>
      <c r="JR73" s="12">
        <f>JR$4 * IF(AND(JQ$4=1,JP$20=1), KC73, KA73)</f>
        <v>0</v>
      </c>
      <c r="JS73" s="12">
        <f>JS$4 * IF(AND(JR$4=1,JP$20=1), KC73, KA73)</f>
        <v>0</v>
      </c>
      <c r="JT73" s="12">
        <f>JT$4 * IF(AND(JS$4=1,JP$20=1), KC73, KA73)</f>
        <v>0</v>
      </c>
      <c r="JU73" s="12">
        <f>JU$4 * IF(AND(JT$4=1,JP$20=1), KC73, KA73)</f>
        <v>0</v>
      </c>
      <c r="JV73" s="12">
        <f>JV$4 * IF(AND(JU$4=1,JP$20=1), KC73, KA73)</f>
        <v>0</v>
      </c>
      <c r="JW73" s="12">
        <f>JW$4 * IF(AND(JV$4=1,JP$20=1), KC73, KA73)</f>
        <v>0</v>
      </c>
      <c r="JX73" s="12">
        <f>JX$4 * IF(AND(JW$4=1,JP$20=1), KC73, KA73)</f>
        <v>0</v>
      </c>
      <c r="JZ73" t="s">
        <v>1304</v>
      </c>
      <c r="KA73">
        <f>_xlfn.XLOOKUP(JZ73,'KPI Impacts'!$B$2:$H$2,'KPI Impacts'!$B73:$H73)</f>
        <v>0</v>
      </c>
      <c r="KB73" s="35" t="s">
        <v>1304</v>
      </c>
      <c r="KC73">
        <f>_xlfn.XLOOKUP(KB73,'KPI Impacts'!$B$2:$H$2,'KPI Impacts'!$B73:$H73)</f>
        <v>0</v>
      </c>
      <c r="KF73" s="12">
        <f>KF$4*KQ73</f>
        <v>0</v>
      </c>
      <c r="KG73" s="12">
        <f>KG$4 * IF(AND(KF$4=1,KF$20=1), KS73, KQ73)</f>
        <v>0</v>
      </c>
      <c r="KH73" s="12">
        <f>KH$4 * IF(AND(KG$4=1,KF$20=1), KS73, KQ73)</f>
        <v>0</v>
      </c>
      <c r="KI73" s="12">
        <f>KI$4 * IF(AND(KH$4=1,KF$20=1), KS73, KQ73)</f>
        <v>0</v>
      </c>
      <c r="KJ73" s="12">
        <f>KJ$4 * IF(AND(KI$4=1,KF$20=1), KS73, KQ73)</f>
        <v>0</v>
      </c>
      <c r="KK73" s="12">
        <f>KK$4 * IF(AND(KJ$4=1,KF$20=1), KS73, KQ73)</f>
        <v>0</v>
      </c>
      <c r="KL73" s="12">
        <f>KL$4 * IF(AND(KK$4=1,KF$20=1), KS73, KQ73)</f>
        <v>0</v>
      </c>
      <c r="KM73" s="12">
        <f>KM$4 * IF(AND(KL$4=1,KF$20=1), KS73, KQ73)</f>
        <v>0</v>
      </c>
      <c r="KN73" s="12">
        <f>KN$4 * IF(AND(KM$4=1,KF$20=1), KS73, KQ73)</f>
        <v>0</v>
      </c>
      <c r="KP73" t="s">
        <v>1304</v>
      </c>
      <c r="KQ73">
        <f>_xlfn.XLOOKUP(KP73,'KPI Impacts'!$B$2:$H$2,'KPI Impacts'!$B73:$H73)</f>
        <v>0</v>
      </c>
      <c r="KR73" s="35" t="s">
        <v>1304</v>
      </c>
      <c r="KS73">
        <f>_xlfn.XLOOKUP(KR73,'KPI Impacts'!$B$2:$H$2,'KPI Impacts'!$B73:$H73)</f>
        <v>0</v>
      </c>
      <c r="KV73" s="12">
        <f>KV$4*LG73</f>
        <v>0</v>
      </c>
      <c r="KW73" s="12">
        <f>KW$4 * IF(AND(KV$4=1,KV$20=1), LI73, LG73)</f>
        <v>0</v>
      </c>
      <c r="KX73" s="12">
        <f>KX$4 * IF(AND(KW$4=1,KV$20=1), LI73, LG73)</f>
        <v>0</v>
      </c>
      <c r="KY73" s="12">
        <f>KY$4 * IF(AND(KX$4=1,KV$20=1), LI73, LG73)</f>
        <v>0</v>
      </c>
      <c r="KZ73" s="12">
        <f>KZ$4 * IF(AND(KY$4=1,KV$20=1), LI73, LG73)</f>
        <v>0</v>
      </c>
      <c r="LA73" s="12">
        <f>LA$4 * IF(AND(KZ$4=1,KV$20=1), LI73, LG73)</f>
        <v>0</v>
      </c>
      <c r="LB73" s="12">
        <f>LB$4 * IF(AND(LA$4=1,KV$20=1), LI73, LG73)</f>
        <v>0</v>
      </c>
      <c r="LC73" s="12">
        <f>LC$4 * IF(AND(LB$4=1,KV$20=1), LI73, LG73)</f>
        <v>0</v>
      </c>
      <c r="LD73" s="12">
        <f>LD$4 * IF(AND(LC$4=1,KV$20=1), LI73, LG73)</f>
        <v>0</v>
      </c>
      <c r="LF73" t="s">
        <v>1304</v>
      </c>
      <c r="LG73">
        <f>_xlfn.XLOOKUP(LF73,'KPI Impacts'!$B$2:$H$2,'KPI Impacts'!$B73:$H73)</f>
        <v>0</v>
      </c>
      <c r="LH73" s="35" t="s">
        <v>1304</v>
      </c>
      <c r="LI73">
        <f>_xlfn.XLOOKUP(LH73,'KPI Impacts'!$B$2:$H$2,'KPI Impacts'!$B73:$H73)</f>
        <v>0</v>
      </c>
      <c r="LL73" s="12">
        <f>LL$4*LW73</f>
        <v>0</v>
      </c>
      <c r="LM73" s="12">
        <f>LM$4 * IF(AND(LL$4=1,LL$20=1), LY73, LW73)</f>
        <v>0</v>
      </c>
      <c r="LN73" s="12">
        <f>LN$4 * IF(AND(LM$4=1,LL$20=1), LY73, LW73)</f>
        <v>0</v>
      </c>
      <c r="LO73" s="12">
        <f>LO$4 * IF(AND(LN$4=1,LL$20=1), LY73, LW73)</f>
        <v>0</v>
      </c>
      <c r="LP73" s="12">
        <f>LP$4 * IF(AND(LO$4=1,LL$20=1), LY73, LW73)</f>
        <v>0</v>
      </c>
      <c r="LQ73" s="12">
        <f>LQ$4 * IF(AND(LP$4=1,LL$20=1), LY73, LW73)</f>
        <v>0</v>
      </c>
      <c r="LR73" s="12">
        <f>LR$4 * IF(AND(LQ$4=1,LL$20=1), LY73, LW73)</f>
        <v>0</v>
      </c>
      <c r="LS73" s="12">
        <f>LS$4 * IF(AND(LR$4=1,LL$20=1), LY73, LW73)</f>
        <v>0</v>
      </c>
      <c r="LT73" s="12">
        <f>LT$4 * IF(AND(LS$4=1,LL$20=1), LY73, LW73)</f>
        <v>0</v>
      </c>
      <c r="LV73" t="s">
        <v>1304</v>
      </c>
      <c r="LW73">
        <f>_xlfn.XLOOKUP(LV73,'KPI Impacts'!$B$2:$H$2,'KPI Impacts'!$B73:$H73)</f>
        <v>0</v>
      </c>
      <c r="LX73" s="35" t="s">
        <v>1304</v>
      </c>
      <c r="LY73">
        <f>_xlfn.XLOOKUP(LX73,'KPI Impacts'!$B$2:$H$2,'KPI Impacts'!$B73:$H73)</f>
        <v>0</v>
      </c>
      <c r="MB73" s="12">
        <f>MB$4*MM73</f>
        <v>0</v>
      </c>
      <c r="MC73" s="12">
        <f>MC$4 * IF(AND(MB$4=1,MB$20=1), MO73, MM73)</f>
        <v>0</v>
      </c>
      <c r="MD73" s="12">
        <f>MD$4 * IF(AND(MC$4=1,MB$20=1), MO73, MM73)</f>
        <v>0</v>
      </c>
      <c r="ME73" s="12">
        <f>ME$4 * IF(AND(MD$4=1,MB$20=1), MO73, MM73)</f>
        <v>0</v>
      </c>
      <c r="MF73" s="12">
        <f>MF$4 * IF(AND(ME$4=1,MB$20=1), MO73, MM73)</f>
        <v>0</v>
      </c>
      <c r="MG73" s="12">
        <f>MG$4 * IF(AND(MF$4=1,MB$20=1), MO73, MM73)</f>
        <v>0</v>
      </c>
      <c r="MH73" s="12">
        <f>MH$4 * IF(AND(MG$4=1,MB$20=1), MO73, MM73)</f>
        <v>0</v>
      </c>
      <c r="MI73" s="12">
        <f>MI$4 * IF(AND(MH$4=1,MB$20=1), MO73, MM73)</f>
        <v>0</v>
      </c>
      <c r="MJ73" s="12">
        <f>MJ$4 * IF(AND(MI$4=1,MB$20=1), MO73, MM73)</f>
        <v>0</v>
      </c>
      <c r="ML73" t="s">
        <v>1304</v>
      </c>
      <c r="MM73">
        <f>_xlfn.XLOOKUP(ML73,'KPI Impacts'!$B$2:$H$2,'KPI Impacts'!$B73:$H73)</f>
        <v>0</v>
      </c>
      <c r="MN73" s="35" t="s">
        <v>1304</v>
      </c>
      <c r="MO73">
        <f>_xlfn.XLOOKUP(MN73,'KPI Impacts'!$B$2:$H$2,'KPI Impacts'!$B73:$H73)</f>
        <v>0</v>
      </c>
      <c r="MR73" s="12">
        <f>MR$4*NC73</f>
        <v>0</v>
      </c>
      <c r="MS73" s="12">
        <f>MS$4 * IF(AND(MR$4=1,MR$20=1), NE73, NC73)</f>
        <v>0</v>
      </c>
      <c r="MT73" s="12">
        <f>MT$4 * IF(AND(MS$4=1,MR$20=1), NE73, NC73)</f>
        <v>0</v>
      </c>
      <c r="MU73" s="12">
        <f>MU$4 * IF(AND(MT$4=1,MR$20=1), NE73, NC73)</f>
        <v>0</v>
      </c>
      <c r="MV73" s="12">
        <f>MV$4 * IF(AND(MU$4=1,MR$20=1), NE73, NC73)</f>
        <v>0</v>
      </c>
      <c r="MW73" s="12">
        <f>MW$4 * IF(AND(MV$4=1,MR$20=1), NE73, NC73)</f>
        <v>0</v>
      </c>
      <c r="MX73" s="12">
        <f>MX$4 * IF(AND(MW$4=1,MR$20=1), NE73, NC73)</f>
        <v>0</v>
      </c>
      <c r="MY73" s="12">
        <f>MY$4 * IF(AND(MX$4=1,MR$20=1), NE73, NC73)</f>
        <v>0</v>
      </c>
      <c r="MZ73" s="12">
        <f>MZ$4 * IF(AND(MY$4=1,MR$20=1), NE73, NC73)</f>
        <v>0</v>
      </c>
      <c r="NB73" t="s">
        <v>1304</v>
      </c>
      <c r="NC73">
        <f>_xlfn.XLOOKUP(NB73,'KPI Impacts'!$B$2:$H$2,'KPI Impacts'!$B73:$H73)</f>
        <v>0</v>
      </c>
      <c r="ND73" s="35" t="s">
        <v>1304</v>
      </c>
      <c r="NE73">
        <f>_xlfn.XLOOKUP(ND73,'KPI Impacts'!$B$2:$H$2,'KPI Impacts'!$B73:$H73)</f>
        <v>0</v>
      </c>
      <c r="NH73" s="12">
        <f>NH$4*NS73</f>
        <v>0</v>
      </c>
      <c r="NI73" s="12">
        <f>NI$4 * IF(AND(NH$4=1,NH$20=1), NU73, NS73)</f>
        <v>0</v>
      </c>
      <c r="NJ73" s="12">
        <f>NJ$4 * IF(AND(NI$4=1,NH$20=1), NU73, NS73)</f>
        <v>0</v>
      </c>
      <c r="NK73" s="12">
        <f>NK$4 * IF(AND(NJ$4=1,NH$20=1), NU73, NS73)</f>
        <v>0</v>
      </c>
      <c r="NL73" s="12">
        <f>NL$4 * IF(AND(NK$4=1,NH$20=1), NU73, NS73)</f>
        <v>0</v>
      </c>
      <c r="NM73" s="12">
        <f>NM$4 * IF(AND(NL$4=1,NH$20=1), NU73, NS73)</f>
        <v>0</v>
      </c>
      <c r="NN73" s="12">
        <f>NN$4 * IF(AND(NM$4=1,NH$20=1), NU73, NS73)</f>
        <v>0</v>
      </c>
      <c r="NO73" s="12">
        <f>NO$4 * IF(AND(NN$4=1,NH$20=1), NU73, NS73)</f>
        <v>0</v>
      </c>
      <c r="NP73" s="12">
        <f>NP$4 * IF(AND(NO$4=1,NH$20=1), NU73, NS73)</f>
        <v>0</v>
      </c>
      <c r="NR73" t="s">
        <v>1304</v>
      </c>
      <c r="NS73">
        <f>_xlfn.XLOOKUP(NR73,'KPI Impacts'!$B$2:$H$2,'KPI Impacts'!$B73:$H73)</f>
        <v>0</v>
      </c>
      <c r="NT73" s="35" t="s">
        <v>1304</v>
      </c>
      <c r="NU73">
        <f>_xlfn.XLOOKUP(NT73,'KPI Impacts'!$B$2:$H$2,'KPI Impacts'!$B73:$H73)</f>
        <v>0</v>
      </c>
      <c r="NX73" s="12">
        <f>NX$4*OI73</f>
        <v>0</v>
      </c>
      <c r="NY73" s="12">
        <f>NY$4 * IF(AND(NX$4=1,NX$20=1), OK73, OI73)</f>
        <v>0</v>
      </c>
      <c r="NZ73" s="12">
        <f>NZ$4 * IF(AND(NY$4=1,NX$20=1), OK73, OI73)</f>
        <v>0</v>
      </c>
      <c r="OA73" s="12">
        <f>OA$4 * IF(AND(NZ$4=1,NX$20=1), OK73, OI73)</f>
        <v>0</v>
      </c>
      <c r="OB73" s="12">
        <f>OB$4 * IF(AND(OA$4=1,NX$20=1), OK73, OI73)</f>
        <v>0</v>
      </c>
      <c r="OC73" s="12">
        <f>OC$4 * IF(AND(OB$4=1,NX$20=1), OK73, OI73)</f>
        <v>0</v>
      </c>
      <c r="OD73" s="12">
        <f>OD$4 * IF(AND(OC$4=1,NX$20=1), OK73, OI73)</f>
        <v>0</v>
      </c>
      <c r="OE73" s="12">
        <f>OE$4 * IF(AND(OD$4=1,NX$20=1), OK73, OI73)</f>
        <v>0</v>
      </c>
      <c r="OF73" s="12">
        <f>OF$4 * IF(AND(OE$4=1,NX$20=1), OK73, OI73)</f>
        <v>0</v>
      </c>
      <c r="OH73" t="s">
        <v>1304</v>
      </c>
      <c r="OI73">
        <f>_xlfn.XLOOKUP(OH73,'KPI Impacts'!$B$2:$H$2,'KPI Impacts'!$B73:$H73)</f>
        <v>0</v>
      </c>
      <c r="OJ73" s="35" t="s">
        <v>1304</v>
      </c>
      <c r="OK73">
        <f>_xlfn.XLOOKUP(OJ73,'KPI Impacts'!$B$2:$H$2,'KPI Impacts'!$B73:$H73)</f>
        <v>0</v>
      </c>
    </row>
    <row r="74" spans="1:401" x14ac:dyDescent="0.2">
      <c r="A74" s="9" t="s">
        <v>1964</v>
      </c>
      <c r="B74" s="12">
        <f t="shared" si="638"/>
        <v>0</v>
      </c>
      <c r="C74" s="12">
        <f t="shared" si="639"/>
        <v>0</v>
      </c>
      <c r="D74" s="12">
        <f t="shared" si="640"/>
        <v>0</v>
      </c>
      <c r="E74" s="12">
        <f t="shared" si="641"/>
        <v>0</v>
      </c>
      <c r="F74" s="12">
        <f t="shared" si="642"/>
        <v>0</v>
      </c>
      <c r="G74" s="12">
        <f t="shared" si="643"/>
        <v>0</v>
      </c>
      <c r="H74" s="12">
        <f t="shared" si="644"/>
        <v>0</v>
      </c>
      <c r="I74" s="12">
        <f t="shared" si="645"/>
        <v>0</v>
      </c>
      <c r="J74" s="12">
        <f t="shared" si="646"/>
        <v>0</v>
      </c>
      <c r="P74" s="12" cm="1">
        <f t="array" ref="P74">_xlfn.SWITCH(P$4, 0,0, 1, AA74,2,AC74,3,AE74,0)</f>
        <v>0</v>
      </c>
      <c r="Q74" s="12" cm="1">
        <f t="array" ref="Q74">_xlfn.SWITCH(Q$4, 0,0, 1, AA74,2,AC74,3,AE74,0)+P74</f>
        <v>0</v>
      </c>
      <c r="R74" s="12" cm="1">
        <f t="array" ref="R74">_xlfn.SWITCH(R$4, 0,0, 1, AA74,2,AC74,3,AE74,0)+Q74</f>
        <v>0</v>
      </c>
      <c r="S74" s="12" cm="1">
        <f t="array" ref="S74">_xlfn.SWITCH(S$4, 0,0, 1, AA74,2,AC74,3,AE74,0)+R74</f>
        <v>0</v>
      </c>
      <c r="T74" s="12" cm="1">
        <f t="array" ref="T74">_xlfn.SWITCH(T$4, 0,0, 1, AA74,2,AC74,3,AE74,0)+S74</f>
        <v>0</v>
      </c>
      <c r="U74" s="12" cm="1">
        <f t="array" ref="U74">_xlfn.SWITCH(U$4, 0,0, 1, AA74,2,AC74,3,AE74,0)+T74</f>
        <v>0</v>
      </c>
      <c r="V74" s="12" cm="1">
        <f t="array" ref="V74">_xlfn.SWITCH(V$4, 0,0, 1, AA74,2,AC74,3,AE74,0)+U74</f>
        <v>0</v>
      </c>
      <c r="W74" s="12" cm="1">
        <f t="array" ref="W74">_xlfn.SWITCH(W$4, 0,0, 1, AA74,2,AC74,3,AE74,0)+V74</f>
        <v>0</v>
      </c>
      <c r="X74" s="12" cm="1">
        <f t="array" ref="X74">_xlfn.SWITCH(X$4, 0,0, 1, AA74,2,AC74,3,AE74,0)+W74</f>
        <v>0</v>
      </c>
      <c r="Z74" t="s">
        <v>1308</v>
      </c>
      <c r="AA74">
        <f>_xlfn.XLOOKUP(Z74,'KPI Impacts'!$K$2:$Q$2,'KPI Impacts'!$K74:$Q74)</f>
        <v>1200000000</v>
      </c>
      <c r="AB74" t="s">
        <v>1310</v>
      </c>
      <c r="AC74">
        <f>_xlfn.XLOOKUP(AB74,'KPI Impacts'!$K$2:$Q$2,'KPI Impacts'!$K74:$Q74)</f>
        <v>2400000000</v>
      </c>
      <c r="AD74" t="s">
        <v>1309</v>
      </c>
      <c r="AE74">
        <f>_xlfn.XLOOKUP(AD74,'KPI Impacts'!$K$2:$Q$2,'KPI Impacts'!$K74:$Q74)</f>
        <v>3600000000</v>
      </c>
      <c r="AH74" s="12" cm="1">
        <f t="array" ref="AH74">_xlfn.SWITCH(AH$4, 0,0, 1, AS74,2,AU74,3,AW74,0)</f>
        <v>0</v>
      </c>
      <c r="AI74" s="12" cm="1">
        <f t="array" ref="AI74">_xlfn.SWITCH(AI$4, 0,0, 1, AS74,2,AU74,3,AW74,0)+AH74</f>
        <v>0</v>
      </c>
      <c r="AJ74" s="12" cm="1">
        <f t="array" ref="AJ74">_xlfn.SWITCH(AJ$4, 0,0, 1, AS74,2,AU74,3,AW74,0)+AI74</f>
        <v>0</v>
      </c>
      <c r="AK74" s="12" cm="1">
        <f t="array" ref="AK74">_xlfn.SWITCH(AK$4, 0,0, 1, AS74,2,AU74,3,AW74,0)+AJ74</f>
        <v>0</v>
      </c>
      <c r="AL74" s="12" cm="1">
        <f t="array" ref="AL74">_xlfn.SWITCH(AL$4, 0,0, 1, AS74,2,AU74,3,AW74,0)+AK74</f>
        <v>0</v>
      </c>
      <c r="AM74" s="12" cm="1">
        <f t="array" ref="AM74">_xlfn.SWITCH(AM$4, 0,0, 1, AS74,2,AU74,3,AW74,0)+AL74</f>
        <v>0</v>
      </c>
      <c r="AN74" s="12" cm="1">
        <f t="array" ref="AN74">_xlfn.SWITCH(AN$4, 0,0, 1, AS74,2,AU74,3,AW74,0)+AM74</f>
        <v>0</v>
      </c>
      <c r="AO74" s="12" cm="1">
        <f t="array" ref="AO74">_xlfn.SWITCH(AO$4, 0,0, 1, AS74,2,AU74,3,AW74,0)+AN74</f>
        <v>0</v>
      </c>
      <c r="AP74" s="12" cm="1">
        <f t="array" ref="AP74">_xlfn.SWITCH(AP$4, 0,0, 1, AS74,2,AU74,3,AW74,0)+AO74</f>
        <v>0</v>
      </c>
      <c r="AR74" t="s">
        <v>1304</v>
      </c>
      <c r="AS74">
        <f>_xlfn.XLOOKUP(AR74,'KPI Impacts'!$K$2:$Q$2,'KPI Impacts'!$K74:$Q74)</f>
        <v>0</v>
      </c>
      <c r="AT74" t="s">
        <v>1304</v>
      </c>
      <c r="AU74">
        <f>_xlfn.XLOOKUP(AT74,'KPI Impacts'!$K$2:$Q$2,'KPI Impacts'!$K74:$Q74)</f>
        <v>0</v>
      </c>
      <c r="AV74" t="s">
        <v>1304</v>
      </c>
      <c r="AW74">
        <f>_xlfn.XLOOKUP(AV74,'KPI Impacts'!$K$2:$Q$2,'KPI Impacts'!$K74:$Q74)</f>
        <v>0</v>
      </c>
      <c r="AZ74" s="12">
        <f>AZ$4*BK74</f>
        <v>0</v>
      </c>
      <c r="BA74" s="12">
        <f>BA$4 * IF(AND(AZ$4=1,AZ$20=1), BM74, BK74)</f>
        <v>0</v>
      </c>
      <c r="BB74" s="12">
        <f>BB$4 * IF(AND(BA$4=1,AZ$20=1), BM74, BK74)</f>
        <v>0</v>
      </c>
      <c r="BC74" s="12">
        <f>BC$4 * IF(AND(BB$4=1,AZ$20=1), BM74, BK74)</f>
        <v>0</v>
      </c>
      <c r="BD74" s="12">
        <f>BD$4 * IF(AND(BC$4=1,AZ$20=1), BM74, BK74)</f>
        <v>0</v>
      </c>
      <c r="BE74" s="12">
        <f>BE$4 * IF(AND(BD$4=1,AZ$20=1), BM74, BK74)</f>
        <v>0</v>
      </c>
      <c r="BF74" s="12">
        <f>BF$4 * IF(AND(BE$4=1,AZ$20=1), BM74, BK74)</f>
        <v>0</v>
      </c>
      <c r="BG74" s="12">
        <f>BG$4 * IF(AND(BF$4=1,AZ$20=1), BM74, BK74)</f>
        <v>0</v>
      </c>
      <c r="BH74" s="12">
        <f>BH$4 * IF(AND(BG$4=1,AZ$20=1), BM74, BK74)</f>
        <v>0</v>
      </c>
      <c r="BJ74" s="30" t="s">
        <v>1308</v>
      </c>
      <c r="BK74">
        <f>_xlfn.XLOOKUP(BJ74,'KPI Impacts'!$B$2:$H$2,'KPI Impacts'!$B74:$H74)</f>
        <v>2000000000</v>
      </c>
      <c r="BL74" s="35" t="s">
        <v>1304</v>
      </c>
      <c r="BM74">
        <f>_xlfn.XLOOKUP(BL74,'KPI Impacts'!$B$2:$H$2,'KPI Impacts'!$B74:$H74)</f>
        <v>0</v>
      </c>
      <c r="BP74" s="12">
        <f>BP$4*CA74</f>
        <v>0</v>
      </c>
      <c r="BQ74" s="12">
        <f>BQ$4 * IF(AND(BP$4=1,BP$20=1), CC74, CA74)</f>
        <v>0</v>
      </c>
      <c r="BR74" s="12">
        <f>BR$4 * IF(AND(BQ$4=1,BP$20=1), CC74, CA74)</f>
        <v>0</v>
      </c>
      <c r="BS74" s="12">
        <f>BS$4 * IF(AND(BR$4=1,BP$20=1), CC74, CA74)</f>
        <v>0</v>
      </c>
      <c r="BT74" s="12">
        <f>BT$4 * IF(AND(BS$4=1,BP$20=1), CC74, CA74)</f>
        <v>0</v>
      </c>
      <c r="BU74" s="12">
        <f>BU$4 * IF(AND(BT$4=1,BP$20=1), CC74, CA74)</f>
        <v>0</v>
      </c>
      <c r="BV74" s="12">
        <f>BV$4 * IF(AND(BU$4=1,BP$20=1), CC74, CA74)</f>
        <v>0</v>
      </c>
      <c r="BW74" s="12">
        <f>BW$4 * IF(AND(BV$4=1,BP$20=1), CC74, CA74)</f>
        <v>0</v>
      </c>
      <c r="BX74" s="12">
        <f>BX$4 * IF(AND(BW$4=1,BP$20=1), CC74, CA74)</f>
        <v>0</v>
      </c>
      <c r="BZ74" s="30" t="s">
        <v>1308</v>
      </c>
      <c r="CA74">
        <f>_xlfn.XLOOKUP(BZ74,'KPI Impacts'!$B$2:$H$2,'KPI Impacts'!$B74:$H74)</f>
        <v>2000000000</v>
      </c>
      <c r="CB74" s="35" t="s">
        <v>1304</v>
      </c>
      <c r="CC74">
        <f>_xlfn.XLOOKUP(CB74,'KPI Impacts'!$B$2:$H$2,'KPI Impacts'!$B74:$H74)</f>
        <v>0</v>
      </c>
      <c r="CF74" s="12">
        <f>CF$4*CQ74</f>
        <v>0</v>
      </c>
      <c r="CG74" s="12">
        <f>CG$4 * IF(AND(CF$4=1,CF$20=1), CS74, CQ74)</f>
        <v>0</v>
      </c>
      <c r="CH74" s="12">
        <f>CH$4 * IF(AND(CG$4=1,CF$20=1), CS74, CQ74)</f>
        <v>0</v>
      </c>
      <c r="CI74" s="12">
        <f>CI$4 * IF(AND(CH$4=1,CF$20=1), CS74, CQ74)</f>
        <v>0</v>
      </c>
      <c r="CJ74" s="12">
        <f>CJ$4 * IF(AND(CI$4=1,CF$20=1), CS74, CQ74)</f>
        <v>0</v>
      </c>
      <c r="CK74" s="12">
        <f>CK$4 * IF(AND(CJ$4=1,CF$20=1), CS74, CQ74)</f>
        <v>0</v>
      </c>
      <c r="CL74" s="12">
        <f>CL$4 * IF(AND(CK$4=1,CF$20=1), CS74, CQ74)</f>
        <v>0</v>
      </c>
      <c r="CM74" s="12">
        <f>CM$4 * IF(AND(CL$4=1,CF$20=1), CS74, CQ74)</f>
        <v>0</v>
      </c>
      <c r="CN74" s="12">
        <f>CN$4 * IF(AND(CM$4=1,CF$20=1), CS74, CQ74)</f>
        <v>0</v>
      </c>
      <c r="CP74" s="30" t="s">
        <v>1310</v>
      </c>
      <c r="CQ74">
        <f>_xlfn.XLOOKUP(CP74,'KPI Impacts'!$B$2:$H$2,'KPI Impacts'!$B74:$H74)</f>
        <v>4000000000</v>
      </c>
      <c r="CR74" s="35" t="s">
        <v>1304</v>
      </c>
      <c r="CS74">
        <f>_xlfn.XLOOKUP(CR74,'KPI Impacts'!$B$2:$H$2,'KPI Impacts'!$B74:$H74)</f>
        <v>0</v>
      </c>
      <c r="CV74" s="12">
        <f>CV$4*DG74</f>
        <v>0</v>
      </c>
      <c r="CW74" s="12">
        <f>CW$4 * IF(AND(CV$4=1,CV$20=1), DI74, DG74)</f>
        <v>0</v>
      </c>
      <c r="CX74" s="12">
        <f>CX$4 * IF(AND(CW$4=1,CV$20=1), DI74, DG74)</f>
        <v>0</v>
      </c>
      <c r="CY74" s="12">
        <f>CY$4 * IF(AND(CX$4=1,CV$20=1), DI74, DG74)</f>
        <v>0</v>
      </c>
      <c r="CZ74" s="12">
        <f>CZ$4 * IF(AND(CY$4=1,CV$20=1), DI74, DG74)</f>
        <v>0</v>
      </c>
      <c r="DA74" s="12">
        <f>DA$4 * IF(AND(CZ$4=1,CV$20=1), DI74, DG74)</f>
        <v>0</v>
      </c>
      <c r="DB74" s="12">
        <f>DB$4 * IF(AND(DA$4=1,CV$20=1), DI74, DG74)</f>
        <v>0</v>
      </c>
      <c r="DC74" s="12">
        <f>DC$4 * IF(AND(DB$4=1,CV$20=1), DI74, DG74)</f>
        <v>0</v>
      </c>
      <c r="DD74" s="12">
        <f>DD$4 * IF(AND(DC$4=1,CV$20=1), DI74, DG74)</f>
        <v>0</v>
      </c>
      <c r="DF74" s="30" t="s">
        <v>1309</v>
      </c>
      <c r="DG74">
        <f>_xlfn.XLOOKUP(DF74,'KPI Impacts'!$B$2:$H$2,'KPI Impacts'!$B74:$H74)</f>
        <v>6000000000</v>
      </c>
      <c r="DH74" s="35" t="s">
        <v>1304</v>
      </c>
      <c r="DI74">
        <f>_xlfn.XLOOKUP(DH74,'KPI Impacts'!$B$2:$H$2,'KPI Impacts'!$B74:$H74)</f>
        <v>0</v>
      </c>
      <c r="DL74" s="12">
        <f>DL$4*DW74</f>
        <v>0</v>
      </c>
      <c r="DM74" s="12">
        <f>DM$4 * IF(AND(DL$4=1,DL$20=1), DY74, DW74)</f>
        <v>0</v>
      </c>
      <c r="DN74" s="12">
        <f>DN$4 * IF(AND(DM$4=1,DL$20=1), DY74, DW74)</f>
        <v>0</v>
      </c>
      <c r="DO74" s="12">
        <f>DO$4 * IF(AND(DN$4=1,DL$20=1), DY74, DW74)</f>
        <v>0</v>
      </c>
      <c r="DP74" s="12">
        <f>DP$4 * IF(AND(DO$4=1,DL$20=1), DY74, DW74)</f>
        <v>0</v>
      </c>
      <c r="DQ74" s="12">
        <f>DQ$4 * IF(AND(DP$4=1,DL$20=1), DY74, DW74)</f>
        <v>0</v>
      </c>
      <c r="DR74" s="12">
        <f>DR$4 * IF(AND(DQ$4=1,DL$20=1), DY74, DW74)</f>
        <v>0</v>
      </c>
      <c r="DS74" s="12">
        <f>DS$4 * IF(AND(DR$4=1,DL$20=1), DY74, DW74)</f>
        <v>0</v>
      </c>
      <c r="DT74" s="12">
        <f>DT$4 * IF(AND(DS$4=1,DL$20=1), DY74, DW74)</f>
        <v>0</v>
      </c>
      <c r="DV74" s="16" t="s">
        <v>1304</v>
      </c>
      <c r="DW74">
        <f>_xlfn.XLOOKUP(DV74,'KPI Impacts'!$B$2:$H$2,'KPI Impacts'!$B74:$H74)</f>
        <v>0</v>
      </c>
      <c r="DX74" s="35" t="s">
        <v>1304</v>
      </c>
      <c r="DY74">
        <f>_xlfn.XLOOKUP(DX74,'KPI Impacts'!$B$2:$H$2,'KPI Impacts'!$B74:$H74)</f>
        <v>0</v>
      </c>
      <c r="EB74" s="12">
        <f>EB$4*EM74</f>
        <v>0</v>
      </c>
      <c r="EC74" s="12">
        <f>EC$4 * IF(AND(EB$4=1,EB$20=1), EO74, EM74)</f>
        <v>0</v>
      </c>
      <c r="ED74" s="12">
        <f>ED$4 * IF(AND(EC$4=1,EB$20=1), EO74, EM74)</f>
        <v>0</v>
      </c>
      <c r="EE74" s="12">
        <f>EE$4 * IF(AND(ED$4=1,EB$20=1), EO74, EM74)</f>
        <v>0</v>
      </c>
      <c r="EF74" s="12">
        <f>EF$4 * IF(AND(EE$4=1,EB$20=1), EO74, EM74)</f>
        <v>0</v>
      </c>
      <c r="EG74" s="12">
        <f>EG$4 * IF(AND(EF$4=1,EB$20=1), EO74, EM74)</f>
        <v>0</v>
      </c>
      <c r="EH74" s="12">
        <f>EH$4 * IF(AND(EG$4=1,EB$20=1), EO74, EM74)</f>
        <v>0</v>
      </c>
      <c r="EI74" s="12">
        <f>EI$4 * IF(AND(EH$4=1,EB$20=1), EO74, EM74)</f>
        <v>0</v>
      </c>
      <c r="EJ74" s="12">
        <f>EJ$4 * IF(AND(EI$4=1,EB$20=1), EO74, EM74)</f>
        <v>0</v>
      </c>
      <c r="EL74" s="30" t="s">
        <v>1308</v>
      </c>
      <c r="EM74">
        <f>_xlfn.XLOOKUP(EL74,'KPI Impacts'!$B$2:$H$2,'KPI Impacts'!$B74:$H74)</f>
        <v>2000000000</v>
      </c>
      <c r="EN74" s="35" t="s">
        <v>1304</v>
      </c>
      <c r="EO74">
        <f>_xlfn.XLOOKUP(EN74,'KPI Impacts'!$B$2:$H$2,'KPI Impacts'!$B74:$H74)</f>
        <v>0</v>
      </c>
      <c r="ER74" s="12">
        <f>ER$4*FC74</f>
        <v>0</v>
      </c>
      <c r="ES74" s="12">
        <f>ES$4 * IF(AND(ER$4=1,ER$20=1), FE74, FC74)</f>
        <v>0</v>
      </c>
      <c r="ET74" s="12">
        <f>ET$4 * IF(AND(ES$4=1,ER$20=1), FE74, FC74)</f>
        <v>0</v>
      </c>
      <c r="EU74" s="12">
        <f>EU$4 * IF(AND(ET$4=1,ER$20=1), FE74, FC74)</f>
        <v>0</v>
      </c>
      <c r="EV74" s="12">
        <f>EV$4 * IF(AND(EU$4=1,ER$20=1), FE74, FC74)</f>
        <v>0</v>
      </c>
      <c r="EW74" s="12">
        <f>EW$4 * IF(AND(EV$4=1,ER$20=1), FE74, FC74)</f>
        <v>0</v>
      </c>
      <c r="EX74" s="12">
        <f>EX$4 * IF(AND(EW$4=1,ER$20=1), FE74, FC74)</f>
        <v>0</v>
      </c>
      <c r="EY74" s="12">
        <f>EY$4 * IF(AND(EX$4=1,ER$20=1), FE74, FC74)</f>
        <v>0</v>
      </c>
      <c r="EZ74" s="12">
        <f>EZ$4 * IF(AND(EY$4=1,ER$20=1), FE74, FC74)</f>
        <v>0</v>
      </c>
      <c r="FB74" s="30" t="s">
        <v>1308</v>
      </c>
      <c r="FC74">
        <f>_xlfn.XLOOKUP(FB74,'KPI Impacts'!$B$2:$H$2,'KPI Impacts'!$B74:$H74)</f>
        <v>2000000000</v>
      </c>
      <c r="FD74" s="35" t="s">
        <v>1304</v>
      </c>
      <c r="FE74">
        <f>_xlfn.XLOOKUP(FD74,'KPI Impacts'!$B$2:$H$2,'KPI Impacts'!$B74:$H74)</f>
        <v>0</v>
      </c>
      <c r="FH74" s="12">
        <f>FH$4*FS74</f>
        <v>0</v>
      </c>
      <c r="FI74" s="12">
        <f>FI$4 * IF(AND(FH$4=1,FH$20=1), FU74, FS74)</f>
        <v>0</v>
      </c>
      <c r="FJ74" s="12">
        <f>FJ$4 * IF(AND(FI$4=1,FH$20=1), FU74, FS74)</f>
        <v>0</v>
      </c>
      <c r="FK74" s="12">
        <f>FK$4 * IF(AND(FJ$4=1,FH$20=1), FU74, FS74)</f>
        <v>0</v>
      </c>
      <c r="FL74" s="12">
        <f>FL$4 * IF(AND(FK$4=1,FH$20=1), FU74, FS74)</f>
        <v>0</v>
      </c>
      <c r="FM74" s="12">
        <f>FM$4 * IF(AND(FL$4=1,FH$20=1), FU74, FS74)</f>
        <v>0</v>
      </c>
      <c r="FN74" s="12">
        <f>FN$4 * IF(AND(FM$4=1,FH$20=1), FU74, FS74)</f>
        <v>0</v>
      </c>
      <c r="FO74" s="12">
        <f>FO$4 * IF(AND(FN$4=1,FH$20=1), FU74, FS74)</f>
        <v>0</v>
      </c>
      <c r="FP74" s="12">
        <f>FP$4 * IF(AND(FO$4=1,FH$20=1), FU74, FS74)</f>
        <v>0</v>
      </c>
      <c r="FR74" s="16" t="s">
        <v>1304</v>
      </c>
      <c r="FS74">
        <f>_xlfn.XLOOKUP(FR74,'KPI Impacts'!$B$2:$H$2,'KPI Impacts'!$B74:$H74)</f>
        <v>0</v>
      </c>
      <c r="FT74" s="35" t="s">
        <v>1304</v>
      </c>
      <c r="FU74">
        <f>_xlfn.XLOOKUP(FT74,'KPI Impacts'!$B$2:$H$2,'KPI Impacts'!$B74:$H74)</f>
        <v>0</v>
      </c>
      <c r="FX74" s="12">
        <f>FX$4*GI74</f>
        <v>0</v>
      </c>
      <c r="FY74" s="12">
        <f>FY$4 * IF(AND(FX$4=1,FX$20=1), GK74, GI74)</f>
        <v>0</v>
      </c>
      <c r="FZ74" s="12">
        <f>FZ$4 * IF(AND(FY$4=1,FX$20=1), GK74, GI74)</f>
        <v>0</v>
      </c>
      <c r="GA74" s="12">
        <f>GA$4 * IF(AND(FZ$4=1,FX$20=1), GK74, GI74)</f>
        <v>0</v>
      </c>
      <c r="GB74" s="12">
        <f>GB$4 * IF(AND(GA$4=1,FX$20=1), GK74, GI74)</f>
        <v>0</v>
      </c>
      <c r="GC74" s="12">
        <f>GC$4 * IF(AND(GB$4=1,FX$20=1), GK74, GI74)</f>
        <v>0</v>
      </c>
      <c r="GD74" s="12">
        <f>GD$4 * IF(AND(GC$4=1,FX$20=1), GK74, GI74)</f>
        <v>0</v>
      </c>
      <c r="GE74" s="12">
        <f>GE$4 * IF(AND(GD$4=1,FX$20=1), GK74, GI74)</f>
        <v>0</v>
      </c>
      <c r="GF74" s="12">
        <f>GF$4 * IF(AND(GE$4=1,FX$20=1), GK74, GI74)</f>
        <v>0</v>
      </c>
      <c r="GH74" s="29" t="s">
        <v>1307</v>
      </c>
      <c r="GI74">
        <f>_xlfn.XLOOKUP(GH74,'KPI Impacts'!$B$2:$H$2,'KPI Impacts'!$B74:$H74)</f>
        <v>-3200000000</v>
      </c>
      <c r="GJ74" s="35" t="s">
        <v>1304</v>
      </c>
      <c r="GK74">
        <f>_xlfn.XLOOKUP(GJ74,'KPI Impacts'!$B$2:$H$2,'KPI Impacts'!$B74:$H74)</f>
        <v>0</v>
      </c>
      <c r="GN74" s="12">
        <f>GN$4*GY74</f>
        <v>0</v>
      </c>
      <c r="GO74" s="12">
        <f>GO$4 * IF(AND(GN$4=1,GN$20=1), HA74, GY74)</f>
        <v>0</v>
      </c>
      <c r="GP74" s="12">
        <f>GP$4 * IF(AND(GO$4=1,GN$20=1), HA74, GY74)</f>
        <v>0</v>
      </c>
      <c r="GQ74" s="12">
        <f>GQ$4 * IF(AND(GP$4=1,GN$20=1), HA74, GY74)</f>
        <v>0</v>
      </c>
      <c r="GR74" s="12">
        <f>GR$4 * IF(AND(GQ$4=1,GN$20=1), HA74, GY74)</f>
        <v>0</v>
      </c>
      <c r="GS74" s="12">
        <f>GS$4 * IF(AND(GR$4=1,GN$20=1), HA74, GY74)</f>
        <v>0</v>
      </c>
      <c r="GT74" s="12">
        <f>GT$4 * IF(AND(GS$4=1,GN$20=1), HA74, GY74)</f>
        <v>0</v>
      </c>
      <c r="GU74" s="12">
        <f>GU$4 * IF(AND(GT$4=1,GN$20=1), HA74, GY74)</f>
        <v>0</v>
      </c>
      <c r="GV74" s="12">
        <f>GV$4 * IF(AND(GU$4=1,GN$20=1), HA74, GY74)</f>
        <v>0</v>
      </c>
      <c r="GX74" s="30" t="s">
        <v>1310</v>
      </c>
      <c r="GY74">
        <f>_xlfn.XLOOKUP(GX74,'KPI Impacts'!$B$2:$H$2,'KPI Impacts'!$B74:$H74)</f>
        <v>4000000000</v>
      </c>
      <c r="GZ74" s="35" t="s">
        <v>1304</v>
      </c>
      <c r="HA74">
        <f>_xlfn.XLOOKUP(GZ74,'KPI Impacts'!$B$2:$H$2,'KPI Impacts'!$B74:$H74)</f>
        <v>0</v>
      </c>
      <c r="HD74" s="12">
        <f>HD$4*HO74</f>
        <v>0</v>
      </c>
      <c r="HE74" s="12">
        <f>HE$4 * IF(AND(HD$4=1,HD$20=1), HQ74, HO74)</f>
        <v>0</v>
      </c>
      <c r="HF74" s="12">
        <f>HF$4 * IF(AND(HE$4=1,HD$20=1), HQ74, HO74)</f>
        <v>0</v>
      </c>
      <c r="HG74" s="12">
        <f>HG$4 * IF(AND(HF$4=1,HD$20=1), HQ74, HO74)</f>
        <v>0</v>
      </c>
      <c r="HH74" s="12">
        <f>HH$4 * IF(AND(HG$4=1,HD$20=1), HQ74, HO74)</f>
        <v>0</v>
      </c>
      <c r="HI74" s="12">
        <f>HI$4 * IF(AND(HH$4=1,HD$20=1), HQ74, HO74)</f>
        <v>0</v>
      </c>
      <c r="HJ74" s="12">
        <f>HJ$4 * IF(AND(HI$4=1,HD$20=1), HQ74, HO74)</f>
        <v>0</v>
      </c>
      <c r="HK74" s="12">
        <f>HK$4 * IF(AND(HJ$4=1,HD$20=1), HQ74, HO74)</f>
        <v>0</v>
      </c>
      <c r="HL74" s="12">
        <f>HL$4 * IF(AND(HK$4=1,HD$20=1), HQ74, HO74)</f>
        <v>0</v>
      </c>
      <c r="HN74" s="30" t="s">
        <v>1309</v>
      </c>
      <c r="HO74">
        <f>_xlfn.XLOOKUP(HN74,'KPI Impacts'!$B$2:$H$2,'KPI Impacts'!$B74:$H74)</f>
        <v>6000000000</v>
      </c>
      <c r="HP74" s="35" t="s">
        <v>1304</v>
      </c>
      <c r="HQ74">
        <f>_xlfn.XLOOKUP(HP74,'KPI Impacts'!$B$2:$H$2,'KPI Impacts'!$B74:$H74)</f>
        <v>0</v>
      </c>
      <c r="HT74" s="12">
        <f>HT$4*IE74</f>
        <v>0</v>
      </c>
      <c r="HU74" s="12">
        <f>HU$4 * IF(AND(HT$4=1,HT$20=1), IG74, IE74)</f>
        <v>0</v>
      </c>
      <c r="HV74" s="12">
        <f>HV$4 * IF(AND(HU$4=1,HT$20=1), IG74, IE74)</f>
        <v>0</v>
      </c>
      <c r="HW74" s="12">
        <f>HW$4 * IF(AND(HV$4=1,HT$20=1), IG74, IE74)</f>
        <v>0</v>
      </c>
      <c r="HX74" s="12">
        <f>HX$4 * IF(AND(HW$4=1,HT$20=1), IG74, IE74)</f>
        <v>0</v>
      </c>
      <c r="HY74" s="12">
        <f>HY$4 * IF(AND(HX$4=1,HT$20=1), IG74, IE74)</f>
        <v>0</v>
      </c>
      <c r="HZ74" s="12">
        <f>HZ$4 * IF(AND(HY$4=1,HT$20=1), IG74, IE74)</f>
        <v>0</v>
      </c>
      <c r="IA74" s="12">
        <f>IA$4 * IF(AND(HZ$4=1,HT$20=1), IG74, IE74)</f>
        <v>0</v>
      </c>
      <c r="IB74" s="12">
        <f>IB$4 * IF(AND(IA$4=1,HT$20=1), IG74, IE74)</f>
        <v>0</v>
      </c>
      <c r="ID74" t="s">
        <v>1304</v>
      </c>
      <c r="IE74">
        <f>_xlfn.XLOOKUP(ID74,'KPI Impacts'!$B$2:$H$2,'KPI Impacts'!$B74:$H74)</f>
        <v>0</v>
      </c>
      <c r="IF74" s="35" t="s">
        <v>1304</v>
      </c>
      <c r="IG74">
        <f>_xlfn.XLOOKUP(IF74,'KPI Impacts'!$B$2:$H$2,'KPI Impacts'!$B74:$H74)</f>
        <v>0</v>
      </c>
      <c r="IJ74" s="12">
        <f>IJ$4*IU74</f>
        <v>0</v>
      </c>
      <c r="IK74" s="12">
        <f>IK$4 * IF(AND(IJ$4=1,IJ$20=1), IW74, IU74)</f>
        <v>0</v>
      </c>
      <c r="IL74" s="12">
        <f>IL$4 * IF(AND(IK$4=1,IJ$20=1), IW74, IU74)</f>
        <v>0</v>
      </c>
      <c r="IM74" s="12">
        <f>IM$4 * IF(AND(IL$4=1,IJ$20=1), IW74, IU74)</f>
        <v>0</v>
      </c>
      <c r="IN74" s="12">
        <f>IN$4 * IF(AND(IM$4=1,IJ$20=1), IW74, IU74)</f>
        <v>0</v>
      </c>
      <c r="IO74" s="12">
        <f>IO$4 * IF(AND(IN$4=1,IJ$20=1), IW74, IU74)</f>
        <v>0</v>
      </c>
      <c r="IP74" s="12">
        <f>IP$4 * IF(AND(IO$4=1,IJ$20=1), IW74, IU74)</f>
        <v>0</v>
      </c>
      <c r="IQ74" s="12">
        <f>IQ$4 * IF(AND(IP$4=1,IJ$20=1), IW74, IU74)</f>
        <v>0</v>
      </c>
      <c r="IR74" s="12">
        <f>IR$4 * IF(AND(IQ$4=1,IJ$20=1), IW74, IU74)</f>
        <v>0</v>
      </c>
      <c r="IT74" t="s">
        <v>1304</v>
      </c>
      <c r="IU74">
        <f>_xlfn.XLOOKUP(IT74,'KPI Impacts'!$B$2:$H$2,'KPI Impacts'!$B74:$H74)</f>
        <v>0</v>
      </c>
      <c r="IV74" s="35" t="s">
        <v>1304</v>
      </c>
      <c r="IW74">
        <f>_xlfn.XLOOKUP(IV74,'KPI Impacts'!$B$2:$H$2,'KPI Impacts'!$B74:$H74)</f>
        <v>0</v>
      </c>
      <c r="IZ74" s="12">
        <f>IZ$4*JK74</f>
        <v>0</v>
      </c>
      <c r="JA74" s="12">
        <f>JA$4 * IF(AND(IZ$4=1,IZ$20=1), JM74, JK74)</f>
        <v>0</v>
      </c>
      <c r="JB74" s="12">
        <f>JB$4 * IF(AND(JA$4=1,IZ$20=1), JM74, JK74)</f>
        <v>0</v>
      </c>
      <c r="JC74" s="12">
        <f>JC$4 * IF(AND(JB$4=1,IZ$20=1), JM74, JK74)</f>
        <v>0</v>
      </c>
      <c r="JD74" s="12">
        <f>JD$4 * IF(AND(JC$4=1,IZ$20=1), JM74, JK74)</f>
        <v>0</v>
      </c>
      <c r="JE74" s="12">
        <f>JE$4 * IF(AND(JD$4=1,IZ$20=1), JM74, JK74)</f>
        <v>0</v>
      </c>
      <c r="JF74" s="12">
        <f>JF$4 * IF(AND(JE$4=1,IZ$20=1), JM74, JK74)</f>
        <v>0</v>
      </c>
      <c r="JG74" s="12">
        <f>JG$4 * IF(AND(JF$4=1,IZ$20=1), JM74, JK74)</f>
        <v>0</v>
      </c>
      <c r="JH74" s="12">
        <f>JH$4 * IF(AND(JG$4=1,IZ$20=1), JM74, JK74)</f>
        <v>0</v>
      </c>
      <c r="JJ74" t="s">
        <v>1304</v>
      </c>
      <c r="JK74">
        <f>_xlfn.XLOOKUP(JJ74,'KPI Impacts'!$B$2:$H$2,'KPI Impacts'!$B74:$H74)</f>
        <v>0</v>
      </c>
      <c r="JL74" s="35" t="s">
        <v>1304</v>
      </c>
      <c r="JM74">
        <f>_xlfn.XLOOKUP(JL74,'KPI Impacts'!$B$2:$H$2,'KPI Impacts'!$B74:$H74)</f>
        <v>0</v>
      </c>
      <c r="JP74" s="12">
        <f>JP$4*KA74</f>
        <v>0</v>
      </c>
      <c r="JQ74" s="12">
        <f>JQ$4 * IF(AND(JP$4=1,JP$20=1), KC74, KA74)</f>
        <v>0</v>
      </c>
      <c r="JR74" s="12">
        <f>JR$4 * IF(AND(JQ$4=1,JP$20=1), KC74, KA74)</f>
        <v>0</v>
      </c>
      <c r="JS74" s="12">
        <f>JS$4 * IF(AND(JR$4=1,JP$20=1), KC74, KA74)</f>
        <v>0</v>
      </c>
      <c r="JT74" s="12">
        <f>JT$4 * IF(AND(JS$4=1,JP$20=1), KC74, KA74)</f>
        <v>0</v>
      </c>
      <c r="JU74" s="12">
        <f>JU$4 * IF(AND(JT$4=1,JP$20=1), KC74, KA74)</f>
        <v>0</v>
      </c>
      <c r="JV74" s="12">
        <f>JV$4 * IF(AND(JU$4=1,JP$20=1), KC74, KA74)</f>
        <v>0</v>
      </c>
      <c r="JW74" s="12">
        <f>JW$4 * IF(AND(JV$4=1,JP$20=1), KC74, KA74)</f>
        <v>0</v>
      </c>
      <c r="JX74" s="12">
        <f>JX$4 * IF(AND(JW$4=1,JP$20=1), KC74, KA74)</f>
        <v>0</v>
      </c>
      <c r="JZ74" t="s">
        <v>1304</v>
      </c>
      <c r="KA74">
        <f>_xlfn.XLOOKUP(JZ74,'KPI Impacts'!$B$2:$H$2,'KPI Impacts'!$B74:$H74)</f>
        <v>0</v>
      </c>
      <c r="KB74" s="35" t="s">
        <v>1304</v>
      </c>
      <c r="KC74">
        <f>_xlfn.XLOOKUP(KB74,'KPI Impacts'!$B$2:$H$2,'KPI Impacts'!$B74:$H74)</f>
        <v>0</v>
      </c>
      <c r="KF74" s="12">
        <f>KF$4*KQ74</f>
        <v>0</v>
      </c>
      <c r="KG74" s="12">
        <f>KG$4 * IF(AND(KF$4=1,KF$20=1), KS74, KQ74)</f>
        <v>0</v>
      </c>
      <c r="KH74" s="12">
        <f>KH$4 * IF(AND(KG$4=1,KF$20=1), KS74, KQ74)</f>
        <v>0</v>
      </c>
      <c r="KI74" s="12">
        <f>KI$4 * IF(AND(KH$4=1,KF$20=1), KS74, KQ74)</f>
        <v>0</v>
      </c>
      <c r="KJ74" s="12">
        <f>KJ$4 * IF(AND(KI$4=1,KF$20=1), KS74, KQ74)</f>
        <v>0</v>
      </c>
      <c r="KK74" s="12">
        <f>KK$4 * IF(AND(KJ$4=1,KF$20=1), KS74, KQ74)</f>
        <v>0</v>
      </c>
      <c r="KL74" s="12">
        <f>KL$4 * IF(AND(KK$4=1,KF$20=1), KS74, KQ74)</f>
        <v>0</v>
      </c>
      <c r="KM74" s="12">
        <f>KM$4 * IF(AND(KL$4=1,KF$20=1), KS74, KQ74)</f>
        <v>0</v>
      </c>
      <c r="KN74" s="12">
        <f>KN$4 * IF(AND(KM$4=1,KF$20=1), KS74, KQ74)</f>
        <v>0</v>
      </c>
      <c r="KP74" t="s">
        <v>1304</v>
      </c>
      <c r="KQ74">
        <f>_xlfn.XLOOKUP(KP74,'KPI Impacts'!$B$2:$H$2,'KPI Impacts'!$B74:$H74)</f>
        <v>0</v>
      </c>
      <c r="KR74" s="35" t="s">
        <v>1304</v>
      </c>
      <c r="KS74">
        <f>_xlfn.XLOOKUP(KR74,'KPI Impacts'!$B$2:$H$2,'KPI Impacts'!$B74:$H74)</f>
        <v>0</v>
      </c>
      <c r="KV74" s="12">
        <f>KV$4*LG74</f>
        <v>0</v>
      </c>
      <c r="KW74" s="12">
        <f>KW$4 * IF(AND(KV$4=1,KV$20=1), LI74, LG74)</f>
        <v>0</v>
      </c>
      <c r="KX74" s="12">
        <f>KX$4 * IF(AND(KW$4=1,KV$20=1), LI74, LG74)</f>
        <v>0</v>
      </c>
      <c r="KY74" s="12">
        <f>KY$4 * IF(AND(KX$4=1,KV$20=1), LI74, LG74)</f>
        <v>0</v>
      </c>
      <c r="KZ74" s="12">
        <f>KZ$4 * IF(AND(KY$4=1,KV$20=1), LI74, LG74)</f>
        <v>0</v>
      </c>
      <c r="LA74" s="12">
        <f>LA$4 * IF(AND(KZ$4=1,KV$20=1), LI74, LG74)</f>
        <v>0</v>
      </c>
      <c r="LB74" s="12">
        <f>LB$4 * IF(AND(LA$4=1,KV$20=1), LI74, LG74)</f>
        <v>0</v>
      </c>
      <c r="LC74" s="12">
        <f>LC$4 * IF(AND(LB$4=1,KV$20=1), LI74, LG74)</f>
        <v>0</v>
      </c>
      <c r="LD74" s="12">
        <f>LD$4 * IF(AND(LC$4=1,KV$20=1), LI74, LG74)</f>
        <v>0</v>
      </c>
      <c r="LF74" t="s">
        <v>1304</v>
      </c>
      <c r="LG74">
        <f>_xlfn.XLOOKUP(LF74,'KPI Impacts'!$B$2:$H$2,'KPI Impacts'!$B74:$H74)</f>
        <v>0</v>
      </c>
      <c r="LH74" s="35" t="s">
        <v>1304</v>
      </c>
      <c r="LI74">
        <f>_xlfn.XLOOKUP(LH74,'KPI Impacts'!$B$2:$H$2,'KPI Impacts'!$B74:$H74)</f>
        <v>0</v>
      </c>
      <c r="LL74" s="12">
        <f>LL$4*LW74</f>
        <v>0</v>
      </c>
      <c r="LM74" s="12">
        <f>LM$4 * IF(AND(LL$4=1,LL$20=1), LY74, LW74)</f>
        <v>0</v>
      </c>
      <c r="LN74" s="12">
        <f>LN$4 * IF(AND(LM$4=1,LL$20=1), LY74, LW74)</f>
        <v>0</v>
      </c>
      <c r="LO74" s="12">
        <f>LO$4 * IF(AND(LN$4=1,LL$20=1), LY74, LW74)</f>
        <v>0</v>
      </c>
      <c r="LP74" s="12">
        <f>LP$4 * IF(AND(LO$4=1,LL$20=1), LY74, LW74)</f>
        <v>0</v>
      </c>
      <c r="LQ74" s="12">
        <f>LQ$4 * IF(AND(LP$4=1,LL$20=1), LY74, LW74)</f>
        <v>0</v>
      </c>
      <c r="LR74" s="12">
        <f>LR$4 * IF(AND(LQ$4=1,LL$20=1), LY74, LW74)</f>
        <v>0</v>
      </c>
      <c r="LS74" s="12">
        <f>LS$4 * IF(AND(LR$4=1,LL$20=1), LY74, LW74)</f>
        <v>0</v>
      </c>
      <c r="LT74" s="12">
        <f>LT$4 * IF(AND(LS$4=1,LL$20=1), LY74, LW74)</f>
        <v>0</v>
      </c>
      <c r="LV74" t="s">
        <v>1304</v>
      </c>
      <c r="LW74">
        <f>_xlfn.XLOOKUP(LV74,'KPI Impacts'!$B$2:$H$2,'KPI Impacts'!$B74:$H74)</f>
        <v>0</v>
      </c>
      <c r="LX74" s="35" t="s">
        <v>1304</v>
      </c>
      <c r="LY74">
        <f>_xlfn.XLOOKUP(LX74,'KPI Impacts'!$B$2:$H$2,'KPI Impacts'!$B74:$H74)</f>
        <v>0</v>
      </c>
      <c r="MB74" s="12">
        <f>MB$4*MM74</f>
        <v>0</v>
      </c>
      <c r="MC74" s="12">
        <f>MC$4 * IF(AND(MB$4=1,MB$20=1), MO74, MM74)</f>
        <v>0</v>
      </c>
      <c r="MD74" s="12">
        <f>MD$4 * IF(AND(MC$4=1,MB$20=1), MO74, MM74)</f>
        <v>0</v>
      </c>
      <c r="ME74" s="12">
        <f>ME$4 * IF(AND(MD$4=1,MB$20=1), MO74, MM74)</f>
        <v>0</v>
      </c>
      <c r="MF74" s="12">
        <f>MF$4 * IF(AND(ME$4=1,MB$20=1), MO74, MM74)</f>
        <v>0</v>
      </c>
      <c r="MG74" s="12">
        <f>MG$4 * IF(AND(MF$4=1,MB$20=1), MO74, MM74)</f>
        <v>0</v>
      </c>
      <c r="MH74" s="12">
        <f>MH$4 * IF(AND(MG$4=1,MB$20=1), MO74, MM74)</f>
        <v>0</v>
      </c>
      <c r="MI74" s="12">
        <f>MI$4 * IF(AND(MH$4=1,MB$20=1), MO74, MM74)</f>
        <v>0</v>
      </c>
      <c r="MJ74" s="12">
        <f>MJ$4 * IF(AND(MI$4=1,MB$20=1), MO74, MM74)</f>
        <v>0</v>
      </c>
      <c r="ML74" t="s">
        <v>1304</v>
      </c>
      <c r="MM74">
        <f>_xlfn.XLOOKUP(ML74,'KPI Impacts'!$B$2:$H$2,'KPI Impacts'!$B74:$H74)</f>
        <v>0</v>
      </c>
      <c r="MN74" s="35" t="s">
        <v>1304</v>
      </c>
      <c r="MO74">
        <f>_xlfn.XLOOKUP(MN74,'KPI Impacts'!$B$2:$H$2,'KPI Impacts'!$B74:$H74)</f>
        <v>0</v>
      </c>
      <c r="MR74" s="12">
        <f>MR$4*NC74</f>
        <v>0</v>
      </c>
      <c r="MS74" s="12">
        <f>MS$4 * IF(AND(MR$4=1,MR$20=1), NE74, NC74)</f>
        <v>0</v>
      </c>
      <c r="MT74" s="12">
        <f>MT$4 * IF(AND(MS$4=1,MR$20=1), NE74, NC74)</f>
        <v>0</v>
      </c>
      <c r="MU74" s="12">
        <f>MU$4 * IF(AND(MT$4=1,MR$20=1), NE74, NC74)</f>
        <v>0</v>
      </c>
      <c r="MV74" s="12">
        <f>MV$4 * IF(AND(MU$4=1,MR$20=1), NE74, NC74)</f>
        <v>0</v>
      </c>
      <c r="MW74" s="12">
        <f>MW$4 * IF(AND(MV$4=1,MR$20=1), NE74, NC74)</f>
        <v>0</v>
      </c>
      <c r="MX74" s="12">
        <f>MX$4 * IF(AND(MW$4=1,MR$20=1), NE74, NC74)</f>
        <v>0</v>
      </c>
      <c r="MY74" s="12">
        <f>MY$4 * IF(AND(MX$4=1,MR$20=1), NE74, NC74)</f>
        <v>0</v>
      </c>
      <c r="MZ74" s="12">
        <f>MZ$4 * IF(AND(MY$4=1,MR$20=1), NE74, NC74)</f>
        <v>0</v>
      </c>
      <c r="NB74" t="s">
        <v>1304</v>
      </c>
      <c r="NC74">
        <f>_xlfn.XLOOKUP(NB74,'KPI Impacts'!$B$2:$H$2,'KPI Impacts'!$B74:$H74)</f>
        <v>0</v>
      </c>
      <c r="ND74" s="35" t="s">
        <v>1304</v>
      </c>
      <c r="NE74">
        <f>_xlfn.XLOOKUP(ND74,'KPI Impacts'!$B$2:$H$2,'KPI Impacts'!$B74:$H74)</f>
        <v>0</v>
      </c>
      <c r="NH74" s="12">
        <f>NH$4*NS74</f>
        <v>0</v>
      </c>
      <c r="NI74" s="12">
        <f>NI$4 * IF(AND(NH$4=1,NH$20=1), NU74, NS74)</f>
        <v>0</v>
      </c>
      <c r="NJ74" s="12">
        <f>NJ$4 * IF(AND(NI$4=1,NH$20=1), NU74, NS74)</f>
        <v>0</v>
      </c>
      <c r="NK74" s="12">
        <f>NK$4 * IF(AND(NJ$4=1,NH$20=1), NU74, NS74)</f>
        <v>0</v>
      </c>
      <c r="NL74" s="12">
        <f>NL$4 * IF(AND(NK$4=1,NH$20=1), NU74, NS74)</f>
        <v>0</v>
      </c>
      <c r="NM74" s="12">
        <f>NM$4 * IF(AND(NL$4=1,NH$20=1), NU74, NS74)</f>
        <v>0</v>
      </c>
      <c r="NN74" s="12">
        <f>NN$4 * IF(AND(NM$4=1,NH$20=1), NU74, NS74)</f>
        <v>0</v>
      </c>
      <c r="NO74" s="12">
        <f>NO$4 * IF(AND(NN$4=1,NH$20=1), NU74, NS74)</f>
        <v>0</v>
      </c>
      <c r="NP74" s="12">
        <f>NP$4 * IF(AND(NO$4=1,NH$20=1), NU74, NS74)</f>
        <v>0</v>
      </c>
      <c r="NR74" t="s">
        <v>1304</v>
      </c>
      <c r="NS74">
        <f>_xlfn.XLOOKUP(NR74,'KPI Impacts'!$B$2:$H$2,'KPI Impacts'!$B74:$H74)</f>
        <v>0</v>
      </c>
      <c r="NT74" s="35" t="s">
        <v>1304</v>
      </c>
      <c r="NU74">
        <f>_xlfn.XLOOKUP(NT74,'KPI Impacts'!$B$2:$H$2,'KPI Impacts'!$B74:$H74)</f>
        <v>0</v>
      </c>
      <c r="NX74" s="12">
        <f>NX$4*OI74</f>
        <v>0</v>
      </c>
      <c r="NY74" s="12">
        <f>NY$4 * IF(AND(NX$4=1,NX$20=1), OK74, OI74)</f>
        <v>0</v>
      </c>
      <c r="NZ74" s="12">
        <f>NZ$4 * IF(AND(NY$4=1,NX$20=1), OK74, OI74)</f>
        <v>0</v>
      </c>
      <c r="OA74" s="12">
        <f>OA$4 * IF(AND(NZ$4=1,NX$20=1), OK74, OI74)</f>
        <v>0</v>
      </c>
      <c r="OB74" s="12">
        <f>OB$4 * IF(AND(OA$4=1,NX$20=1), OK74, OI74)</f>
        <v>0</v>
      </c>
      <c r="OC74" s="12">
        <f>OC$4 * IF(AND(OB$4=1,NX$20=1), OK74, OI74)</f>
        <v>0</v>
      </c>
      <c r="OD74" s="12">
        <f>OD$4 * IF(AND(OC$4=1,NX$20=1), OK74, OI74)</f>
        <v>0</v>
      </c>
      <c r="OE74" s="12">
        <f>OE$4 * IF(AND(OD$4=1,NX$20=1), OK74, OI74)</f>
        <v>0</v>
      </c>
      <c r="OF74" s="12">
        <f>OF$4 * IF(AND(OE$4=1,NX$20=1), OK74, OI74)</f>
        <v>0</v>
      </c>
      <c r="OH74" t="s">
        <v>1304</v>
      </c>
      <c r="OI74">
        <f>_xlfn.XLOOKUP(OH74,'KPI Impacts'!$B$2:$H$2,'KPI Impacts'!$B74:$H74)</f>
        <v>0</v>
      </c>
      <c r="OJ74" s="35" t="s">
        <v>1304</v>
      </c>
      <c r="OK74">
        <f>_xlfn.XLOOKUP(OJ74,'KPI Impacts'!$B$2:$H$2,'KPI Impacts'!$B74:$H74)</f>
        <v>0</v>
      </c>
    </row>
    <row r="75" spans="1:401" x14ac:dyDescent="0.2">
      <c r="A75" t="s">
        <v>1311</v>
      </c>
      <c r="B75" s="12">
        <f t="shared" si="638"/>
        <v>0</v>
      </c>
      <c r="C75" s="12">
        <f t="shared" si="639"/>
        <v>0</v>
      </c>
      <c r="D75" s="12">
        <f t="shared" si="640"/>
        <v>0</v>
      </c>
      <c r="E75" s="12">
        <f t="shared" si="641"/>
        <v>0</v>
      </c>
      <c r="F75" s="12">
        <f t="shared" si="642"/>
        <v>0</v>
      </c>
      <c r="G75" s="12">
        <f t="shared" si="643"/>
        <v>0</v>
      </c>
      <c r="H75" s="12">
        <f t="shared" si="644"/>
        <v>0</v>
      </c>
      <c r="I75" s="12">
        <f t="shared" si="645"/>
        <v>0</v>
      </c>
      <c r="J75" s="12">
        <f t="shared" si="646"/>
        <v>0</v>
      </c>
      <c r="P75" s="12" cm="1">
        <f t="array" ref="P75">_xlfn.SWITCH(P$4, 0,0, 1, AA75,2,AC75,3,AE75,0)</f>
        <v>0</v>
      </c>
      <c r="Q75" s="12" cm="1">
        <f t="array" ref="Q75">_xlfn.SWITCH(Q$4, 0,0, 1, AA75,2,AC75,3,AE75,0)+P75</f>
        <v>0</v>
      </c>
      <c r="R75" s="12" cm="1">
        <f t="array" ref="R75">_xlfn.SWITCH(R$4, 0,0, 1, AA75,2,AC75,3,AE75,0)+Q75</f>
        <v>0</v>
      </c>
      <c r="S75" s="12" cm="1">
        <f t="array" ref="S75">_xlfn.SWITCH(S$4, 0,0, 1, AA75,2,AC75,3,AE75,0)+R75</f>
        <v>0</v>
      </c>
      <c r="T75" s="12" cm="1">
        <f t="array" ref="T75">_xlfn.SWITCH(T$4, 0,0, 1, AA75,2,AC75,3,AE75,0)+S75</f>
        <v>0</v>
      </c>
      <c r="U75" s="12" cm="1">
        <f t="array" ref="U75">_xlfn.SWITCH(U$4, 0,0, 1, AA75,2,AC75,3,AE75,0)+T75</f>
        <v>0</v>
      </c>
      <c r="V75" s="12" cm="1">
        <f t="array" ref="V75">_xlfn.SWITCH(V$4, 0,0, 1, AA75,2,AC75,3,AE75,0)+U75</f>
        <v>0</v>
      </c>
      <c r="W75" s="12" cm="1">
        <f t="array" ref="W75">_xlfn.SWITCH(W$4, 0,0, 1, AA75,2,AC75,3,AE75,0)+V75</f>
        <v>0</v>
      </c>
      <c r="X75" s="12" cm="1">
        <f t="array" ref="X75">_xlfn.SWITCH(X$4, 0,0, 1, AA75,2,AC75,3,AE75,0)+W75</f>
        <v>0</v>
      </c>
      <c r="Z75" t="s">
        <v>1304</v>
      </c>
      <c r="AA75">
        <f>_xlfn.XLOOKUP(Z75,'KPI Impacts'!$K$2:$Q$2,'KPI Impacts'!$K75:$Q75)</f>
        <v>0</v>
      </c>
      <c r="AB75" t="s">
        <v>1308</v>
      </c>
      <c r="AC75">
        <f>_xlfn.XLOOKUP(AB75,'KPI Impacts'!$K$2:$Q$2,'KPI Impacts'!$K75:$Q75)</f>
        <v>30000</v>
      </c>
      <c r="AD75" t="s">
        <v>1310</v>
      </c>
      <c r="AE75">
        <f>_xlfn.XLOOKUP(AD75,'KPI Impacts'!$K$2:$Q$2,'KPI Impacts'!$K75:$Q75)</f>
        <v>90000</v>
      </c>
      <c r="AH75" s="12" cm="1">
        <f t="array" ref="AH75">_xlfn.SWITCH(AH$4, 0,0, 1, AS75,2,AU75,3,AW75,0)</f>
        <v>0</v>
      </c>
      <c r="AI75" s="12" cm="1">
        <f t="array" ref="AI75">_xlfn.SWITCH(AI$4, 0,0, 1, AS75,2,AU75,3,AW75,0)+AH75</f>
        <v>0</v>
      </c>
      <c r="AJ75" s="12" cm="1">
        <f t="array" ref="AJ75">_xlfn.SWITCH(AJ$4, 0,0, 1, AS75,2,AU75,3,AW75,0)+AI75</f>
        <v>0</v>
      </c>
      <c r="AK75" s="12" cm="1">
        <f t="array" ref="AK75">_xlfn.SWITCH(AK$4, 0,0, 1, AS75,2,AU75,3,AW75,0)+AJ75</f>
        <v>0</v>
      </c>
      <c r="AL75" s="12" cm="1">
        <f t="array" ref="AL75">_xlfn.SWITCH(AL$4, 0,0, 1, AS75,2,AU75,3,AW75,0)+AK75</f>
        <v>0</v>
      </c>
      <c r="AM75" s="12" cm="1">
        <f t="array" ref="AM75">_xlfn.SWITCH(AM$4, 0,0, 1, AS75,2,AU75,3,AW75,0)+AL75</f>
        <v>0</v>
      </c>
      <c r="AN75" s="12" cm="1">
        <f t="array" ref="AN75">_xlfn.SWITCH(AN$4, 0,0, 1, AS75,2,AU75,3,AW75,0)+AM75</f>
        <v>0</v>
      </c>
      <c r="AO75" s="12" cm="1">
        <f t="array" ref="AO75">_xlfn.SWITCH(AO$4, 0,0, 1, AS75,2,AU75,3,AW75,0)+AN75</f>
        <v>0</v>
      </c>
      <c r="AP75" s="12" cm="1">
        <f t="array" ref="AP75">_xlfn.SWITCH(AP$4, 0,0, 1, AS75,2,AU75,3,AW75,0)+AO75</f>
        <v>0</v>
      </c>
      <c r="AR75" t="s">
        <v>1308</v>
      </c>
      <c r="AS75">
        <f>_xlfn.XLOOKUP(AR75,'KPI Impacts'!$K$2:$Q$2,'KPI Impacts'!$K75:$Q75)</f>
        <v>30000</v>
      </c>
      <c r="AT75" t="s">
        <v>1310</v>
      </c>
      <c r="AU75">
        <f>_xlfn.XLOOKUP(AT75,'KPI Impacts'!$K$2:$Q$2,'KPI Impacts'!$K75:$Q75)</f>
        <v>90000</v>
      </c>
      <c r="AV75" t="s">
        <v>1309</v>
      </c>
      <c r="AW75">
        <f>_xlfn.XLOOKUP(AV75,'KPI Impacts'!$K$2:$Q$2,'KPI Impacts'!$K75:$Q75)</f>
        <v>90000</v>
      </c>
      <c r="AZ75" s="12">
        <f>AZ$4*BK75</f>
        <v>0</v>
      </c>
      <c r="BA75" s="12">
        <f>BA$4 * IF(AND(AZ$4=1,AZ$20=1), BM75, BK75)</f>
        <v>0</v>
      </c>
      <c r="BB75" s="12">
        <f>BB$4 * IF(AND(BA$4=1,AZ$20=1), BM75, BK75)</f>
        <v>0</v>
      </c>
      <c r="BC75" s="12">
        <f>BC$4 * IF(AND(BB$4=1,AZ$20=1), BM75, BK75)</f>
        <v>0</v>
      </c>
      <c r="BD75" s="12">
        <f>BD$4 * IF(AND(BC$4=1,AZ$20=1), BM75, BK75)</f>
        <v>0</v>
      </c>
      <c r="BE75" s="12">
        <f>BE$4 * IF(AND(BD$4=1,AZ$20=1), BM75, BK75)</f>
        <v>0</v>
      </c>
      <c r="BF75" s="12">
        <f>BF$4 * IF(AND(BE$4=1,AZ$20=1), BM75, BK75)</f>
        <v>0</v>
      </c>
      <c r="BG75" s="12">
        <f>BG$4 * IF(AND(BF$4=1,AZ$20=1), BM75, BK75)</f>
        <v>0</v>
      </c>
      <c r="BH75" s="12">
        <f>BH$4 * IF(AND(BG$4=1,AZ$20=1), BM75, BK75)</f>
        <v>0</v>
      </c>
      <c r="BJ75" s="16" t="s">
        <v>1304</v>
      </c>
      <c r="BK75">
        <f>_xlfn.XLOOKUP(BJ75,'KPI Impacts'!$B$2:$H$2,'KPI Impacts'!$B75:$H75)</f>
        <v>0</v>
      </c>
      <c r="BL75" s="35" t="s">
        <v>1304</v>
      </c>
      <c r="BM75">
        <f>_xlfn.XLOOKUP(BL75,'KPI Impacts'!$B$2:$H$2,'KPI Impacts'!$B75:$H75)</f>
        <v>0</v>
      </c>
      <c r="BP75" s="12">
        <f>BP$4*CA75</f>
        <v>0</v>
      </c>
      <c r="BQ75" s="12">
        <f>BQ$4 * IF(AND(BP$4=1,BP$20=1), CC75, CA75)</f>
        <v>0</v>
      </c>
      <c r="BR75" s="12">
        <f>BR$4 * IF(AND(BQ$4=1,BP$20=1), CC75, CA75)</f>
        <v>0</v>
      </c>
      <c r="BS75" s="12">
        <f>BS$4 * IF(AND(BR$4=1,BP$20=1), CC75, CA75)</f>
        <v>0</v>
      </c>
      <c r="BT75" s="12">
        <f>BT$4 * IF(AND(BS$4=1,BP$20=1), CC75, CA75)</f>
        <v>0</v>
      </c>
      <c r="BU75" s="12">
        <f>BU$4 * IF(AND(BT$4=1,BP$20=1), CC75, CA75)</f>
        <v>0</v>
      </c>
      <c r="BV75" s="12">
        <f>BV$4 * IF(AND(BU$4=1,BP$20=1), CC75, CA75)</f>
        <v>0</v>
      </c>
      <c r="BW75" s="12">
        <f>BW$4 * IF(AND(BV$4=1,BP$20=1), CC75, CA75)</f>
        <v>0</v>
      </c>
      <c r="BX75" s="12">
        <f>BX$4 * IF(AND(BW$4=1,BP$20=1), CC75, CA75)</f>
        <v>0</v>
      </c>
      <c r="BZ75" s="16" t="s">
        <v>1304</v>
      </c>
      <c r="CA75">
        <f>_xlfn.XLOOKUP(BZ75,'KPI Impacts'!$B$2:$H$2,'KPI Impacts'!$B75:$H75)</f>
        <v>0</v>
      </c>
      <c r="CB75" s="35" t="s">
        <v>1304</v>
      </c>
      <c r="CC75">
        <f>_xlfn.XLOOKUP(CB75,'KPI Impacts'!$B$2:$H$2,'KPI Impacts'!$B75:$H75)</f>
        <v>0</v>
      </c>
      <c r="CF75" s="12">
        <f>CF$4*CQ75</f>
        <v>0</v>
      </c>
      <c r="CG75" s="12">
        <f>CG$4 * IF(AND(CF$4=1,CF$20=1), CS75, CQ75)</f>
        <v>0</v>
      </c>
      <c r="CH75" s="12">
        <f>CH$4 * IF(AND(CG$4=1,CF$20=1), CS75, CQ75)</f>
        <v>0</v>
      </c>
      <c r="CI75" s="12">
        <f>CI$4 * IF(AND(CH$4=1,CF$20=1), CS75, CQ75)</f>
        <v>0</v>
      </c>
      <c r="CJ75" s="12">
        <f>CJ$4 * IF(AND(CI$4=1,CF$20=1), CS75, CQ75)</f>
        <v>0</v>
      </c>
      <c r="CK75" s="12">
        <f>CK$4 * IF(AND(CJ$4=1,CF$20=1), CS75, CQ75)</f>
        <v>0</v>
      </c>
      <c r="CL75" s="12">
        <f>CL$4 * IF(AND(CK$4=1,CF$20=1), CS75, CQ75)</f>
        <v>0</v>
      </c>
      <c r="CM75" s="12">
        <f>CM$4 * IF(AND(CL$4=1,CF$20=1), CS75, CQ75)</f>
        <v>0</v>
      </c>
      <c r="CN75" s="12">
        <f>CN$4 * IF(AND(CM$4=1,CF$20=1), CS75, CQ75)</f>
        <v>0</v>
      </c>
      <c r="CP75" s="30" t="s">
        <v>1308</v>
      </c>
      <c r="CQ75">
        <f>_xlfn.XLOOKUP(CP75,'KPI Impacts'!$B$2:$H$2,'KPI Impacts'!$B75:$H75)</f>
        <v>25000</v>
      </c>
      <c r="CR75" s="35" t="s">
        <v>1304</v>
      </c>
      <c r="CS75">
        <f>_xlfn.XLOOKUP(CR75,'KPI Impacts'!$B$2:$H$2,'KPI Impacts'!$B75:$H75)</f>
        <v>0</v>
      </c>
      <c r="CV75" s="12">
        <f>CV$4*DG75</f>
        <v>0</v>
      </c>
      <c r="CW75" s="12">
        <f>CW$4 * IF(AND(CV$4=1,CV$20=1), DI75, DG75)</f>
        <v>0</v>
      </c>
      <c r="CX75" s="12">
        <f>CX$4 * IF(AND(CW$4=1,CV$20=1), DI75, DG75)</f>
        <v>0</v>
      </c>
      <c r="CY75" s="12">
        <f>CY$4 * IF(AND(CX$4=1,CV$20=1), DI75, DG75)</f>
        <v>0</v>
      </c>
      <c r="CZ75" s="12">
        <f>CZ$4 * IF(AND(CY$4=1,CV$20=1), DI75, DG75)</f>
        <v>0</v>
      </c>
      <c r="DA75" s="12">
        <f>DA$4 * IF(AND(CZ$4=1,CV$20=1), DI75, DG75)</f>
        <v>0</v>
      </c>
      <c r="DB75" s="12">
        <f>DB$4 * IF(AND(DA$4=1,CV$20=1), DI75, DG75)</f>
        <v>0</v>
      </c>
      <c r="DC75" s="12">
        <f>DC$4 * IF(AND(DB$4=1,CV$20=1), DI75, DG75)</f>
        <v>0</v>
      </c>
      <c r="DD75" s="12">
        <f>DD$4 * IF(AND(DC$4=1,CV$20=1), DI75, DG75)</f>
        <v>0</v>
      </c>
      <c r="DF75" s="30" t="s">
        <v>1308</v>
      </c>
      <c r="DG75">
        <f>_xlfn.XLOOKUP(DF75,'KPI Impacts'!$B$2:$H$2,'KPI Impacts'!$B75:$H75)</f>
        <v>25000</v>
      </c>
      <c r="DH75" s="35" t="s">
        <v>1304</v>
      </c>
      <c r="DI75">
        <f>_xlfn.XLOOKUP(DH75,'KPI Impacts'!$B$2:$H$2,'KPI Impacts'!$B75:$H75)</f>
        <v>0</v>
      </c>
      <c r="DL75" s="12">
        <f>DL$4*DW75</f>
        <v>0</v>
      </c>
      <c r="DM75" s="12">
        <f>DM$4 * IF(AND(DL$4=1,DL$20=1), DY75, DW75)</f>
        <v>0</v>
      </c>
      <c r="DN75" s="12">
        <f>DN$4 * IF(AND(DM$4=1,DL$20=1), DY75, DW75)</f>
        <v>0</v>
      </c>
      <c r="DO75" s="12">
        <f>DO$4 * IF(AND(DN$4=1,DL$20=1), DY75, DW75)</f>
        <v>0</v>
      </c>
      <c r="DP75" s="12">
        <f>DP$4 * IF(AND(DO$4=1,DL$20=1), DY75, DW75)</f>
        <v>0</v>
      </c>
      <c r="DQ75" s="12">
        <f>DQ$4 * IF(AND(DP$4=1,DL$20=1), DY75, DW75)</f>
        <v>0</v>
      </c>
      <c r="DR75" s="12">
        <f>DR$4 * IF(AND(DQ$4=1,DL$20=1), DY75, DW75)</f>
        <v>0</v>
      </c>
      <c r="DS75" s="12">
        <f>DS$4 * IF(AND(DR$4=1,DL$20=1), DY75, DW75)</f>
        <v>0</v>
      </c>
      <c r="DT75" s="12">
        <f>DT$4 * IF(AND(DS$4=1,DL$20=1), DY75, DW75)</f>
        <v>0</v>
      </c>
      <c r="DV75" s="30" t="s">
        <v>1308</v>
      </c>
      <c r="DW75">
        <f>_xlfn.XLOOKUP(DV75,'KPI Impacts'!$B$2:$H$2,'KPI Impacts'!$B75:$H75)</f>
        <v>25000</v>
      </c>
      <c r="DX75" s="35" t="s">
        <v>1304</v>
      </c>
      <c r="DY75">
        <f>_xlfn.XLOOKUP(DX75,'KPI Impacts'!$B$2:$H$2,'KPI Impacts'!$B75:$H75)</f>
        <v>0</v>
      </c>
      <c r="EB75" s="12">
        <f>EB$4*EM75</f>
        <v>0</v>
      </c>
      <c r="EC75" s="12">
        <f>EC$4 * IF(AND(EB$4=1,EB$20=1), EO75, EM75)</f>
        <v>0</v>
      </c>
      <c r="ED75" s="12">
        <f>ED$4 * IF(AND(EC$4=1,EB$20=1), EO75, EM75)</f>
        <v>0</v>
      </c>
      <c r="EE75" s="12">
        <f>EE$4 * IF(AND(ED$4=1,EB$20=1), EO75, EM75)</f>
        <v>0</v>
      </c>
      <c r="EF75" s="12">
        <f>EF$4 * IF(AND(EE$4=1,EB$20=1), EO75, EM75)</f>
        <v>0</v>
      </c>
      <c r="EG75" s="12">
        <f>EG$4 * IF(AND(EF$4=1,EB$20=1), EO75, EM75)</f>
        <v>0</v>
      </c>
      <c r="EH75" s="12">
        <f>EH$4 * IF(AND(EG$4=1,EB$20=1), EO75, EM75)</f>
        <v>0</v>
      </c>
      <c r="EI75" s="12">
        <f>EI$4 * IF(AND(EH$4=1,EB$20=1), EO75, EM75)</f>
        <v>0</v>
      </c>
      <c r="EJ75" s="12">
        <f>EJ$4 * IF(AND(EI$4=1,EB$20=1), EO75, EM75)</f>
        <v>0</v>
      </c>
      <c r="EL75" s="30" t="s">
        <v>1308</v>
      </c>
      <c r="EM75">
        <f>_xlfn.XLOOKUP(EL75,'KPI Impacts'!$B$2:$H$2,'KPI Impacts'!$B75:$H75)</f>
        <v>25000</v>
      </c>
      <c r="EN75" s="35" t="s">
        <v>1304</v>
      </c>
      <c r="EO75">
        <f>_xlfn.XLOOKUP(EN75,'KPI Impacts'!$B$2:$H$2,'KPI Impacts'!$B75:$H75)</f>
        <v>0</v>
      </c>
      <c r="ER75" s="12">
        <f>ER$4*FC75</f>
        <v>0</v>
      </c>
      <c r="ES75" s="12">
        <f>ES$4 * IF(AND(ER$4=1,ER$20=1), FE75, FC75)</f>
        <v>0</v>
      </c>
      <c r="ET75" s="12">
        <f>ET$4 * IF(AND(ES$4=1,ER$20=1), FE75, FC75)</f>
        <v>0</v>
      </c>
      <c r="EU75" s="12">
        <f>EU$4 * IF(AND(ET$4=1,ER$20=1), FE75, FC75)</f>
        <v>0</v>
      </c>
      <c r="EV75" s="12">
        <f>EV$4 * IF(AND(EU$4=1,ER$20=1), FE75, FC75)</f>
        <v>0</v>
      </c>
      <c r="EW75" s="12">
        <f>EW$4 * IF(AND(EV$4=1,ER$20=1), FE75, FC75)</f>
        <v>0</v>
      </c>
      <c r="EX75" s="12">
        <f>EX$4 * IF(AND(EW$4=1,ER$20=1), FE75, FC75)</f>
        <v>0</v>
      </c>
      <c r="EY75" s="12">
        <f>EY$4 * IF(AND(EX$4=1,ER$20=1), FE75, FC75)</f>
        <v>0</v>
      </c>
      <c r="EZ75" s="12">
        <f>EZ$4 * IF(AND(EY$4=1,ER$20=1), FE75, FC75)</f>
        <v>0</v>
      </c>
      <c r="FB75" s="16" t="s">
        <v>1304</v>
      </c>
      <c r="FC75">
        <f>_xlfn.XLOOKUP(FB75,'KPI Impacts'!$B$2:$H$2,'KPI Impacts'!$B75:$H75)</f>
        <v>0</v>
      </c>
      <c r="FD75" s="35" t="s">
        <v>1304</v>
      </c>
      <c r="FE75">
        <f>_xlfn.XLOOKUP(FD75,'KPI Impacts'!$B$2:$H$2,'KPI Impacts'!$B75:$H75)</f>
        <v>0</v>
      </c>
      <c r="FH75" s="12">
        <f>FH$4*FS75</f>
        <v>0</v>
      </c>
      <c r="FI75" s="12">
        <f>FI$4 * IF(AND(FH$4=1,FH$20=1), FU75, FS75)</f>
        <v>0</v>
      </c>
      <c r="FJ75" s="12">
        <f>FJ$4 * IF(AND(FI$4=1,FH$20=1), FU75, FS75)</f>
        <v>0</v>
      </c>
      <c r="FK75" s="12">
        <f>FK$4 * IF(AND(FJ$4=1,FH$20=1), FU75, FS75)</f>
        <v>0</v>
      </c>
      <c r="FL75" s="12">
        <f>FL$4 * IF(AND(FK$4=1,FH$20=1), FU75, FS75)</f>
        <v>0</v>
      </c>
      <c r="FM75" s="12">
        <f>FM$4 * IF(AND(FL$4=1,FH$20=1), FU75, FS75)</f>
        <v>0</v>
      </c>
      <c r="FN75" s="12">
        <f>FN$4 * IF(AND(FM$4=1,FH$20=1), FU75, FS75)</f>
        <v>0</v>
      </c>
      <c r="FO75" s="12">
        <f>FO$4 * IF(AND(FN$4=1,FH$20=1), FU75, FS75)</f>
        <v>0</v>
      </c>
      <c r="FP75" s="12">
        <f>FP$4 * IF(AND(FO$4=1,FH$20=1), FU75, FS75)</f>
        <v>0</v>
      </c>
      <c r="FR75" s="30" t="s">
        <v>1308</v>
      </c>
      <c r="FS75">
        <f>_xlfn.XLOOKUP(FR75,'KPI Impacts'!$B$2:$H$2,'KPI Impacts'!$B75:$H75)</f>
        <v>25000</v>
      </c>
      <c r="FT75" s="35" t="s">
        <v>1304</v>
      </c>
      <c r="FU75">
        <f>_xlfn.XLOOKUP(FT75,'KPI Impacts'!$B$2:$H$2,'KPI Impacts'!$B75:$H75)</f>
        <v>0</v>
      </c>
      <c r="FX75" s="12">
        <f>FX$4*GI75</f>
        <v>0</v>
      </c>
      <c r="FY75" s="12">
        <f>FY$4 * IF(AND(FX$4=1,FX$20=1), GK75, GI75)</f>
        <v>0</v>
      </c>
      <c r="FZ75" s="12">
        <f>FZ$4 * IF(AND(FY$4=1,FX$20=1), GK75, GI75)</f>
        <v>0</v>
      </c>
      <c r="GA75" s="12">
        <f>GA$4 * IF(AND(FZ$4=1,FX$20=1), GK75, GI75)</f>
        <v>0</v>
      </c>
      <c r="GB75" s="12">
        <f>GB$4 * IF(AND(GA$4=1,FX$20=1), GK75, GI75)</f>
        <v>0</v>
      </c>
      <c r="GC75" s="12">
        <f>GC$4 * IF(AND(GB$4=1,FX$20=1), GK75, GI75)</f>
        <v>0</v>
      </c>
      <c r="GD75" s="12">
        <f>GD$4 * IF(AND(GC$4=1,FX$20=1), GK75, GI75)</f>
        <v>0</v>
      </c>
      <c r="GE75" s="12">
        <f>GE$4 * IF(AND(GD$4=1,FX$20=1), GK75, GI75)</f>
        <v>0</v>
      </c>
      <c r="GF75" s="12">
        <f>GF$4 * IF(AND(GE$4=1,FX$20=1), GK75, GI75)</f>
        <v>0</v>
      </c>
      <c r="GH75" s="30" t="s">
        <v>1310</v>
      </c>
      <c r="GI75">
        <f>_xlfn.XLOOKUP(GH75,'KPI Impacts'!$B$2:$H$2,'KPI Impacts'!$B75:$H75)</f>
        <v>50000</v>
      </c>
      <c r="GJ75" s="35" t="s">
        <v>1304</v>
      </c>
      <c r="GK75">
        <f>_xlfn.XLOOKUP(GJ75,'KPI Impacts'!$B$2:$H$2,'KPI Impacts'!$B75:$H75)</f>
        <v>0</v>
      </c>
      <c r="GN75" s="12">
        <f>GN$4*GY75</f>
        <v>0</v>
      </c>
      <c r="GO75" s="12">
        <f>GO$4 * IF(AND(GN$4=1,GN$20=1), HA75, GY75)</f>
        <v>0</v>
      </c>
      <c r="GP75" s="12">
        <f>GP$4 * IF(AND(GO$4=1,GN$20=1), HA75, GY75)</f>
        <v>0</v>
      </c>
      <c r="GQ75" s="12">
        <f>GQ$4 * IF(AND(GP$4=1,GN$20=1), HA75, GY75)</f>
        <v>0</v>
      </c>
      <c r="GR75" s="12">
        <f>GR$4 * IF(AND(GQ$4=1,GN$20=1), HA75, GY75)</f>
        <v>0</v>
      </c>
      <c r="GS75" s="12">
        <f>GS$4 * IF(AND(GR$4=1,GN$20=1), HA75, GY75)</f>
        <v>0</v>
      </c>
      <c r="GT75" s="12">
        <f>GT$4 * IF(AND(GS$4=1,GN$20=1), HA75, GY75)</f>
        <v>0</v>
      </c>
      <c r="GU75" s="12">
        <f>GU$4 * IF(AND(GT$4=1,GN$20=1), HA75, GY75)</f>
        <v>0</v>
      </c>
      <c r="GV75" s="12">
        <f>GV$4 * IF(AND(GU$4=1,GN$20=1), HA75, GY75)</f>
        <v>0</v>
      </c>
      <c r="GX75" s="30" t="s">
        <v>1308</v>
      </c>
      <c r="GY75">
        <f>_xlfn.XLOOKUP(GX75,'KPI Impacts'!$B$2:$H$2,'KPI Impacts'!$B75:$H75)</f>
        <v>25000</v>
      </c>
      <c r="GZ75" s="35" t="s">
        <v>1304</v>
      </c>
      <c r="HA75">
        <f>_xlfn.XLOOKUP(GZ75,'KPI Impacts'!$B$2:$H$2,'KPI Impacts'!$B75:$H75)</f>
        <v>0</v>
      </c>
      <c r="HD75" s="12">
        <f>HD$4*HO75</f>
        <v>0</v>
      </c>
      <c r="HE75" s="12">
        <f>HE$4 * IF(AND(HD$4=1,HD$20=1), HQ75, HO75)</f>
        <v>0</v>
      </c>
      <c r="HF75" s="12">
        <f>HF$4 * IF(AND(HE$4=1,HD$20=1), HQ75, HO75)</f>
        <v>0</v>
      </c>
      <c r="HG75" s="12">
        <f>HG$4 * IF(AND(HF$4=1,HD$20=1), HQ75, HO75)</f>
        <v>0</v>
      </c>
      <c r="HH75" s="12">
        <f>HH$4 * IF(AND(HG$4=1,HD$20=1), HQ75, HO75)</f>
        <v>0</v>
      </c>
      <c r="HI75" s="12">
        <f>HI$4 * IF(AND(HH$4=1,HD$20=1), HQ75, HO75)</f>
        <v>0</v>
      </c>
      <c r="HJ75" s="12">
        <f>HJ$4 * IF(AND(HI$4=1,HD$20=1), HQ75, HO75)</f>
        <v>0</v>
      </c>
      <c r="HK75" s="12">
        <f>HK$4 * IF(AND(HJ$4=1,HD$20=1), HQ75, HO75)</f>
        <v>0</v>
      </c>
      <c r="HL75" s="12">
        <f>HL$4 * IF(AND(HK$4=1,HD$20=1), HQ75, HO75)</f>
        <v>0</v>
      </c>
      <c r="HN75" s="30" t="s">
        <v>1308</v>
      </c>
      <c r="HO75">
        <f>_xlfn.XLOOKUP(HN75,'KPI Impacts'!$B$2:$H$2,'KPI Impacts'!$B75:$H75)</f>
        <v>25000</v>
      </c>
      <c r="HP75" s="35" t="s">
        <v>1304</v>
      </c>
      <c r="HQ75">
        <f>_xlfn.XLOOKUP(HP75,'KPI Impacts'!$B$2:$H$2,'KPI Impacts'!$B75:$H75)</f>
        <v>0</v>
      </c>
      <c r="HT75" s="12">
        <f>HT$4*IE75</f>
        <v>0</v>
      </c>
      <c r="HU75" s="12">
        <f>HU$4 * IF(AND(HT$4=1,HT$20=1), IG75, IE75)</f>
        <v>0</v>
      </c>
      <c r="HV75" s="12">
        <f>HV$4 * IF(AND(HU$4=1,HT$20=1), IG75, IE75)</f>
        <v>0</v>
      </c>
      <c r="HW75" s="12">
        <f>HW$4 * IF(AND(HV$4=1,HT$20=1), IG75, IE75)</f>
        <v>0</v>
      </c>
      <c r="HX75" s="12">
        <f>HX$4 * IF(AND(HW$4=1,HT$20=1), IG75, IE75)</f>
        <v>0</v>
      </c>
      <c r="HY75" s="12">
        <f>HY$4 * IF(AND(HX$4=1,HT$20=1), IG75, IE75)</f>
        <v>0</v>
      </c>
      <c r="HZ75" s="12">
        <f>HZ$4 * IF(AND(HY$4=1,HT$20=1), IG75, IE75)</f>
        <v>0</v>
      </c>
      <c r="IA75" s="12">
        <f>IA$4 * IF(AND(HZ$4=1,HT$20=1), IG75, IE75)</f>
        <v>0</v>
      </c>
      <c r="IB75" s="12">
        <f>IB$4 * IF(AND(IA$4=1,HT$20=1), IG75, IE75)</f>
        <v>0</v>
      </c>
      <c r="ID75" t="s">
        <v>1304</v>
      </c>
      <c r="IE75">
        <f>_xlfn.XLOOKUP(ID75,'KPI Impacts'!$B$2:$H$2,'KPI Impacts'!$B75:$H75)</f>
        <v>0</v>
      </c>
      <c r="IF75" s="35" t="s">
        <v>1304</v>
      </c>
      <c r="IG75">
        <f>_xlfn.XLOOKUP(IF75,'KPI Impacts'!$B$2:$H$2,'KPI Impacts'!$B75:$H75)</f>
        <v>0</v>
      </c>
      <c r="IJ75" s="12">
        <f>IJ$4*IU75</f>
        <v>0</v>
      </c>
      <c r="IK75" s="12">
        <f>IK$4 * IF(AND(IJ$4=1,IJ$20=1), IW75, IU75)</f>
        <v>0</v>
      </c>
      <c r="IL75" s="12">
        <f>IL$4 * IF(AND(IK$4=1,IJ$20=1), IW75, IU75)</f>
        <v>0</v>
      </c>
      <c r="IM75" s="12">
        <f>IM$4 * IF(AND(IL$4=1,IJ$20=1), IW75, IU75)</f>
        <v>0</v>
      </c>
      <c r="IN75" s="12">
        <f>IN$4 * IF(AND(IM$4=1,IJ$20=1), IW75, IU75)</f>
        <v>0</v>
      </c>
      <c r="IO75" s="12">
        <f>IO$4 * IF(AND(IN$4=1,IJ$20=1), IW75, IU75)</f>
        <v>0</v>
      </c>
      <c r="IP75" s="12">
        <f>IP$4 * IF(AND(IO$4=1,IJ$20=1), IW75, IU75)</f>
        <v>0</v>
      </c>
      <c r="IQ75" s="12">
        <f>IQ$4 * IF(AND(IP$4=1,IJ$20=1), IW75, IU75)</f>
        <v>0</v>
      </c>
      <c r="IR75" s="12">
        <f>IR$4 * IF(AND(IQ$4=1,IJ$20=1), IW75, IU75)</f>
        <v>0</v>
      </c>
      <c r="IT75" t="s">
        <v>1304</v>
      </c>
      <c r="IU75">
        <f>_xlfn.XLOOKUP(IT75,'KPI Impacts'!$B$2:$H$2,'KPI Impacts'!$B75:$H75)</f>
        <v>0</v>
      </c>
      <c r="IV75" s="35" t="s">
        <v>1304</v>
      </c>
      <c r="IW75">
        <f>_xlfn.XLOOKUP(IV75,'KPI Impacts'!$B$2:$H$2,'KPI Impacts'!$B75:$H75)</f>
        <v>0</v>
      </c>
      <c r="IZ75" s="12">
        <f>IZ$4*JK75</f>
        <v>0</v>
      </c>
      <c r="JA75" s="12">
        <f>JA$4 * IF(AND(IZ$4=1,IZ$20=1), JM75, JK75)</f>
        <v>0</v>
      </c>
      <c r="JB75" s="12">
        <f>JB$4 * IF(AND(JA$4=1,IZ$20=1), JM75, JK75)</f>
        <v>0</v>
      </c>
      <c r="JC75" s="12">
        <f>JC$4 * IF(AND(JB$4=1,IZ$20=1), JM75, JK75)</f>
        <v>0</v>
      </c>
      <c r="JD75" s="12">
        <f>JD$4 * IF(AND(JC$4=1,IZ$20=1), JM75, JK75)</f>
        <v>0</v>
      </c>
      <c r="JE75" s="12">
        <f>JE$4 * IF(AND(JD$4=1,IZ$20=1), JM75, JK75)</f>
        <v>0</v>
      </c>
      <c r="JF75" s="12">
        <f>JF$4 * IF(AND(JE$4=1,IZ$20=1), JM75, JK75)</f>
        <v>0</v>
      </c>
      <c r="JG75" s="12">
        <f>JG$4 * IF(AND(JF$4=1,IZ$20=1), JM75, JK75)</f>
        <v>0</v>
      </c>
      <c r="JH75" s="12">
        <f>JH$4 * IF(AND(JG$4=1,IZ$20=1), JM75, JK75)</f>
        <v>0</v>
      </c>
      <c r="JJ75" t="s">
        <v>1304</v>
      </c>
      <c r="JK75">
        <f>_xlfn.XLOOKUP(JJ75,'KPI Impacts'!$B$2:$H$2,'KPI Impacts'!$B75:$H75)</f>
        <v>0</v>
      </c>
      <c r="JL75" s="35" t="s">
        <v>1304</v>
      </c>
      <c r="JM75">
        <f>_xlfn.XLOOKUP(JL75,'KPI Impacts'!$B$2:$H$2,'KPI Impacts'!$B75:$H75)</f>
        <v>0</v>
      </c>
      <c r="JP75" s="12">
        <f>JP$4*KA75</f>
        <v>0</v>
      </c>
      <c r="JQ75" s="12">
        <f>JQ$4 * IF(AND(JP$4=1,JP$20=1), KC75, KA75)</f>
        <v>0</v>
      </c>
      <c r="JR75" s="12">
        <f>JR$4 * IF(AND(JQ$4=1,JP$20=1), KC75, KA75)</f>
        <v>0</v>
      </c>
      <c r="JS75" s="12">
        <f>JS$4 * IF(AND(JR$4=1,JP$20=1), KC75, KA75)</f>
        <v>0</v>
      </c>
      <c r="JT75" s="12">
        <f>JT$4 * IF(AND(JS$4=1,JP$20=1), KC75, KA75)</f>
        <v>0</v>
      </c>
      <c r="JU75" s="12">
        <f>JU$4 * IF(AND(JT$4=1,JP$20=1), KC75, KA75)</f>
        <v>0</v>
      </c>
      <c r="JV75" s="12">
        <f>JV$4 * IF(AND(JU$4=1,JP$20=1), KC75, KA75)</f>
        <v>0</v>
      </c>
      <c r="JW75" s="12">
        <f>JW$4 * IF(AND(JV$4=1,JP$20=1), KC75, KA75)</f>
        <v>0</v>
      </c>
      <c r="JX75" s="12">
        <f>JX$4 * IF(AND(JW$4=1,JP$20=1), KC75, KA75)</f>
        <v>0</v>
      </c>
      <c r="JZ75" t="s">
        <v>1304</v>
      </c>
      <c r="KA75">
        <f>_xlfn.XLOOKUP(JZ75,'KPI Impacts'!$B$2:$H$2,'KPI Impacts'!$B75:$H75)</f>
        <v>0</v>
      </c>
      <c r="KB75" s="35" t="s">
        <v>1304</v>
      </c>
      <c r="KC75">
        <f>_xlfn.XLOOKUP(KB75,'KPI Impacts'!$B$2:$H$2,'KPI Impacts'!$B75:$H75)</f>
        <v>0</v>
      </c>
      <c r="KF75" s="12">
        <f>KF$4*KQ75</f>
        <v>0</v>
      </c>
      <c r="KG75" s="12">
        <f>KG$4 * IF(AND(KF$4=1,KF$20=1), KS75, KQ75)</f>
        <v>0</v>
      </c>
      <c r="KH75" s="12">
        <f>KH$4 * IF(AND(KG$4=1,KF$20=1), KS75, KQ75)</f>
        <v>0</v>
      </c>
      <c r="KI75" s="12">
        <f>KI$4 * IF(AND(KH$4=1,KF$20=1), KS75, KQ75)</f>
        <v>0</v>
      </c>
      <c r="KJ75" s="12">
        <f>KJ$4 * IF(AND(KI$4=1,KF$20=1), KS75, KQ75)</f>
        <v>0</v>
      </c>
      <c r="KK75" s="12">
        <f>KK$4 * IF(AND(KJ$4=1,KF$20=1), KS75, KQ75)</f>
        <v>0</v>
      </c>
      <c r="KL75" s="12">
        <f>KL$4 * IF(AND(KK$4=1,KF$20=1), KS75, KQ75)</f>
        <v>0</v>
      </c>
      <c r="KM75" s="12">
        <f>KM$4 * IF(AND(KL$4=1,KF$20=1), KS75, KQ75)</f>
        <v>0</v>
      </c>
      <c r="KN75" s="12">
        <f>KN$4 * IF(AND(KM$4=1,KF$20=1), KS75, KQ75)</f>
        <v>0</v>
      </c>
      <c r="KP75" t="s">
        <v>1304</v>
      </c>
      <c r="KQ75">
        <f>_xlfn.XLOOKUP(KP75,'KPI Impacts'!$B$2:$H$2,'KPI Impacts'!$B75:$H75)</f>
        <v>0</v>
      </c>
      <c r="KR75" s="35" t="s">
        <v>1304</v>
      </c>
      <c r="KS75">
        <f>_xlfn.XLOOKUP(KR75,'KPI Impacts'!$B$2:$H$2,'KPI Impacts'!$B75:$H75)</f>
        <v>0</v>
      </c>
      <c r="KV75" s="12">
        <f>KV$4*LG75</f>
        <v>0</v>
      </c>
      <c r="KW75" s="12">
        <f>KW$4 * IF(AND(KV$4=1,KV$20=1), LI75, LG75)</f>
        <v>0</v>
      </c>
      <c r="KX75" s="12">
        <f>KX$4 * IF(AND(KW$4=1,KV$20=1), LI75, LG75)</f>
        <v>0</v>
      </c>
      <c r="KY75" s="12">
        <f>KY$4 * IF(AND(KX$4=1,KV$20=1), LI75, LG75)</f>
        <v>0</v>
      </c>
      <c r="KZ75" s="12">
        <f>KZ$4 * IF(AND(KY$4=1,KV$20=1), LI75, LG75)</f>
        <v>0</v>
      </c>
      <c r="LA75" s="12">
        <f>LA$4 * IF(AND(KZ$4=1,KV$20=1), LI75, LG75)</f>
        <v>0</v>
      </c>
      <c r="LB75" s="12">
        <f>LB$4 * IF(AND(LA$4=1,KV$20=1), LI75, LG75)</f>
        <v>0</v>
      </c>
      <c r="LC75" s="12">
        <f>LC$4 * IF(AND(LB$4=1,KV$20=1), LI75, LG75)</f>
        <v>0</v>
      </c>
      <c r="LD75" s="12">
        <f>LD$4 * IF(AND(LC$4=1,KV$20=1), LI75, LG75)</f>
        <v>0</v>
      </c>
      <c r="LF75" t="s">
        <v>1304</v>
      </c>
      <c r="LG75">
        <f>_xlfn.XLOOKUP(LF75,'KPI Impacts'!$B$2:$H$2,'KPI Impacts'!$B75:$H75)</f>
        <v>0</v>
      </c>
      <c r="LH75" s="35" t="s">
        <v>1304</v>
      </c>
      <c r="LI75">
        <f>_xlfn.XLOOKUP(LH75,'KPI Impacts'!$B$2:$H$2,'KPI Impacts'!$B75:$H75)</f>
        <v>0</v>
      </c>
      <c r="LL75" s="12">
        <f>LL$4*LW75</f>
        <v>0</v>
      </c>
      <c r="LM75" s="12">
        <f>LM$4 * IF(AND(LL$4=1,LL$20=1), LY75, LW75)</f>
        <v>0</v>
      </c>
      <c r="LN75" s="12">
        <f>LN$4 * IF(AND(LM$4=1,LL$20=1), LY75, LW75)</f>
        <v>0</v>
      </c>
      <c r="LO75" s="12">
        <f>LO$4 * IF(AND(LN$4=1,LL$20=1), LY75, LW75)</f>
        <v>0</v>
      </c>
      <c r="LP75" s="12">
        <f>LP$4 * IF(AND(LO$4=1,LL$20=1), LY75, LW75)</f>
        <v>0</v>
      </c>
      <c r="LQ75" s="12">
        <f>LQ$4 * IF(AND(LP$4=1,LL$20=1), LY75, LW75)</f>
        <v>0</v>
      </c>
      <c r="LR75" s="12">
        <f>LR$4 * IF(AND(LQ$4=1,LL$20=1), LY75, LW75)</f>
        <v>0</v>
      </c>
      <c r="LS75" s="12">
        <f>LS$4 * IF(AND(LR$4=1,LL$20=1), LY75, LW75)</f>
        <v>0</v>
      </c>
      <c r="LT75" s="12">
        <f>LT$4 * IF(AND(LS$4=1,LL$20=1), LY75, LW75)</f>
        <v>0</v>
      </c>
      <c r="LV75" t="s">
        <v>1304</v>
      </c>
      <c r="LW75">
        <f>_xlfn.XLOOKUP(LV75,'KPI Impacts'!$B$2:$H$2,'KPI Impacts'!$B75:$H75)</f>
        <v>0</v>
      </c>
      <c r="LX75" s="35" t="s">
        <v>1304</v>
      </c>
      <c r="LY75">
        <f>_xlfn.XLOOKUP(LX75,'KPI Impacts'!$B$2:$H$2,'KPI Impacts'!$B75:$H75)</f>
        <v>0</v>
      </c>
      <c r="MB75" s="12">
        <f>MB$4*MM75</f>
        <v>0</v>
      </c>
      <c r="MC75" s="12">
        <f>MC$4 * IF(AND(MB$4=1,MB$20=1), MO75, MM75)</f>
        <v>0</v>
      </c>
      <c r="MD75" s="12">
        <f>MD$4 * IF(AND(MC$4=1,MB$20=1), MO75, MM75)</f>
        <v>0</v>
      </c>
      <c r="ME75" s="12">
        <f>ME$4 * IF(AND(MD$4=1,MB$20=1), MO75, MM75)</f>
        <v>0</v>
      </c>
      <c r="MF75" s="12">
        <f>MF$4 * IF(AND(ME$4=1,MB$20=1), MO75, MM75)</f>
        <v>0</v>
      </c>
      <c r="MG75" s="12">
        <f>MG$4 * IF(AND(MF$4=1,MB$20=1), MO75, MM75)</f>
        <v>0</v>
      </c>
      <c r="MH75" s="12">
        <f>MH$4 * IF(AND(MG$4=1,MB$20=1), MO75, MM75)</f>
        <v>0</v>
      </c>
      <c r="MI75" s="12">
        <f>MI$4 * IF(AND(MH$4=1,MB$20=1), MO75, MM75)</f>
        <v>0</v>
      </c>
      <c r="MJ75" s="12">
        <f>MJ$4 * IF(AND(MI$4=1,MB$20=1), MO75, MM75)</f>
        <v>0</v>
      </c>
      <c r="ML75" t="s">
        <v>1304</v>
      </c>
      <c r="MM75">
        <f>_xlfn.XLOOKUP(ML75,'KPI Impacts'!$B$2:$H$2,'KPI Impacts'!$B75:$H75)</f>
        <v>0</v>
      </c>
      <c r="MN75" s="35" t="s">
        <v>1304</v>
      </c>
      <c r="MO75">
        <f>_xlfn.XLOOKUP(MN75,'KPI Impacts'!$B$2:$H$2,'KPI Impacts'!$B75:$H75)</f>
        <v>0</v>
      </c>
      <c r="MR75" s="12">
        <f>MR$4*NC75</f>
        <v>0</v>
      </c>
      <c r="MS75" s="12">
        <f>MS$4 * IF(AND(MR$4=1,MR$20=1), NE75, NC75)</f>
        <v>0</v>
      </c>
      <c r="MT75" s="12">
        <f>MT$4 * IF(AND(MS$4=1,MR$20=1), NE75, NC75)</f>
        <v>0</v>
      </c>
      <c r="MU75" s="12">
        <f>MU$4 * IF(AND(MT$4=1,MR$20=1), NE75, NC75)</f>
        <v>0</v>
      </c>
      <c r="MV75" s="12">
        <f>MV$4 * IF(AND(MU$4=1,MR$20=1), NE75, NC75)</f>
        <v>0</v>
      </c>
      <c r="MW75" s="12">
        <f>MW$4 * IF(AND(MV$4=1,MR$20=1), NE75, NC75)</f>
        <v>0</v>
      </c>
      <c r="MX75" s="12">
        <f>MX$4 * IF(AND(MW$4=1,MR$20=1), NE75, NC75)</f>
        <v>0</v>
      </c>
      <c r="MY75" s="12">
        <f>MY$4 * IF(AND(MX$4=1,MR$20=1), NE75, NC75)</f>
        <v>0</v>
      </c>
      <c r="MZ75" s="12">
        <f>MZ$4 * IF(AND(MY$4=1,MR$20=1), NE75, NC75)</f>
        <v>0</v>
      </c>
      <c r="NB75" t="s">
        <v>1304</v>
      </c>
      <c r="NC75">
        <f>_xlfn.XLOOKUP(NB75,'KPI Impacts'!$B$2:$H$2,'KPI Impacts'!$B75:$H75)</f>
        <v>0</v>
      </c>
      <c r="ND75" s="35" t="s">
        <v>1304</v>
      </c>
      <c r="NE75">
        <f>_xlfn.XLOOKUP(ND75,'KPI Impacts'!$B$2:$H$2,'KPI Impacts'!$B75:$H75)</f>
        <v>0</v>
      </c>
      <c r="NH75" s="12">
        <f>NH$4*NS75</f>
        <v>0</v>
      </c>
      <c r="NI75" s="12">
        <f>NI$4 * IF(AND(NH$4=1,NH$20=1), NU75, NS75)</f>
        <v>0</v>
      </c>
      <c r="NJ75" s="12">
        <f>NJ$4 * IF(AND(NI$4=1,NH$20=1), NU75, NS75)</f>
        <v>0</v>
      </c>
      <c r="NK75" s="12">
        <f>NK$4 * IF(AND(NJ$4=1,NH$20=1), NU75, NS75)</f>
        <v>0</v>
      </c>
      <c r="NL75" s="12">
        <f>NL$4 * IF(AND(NK$4=1,NH$20=1), NU75, NS75)</f>
        <v>0</v>
      </c>
      <c r="NM75" s="12">
        <f>NM$4 * IF(AND(NL$4=1,NH$20=1), NU75, NS75)</f>
        <v>0</v>
      </c>
      <c r="NN75" s="12">
        <f>NN$4 * IF(AND(NM$4=1,NH$20=1), NU75, NS75)</f>
        <v>0</v>
      </c>
      <c r="NO75" s="12">
        <f>NO$4 * IF(AND(NN$4=1,NH$20=1), NU75, NS75)</f>
        <v>0</v>
      </c>
      <c r="NP75" s="12">
        <f>NP$4 * IF(AND(NO$4=1,NH$20=1), NU75, NS75)</f>
        <v>0</v>
      </c>
      <c r="NR75" t="s">
        <v>1304</v>
      </c>
      <c r="NS75">
        <f>_xlfn.XLOOKUP(NR75,'KPI Impacts'!$B$2:$H$2,'KPI Impacts'!$B75:$H75)</f>
        <v>0</v>
      </c>
      <c r="NT75" s="35" t="s">
        <v>1304</v>
      </c>
      <c r="NU75">
        <f>_xlfn.XLOOKUP(NT75,'KPI Impacts'!$B$2:$H$2,'KPI Impacts'!$B75:$H75)</f>
        <v>0</v>
      </c>
      <c r="NX75" s="12">
        <f>NX$4*OI75</f>
        <v>0</v>
      </c>
      <c r="NY75" s="12">
        <f>NY$4 * IF(AND(NX$4=1,NX$20=1), OK75, OI75)</f>
        <v>0</v>
      </c>
      <c r="NZ75" s="12">
        <f>NZ$4 * IF(AND(NY$4=1,NX$20=1), OK75, OI75)</f>
        <v>0</v>
      </c>
      <c r="OA75" s="12">
        <f>OA$4 * IF(AND(NZ$4=1,NX$20=1), OK75, OI75)</f>
        <v>0</v>
      </c>
      <c r="OB75" s="12">
        <f>OB$4 * IF(AND(OA$4=1,NX$20=1), OK75, OI75)</f>
        <v>0</v>
      </c>
      <c r="OC75" s="12">
        <f>OC$4 * IF(AND(OB$4=1,NX$20=1), OK75, OI75)</f>
        <v>0</v>
      </c>
      <c r="OD75" s="12">
        <f>OD$4 * IF(AND(OC$4=1,NX$20=1), OK75, OI75)</f>
        <v>0</v>
      </c>
      <c r="OE75" s="12">
        <f>OE$4 * IF(AND(OD$4=1,NX$20=1), OK75, OI75)</f>
        <v>0</v>
      </c>
      <c r="OF75" s="12">
        <f>OF$4 * IF(AND(OE$4=1,NX$20=1), OK75, OI75)</f>
        <v>0</v>
      </c>
      <c r="OH75" t="s">
        <v>1304</v>
      </c>
      <c r="OI75">
        <f>_xlfn.XLOOKUP(OH75,'KPI Impacts'!$B$2:$H$2,'KPI Impacts'!$B75:$H75)</f>
        <v>0</v>
      </c>
      <c r="OJ75" s="35" t="s">
        <v>1304</v>
      </c>
      <c r="OK75">
        <f>_xlfn.XLOOKUP(OJ75,'KPI Impacts'!$B$2:$H$2,'KPI Impacts'!$B75:$H75)</f>
        <v>0</v>
      </c>
    </row>
    <row r="76" spans="1:401" x14ac:dyDescent="0.2">
      <c r="A76" t="s">
        <v>1312</v>
      </c>
      <c r="B76" s="12">
        <f t="shared" si="638"/>
        <v>0</v>
      </c>
      <c r="C76" s="12">
        <f t="shared" si="639"/>
        <v>0</v>
      </c>
      <c r="D76" s="12">
        <f t="shared" si="640"/>
        <v>0</v>
      </c>
      <c r="E76" s="12">
        <f t="shared" si="641"/>
        <v>0</v>
      </c>
      <c r="F76" s="12">
        <f t="shared" si="642"/>
        <v>0</v>
      </c>
      <c r="G76" s="12">
        <f t="shared" si="643"/>
        <v>0</v>
      </c>
      <c r="H76" s="12">
        <f t="shared" si="644"/>
        <v>0</v>
      </c>
      <c r="I76" s="12">
        <f t="shared" si="645"/>
        <v>0</v>
      </c>
      <c r="J76" s="12">
        <f t="shared" si="646"/>
        <v>0</v>
      </c>
      <c r="P76" s="12" cm="1">
        <f t="array" ref="P76">_xlfn.SWITCH(P$4, 0,0, 1, AA76,2,AC76,3,AE76,0)</f>
        <v>0</v>
      </c>
      <c r="Q76" s="12" cm="1">
        <f t="array" ref="Q76">_xlfn.SWITCH(Q$4, 0,0, 1, AA76,2,AC76,3,AE76,0)+P76</f>
        <v>0</v>
      </c>
      <c r="R76" s="12" cm="1">
        <f t="array" ref="R76">_xlfn.SWITCH(R$4, 0,0, 1, AA76,2,AC76,3,AE76,0)+Q76</f>
        <v>0</v>
      </c>
      <c r="S76" s="12" cm="1">
        <f t="array" ref="S76">_xlfn.SWITCH(S$4, 0,0, 1, AA76,2,AC76,3,AE76,0)+R76</f>
        <v>0</v>
      </c>
      <c r="T76" s="12" cm="1">
        <f t="array" ref="T76">_xlfn.SWITCH(T$4, 0,0, 1, AA76,2,AC76,3,AE76,0)+S76</f>
        <v>0</v>
      </c>
      <c r="U76" s="12" cm="1">
        <f t="array" ref="U76">_xlfn.SWITCH(U$4, 0,0, 1, AA76,2,AC76,3,AE76,0)+T76</f>
        <v>0</v>
      </c>
      <c r="V76" s="12" cm="1">
        <f t="array" ref="V76">_xlfn.SWITCH(V$4, 0,0, 1, AA76,2,AC76,3,AE76,0)+U76</f>
        <v>0</v>
      </c>
      <c r="W76" s="12" cm="1">
        <f t="array" ref="W76">_xlfn.SWITCH(W$4, 0,0, 1, AA76,2,AC76,3,AE76,0)+V76</f>
        <v>0</v>
      </c>
      <c r="X76" s="12" cm="1">
        <f t="array" ref="X76">_xlfn.SWITCH(X$4, 0,0, 1, AA76,2,AC76,3,AE76,0)+W76</f>
        <v>0</v>
      </c>
      <c r="Z76" t="s">
        <v>1304</v>
      </c>
      <c r="AA76">
        <f>_xlfn.XLOOKUP(Z76,'KPI Impacts'!$K$2:$Q$2,'KPI Impacts'!$K76:$Q76)</f>
        <v>0</v>
      </c>
      <c r="AB76" t="s">
        <v>1304</v>
      </c>
      <c r="AC76">
        <f>_xlfn.XLOOKUP(AB76,'KPI Impacts'!$K$2:$Q$2,'KPI Impacts'!$K76:$Q76)</f>
        <v>0</v>
      </c>
      <c r="AD76" t="s">
        <v>1304</v>
      </c>
      <c r="AE76">
        <f>_xlfn.XLOOKUP(AD76,'KPI Impacts'!$K$2:$Q$2,'KPI Impacts'!$K76:$Q76)</f>
        <v>0</v>
      </c>
      <c r="AH76" s="12" cm="1">
        <f t="array" ref="AH76">_xlfn.SWITCH(AH$4, 0,0, 1, AS76,2,AU76,3,AW76,0)</f>
        <v>0</v>
      </c>
      <c r="AI76" s="12" cm="1">
        <f t="array" ref="AI76">_xlfn.SWITCH(AI$4, 0,0, 1, AS76,2,AU76,3,AW76,0)+AH76</f>
        <v>0</v>
      </c>
      <c r="AJ76" s="12" cm="1">
        <f t="array" ref="AJ76">_xlfn.SWITCH(AJ$4, 0,0, 1, AS76,2,AU76,3,AW76,0)+AI76</f>
        <v>0</v>
      </c>
      <c r="AK76" s="12" cm="1">
        <f t="array" ref="AK76">_xlfn.SWITCH(AK$4, 0,0, 1, AS76,2,AU76,3,AW76,0)+AJ76</f>
        <v>0</v>
      </c>
      <c r="AL76" s="12" cm="1">
        <f t="array" ref="AL76">_xlfn.SWITCH(AL$4, 0,0, 1, AS76,2,AU76,3,AW76,0)+AK76</f>
        <v>0</v>
      </c>
      <c r="AM76" s="12" cm="1">
        <f t="array" ref="AM76">_xlfn.SWITCH(AM$4, 0,0, 1, AS76,2,AU76,3,AW76,0)+AL76</f>
        <v>0</v>
      </c>
      <c r="AN76" s="12" cm="1">
        <f t="array" ref="AN76">_xlfn.SWITCH(AN$4, 0,0, 1, AS76,2,AU76,3,AW76,0)+AM76</f>
        <v>0</v>
      </c>
      <c r="AO76" s="12" cm="1">
        <f t="array" ref="AO76">_xlfn.SWITCH(AO$4, 0,0, 1, AS76,2,AU76,3,AW76,0)+AN76</f>
        <v>0</v>
      </c>
      <c r="AP76" s="12" cm="1">
        <f t="array" ref="AP76">_xlfn.SWITCH(AP$4, 0,0, 1, AS76,2,AU76,3,AW76,0)+AO76</f>
        <v>0</v>
      </c>
      <c r="AR76" t="s">
        <v>1304</v>
      </c>
      <c r="AS76">
        <f>_xlfn.XLOOKUP(AR76,'KPI Impacts'!$K$2:$Q$2,'KPI Impacts'!$K76:$Q76)</f>
        <v>0</v>
      </c>
      <c r="AT76" t="s">
        <v>1308</v>
      </c>
      <c r="AU76">
        <f>_xlfn.XLOOKUP(AT76,'KPI Impacts'!$K$2:$Q$2,'KPI Impacts'!$K76:$Q76)</f>
        <v>30000</v>
      </c>
      <c r="AV76" t="s">
        <v>1308</v>
      </c>
      <c r="AW76">
        <f>_xlfn.XLOOKUP(AV76,'KPI Impacts'!$K$2:$Q$2,'KPI Impacts'!$K76:$Q76)</f>
        <v>30000</v>
      </c>
      <c r="AZ76" s="12">
        <f>AZ$4*BK76</f>
        <v>0</v>
      </c>
      <c r="BA76" s="12">
        <f>BA$4 * IF(AND(AZ$4=1,AZ$20=1), BM76, BK76)</f>
        <v>0</v>
      </c>
      <c r="BB76" s="12">
        <f>BB$4 * IF(AND(BA$4=1,AZ$20=1), BM76, BK76)</f>
        <v>0</v>
      </c>
      <c r="BC76" s="12">
        <f>BC$4 * IF(AND(BB$4=1,AZ$20=1), BM76, BK76)</f>
        <v>0</v>
      </c>
      <c r="BD76" s="12">
        <f>BD$4 * IF(AND(BC$4=1,AZ$20=1), BM76, BK76)</f>
        <v>0</v>
      </c>
      <c r="BE76" s="12">
        <f>BE$4 * IF(AND(BD$4=1,AZ$20=1), BM76, BK76)</f>
        <v>0</v>
      </c>
      <c r="BF76" s="12">
        <f>BF$4 * IF(AND(BE$4=1,AZ$20=1), BM76, BK76)</f>
        <v>0</v>
      </c>
      <c r="BG76" s="12">
        <f>BG$4 * IF(AND(BF$4=1,AZ$20=1), BM76, BK76)</f>
        <v>0</v>
      </c>
      <c r="BH76" s="12">
        <f>BH$4 * IF(AND(BG$4=1,AZ$20=1), BM76, BK76)</f>
        <v>0</v>
      </c>
      <c r="BJ76" s="16" t="s">
        <v>1304</v>
      </c>
      <c r="BK76">
        <f>_xlfn.XLOOKUP(BJ76,'KPI Impacts'!$B$2:$H$2,'KPI Impacts'!$B76:$H76)</f>
        <v>0</v>
      </c>
      <c r="BL76" s="35" t="s">
        <v>1304</v>
      </c>
      <c r="BM76">
        <f>_xlfn.XLOOKUP(BL76,'KPI Impacts'!$B$2:$H$2,'KPI Impacts'!$B76:$H76)</f>
        <v>0</v>
      </c>
      <c r="BP76" s="12">
        <f>BP$4*CA76</f>
        <v>0</v>
      </c>
      <c r="BQ76" s="12">
        <f>BQ$4 * IF(AND(BP$4=1,BP$20=1), CC76, CA76)</f>
        <v>0</v>
      </c>
      <c r="BR76" s="12">
        <f>BR$4 * IF(AND(BQ$4=1,BP$20=1), CC76, CA76)</f>
        <v>0</v>
      </c>
      <c r="BS76" s="12">
        <f>BS$4 * IF(AND(BR$4=1,BP$20=1), CC76, CA76)</f>
        <v>0</v>
      </c>
      <c r="BT76" s="12">
        <f>BT$4 * IF(AND(BS$4=1,BP$20=1), CC76, CA76)</f>
        <v>0</v>
      </c>
      <c r="BU76" s="12">
        <f>BU$4 * IF(AND(BT$4=1,BP$20=1), CC76, CA76)</f>
        <v>0</v>
      </c>
      <c r="BV76" s="12">
        <f>BV$4 * IF(AND(BU$4=1,BP$20=1), CC76, CA76)</f>
        <v>0</v>
      </c>
      <c r="BW76" s="12">
        <f>BW$4 * IF(AND(BV$4=1,BP$20=1), CC76, CA76)</f>
        <v>0</v>
      </c>
      <c r="BX76" s="12">
        <f>BX$4 * IF(AND(BW$4=1,BP$20=1), CC76, CA76)</f>
        <v>0</v>
      </c>
      <c r="BZ76" s="30" t="s">
        <v>1308</v>
      </c>
      <c r="CA76">
        <f>_xlfn.XLOOKUP(BZ76,'KPI Impacts'!$B$2:$H$2,'KPI Impacts'!$B76:$H76)</f>
        <v>50000</v>
      </c>
      <c r="CB76" s="35" t="s">
        <v>1304</v>
      </c>
      <c r="CC76">
        <f>_xlfn.XLOOKUP(CB76,'KPI Impacts'!$B$2:$H$2,'KPI Impacts'!$B76:$H76)</f>
        <v>0</v>
      </c>
      <c r="CF76" s="12">
        <f>CF$4*CQ76</f>
        <v>0</v>
      </c>
      <c r="CG76" s="12">
        <f>CG$4 * IF(AND(CF$4=1,CF$20=1), CS76, CQ76)</f>
        <v>0</v>
      </c>
      <c r="CH76" s="12">
        <f>CH$4 * IF(AND(CG$4=1,CF$20=1), CS76, CQ76)</f>
        <v>0</v>
      </c>
      <c r="CI76" s="12">
        <f>CI$4 * IF(AND(CH$4=1,CF$20=1), CS76, CQ76)</f>
        <v>0</v>
      </c>
      <c r="CJ76" s="12">
        <f>CJ$4 * IF(AND(CI$4=1,CF$20=1), CS76, CQ76)</f>
        <v>0</v>
      </c>
      <c r="CK76" s="12">
        <f>CK$4 * IF(AND(CJ$4=1,CF$20=1), CS76, CQ76)</f>
        <v>0</v>
      </c>
      <c r="CL76" s="12">
        <f>CL$4 * IF(AND(CK$4=1,CF$20=1), CS76, CQ76)</f>
        <v>0</v>
      </c>
      <c r="CM76" s="12">
        <f>CM$4 * IF(AND(CL$4=1,CF$20=1), CS76, CQ76)</f>
        <v>0</v>
      </c>
      <c r="CN76" s="12">
        <f>CN$4 * IF(AND(CM$4=1,CF$20=1), CS76, CQ76)</f>
        <v>0</v>
      </c>
      <c r="CP76" s="16" t="s">
        <v>1304</v>
      </c>
      <c r="CQ76">
        <f>_xlfn.XLOOKUP(CP76,'KPI Impacts'!$B$2:$H$2,'KPI Impacts'!$B76:$H76)</f>
        <v>0</v>
      </c>
      <c r="CR76" s="35" t="s">
        <v>1304</v>
      </c>
      <c r="CS76">
        <f>_xlfn.XLOOKUP(CR76,'KPI Impacts'!$B$2:$H$2,'KPI Impacts'!$B76:$H76)</f>
        <v>0</v>
      </c>
      <c r="CV76" s="12">
        <f>CV$4*DG76</f>
        <v>0</v>
      </c>
      <c r="CW76" s="12">
        <f>CW$4 * IF(AND(CV$4=1,CV$20=1), DI76, DG76)</f>
        <v>0</v>
      </c>
      <c r="CX76" s="12">
        <f>CX$4 * IF(AND(CW$4=1,CV$20=1), DI76, DG76)</f>
        <v>0</v>
      </c>
      <c r="CY76" s="12">
        <f>CY$4 * IF(AND(CX$4=1,CV$20=1), DI76, DG76)</f>
        <v>0</v>
      </c>
      <c r="CZ76" s="12">
        <f>CZ$4 * IF(AND(CY$4=1,CV$20=1), DI76, DG76)</f>
        <v>0</v>
      </c>
      <c r="DA76" s="12">
        <f>DA$4 * IF(AND(CZ$4=1,CV$20=1), DI76, DG76)</f>
        <v>0</v>
      </c>
      <c r="DB76" s="12">
        <f>DB$4 * IF(AND(DA$4=1,CV$20=1), DI76, DG76)</f>
        <v>0</v>
      </c>
      <c r="DC76" s="12">
        <f>DC$4 * IF(AND(DB$4=1,CV$20=1), DI76, DG76)</f>
        <v>0</v>
      </c>
      <c r="DD76" s="12">
        <f>DD$4 * IF(AND(DC$4=1,CV$20=1), DI76, DG76)</f>
        <v>0</v>
      </c>
      <c r="DF76" s="16" t="s">
        <v>1304</v>
      </c>
      <c r="DG76">
        <f>_xlfn.XLOOKUP(DF76,'KPI Impacts'!$B$2:$H$2,'KPI Impacts'!$B76:$H76)</f>
        <v>0</v>
      </c>
      <c r="DH76" s="35" t="s">
        <v>1304</v>
      </c>
      <c r="DI76">
        <f>_xlfn.XLOOKUP(DH76,'KPI Impacts'!$B$2:$H$2,'KPI Impacts'!$B76:$H76)</f>
        <v>0</v>
      </c>
      <c r="DL76" s="12">
        <f>DL$4*DW76</f>
        <v>0</v>
      </c>
      <c r="DM76" s="12">
        <f>DM$4 * IF(AND(DL$4=1,DL$20=1), DY76, DW76)</f>
        <v>0</v>
      </c>
      <c r="DN76" s="12">
        <f>DN$4 * IF(AND(DM$4=1,DL$20=1), DY76, DW76)</f>
        <v>0</v>
      </c>
      <c r="DO76" s="12">
        <f>DO$4 * IF(AND(DN$4=1,DL$20=1), DY76, DW76)</f>
        <v>0</v>
      </c>
      <c r="DP76" s="12">
        <f>DP$4 * IF(AND(DO$4=1,DL$20=1), DY76, DW76)</f>
        <v>0</v>
      </c>
      <c r="DQ76" s="12">
        <f>DQ$4 * IF(AND(DP$4=1,DL$20=1), DY76, DW76)</f>
        <v>0</v>
      </c>
      <c r="DR76" s="12">
        <f>DR$4 * IF(AND(DQ$4=1,DL$20=1), DY76, DW76)</f>
        <v>0</v>
      </c>
      <c r="DS76" s="12">
        <f>DS$4 * IF(AND(DR$4=1,DL$20=1), DY76, DW76)</f>
        <v>0</v>
      </c>
      <c r="DT76" s="12">
        <f>DT$4 * IF(AND(DS$4=1,DL$20=1), DY76, DW76)</f>
        <v>0</v>
      </c>
      <c r="DV76" s="29" t="s">
        <v>1307</v>
      </c>
      <c r="DW76">
        <f>_xlfn.XLOOKUP(DV76,'KPI Impacts'!$B$2:$H$2,'KPI Impacts'!$B76:$H76)</f>
        <v>-80000</v>
      </c>
      <c r="DX76" s="35" t="s">
        <v>1304</v>
      </c>
      <c r="DY76">
        <f>_xlfn.XLOOKUP(DX76,'KPI Impacts'!$B$2:$H$2,'KPI Impacts'!$B76:$H76)</f>
        <v>0</v>
      </c>
      <c r="EB76" s="12">
        <f>EB$4*EM76</f>
        <v>0</v>
      </c>
      <c r="EC76" s="12">
        <f>EC$4 * IF(AND(EB$4=1,EB$20=1), EO76, EM76)</f>
        <v>0</v>
      </c>
      <c r="ED76" s="12">
        <f>ED$4 * IF(AND(EC$4=1,EB$20=1), EO76, EM76)</f>
        <v>0</v>
      </c>
      <c r="EE76" s="12">
        <f>EE$4 * IF(AND(ED$4=1,EB$20=1), EO76, EM76)</f>
        <v>0</v>
      </c>
      <c r="EF76" s="12">
        <f>EF$4 * IF(AND(EE$4=1,EB$20=1), EO76, EM76)</f>
        <v>0</v>
      </c>
      <c r="EG76" s="12">
        <f>EG$4 * IF(AND(EF$4=1,EB$20=1), EO76, EM76)</f>
        <v>0</v>
      </c>
      <c r="EH76" s="12">
        <f>EH$4 * IF(AND(EG$4=1,EB$20=1), EO76, EM76)</f>
        <v>0</v>
      </c>
      <c r="EI76" s="12">
        <f>EI$4 * IF(AND(EH$4=1,EB$20=1), EO76, EM76)</f>
        <v>0</v>
      </c>
      <c r="EJ76" s="12">
        <f>EJ$4 * IF(AND(EI$4=1,EB$20=1), EO76, EM76)</f>
        <v>0</v>
      </c>
      <c r="EL76" s="16" t="s">
        <v>1304</v>
      </c>
      <c r="EM76">
        <f>_xlfn.XLOOKUP(EL76,'KPI Impacts'!$B$2:$H$2,'KPI Impacts'!$B76:$H76)</f>
        <v>0</v>
      </c>
      <c r="EN76" s="35" t="s">
        <v>1304</v>
      </c>
      <c r="EO76">
        <f>_xlfn.XLOOKUP(EN76,'KPI Impacts'!$B$2:$H$2,'KPI Impacts'!$B76:$H76)</f>
        <v>0</v>
      </c>
      <c r="ER76" s="12">
        <f>ER$4*FC76</f>
        <v>0</v>
      </c>
      <c r="ES76" s="12">
        <f>ES$4 * IF(AND(ER$4=1,ER$20=1), FE76, FC76)</f>
        <v>0</v>
      </c>
      <c r="ET76" s="12">
        <f>ET$4 * IF(AND(ES$4=1,ER$20=1), FE76, FC76)</f>
        <v>0</v>
      </c>
      <c r="EU76" s="12">
        <f>EU$4 * IF(AND(ET$4=1,ER$20=1), FE76, FC76)</f>
        <v>0</v>
      </c>
      <c r="EV76" s="12">
        <f>EV$4 * IF(AND(EU$4=1,ER$20=1), FE76, FC76)</f>
        <v>0</v>
      </c>
      <c r="EW76" s="12">
        <f>EW$4 * IF(AND(EV$4=1,ER$20=1), FE76, FC76)</f>
        <v>0</v>
      </c>
      <c r="EX76" s="12">
        <f>EX$4 * IF(AND(EW$4=1,ER$20=1), FE76, FC76)</f>
        <v>0</v>
      </c>
      <c r="EY76" s="12">
        <f>EY$4 * IF(AND(EX$4=1,ER$20=1), FE76, FC76)</f>
        <v>0</v>
      </c>
      <c r="EZ76" s="12">
        <f>EZ$4 * IF(AND(EY$4=1,ER$20=1), FE76, FC76)</f>
        <v>0</v>
      </c>
      <c r="FB76" s="16" t="s">
        <v>1304</v>
      </c>
      <c r="FC76">
        <f>_xlfn.XLOOKUP(FB76,'KPI Impacts'!$B$2:$H$2,'KPI Impacts'!$B76:$H76)</f>
        <v>0</v>
      </c>
      <c r="FD76" s="35" t="s">
        <v>1304</v>
      </c>
      <c r="FE76">
        <f>_xlfn.XLOOKUP(FD76,'KPI Impacts'!$B$2:$H$2,'KPI Impacts'!$B76:$H76)</f>
        <v>0</v>
      </c>
      <c r="FH76" s="12">
        <f>FH$4*FS76</f>
        <v>0</v>
      </c>
      <c r="FI76" s="12">
        <f>FI$4 * IF(AND(FH$4=1,FH$20=1), FU76, FS76)</f>
        <v>0</v>
      </c>
      <c r="FJ76" s="12">
        <f>FJ$4 * IF(AND(FI$4=1,FH$20=1), FU76, FS76)</f>
        <v>0</v>
      </c>
      <c r="FK76" s="12">
        <f>FK$4 * IF(AND(FJ$4=1,FH$20=1), FU76, FS76)</f>
        <v>0</v>
      </c>
      <c r="FL76" s="12">
        <f>FL$4 * IF(AND(FK$4=1,FH$20=1), FU76, FS76)</f>
        <v>0</v>
      </c>
      <c r="FM76" s="12">
        <f>FM$4 * IF(AND(FL$4=1,FH$20=1), FU76, FS76)</f>
        <v>0</v>
      </c>
      <c r="FN76" s="12">
        <f>FN$4 * IF(AND(FM$4=1,FH$20=1), FU76, FS76)</f>
        <v>0</v>
      </c>
      <c r="FO76" s="12">
        <f>FO$4 * IF(AND(FN$4=1,FH$20=1), FU76, FS76)</f>
        <v>0</v>
      </c>
      <c r="FP76" s="12">
        <f>FP$4 * IF(AND(FO$4=1,FH$20=1), FU76, FS76)</f>
        <v>0</v>
      </c>
      <c r="FR76" s="16" t="s">
        <v>1304</v>
      </c>
      <c r="FS76">
        <f>_xlfn.XLOOKUP(FR76,'KPI Impacts'!$B$2:$H$2,'KPI Impacts'!$B76:$H76)</f>
        <v>0</v>
      </c>
      <c r="FT76" s="35" t="s">
        <v>1304</v>
      </c>
      <c r="FU76">
        <f>_xlfn.XLOOKUP(FT76,'KPI Impacts'!$B$2:$H$2,'KPI Impacts'!$B76:$H76)</f>
        <v>0</v>
      </c>
      <c r="FX76" s="12">
        <f>FX$4*GI76</f>
        <v>0</v>
      </c>
      <c r="FY76" s="12">
        <f>FY$4 * IF(AND(FX$4=1,FX$20=1), GK76, GI76)</f>
        <v>0</v>
      </c>
      <c r="FZ76" s="12">
        <f>FZ$4 * IF(AND(FY$4=1,FX$20=1), GK76, GI76)</f>
        <v>0</v>
      </c>
      <c r="GA76" s="12">
        <f>GA$4 * IF(AND(FZ$4=1,FX$20=1), GK76, GI76)</f>
        <v>0</v>
      </c>
      <c r="GB76" s="12">
        <f>GB$4 * IF(AND(GA$4=1,FX$20=1), GK76, GI76)</f>
        <v>0</v>
      </c>
      <c r="GC76" s="12">
        <f>GC$4 * IF(AND(GB$4=1,FX$20=1), GK76, GI76)</f>
        <v>0</v>
      </c>
      <c r="GD76" s="12">
        <f>GD$4 * IF(AND(GC$4=1,FX$20=1), GK76, GI76)</f>
        <v>0</v>
      </c>
      <c r="GE76" s="12">
        <f>GE$4 * IF(AND(GD$4=1,FX$20=1), GK76, GI76)</f>
        <v>0</v>
      </c>
      <c r="GF76" s="12">
        <f>GF$4 * IF(AND(GE$4=1,FX$20=1), GK76, GI76)</f>
        <v>0</v>
      </c>
      <c r="GH76" s="16" t="s">
        <v>1304</v>
      </c>
      <c r="GI76">
        <f>_xlfn.XLOOKUP(GH76,'KPI Impacts'!$B$2:$H$2,'KPI Impacts'!$B76:$H76)</f>
        <v>0</v>
      </c>
      <c r="GJ76" s="35" t="s">
        <v>1304</v>
      </c>
      <c r="GK76">
        <f>_xlfn.XLOOKUP(GJ76,'KPI Impacts'!$B$2:$H$2,'KPI Impacts'!$B76:$H76)</f>
        <v>0</v>
      </c>
      <c r="GN76" s="12">
        <f>GN$4*GY76</f>
        <v>0</v>
      </c>
      <c r="GO76" s="12">
        <f>GO$4 * IF(AND(GN$4=1,GN$20=1), HA76, GY76)</f>
        <v>0</v>
      </c>
      <c r="GP76" s="12">
        <f>GP$4 * IF(AND(GO$4=1,GN$20=1), HA76, GY76)</f>
        <v>0</v>
      </c>
      <c r="GQ76" s="12">
        <f>GQ$4 * IF(AND(GP$4=1,GN$20=1), HA76, GY76)</f>
        <v>0</v>
      </c>
      <c r="GR76" s="12">
        <f>GR$4 * IF(AND(GQ$4=1,GN$20=1), HA76, GY76)</f>
        <v>0</v>
      </c>
      <c r="GS76" s="12">
        <f>GS$4 * IF(AND(GR$4=1,GN$20=1), HA76, GY76)</f>
        <v>0</v>
      </c>
      <c r="GT76" s="12">
        <f>GT$4 * IF(AND(GS$4=1,GN$20=1), HA76, GY76)</f>
        <v>0</v>
      </c>
      <c r="GU76" s="12">
        <f>GU$4 * IF(AND(GT$4=1,GN$20=1), HA76, GY76)</f>
        <v>0</v>
      </c>
      <c r="GV76" s="12">
        <f>GV$4 * IF(AND(GU$4=1,GN$20=1), HA76, GY76)</f>
        <v>0</v>
      </c>
      <c r="GX76" s="16" t="s">
        <v>1304</v>
      </c>
      <c r="GY76">
        <f>_xlfn.XLOOKUP(GX76,'KPI Impacts'!$B$2:$H$2,'KPI Impacts'!$B76:$H76)</f>
        <v>0</v>
      </c>
      <c r="GZ76" s="35" t="s">
        <v>1304</v>
      </c>
      <c r="HA76">
        <f>_xlfn.XLOOKUP(GZ76,'KPI Impacts'!$B$2:$H$2,'KPI Impacts'!$B76:$H76)</f>
        <v>0</v>
      </c>
      <c r="HD76" s="12">
        <f>HD$4*HO76</f>
        <v>0</v>
      </c>
      <c r="HE76" s="12">
        <f>HE$4 * IF(AND(HD$4=1,HD$20=1), HQ76, HO76)</f>
        <v>0</v>
      </c>
      <c r="HF76" s="12">
        <f>HF$4 * IF(AND(HE$4=1,HD$20=1), HQ76, HO76)</f>
        <v>0</v>
      </c>
      <c r="HG76" s="12">
        <f>HG$4 * IF(AND(HF$4=1,HD$20=1), HQ76, HO76)</f>
        <v>0</v>
      </c>
      <c r="HH76" s="12">
        <f>HH$4 * IF(AND(HG$4=1,HD$20=1), HQ76, HO76)</f>
        <v>0</v>
      </c>
      <c r="HI76" s="12">
        <f>HI$4 * IF(AND(HH$4=1,HD$20=1), HQ76, HO76)</f>
        <v>0</v>
      </c>
      <c r="HJ76" s="12">
        <f>HJ$4 * IF(AND(HI$4=1,HD$20=1), HQ76, HO76)</f>
        <v>0</v>
      </c>
      <c r="HK76" s="12">
        <f>HK$4 * IF(AND(HJ$4=1,HD$20=1), HQ76, HO76)</f>
        <v>0</v>
      </c>
      <c r="HL76" s="12">
        <f>HL$4 * IF(AND(HK$4=1,HD$20=1), HQ76, HO76)</f>
        <v>0</v>
      </c>
      <c r="HN76" s="30" t="s">
        <v>1310</v>
      </c>
      <c r="HO76">
        <f>_xlfn.XLOOKUP(HN76,'KPI Impacts'!$B$2:$H$2,'KPI Impacts'!$B76:$H76)</f>
        <v>100000</v>
      </c>
      <c r="HP76" s="35" t="s">
        <v>1304</v>
      </c>
      <c r="HQ76">
        <f>_xlfn.XLOOKUP(HP76,'KPI Impacts'!$B$2:$H$2,'KPI Impacts'!$B76:$H76)</f>
        <v>0</v>
      </c>
      <c r="HT76" s="12">
        <f>HT$4*IE76</f>
        <v>0</v>
      </c>
      <c r="HU76" s="12">
        <f>HU$4 * IF(AND(HT$4=1,HT$20=1), IG76, IE76)</f>
        <v>0</v>
      </c>
      <c r="HV76" s="12">
        <f>HV$4 * IF(AND(HU$4=1,HT$20=1), IG76, IE76)</f>
        <v>0</v>
      </c>
      <c r="HW76" s="12">
        <f>HW$4 * IF(AND(HV$4=1,HT$20=1), IG76, IE76)</f>
        <v>0</v>
      </c>
      <c r="HX76" s="12">
        <f>HX$4 * IF(AND(HW$4=1,HT$20=1), IG76, IE76)</f>
        <v>0</v>
      </c>
      <c r="HY76" s="12">
        <f>HY$4 * IF(AND(HX$4=1,HT$20=1), IG76, IE76)</f>
        <v>0</v>
      </c>
      <c r="HZ76" s="12">
        <f>HZ$4 * IF(AND(HY$4=1,HT$20=1), IG76, IE76)</f>
        <v>0</v>
      </c>
      <c r="IA76" s="12">
        <f>IA$4 * IF(AND(HZ$4=1,HT$20=1), IG76, IE76)</f>
        <v>0</v>
      </c>
      <c r="IB76" s="12">
        <f>IB$4 * IF(AND(IA$4=1,HT$20=1), IG76, IE76)</f>
        <v>0</v>
      </c>
      <c r="ID76" t="s">
        <v>1304</v>
      </c>
      <c r="IE76">
        <f>_xlfn.XLOOKUP(ID76,'KPI Impacts'!$B$2:$H$2,'KPI Impacts'!$B76:$H76)</f>
        <v>0</v>
      </c>
      <c r="IF76" s="35" t="s">
        <v>1304</v>
      </c>
      <c r="IG76">
        <f>_xlfn.XLOOKUP(IF76,'KPI Impacts'!$B$2:$H$2,'KPI Impacts'!$B76:$H76)</f>
        <v>0</v>
      </c>
      <c r="IJ76" s="12">
        <f>IJ$4*IU76</f>
        <v>0</v>
      </c>
      <c r="IK76" s="12">
        <f>IK$4 * IF(AND(IJ$4=1,IJ$20=1), IW76, IU76)</f>
        <v>0</v>
      </c>
      <c r="IL76" s="12">
        <f>IL$4 * IF(AND(IK$4=1,IJ$20=1), IW76, IU76)</f>
        <v>0</v>
      </c>
      <c r="IM76" s="12">
        <f>IM$4 * IF(AND(IL$4=1,IJ$20=1), IW76, IU76)</f>
        <v>0</v>
      </c>
      <c r="IN76" s="12">
        <f>IN$4 * IF(AND(IM$4=1,IJ$20=1), IW76, IU76)</f>
        <v>0</v>
      </c>
      <c r="IO76" s="12">
        <f>IO$4 * IF(AND(IN$4=1,IJ$20=1), IW76, IU76)</f>
        <v>0</v>
      </c>
      <c r="IP76" s="12">
        <f>IP$4 * IF(AND(IO$4=1,IJ$20=1), IW76, IU76)</f>
        <v>0</v>
      </c>
      <c r="IQ76" s="12">
        <f>IQ$4 * IF(AND(IP$4=1,IJ$20=1), IW76, IU76)</f>
        <v>0</v>
      </c>
      <c r="IR76" s="12">
        <f>IR$4 * IF(AND(IQ$4=1,IJ$20=1), IW76, IU76)</f>
        <v>0</v>
      </c>
      <c r="IT76" t="s">
        <v>1304</v>
      </c>
      <c r="IU76">
        <f>_xlfn.XLOOKUP(IT76,'KPI Impacts'!$B$2:$H$2,'KPI Impacts'!$B76:$H76)</f>
        <v>0</v>
      </c>
      <c r="IV76" s="35" t="s">
        <v>1304</v>
      </c>
      <c r="IW76">
        <f>_xlfn.XLOOKUP(IV76,'KPI Impacts'!$B$2:$H$2,'KPI Impacts'!$B76:$H76)</f>
        <v>0</v>
      </c>
      <c r="IZ76" s="12">
        <f>IZ$4*JK76</f>
        <v>0</v>
      </c>
      <c r="JA76" s="12">
        <f>JA$4 * IF(AND(IZ$4=1,IZ$20=1), JM76, JK76)</f>
        <v>0</v>
      </c>
      <c r="JB76" s="12">
        <f>JB$4 * IF(AND(JA$4=1,IZ$20=1), JM76, JK76)</f>
        <v>0</v>
      </c>
      <c r="JC76" s="12">
        <f>JC$4 * IF(AND(JB$4=1,IZ$20=1), JM76, JK76)</f>
        <v>0</v>
      </c>
      <c r="JD76" s="12">
        <f>JD$4 * IF(AND(JC$4=1,IZ$20=1), JM76, JK76)</f>
        <v>0</v>
      </c>
      <c r="JE76" s="12">
        <f>JE$4 * IF(AND(JD$4=1,IZ$20=1), JM76, JK76)</f>
        <v>0</v>
      </c>
      <c r="JF76" s="12">
        <f>JF$4 * IF(AND(JE$4=1,IZ$20=1), JM76, JK76)</f>
        <v>0</v>
      </c>
      <c r="JG76" s="12">
        <f>JG$4 * IF(AND(JF$4=1,IZ$20=1), JM76, JK76)</f>
        <v>0</v>
      </c>
      <c r="JH76" s="12">
        <f>JH$4 * IF(AND(JG$4=1,IZ$20=1), JM76, JK76)</f>
        <v>0</v>
      </c>
      <c r="JJ76" t="s">
        <v>1304</v>
      </c>
      <c r="JK76">
        <f>_xlfn.XLOOKUP(JJ76,'KPI Impacts'!$B$2:$H$2,'KPI Impacts'!$B76:$H76)</f>
        <v>0</v>
      </c>
      <c r="JL76" s="35" t="s">
        <v>1304</v>
      </c>
      <c r="JM76">
        <f>_xlfn.XLOOKUP(JL76,'KPI Impacts'!$B$2:$H$2,'KPI Impacts'!$B76:$H76)</f>
        <v>0</v>
      </c>
      <c r="JP76" s="12">
        <f>JP$4*KA76</f>
        <v>0</v>
      </c>
      <c r="JQ76" s="12">
        <f>JQ$4 * IF(AND(JP$4=1,JP$20=1), KC76, KA76)</f>
        <v>0</v>
      </c>
      <c r="JR76" s="12">
        <f>JR$4 * IF(AND(JQ$4=1,JP$20=1), KC76, KA76)</f>
        <v>0</v>
      </c>
      <c r="JS76" s="12">
        <f>JS$4 * IF(AND(JR$4=1,JP$20=1), KC76, KA76)</f>
        <v>0</v>
      </c>
      <c r="JT76" s="12">
        <f>JT$4 * IF(AND(JS$4=1,JP$20=1), KC76, KA76)</f>
        <v>0</v>
      </c>
      <c r="JU76" s="12">
        <f>JU$4 * IF(AND(JT$4=1,JP$20=1), KC76, KA76)</f>
        <v>0</v>
      </c>
      <c r="JV76" s="12">
        <f>JV$4 * IF(AND(JU$4=1,JP$20=1), KC76, KA76)</f>
        <v>0</v>
      </c>
      <c r="JW76" s="12">
        <f>JW$4 * IF(AND(JV$4=1,JP$20=1), KC76, KA76)</f>
        <v>0</v>
      </c>
      <c r="JX76" s="12">
        <f>JX$4 * IF(AND(JW$4=1,JP$20=1), KC76, KA76)</f>
        <v>0</v>
      </c>
      <c r="JZ76" t="s">
        <v>1304</v>
      </c>
      <c r="KA76">
        <f>_xlfn.XLOOKUP(JZ76,'KPI Impacts'!$B$2:$H$2,'KPI Impacts'!$B76:$H76)</f>
        <v>0</v>
      </c>
      <c r="KB76" s="35" t="s">
        <v>1304</v>
      </c>
      <c r="KC76">
        <f>_xlfn.XLOOKUP(KB76,'KPI Impacts'!$B$2:$H$2,'KPI Impacts'!$B76:$H76)</f>
        <v>0</v>
      </c>
      <c r="KF76" s="12">
        <f>KF$4*KQ76</f>
        <v>0</v>
      </c>
      <c r="KG76" s="12">
        <f>KG$4 * IF(AND(KF$4=1,KF$20=1), KS76, KQ76)</f>
        <v>0</v>
      </c>
      <c r="KH76" s="12">
        <f>KH$4 * IF(AND(KG$4=1,KF$20=1), KS76, KQ76)</f>
        <v>0</v>
      </c>
      <c r="KI76" s="12">
        <f>KI$4 * IF(AND(KH$4=1,KF$20=1), KS76, KQ76)</f>
        <v>0</v>
      </c>
      <c r="KJ76" s="12">
        <f>KJ$4 * IF(AND(KI$4=1,KF$20=1), KS76, KQ76)</f>
        <v>0</v>
      </c>
      <c r="KK76" s="12">
        <f>KK$4 * IF(AND(KJ$4=1,KF$20=1), KS76, KQ76)</f>
        <v>0</v>
      </c>
      <c r="KL76" s="12">
        <f>KL$4 * IF(AND(KK$4=1,KF$20=1), KS76, KQ76)</f>
        <v>0</v>
      </c>
      <c r="KM76" s="12">
        <f>KM$4 * IF(AND(KL$4=1,KF$20=1), KS76, KQ76)</f>
        <v>0</v>
      </c>
      <c r="KN76" s="12">
        <f>KN$4 * IF(AND(KM$4=1,KF$20=1), KS76, KQ76)</f>
        <v>0</v>
      </c>
      <c r="KP76" t="s">
        <v>1304</v>
      </c>
      <c r="KQ76">
        <f>_xlfn.XLOOKUP(KP76,'KPI Impacts'!$B$2:$H$2,'KPI Impacts'!$B76:$H76)</f>
        <v>0</v>
      </c>
      <c r="KR76" s="35" t="s">
        <v>1304</v>
      </c>
      <c r="KS76">
        <f>_xlfn.XLOOKUP(KR76,'KPI Impacts'!$B$2:$H$2,'KPI Impacts'!$B76:$H76)</f>
        <v>0</v>
      </c>
      <c r="KV76" s="12">
        <f>KV$4*LG76</f>
        <v>0</v>
      </c>
      <c r="KW76" s="12">
        <f>KW$4 * IF(AND(KV$4=1,KV$20=1), LI76, LG76)</f>
        <v>0</v>
      </c>
      <c r="KX76" s="12">
        <f>KX$4 * IF(AND(KW$4=1,KV$20=1), LI76, LG76)</f>
        <v>0</v>
      </c>
      <c r="KY76" s="12">
        <f>KY$4 * IF(AND(KX$4=1,KV$20=1), LI76, LG76)</f>
        <v>0</v>
      </c>
      <c r="KZ76" s="12">
        <f>KZ$4 * IF(AND(KY$4=1,KV$20=1), LI76, LG76)</f>
        <v>0</v>
      </c>
      <c r="LA76" s="12">
        <f>LA$4 * IF(AND(KZ$4=1,KV$20=1), LI76, LG76)</f>
        <v>0</v>
      </c>
      <c r="LB76" s="12">
        <f>LB$4 * IF(AND(LA$4=1,KV$20=1), LI76, LG76)</f>
        <v>0</v>
      </c>
      <c r="LC76" s="12">
        <f>LC$4 * IF(AND(LB$4=1,KV$20=1), LI76, LG76)</f>
        <v>0</v>
      </c>
      <c r="LD76" s="12">
        <f>LD$4 * IF(AND(LC$4=1,KV$20=1), LI76, LG76)</f>
        <v>0</v>
      </c>
      <c r="LF76" t="s">
        <v>1304</v>
      </c>
      <c r="LG76">
        <f>_xlfn.XLOOKUP(LF76,'KPI Impacts'!$B$2:$H$2,'KPI Impacts'!$B76:$H76)</f>
        <v>0</v>
      </c>
      <c r="LH76" s="35" t="s">
        <v>1304</v>
      </c>
      <c r="LI76">
        <f>_xlfn.XLOOKUP(LH76,'KPI Impacts'!$B$2:$H$2,'KPI Impacts'!$B76:$H76)</f>
        <v>0</v>
      </c>
      <c r="LL76" s="12">
        <f>LL$4*LW76</f>
        <v>0</v>
      </c>
      <c r="LM76" s="12">
        <f>LM$4 * IF(AND(LL$4=1,LL$20=1), LY76, LW76)</f>
        <v>0</v>
      </c>
      <c r="LN76" s="12">
        <f>LN$4 * IF(AND(LM$4=1,LL$20=1), LY76, LW76)</f>
        <v>0</v>
      </c>
      <c r="LO76" s="12">
        <f>LO$4 * IF(AND(LN$4=1,LL$20=1), LY76, LW76)</f>
        <v>0</v>
      </c>
      <c r="LP76" s="12">
        <f>LP$4 * IF(AND(LO$4=1,LL$20=1), LY76, LW76)</f>
        <v>0</v>
      </c>
      <c r="LQ76" s="12">
        <f>LQ$4 * IF(AND(LP$4=1,LL$20=1), LY76, LW76)</f>
        <v>0</v>
      </c>
      <c r="LR76" s="12">
        <f>LR$4 * IF(AND(LQ$4=1,LL$20=1), LY76, LW76)</f>
        <v>0</v>
      </c>
      <c r="LS76" s="12">
        <f>LS$4 * IF(AND(LR$4=1,LL$20=1), LY76, LW76)</f>
        <v>0</v>
      </c>
      <c r="LT76" s="12">
        <f>LT$4 * IF(AND(LS$4=1,LL$20=1), LY76, LW76)</f>
        <v>0</v>
      </c>
      <c r="LV76" t="s">
        <v>1304</v>
      </c>
      <c r="LW76">
        <f>_xlfn.XLOOKUP(LV76,'KPI Impacts'!$B$2:$H$2,'KPI Impacts'!$B76:$H76)</f>
        <v>0</v>
      </c>
      <c r="LX76" s="35" t="s">
        <v>1304</v>
      </c>
      <c r="LY76">
        <f>_xlfn.XLOOKUP(LX76,'KPI Impacts'!$B$2:$H$2,'KPI Impacts'!$B76:$H76)</f>
        <v>0</v>
      </c>
      <c r="MB76" s="12">
        <f>MB$4*MM76</f>
        <v>0</v>
      </c>
      <c r="MC76" s="12">
        <f>MC$4 * IF(AND(MB$4=1,MB$20=1), MO76, MM76)</f>
        <v>0</v>
      </c>
      <c r="MD76" s="12">
        <f>MD$4 * IF(AND(MC$4=1,MB$20=1), MO76, MM76)</f>
        <v>0</v>
      </c>
      <c r="ME76" s="12">
        <f>ME$4 * IF(AND(MD$4=1,MB$20=1), MO76, MM76)</f>
        <v>0</v>
      </c>
      <c r="MF76" s="12">
        <f>MF$4 * IF(AND(ME$4=1,MB$20=1), MO76, MM76)</f>
        <v>0</v>
      </c>
      <c r="MG76" s="12">
        <f>MG$4 * IF(AND(MF$4=1,MB$20=1), MO76, MM76)</f>
        <v>0</v>
      </c>
      <c r="MH76" s="12">
        <f>MH$4 * IF(AND(MG$4=1,MB$20=1), MO76, MM76)</f>
        <v>0</v>
      </c>
      <c r="MI76" s="12">
        <f>MI$4 * IF(AND(MH$4=1,MB$20=1), MO76, MM76)</f>
        <v>0</v>
      </c>
      <c r="MJ76" s="12">
        <f>MJ$4 * IF(AND(MI$4=1,MB$20=1), MO76, MM76)</f>
        <v>0</v>
      </c>
      <c r="ML76" t="s">
        <v>1304</v>
      </c>
      <c r="MM76">
        <f>_xlfn.XLOOKUP(ML76,'KPI Impacts'!$B$2:$H$2,'KPI Impacts'!$B76:$H76)</f>
        <v>0</v>
      </c>
      <c r="MN76" s="35" t="s">
        <v>1304</v>
      </c>
      <c r="MO76">
        <f>_xlfn.XLOOKUP(MN76,'KPI Impacts'!$B$2:$H$2,'KPI Impacts'!$B76:$H76)</f>
        <v>0</v>
      </c>
      <c r="MR76" s="12">
        <f>MR$4*NC76</f>
        <v>0</v>
      </c>
      <c r="MS76" s="12">
        <f>MS$4 * IF(AND(MR$4=1,MR$20=1), NE76, NC76)</f>
        <v>0</v>
      </c>
      <c r="MT76" s="12">
        <f>MT$4 * IF(AND(MS$4=1,MR$20=1), NE76, NC76)</f>
        <v>0</v>
      </c>
      <c r="MU76" s="12">
        <f>MU$4 * IF(AND(MT$4=1,MR$20=1), NE76, NC76)</f>
        <v>0</v>
      </c>
      <c r="MV76" s="12">
        <f>MV$4 * IF(AND(MU$4=1,MR$20=1), NE76, NC76)</f>
        <v>0</v>
      </c>
      <c r="MW76" s="12">
        <f>MW$4 * IF(AND(MV$4=1,MR$20=1), NE76, NC76)</f>
        <v>0</v>
      </c>
      <c r="MX76" s="12">
        <f>MX$4 * IF(AND(MW$4=1,MR$20=1), NE76, NC76)</f>
        <v>0</v>
      </c>
      <c r="MY76" s="12">
        <f>MY$4 * IF(AND(MX$4=1,MR$20=1), NE76, NC76)</f>
        <v>0</v>
      </c>
      <c r="MZ76" s="12">
        <f>MZ$4 * IF(AND(MY$4=1,MR$20=1), NE76, NC76)</f>
        <v>0</v>
      </c>
      <c r="NB76" t="s">
        <v>1304</v>
      </c>
      <c r="NC76">
        <f>_xlfn.XLOOKUP(NB76,'KPI Impacts'!$B$2:$H$2,'KPI Impacts'!$B76:$H76)</f>
        <v>0</v>
      </c>
      <c r="ND76" s="35" t="s">
        <v>1304</v>
      </c>
      <c r="NE76">
        <f>_xlfn.XLOOKUP(ND76,'KPI Impacts'!$B$2:$H$2,'KPI Impacts'!$B76:$H76)</f>
        <v>0</v>
      </c>
      <c r="NH76" s="12">
        <f>NH$4*NS76</f>
        <v>0</v>
      </c>
      <c r="NI76" s="12">
        <f>NI$4 * IF(AND(NH$4=1,NH$20=1), NU76, NS76)</f>
        <v>0</v>
      </c>
      <c r="NJ76" s="12">
        <f>NJ$4 * IF(AND(NI$4=1,NH$20=1), NU76, NS76)</f>
        <v>0</v>
      </c>
      <c r="NK76" s="12">
        <f>NK$4 * IF(AND(NJ$4=1,NH$20=1), NU76, NS76)</f>
        <v>0</v>
      </c>
      <c r="NL76" s="12">
        <f>NL$4 * IF(AND(NK$4=1,NH$20=1), NU76, NS76)</f>
        <v>0</v>
      </c>
      <c r="NM76" s="12">
        <f>NM$4 * IF(AND(NL$4=1,NH$20=1), NU76, NS76)</f>
        <v>0</v>
      </c>
      <c r="NN76" s="12">
        <f>NN$4 * IF(AND(NM$4=1,NH$20=1), NU76, NS76)</f>
        <v>0</v>
      </c>
      <c r="NO76" s="12">
        <f>NO$4 * IF(AND(NN$4=1,NH$20=1), NU76, NS76)</f>
        <v>0</v>
      </c>
      <c r="NP76" s="12">
        <f>NP$4 * IF(AND(NO$4=1,NH$20=1), NU76, NS76)</f>
        <v>0</v>
      </c>
      <c r="NR76" t="s">
        <v>1304</v>
      </c>
      <c r="NS76">
        <f>_xlfn.XLOOKUP(NR76,'KPI Impacts'!$B$2:$H$2,'KPI Impacts'!$B76:$H76)</f>
        <v>0</v>
      </c>
      <c r="NT76" s="35" t="s">
        <v>1304</v>
      </c>
      <c r="NU76">
        <f>_xlfn.XLOOKUP(NT76,'KPI Impacts'!$B$2:$H$2,'KPI Impacts'!$B76:$H76)</f>
        <v>0</v>
      </c>
      <c r="NX76" s="12">
        <f>NX$4*OI76</f>
        <v>0</v>
      </c>
      <c r="NY76" s="12">
        <f>NY$4 * IF(AND(NX$4=1,NX$20=1), OK76, OI76)</f>
        <v>0</v>
      </c>
      <c r="NZ76" s="12">
        <f>NZ$4 * IF(AND(NY$4=1,NX$20=1), OK76, OI76)</f>
        <v>0</v>
      </c>
      <c r="OA76" s="12">
        <f>OA$4 * IF(AND(NZ$4=1,NX$20=1), OK76, OI76)</f>
        <v>0</v>
      </c>
      <c r="OB76" s="12">
        <f>OB$4 * IF(AND(OA$4=1,NX$20=1), OK76, OI76)</f>
        <v>0</v>
      </c>
      <c r="OC76" s="12">
        <f>OC$4 * IF(AND(OB$4=1,NX$20=1), OK76, OI76)</f>
        <v>0</v>
      </c>
      <c r="OD76" s="12">
        <f>OD$4 * IF(AND(OC$4=1,NX$20=1), OK76, OI76)</f>
        <v>0</v>
      </c>
      <c r="OE76" s="12">
        <f>OE$4 * IF(AND(OD$4=1,NX$20=1), OK76, OI76)</f>
        <v>0</v>
      </c>
      <c r="OF76" s="12">
        <f>OF$4 * IF(AND(OE$4=1,NX$20=1), OK76, OI76)</f>
        <v>0</v>
      </c>
      <c r="OH76" t="s">
        <v>1304</v>
      </c>
      <c r="OI76">
        <f>_xlfn.XLOOKUP(OH76,'KPI Impacts'!$B$2:$H$2,'KPI Impacts'!$B76:$H76)</f>
        <v>0</v>
      </c>
      <c r="OJ76" s="35" t="s">
        <v>1304</v>
      </c>
      <c r="OK76">
        <f>_xlfn.XLOOKUP(OJ76,'KPI Impacts'!$B$2:$H$2,'KPI Impacts'!$B76:$H76)</f>
        <v>0</v>
      </c>
    </row>
    <row r="77" spans="1:401" x14ac:dyDescent="0.2">
      <c r="A77" t="s">
        <v>54</v>
      </c>
      <c r="B77" s="19" t="s">
        <v>1319</v>
      </c>
      <c r="C77" s="19" t="s">
        <v>1319</v>
      </c>
      <c r="D77" s="19" t="s">
        <v>1319</v>
      </c>
      <c r="E77" s="19" t="s">
        <v>1319</v>
      </c>
      <c r="F77" s="19" t="s">
        <v>1319</v>
      </c>
      <c r="G77" s="19" t="s">
        <v>1319</v>
      </c>
      <c r="H77" s="19" t="s">
        <v>1319</v>
      </c>
      <c r="I77" s="19" t="s">
        <v>1319</v>
      </c>
      <c r="J77" s="19" t="s">
        <v>1319</v>
      </c>
      <c r="P77" s="12"/>
      <c r="Q77" s="12"/>
      <c r="R77" s="12"/>
      <c r="S77" s="12"/>
      <c r="T77" s="12"/>
      <c r="U77" s="12"/>
      <c r="V77" s="12"/>
      <c r="W77" s="12"/>
      <c r="X77" s="12"/>
      <c r="AH77" s="12"/>
      <c r="AI77" s="12"/>
      <c r="AJ77" s="12"/>
      <c r="AK77" s="12"/>
      <c r="AL77" s="12"/>
      <c r="AM77" s="12"/>
      <c r="AN77" s="12"/>
      <c r="AO77" s="12"/>
      <c r="AP77" s="12"/>
      <c r="AZ77" s="12"/>
      <c r="BA77" s="12"/>
      <c r="BB77" s="12"/>
      <c r="BC77" s="12"/>
      <c r="BD77" s="12"/>
      <c r="BE77" s="12"/>
      <c r="BF77" s="12"/>
      <c r="BG77" s="12"/>
      <c r="BH77" s="12"/>
      <c r="BL77" s="9"/>
      <c r="BP77" s="12"/>
      <c r="BQ77" s="12"/>
      <c r="BR77" s="12"/>
      <c r="BS77" s="12"/>
      <c r="BT77" s="12"/>
      <c r="BU77" s="12"/>
      <c r="BV77" s="12"/>
      <c r="BW77" s="12"/>
      <c r="BX77" s="12"/>
      <c r="CB77" s="9"/>
      <c r="CF77" s="12"/>
      <c r="CG77" s="12"/>
      <c r="CH77" s="12"/>
      <c r="CI77" s="12"/>
      <c r="CJ77" s="12"/>
      <c r="CK77" s="12"/>
      <c r="CL77" s="12"/>
      <c r="CM77" s="12"/>
      <c r="CN77" s="12"/>
      <c r="CR77" s="9"/>
      <c r="CV77" s="12"/>
      <c r="CW77" s="12"/>
      <c r="CX77" s="12"/>
      <c r="CY77" s="12"/>
      <c r="CZ77" s="12"/>
      <c r="DA77" s="12"/>
      <c r="DB77" s="12"/>
      <c r="DC77" s="12"/>
      <c r="DD77" s="12"/>
      <c r="DH77" s="9"/>
      <c r="DL77" s="12"/>
      <c r="DM77" s="12"/>
      <c r="DN77" s="12"/>
      <c r="DO77" s="12"/>
      <c r="DP77" s="12"/>
      <c r="DQ77" s="12"/>
      <c r="DR77" s="12"/>
      <c r="DS77" s="12"/>
      <c r="DT77" s="12"/>
      <c r="DX77" s="9"/>
      <c r="EB77" s="12"/>
      <c r="EC77" s="12"/>
      <c r="ED77" s="12"/>
      <c r="EE77" s="12"/>
      <c r="EF77" s="12"/>
      <c r="EG77" s="12"/>
      <c r="EH77" s="12"/>
      <c r="EI77" s="12"/>
      <c r="EJ77" s="12"/>
      <c r="EN77" s="9"/>
      <c r="ER77" s="12"/>
      <c r="ES77" s="12"/>
      <c r="ET77" s="12"/>
      <c r="EU77" s="12"/>
      <c r="EV77" s="12"/>
      <c r="EW77" s="12"/>
      <c r="EX77" s="12"/>
      <c r="EY77" s="12"/>
      <c r="EZ77" s="12"/>
      <c r="FD77" s="9"/>
      <c r="FH77" s="12"/>
      <c r="FI77" s="12"/>
      <c r="FJ77" s="12"/>
      <c r="FK77" s="12"/>
      <c r="FL77" s="12"/>
      <c r="FM77" s="12"/>
      <c r="FN77" s="12"/>
      <c r="FO77" s="12"/>
      <c r="FP77" s="12"/>
      <c r="FT77" s="9"/>
      <c r="FX77" s="12"/>
      <c r="FY77" s="12"/>
      <c r="FZ77" s="12"/>
      <c r="GA77" s="12"/>
      <c r="GB77" s="12"/>
      <c r="GC77" s="12"/>
      <c r="GD77" s="12"/>
      <c r="GE77" s="12"/>
      <c r="GF77" s="12"/>
      <c r="GJ77" s="9"/>
      <c r="GN77" s="12"/>
      <c r="GO77" s="12"/>
      <c r="GP77" s="12"/>
      <c r="GQ77" s="12"/>
      <c r="GR77" s="12"/>
      <c r="GS77" s="12"/>
      <c r="GT77" s="12"/>
      <c r="GU77" s="12"/>
      <c r="GV77" s="12"/>
      <c r="GZ77" s="9"/>
      <c r="HD77" s="12"/>
      <c r="HE77" s="12"/>
      <c r="HF77" s="12"/>
      <c r="HG77" s="12"/>
      <c r="HH77" s="12"/>
      <c r="HI77" s="12"/>
      <c r="HJ77" s="12"/>
      <c r="HK77" s="12"/>
      <c r="HL77" s="12"/>
      <c r="HP77" s="9"/>
      <c r="HT77" s="12"/>
      <c r="HU77" s="12"/>
      <c r="HV77" s="12"/>
      <c r="HW77" s="12"/>
      <c r="HX77" s="12"/>
      <c r="HY77" s="12"/>
      <c r="HZ77" s="12"/>
      <c r="IA77" s="12"/>
      <c r="IB77" s="12"/>
      <c r="IF77" s="9"/>
      <c r="IJ77" s="12"/>
      <c r="IK77" s="12"/>
      <c r="IL77" s="12"/>
      <c r="IM77" s="12"/>
      <c r="IN77" s="12"/>
      <c r="IO77" s="12"/>
      <c r="IP77" s="12"/>
      <c r="IQ77" s="12"/>
      <c r="IR77" s="12"/>
      <c r="IV77" s="9"/>
      <c r="IZ77" s="12"/>
      <c r="JA77" s="12"/>
      <c r="JB77" s="12"/>
      <c r="JC77" s="12"/>
      <c r="JD77" s="12"/>
      <c r="JE77" s="12"/>
      <c r="JF77" s="12"/>
      <c r="JG77" s="12"/>
      <c r="JH77" s="12"/>
      <c r="JL77" s="9"/>
      <c r="JP77" s="12"/>
      <c r="JQ77" s="12"/>
      <c r="JR77" s="12"/>
      <c r="JS77" s="12"/>
      <c r="JT77" s="12"/>
      <c r="JU77" s="12"/>
      <c r="JV77" s="12"/>
      <c r="JW77" s="12"/>
      <c r="JX77" s="12"/>
      <c r="KB77" s="9"/>
      <c r="KF77" s="12"/>
      <c r="KG77" s="12"/>
      <c r="KH77" s="12"/>
      <c r="KI77" s="12"/>
      <c r="KJ77" s="12"/>
      <c r="KK77" s="12"/>
      <c r="KL77" s="12"/>
      <c r="KM77" s="12"/>
      <c r="KN77" s="12"/>
      <c r="KR77" s="9"/>
      <c r="KV77" s="12"/>
      <c r="KW77" s="12"/>
      <c r="KX77" s="12"/>
      <c r="KY77" s="12"/>
      <c r="KZ77" s="12"/>
      <c r="LA77" s="12"/>
      <c r="LB77" s="12"/>
      <c r="LC77" s="12"/>
      <c r="LD77" s="12"/>
      <c r="LH77" s="9"/>
      <c r="LL77" s="12"/>
      <c r="LM77" s="12"/>
      <c r="LN77" s="12"/>
      <c r="LO77" s="12"/>
      <c r="LP77" s="12"/>
      <c r="LQ77" s="12"/>
      <c r="LR77" s="12"/>
      <c r="LS77" s="12"/>
      <c r="LT77" s="12"/>
      <c r="LX77" s="9"/>
      <c r="MB77" s="12"/>
      <c r="MC77" s="12"/>
      <c r="MD77" s="12"/>
      <c r="ME77" s="12"/>
      <c r="MF77" s="12"/>
      <c r="MG77" s="12"/>
      <c r="MH77" s="12"/>
      <c r="MI77" s="12"/>
      <c r="MJ77" s="12"/>
      <c r="MN77" s="9"/>
      <c r="MR77" s="12"/>
      <c r="MS77" s="12"/>
      <c r="MT77" s="12"/>
      <c r="MU77" s="12"/>
      <c r="MV77" s="12"/>
      <c r="MW77" s="12"/>
      <c r="MX77" s="12"/>
      <c r="MY77" s="12"/>
      <c r="MZ77" s="12"/>
      <c r="ND77" s="9"/>
      <c r="NH77" s="12"/>
      <c r="NI77" s="12"/>
      <c r="NJ77" s="12"/>
      <c r="NK77" s="12"/>
      <c r="NL77" s="12"/>
      <c r="NM77" s="12"/>
      <c r="NN77" s="12"/>
      <c r="NO77" s="12"/>
      <c r="NP77" s="12"/>
      <c r="NT77" s="9"/>
      <c r="NX77" s="12"/>
      <c r="NY77" s="12"/>
      <c r="NZ77" s="12"/>
      <c r="OA77" s="12"/>
      <c r="OB77" s="12"/>
      <c r="OC77" s="12"/>
      <c r="OD77" s="12"/>
      <c r="OE77" s="12"/>
      <c r="OF77" s="12"/>
      <c r="OJ77" s="9"/>
    </row>
    <row r="78" spans="1:401" hidden="1" x14ac:dyDescent="0.2">
      <c r="B78" s="12"/>
      <c r="C78" s="6"/>
      <c r="D78" s="6"/>
      <c r="E78" s="6"/>
      <c r="F78" s="6"/>
      <c r="G78" s="6"/>
      <c r="H78" s="6"/>
      <c r="I78" s="6"/>
      <c r="J78" s="6"/>
      <c r="P78" s="12"/>
      <c r="Q78" s="12"/>
      <c r="R78" s="12"/>
      <c r="S78" s="12"/>
      <c r="T78" s="12"/>
      <c r="U78" s="12"/>
      <c r="V78" s="12"/>
      <c r="W78" s="12"/>
      <c r="X78" s="12"/>
      <c r="AH78" s="12"/>
      <c r="AI78" s="12"/>
      <c r="AJ78" s="12"/>
      <c r="AK78" s="12"/>
      <c r="AL78" s="12"/>
      <c r="AM78" s="12"/>
      <c r="AN78" s="12"/>
      <c r="AO78" s="12"/>
      <c r="AP78" s="12"/>
      <c r="AZ78" s="12"/>
      <c r="BA78" s="12"/>
      <c r="BB78" s="12"/>
      <c r="BC78" s="12"/>
      <c r="BD78" s="12"/>
      <c r="BE78" s="12"/>
      <c r="BF78" s="12"/>
      <c r="BG78" s="12"/>
      <c r="BH78" s="12"/>
      <c r="BL78" s="9"/>
      <c r="BP78" s="12"/>
      <c r="BQ78" s="12"/>
      <c r="BR78" s="12"/>
      <c r="BS78" s="12"/>
      <c r="BT78" s="12"/>
      <c r="BU78" s="12"/>
      <c r="BV78" s="12"/>
      <c r="BW78" s="12"/>
      <c r="BX78" s="12"/>
      <c r="CB78" s="9"/>
      <c r="CF78" s="12"/>
      <c r="CG78" s="12"/>
      <c r="CH78" s="12"/>
      <c r="CI78" s="12"/>
      <c r="CJ78" s="12"/>
      <c r="CK78" s="12"/>
      <c r="CL78" s="12"/>
      <c r="CM78" s="12"/>
      <c r="CN78" s="12"/>
      <c r="CR78" s="9"/>
      <c r="CV78" s="12"/>
      <c r="CW78" s="12"/>
      <c r="CX78" s="12"/>
      <c r="CY78" s="12"/>
      <c r="CZ78" s="12"/>
      <c r="DA78" s="12"/>
      <c r="DB78" s="12"/>
      <c r="DC78" s="12"/>
      <c r="DD78" s="12"/>
      <c r="DH78" s="9"/>
      <c r="DL78" s="12"/>
      <c r="DM78" s="12"/>
      <c r="DN78" s="12"/>
      <c r="DO78" s="12"/>
      <c r="DP78" s="12"/>
      <c r="DQ78" s="12"/>
      <c r="DR78" s="12"/>
      <c r="DS78" s="12"/>
      <c r="DT78" s="12"/>
      <c r="DX78" s="9"/>
      <c r="EB78" s="12"/>
      <c r="EC78" s="12"/>
      <c r="ED78" s="12"/>
      <c r="EE78" s="12"/>
      <c r="EF78" s="12"/>
      <c r="EG78" s="12"/>
      <c r="EH78" s="12"/>
      <c r="EI78" s="12"/>
      <c r="EJ78" s="12"/>
      <c r="EN78" s="9"/>
      <c r="ER78" s="12"/>
      <c r="ES78" s="12"/>
      <c r="ET78" s="12"/>
      <c r="EU78" s="12"/>
      <c r="EV78" s="12"/>
      <c r="EW78" s="12"/>
      <c r="EX78" s="12"/>
      <c r="EY78" s="12"/>
      <c r="EZ78" s="12"/>
      <c r="FD78" s="9"/>
      <c r="FH78" s="12"/>
      <c r="FI78" s="12"/>
      <c r="FJ78" s="12"/>
      <c r="FK78" s="12"/>
      <c r="FL78" s="12"/>
      <c r="FM78" s="12"/>
      <c r="FN78" s="12"/>
      <c r="FO78" s="12"/>
      <c r="FP78" s="12"/>
      <c r="FT78" s="9"/>
      <c r="FX78" s="12"/>
      <c r="FY78" s="12"/>
      <c r="FZ78" s="12"/>
      <c r="GA78" s="12"/>
      <c r="GB78" s="12"/>
      <c r="GC78" s="12"/>
      <c r="GD78" s="12"/>
      <c r="GE78" s="12"/>
      <c r="GF78" s="12"/>
      <c r="GJ78" s="9"/>
      <c r="GN78" s="12"/>
      <c r="GO78" s="12"/>
      <c r="GP78" s="12"/>
      <c r="GQ78" s="12"/>
      <c r="GR78" s="12"/>
      <c r="GS78" s="12"/>
      <c r="GT78" s="12"/>
      <c r="GU78" s="12"/>
      <c r="GV78" s="12"/>
      <c r="GZ78" s="9"/>
      <c r="HD78" s="12"/>
      <c r="HE78" s="12"/>
      <c r="HF78" s="12"/>
      <c r="HG78" s="12"/>
      <c r="HH78" s="12"/>
      <c r="HI78" s="12"/>
      <c r="HJ78" s="12"/>
      <c r="HK78" s="12"/>
      <c r="HL78" s="12"/>
      <c r="HP78" s="9"/>
      <c r="HT78" s="12"/>
      <c r="HU78" s="12"/>
      <c r="HV78" s="12"/>
      <c r="HW78" s="12"/>
      <c r="HX78" s="12"/>
      <c r="HY78" s="12"/>
      <c r="HZ78" s="12"/>
      <c r="IA78" s="12"/>
      <c r="IB78" s="12"/>
      <c r="IF78" s="9"/>
      <c r="IJ78" s="12"/>
      <c r="IK78" s="12"/>
      <c r="IL78" s="12"/>
      <c r="IM78" s="12"/>
      <c r="IN78" s="12"/>
      <c r="IO78" s="12"/>
      <c r="IP78" s="12"/>
      <c r="IQ78" s="12"/>
      <c r="IR78" s="12"/>
      <c r="IV78" s="9"/>
      <c r="IZ78" s="12"/>
      <c r="JA78" s="12"/>
      <c r="JB78" s="12"/>
      <c r="JC78" s="12"/>
      <c r="JD78" s="12"/>
      <c r="JE78" s="12"/>
      <c r="JF78" s="12"/>
      <c r="JG78" s="12"/>
      <c r="JH78" s="12"/>
      <c r="JL78" s="9"/>
      <c r="JP78" s="12"/>
      <c r="JQ78" s="12"/>
      <c r="JR78" s="12"/>
      <c r="JS78" s="12"/>
      <c r="JT78" s="12"/>
      <c r="JU78" s="12"/>
      <c r="JV78" s="12"/>
      <c r="JW78" s="12"/>
      <c r="JX78" s="12"/>
      <c r="KB78" s="9"/>
      <c r="KF78" s="12"/>
      <c r="KG78" s="12"/>
      <c r="KH78" s="12"/>
      <c r="KI78" s="12"/>
      <c r="KJ78" s="12"/>
      <c r="KK78" s="12"/>
      <c r="KL78" s="12"/>
      <c r="KM78" s="12"/>
      <c r="KN78" s="12"/>
      <c r="KR78" s="9"/>
      <c r="KV78" s="12"/>
      <c r="KW78" s="12"/>
      <c r="KX78" s="12"/>
      <c r="KY78" s="12"/>
      <c r="KZ78" s="12"/>
      <c r="LA78" s="12"/>
      <c r="LB78" s="12"/>
      <c r="LC78" s="12"/>
      <c r="LD78" s="12"/>
      <c r="LH78" s="9"/>
      <c r="LL78" s="12"/>
      <c r="LM78" s="12"/>
      <c r="LN78" s="12"/>
      <c r="LO78" s="12"/>
      <c r="LP78" s="12"/>
      <c r="LQ78" s="12"/>
      <c r="LR78" s="12"/>
      <c r="LS78" s="12"/>
      <c r="LT78" s="12"/>
      <c r="LX78" s="9"/>
      <c r="MB78" s="12"/>
      <c r="MC78" s="12"/>
      <c r="MD78" s="12"/>
      <c r="ME78" s="12"/>
      <c r="MF78" s="12"/>
      <c r="MG78" s="12"/>
      <c r="MH78" s="12"/>
      <c r="MI78" s="12"/>
      <c r="MJ78" s="12"/>
      <c r="MN78" s="9"/>
      <c r="MR78" s="12"/>
      <c r="MS78" s="12"/>
      <c r="MT78" s="12"/>
      <c r="MU78" s="12"/>
      <c r="MV78" s="12"/>
      <c r="MW78" s="12"/>
      <c r="MX78" s="12"/>
      <c r="MY78" s="12"/>
      <c r="MZ78" s="12"/>
      <c r="ND78" s="9"/>
      <c r="NH78" s="12"/>
      <c r="NI78" s="12"/>
      <c r="NJ78" s="12"/>
      <c r="NK78" s="12"/>
      <c r="NL78" s="12"/>
      <c r="NM78" s="12"/>
      <c r="NN78" s="12"/>
      <c r="NO78" s="12"/>
      <c r="NP78" s="12"/>
      <c r="NT78" s="9"/>
      <c r="NX78" s="12"/>
      <c r="NY78" s="12"/>
      <c r="NZ78" s="12"/>
      <c r="OA78" s="12"/>
      <c r="OB78" s="12"/>
      <c r="OC78" s="12"/>
      <c r="OD78" s="12"/>
      <c r="OE78" s="12"/>
      <c r="OF78" s="12"/>
      <c r="OJ78" s="9"/>
    </row>
    <row r="79" spans="1:401" x14ac:dyDescent="0.2">
      <c r="P79" s="12"/>
      <c r="Q79" s="12"/>
      <c r="R79" s="12"/>
      <c r="S79" s="12"/>
      <c r="T79" s="12"/>
      <c r="U79" s="12"/>
      <c r="V79" s="12"/>
      <c r="W79" s="12"/>
      <c r="X79" s="12"/>
      <c r="AH79" s="12"/>
      <c r="AI79" s="12"/>
      <c r="AJ79" s="12"/>
      <c r="AK79" s="12"/>
      <c r="AL79" s="12"/>
      <c r="AM79" s="12"/>
      <c r="AN79" s="12"/>
      <c r="AO79" s="12"/>
      <c r="AP79" s="12"/>
      <c r="AZ79" s="12"/>
      <c r="BA79" s="12"/>
      <c r="BB79" s="12"/>
      <c r="BC79" s="12"/>
      <c r="BD79" s="12"/>
      <c r="BE79" s="12"/>
      <c r="BF79" s="12"/>
      <c r="BG79" s="12"/>
      <c r="BH79" s="12"/>
      <c r="BL79" s="9"/>
      <c r="BP79" s="12"/>
      <c r="BQ79" s="12"/>
      <c r="BR79" s="12"/>
      <c r="BS79" s="12"/>
      <c r="BT79" s="12"/>
      <c r="BU79" s="12"/>
      <c r="BV79" s="12"/>
      <c r="BW79" s="12"/>
      <c r="BX79" s="12"/>
      <c r="CB79" s="9"/>
      <c r="CF79" s="12"/>
      <c r="CG79" s="12"/>
      <c r="CH79" s="12"/>
      <c r="CI79" s="12"/>
      <c r="CJ79" s="12"/>
      <c r="CK79" s="12"/>
      <c r="CL79" s="12"/>
      <c r="CM79" s="12"/>
      <c r="CN79" s="12"/>
      <c r="CR79" s="9"/>
      <c r="CV79" s="12"/>
      <c r="CW79" s="12"/>
      <c r="CX79" s="12"/>
      <c r="CY79" s="12"/>
      <c r="CZ79" s="12"/>
      <c r="DA79" s="12"/>
      <c r="DB79" s="12"/>
      <c r="DC79" s="12"/>
      <c r="DD79" s="12"/>
      <c r="DH79" s="9"/>
      <c r="DL79" s="12"/>
      <c r="DM79" s="12"/>
      <c r="DN79" s="12"/>
      <c r="DO79" s="12"/>
      <c r="DP79" s="12"/>
      <c r="DQ79" s="12"/>
      <c r="DR79" s="12"/>
      <c r="DS79" s="12"/>
      <c r="DT79" s="12"/>
      <c r="DX79" s="9"/>
      <c r="EB79" s="12"/>
      <c r="EC79" s="12"/>
      <c r="ED79" s="12"/>
      <c r="EE79" s="12"/>
      <c r="EF79" s="12"/>
      <c r="EG79" s="12"/>
      <c r="EH79" s="12"/>
      <c r="EI79" s="12"/>
      <c r="EJ79" s="12"/>
      <c r="EN79" s="9"/>
      <c r="ER79" s="12"/>
      <c r="ES79" s="12"/>
      <c r="ET79" s="12"/>
      <c r="EU79" s="12"/>
      <c r="EV79" s="12"/>
      <c r="EW79" s="12"/>
      <c r="EX79" s="12"/>
      <c r="EY79" s="12"/>
      <c r="EZ79" s="12"/>
      <c r="FD79" s="9"/>
      <c r="FH79" s="12"/>
      <c r="FI79" s="12"/>
      <c r="FJ79" s="12"/>
      <c r="FK79" s="12"/>
      <c r="FL79" s="12"/>
      <c r="FM79" s="12"/>
      <c r="FN79" s="12"/>
      <c r="FO79" s="12"/>
      <c r="FP79" s="12"/>
      <c r="FT79" s="9"/>
      <c r="FX79" s="12"/>
      <c r="FY79" s="12"/>
      <c r="FZ79" s="12"/>
      <c r="GA79" s="12"/>
      <c r="GB79" s="12"/>
      <c r="GC79" s="12"/>
      <c r="GD79" s="12"/>
      <c r="GE79" s="12"/>
      <c r="GF79" s="12"/>
      <c r="GJ79" s="9"/>
      <c r="GN79" s="12"/>
      <c r="GO79" s="12"/>
      <c r="GP79" s="12"/>
      <c r="GQ79" s="12"/>
      <c r="GR79" s="12"/>
      <c r="GS79" s="12"/>
      <c r="GT79" s="12"/>
      <c r="GU79" s="12"/>
      <c r="GV79" s="12"/>
      <c r="GZ79" s="9"/>
      <c r="HD79" s="12"/>
      <c r="HE79" s="12"/>
      <c r="HF79" s="12"/>
      <c r="HG79" s="12"/>
      <c r="HH79" s="12"/>
      <c r="HI79" s="12"/>
      <c r="HJ79" s="12"/>
      <c r="HK79" s="12"/>
      <c r="HL79" s="12"/>
      <c r="HP79" s="9"/>
      <c r="HT79" s="12"/>
      <c r="HU79" s="12"/>
      <c r="HV79" s="12"/>
      <c r="HW79" s="12"/>
      <c r="HX79" s="12"/>
      <c r="HY79" s="12"/>
      <c r="HZ79" s="12"/>
      <c r="IA79" s="12"/>
      <c r="IB79" s="12"/>
      <c r="IF79" s="9"/>
      <c r="IJ79" s="12"/>
      <c r="IK79" s="12"/>
      <c r="IL79" s="12"/>
      <c r="IM79" s="12"/>
      <c r="IN79" s="12"/>
      <c r="IO79" s="12"/>
      <c r="IP79" s="12"/>
      <c r="IQ79" s="12"/>
      <c r="IR79" s="12"/>
      <c r="IV79" s="9"/>
      <c r="IZ79" s="12"/>
      <c r="JA79" s="12"/>
      <c r="JB79" s="12"/>
      <c r="JC79" s="12"/>
      <c r="JD79" s="12"/>
      <c r="JE79" s="12"/>
      <c r="JF79" s="12"/>
      <c r="JG79" s="12"/>
      <c r="JH79" s="12"/>
      <c r="JL79" s="9"/>
      <c r="JP79" s="12"/>
      <c r="JQ79" s="12"/>
      <c r="JR79" s="12"/>
      <c r="JS79" s="12"/>
      <c r="JT79" s="12"/>
      <c r="JU79" s="12"/>
      <c r="JV79" s="12"/>
      <c r="JW79" s="12"/>
      <c r="JX79" s="12"/>
      <c r="KB79" s="9"/>
      <c r="KF79" s="12"/>
      <c r="KG79" s="12"/>
      <c r="KH79" s="12"/>
      <c r="KI79" s="12"/>
      <c r="KJ79" s="12"/>
      <c r="KK79" s="12"/>
      <c r="KL79" s="12"/>
      <c r="KM79" s="12"/>
      <c r="KN79" s="12"/>
      <c r="KR79" s="9"/>
      <c r="KV79" s="12"/>
      <c r="KW79" s="12"/>
      <c r="KX79" s="12"/>
      <c r="KY79" s="12"/>
      <c r="KZ79" s="12"/>
      <c r="LA79" s="12"/>
      <c r="LB79" s="12"/>
      <c r="LC79" s="12"/>
      <c r="LD79" s="12"/>
      <c r="LH79" s="9"/>
      <c r="LL79" s="12"/>
      <c r="LM79" s="12"/>
      <c r="LN79" s="12"/>
      <c r="LO79" s="12"/>
      <c r="LP79" s="12"/>
      <c r="LQ79" s="12"/>
      <c r="LR79" s="12"/>
      <c r="LS79" s="12"/>
      <c r="LT79" s="12"/>
      <c r="LX79" s="9"/>
      <c r="MB79" s="12"/>
      <c r="MC79" s="12"/>
      <c r="MD79" s="12"/>
      <c r="ME79" s="12"/>
      <c r="MF79" s="12"/>
      <c r="MG79" s="12"/>
      <c r="MH79" s="12"/>
      <c r="MI79" s="12"/>
      <c r="MJ79" s="12"/>
      <c r="MN79" s="9"/>
      <c r="MR79" s="12"/>
      <c r="MS79" s="12"/>
      <c r="MT79" s="12"/>
      <c r="MU79" s="12"/>
      <c r="MV79" s="12"/>
      <c r="MW79" s="12"/>
      <c r="MX79" s="12"/>
      <c r="MY79" s="12"/>
      <c r="MZ79" s="12"/>
      <c r="ND79" s="9"/>
      <c r="NH79" s="12"/>
      <c r="NI79" s="12"/>
      <c r="NJ79" s="12"/>
      <c r="NK79" s="12"/>
      <c r="NL79" s="12"/>
      <c r="NM79" s="12"/>
      <c r="NN79" s="12"/>
      <c r="NO79" s="12"/>
      <c r="NP79" s="12"/>
      <c r="NT79" s="9"/>
      <c r="NX79" s="12"/>
      <c r="NY79" s="12"/>
      <c r="NZ79" s="12"/>
      <c r="OA79" s="12"/>
      <c r="OB79" s="12"/>
      <c r="OC79" s="12"/>
      <c r="OD79" s="12"/>
      <c r="OE79" s="12"/>
      <c r="OF79" s="12"/>
      <c r="OJ79" s="9"/>
    </row>
    <row r="80" spans="1:401" x14ac:dyDescent="0.2">
      <c r="O80" s="5"/>
      <c r="P80" s="12"/>
      <c r="Q80" s="12"/>
      <c r="R80" s="12"/>
      <c r="S80" s="12"/>
      <c r="T80" s="12"/>
      <c r="U80" s="12"/>
      <c r="V80" s="12"/>
      <c r="W80" s="12"/>
      <c r="X80" s="12"/>
      <c r="AG80" s="5"/>
      <c r="AH80" s="12"/>
      <c r="AI80" s="12"/>
      <c r="AJ80" s="12"/>
      <c r="AK80" s="12"/>
      <c r="AL80" s="12"/>
      <c r="AM80" s="12"/>
      <c r="AN80" s="12"/>
      <c r="AO80" s="12"/>
      <c r="AP80" s="12"/>
      <c r="AZ80" s="12"/>
      <c r="BA80" s="12"/>
      <c r="BB80" s="12"/>
      <c r="BC80" s="12"/>
      <c r="BD80" s="12"/>
      <c r="BE80" s="12"/>
      <c r="BF80" s="12"/>
      <c r="BG80" s="12"/>
      <c r="BH80" s="12"/>
      <c r="BL80" s="9"/>
      <c r="BP80" s="12"/>
      <c r="BQ80" s="12"/>
      <c r="BR80" s="12"/>
      <c r="BS80" s="12"/>
      <c r="BT80" s="12"/>
      <c r="BU80" s="12"/>
      <c r="BV80" s="12"/>
      <c r="BW80" s="12"/>
      <c r="BX80" s="12"/>
      <c r="CB80" s="9"/>
      <c r="CF80" s="12"/>
      <c r="CG80" s="12"/>
      <c r="CH80" s="12"/>
      <c r="CI80" s="12"/>
      <c r="CJ80" s="12"/>
      <c r="CK80" s="12"/>
      <c r="CL80" s="12"/>
      <c r="CM80" s="12"/>
      <c r="CN80" s="12"/>
      <c r="CR80" s="9"/>
      <c r="CV80" s="12"/>
      <c r="CW80" s="12"/>
      <c r="CX80" s="12"/>
      <c r="CY80" s="12"/>
      <c r="CZ80" s="12"/>
      <c r="DA80" s="12"/>
      <c r="DB80" s="12"/>
      <c r="DC80" s="12"/>
      <c r="DD80" s="12"/>
      <c r="DH80" s="9"/>
      <c r="DL80" s="12"/>
      <c r="DM80" s="12"/>
      <c r="DN80" s="12"/>
      <c r="DO80" s="12"/>
      <c r="DP80" s="12"/>
      <c r="DQ80" s="12"/>
      <c r="DR80" s="12"/>
      <c r="DS80" s="12"/>
      <c r="DT80" s="12"/>
      <c r="DX80" s="9"/>
      <c r="EB80" s="12"/>
      <c r="EC80" s="12"/>
      <c r="ED80" s="12"/>
      <c r="EE80" s="12"/>
      <c r="EF80" s="12"/>
      <c r="EG80" s="12"/>
      <c r="EH80" s="12"/>
      <c r="EI80" s="12"/>
      <c r="EJ80" s="12"/>
      <c r="EN80" s="9"/>
      <c r="ER80" s="12"/>
      <c r="ES80" s="12"/>
      <c r="ET80" s="12"/>
      <c r="EU80" s="12"/>
      <c r="EV80" s="12"/>
      <c r="EW80" s="12"/>
      <c r="EX80" s="12"/>
      <c r="EY80" s="12"/>
      <c r="EZ80" s="12"/>
      <c r="FD80" s="9"/>
      <c r="FH80" s="12"/>
      <c r="FI80" s="12"/>
      <c r="FJ80" s="12"/>
      <c r="FK80" s="12"/>
      <c r="FL80" s="12"/>
      <c r="FM80" s="12"/>
      <c r="FN80" s="12"/>
      <c r="FO80" s="12"/>
      <c r="FP80" s="12"/>
      <c r="FT80" s="9"/>
      <c r="FX80" s="12"/>
      <c r="FY80" s="12"/>
      <c r="FZ80" s="12"/>
      <c r="GA80" s="12"/>
      <c r="GB80" s="12"/>
      <c r="GC80" s="12"/>
      <c r="GD80" s="12"/>
      <c r="GE80" s="12"/>
      <c r="GF80" s="12"/>
      <c r="GJ80" s="9"/>
      <c r="GN80" s="12"/>
      <c r="GO80" s="12"/>
      <c r="GP80" s="12"/>
      <c r="GQ80" s="12"/>
      <c r="GR80" s="12"/>
      <c r="GS80" s="12"/>
      <c r="GT80" s="12"/>
      <c r="GU80" s="12"/>
      <c r="GV80" s="12"/>
      <c r="GZ80" s="9"/>
      <c r="HD80" s="12"/>
      <c r="HE80" s="12"/>
      <c r="HF80" s="12"/>
      <c r="HG80" s="12"/>
      <c r="HH80" s="12"/>
      <c r="HI80" s="12"/>
      <c r="HJ80" s="12"/>
      <c r="HK80" s="12"/>
      <c r="HL80" s="12"/>
      <c r="HP80" s="9"/>
      <c r="HT80" s="12"/>
      <c r="HU80" s="12"/>
      <c r="HV80" s="12"/>
      <c r="HW80" s="12"/>
      <c r="HX80" s="12"/>
      <c r="HY80" s="12"/>
      <c r="HZ80" s="12"/>
      <c r="IA80" s="12"/>
      <c r="IB80" s="12"/>
      <c r="IF80" s="9"/>
      <c r="IJ80" s="12"/>
      <c r="IK80" s="12"/>
      <c r="IL80" s="12"/>
      <c r="IM80" s="12"/>
      <c r="IN80" s="12"/>
      <c r="IO80" s="12"/>
      <c r="IP80" s="12"/>
      <c r="IQ80" s="12"/>
      <c r="IR80" s="12"/>
      <c r="IV80" s="9"/>
      <c r="IZ80" s="12"/>
      <c r="JA80" s="12"/>
      <c r="JB80" s="12"/>
      <c r="JC80" s="12"/>
      <c r="JD80" s="12"/>
      <c r="JE80" s="12"/>
      <c r="JF80" s="12"/>
      <c r="JG80" s="12"/>
      <c r="JH80" s="12"/>
      <c r="JL80" s="9"/>
      <c r="JP80" s="12"/>
      <c r="JQ80" s="12"/>
      <c r="JR80" s="12"/>
      <c r="JS80" s="12"/>
      <c r="JT80" s="12"/>
      <c r="JU80" s="12"/>
      <c r="JV80" s="12"/>
      <c r="JW80" s="12"/>
      <c r="JX80" s="12"/>
      <c r="KB80" s="9"/>
      <c r="KF80" s="12"/>
      <c r="KG80" s="12"/>
      <c r="KH80" s="12"/>
      <c r="KI80" s="12"/>
      <c r="KJ80" s="12"/>
      <c r="KK80" s="12"/>
      <c r="KL80" s="12"/>
      <c r="KM80" s="12"/>
      <c r="KN80" s="12"/>
      <c r="KR80" s="9"/>
      <c r="KV80" s="12"/>
      <c r="KW80" s="12"/>
      <c r="KX80" s="12"/>
      <c r="KY80" s="12"/>
      <c r="KZ80" s="12"/>
      <c r="LA80" s="12"/>
      <c r="LB80" s="12"/>
      <c r="LC80" s="12"/>
      <c r="LD80" s="12"/>
      <c r="LH80" s="9"/>
      <c r="LL80" s="12"/>
      <c r="LM80" s="12"/>
      <c r="LN80" s="12"/>
      <c r="LO80" s="12"/>
      <c r="LP80" s="12"/>
      <c r="LQ80" s="12"/>
      <c r="LR80" s="12"/>
      <c r="LS80" s="12"/>
      <c r="LT80" s="12"/>
      <c r="LX80" s="9"/>
      <c r="MB80" s="12"/>
      <c r="MC80" s="12"/>
      <c r="MD80" s="12"/>
      <c r="ME80" s="12"/>
      <c r="MF80" s="12"/>
      <c r="MG80" s="12"/>
      <c r="MH80" s="12"/>
      <c r="MI80" s="12"/>
      <c r="MJ80" s="12"/>
      <c r="MN80" s="9"/>
      <c r="MR80" s="12"/>
      <c r="MS80" s="12"/>
      <c r="MT80" s="12"/>
      <c r="MU80" s="12"/>
      <c r="MV80" s="12"/>
      <c r="MW80" s="12"/>
      <c r="MX80" s="12"/>
      <c r="MY80" s="12"/>
      <c r="MZ80" s="12"/>
      <c r="ND80" s="9"/>
      <c r="NH80" s="12"/>
      <c r="NI80" s="12"/>
      <c r="NJ80" s="12"/>
      <c r="NK80" s="12"/>
      <c r="NL80" s="12"/>
      <c r="NM80" s="12"/>
      <c r="NN80" s="12"/>
      <c r="NO80" s="12"/>
      <c r="NP80" s="12"/>
      <c r="NT80" s="9"/>
      <c r="NX80" s="12"/>
      <c r="NY80" s="12"/>
      <c r="NZ80" s="12"/>
      <c r="OA80" s="12"/>
      <c r="OB80" s="12"/>
      <c r="OC80" s="12"/>
      <c r="OD80" s="12"/>
      <c r="OE80" s="12"/>
      <c r="OF80" s="12"/>
      <c r="OJ80" s="9"/>
    </row>
    <row r="81" spans="1:401" x14ac:dyDescent="0.2">
      <c r="A81" s="5" t="s">
        <v>51</v>
      </c>
      <c r="B81" s="12"/>
      <c r="O81" s="5"/>
      <c r="P81" s="12"/>
      <c r="Q81" s="12"/>
      <c r="R81" s="12"/>
      <c r="S81" s="12"/>
      <c r="T81" s="12"/>
      <c r="U81" s="12"/>
      <c r="V81" s="12"/>
      <c r="W81" s="12"/>
      <c r="X81" s="12"/>
      <c r="AG81" s="5"/>
      <c r="AH81" s="12"/>
      <c r="AI81" s="12"/>
      <c r="AJ81" s="12"/>
      <c r="AK81" s="12"/>
      <c r="AL81" s="12"/>
      <c r="AM81" s="12"/>
      <c r="AN81" s="12"/>
      <c r="AO81" s="12"/>
      <c r="AP81" s="12"/>
      <c r="AY81" s="5"/>
      <c r="AZ81" s="12"/>
      <c r="BA81" s="12"/>
      <c r="BB81" s="12"/>
      <c r="BC81" s="12"/>
      <c r="BD81" s="12"/>
      <c r="BE81" s="12"/>
      <c r="BF81" s="12"/>
      <c r="BG81" s="12"/>
      <c r="BH81" s="12"/>
      <c r="BL81" s="9"/>
      <c r="BO81" s="5"/>
      <c r="BP81" s="12"/>
      <c r="BQ81" s="12"/>
      <c r="BR81" s="12"/>
      <c r="BS81" s="12"/>
      <c r="BT81" s="12"/>
      <c r="BU81" s="12"/>
      <c r="BV81" s="12"/>
      <c r="BW81" s="12"/>
      <c r="BX81" s="12"/>
      <c r="CB81" s="9"/>
      <c r="CE81" s="5"/>
      <c r="CF81" s="12"/>
      <c r="CG81" s="12"/>
      <c r="CH81" s="12"/>
      <c r="CI81" s="12"/>
      <c r="CJ81" s="12"/>
      <c r="CK81" s="12"/>
      <c r="CL81" s="12"/>
      <c r="CM81" s="12"/>
      <c r="CN81" s="12"/>
      <c r="CR81" s="9"/>
      <c r="CU81" s="5"/>
      <c r="CV81" s="12"/>
      <c r="CW81" s="12"/>
      <c r="CX81" s="12"/>
      <c r="CY81" s="12"/>
      <c r="CZ81" s="12"/>
      <c r="DA81" s="12"/>
      <c r="DB81" s="12"/>
      <c r="DC81" s="12"/>
      <c r="DD81" s="12"/>
      <c r="DH81" s="9"/>
      <c r="DK81" s="5"/>
      <c r="DL81" s="12"/>
      <c r="DM81" s="12"/>
      <c r="DN81" s="12"/>
      <c r="DO81" s="12"/>
      <c r="DP81" s="12"/>
      <c r="DQ81" s="12"/>
      <c r="DR81" s="12"/>
      <c r="DS81" s="12"/>
      <c r="DT81" s="12"/>
      <c r="DX81" s="9"/>
      <c r="EA81" s="5"/>
      <c r="EB81" s="12"/>
      <c r="EC81" s="12"/>
      <c r="ED81" s="12"/>
      <c r="EE81" s="12"/>
      <c r="EF81" s="12"/>
      <c r="EG81" s="12"/>
      <c r="EH81" s="12"/>
      <c r="EI81" s="12"/>
      <c r="EJ81" s="12"/>
      <c r="EN81" s="9"/>
      <c r="EQ81" s="5"/>
      <c r="ER81" s="12"/>
      <c r="ES81" s="12"/>
      <c r="ET81" s="12"/>
      <c r="EU81" s="12"/>
      <c r="EV81" s="12"/>
      <c r="EW81" s="12"/>
      <c r="EX81" s="12"/>
      <c r="EY81" s="12"/>
      <c r="EZ81" s="12"/>
      <c r="FD81" s="9"/>
      <c r="FG81" s="5"/>
      <c r="FH81" s="12"/>
      <c r="FI81" s="12"/>
      <c r="FJ81" s="12"/>
      <c r="FK81" s="12"/>
      <c r="FL81" s="12"/>
      <c r="FM81" s="12"/>
      <c r="FN81" s="12"/>
      <c r="FO81" s="12"/>
      <c r="FP81" s="12"/>
      <c r="FT81" s="9"/>
      <c r="FW81" s="5"/>
      <c r="FX81" s="12"/>
      <c r="FY81" s="12"/>
      <c r="FZ81" s="12"/>
      <c r="GA81" s="12"/>
      <c r="GB81" s="12"/>
      <c r="GC81" s="12"/>
      <c r="GD81" s="12"/>
      <c r="GE81" s="12"/>
      <c r="GF81" s="12"/>
      <c r="GJ81" s="9"/>
      <c r="GN81" s="12"/>
      <c r="GO81" s="12"/>
      <c r="GP81" s="12"/>
      <c r="GQ81" s="12"/>
      <c r="GR81" s="12"/>
      <c r="GS81" s="12"/>
      <c r="GT81" s="12"/>
      <c r="GU81" s="12"/>
      <c r="GV81" s="12"/>
      <c r="GZ81" s="9"/>
      <c r="HD81" s="12"/>
      <c r="HE81" s="12"/>
      <c r="HF81" s="12"/>
      <c r="HG81" s="12"/>
      <c r="HH81" s="12"/>
      <c r="HI81" s="12"/>
      <c r="HJ81" s="12"/>
      <c r="HK81" s="12"/>
      <c r="HL81" s="12"/>
      <c r="HP81" s="9"/>
      <c r="HT81" s="12"/>
      <c r="HU81" s="12"/>
      <c r="HV81" s="12"/>
      <c r="HW81" s="12"/>
      <c r="HX81" s="12"/>
      <c r="HY81" s="12"/>
      <c r="HZ81" s="12"/>
      <c r="IA81" s="12"/>
      <c r="IB81" s="12"/>
      <c r="IF81" s="9"/>
      <c r="IJ81" s="12"/>
      <c r="IK81" s="12"/>
      <c r="IL81" s="12"/>
      <c r="IM81" s="12"/>
      <c r="IN81" s="12"/>
      <c r="IO81" s="12"/>
      <c r="IP81" s="12"/>
      <c r="IQ81" s="12"/>
      <c r="IR81" s="12"/>
      <c r="IV81" s="9"/>
      <c r="IZ81" s="12"/>
      <c r="JA81" s="12"/>
      <c r="JB81" s="12"/>
      <c r="JC81" s="12"/>
      <c r="JD81" s="12"/>
      <c r="JE81" s="12"/>
      <c r="JF81" s="12"/>
      <c r="JG81" s="12"/>
      <c r="JH81" s="12"/>
      <c r="JL81" s="9"/>
      <c r="JP81" s="12"/>
      <c r="JQ81" s="12"/>
      <c r="JR81" s="12"/>
      <c r="JS81" s="12"/>
      <c r="JT81" s="12"/>
      <c r="JU81" s="12"/>
      <c r="JV81" s="12"/>
      <c r="JW81" s="12"/>
      <c r="JX81" s="12"/>
      <c r="KB81" s="9"/>
      <c r="KF81" s="12"/>
      <c r="KG81" s="12"/>
      <c r="KH81" s="12"/>
      <c r="KI81" s="12"/>
      <c r="KJ81" s="12"/>
      <c r="KK81" s="12"/>
      <c r="KL81" s="12"/>
      <c r="KM81" s="12"/>
      <c r="KN81" s="12"/>
      <c r="KR81" s="9"/>
      <c r="KV81" s="12"/>
      <c r="KW81" s="12"/>
      <c r="KX81" s="12"/>
      <c r="KY81" s="12"/>
      <c r="KZ81" s="12"/>
      <c r="LA81" s="12"/>
      <c r="LB81" s="12"/>
      <c r="LC81" s="12"/>
      <c r="LD81" s="12"/>
      <c r="LH81" s="9"/>
      <c r="LL81" s="12"/>
      <c r="LM81" s="12"/>
      <c r="LN81" s="12"/>
      <c r="LO81" s="12"/>
      <c r="LP81" s="12"/>
      <c r="LQ81" s="12"/>
      <c r="LR81" s="12"/>
      <c r="LS81" s="12"/>
      <c r="LT81" s="12"/>
      <c r="LX81" s="9"/>
      <c r="MB81" s="12"/>
      <c r="MC81" s="12"/>
      <c r="MD81" s="12"/>
      <c r="ME81" s="12"/>
      <c r="MF81" s="12"/>
      <c r="MG81" s="12"/>
      <c r="MH81" s="12"/>
      <c r="MI81" s="12"/>
      <c r="MJ81" s="12"/>
      <c r="MN81" s="9"/>
      <c r="MR81" s="12"/>
      <c r="MS81" s="12"/>
      <c r="MT81" s="12"/>
      <c r="MU81" s="12"/>
      <c r="MV81" s="12"/>
      <c r="MW81" s="12"/>
      <c r="MX81" s="12"/>
      <c r="MY81" s="12"/>
      <c r="MZ81" s="12"/>
      <c r="ND81" s="9"/>
      <c r="NH81" s="12"/>
      <c r="NI81" s="12"/>
      <c r="NJ81" s="12"/>
      <c r="NK81" s="12"/>
      <c r="NL81" s="12"/>
      <c r="NM81" s="12"/>
      <c r="NN81" s="12"/>
      <c r="NO81" s="12"/>
      <c r="NP81" s="12"/>
      <c r="NT81" s="9"/>
      <c r="NX81" s="12"/>
      <c r="NY81" s="12"/>
      <c r="NZ81" s="12"/>
      <c r="OA81" s="12"/>
      <c r="OB81" s="12"/>
      <c r="OC81" s="12"/>
      <c r="OD81" s="12"/>
      <c r="OE81" s="12"/>
      <c r="OF81" s="12"/>
      <c r="OJ81" s="9"/>
    </row>
    <row r="82" spans="1:401" x14ac:dyDescent="0.2">
      <c r="A82" s="17" t="s">
        <v>1313</v>
      </c>
      <c r="B82" s="19" t="s">
        <v>1319</v>
      </c>
      <c r="C82" s="19" t="s">
        <v>1319</v>
      </c>
      <c r="D82" s="19" t="s">
        <v>1319</v>
      </c>
      <c r="E82" s="19" t="s">
        <v>1319</v>
      </c>
      <c r="F82" s="19" t="s">
        <v>1319</v>
      </c>
      <c r="G82" s="19" t="s">
        <v>1319</v>
      </c>
      <c r="H82" s="19" t="s">
        <v>1319</v>
      </c>
      <c r="I82" s="19" t="s">
        <v>1319</v>
      </c>
      <c r="J82" s="19" t="s">
        <v>1319</v>
      </c>
      <c r="O82" s="5"/>
      <c r="P82" s="12"/>
      <c r="Q82" s="12"/>
      <c r="R82" s="12"/>
      <c r="S82" s="12"/>
      <c r="T82" s="12"/>
      <c r="U82" s="12"/>
      <c r="V82" s="12"/>
      <c r="W82" s="12"/>
      <c r="X82" s="12"/>
      <c r="AG82" s="5"/>
      <c r="AH82" s="12"/>
      <c r="AI82" s="12"/>
      <c r="AJ82" s="12"/>
      <c r="AK82" s="12"/>
      <c r="AL82" s="12"/>
      <c r="AM82" s="12"/>
      <c r="AN82" s="12"/>
      <c r="AO82" s="12"/>
      <c r="AP82" s="12"/>
      <c r="AY82" s="5"/>
      <c r="AZ82" s="12"/>
      <c r="BA82" s="12"/>
      <c r="BB82" s="12"/>
      <c r="BC82" s="12"/>
      <c r="BD82" s="12"/>
      <c r="BE82" s="12"/>
      <c r="BF82" s="12"/>
      <c r="BG82" s="12"/>
      <c r="BH82" s="12"/>
      <c r="BL82" s="9"/>
      <c r="BO82" s="5"/>
      <c r="BP82" s="12"/>
      <c r="BQ82" s="12"/>
      <c r="BR82" s="12"/>
      <c r="BS82" s="12"/>
      <c r="BT82" s="12"/>
      <c r="BU82" s="12"/>
      <c r="BV82" s="12"/>
      <c r="BW82" s="12"/>
      <c r="BX82" s="12"/>
      <c r="CB82" s="9"/>
      <c r="CE82" s="5"/>
      <c r="CF82" s="12"/>
      <c r="CG82" s="12"/>
      <c r="CH82" s="12"/>
      <c r="CI82" s="12"/>
      <c r="CJ82" s="12"/>
      <c r="CK82" s="12"/>
      <c r="CL82" s="12"/>
      <c r="CM82" s="12"/>
      <c r="CN82" s="12"/>
      <c r="CR82" s="9"/>
      <c r="CU82" s="5"/>
      <c r="CV82" s="12"/>
      <c r="CW82" s="12"/>
      <c r="CX82" s="12"/>
      <c r="CY82" s="12"/>
      <c r="CZ82" s="12"/>
      <c r="DA82" s="12"/>
      <c r="DB82" s="12"/>
      <c r="DC82" s="12"/>
      <c r="DD82" s="12"/>
      <c r="DH82" s="9"/>
      <c r="DK82" s="5"/>
      <c r="DL82" s="12"/>
      <c r="DM82" s="12"/>
      <c r="DN82" s="12"/>
      <c r="DO82" s="12"/>
      <c r="DP82" s="12"/>
      <c r="DQ82" s="12"/>
      <c r="DR82" s="12"/>
      <c r="DS82" s="12"/>
      <c r="DT82" s="12"/>
      <c r="DX82" s="9"/>
      <c r="EA82" s="5"/>
      <c r="EB82" s="12"/>
      <c r="EC82" s="12"/>
      <c r="ED82" s="12"/>
      <c r="EE82" s="12"/>
      <c r="EF82" s="12"/>
      <c r="EG82" s="12"/>
      <c r="EH82" s="12"/>
      <c r="EI82" s="12"/>
      <c r="EJ82" s="12"/>
      <c r="EN82" s="9"/>
      <c r="EQ82" s="5"/>
      <c r="ER82" s="12"/>
      <c r="ES82" s="12"/>
      <c r="ET82" s="12"/>
      <c r="EU82" s="12"/>
      <c r="EV82" s="12"/>
      <c r="EW82" s="12"/>
      <c r="EX82" s="12"/>
      <c r="EY82" s="12"/>
      <c r="EZ82" s="12"/>
      <c r="FD82" s="9"/>
      <c r="FG82" s="5"/>
      <c r="FH82" s="12"/>
      <c r="FI82" s="12"/>
      <c r="FJ82" s="12"/>
      <c r="FK82" s="12"/>
      <c r="FL82" s="12"/>
      <c r="FM82" s="12"/>
      <c r="FN82" s="12"/>
      <c r="FO82" s="12"/>
      <c r="FP82" s="12"/>
      <c r="FT82" s="9"/>
      <c r="FW82" s="5"/>
      <c r="FX82" s="12"/>
      <c r="FY82" s="12"/>
      <c r="FZ82" s="12"/>
      <c r="GA82" s="12"/>
      <c r="GB82" s="12"/>
      <c r="GC82" s="12"/>
      <c r="GD82" s="12"/>
      <c r="GE82" s="12"/>
      <c r="GF82" s="12"/>
      <c r="GJ82" s="9"/>
      <c r="GN82" s="12"/>
      <c r="GO82" s="12"/>
      <c r="GP82" s="12"/>
      <c r="GQ82" s="12"/>
      <c r="GR82" s="12"/>
      <c r="GS82" s="12"/>
      <c r="GT82" s="12"/>
      <c r="GU82" s="12"/>
      <c r="GV82" s="12"/>
      <c r="GZ82" s="9"/>
      <c r="HD82" s="12"/>
      <c r="HE82" s="12"/>
      <c r="HF82" s="12"/>
      <c r="HG82" s="12"/>
      <c r="HH82" s="12"/>
      <c r="HI82" s="12"/>
      <c r="HJ82" s="12"/>
      <c r="HK82" s="12"/>
      <c r="HL82" s="12"/>
      <c r="HP82" s="9"/>
      <c r="HT82" s="12"/>
      <c r="HU82" s="12"/>
      <c r="HV82" s="12"/>
      <c r="HW82" s="12"/>
      <c r="HX82" s="12"/>
      <c r="HY82" s="12"/>
      <c r="HZ82" s="12"/>
      <c r="IA82" s="12"/>
      <c r="IB82" s="12"/>
      <c r="IF82" s="9"/>
      <c r="IJ82" s="12"/>
      <c r="IK82" s="12"/>
      <c r="IL82" s="12"/>
      <c r="IM82" s="12"/>
      <c r="IN82" s="12"/>
      <c r="IO82" s="12"/>
      <c r="IP82" s="12"/>
      <c r="IQ82" s="12"/>
      <c r="IR82" s="12"/>
      <c r="IV82" s="9"/>
      <c r="IZ82" s="12"/>
      <c r="JA82" s="12"/>
      <c r="JB82" s="12"/>
      <c r="JC82" s="12"/>
      <c r="JD82" s="12"/>
      <c r="JE82" s="12"/>
      <c r="JF82" s="12"/>
      <c r="JG82" s="12"/>
      <c r="JH82" s="12"/>
      <c r="JL82" s="9"/>
      <c r="JP82" s="12"/>
      <c r="JQ82" s="12"/>
      <c r="JR82" s="12"/>
      <c r="JS82" s="12"/>
      <c r="JT82" s="12"/>
      <c r="JU82" s="12"/>
      <c r="JV82" s="12"/>
      <c r="JW82" s="12"/>
      <c r="JX82" s="12"/>
      <c r="KB82" s="9"/>
      <c r="KF82" s="12"/>
      <c r="KG82" s="12"/>
      <c r="KH82" s="12"/>
      <c r="KI82" s="12"/>
      <c r="KJ82" s="12"/>
      <c r="KK82" s="12"/>
      <c r="KL82" s="12"/>
      <c r="KM82" s="12"/>
      <c r="KN82" s="12"/>
      <c r="KR82" s="9"/>
      <c r="KV82" s="12"/>
      <c r="KW82" s="12"/>
      <c r="KX82" s="12"/>
      <c r="KY82" s="12"/>
      <c r="KZ82" s="12"/>
      <c r="LA82" s="12"/>
      <c r="LB82" s="12"/>
      <c r="LC82" s="12"/>
      <c r="LD82" s="12"/>
      <c r="LH82" s="9"/>
      <c r="LL82" s="12"/>
      <c r="LM82" s="12"/>
      <c r="LN82" s="12"/>
      <c r="LO82" s="12"/>
      <c r="LP82" s="12"/>
      <c r="LQ82" s="12"/>
      <c r="LR82" s="12"/>
      <c r="LS82" s="12"/>
      <c r="LT82" s="12"/>
      <c r="LX82" s="9"/>
      <c r="MB82" s="12"/>
      <c r="MC82" s="12"/>
      <c r="MD82" s="12"/>
      <c r="ME82" s="12"/>
      <c r="MF82" s="12"/>
      <c r="MG82" s="12"/>
      <c r="MH82" s="12"/>
      <c r="MI82" s="12"/>
      <c r="MJ82" s="12"/>
      <c r="MN82" s="9"/>
      <c r="MR82" s="12"/>
      <c r="MS82" s="12"/>
      <c r="MT82" s="12"/>
      <c r="MU82" s="12"/>
      <c r="MV82" s="12"/>
      <c r="MW82" s="12"/>
      <c r="MX82" s="12"/>
      <c r="MY82" s="12"/>
      <c r="MZ82" s="12"/>
      <c r="ND82" s="9"/>
      <c r="NH82" s="12"/>
      <c r="NI82" s="12"/>
      <c r="NJ82" s="12"/>
      <c r="NK82" s="12"/>
      <c r="NL82" s="12"/>
      <c r="NM82" s="12"/>
      <c r="NN82" s="12"/>
      <c r="NO82" s="12"/>
      <c r="NP82" s="12"/>
      <c r="NT82" s="9"/>
      <c r="NX82" s="12"/>
      <c r="NY82" s="12"/>
      <c r="NZ82" s="12"/>
      <c r="OA82" s="12"/>
      <c r="OB82" s="12"/>
      <c r="OC82" s="12"/>
      <c r="OD82" s="12"/>
      <c r="OE82" s="12"/>
      <c r="OF82" s="12"/>
      <c r="OJ82" s="9"/>
    </row>
    <row r="83" spans="1:401" x14ac:dyDescent="0.2">
      <c r="A83" s="17" t="s">
        <v>1314</v>
      </c>
      <c r="B83" s="19" t="s">
        <v>1319</v>
      </c>
      <c r="C83" s="19" t="s">
        <v>1319</v>
      </c>
      <c r="D83" s="19" t="s">
        <v>1319</v>
      </c>
      <c r="E83" s="19" t="s">
        <v>1319</v>
      </c>
      <c r="F83" s="19" t="s">
        <v>1319</v>
      </c>
      <c r="G83" s="19" t="s">
        <v>1319</v>
      </c>
      <c r="H83" s="19" t="s">
        <v>1319</v>
      </c>
      <c r="I83" s="19" t="s">
        <v>1319</v>
      </c>
      <c r="J83" s="19" t="s">
        <v>1319</v>
      </c>
      <c r="O83" s="17"/>
      <c r="P83" s="12"/>
      <c r="Q83" s="12"/>
      <c r="R83" s="12"/>
      <c r="S83" s="12"/>
      <c r="T83" s="12"/>
      <c r="U83" s="12"/>
      <c r="V83" s="12"/>
      <c r="W83" s="12"/>
      <c r="X83" s="12"/>
      <c r="AG83" s="17"/>
      <c r="AH83" s="12"/>
      <c r="AI83" s="12"/>
      <c r="AJ83" s="12"/>
      <c r="AK83" s="12"/>
      <c r="AL83" s="12"/>
      <c r="AM83" s="12"/>
      <c r="AN83" s="12"/>
      <c r="AO83" s="12"/>
      <c r="AP83" s="12"/>
      <c r="AY83" s="5"/>
      <c r="AZ83" s="12"/>
      <c r="BA83" s="12"/>
      <c r="BB83" s="12"/>
      <c r="BC83" s="12"/>
      <c r="BD83" s="12"/>
      <c r="BE83" s="12"/>
      <c r="BF83" s="12"/>
      <c r="BG83" s="12"/>
      <c r="BH83" s="12"/>
      <c r="BL83" s="9"/>
      <c r="BO83" s="5"/>
      <c r="BP83" s="12"/>
      <c r="BQ83" s="12"/>
      <c r="BR83" s="12"/>
      <c r="BS83" s="12"/>
      <c r="BT83" s="12"/>
      <c r="BU83" s="12"/>
      <c r="BV83" s="12"/>
      <c r="BW83" s="12"/>
      <c r="BX83" s="12"/>
      <c r="CB83" s="9"/>
      <c r="CE83" s="5"/>
      <c r="CF83" s="12"/>
      <c r="CG83" s="12"/>
      <c r="CH83" s="12"/>
      <c r="CI83" s="12"/>
      <c r="CJ83" s="12"/>
      <c r="CK83" s="12"/>
      <c r="CL83" s="12"/>
      <c r="CM83" s="12"/>
      <c r="CN83" s="12"/>
      <c r="CR83" s="9"/>
      <c r="CU83" s="5"/>
      <c r="CV83" s="12"/>
      <c r="CW83" s="12"/>
      <c r="CX83" s="12"/>
      <c r="CY83" s="12"/>
      <c r="CZ83" s="12"/>
      <c r="DA83" s="12"/>
      <c r="DB83" s="12"/>
      <c r="DC83" s="12"/>
      <c r="DD83" s="12"/>
      <c r="DH83" s="9"/>
      <c r="DK83" s="5"/>
      <c r="DL83" s="12"/>
      <c r="DM83" s="12"/>
      <c r="DN83" s="12"/>
      <c r="DO83" s="12"/>
      <c r="DP83" s="12"/>
      <c r="DQ83" s="12"/>
      <c r="DR83" s="12"/>
      <c r="DS83" s="12"/>
      <c r="DT83" s="12"/>
      <c r="DX83" s="9"/>
      <c r="EA83" s="5"/>
      <c r="EB83" s="12"/>
      <c r="EC83" s="12"/>
      <c r="ED83" s="12"/>
      <c r="EE83" s="12"/>
      <c r="EF83" s="12"/>
      <c r="EG83" s="12"/>
      <c r="EH83" s="12"/>
      <c r="EI83" s="12"/>
      <c r="EJ83" s="12"/>
      <c r="EN83" s="9"/>
      <c r="EQ83" s="5"/>
      <c r="ER83" s="12"/>
      <c r="ES83" s="12"/>
      <c r="ET83" s="12"/>
      <c r="EU83" s="12"/>
      <c r="EV83" s="12"/>
      <c r="EW83" s="12"/>
      <c r="EX83" s="12"/>
      <c r="EY83" s="12"/>
      <c r="EZ83" s="12"/>
      <c r="FD83" s="9"/>
      <c r="FG83" s="5"/>
      <c r="FH83" s="12"/>
      <c r="FI83" s="12"/>
      <c r="FJ83" s="12"/>
      <c r="FK83" s="12"/>
      <c r="FL83" s="12"/>
      <c r="FM83" s="12"/>
      <c r="FN83" s="12"/>
      <c r="FO83" s="12"/>
      <c r="FP83" s="12"/>
      <c r="FT83" s="9"/>
      <c r="FW83" s="5"/>
      <c r="FX83" s="12"/>
      <c r="FY83" s="12"/>
      <c r="FZ83" s="12"/>
      <c r="GA83" s="12"/>
      <c r="GB83" s="12"/>
      <c r="GC83" s="12"/>
      <c r="GD83" s="12"/>
      <c r="GE83" s="12"/>
      <c r="GF83" s="12"/>
      <c r="GJ83" s="9"/>
      <c r="GN83" s="12"/>
      <c r="GO83" s="12"/>
      <c r="GP83" s="12"/>
      <c r="GQ83" s="12"/>
      <c r="GR83" s="12"/>
      <c r="GS83" s="12"/>
      <c r="GT83" s="12"/>
      <c r="GU83" s="12"/>
      <c r="GV83" s="12"/>
      <c r="GZ83" s="9"/>
      <c r="HD83" s="12"/>
      <c r="HE83" s="12"/>
      <c r="HF83" s="12"/>
      <c r="HG83" s="12"/>
      <c r="HH83" s="12"/>
      <c r="HI83" s="12"/>
      <c r="HJ83" s="12"/>
      <c r="HK83" s="12"/>
      <c r="HL83" s="12"/>
      <c r="HP83" s="9"/>
      <c r="HT83" s="12"/>
      <c r="HU83" s="12"/>
      <c r="HV83" s="12"/>
      <c r="HW83" s="12"/>
      <c r="HX83" s="12"/>
      <c r="HY83" s="12"/>
      <c r="HZ83" s="12"/>
      <c r="IA83" s="12"/>
      <c r="IB83" s="12"/>
      <c r="IF83" s="9"/>
      <c r="IJ83" s="12"/>
      <c r="IK83" s="12"/>
      <c r="IL83" s="12"/>
      <c r="IM83" s="12"/>
      <c r="IN83" s="12"/>
      <c r="IO83" s="12"/>
      <c r="IP83" s="12"/>
      <c r="IQ83" s="12"/>
      <c r="IR83" s="12"/>
      <c r="IV83" s="9"/>
      <c r="IZ83" s="12"/>
      <c r="JA83" s="12"/>
      <c r="JB83" s="12"/>
      <c r="JC83" s="12"/>
      <c r="JD83" s="12"/>
      <c r="JE83" s="12"/>
      <c r="JF83" s="12"/>
      <c r="JG83" s="12"/>
      <c r="JH83" s="12"/>
      <c r="JL83" s="9"/>
      <c r="JP83" s="12"/>
      <c r="JQ83" s="12"/>
      <c r="JR83" s="12"/>
      <c r="JS83" s="12"/>
      <c r="JT83" s="12"/>
      <c r="JU83" s="12"/>
      <c r="JV83" s="12"/>
      <c r="JW83" s="12"/>
      <c r="JX83" s="12"/>
      <c r="KB83" s="9"/>
      <c r="KF83" s="12"/>
      <c r="KG83" s="12"/>
      <c r="KH83" s="12"/>
      <c r="KI83" s="12"/>
      <c r="KJ83" s="12"/>
      <c r="KK83" s="12"/>
      <c r="KL83" s="12"/>
      <c r="KM83" s="12"/>
      <c r="KN83" s="12"/>
      <c r="KR83" s="9"/>
      <c r="KV83" s="12"/>
      <c r="KW83" s="12"/>
      <c r="KX83" s="12"/>
      <c r="KY83" s="12"/>
      <c r="KZ83" s="12"/>
      <c r="LA83" s="12"/>
      <c r="LB83" s="12"/>
      <c r="LC83" s="12"/>
      <c r="LD83" s="12"/>
      <c r="LH83" s="9"/>
      <c r="LL83" s="12"/>
      <c r="LM83" s="12"/>
      <c r="LN83" s="12"/>
      <c r="LO83" s="12"/>
      <c r="LP83" s="12"/>
      <c r="LQ83" s="12"/>
      <c r="LR83" s="12"/>
      <c r="LS83" s="12"/>
      <c r="LT83" s="12"/>
      <c r="LX83" s="9"/>
      <c r="MB83" s="12"/>
      <c r="MC83" s="12"/>
      <c r="MD83" s="12"/>
      <c r="ME83" s="12"/>
      <c r="MF83" s="12"/>
      <c r="MG83" s="12"/>
      <c r="MH83" s="12"/>
      <c r="MI83" s="12"/>
      <c r="MJ83" s="12"/>
      <c r="MN83" s="9"/>
      <c r="MR83" s="12"/>
      <c r="MS83" s="12"/>
      <c r="MT83" s="12"/>
      <c r="MU83" s="12"/>
      <c r="MV83" s="12"/>
      <c r="MW83" s="12"/>
      <c r="MX83" s="12"/>
      <c r="MY83" s="12"/>
      <c r="MZ83" s="12"/>
      <c r="ND83" s="9"/>
      <c r="NH83" s="12"/>
      <c r="NI83" s="12"/>
      <c r="NJ83" s="12"/>
      <c r="NK83" s="12"/>
      <c r="NL83" s="12"/>
      <c r="NM83" s="12"/>
      <c r="NN83" s="12"/>
      <c r="NO83" s="12"/>
      <c r="NP83" s="12"/>
      <c r="NT83" s="9"/>
      <c r="NX83" s="12"/>
      <c r="NY83" s="12"/>
      <c r="NZ83" s="12"/>
      <c r="OA83" s="12"/>
      <c r="OB83" s="12"/>
      <c r="OC83" s="12"/>
      <c r="OD83" s="12"/>
      <c r="OE83" s="12"/>
      <c r="OF83" s="12"/>
      <c r="OJ83" s="9"/>
    </row>
    <row r="84" spans="1:401" x14ac:dyDescent="0.2">
      <c r="A84" s="17" t="s">
        <v>1725</v>
      </c>
      <c r="B84" s="12">
        <f t="shared" ref="B84" si="647">P84+AH84+AZ84+BP84+CF84+CV84+DL84+EB84+ER84+FH84+FX84+GN84+HD84+HT84+IJ84+IZ84+JP84+KF84+KV84+LL84+MB84+MR84+NH84+NX84</f>
        <v>0</v>
      </c>
      <c r="C84" s="12">
        <f t="shared" ref="C84" si="648">Q84+AI84+BA84+BQ84+CG84+CW84+DM84+EC84+ES84+FI84+FY84+GO84+HE84+HU84+IK84+JA84+JQ84+KG84+KW84+LM84+MC84+MS84+NI84+NY84</f>
        <v>0</v>
      </c>
      <c r="D84" s="12">
        <f t="shared" ref="D84" si="649">R84+AJ84+BB84+BR84+CH84+CX84+DN84+ED84+ET84+FJ84+FZ84+GP84+HF84+HV84+IL84+JB84+JR84+KH84+KX84+LN84+MD84+MT84+NJ84+NZ84</f>
        <v>0</v>
      </c>
      <c r="E84" s="12">
        <f t="shared" ref="E84" si="650">S84+AK84+BC84+BS84+CI84+CY84+DO84+EE84+EU84+FK84+GA84+GQ84+HG84+HW84+IM84+JC84+JS84+KI84+KY84+LO84+ME84+MU84+NK84+OA84</f>
        <v>0</v>
      </c>
      <c r="F84" s="12">
        <f t="shared" ref="F84" si="651">T84+AL84+BD84+BT84+CJ84+CZ84+DP84+EF84+EV84+FL84+GB84+GR84+HH84+HX84+IN84+JD84+JT84+KJ84+KZ84+LP84+MF84+MV84+NL84+OB84</f>
        <v>0</v>
      </c>
      <c r="G84" s="12">
        <f t="shared" ref="G84" si="652">U84+AM84+BE84+BU84+CK84+DA84+DQ84+EG84+EW84+FM84+GC84+GS84+HI84+HY84+IO84+JE84+JU84+KK84+LA84+LQ84+MG84+MW84+NM84+OC84</f>
        <v>0</v>
      </c>
      <c r="H84" s="12">
        <f t="shared" ref="H84" si="653">V84+AN84+BF84+BV84+CL84+DB84+DR84+EH84+EX84+FN84+GD84+GT84+HJ84+HZ84+IP84+JF84+JV84+KL84+LB84+LR84+MH84+MX84+NN84+OD84</f>
        <v>0</v>
      </c>
      <c r="I84" s="12">
        <f t="shared" ref="I84" si="654">W84+AO84+BG84+BW84+CM84+DC84+DS84+EI84+EY84+FO84+GE84+GU84+HK84+IA84+IQ84+JG84+JW84+KM84+LC84+LS84+MI84+MY84+NO84+OE84</f>
        <v>0</v>
      </c>
      <c r="J84" s="12">
        <f t="shared" ref="J84" si="655">X84+AP84+BH84+BX84+CN84+DD84+DT84+EJ84+EZ84+FP84+GF84+GV84+HL84+IB84+IR84+JH84+JX84+KN84+LD84+LT84+MJ84+MZ84+NP84+OF84</f>
        <v>0</v>
      </c>
      <c r="O84" s="17"/>
      <c r="P84" s="12" cm="1">
        <f t="array" ref="P84">_xlfn.SWITCH(P$4, 0,0, 1, AA84,2,AC84,3,AE84,0)</f>
        <v>0</v>
      </c>
      <c r="Q84" s="12" cm="1">
        <f t="array" ref="Q84">_xlfn.SWITCH(Q$4, 0,0, 1, AA84,2,AC84,3,AE84,0)+P84</f>
        <v>0</v>
      </c>
      <c r="R84" s="12" cm="1">
        <f t="array" ref="R84">_xlfn.SWITCH(R$4, 0,0, 1, AA84,2,AC84,3,AE84,0)+Q84</f>
        <v>0</v>
      </c>
      <c r="S84" s="12" cm="1">
        <f t="array" ref="S84">_xlfn.SWITCH(S$4, 0,0, 1, AA84,2,AC84,3,AE84,0)+R84</f>
        <v>0</v>
      </c>
      <c r="T84" s="12" cm="1">
        <f t="array" ref="T84">_xlfn.SWITCH(T$4, 0,0, 1, AA84,2,AC84,3,AE84,0)+S84</f>
        <v>0</v>
      </c>
      <c r="U84" s="12" cm="1">
        <f t="array" ref="U84">_xlfn.SWITCH(U$4, 0,0, 1, AA84,2,AC84,3,AE84,0)+T84</f>
        <v>0</v>
      </c>
      <c r="V84" s="12" cm="1">
        <f t="array" ref="V84">_xlfn.SWITCH(V$4, 0,0, 1, AA84,2,AC84,3,AE84,0)+U84</f>
        <v>0</v>
      </c>
      <c r="W84" s="12" cm="1">
        <f t="array" ref="W84">_xlfn.SWITCH(W$4, 0,0, 1, AA84,2,AC84,3,AE84,0)+V84</f>
        <v>0</v>
      </c>
      <c r="X84" s="12" cm="1">
        <f t="array" ref="X84">_xlfn.SWITCH(X$4, 0,0, 1, AA84,2,AC84,3,AE84,0)+W84</f>
        <v>0</v>
      </c>
      <c r="Z84" t="s">
        <v>1304</v>
      </c>
      <c r="AA84">
        <f>_xlfn.XLOOKUP(Z84,'KPI Impacts'!$K$2:$Q$2,'KPI Impacts'!$K84:$Q84)</f>
        <v>0</v>
      </c>
      <c r="AB84" t="s">
        <v>1304</v>
      </c>
      <c r="AC84">
        <f>_xlfn.XLOOKUP(AB84,'KPI Impacts'!$K$2:$Q$2,'KPI Impacts'!$K84:$Q84)</f>
        <v>0</v>
      </c>
      <c r="AD84" t="s">
        <v>1304</v>
      </c>
      <c r="AE84">
        <f>_xlfn.XLOOKUP(AD84,'KPI Impacts'!$K$2:$Q$2,'KPI Impacts'!$K84:$Q84)</f>
        <v>0</v>
      </c>
      <c r="AG84" s="17"/>
      <c r="AH84" s="12" cm="1">
        <f t="array" ref="AH84">_xlfn.SWITCH(AH$4, 0,0, 1, AS84,2,AU84,3,AW84,0)</f>
        <v>0</v>
      </c>
      <c r="AI84" s="12" cm="1">
        <f t="array" ref="AI84">_xlfn.SWITCH(AI$4, 0,0, 1, AS84,2,AU84,3,AW84,0)+AH84</f>
        <v>0</v>
      </c>
      <c r="AJ84" s="12" cm="1">
        <f t="array" ref="AJ84">_xlfn.SWITCH(AJ$4, 0,0, 1, AS84,2,AU84,3,AW84,0)+AI84</f>
        <v>0</v>
      </c>
      <c r="AK84" s="12" cm="1">
        <f t="array" ref="AK84">_xlfn.SWITCH(AK$4, 0,0, 1, AS84,2,AU84,3,AW84,0)+AJ84</f>
        <v>0</v>
      </c>
      <c r="AL84" s="12" cm="1">
        <f t="array" ref="AL84">_xlfn.SWITCH(AL$4, 0,0, 1, AS84,2,AU84,3,AW84,0)+AK84</f>
        <v>0</v>
      </c>
      <c r="AM84" s="12" cm="1">
        <f t="array" ref="AM84">_xlfn.SWITCH(AM$4, 0,0, 1, AS84,2,AU84,3,AW84,0)+AL84</f>
        <v>0</v>
      </c>
      <c r="AN84" s="12" cm="1">
        <f t="array" ref="AN84">_xlfn.SWITCH(AN$4, 0,0, 1, AS84,2,AU84,3,AW84,0)+AM84</f>
        <v>0</v>
      </c>
      <c r="AO84" s="12" cm="1">
        <f t="array" ref="AO84">_xlfn.SWITCH(AO$4, 0,0, 1, AS84,2,AU84,3,AW84,0)+AN84</f>
        <v>0</v>
      </c>
      <c r="AP84" s="12" cm="1">
        <f t="array" ref="AP84">_xlfn.SWITCH(AP$4, 0,0, 1, AS84,2,AU84,3,AW84,0)+AO84</f>
        <v>0</v>
      </c>
      <c r="AR84" t="s">
        <v>1304</v>
      </c>
      <c r="AS84">
        <f>_xlfn.XLOOKUP(AR84,'KPI Impacts'!$K$2:$Q$2,'KPI Impacts'!$K84:$Q84)</f>
        <v>0</v>
      </c>
      <c r="AT84" t="s">
        <v>1304</v>
      </c>
      <c r="AU84">
        <f>_xlfn.XLOOKUP(AT84,'KPI Impacts'!$K$2:$Q$2,'KPI Impacts'!$K84:$Q84)</f>
        <v>0</v>
      </c>
      <c r="AV84" t="s">
        <v>1304</v>
      </c>
      <c r="AW84">
        <f>_xlfn.XLOOKUP(AV84,'KPI Impacts'!$K$2:$Q$2,'KPI Impacts'!$K84:$Q84)</f>
        <v>0</v>
      </c>
      <c r="AY84" s="17"/>
      <c r="AZ84" s="12">
        <f>AZ$4*BK84</f>
        <v>0</v>
      </c>
      <c r="BA84" s="12">
        <f>BA$4 * IF(AND(AZ$4=1,AZ$20=1), BM84, BK84)</f>
        <v>0</v>
      </c>
      <c r="BB84" s="12">
        <f>BB$4 * IF(AND(BA$4=1,AZ$20=1), BM84, BK84)</f>
        <v>0</v>
      </c>
      <c r="BC84" s="12">
        <f>BC$4 * IF(AND(BB$4=1,AZ$20=1), BM84, BK84)</f>
        <v>0</v>
      </c>
      <c r="BD84" s="12">
        <f>BD$4 * IF(AND(BC$4=1,AZ$20=1), BM84, BK84)</f>
        <v>0</v>
      </c>
      <c r="BE84" s="12">
        <f>BE$4 * IF(AND(BD$4=1,AZ$20=1), BM84, BK84)</f>
        <v>0</v>
      </c>
      <c r="BF84" s="12">
        <f>BF$4 * IF(AND(BE$4=1,AZ$20=1), BM84, BK84)</f>
        <v>0</v>
      </c>
      <c r="BG84" s="12">
        <f>BG$4 * IF(AND(BF$4=1,AZ$20=1), BM84, BK84)</f>
        <v>0</v>
      </c>
      <c r="BH84" s="12">
        <f>BH$4 * IF(AND(BG$4=1,AZ$20=1), BM84, BK84)</f>
        <v>0</v>
      </c>
      <c r="BJ84" t="s">
        <v>1304</v>
      </c>
      <c r="BK84">
        <f>_xlfn.XLOOKUP(BJ84,'KPI Impacts'!$B$2:$H$2,'KPI Impacts'!$B84:$H84)</f>
        <v>0</v>
      </c>
      <c r="BL84" s="35" t="s">
        <v>1304</v>
      </c>
      <c r="BM84">
        <f>_xlfn.XLOOKUP(BL84,'KPI Impacts'!$B$2:$H$2,'KPI Impacts'!$B84:$H84)</f>
        <v>0</v>
      </c>
      <c r="BO84" s="17"/>
      <c r="BP84" s="12">
        <f>BP$4*CA84</f>
        <v>0</v>
      </c>
      <c r="BQ84" s="12">
        <f>BQ$4 * IF(AND(BP$4=1,BP$20=1), CC84, CA84)</f>
        <v>0</v>
      </c>
      <c r="BR84" s="12">
        <f>BR$4 * IF(AND(BQ$4=1,BP$20=1), CC84, CA84)</f>
        <v>0</v>
      </c>
      <c r="BS84" s="12">
        <f>BS$4 * IF(AND(BR$4=1,BP$20=1), CC84, CA84)</f>
        <v>0</v>
      </c>
      <c r="BT84" s="12">
        <f>BT$4 * IF(AND(BS$4=1,BP$20=1), CC84, CA84)</f>
        <v>0</v>
      </c>
      <c r="BU84" s="12">
        <f>BU$4 * IF(AND(BT$4=1,BP$20=1), CC84, CA84)</f>
        <v>0</v>
      </c>
      <c r="BV84" s="12">
        <f>BV$4 * IF(AND(BU$4=1,BP$20=1), CC84, CA84)</f>
        <v>0</v>
      </c>
      <c r="BW84" s="12">
        <f>BW$4 * IF(AND(BV$4=1,BP$20=1), CC84, CA84)</f>
        <v>0</v>
      </c>
      <c r="BX84" s="12">
        <f>BX$4 * IF(AND(BW$4=1,BP$20=1), CC84, CA84)</f>
        <v>0</v>
      </c>
      <c r="BZ84" t="s">
        <v>1304</v>
      </c>
      <c r="CA84">
        <f>_xlfn.XLOOKUP(BZ84,'KPI Impacts'!$B$2:$H$2,'KPI Impacts'!$B84:$H84)</f>
        <v>0</v>
      </c>
      <c r="CB84" s="35" t="s">
        <v>1304</v>
      </c>
      <c r="CC84">
        <f>_xlfn.XLOOKUP(CB84,'KPI Impacts'!$B$2:$H$2,'KPI Impacts'!$B84:$H84)</f>
        <v>0</v>
      </c>
      <c r="CE84" s="17"/>
      <c r="CF84" s="12">
        <f>CF$4*CQ84</f>
        <v>0</v>
      </c>
      <c r="CG84" s="12">
        <f>CG$4 * IF(AND(CF$4=1,CF$20=1), CS84, CQ84)</f>
        <v>0</v>
      </c>
      <c r="CH84" s="12">
        <f>CH$4 * IF(AND(CG$4=1,CF$20=1), CS84, CQ84)</f>
        <v>0</v>
      </c>
      <c r="CI84" s="12">
        <f>CI$4 * IF(AND(CH$4=1,CF$20=1), CS84, CQ84)</f>
        <v>0</v>
      </c>
      <c r="CJ84" s="12">
        <f>CJ$4 * IF(AND(CI$4=1,CF$20=1), CS84, CQ84)</f>
        <v>0</v>
      </c>
      <c r="CK84" s="12">
        <f>CK$4 * IF(AND(CJ$4=1,CF$20=1), CS84, CQ84)</f>
        <v>0</v>
      </c>
      <c r="CL84" s="12">
        <f>CL$4 * IF(AND(CK$4=1,CF$20=1), CS84, CQ84)</f>
        <v>0</v>
      </c>
      <c r="CM84" s="12">
        <f>CM$4 * IF(AND(CL$4=1,CF$20=1), CS84, CQ84)</f>
        <v>0</v>
      </c>
      <c r="CN84" s="12">
        <f>CN$4 * IF(AND(CM$4=1,CF$20=1), CS84, CQ84)</f>
        <v>0</v>
      </c>
      <c r="CP84" t="s">
        <v>1304</v>
      </c>
      <c r="CQ84">
        <f>_xlfn.XLOOKUP(CP84,'KPI Impacts'!$B$2:$H$2,'KPI Impacts'!$B84:$H84)</f>
        <v>0</v>
      </c>
      <c r="CR84" s="35" t="s">
        <v>1304</v>
      </c>
      <c r="CS84">
        <f>_xlfn.XLOOKUP(CR84,'KPI Impacts'!$B$2:$H$2,'KPI Impacts'!$B84:$H84)</f>
        <v>0</v>
      </c>
      <c r="CU84" s="17"/>
      <c r="CV84" s="12">
        <f>CV$4*DG84</f>
        <v>0</v>
      </c>
      <c r="CW84" s="12">
        <f>CW$4 * IF(AND(CV$4=1,CV$20=1), DI84, DG84)</f>
        <v>0</v>
      </c>
      <c r="CX84" s="12">
        <f>CX$4 * IF(AND(CW$4=1,CV$20=1), DI84, DG84)</f>
        <v>0</v>
      </c>
      <c r="CY84" s="12">
        <f>CY$4 * IF(AND(CX$4=1,CV$20=1), DI84, DG84)</f>
        <v>0</v>
      </c>
      <c r="CZ84" s="12">
        <f>CZ$4 * IF(AND(CY$4=1,CV$20=1), DI84, DG84)</f>
        <v>0</v>
      </c>
      <c r="DA84" s="12">
        <f>DA$4 * IF(AND(CZ$4=1,CV$20=1), DI84, DG84)</f>
        <v>0</v>
      </c>
      <c r="DB84" s="12">
        <f>DB$4 * IF(AND(DA$4=1,CV$20=1), DI84, DG84)</f>
        <v>0</v>
      </c>
      <c r="DC84" s="12">
        <f>DC$4 * IF(AND(DB$4=1,CV$20=1), DI84, DG84)</f>
        <v>0</v>
      </c>
      <c r="DD84" s="12">
        <f>DD$4 * IF(AND(DC$4=1,CV$20=1), DI84, DG84)</f>
        <v>0</v>
      </c>
      <c r="DF84" t="s">
        <v>1304</v>
      </c>
      <c r="DG84">
        <f>_xlfn.XLOOKUP(DF84,'KPI Impacts'!$B$2:$H$2,'KPI Impacts'!$B84:$H84)</f>
        <v>0</v>
      </c>
      <c r="DH84" s="35" t="s">
        <v>1304</v>
      </c>
      <c r="DI84">
        <f>_xlfn.XLOOKUP(DH84,'KPI Impacts'!$B$2:$H$2,'KPI Impacts'!$B84:$H84)</f>
        <v>0</v>
      </c>
      <c r="DK84" s="17"/>
      <c r="DL84" s="12">
        <f>DL$4*DW84</f>
        <v>0</v>
      </c>
      <c r="DM84" s="12">
        <f>DM$4 * IF(AND(DL$4=1,DL$20=1), DY84, DW84)</f>
        <v>0</v>
      </c>
      <c r="DN84" s="12">
        <f>DN$4 * IF(AND(DM$4=1,DL$20=1), DY84, DW84)</f>
        <v>0</v>
      </c>
      <c r="DO84" s="12">
        <f>DO$4 * IF(AND(DN$4=1,DL$20=1), DY84, DW84)</f>
        <v>0</v>
      </c>
      <c r="DP84" s="12">
        <f>DP$4 * IF(AND(DO$4=1,DL$20=1), DY84, DW84)</f>
        <v>0</v>
      </c>
      <c r="DQ84" s="12">
        <f>DQ$4 * IF(AND(DP$4=1,DL$20=1), DY84, DW84)</f>
        <v>0</v>
      </c>
      <c r="DR84" s="12">
        <f>DR$4 * IF(AND(DQ$4=1,DL$20=1), DY84, DW84)</f>
        <v>0</v>
      </c>
      <c r="DS84" s="12">
        <f>DS$4 * IF(AND(DR$4=1,DL$20=1), DY84, DW84)</f>
        <v>0</v>
      </c>
      <c r="DT84" s="12">
        <f>DT$4 * IF(AND(DS$4=1,DL$20=1), DY84, DW84)</f>
        <v>0</v>
      </c>
      <c r="DV84" t="s">
        <v>1304</v>
      </c>
      <c r="DW84">
        <f>_xlfn.XLOOKUP(DV84,'KPI Impacts'!$B$2:$H$2,'KPI Impacts'!$B84:$H84)</f>
        <v>0</v>
      </c>
      <c r="DX84" s="35" t="s">
        <v>1304</v>
      </c>
      <c r="DY84">
        <f>_xlfn.XLOOKUP(DX84,'KPI Impacts'!$B$2:$H$2,'KPI Impacts'!$B84:$H84)</f>
        <v>0</v>
      </c>
      <c r="EA84" s="17"/>
      <c r="EB84" s="12">
        <f>EB$4*EM84</f>
        <v>0</v>
      </c>
      <c r="EC84" s="12">
        <f>EC$4 * IF(AND(EB$4=1,EB$20=1), EO84, EM84)</f>
        <v>0</v>
      </c>
      <c r="ED84" s="12">
        <f>ED$4 * IF(AND(EC$4=1,EB$20=1), EO84, EM84)</f>
        <v>0</v>
      </c>
      <c r="EE84" s="12">
        <f>EE$4 * IF(AND(ED$4=1,EB$20=1), EO84, EM84)</f>
        <v>0</v>
      </c>
      <c r="EF84" s="12">
        <f>EF$4 * IF(AND(EE$4=1,EB$20=1), EO84, EM84)</f>
        <v>0</v>
      </c>
      <c r="EG84" s="12">
        <f>EG$4 * IF(AND(EF$4=1,EB$20=1), EO84, EM84)</f>
        <v>0</v>
      </c>
      <c r="EH84" s="12">
        <f>EH$4 * IF(AND(EG$4=1,EB$20=1), EO84, EM84)</f>
        <v>0</v>
      </c>
      <c r="EI84" s="12">
        <f>EI$4 * IF(AND(EH$4=1,EB$20=1), EO84, EM84)</f>
        <v>0</v>
      </c>
      <c r="EJ84" s="12">
        <f>EJ$4 * IF(AND(EI$4=1,EB$20=1), EO84, EM84)</f>
        <v>0</v>
      </c>
      <c r="EL84" t="s">
        <v>1304</v>
      </c>
      <c r="EM84">
        <f>_xlfn.XLOOKUP(EL84,'KPI Impacts'!$B$2:$H$2,'KPI Impacts'!$B84:$H84)</f>
        <v>0</v>
      </c>
      <c r="EN84" s="35" t="s">
        <v>1304</v>
      </c>
      <c r="EO84">
        <f>_xlfn.XLOOKUP(EN84,'KPI Impacts'!$B$2:$H$2,'KPI Impacts'!$B84:$H84)</f>
        <v>0</v>
      </c>
      <c r="EQ84" s="17"/>
      <c r="ER84" s="12">
        <f>ER$4*FC84</f>
        <v>0</v>
      </c>
      <c r="ES84" s="12">
        <f>ES$4 * IF(AND(ER$4=1,ER$20=1), FE84, FC84)</f>
        <v>0</v>
      </c>
      <c r="ET84" s="12">
        <f>ET$4 * IF(AND(ES$4=1,ER$20=1), FE84, FC84)</f>
        <v>0</v>
      </c>
      <c r="EU84" s="12">
        <f>EU$4 * IF(AND(ET$4=1,ER$20=1), FE84, FC84)</f>
        <v>0</v>
      </c>
      <c r="EV84" s="12">
        <f>EV$4 * IF(AND(EU$4=1,ER$20=1), FE84, FC84)</f>
        <v>0</v>
      </c>
      <c r="EW84" s="12">
        <f>EW$4 * IF(AND(EV$4=1,ER$20=1), FE84, FC84)</f>
        <v>0</v>
      </c>
      <c r="EX84" s="12">
        <f>EX$4 * IF(AND(EW$4=1,ER$20=1), FE84, FC84)</f>
        <v>0</v>
      </c>
      <c r="EY84" s="12">
        <f>EY$4 * IF(AND(EX$4=1,ER$20=1), FE84, FC84)</f>
        <v>0</v>
      </c>
      <c r="EZ84" s="12">
        <f>EZ$4 * IF(AND(EY$4=1,ER$20=1), FE84, FC84)</f>
        <v>0</v>
      </c>
      <c r="FB84" t="s">
        <v>1304</v>
      </c>
      <c r="FC84">
        <f>_xlfn.XLOOKUP(FB84,'KPI Impacts'!$B$2:$H$2,'KPI Impacts'!$B84:$H84)</f>
        <v>0</v>
      </c>
      <c r="FD84" s="35" t="s">
        <v>1304</v>
      </c>
      <c r="FE84">
        <f>_xlfn.XLOOKUP(FD84,'KPI Impacts'!$B$2:$H$2,'KPI Impacts'!$B84:$H84)</f>
        <v>0</v>
      </c>
      <c r="FG84" s="17"/>
      <c r="FH84" s="12">
        <f>FH$4*FS84</f>
        <v>0</v>
      </c>
      <c r="FI84" s="12">
        <f>FI$4 * IF(AND(FH$4=1,FH$20=1), FU84, FS84)</f>
        <v>0</v>
      </c>
      <c r="FJ84" s="12">
        <f>FJ$4 * IF(AND(FI$4=1,FH$20=1), FU84, FS84)</f>
        <v>0</v>
      </c>
      <c r="FK84" s="12">
        <f>FK$4 * IF(AND(FJ$4=1,FH$20=1), FU84, FS84)</f>
        <v>0</v>
      </c>
      <c r="FL84" s="12">
        <f>FL$4 * IF(AND(FK$4=1,FH$20=1), FU84, FS84)</f>
        <v>0</v>
      </c>
      <c r="FM84" s="12">
        <f>FM$4 * IF(AND(FL$4=1,FH$20=1), FU84, FS84)</f>
        <v>0</v>
      </c>
      <c r="FN84" s="12">
        <f>FN$4 * IF(AND(FM$4=1,FH$20=1), FU84, FS84)</f>
        <v>0</v>
      </c>
      <c r="FO84" s="12">
        <f>FO$4 * IF(AND(FN$4=1,FH$20=1), FU84, FS84)</f>
        <v>0</v>
      </c>
      <c r="FP84" s="12">
        <f>FP$4 * IF(AND(FO$4=1,FH$20=1), FU84, FS84)</f>
        <v>0</v>
      </c>
      <c r="FR84" t="s">
        <v>1304</v>
      </c>
      <c r="FS84">
        <f>_xlfn.XLOOKUP(FR84,'KPI Impacts'!$B$2:$H$2,'KPI Impacts'!$B84:$H84)</f>
        <v>0</v>
      </c>
      <c r="FT84" s="35" t="s">
        <v>1304</v>
      </c>
      <c r="FU84">
        <f>_xlfn.XLOOKUP(FT84,'KPI Impacts'!$B$2:$H$2,'KPI Impacts'!$B84:$H84)</f>
        <v>0</v>
      </c>
      <c r="FW84" s="17"/>
      <c r="FX84" s="12">
        <f>FX$4*GI84</f>
        <v>0</v>
      </c>
      <c r="FY84" s="12">
        <f>FY$4 * IF(AND(FX$4=1,FX$20=1), GK84, GI84)</f>
        <v>0</v>
      </c>
      <c r="FZ84" s="12">
        <f>FZ$4 * IF(AND(FY$4=1,FX$20=1), GK84, GI84)</f>
        <v>0</v>
      </c>
      <c r="GA84" s="12">
        <f>GA$4 * IF(AND(FZ$4=1,FX$20=1), GK84, GI84)</f>
        <v>0</v>
      </c>
      <c r="GB84" s="12">
        <f>GB$4 * IF(AND(GA$4=1,FX$20=1), GK84, GI84)</f>
        <v>0</v>
      </c>
      <c r="GC84" s="12">
        <f>GC$4 * IF(AND(GB$4=1,FX$20=1), GK84, GI84)</f>
        <v>0</v>
      </c>
      <c r="GD84" s="12">
        <f>GD$4 * IF(AND(GC$4=1,FX$20=1), GK84, GI84)</f>
        <v>0</v>
      </c>
      <c r="GE84" s="12">
        <f>GE$4 * IF(AND(GD$4=1,FX$20=1), GK84, GI84)</f>
        <v>0</v>
      </c>
      <c r="GF84" s="12">
        <f>GF$4 * IF(AND(GE$4=1,FX$20=1), GK84, GI84)</f>
        <v>0</v>
      </c>
      <c r="GH84" t="s">
        <v>1304</v>
      </c>
      <c r="GI84">
        <f>_xlfn.XLOOKUP(GH84,'KPI Impacts'!$B$2:$H$2,'KPI Impacts'!$B84:$H84)</f>
        <v>0</v>
      </c>
      <c r="GJ84" s="35" t="s">
        <v>1304</v>
      </c>
      <c r="GK84">
        <f>_xlfn.XLOOKUP(GJ84,'KPI Impacts'!$B$2:$H$2,'KPI Impacts'!$B84:$H84)</f>
        <v>0</v>
      </c>
      <c r="GN84" s="12">
        <f>GN$4*GY84</f>
        <v>0</v>
      </c>
      <c r="GO84" s="12">
        <f>GO$4 * IF(AND(GN$4=1,GN$20=1), HA84, GY84)</f>
        <v>0</v>
      </c>
      <c r="GP84" s="12">
        <f>GP$4 * IF(AND(GO$4=1,GN$20=1), HA84, GY84)</f>
        <v>0</v>
      </c>
      <c r="GQ84" s="12">
        <f>GQ$4 * IF(AND(GP$4=1,GN$20=1), HA84, GY84)</f>
        <v>0</v>
      </c>
      <c r="GR84" s="12">
        <f>GR$4 * IF(AND(GQ$4=1,GN$20=1), HA84, GY84)</f>
        <v>0</v>
      </c>
      <c r="GS84" s="12">
        <f>GS$4 * IF(AND(GR$4=1,GN$20=1), HA84, GY84)</f>
        <v>0</v>
      </c>
      <c r="GT84" s="12">
        <f>GT$4 * IF(AND(GS$4=1,GN$20=1), HA84, GY84)</f>
        <v>0</v>
      </c>
      <c r="GU84" s="12">
        <f>GU$4 * IF(AND(GT$4=1,GN$20=1), HA84, GY84)</f>
        <v>0</v>
      </c>
      <c r="GV84" s="12">
        <f>GV$4 * IF(AND(GU$4=1,GN$20=1), HA84, GY84)</f>
        <v>0</v>
      </c>
      <c r="GX84" t="s">
        <v>1304</v>
      </c>
      <c r="GY84">
        <f>_xlfn.XLOOKUP(GX84,'KPI Impacts'!$B$2:$H$2,'KPI Impacts'!$B84:$H84)</f>
        <v>0</v>
      </c>
      <c r="GZ84" s="35" t="s">
        <v>1304</v>
      </c>
      <c r="HA84">
        <f>_xlfn.XLOOKUP(GZ84,'KPI Impacts'!$B$2:$H$2,'KPI Impacts'!$B84:$H84)</f>
        <v>0</v>
      </c>
      <c r="HD84" s="12">
        <f>HD$4*HO84</f>
        <v>0</v>
      </c>
      <c r="HE84" s="12">
        <f>HE$4 * IF(AND(HD$4=1,HD$20=1), HQ84, HO84)</f>
        <v>0</v>
      </c>
      <c r="HF84" s="12">
        <f>HF$4 * IF(AND(HE$4=1,HD$20=1), HQ84, HO84)</f>
        <v>0</v>
      </c>
      <c r="HG84" s="12">
        <f>HG$4 * IF(AND(HF$4=1,HD$20=1), HQ84, HO84)</f>
        <v>0</v>
      </c>
      <c r="HH84" s="12">
        <f>HH$4 * IF(AND(HG$4=1,HD$20=1), HQ84, HO84)</f>
        <v>0</v>
      </c>
      <c r="HI84" s="12">
        <f>HI$4 * IF(AND(HH$4=1,HD$20=1), HQ84, HO84)</f>
        <v>0</v>
      </c>
      <c r="HJ84" s="12">
        <f>HJ$4 * IF(AND(HI$4=1,HD$20=1), HQ84, HO84)</f>
        <v>0</v>
      </c>
      <c r="HK84" s="12">
        <f>HK$4 * IF(AND(HJ$4=1,HD$20=1), HQ84, HO84)</f>
        <v>0</v>
      </c>
      <c r="HL84" s="12">
        <f>HL$4 * IF(AND(HK$4=1,HD$20=1), HQ84, HO84)</f>
        <v>0</v>
      </c>
      <c r="HN84" t="s">
        <v>1304</v>
      </c>
      <c r="HO84">
        <f>_xlfn.XLOOKUP(HN84,'KPI Impacts'!$B$2:$H$2,'KPI Impacts'!$B84:$H84)</f>
        <v>0</v>
      </c>
      <c r="HP84" s="35" t="s">
        <v>1304</v>
      </c>
      <c r="HQ84">
        <f>_xlfn.XLOOKUP(HP84,'KPI Impacts'!$B$2:$H$2,'KPI Impacts'!$B84:$H84)</f>
        <v>0</v>
      </c>
      <c r="HT84" s="12">
        <f>HT$4*IE84</f>
        <v>0</v>
      </c>
      <c r="HU84" s="12">
        <f>HU$4 * IF(AND(HT$4=1,HT$20=1), IG84, IE84)</f>
        <v>0</v>
      </c>
      <c r="HV84" s="12">
        <f>HV$4 * IF(AND(HU$4=1,HT$20=1), IG84, IE84)</f>
        <v>0</v>
      </c>
      <c r="HW84" s="12">
        <f>HW$4 * IF(AND(HV$4=1,HT$20=1), IG84, IE84)</f>
        <v>0</v>
      </c>
      <c r="HX84" s="12">
        <f>HX$4 * IF(AND(HW$4=1,HT$20=1), IG84, IE84)</f>
        <v>0</v>
      </c>
      <c r="HY84" s="12">
        <f>HY$4 * IF(AND(HX$4=1,HT$20=1), IG84, IE84)</f>
        <v>0</v>
      </c>
      <c r="HZ84" s="12">
        <f>HZ$4 * IF(AND(HY$4=1,HT$20=1), IG84, IE84)</f>
        <v>0</v>
      </c>
      <c r="IA84" s="12">
        <f>IA$4 * IF(AND(HZ$4=1,HT$20=1), IG84, IE84)</f>
        <v>0</v>
      </c>
      <c r="IB84" s="12">
        <f>IB$4 * IF(AND(IA$4=1,HT$20=1), IG84, IE84)</f>
        <v>0</v>
      </c>
      <c r="ID84" t="s">
        <v>1304</v>
      </c>
      <c r="IE84">
        <f>_xlfn.XLOOKUP(ID84,'KPI Impacts'!$B$2:$H$2,'KPI Impacts'!$B84:$H84)</f>
        <v>0</v>
      </c>
      <c r="IF84" s="35" t="s">
        <v>1304</v>
      </c>
      <c r="IG84">
        <f>_xlfn.XLOOKUP(IF84,'KPI Impacts'!$B$2:$H$2,'KPI Impacts'!$B84:$H84)</f>
        <v>0</v>
      </c>
      <c r="IJ84" s="12">
        <f>IJ$4*IU84</f>
        <v>0</v>
      </c>
      <c r="IK84" s="12">
        <f>IK$4 * IF(AND(IJ$4=1,IJ$20=1), IW84, IU84)</f>
        <v>0</v>
      </c>
      <c r="IL84" s="12">
        <f>IL$4 * IF(AND(IK$4=1,IJ$20=1), IW84, IU84)</f>
        <v>0</v>
      </c>
      <c r="IM84" s="12">
        <f>IM$4 * IF(AND(IL$4=1,IJ$20=1), IW84, IU84)</f>
        <v>0</v>
      </c>
      <c r="IN84" s="12">
        <f>IN$4 * IF(AND(IM$4=1,IJ$20=1), IW84, IU84)</f>
        <v>0</v>
      </c>
      <c r="IO84" s="12">
        <f>IO$4 * IF(AND(IN$4=1,IJ$20=1), IW84, IU84)</f>
        <v>0</v>
      </c>
      <c r="IP84" s="12">
        <f>IP$4 * IF(AND(IO$4=1,IJ$20=1), IW84, IU84)</f>
        <v>0</v>
      </c>
      <c r="IQ84" s="12">
        <f>IQ$4 * IF(AND(IP$4=1,IJ$20=1), IW84, IU84)</f>
        <v>0</v>
      </c>
      <c r="IR84" s="12">
        <f>IR$4 * IF(AND(IQ$4=1,IJ$20=1), IW84, IU84)</f>
        <v>0</v>
      </c>
      <c r="IT84" t="s">
        <v>1304</v>
      </c>
      <c r="IU84">
        <f>_xlfn.XLOOKUP(IT84,'KPI Impacts'!$B$2:$H$2,'KPI Impacts'!$B84:$H84)</f>
        <v>0</v>
      </c>
      <c r="IV84" s="35" t="s">
        <v>1304</v>
      </c>
      <c r="IW84">
        <f>_xlfn.XLOOKUP(IV84,'KPI Impacts'!$B$2:$H$2,'KPI Impacts'!$B84:$H84)</f>
        <v>0</v>
      </c>
      <c r="IZ84" s="12">
        <f>IZ$4*JK84</f>
        <v>0</v>
      </c>
      <c r="JA84" s="12">
        <f>JA$4 * IF(AND(IZ$4=1,IZ$20=1), JM84, JK84)</f>
        <v>0</v>
      </c>
      <c r="JB84" s="12">
        <f>JB$4 * IF(AND(JA$4=1,IZ$20=1), JM84, JK84)</f>
        <v>0</v>
      </c>
      <c r="JC84" s="12">
        <f>JC$4 * IF(AND(JB$4=1,IZ$20=1), JM84, JK84)</f>
        <v>0</v>
      </c>
      <c r="JD84" s="12">
        <f>JD$4 * IF(AND(JC$4=1,IZ$20=1), JM84, JK84)</f>
        <v>0</v>
      </c>
      <c r="JE84" s="12">
        <f>JE$4 * IF(AND(JD$4=1,IZ$20=1), JM84, JK84)</f>
        <v>0</v>
      </c>
      <c r="JF84" s="12">
        <f>JF$4 * IF(AND(JE$4=1,IZ$20=1), JM84, JK84)</f>
        <v>0</v>
      </c>
      <c r="JG84" s="12">
        <f>JG$4 * IF(AND(JF$4=1,IZ$20=1), JM84, JK84)</f>
        <v>0</v>
      </c>
      <c r="JH84" s="12">
        <f>JH$4 * IF(AND(JG$4=1,IZ$20=1), JM84, JK84)</f>
        <v>0</v>
      </c>
      <c r="JJ84" t="s">
        <v>1304</v>
      </c>
      <c r="JK84">
        <f>_xlfn.XLOOKUP(JJ84,'KPI Impacts'!$B$2:$H$2,'KPI Impacts'!$B84:$H84)</f>
        <v>0</v>
      </c>
      <c r="JL84" s="35" t="s">
        <v>1304</v>
      </c>
      <c r="JM84">
        <f>_xlfn.XLOOKUP(JL84,'KPI Impacts'!$B$2:$H$2,'KPI Impacts'!$B84:$H84)</f>
        <v>0</v>
      </c>
      <c r="JP84" s="12">
        <f>JP$4*KA84</f>
        <v>0</v>
      </c>
      <c r="JQ84" s="12">
        <f>JQ$4 * IF(AND(JP$4=1,JP$20=1), KC84, KA84)</f>
        <v>0</v>
      </c>
      <c r="JR84" s="12">
        <f>JR$4 * IF(AND(JQ$4=1,JP$20=1), KC84, KA84)</f>
        <v>0</v>
      </c>
      <c r="JS84" s="12">
        <f>JS$4 * IF(AND(JR$4=1,JP$20=1), KC84, KA84)</f>
        <v>0</v>
      </c>
      <c r="JT84" s="12">
        <f>JT$4 * IF(AND(JS$4=1,JP$20=1), KC84, KA84)</f>
        <v>0</v>
      </c>
      <c r="JU84" s="12">
        <f>JU$4 * IF(AND(JT$4=1,JP$20=1), KC84, KA84)</f>
        <v>0</v>
      </c>
      <c r="JV84" s="12">
        <f>JV$4 * IF(AND(JU$4=1,JP$20=1), KC84, KA84)</f>
        <v>0</v>
      </c>
      <c r="JW84" s="12">
        <f>JW$4 * IF(AND(JV$4=1,JP$20=1), KC84, KA84)</f>
        <v>0</v>
      </c>
      <c r="JX84" s="12">
        <f>JX$4 * IF(AND(JW$4=1,JP$20=1), KC84, KA84)</f>
        <v>0</v>
      </c>
      <c r="JZ84" t="s">
        <v>1304</v>
      </c>
      <c r="KA84">
        <f>_xlfn.XLOOKUP(JZ84,'KPI Impacts'!$B$2:$H$2,'KPI Impacts'!$B84:$H84)</f>
        <v>0</v>
      </c>
      <c r="KB84" s="35" t="s">
        <v>1304</v>
      </c>
      <c r="KC84">
        <f>_xlfn.XLOOKUP(KB84,'KPI Impacts'!$B$2:$H$2,'KPI Impacts'!$B84:$H84)</f>
        <v>0</v>
      </c>
      <c r="KF84" s="12">
        <f>KF$4*KQ84</f>
        <v>0</v>
      </c>
      <c r="KG84" s="12">
        <f>KG$4 * IF(AND(KF$4=1,KF$20=1), KS84, KQ84)</f>
        <v>0</v>
      </c>
      <c r="KH84" s="12">
        <f>KH$4 * IF(AND(KG$4=1,KF$20=1), KS84, KQ84)</f>
        <v>0</v>
      </c>
      <c r="KI84" s="12">
        <f>KI$4 * IF(AND(KH$4=1,KF$20=1), KS84, KQ84)</f>
        <v>0</v>
      </c>
      <c r="KJ84" s="12">
        <f>KJ$4 * IF(AND(KI$4=1,KF$20=1), KS84, KQ84)</f>
        <v>0</v>
      </c>
      <c r="KK84" s="12">
        <f>KK$4 * IF(AND(KJ$4=1,KF$20=1), KS84, KQ84)</f>
        <v>0</v>
      </c>
      <c r="KL84" s="12">
        <f>KL$4 * IF(AND(KK$4=1,KF$20=1), KS84, KQ84)</f>
        <v>0</v>
      </c>
      <c r="KM84" s="12">
        <f>KM$4 * IF(AND(KL$4=1,KF$20=1), KS84, KQ84)</f>
        <v>0</v>
      </c>
      <c r="KN84" s="12">
        <f>KN$4 * IF(AND(KM$4=1,KF$20=1), KS84, KQ84)</f>
        <v>0</v>
      </c>
      <c r="KP84" t="s">
        <v>1304</v>
      </c>
      <c r="KQ84">
        <f>_xlfn.XLOOKUP(KP84,'KPI Impacts'!$B$2:$H$2,'KPI Impacts'!$B84:$H84)</f>
        <v>0</v>
      </c>
      <c r="KR84" s="35" t="s">
        <v>1304</v>
      </c>
      <c r="KS84">
        <f>_xlfn.XLOOKUP(KR84,'KPI Impacts'!$B$2:$H$2,'KPI Impacts'!$B84:$H84)</f>
        <v>0</v>
      </c>
      <c r="KV84" s="12">
        <f>KV$4*LG84</f>
        <v>0</v>
      </c>
      <c r="KW84" s="12">
        <f>KW$4 * IF(AND(KV$4=1,KV$20=1), LI84, LG84)</f>
        <v>0</v>
      </c>
      <c r="KX84" s="12">
        <f>KX$4 * IF(AND(KW$4=1,KV$20=1), LI84, LG84)</f>
        <v>0</v>
      </c>
      <c r="KY84" s="12">
        <f>KY$4 * IF(AND(KX$4=1,KV$20=1), LI84, LG84)</f>
        <v>0</v>
      </c>
      <c r="KZ84" s="12">
        <f>KZ$4 * IF(AND(KY$4=1,KV$20=1), LI84, LG84)</f>
        <v>0</v>
      </c>
      <c r="LA84" s="12">
        <f>LA$4 * IF(AND(KZ$4=1,KV$20=1), LI84, LG84)</f>
        <v>0</v>
      </c>
      <c r="LB84" s="12">
        <f>LB$4 * IF(AND(LA$4=1,KV$20=1), LI84, LG84)</f>
        <v>0</v>
      </c>
      <c r="LC84" s="12">
        <f>LC$4 * IF(AND(LB$4=1,KV$20=1), LI84, LG84)</f>
        <v>0</v>
      </c>
      <c r="LD84" s="12">
        <f>LD$4 * IF(AND(LC$4=1,KV$20=1), LI84, LG84)</f>
        <v>0</v>
      </c>
      <c r="LF84" t="s">
        <v>1304</v>
      </c>
      <c r="LG84">
        <f>_xlfn.XLOOKUP(LF84,'KPI Impacts'!$B$2:$H$2,'KPI Impacts'!$B84:$H84)</f>
        <v>0</v>
      </c>
      <c r="LH84" s="35" t="s">
        <v>1304</v>
      </c>
      <c r="LI84">
        <f>_xlfn.XLOOKUP(LH84,'KPI Impacts'!$B$2:$H$2,'KPI Impacts'!$B84:$H84)</f>
        <v>0</v>
      </c>
      <c r="LL84" s="12">
        <f>LL$4*LW84</f>
        <v>0</v>
      </c>
      <c r="LM84" s="12">
        <f>LM$4 * IF(AND(LL$4=1,LL$20=1), LY84, LW84)</f>
        <v>0</v>
      </c>
      <c r="LN84" s="12">
        <f>LN$4 * IF(AND(LM$4=1,LL$20=1), LY84, LW84)</f>
        <v>0</v>
      </c>
      <c r="LO84" s="12">
        <f>LO$4 * IF(AND(LN$4=1,LL$20=1), LY84, LW84)</f>
        <v>0</v>
      </c>
      <c r="LP84" s="12">
        <f>LP$4 * IF(AND(LO$4=1,LL$20=1), LY84, LW84)</f>
        <v>0</v>
      </c>
      <c r="LQ84" s="12">
        <f>LQ$4 * IF(AND(LP$4=1,LL$20=1), LY84, LW84)</f>
        <v>0</v>
      </c>
      <c r="LR84" s="12">
        <f>LR$4 * IF(AND(LQ$4=1,LL$20=1), LY84, LW84)</f>
        <v>0</v>
      </c>
      <c r="LS84" s="12">
        <f>LS$4 * IF(AND(LR$4=1,LL$20=1), LY84, LW84)</f>
        <v>0</v>
      </c>
      <c r="LT84" s="12">
        <f>LT$4 * IF(AND(LS$4=1,LL$20=1), LY84, LW84)</f>
        <v>0</v>
      </c>
      <c r="LV84" t="s">
        <v>1304</v>
      </c>
      <c r="LW84">
        <f>_xlfn.XLOOKUP(LV84,'KPI Impacts'!$B$2:$H$2,'KPI Impacts'!$B84:$H84)</f>
        <v>0</v>
      </c>
      <c r="LX84" s="35" t="s">
        <v>1304</v>
      </c>
      <c r="LY84">
        <f>_xlfn.XLOOKUP(LX84,'KPI Impacts'!$B$2:$H$2,'KPI Impacts'!$B84:$H84)</f>
        <v>0</v>
      </c>
      <c r="MB84" s="12">
        <f>MB$4*MM84</f>
        <v>0</v>
      </c>
      <c r="MC84" s="12">
        <f>MC$4 * IF(AND(MB$4=1,MB$20=1), MO84, MM84)</f>
        <v>0</v>
      </c>
      <c r="MD84" s="12">
        <f>MD$4 * IF(AND(MC$4=1,MB$20=1), MO84, MM84)</f>
        <v>0</v>
      </c>
      <c r="ME84" s="12">
        <f>ME$4 * IF(AND(MD$4=1,MB$20=1), MO84, MM84)</f>
        <v>0</v>
      </c>
      <c r="MF84" s="12">
        <f>MF$4 * IF(AND(ME$4=1,MB$20=1), MO84, MM84)</f>
        <v>0</v>
      </c>
      <c r="MG84" s="12">
        <f>MG$4 * IF(AND(MF$4=1,MB$20=1), MO84, MM84)</f>
        <v>0</v>
      </c>
      <c r="MH84" s="12">
        <f>MH$4 * IF(AND(MG$4=1,MB$20=1), MO84, MM84)</f>
        <v>0</v>
      </c>
      <c r="MI84" s="12">
        <f>MI$4 * IF(AND(MH$4=1,MB$20=1), MO84, MM84)</f>
        <v>0</v>
      </c>
      <c r="MJ84" s="12">
        <f>MJ$4 * IF(AND(MI$4=1,MB$20=1), MO84, MM84)</f>
        <v>0</v>
      </c>
      <c r="ML84" t="s">
        <v>1304</v>
      </c>
      <c r="MM84">
        <f>_xlfn.XLOOKUP(ML84,'KPI Impacts'!$B$2:$H$2,'KPI Impacts'!$B84:$H84)</f>
        <v>0</v>
      </c>
      <c r="MN84" s="35" t="s">
        <v>1304</v>
      </c>
      <c r="MO84">
        <f>_xlfn.XLOOKUP(MN84,'KPI Impacts'!$B$2:$H$2,'KPI Impacts'!$B84:$H84)</f>
        <v>0</v>
      </c>
      <c r="MR84" s="12">
        <f>MR$4*NC84</f>
        <v>0</v>
      </c>
      <c r="MS84" s="12">
        <f>MS$4 * IF(AND(MR$4=1,MR$20=1), NE84, NC84)</f>
        <v>0</v>
      </c>
      <c r="MT84" s="12">
        <f>MT$4 * IF(AND(MS$4=1,MR$20=1), NE84, NC84)</f>
        <v>0</v>
      </c>
      <c r="MU84" s="12">
        <f>MU$4 * IF(AND(MT$4=1,MR$20=1), NE84, NC84)</f>
        <v>0</v>
      </c>
      <c r="MV84" s="12">
        <f>MV$4 * IF(AND(MU$4=1,MR$20=1), NE84, NC84)</f>
        <v>0</v>
      </c>
      <c r="MW84" s="12">
        <f>MW$4 * IF(AND(MV$4=1,MR$20=1), NE84, NC84)</f>
        <v>0</v>
      </c>
      <c r="MX84" s="12">
        <f>MX$4 * IF(AND(MW$4=1,MR$20=1), NE84, NC84)</f>
        <v>0</v>
      </c>
      <c r="MY84" s="12">
        <f>MY$4 * IF(AND(MX$4=1,MR$20=1), NE84, NC84)</f>
        <v>0</v>
      </c>
      <c r="MZ84" s="12">
        <f>MZ$4 * IF(AND(MY$4=1,MR$20=1), NE84, NC84)</f>
        <v>0</v>
      </c>
      <c r="NB84" t="s">
        <v>1304</v>
      </c>
      <c r="NC84">
        <f>_xlfn.XLOOKUP(NB84,'KPI Impacts'!$B$2:$H$2,'KPI Impacts'!$B84:$H84)</f>
        <v>0</v>
      </c>
      <c r="ND84" s="35" t="s">
        <v>1304</v>
      </c>
      <c r="NE84">
        <f>_xlfn.XLOOKUP(ND84,'KPI Impacts'!$B$2:$H$2,'KPI Impacts'!$B84:$H84)</f>
        <v>0</v>
      </c>
      <c r="NH84" s="12">
        <f>NH$4*NS84</f>
        <v>0</v>
      </c>
      <c r="NI84" s="12">
        <f>NI$4 * IF(AND(NH$4=1,NH$20=1), NU84, NS84)</f>
        <v>0</v>
      </c>
      <c r="NJ84" s="12">
        <f>NJ$4 * IF(AND(NI$4=1,NH$20=1), NU84, NS84)</f>
        <v>0</v>
      </c>
      <c r="NK84" s="12">
        <f>NK$4 * IF(AND(NJ$4=1,NH$20=1), NU84, NS84)</f>
        <v>0</v>
      </c>
      <c r="NL84" s="12">
        <f>NL$4 * IF(AND(NK$4=1,NH$20=1), NU84, NS84)</f>
        <v>0</v>
      </c>
      <c r="NM84" s="12">
        <f>NM$4 * IF(AND(NL$4=1,NH$20=1), NU84, NS84)</f>
        <v>0</v>
      </c>
      <c r="NN84" s="12">
        <f>NN$4 * IF(AND(NM$4=1,NH$20=1), NU84, NS84)</f>
        <v>0</v>
      </c>
      <c r="NO84" s="12">
        <f>NO$4 * IF(AND(NN$4=1,NH$20=1), NU84, NS84)</f>
        <v>0</v>
      </c>
      <c r="NP84" s="12">
        <f>NP$4 * IF(AND(NO$4=1,NH$20=1), NU84, NS84)</f>
        <v>0</v>
      </c>
      <c r="NR84" t="s">
        <v>1304</v>
      </c>
      <c r="NS84">
        <f>_xlfn.XLOOKUP(NR84,'KPI Impacts'!$B$2:$H$2,'KPI Impacts'!$B84:$H84)</f>
        <v>0</v>
      </c>
      <c r="NT84" s="35" t="s">
        <v>1304</v>
      </c>
      <c r="NU84">
        <f>_xlfn.XLOOKUP(NT84,'KPI Impacts'!$B$2:$H$2,'KPI Impacts'!$B84:$H84)</f>
        <v>0</v>
      </c>
      <c r="NX84" s="12">
        <f>NX$4*OI84</f>
        <v>0</v>
      </c>
      <c r="NY84" s="12">
        <f>NY$4 * IF(AND(NX$4=1,NX$20=1), OK84, OI84)</f>
        <v>0</v>
      </c>
      <c r="NZ84" s="12">
        <f>NZ$4 * IF(AND(NY$4=1,NX$20=1), OK84, OI84)</f>
        <v>0</v>
      </c>
      <c r="OA84" s="12">
        <f>OA$4 * IF(AND(NZ$4=1,NX$20=1), OK84, OI84)</f>
        <v>0</v>
      </c>
      <c r="OB84" s="12">
        <f>OB$4 * IF(AND(OA$4=1,NX$20=1), OK84, OI84)</f>
        <v>0</v>
      </c>
      <c r="OC84" s="12">
        <f>OC$4 * IF(AND(OB$4=1,NX$20=1), OK84, OI84)</f>
        <v>0</v>
      </c>
      <c r="OD84" s="12">
        <f>OD$4 * IF(AND(OC$4=1,NX$20=1), OK84, OI84)</f>
        <v>0</v>
      </c>
      <c r="OE84" s="12">
        <f>OE$4 * IF(AND(OD$4=1,NX$20=1), OK84, OI84)</f>
        <v>0</v>
      </c>
      <c r="OF84" s="12">
        <f>OF$4 * IF(AND(OE$4=1,NX$20=1), OK84, OI84)</f>
        <v>0</v>
      </c>
      <c r="OH84" t="s">
        <v>1304</v>
      </c>
      <c r="OI84">
        <f>_xlfn.XLOOKUP(OH84,'KPI Impacts'!$B$2:$H$2,'KPI Impacts'!$B84:$H84)</f>
        <v>0</v>
      </c>
      <c r="OJ84" s="35" t="s">
        <v>1304</v>
      </c>
      <c r="OK84">
        <f>_xlfn.XLOOKUP(OJ84,'KPI Impacts'!$B$2:$H$2,'KPI Impacts'!$B84:$H84)</f>
        <v>0</v>
      </c>
    </row>
    <row r="85" spans="1:401" x14ac:dyDescent="0.2">
      <c r="A85" s="9" t="s">
        <v>1315</v>
      </c>
      <c r="B85" s="12">
        <f t="shared" ref="B85:B86" si="656">P85+AH85+AZ85+BP85+CF85+CV85+DL85+EB85+ER85+FH85+FX85+GN85+HD85+HT85+IJ85+IZ85+JP85+KF85+KV85+LL85+MB85+MR85+NH85+NX85</f>
        <v>0</v>
      </c>
      <c r="C85" s="12">
        <f t="shared" ref="C85:C86" si="657">Q85+AI85+BA85+BQ85+CG85+CW85+DM85+EC85+ES85+FI85+FY85+GO85+HE85+HU85+IK85+JA85+JQ85+KG85+KW85+LM85+MC85+MS85+NI85+NY85</f>
        <v>0</v>
      </c>
      <c r="D85" s="12">
        <f t="shared" ref="D85:D86" si="658">R85+AJ85+BB85+BR85+CH85+CX85+DN85+ED85+ET85+FJ85+FZ85+GP85+HF85+HV85+IL85+JB85+JR85+KH85+KX85+LN85+MD85+MT85+NJ85+NZ85</f>
        <v>0</v>
      </c>
      <c r="E85" s="12">
        <f t="shared" ref="E85:E86" si="659">S85+AK85+BC85+BS85+CI85+CY85+DO85+EE85+EU85+FK85+GA85+GQ85+HG85+HW85+IM85+JC85+JS85+KI85+KY85+LO85+ME85+MU85+NK85+OA85</f>
        <v>0</v>
      </c>
      <c r="F85" s="12">
        <f t="shared" ref="F85:F86" si="660">T85+AL85+BD85+BT85+CJ85+CZ85+DP85+EF85+EV85+FL85+GB85+GR85+HH85+HX85+IN85+JD85+JT85+KJ85+KZ85+LP85+MF85+MV85+NL85+OB85</f>
        <v>0</v>
      </c>
      <c r="G85" s="12">
        <f t="shared" ref="G85:G86" si="661">U85+AM85+BE85+BU85+CK85+DA85+DQ85+EG85+EW85+FM85+GC85+GS85+HI85+HY85+IO85+JE85+JU85+KK85+LA85+LQ85+MG85+MW85+NM85+OC85</f>
        <v>0</v>
      </c>
      <c r="H85" s="12">
        <f t="shared" ref="H85:H86" si="662">V85+AN85+BF85+BV85+CL85+DB85+DR85+EH85+EX85+FN85+GD85+GT85+HJ85+HZ85+IP85+JF85+JV85+KL85+LB85+LR85+MH85+MX85+NN85+OD85</f>
        <v>0</v>
      </c>
      <c r="I85" s="12">
        <f t="shared" ref="I85:I86" si="663">W85+AO85+BG85+BW85+CM85+DC85+DS85+EI85+EY85+FO85+GE85+GU85+HK85+IA85+IQ85+JG85+JW85+KM85+LC85+LS85+MI85+MY85+NO85+OE85</f>
        <v>0</v>
      </c>
      <c r="J85" s="12">
        <f t="shared" ref="J85:J86" si="664">X85+AP85+BH85+BX85+CN85+DD85+DT85+EJ85+EZ85+FP85+GF85+GV85+HL85+IB85+IR85+JH85+JX85+KN85+LD85+LT85+MJ85+MZ85+NP85+OF85</f>
        <v>0</v>
      </c>
      <c r="O85" s="17"/>
      <c r="P85" s="12" cm="1">
        <f t="array" ref="P85">_xlfn.SWITCH(P$4, 0,0, 1, AA85,2,AC85,3,AE85,0)</f>
        <v>0</v>
      </c>
      <c r="Q85" s="12" cm="1">
        <f t="array" ref="Q85">_xlfn.SWITCH(Q$4, 0,0, 1, AA85,2,AC85,3,AE85,0)+P85</f>
        <v>0</v>
      </c>
      <c r="R85" s="12" cm="1">
        <f t="array" ref="R85">_xlfn.SWITCH(R$4, 0,0, 1, AA85,2,AC85,3,AE85,0)+Q85</f>
        <v>0</v>
      </c>
      <c r="S85" s="12" cm="1">
        <f t="array" ref="S85">_xlfn.SWITCH(S$4, 0,0, 1, AA85,2,AC85,3,AE85,0)+R85</f>
        <v>0</v>
      </c>
      <c r="T85" s="12" cm="1">
        <f t="array" ref="T85">_xlfn.SWITCH(T$4, 0,0, 1, AA85,2,AC85,3,AE85,0)+S85</f>
        <v>0</v>
      </c>
      <c r="U85" s="12" cm="1">
        <f t="array" ref="U85">_xlfn.SWITCH(U$4, 0,0, 1, AA85,2,AC85,3,AE85,0)+T85</f>
        <v>0</v>
      </c>
      <c r="V85" s="12" cm="1">
        <f t="array" ref="V85">_xlfn.SWITCH(V$4, 0,0, 1, AA85,2,AC85,3,AE85,0)+U85</f>
        <v>0</v>
      </c>
      <c r="W85" s="12" cm="1">
        <f t="array" ref="W85">_xlfn.SWITCH(W$4, 0,0, 1, AA85,2,AC85,3,AE85,0)+V85</f>
        <v>0</v>
      </c>
      <c r="X85" s="12" cm="1">
        <f t="array" ref="X85">_xlfn.SWITCH(X$4, 0,0, 1, AA85,2,AC85,3,AE85,0)+W85</f>
        <v>0</v>
      </c>
      <c r="Z85" t="s">
        <v>1304</v>
      </c>
      <c r="AA85">
        <f>_xlfn.XLOOKUP(Z85,'KPI Impacts'!$K$2:$Q$2,'KPI Impacts'!$K85:$Q85)</f>
        <v>0</v>
      </c>
      <c r="AB85" t="s">
        <v>1304</v>
      </c>
      <c r="AC85">
        <f>_xlfn.XLOOKUP(AB85,'KPI Impacts'!$K$2:$Q$2,'KPI Impacts'!$K85:$Q85)</f>
        <v>0</v>
      </c>
      <c r="AD85" t="s">
        <v>1304</v>
      </c>
      <c r="AE85">
        <f>_xlfn.XLOOKUP(AD85,'KPI Impacts'!$K$2:$Q$2,'KPI Impacts'!$K85:$Q85)</f>
        <v>0</v>
      </c>
      <c r="AG85" s="17"/>
      <c r="AH85" s="12" cm="1">
        <f t="array" ref="AH85">_xlfn.SWITCH(AH$4, 0,0, 1, AS85,2,AU85,3,AW85,0)</f>
        <v>0</v>
      </c>
      <c r="AI85" s="12" cm="1">
        <f t="array" ref="AI85">_xlfn.SWITCH(AI$4, 0,0, 1, AS85,2,AU85,3,AW85,0)+AH85</f>
        <v>0</v>
      </c>
      <c r="AJ85" s="12" cm="1">
        <f t="array" ref="AJ85">_xlfn.SWITCH(AJ$4, 0,0, 1, AS85,2,AU85,3,AW85,0)+AI85</f>
        <v>0</v>
      </c>
      <c r="AK85" s="12" cm="1">
        <f t="array" ref="AK85">_xlfn.SWITCH(AK$4, 0,0, 1, AS85,2,AU85,3,AW85,0)+AJ85</f>
        <v>0</v>
      </c>
      <c r="AL85" s="12" cm="1">
        <f t="array" ref="AL85">_xlfn.SWITCH(AL$4, 0,0, 1, AS85,2,AU85,3,AW85,0)+AK85</f>
        <v>0</v>
      </c>
      <c r="AM85" s="12" cm="1">
        <f t="array" ref="AM85">_xlfn.SWITCH(AM$4, 0,0, 1, AS85,2,AU85,3,AW85,0)+AL85</f>
        <v>0</v>
      </c>
      <c r="AN85" s="12" cm="1">
        <f t="array" ref="AN85">_xlfn.SWITCH(AN$4, 0,0, 1, AS85,2,AU85,3,AW85,0)+AM85</f>
        <v>0</v>
      </c>
      <c r="AO85" s="12" cm="1">
        <f t="array" ref="AO85">_xlfn.SWITCH(AO$4, 0,0, 1, AS85,2,AU85,3,AW85,0)+AN85</f>
        <v>0</v>
      </c>
      <c r="AP85" s="12" cm="1">
        <f t="array" ref="AP85">_xlfn.SWITCH(AP$4, 0,0, 1, AS85,2,AU85,3,AW85,0)+AO85</f>
        <v>0</v>
      </c>
      <c r="AR85" t="s">
        <v>1304</v>
      </c>
      <c r="AS85">
        <f>_xlfn.XLOOKUP(AR85,'KPI Impacts'!$K$2:$Q$2,'KPI Impacts'!$K85:$Q85)</f>
        <v>0</v>
      </c>
      <c r="AT85" t="s">
        <v>1304</v>
      </c>
      <c r="AU85">
        <f>_xlfn.XLOOKUP(AT85,'KPI Impacts'!$K$2:$Q$2,'KPI Impacts'!$K85:$Q85)</f>
        <v>0</v>
      </c>
      <c r="AV85" t="s">
        <v>1304</v>
      </c>
      <c r="AW85">
        <f>_xlfn.XLOOKUP(AV85,'KPI Impacts'!$K$2:$Q$2,'KPI Impacts'!$K85:$Q85)</f>
        <v>0</v>
      </c>
      <c r="AY85" s="17"/>
      <c r="AZ85" s="12">
        <f>AZ$4*BK85</f>
        <v>0</v>
      </c>
      <c r="BA85" s="12">
        <f>BA$4 * IF(AND(AZ$4=1,AZ$20=1), BM85, BK85)</f>
        <v>0</v>
      </c>
      <c r="BB85" s="12">
        <f>BB$4 * IF(AND(BA$4=1,AZ$20=1), BM85, BK85)</f>
        <v>0</v>
      </c>
      <c r="BC85" s="12">
        <f>BC$4 * IF(AND(BB$4=1,AZ$20=1), BM85, BK85)</f>
        <v>0</v>
      </c>
      <c r="BD85" s="12">
        <f>BD$4 * IF(AND(BC$4=1,AZ$20=1), BM85, BK85)</f>
        <v>0</v>
      </c>
      <c r="BE85" s="12">
        <f>BE$4 * IF(AND(BD$4=1,AZ$20=1), BM85, BK85)</f>
        <v>0</v>
      </c>
      <c r="BF85" s="12">
        <f>BF$4 * IF(AND(BE$4=1,AZ$20=1), BM85, BK85)</f>
        <v>0</v>
      </c>
      <c r="BG85" s="12">
        <f>BG$4 * IF(AND(BF$4=1,AZ$20=1), BM85, BK85)</f>
        <v>0</v>
      </c>
      <c r="BH85" s="12">
        <f>BH$4 * IF(AND(BG$4=1,AZ$20=1), BM85, BK85)</f>
        <v>0</v>
      </c>
      <c r="BJ85" t="s">
        <v>1304</v>
      </c>
      <c r="BK85">
        <f>_xlfn.XLOOKUP(BJ85,'KPI Impacts'!$B$2:$H$2,'KPI Impacts'!$B85:$H85)</f>
        <v>0</v>
      </c>
      <c r="BL85" s="35" t="s">
        <v>1304</v>
      </c>
      <c r="BM85">
        <f>_xlfn.XLOOKUP(BL85,'KPI Impacts'!$B$2:$H$2,'KPI Impacts'!$B85:$H85)</f>
        <v>0</v>
      </c>
      <c r="BO85" s="17"/>
      <c r="BP85" s="12">
        <f>BP$4*CA85</f>
        <v>0</v>
      </c>
      <c r="BQ85" s="12">
        <f>BQ$4 * IF(AND(BP$4=1,BP$20=1), CC85, CA85)</f>
        <v>0</v>
      </c>
      <c r="BR85" s="12">
        <f>BR$4 * IF(AND(BQ$4=1,BP$20=1), CC85, CA85)</f>
        <v>0</v>
      </c>
      <c r="BS85" s="12">
        <f>BS$4 * IF(AND(BR$4=1,BP$20=1), CC85, CA85)</f>
        <v>0</v>
      </c>
      <c r="BT85" s="12">
        <f>BT$4 * IF(AND(BS$4=1,BP$20=1), CC85, CA85)</f>
        <v>0</v>
      </c>
      <c r="BU85" s="12">
        <f>BU$4 * IF(AND(BT$4=1,BP$20=1), CC85, CA85)</f>
        <v>0</v>
      </c>
      <c r="BV85" s="12">
        <f>BV$4 * IF(AND(BU$4=1,BP$20=1), CC85, CA85)</f>
        <v>0</v>
      </c>
      <c r="BW85" s="12">
        <f>BW$4 * IF(AND(BV$4=1,BP$20=1), CC85, CA85)</f>
        <v>0</v>
      </c>
      <c r="BX85" s="12">
        <f>BX$4 * IF(AND(BW$4=1,BP$20=1), CC85, CA85)</f>
        <v>0</v>
      </c>
      <c r="BZ85" t="s">
        <v>1304</v>
      </c>
      <c r="CA85">
        <f>_xlfn.XLOOKUP(BZ85,'KPI Impacts'!$B$2:$H$2,'KPI Impacts'!$B85:$H85)</f>
        <v>0</v>
      </c>
      <c r="CB85" s="35" t="s">
        <v>1304</v>
      </c>
      <c r="CC85">
        <f>_xlfn.XLOOKUP(CB85,'KPI Impacts'!$B$2:$H$2,'KPI Impacts'!$B85:$H85)</f>
        <v>0</v>
      </c>
      <c r="CE85" s="17"/>
      <c r="CF85" s="12">
        <f>CF$4*CQ85</f>
        <v>0</v>
      </c>
      <c r="CG85" s="12">
        <f>CG$4 * IF(AND(CF$4=1,CF$20=1), CS85, CQ85)</f>
        <v>0</v>
      </c>
      <c r="CH85" s="12">
        <f>CH$4 * IF(AND(CG$4=1,CF$20=1), CS85, CQ85)</f>
        <v>0</v>
      </c>
      <c r="CI85" s="12">
        <f>CI$4 * IF(AND(CH$4=1,CF$20=1), CS85, CQ85)</f>
        <v>0</v>
      </c>
      <c r="CJ85" s="12">
        <f>CJ$4 * IF(AND(CI$4=1,CF$20=1), CS85, CQ85)</f>
        <v>0</v>
      </c>
      <c r="CK85" s="12">
        <f>CK$4 * IF(AND(CJ$4=1,CF$20=1), CS85, CQ85)</f>
        <v>0</v>
      </c>
      <c r="CL85" s="12">
        <f>CL$4 * IF(AND(CK$4=1,CF$20=1), CS85, CQ85)</f>
        <v>0</v>
      </c>
      <c r="CM85" s="12">
        <f>CM$4 * IF(AND(CL$4=1,CF$20=1), CS85, CQ85)</f>
        <v>0</v>
      </c>
      <c r="CN85" s="12">
        <f>CN$4 * IF(AND(CM$4=1,CF$20=1), CS85, CQ85)</f>
        <v>0</v>
      </c>
      <c r="CP85" t="s">
        <v>1304</v>
      </c>
      <c r="CQ85">
        <f>_xlfn.XLOOKUP(CP85,'KPI Impacts'!$B$2:$H$2,'KPI Impacts'!$B85:$H85)</f>
        <v>0</v>
      </c>
      <c r="CR85" s="35" t="s">
        <v>1304</v>
      </c>
      <c r="CS85">
        <f>_xlfn.XLOOKUP(CR85,'KPI Impacts'!$B$2:$H$2,'KPI Impacts'!$B85:$H85)</f>
        <v>0</v>
      </c>
      <c r="CU85" s="17"/>
      <c r="CV85" s="12">
        <f>CV$4*DG85</f>
        <v>0</v>
      </c>
      <c r="CW85" s="12">
        <f>CW$4 * IF(AND(CV$4=1,CV$20=1), DI85, DG85)</f>
        <v>0</v>
      </c>
      <c r="CX85" s="12">
        <f>CX$4 * IF(AND(CW$4=1,CV$20=1), DI85, DG85)</f>
        <v>0</v>
      </c>
      <c r="CY85" s="12">
        <f>CY$4 * IF(AND(CX$4=1,CV$20=1), DI85, DG85)</f>
        <v>0</v>
      </c>
      <c r="CZ85" s="12">
        <f>CZ$4 * IF(AND(CY$4=1,CV$20=1), DI85, DG85)</f>
        <v>0</v>
      </c>
      <c r="DA85" s="12">
        <f>DA$4 * IF(AND(CZ$4=1,CV$20=1), DI85, DG85)</f>
        <v>0</v>
      </c>
      <c r="DB85" s="12">
        <f>DB$4 * IF(AND(DA$4=1,CV$20=1), DI85, DG85)</f>
        <v>0</v>
      </c>
      <c r="DC85" s="12">
        <f>DC$4 * IF(AND(DB$4=1,CV$20=1), DI85, DG85)</f>
        <v>0</v>
      </c>
      <c r="DD85" s="12">
        <f>DD$4 * IF(AND(DC$4=1,CV$20=1), DI85, DG85)</f>
        <v>0</v>
      </c>
      <c r="DF85" t="s">
        <v>1304</v>
      </c>
      <c r="DG85">
        <f>_xlfn.XLOOKUP(DF85,'KPI Impacts'!$B$2:$H$2,'KPI Impacts'!$B85:$H85)</f>
        <v>0</v>
      </c>
      <c r="DH85" s="35" t="s">
        <v>1304</v>
      </c>
      <c r="DI85">
        <f>_xlfn.XLOOKUP(DH85,'KPI Impacts'!$B$2:$H$2,'KPI Impacts'!$B85:$H85)</f>
        <v>0</v>
      </c>
      <c r="DK85" s="17"/>
      <c r="DL85" s="12">
        <f>DL$4*DW85</f>
        <v>0</v>
      </c>
      <c r="DM85" s="12">
        <f>DM$4 * IF(AND(DL$4=1,DL$20=1), DY85, DW85)</f>
        <v>0</v>
      </c>
      <c r="DN85" s="12">
        <f>DN$4 * IF(AND(DM$4=1,DL$20=1), DY85, DW85)</f>
        <v>0</v>
      </c>
      <c r="DO85" s="12">
        <f>DO$4 * IF(AND(DN$4=1,DL$20=1), DY85, DW85)</f>
        <v>0</v>
      </c>
      <c r="DP85" s="12">
        <f>DP$4 * IF(AND(DO$4=1,DL$20=1), DY85, DW85)</f>
        <v>0</v>
      </c>
      <c r="DQ85" s="12">
        <f>DQ$4 * IF(AND(DP$4=1,DL$20=1), DY85, DW85)</f>
        <v>0</v>
      </c>
      <c r="DR85" s="12">
        <f>DR$4 * IF(AND(DQ$4=1,DL$20=1), DY85, DW85)</f>
        <v>0</v>
      </c>
      <c r="DS85" s="12">
        <f>DS$4 * IF(AND(DR$4=1,DL$20=1), DY85, DW85)</f>
        <v>0</v>
      </c>
      <c r="DT85" s="12">
        <f>DT$4 * IF(AND(DS$4=1,DL$20=1), DY85, DW85)</f>
        <v>0</v>
      </c>
      <c r="DV85" t="s">
        <v>1304</v>
      </c>
      <c r="DW85">
        <f>_xlfn.XLOOKUP(DV85,'KPI Impacts'!$B$2:$H$2,'KPI Impacts'!$B85:$H85)</f>
        <v>0</v>
      </c>
      <c r="DX85" s="35" t="s">
        <v>1304</v>
      </c>
      <c r="DY85">
        <f>_xlfn.XLOOKUP(DX85,'KPI Impacts'!$B$2:$H$2,'KPI Impacts'!$B85:$H85)</f>
        <v>0</v>
      </c>
      <c r="EA85" s="17"/>
      <c r="EB85" s="12">
        <f>EB$4*EM85</f>
        <v>0</v>
      </c>
      <c r="EC85" s="12">
        <f>EC$4 * IF(AND(EB$4=1,EB$20=1), EO85, EM85)</f>
        <v>0</v>
      </c>
      <c r="ED85" s="12">
        <f>ED$4 * IF(AND(EC$4=1,EB$20=1), EO85, EM85)</f>
        <v>0</v>
      </c>
      <c r="EE85" s="12">
        <f>EE$4 * IF(AND(ED$4=1,EB$20=1), EO85, EM85)</f>
        <v>0</v>
      </c>
      <c r="EF85" s="12">
        <f>EF$4 * IF(AND(EE$4=1,EB$20=1), EO85, EM85)</f>
        <v>0</v>
      </c>
      <c r="EG85" s="12">
        <f>EG$4 * IF(AND(EF$4=1,EB$20=1), EO85, EM85)</f>
        <v>0</v>
      </c>
      <c r="EH85" s="12">
        <f>EH$4 * IF(AND(EG$4=1,EB$20=1), EO85, EM85)</f>
        <v>0</v>
      </c>
      <c r="EI85" s="12">
        <f>EI$4 * IF(AND(EH$4=1,EB$20=1), EO85, EM85)</f>
        <v>0</v>
      </c>
      <c r="EJ85" s="12">
        <f>EJ$4 * IF(AND(EI$4=1,EB$20=1), EO85, EM85)</f>
        <v>0</v>
      </c>
      <c r="EL85" t="s">
        <v>1304</v>
      </c>
      <c r="EM85">
        <f>_xlfn.XLOOKUP(EL85,'KPI Impacts'!$B$2:$H$2,'KPI Impacts'!$B85:$H85)</f>
        <v>0</v>
      </c>
      <c r="EN85" s="35" t="s">
        <v>1304</v>
      </c>
      <c r="EO85">
        <f>_xlfn.XLOOKUP(EN85,'KPI Impacts'!$B$2:$H$2,'KPI Impacts'!$B85:$H85)</f>
        <v>0</v>
      </c>
      <c r="EQ85" s="17"/>
      <c r="ER85" s="12">
        <f>ER$4*FC85</f>
        <v>0</v>
      </c>
      <c r="ES85" s="12">
        <f>ES$4 * IF(AND(ER$4=1,ER$20=1), FE85, FC85)</f>
        <v>0</v>
      </c>
      <c r="ET85" s="12">
        <f>ET$4 * IF(AND(ES$4=1,ER$20=1), FE85, FC85)</f>
        <v>0</v>
      </c>
      <c r="EU85" s="12">
        <f>EU$4 * IF(AND(ET$4=1,ER$20=1), FE85, FC85)</f>
        <v>0</v>
      </c>
      <c r="EV85" s="12">
        <f>EV$4 * IF(AND(EU$4=1,ER$20=1), FE85, FC85)</f>
        <v>0</v>
      </c>
      <c r="EW85" s="12">
        <f>EW$4 * IF(AND(EV$4=1,ER$20=1), FE85, FC85)</f>
        <v>0</v>
      </c>
      <c r="EX85" s="12">
        <f>EX$4 * IF(AND(EW$4=1,ER$20=1), FE85, FC85)</f>
        <v>0</v>
      </c>
      <c r="EY85" s="12">
        <f>EY$4 * IF(AND(EX$4=1,ER$20=1), FE85, FC85)</f>
        <v>0</v>
      </c>
      <c r="EZ85" s="12">
        <f>EZ$4 * IF(AND(EY$4=1,ER$20=1), FE85, FC85)</f>
        <v>0</v>
      </c>
      <c r="FB85" t="s">
        <v>1304</v>
      </c>
      <c r="FC85">
        <f>_xlfn.XLOOKUP(FB85,'KPI Impacts'!$B$2:$H$2,'KPI Impacts'!$B85:$H85)</f>
        <v>0</v>
      </c>
      <c r="FD85" s="35" t="s">
        <v>1304</v>
      </c>
      <c r="FE85">
        <f>_xlfn.XLOOKUP(FD85,'KPI Impacts'!$B$2:$H$2,'KPI Impacts'!$B85:$H85)</f>
        <v>0</v>
      </c>
      <c r="FG85" s="17"/>
      <c r="FH85" s="12">
        <f>FH$4*FS85</f>
        <v>0</v>
      </c>
      <c r="FI85" s="12">
        <f>FI$4 * IF(AND(FH$4=1,FH$20=1), FU85, FS85)</f>
        <v>0</v>
      </c>
      <c r="FJ85" s="12">
        <f>FJ$4 * IF(AND(FI$4=1,FH$20=1), FU85, FS85)</f>
        <v>0</v>
      </c>
      <c r="FK85" s="12">
        <f>FK$4 * IF(AND(FJ$4=1,FH$20=1), FU85, FS85)</f>
        <v>0</v>
      </c>
      <c r="FL85" s="12">
        <f>FL$4 * IF(AND(FK$4=1,FH$20=1), FU85, FS85)</f>
        <v>0</v>
      </c>
      <c r="FM85" s="12">
        <f>FM$4 * IF(AND(FL$4=1,FH$20=1), FU85, FS85)</f>
        <v>0</v>
      </c>
      <c r="FN85" s="12">
        <f>FN$4 * IF(AND(FM$4=1,FH$20=1), FU85, FS85)</f>
        <v>0</v>
      </c>
      <c r="FO85" s="12">
        <f>FO$4 * IF(AND(FN$4=1,FH$20=1), FU85, FS85)</f>
        <v>0</v>
      </c>
      <c r="FP85" s="12">
        <f>FP$4 * IF(AND(FO$4=1,FH$20=1), FU85, FS85)</f>
        <v>0</v>
      </c>
      <c r="FR85" t="s">
        <v>1304</v>
      </c>
      <c r="FS85">
        <f>_xlfn.XLOOKUP(FR85,'KPI Impacts'!$B$2:$H$2,'KPI Impacts'!$B85:$H85)</f>
        <v>0</v>
      </c>
      <c r="FT85" s="35" t="s">
        <v>1304</v>
      </c>
      <c r="FU85">
        <f>_xlfn.XLOOKUP(FT85,'KPI Impacts'!$B$2:$H$2,'KPI Impacts'!$B85:$H85)</f>
        <v>0</v>
      </c>
      <c r="FW85" s="17"/>
      <c r="FX85" s="12">
        <f>FX$4*GI85</f>
        <v>0</v>
      </c>
      <c r="FY85" s="12">
        <f>FY$4 * IF(AND(FX$4=1,FX$20=1), GK85, GI85)</f>
        <v>0</v>
      </c>
      <c r="FZ85" s="12">
        <f>FZ$4 * IF(AND(FY$4=1,FX$20=1), GK85, GI85)</f>
        <v>0</v>
      </c>
      <c r="GA85" s="12">
        <f>GA$4 * IF(AND(FZ$4=1,FX$20=1), GK85, GI85)</f>
        <v>0</v>
      </c>
      <c r="GB85" s="12">
        <f>GB$4 * IF(AND(GA$4=1,FX$20=1), GK85, GI85)</f>
        <v>0</v>
      </c>
      <c r="GC85" s="12">
        <f>GC$4 * IF(AND(GB$4=1,FX$20=1), GK85, GI85)</f>
        <v>0</v>
      </c>
      <c r="GD85" s="12">
        <f>GD$4 * IF(AND(GC$4=1,FX$20=1), GK85, GI85)</f>
        <v>0</v>
      </c>
      <c r="GE85" s="12">
        <f>GE$4 * IF(AND(GD$4=1,FX$20=1), GK85, GI85)</f>
        <v>0</v>
      </c>
      <c r="GF85" s="12">
        <f>GF$4 * IF(AND(GE$4=1,FX$20=1), GK85, GI85)</f>
        <v>0</v>
      </c>
      <c r="GH85" t="s">
        <v>1304</v>
      </c>
      <c r="GI85">
        <f>_xlfn.XLOOKUP(GH85,'KPI Impacts'!$B$2:$H$2,'KPI Impacts'!$B85:$H85)</f>
        <v>0</v>
      </c>
      <c r="GJ85" s="35" t="s">
        <v>1304</v>
      </c>
      <c r="GK85">
        <f>_xlfn.XLOOKUP(GJ85,'KPI Impacts'!$B$2:$H$2,'KPI Impacts'!$B85:$H85)</f>
        <v>0</v>
      </c>
      <c r="GN85" s="12">
        <f>GN$4*GY85</f>
        <v>0</v>
      </c>
      <c r="GO85" s="12">
        <f>GO$4 * IF(AND(GN$4=1,GN$20=1), HA85, GY85)</f>
        <v>0</v>
      </c>
      <c r="GP85" s="12">
        <f>GP$4 * IF(AND(GO$4=1,GN$20=1), HA85, GY85)</f>
        <v>0</v>
      </c>
      <c r="GQ85" s="12">
        <f>GQ$4 * IF(AND(GP$4=1,GN$20=1), HA85, GY85)</f>
        <v>0</v>
      </c>
      <c r="GR85" s="12">
        <f>GR$4 * IF(AND(GQ$4=1,GN$20=1), HA85, GY85)</f>
        <v>0</v>
      </c>
      <c r="GS85" s="12">
        <f>GS$4 * IF(AND(GR$4=1,GN$20=1), HA85, GY85)</f>
        <v>0</v>
      </c>
      <c r="GT85" s="12">
        <f>GT$4 * IF(AND(GS$4=1,GN$20=1), HA85, GY85)</f>
        <v>0</v>
      </c>
      <c r="GU85" s="12">
        <f>GU$4 * IF(AND(GT$4=1,GN$20=1), HA85, GY85)</f>
        <v>0</v>
      </c>
      <c r="GV85" s="12">
        <f>GV$4 * IF(AND(GU$4=1,GN$20=1), HA85, GY85)</f>
        <v>0</v>
      </c>
      <c r="GX85" t="s">
        <v>1304</v>
      </c>
      <c r="GY85">
        <f>_xlfn.XLOOKUP(GX85,'KPI Impacts'!$B$2:$H$2,'KPI Impacts'!$B85:$H85)</f>
        <v>0</v>
      </c>
      <c r="GZ85" s="35" t="s">
        <v>1304</v>
      </c>
      <c r="HA85">
        <f>_xlfn.XLOOKUP(GZ85,'KPI Impacts'!$B$2:$H$2,'KPI Impacts'!$B85:$H85)</f>
        <v>0</v>
      </c>
      <c r="HD85" s="12">
        <f>HD$4*HO85</f>
        <v>0</v>
      </c>
      <c r="HE85" s="12">
        <f>HE$4 * IF(AND(HD$4=1,HD$20=1), HQ85, HO85)</f>
        <v>0</v>
      </c>
      <c r="HF85" s="12">
        <f>HF$4 * IF(AND(HE$4=1,HD$20=1), HQ85, HO85)</f>
        <v>0</v>
      </c>
      <c r="HG85" s="12">
        <f>HG$4 * IF(AND(HF$4=1,HD$20=1), HQ85, HO85)</f>
        <v>0</v>
      </c>
      <c r="HH85" s="12">
        <f>HH$4 * IF(AND(HG$4=1,HD$20=1), HQ85, HO85)</f>
        <v>0</v>
      </c>
      <c r="HI85" s="12">
        <f>HI$4 * IF(AND(HH$4=1,HD$20=1), HQ85, HO85)</f>
        <v>0</v>
      </c>
      <c r="HJ85" s="12">
        <f>HJ$4 * IF(AND(HI$4=1,HD$20=1), HQ85, HO85)</f>
        <v>0</v>
      </c>
      <c r="HK85" s="12">
        <f>HK$4 * IF(AND(HJ$4=1,HD$20=1), HQ85, HO85)</f>
        <v>0</v>
      </c>
      <c r="HL85" s="12">
        <f>HL$4 * IF(AND(HK$4=1,HD$20=1), HQ85, HO85)</f>
        <v>0</v>
      </c>
      <c r="HN85" t="s">
        <v>1304</v>
      </c>
      <c r="HO85">
        <f>_xlfn.XLOOKUP(HN85,'KPI Impacts'!$B$2:$H$2,'KPI Impacts'!$B85:$H85)</f>
        <v>0</v>
      </c>
      <c r="HP85" s="35" t="s">
        <v>1304</v>
      </c>
      <c r="HQ85">
        <f>_xlfn.XLOOKUP(HP85,'KPI Impacts'!$B$2:$H$2,'KPI Impacts'!$B85:$H85)</f>
        <v>0</v>
      </c>
      <c r="HT85" s="12">
        <f>HT$4*IE85</f>
        <v>0</v>
      </c>
      <c r="HU85" s="12">
        <f>HU$4 * IF(AND(HT$4=1,HT$20=1), IG85, IE85)</f>
        <v>0</v>
      </c>
      <c r="HV85" s="12">
        <f>HV$4 * IF(AND(HU$4=1,HT$20=1), IG85, IE85)</f>
        <v>0</v>
      </c>
      <c r="HW85" s="12">
        <f>HW$4 * IF(AND(HV$4=1,HT$20=1), IG85, IE85)</f>
        <v>0</v>
      </c>
      <c r="HX85" s="12">
        <f>HX$4 * IF(AND(HW$4=1,HT$20=1), IG85, IE85)</f>
        <v>0</v>
      </c>
      <c r="HY85" s="12">
        <f>HY$4 * IF(AND(HX$4=1,HT$20=1), IG85, IE85)</f>
        <v>0</v>
      </c>
      <c r="HZ85" s="12">
        <f>HZ$4 * IF(AND(HY$4=1,HT$20=1), IG85, IE85)</f>
        <v>0</v>
      </c>
      <c r="IA85" s="12">
        <f>IA$4 * IF(AND(HZ$4=1,HT$20=1), IG85, IE85)</f>
        <v>0</v>
      </c>
      <c r="IB85" s="12">
        <f>IB$4 * IF(AND(IA$4=1,HT$20=1), IG85, IE85)</f>
        <v>0</v>
      </c>
      <c r="ID85" t="s">
        <v>1304</v>
      </c>
      <c r="IE85">
        <f>_xlfn.XLOOKUP(ID85,'KPI Impacts'!$B$2:$H$2,'KPI Impacts'!$B85:$H85)</f>
        <v>0</v>
      </c>
      <c r="IF85" s="35" t="s">
        <v>1304</v>
      </c>
      <c r="IG85">
        <f>_xlfn.XLOOKUP(IF85,'KPI Impacts'!$B$2:$H$2,'KPI Impacts'!$B85:$H85)</f>
        <v>0</v>
      </c>
      <c r="IJ85" s="12">
        <f>IJ$4*IU85</f>
        <v>0</v>
      </c>
      <c r="IK85" s="12">
        <f>IK$4 * IF(AND(IJ$4=1,IJ$20=1), IW85, IU85)</f>
        <v>0</v>
      </c>
      <c r="IL85" s="12">
        <f>IL$4 * IF(AND(IK$4=1,IJ$20=1), IW85, IU85)</f>
        <v>0</v>
      </c>
      <c r="IM85" s="12">
        <f>IM$4 * IF(AND(IL$4=1,IJ$20=1), IW85, IU85)</f>
        <v>0</v>
      </c>
      <c r="IN85" s="12">
        <f>IN$4 * IF(AND(IM$4=1,IJ$20=1), IW85, IU85)</f>
        <v>0</v>
      </c>
      <c r="IO85" s="12">
        <f>IO$4 * IF(AND(IN$4=1,IJ$20=1), IW85, IU85)</f>
        <v>0</v>
      </c>
      <c r="IP85" s="12">
        <f>IP$4 * IF(AND(IO$4=1,IJ$20=1), IW85, IU85)</f>
        <v>0</v>
      </c>
      <c r="IQ85" s="12">
        <f>IQ$4 * IF(AND(IP$4=1,IJ$20=1), IW85, IU85)</f>
        <v>0</v>
      </c>
      <c r="IR85" s="12">
        <f>IR$4 * IF(AND(IQ$4=1,IJ$20=1), IW85, IU85)</f>
        <v>0</v>
      </c>
      <c r="IT85" t="s">
        <v>1304</v>
      </c>
      <c r="IU85">
        <f>_xlfn.XLOOKUP(IT85,'KPI Impacts'!$B$2:$H$2,'KPI Impacts'!$B85:$H85)</f>
        <v>0</v>
      </c>
      <c r="IV85" s="35" t="s">
        <v>1304</v>
      </c>
      <c r="IW85">
        <f>_xlfn.XLOOKUP(IV85,'KPI Impacts'!$B$2:$H$2,'KPI Impacts'!$B85:$H85)</f>
        <v>0</v>
      </c>
      <c r="IZ85" s="12">
        <f>IZ$4*JK85</f>
        <v>0</v>
      </c>
      <c r="JA85" s="12">
        <f>JA$4 * IF(AND(IZ$4=1,IZ$20=1), JM85, JK85)</f>
        <v>0</v>
      </c>
      <c r="JB85" s="12">
        <f>JB$4 * IF(AND(JA$4=1,IZ$20=1), JM85, JK85)</f>
        <v>0</v>
      </c>
      <c r="JC85" s="12">
        <f>JC$4 * IF(AND(JB$4=1,IZ$20=1), JM85, JK85)</f>
        <v>0</v>
      </c>
      <c r="JD85" s="12">
        <f>JD$4 * IF(AND(JC$4=1,IZ$20=1), JM85, JK85)</f>
        <v>0</v>
      </c>
      <c r="JE85" s="12">
        <f>JE$4 * IF(AND(JD$4=1,IZ$20=1), JM85, JK85)</f>
        <v>0</v>
      </c>
      <c r="JF85" s="12">
        <f>JF$4 * IF(AND(JE$4=1,IZ$20=1), JM85, JK85)</f>
        <v>0</v>
      </c>
      <c r="JG85" s="12">
        <f>JG$4 * IF(AND(JF$4=1,IZ$20=1), JM85, JK85)</f>
        <v>0</v>
      </c>
      <c r="JH85" s="12">
        <f>JH$4 * IF(AND(JG$4=1,IZ$20=1), JM85, JK85)</f>
        <v>0</v>
      </c>
      <c r="JJ85" t="s">
        <v>1304</v>
      </c>
      <c r="JK85">
        <f>_xlfn.XLOOKUP(JJ85,'KPI Impacts'!$B$2:$H$2,'KPI Impacts'!$B85:$H85)</f>
        <v>0</v>
      </c>
      <c r="JL85" s="35" t="s">
        <v>1304</v>
      </c>
      <c r="JM85">
        <f>_xlfn.XLOOKUP(JL85,'KPI Impacts'!$B$2:$H$2,'KPI Impacts'!$B85:$H85)</f>
        <v>0</v>
      </c>
      <c r="JP85" s="12">
        <f>JP$4*KA85</f>
        <v>0</v>
      </c>
      <c r="JQ85" s="12">
        <f>JQ$4 * IF(AND(JP$4=1,JP$20=1), KC85, KA85)</f>
        <v>0</v>
      </c>
      <c r="JR85" s="12">
        <f>JR$4 * IF(AND(JQ$4=1,JP$20=1), KC85, KA85)</f>
        <v>0</v>
      </c>
      <c r="JS85" s="12">
        <f>JS$4 * IF(AND(JR$4=1,JP$20=1), KC85, KA85)</f>
        <v>0</v>
      </c>
      <c r="JT85" s="12">
        <f>JT$4 * IF(AND(JS$4=1,JP$20=1), KC85, KA85)</f>
        <v>0</v>
      </c>
      <c r="JU85" s="12">
        <f>JU$4 * IF(AND(JT$4=1,JP$20=1), KC85, KA85)</f>
        <v>0</v>
      </c>
      <c r="JV85" s="12">
        <f>JV$4 * IF(AND(JU$4=1,JP$20=1), KC85, KA85)</f>
        <v>0</v>
      </c>
      <c r="JW85" s="12">
        <f>JW$4 * IF(AND(JV$4=1,JP$20=1), KC85, KA85)</f>
        <v>0</v>
      </c>
      <c r="JX85" s="12">
        <f>JX$4 * IF(AND(JW$4=1,JP$20=1), KC85, KA85)</f>
        <v>0</v>
      </c>
      <c r="JZ85" t="s">
        <v>1304</v>
      </c>
      <c r="KA85">
        <f>_xlfn.XLOOKUP(JZ85,'KPI Impacts'!$B$2:$H$2,'KPI Impacts'!$B85:$H85)</f>
        <v>0</v>
      </c>
      <c r="KB85" s="35" t="s">
        <v>1304</v>
      </c>
      <c r="KC85">
        <f>_xlfn.XLOOKUP(KB85,'KPI Impacts'!$B$2:$H$2,'KPI Impacts'!$B85:$H85)</f>
        <v>0</v>
      </c>
      <c r="KF85" s="12">
        <f>KF$4*KQ85</f>
        <v>0</v>
      </c>
      <c r="KG85" s="12">
        <f>KG$4 * IF(AND(KF$4=1,KF$20=1), KS85, KQ85)</f>
        <v>0</v>
      </c>
      <c r="KH85" s="12">
        <f>KH$4 * IF(AND(KG$4=1,KF$20=1), KS85, KQ85)</f>
        <v>0</v>
      </c>
      <c r="KI85" s="12">
        <f>KI$4 * IF(AND(KH$4=1,KF$20=1), KS85, KQ85)</f>
        <v>0</v>
      </c>
      <c r="KJ85" s="12">
        <f>KJ$4 * IF(AND(KI$4=1,KF$20=1), KS85, KQ85)</f>
        <v>0</v>
      </c>
      <c r="KK85" s="12">
        <f>KK$4 * IF(AND(KJ$4=1,KF$20=1), KS85, KQ85)</f>
        <v>0</v>
      </c>
      <c r="KL85" s="12">
        <f>KL$4 * IF(AND(KK$4=1,KF$20=1), KS85, KQ85)</f>
        <v>0</v>
      </c>
      <c r="KM85" s="12">
        <f>KM$4 * IF(AND(KL$4=1,KF$20=1), KS85, KQ85)</f>
        <v>0</v>
      </c>
      <c r="KN85" s="12">
        <f>KN$4 * IF(AND(KM$4=1,KF$20=1), KS85, KQ85)</f>
        <v>0</v>
      </c>
      <c r="KP85" t="s">
        <v>1304</v>
      </c>
      <c r="KQ85">
        <f>_xlfn.XLOOKUP(KP85,'KPI Impacts'!$B$2:$H$2,'KPI Impacts'!$B85:$H85)</f>
        <v>0</v>
      </c>
      <c r="KR85" s="35" t="s">
        <v>1304</v>
      </c>
      <c r="KS85">
        <f>_xlfn.XLOOKUP(KR85,'KPI Impacts'!$B$2:$H$2,'KPI Impacts'!$B85:$H85)</f>
        <v>0</v>
      </c>
      <c r="KV85" s="12">
        <f>KV$4*LG85</f>
        <v>0</v>
      </c>
      <c r="KW85" s="12">
        <f>KW$4 * IF(AND(KV$4=1,KV$20=1), LI85, LG85)</f>
        <v>0</v>
      </c>
      <c r="KX85" s="12">
        <f>KX$4 * IF(AND(KW$4=1,KV$20=1), LI85, LG85)</f>
        <v>0</v>
      </c>
      <c r="KY85" s="12">
        <f>KY$4 * IF(AND(KX$4=1,KV$20=1), LI85, LG85)</f>
        <v>0</v>
      </c>
      <c r="KZ85" s="12">
        <f>KZ$4 * IF(AND(KY$4=1,KV$20=1), LI85, LG85)</f>
        <v>0</v>
      </c>
      <c r="LA85" s="12">
        <f>LA$4 * IF(AND(KZ$4=1,KV$20=1), LI85, LG85)</f>
        <v>0</v>
      </c>
      <c r="LB85" s="12">
        <f>LB$4 * IF(AND(LA$4=1,KV$20=1), LI85, LG85)</f>
        <v>0</v>
      </c>
      <c r="LC85" s="12">
        <f>LC$4 * IF(AND(LB$4=1,KV$20=1), LI85, LG85)</f>
        <v>0</v>
      </c>
      <c r="LD85" s="12">
        <f>LD$4 * IF(AND(LC$4=1,KV$20=1), LI85, LG85)</f>
        <v>0</v>
      </c>
      <c r="LF85" t="s">
        <v>1304</v>
      </c>
      <c r="LG85">
        <f>_xlfn.XLOOKUP(LF85,'KPI Impacts'!$B$2:$H$2,'KPI Impacts'!$B85:$H85)</f>
        <v>0</v>
      </c>
      <c r="LH85" s="35" t="s">
        <v>1304</v>
      </c>
      <c r="LI85">
        <f>_xlfn.XLOOKUP(LH85,'KPI Impacts'!$B$2:$H$2,'KPI Impacts'!$B85:$H85)</f>
        <v>0</v>
      </c>
      <c r="LL85" s="12">
        <f>LL$4*LW85</f>
        <v>0</v>
      </c>
      <c r="LM85" s="12">
        <f>LM$4 * IF(AND(LL$4=1,LL$20=1), LY85, LW85)</f>
        <v>0</v>
      </c>
      <c r="LN85" s="12">
        <f>LN$4 * IF(AND(LM$4=1,LL$20=1), LY85, LW85)</f>
        <v>0</v>
      </c>
      <c r="LO85" s="12">
        <f>LO$4 * IF(AND(LN$4=1,LL$20=1), LY85, LW85)</f>
        <v>0</v>
      </c>
      <c r="LP85" s="12">
        <f>LP$4 * IF(AND(LO$4=1,LL$20=1), LY85, LW85)</f>
        <v>0</v>
      </c>
      <c r="LQ85" s="12">
        <f>LQ$4 * IF(AND(LP$4=1,LL$20=1), LY85, LW85)</f>
        <v>0</v>
      </c>
      <c r="LR85" s="12">
        <f>LR$4 * IF(AND(LQ$4=1,LL$20=1), LY85, LW85)</f>
        <v>0</v>
      </c>
      <c r="LS85" s="12">
        <f>LS$4 * IF(AND(LR$4=1,LL$20=1), LY85, LW85)</f>
        <v>0</v>
      </c>
      <c r="LT85" s="12">
        <f>LT$4 * IF(AND(LS$4=1,LL$20=1), LY85, LW85)</f>
        <v>0</v>
      </c>
      <c r="LV85" t="s">
        <v>1304</v>
      </c>
      <c r="LW85">
        <f>_xlfn.XLOOKUP(LV85,'KPI Impacts'!$B$2:$H$2,'KPI Impacts'!$B85:$H85)</f>
        <v>0</v>
      </c>
      <c r="LX85" s="35" t="s">
        <v>1304</v>
      </c>
      <c r="LY85">
        <f>_xlfn.XLOOKUP(LX85,'KPI Impacts'!$B$2:$H$2,'KPI Impacts'!$B85:$H85)</f>
        <v>0</v>
      </c>
      <c r="MB85" s="12">
        <f>MB$4*MM85</f>
        <v>0</v>
      </c>
      <c r="MC85" s="12">
        <f>MC$4 * IF(AND(MB$4=1,MB$20=1), MO85, MM85)</f>
        <v>0</v>
      </c>
      <c r="MD85" s="12">
        <f>MD$4 * IF(AND(MC$4=1,MB$20=1), MO85, MM85)</f>
        <v>0</v>
      </c>
      <c r="ME85" s="12">
        <f>ME$4 * IF(AND(MD$4=1,MB$20=1), MO85, MM85)</f>
        <v>0</v>
      </c>
      <c r="MF85" s="12">
        <f>MF$4 * IF(AND(ME$4=1,MB$20=1), MO85, MM85)</f>
        <v>0</v>
      </c>
      <c r="MG85" s="12">
        <f>MG$4 * IF(AND(MF$4=1,MB$20=1), MO85, MM85)</f>
        <v>0</v>
      </c>
      <c r="MH85" s="12">
        <f>MH$4 * IF(AND(MG$4=1,MB$20=1), MO85, MM85)</f>
        <v>0</v>
      </c>
      <c r="MI85" s="12">
        <f>MI$4 * IF(AND(MH$4=1,MB$20=1), MO85, MM85)</f>
        <v>0</v>
      </c>
      <c r="MJ85" s="12">
        <f>MJ$4 * IF(AND(MI$4=1,MB$20=1), MO85, MM85)</f>
        <v>0</v>
      </c>
      <c r="ML85" t="s">
        <v>1304</v>
      </c>
      <c r="MM85">
        <f>_xlfn.XLOOKUP(ML85,'KPI Impacts'!$B$2:$H$2,'KPI Impacts'!$B85:$H85)</f>
        <v>0</v>
      </c>
      <c r="MN85" s="35" t="s">
        <v>1304</v>
      </c>
      <c r="MO85">
        <f>_xlfn.XLOOKUP(MN85,'KPI Impacts'!$B$2:$H$2,'KPI Impacts'!$B85:$H85)</f>
        <v>0</v>
      </c>
      <c r="MR85" s="12">
        <f>MR$4*NC85</f>
        <v>0</v>
      </c>
      <c r="MS85" s="12">
        <f>MS$4 * IF(AND(MR$4=1,MR$20=1), NE85, NC85)</f>
        <v>0</v>
      </c>
      <c r="MT85" s="12">
        <f>MT$4 * IF(AND(MS$4=1,MR$20=1), NE85, NC85)</f>
        <v>0</v>
      </c>
      <c r="MU85" s="12">
        <f>MU$4 * IF(AND(MT$4=1,MR$20=1), NE85, NC85)</f>
        <v>0</v>
      </c>
      <c r="MV85" s="12">
        <f>MV$4 * IF(AND(MU$4=1,MR$20=1), NE85, NC85)</f>
        <v>0</v>
      </c>
      <c r="MW85" s="12">
        <f>MW$4 * IF(AND(MV$4=1,MR$20=1), NE85, NC85)</f>
        <v>0</v>
      </c>
      <c r="MX85" s="12">
        <f>MX$4 * IF(AND(MW$4=1,MR$20=1), NE85, NC85)</f>
        <v>0</v>
      </c>
      <c r="MY85" s="12">
        <f>MY$4 * IF(AND(MX$4=1,MR$20=1), NE85, NC85)</f>
        <v>0</v>
      </c>
      <c r="MZ85" s="12">
        <f>MZ$4 * IF(AND(MY$4=1,MR$20=1), NE85, NC85)</f>
        <v>0</v>
      </c>
      <c r="NB85" t="s">
        <v>1304</v>
      </c>
      <c r="NC85">
        <f>_xlfn.XLOOKUP(NB85,'KPI Impacts'!$B$2:$H$2,'KPI Impacts'!$B85:$H85)</f>
        <v>0</v>
      </c>
      <c r="ND85" s="35" t="s">
        <v>1304</v>
      </c>
      <c r="NE85">
        <f>_xlfn.XLOOKUP(ND85,'KPI Impacts'!$B$2:$H$2,'KPI Impacts'!$B85:$H85)</f>
        <v>0</v>
      </c>
      <c r="NH85" s="12">
        <f>NH$4*NS85</f>
        <v>0</v>
      </c>
      <c r="NI85" s="12">
        <f>NI$4 * IF(AND(NH$4=1,NH$20=1), NU85, NS85)</f>
        <v>0</v>
      </c>
      <c r="NJ85" s="12">
        <f>NJ$4 * IF(AND(NI$4=1,NH$20=1), NU85, NS85)</f>
        <v>0</v>
      </c>
      <c r="NK85" s="12">
        <f>NK$4 * IF(AND(NJ$4=1,NH$20=1), NU85, NS85)</f>
        <v>0</v>
      </c>
      <c r="NL85" s="12">
        <f>NL$4 * IF(AND(NK$4=1,NH$20=1), NU85, NS85)</f>
        <v>0</v>
      </c>
      <c r="NM85" s="12">
        <f>NM$4 * IF(AND(NL$4=1,NH$20=1), NU85, NS85)</f>
        <v>0</v>
      </c>
      <c r="NN85" s="12">
        <f>NN$4 * IF(AND(NM$4=1,NH$20=1), NU85, NS85)</f>
        <v>0</v>
      </c>
      <c r="NO85" s="12">
        <f>NO$4 * IF(AND(NN$4=1,NH$20=1), NU85, NS85)</f>
        <v>0</v>
      </c>
      <c r="NP85" s="12">
        <f>NP$4 * IF(AND(NO$4=1,NH$20=1), NU85, NS85)</f>
        <v>0</v>
      </c>
      <c r="NR85" t="s">
        <v>1304</v>
      </c>
      <c r="NS85">
        <f>_xlfn.XLOOKUP(NR85,'KPI Impacts'!$B$2:$H$2,'KPI Impacts'!$B85:$H85)</f>
        <v>0</v>
      </c>
      <c r="NT85" s="35" t="s">
        <v>1304</v>
      </c>
      <c r="NU85">
        <f>_xlfn.XLOOKUP(NT85,'KPI Impacts'!$B$2:$H$2,'KPI Impacts'!$B85:$H85)</f>
        <v>0</v>
      </c>
      <c r="NX85" s="12">
        <f>NX$4*OI85</f>
        <v>0</v>
      </c>
      <c r="NY85" s="12">
        <f>NY$4 * IF(AND(NX$4=1,NX$20=1), OK85, OI85)</f>
        <v>0</v>
      </c>
      <c r="NZ85" s="12">
        <f>NZ$4 * IF(AND(NY$4=1,NX$20=1), OK85, OI85)</f>
        <v>0</v>
      </c>
      <c r="OA85" s="12">
        <f>OA$4 * IF(AND(NZ$4=1,NX$20=1), OK85, OI85)</f>
        <v>0</v>
      </c>
      <c r="OB85" s="12">
        <f>OB$4 * IF(AND(OA$4=1,NX$20=1), OK85, OI85)</f>
        <v>0</v>
      </c>
      <c r="OC85" s="12">
        <f>OC$4 * IF(AND(OB$4=1,NX$20=1), OK85, OI85)</f>
        <v>0</v>
      </c>
      <c r="OD85" s="12">
        <f>OD$4 * IF(AND(OC$4=1,NX$20=1), OK85, OI85)</f>
        <v>0</v>
      </c>
      <c r="OE85" s="12">
        <f>OE$4 * IF(AND(OD$4=1,NX$20=1), OK85, OI85)</f>
        <v>0</v>
      </c>
      <c r="OF85" s="12">
        <f>OF$4 * IF(AND(OE$4=1,NX$20=1), OK85, OI85)</f>
        <v>0</v>
      </c>
      <c r="OH85" t="s">
        <v>1304</v>
      </c>
      <c r="OI85">
        <f>_xlfn.XLOOKUP(OH85,'KPI Impacts'!$B$2:$H$2,'KPI Impacts'!$B85:$H85)</f>
        <v>0</v>
      </c>
      <c r="OJ85" s="35" t="s">
        <v>1304</v>
      </c>
      <c r="OK85">
        <f>_xlfn.XLOOKUP(OJ85,'KPI Impacts'!$B$2:$H$2,'KPI Impacts'!$B85:$H85)</f>
        <v>0</v>
      </c>
    </row>
    <row r="86" spans="1:401" x14ac:dyDescent="0.2">
      <c r="A86" s="9" t="s">
        <v>1316</v>
      </c>
      <c r="B86" s="12">
        <f t="shared" si="656"/>
        <v>0</v>
      </c>
      <c r="C86" s="12">
        <f t="shared" si="657"/>
        <v>0</v>
      </c>
      <c r="D86" s="12">
        <f t="shared" si="658"/>
        <v>0</v>
      </c>
      <c r="E86" s="12">
        <f t="shared" si="659"/>
        <v>0</v>
      </c>
      <c r="F86" s="12">
        <f t="shared" si="660"/>
        <v>0</v>
      </c>
      <c r="G86" s="12">
        <f t="shared" si="661"/>
        <v>0</v>
      </c>
      <c r="H86" s="12">
        <f t="shared" si="662"/>
        <v>0</v>
      </c>
      <c r="I86" s="12">
        <f t="shared" si="663"/>
        <v>0</v>
      </c>
      <c r="J86" s="12">
        <f t="shared" si="664"/>
        <v>0</v>
      </c>
      <c r="O86" s="17"/>
      <c r="P86" s="12" cm="1">
        <f t="array" ref="P86">_xlfn.SWITCH(P$4, 0,0, 1, AA86,2,AC86,3,AE86,0)</f>
        <v>0</v>
      </c>
      <c r="Q86" s="12" cm="1">
        <f t="array" ref="Q86">_xlfn.SWITCH(Q$4, 0,0, 1, AA86,2,AC86,3,AE86,0)+P86</f>
        <v>0</v>
      </c>
      <c r="R86" s="12" cm="1">
        <f t="array" ref="R86">_xlfn.SWITCH(R$4, 0,0, 1, AA86,2,AC86,3,AE86,0)+Q86</f>
        <v>0</v>
      </c>
      <c r="S86" s="12" cm="1">
        <f t="array" ref="S86">_xlfn.SWITCH(S$4, 0,0, 1, AA86,2,AC86,3,AE86,0)+R86</f>
        <v>0</v>
      </c>
      <c r="T86" s="12" cm="1">
        <f t="array" ref="T86">_xlfn.SWITCH(T$4, 0,0, 1, AA86,2,AC86,3,AE86,0)+S86</f>
        <v>0</v>
      </c>
      <c r="U86" s="12" cm="1">
        <f t="array" ref="U86">_xlfn.SWITCH(U$4, 0,0, 1, AA86,2,AC86,3,AE86,0)+T86</f>
        <v>0</v>
      </c>
      <c r="V86" s="12" cm="1">
        <f t="array" ref="V86">_xlfn.SWITCH(V$4, 0,0, 1, AA86,2,AC86,3,AE86,0)+U86</f>
        <v>0</v>
      </c>
      <c r="W86" s="12" cm="1">
        <f t="array" ref="W86">_xlfn.SWITCH(W$4, 0,0, 1, AA86,2,AC86,3,AE86,0)+V86</f>
        <v>0</v>
      </c>
      <c r="X86" s="12" cm="1">
        <f t="array" ref="X86">_xlfn.SWITCH(X$4, 0,0, 1, AA86,2,AC86,3,AE86,0)+W86</f>
        <v>0</v>
      </c>
      <c r="Z86" t="s">
        <v>1304</v>
      </c>
      <c r="AA86">
        <f>_xlfn.XLOOKUP(Z86,'KPI Impacts'!$K$2:$Q$2,'KPI Impacts'!$K86:$Q86)</f>
        <v>0</v>
      </c>
      <c r="AB86" t="s">
        <v>1304</v>
      </c>
      <c r="AC86">
        <f>_xlfn.XLOOKUP(AB86,'KPI Impacts'!$K$2:$Q$2,'KPI Impacts'!$K86:$Q86)</f>
        <v>0</v>
      </c>
      <c r="AD86" t="s">
        <v>1304</v>
      </c>
      <c r="AE86">
        <f>_xlfn.XLOOKUP(AD86,'KPI Impacts'!$K$2:$Q$2,'KPI Impacts'!$K86:$Q86)</f>
        <v>0</v>
      </c>
      <c r="AG86" s="17"/>
      <c r="AH86" s="12" cm="1">
        <f t="array" ref="AH86">_xlfn.SWITCH(AH$4, 0,0, 1, AS86,2,AU86,3,AW86,0)</f>
        <v>0</v>
      </c>
      <c r="AI86" s="12" cm="1">
        <f t="array" ref="AI86">_xlfn.SWITCH(AI$4, 0,0, 1, AS86,2,AU86,3,AW86,0)+AH86</f>
        <v>0</v>
      </c>
      <c r="AJ86" s="12" cm="1">
        <f t="array" ref="AJ86">_xlfn.SWITCH(AJ$4, 0,0, 1, AS86,2,AU86,3,AW86,0)+AI86</f>
        <v>0</v>
      </c>
      <c r="AK86" s="12" cm="1">
        <f t="array" ref="AK86">_xlfn.SWITCH(AK$4, 0,0, 1, AS86,2,AU86,3,AW86,0)+AJ86</f>
        <v>0</v>
      </c>
      <c r="AL86" s="12" cm="1">
        <f t="array" ref="AL86">_xlfn.SWITCH(AL$4, 0,0, 1, AS86,2,AU86,3,AW86,0)+AK86</f>
        <v>0</v>
      </c>
      <c r="AM86" s="12" cm="1">
        <f t="array" ref="AM86">_xlfn.SWITCH(AM$4, 0,0, 1, AS86,2,AU86,3,AW86,0)+AL86</f>
        <v>0</v>
      </c>
      <c r="AN86" s="12" cm="1">
        <f t="array" ref="AN86">_xlfn.SWITCH(AN$4, 0,0, 1, AS86,2,AU86,3,AW86,0)+AM86</f>
        <v>0</v>
      </c>
      <c r="AO86" s="12" cm="1">
        <f t="array" ref="AO86">_xlfn.SWITCH(AO$4, 0,0, 1, AS86,2,AU86,3,AW86,0)+AN86</f>
        <v>0</v>
      </c>
      <c r="AP86" s="12" cm="1">
        <f t="array" ref="AP86">_xlfn.SWITCH(AP$4, 0,0, 1, AS86,2,AU86,3,AW86,0)+AO86</f>
        <v>0</v>
      </c>
      <c r="AR86" t="s">
        <v>1304</v>
      </c>
      <c r="AS86">
        <f>_xlfn.XLOOKUP(AR86,'KPI Impacts'!$K$2:$Q$2,'KPI Impacts'!$K86:$Q86)</f>
        <v>0</v>
      </c>
      <c r="AT86" t="s">
        <v>1304</v>
      </c>
      <c r="AU86">
        <f>_xlfn.XLOOKUP(AT86,'KPI Impacts'!$K$2:$Q$2,'KPI Impacts'!$K86:$Q86)</f>
        <v>0</v>
      </c>
      <c r="AV86" t="s">
        <v>1304</v>
      </c>
      <c r="AW86">
        <f>_xlfn.XLOOKUP(AV86,'KPI Impacts'!$K$2:$Q$2,'KPI Impacts'!$K86:$Q86)</f>
        <v>0</v>
      </c>
      <c r="AY86" s="17"/>
      <c r="AZ86" s="12">
        <f>AZ$4*BK86</f>
        <v>0</v>
      </c>
      <c r="BA86" s="12">
        <f>BA$4 * IF(AND(AZ$4=1,AZ$20=1), BM86, BK86)</f>
        <v>0</v>
      </c>
      <c r="BB86" s="12">
        <f>BB$4 * IF(AND(BA$4=1,AZ$20=1), BM86, BK86)</f>
        <v>0</v>
      </c>
      <c r="BC86" s="12">
        <f>BC$4 * IF(AND(BB$4=1,AZ$20=1), BM86, BK86)</f>
        <v>0</v>
      </c>
      <c r="BD86" s="12">
        <f>BD$4 * IF(AND(BC$4=1,AZ$20=1), BM86, BK86)</f>
        <v>0</v>
      </c>
      <c r="BE86" s="12">
        <f>BE$4 * IF(AND(BD$4=1,AZ$20=1), BM86, BK86)</f>
        <v>0</v>
      </c>
      <c r="BF86" s="12">
        <f>BF$4 * IF(AND(BE$4=1,AZ$20=1), BM86, BK86)</f>
        <v>0</v>
      </c>
      <c r="BG86" s="12">
        <f>BG$4 * IF(AND(BF$4=1,AZ$20=1), BM86, BK86)</f>
        <v>0</v>
      </c>
      <c r="BH86" s="12">
        <f>BH$4 * IF(AND(BG$4=1,AZ$20=1), BM86, BK86)</f>
        <v>0</v>
      </c>
      <c r="BJ86" t="s">
        <v>1304</v>
      </c>
      <c r="BK86">
        <f>_xlfn.XLOOKUP(BJ86,'KPI Impacts'!$B$2:$H$2,'KPI Impacts'!$B86:$H86)</f>
        <v>0</v>
      </c>
      <c r="BL86" s="35" t="s">
        <v>1304</v>
      </c>
      <c r="BM86">
        <f>_xlfn.XLOOKUP(BL86,'KPI Impacts'!$B$2:$H$2,'KPI Impacts'!$B86:$H86)</f>
        <v>0</v>
      </c>
      <c r="BO86" s="17"/>
      <c r="BP86" s="12">
        <f>BP$4*CA86</f>
        <v>0</v>
      </c>
      <c r="BQ86" s="12">
        <f>BQ$4 * IF(AND(BP$4=1,BP$20=1), CC86, CA86)</f>
        <v>0</v>
      </c>
      <c r="BR86" s="12">
        <f>BR$4 * IF(AND(BQ$4=1,BP$20=1), CC86, CA86)</f>
        <v>0</v>
      </c>
      <c r="BS86" s="12">
        <f>BS$4 * IF(AND(BR$4=1,BP$20=1), CC86, CA86)</f>
        <v>0</v>
      </c>
      <c r="BT86" s="12">
        <f>BT$4 * IF(AND(BS$4=1,BP$20=1), CC86, CA86)</f>
        <v>0</v>
      </c>
      <c r="BU86" s="12">
        <f>BU$4 * IF(AND(BT$4=1,BP$20=1), CC86, CA86)</f>
        <v>0</v>
      </c>
      <c r="BV86" s="12">
        <f>BV$4 * IF(AND(BU$4=1,BP$20=1), CC86, CA86)</f>
        <v>0</v>
      </c>
      <c r="BW86" s="12">
        <f>BW$4 * IF(AND(BV$4=1,BP$20=1), CC86, CA86)</f>
        <v>0</v>
      </c>
      <c r="BX86" s="12">
        <f>BX$4 * IF(AND(BW$4=1,BP$20=1), CC86, CA86)</f>
        <v>0</v>
      </c>
      <c r="BZ86" t="s">
        <v>1304</v>
      </c>
      <c r="CA86">
        <f>_xlfn.XLOOKUP(BZ86,'KPI Impacts'!$B$2:$H$2,'KPI Impacts'!$B86:$H86)</f>
        <v>0</v>
      </c>
      <c r="CB86" s="35" t="s">
        <v>1304</v>
      </c>
      <c r="CC86">
        <f>_xlfn.XLOOKUP(CB86,'KPI Impacts'!$B$2:$H$2,'KPI Impacts'!$B86:$H86)</f>
        <v>0</v>
      </c>
      <c r="CE86" s="17"/>
      <c r="CF86" s="12">
        <f>CF$4*CQ86</f>
        <v>0</v>
      </c>
      <c r="CG86" s="12">
        <f>CG$4 * IF(AND(CF$4=1,CF$20=1), CS86, CQ86)</f>
        <v>0</v>
      </c>
      <c r="CH86" s="12">
        <f>CH$4 * IF(AND(CG$4=1,CF$20=1), CS86, CQ86)</f>
        <v>0</v>
      </c>
      <c r="CI86" s="12">
        <f>CI$4 * IF(AND(CH$4=1,CF$20=1), CS86, CQ86)</f>
        <v>0</v>
      </c>
      <c r="CJ86" s="12">
        <f>CJ$4 * IF(AND(CI$4=1,CF$20=1), CS86, CQ86)</f>
        <v>0</v>
      </c>
      <c r="CK86" s="12">
        <f>CK$4 * IF(AND(CJ$4=1,CF$20=1), CS86, CQ86)</f>
        <v>0</v>
      </c>
      <c r="CL86" s="12">
        <f>CL$4 * IF(AND(CK$4=1,CF$20=1), CS86, CQ86)</f>
        <v>0</v>
      </c>
      <c r="CM86" s="12">
        <f>CM$4 * IF(AND(CL$4=1,CF$20=1), CS86, CQ86)</f>
        <v>0</v>
      </c>
      <c r="CN86" s="12">
        <f>CN$4 * IF(AND(CM$4=1,CF$20=1), CS86, CQ86)</f>
        <v>0</v>
      </c>
      <c r="CP86" t="s">
        <v>1304</v>
      </c>
      <c r="CQ86">
        <f>_xlfn.XLOOKUP(CP86,'KPI Impacts'!$B$2:$H$2,'KPI Impacts'!$B86:$H86)</f>
        <v>0</v>
      </c>
      <c r="CR86" s="35" t="s">
        <v>1304</v>
      </c>
      <c r="CS86">
        <f>_xlfn.XLOOKUP(CR86,'KPI Impacts'!$B$2:$H$2,'KPI Impacts'!$B86:$H86)</f>
        <v>0</v>
      </c>
      <c r="CU86" s="17"/>
      <c r="CV86" s="12">
        <f>CV$4*DG86</f>
        <v>0</v>
      </c>
      <c r="CW86" s="12">
        <f>CW$4 * IF(AND(CV$4=1,CV$20=1), DI86, DG86)</f>
        <v>0</v>
      </c>
      <c r="CX86" s="12">
        <f>CX$4 * IF(AND(CW$4=1,CV$20=1), DI86, DG86)</f>
        <v>0</v>
      </c>
      <c r="CY86" s="12">
        <f>CY$4 * IF(AND(CX$4=1,CV$20=1), DI86, DG86)</f>
        <v>0</v>
      </c>
      <c r="CZ86" s="12">
        <f>CZ$4 * IF(AND(CY$4=1,CV$20=1), DI86, DG86)</f>
        <v>0</v>
      </c>
      <c r="DA86" s="12">
        <f>DA$4 * IF(AND(CZ$4=1,CV$20=1), DI86, DG86)</f>
        <v>0</v>
      </c>
      <c r="DB86" s="12">
        <f>DB$4 * IF(AND(DA$4=1,CV$20=1), DI86, DG86)</f>
        <v>0</v>
      </c>
      <c r="DC86" s="12">
        <f>DC$4 * IF(AND(DB$4=1,CV$20=1), DI86, DG86)</f>
        <v>0</v>
      </c>
      <c r="DD86" s="12">
        <f>DD$4 * IF(AND(DC$4=1,CV$20=1), DI86, DG86)</f>
        <v>0</v>
      </c>
      <c r="DF86" t="s">
        <v>1304</v>
      </c>
      <c r="DG86">
        <f>_xlfn.XLOOKUP(DF86,'KPI Impacts'!$B$2:$H$2,'KPI Impacts'!$B86:$H86)</f>
        <v>0</v>
      </c>
      <c r="DH86" s="35" t="s">
        <v>1304</v>
      </c>
      <c r="DI86">
        <f>_xlfn.XLOOKUP(DH86,'KPI Impacts'!$B$2:$H$2,'KPI Impacts'!$B86:$H86)</f>
        <v>0</v>
      </c>
      <c r="DK86" s="17"/>
      <c r="DL86" s="12">
        <f>DL$4*DW86</f>
        <v>0</v>
      </c>
      <c r="DM86" s="12">
        <f>DM$4 * IF(AND(DL$4=1,DL$20=1), DY86, DW86)</f>
        <v>0</v>
      </c>
      <c r="DN86" s="12">
        <f>DN$4 * IF(AND(DM$4=1,DL$20=1), DY86, DW86)</f>
        <v>0</v>
      </c>
      <c r="DO86" s="12">
        <f>DO$4 * IF(AND(DN$4=1,DL$20=1), DY86, DW86)</f>
        <v>0</v>
      </c>
      <c r="DP86" s="12">
        <f>DP$4 * IF(AND(DO$4=1,DL$20=1), DY86, DW86)</f>
        <v>0</v>
      </c>
      <c r="DQ86" s="12">
        <f>DQ$4 * IF(AND(DP$4=1,DL$20=1), DY86, DW86)</f>
        <v>0</v>
      </c>
      <c r="DR86" s="12">
        <f>DR$4 * IF(AND(DQ$4=1,DL$20=1), DY86, DW86)</f>
        <v>0</v>
      </c>
      <c r="DS86" s="12">
        <f>DS$4 * IF(AND(DR$4=1,DL$20=1), DY86, DW86)</f>
        <v>0</v>
      </c>
      <c r="DT86" s="12">
        <f>DT$4 * IF(AND(DS$4=1,DL$20=1), DY86, DW86)</f>
        <v>0</v>
      </c>
      <c r="DV86" t="s">
        <v>1304</v>
      </c>
      <c r="DW86">
        <f>_xlfn.XLOOKUP(DV86,'KPI Impacts'!$B$2:$H$2,'KPI Impacts'!$B86:$H86)</f>
        <v>0</v>
      </c>
      <c r="DX86" s="35" t="s">
        <v>1304</v>
      </c>
      <c r="DY86">
        <f>_xlfn.XLOOKUP(DX86,'KPI Impacts'!$B$2:$H$2,'KPI Impacts'!$B86:$H86)</f>
        <v>0</v>
      </c>
      <c r="EA86" s="17"/>
      <c r="EB86" s="12">
        <f>EB$4*EM86</f>
        <v>0</v>
      </c>
      <c r="EC86" s="12">
        <f>EC$4 * IF(AND(EB$4=1,EB$20=1), EO86, EM86)</f>
        <v>0</v>
      </c>
      <c r="ED86" s="12">
        <f>ED$4 * IF(AND(EC$4=1,EB$20=1), EO86, EM86)</f>
        <v>0</v>
      </c>
      <c r="EE86" s="12">
        <f>EE$4 * IF(AND(ED$4=1,EB$20=1), EO86, EM86)</f>
        <v>0</v>
      </c>
      <c r="EF86" s="12">
        <f>EF$4 * IF(AND(EE$4=1,EB$20=1), EO86, EM86)</f>
        <v>0</v>
      </c>
      <c r="EG86" s="12">
        <f>EG$4 * IF(AND(EF$4=1,EB$20=1), EO86, EM86)</f>
        <v>0</v>
      </c>
      <c r="EH86" s="12">
        <f>EH$4 * IF(AND(EG$4=1,EB$20=1), EO86, EM86)</f>
        <v>0</v>
      </c>
      <c r="EI86" s="12">
        <f>EI$4 * IF(AND(EH$4=1,EB$20=1), EO86, EM86)</f>
        <v>0</v>
      </c>
      <c r="EJ86" s="12">
        <f>EJ$4 * IF(AND(EI$4=1,EB$20=1), EO86, EM86)</f>
        <v>0</v>
      </c>
      <c r="EL86" t="s">
        <v>1304</v>
      </c>
      <c r="EM86">
        <f>_xlfn.XLOOKUP(EL86,'KPI Impacts'!$B$2:$H$2,'KPI Impacts'!$B86:$H86)</f>
        <v>0</v>
      </c>
      <c r="EN86" s="35" t="s">
        <v>1304</v>
      </c>
      <c r="EO86">
        <f>_xlfn.XLOOKUP(EN86,'KPI Impacts'!$B$2:$H$2,'KPI Impacts'!$B86:$H86)</f>
        <v>0</v>
      </c>
      <c r="EQ86" s="17"/>
      <c r="ER86" s="12">
        <f>ER$4*FC86</f>
        <v>0</v>
      </c>
      <c r="ES86" s="12">
        <f>ES$4 * IF(AND(ER$4=1,ER$20=1), FE86, FC86)</f>
        <v>0</v>
      </c>
      <c r="ET86" s="12">
        <f>ET$4 * IF(AND(ES$4=1,ER$20=1), FE86, FC86)</f>
        <v>0</v>
      </c>
      <c r="EU86" s="12">
        <f>EU$4 * IF(AND(ET$4=1,ER$20=1), FE86, FC86)</f>
        <v>0</v>
      </c>
      <c r="EV86" s="12">
        <f>EV$4 * IF(AND(EU$4=1,ER$20=1), FE86, FC86)</f>
        <v>0</v>
      </c>
      <c r="EW86" s="12">
        <f>EW$4 * IF(AND(EV$4=1,ER$20=1), FE86, FC86)</f>
        <v>0</v>
      </c>
      <c r="EX86" s="12">
        <f>EX$4 * IF(AND(EW$4=1,ER$20=1), FE86, FC86)</f>
        <v>0</v>
      </c>
      <c r="EY86" s="12">
        <f>EY$4 * IF(AND(EX$4=1,ER$20=1), FE86, FC86)</f>
        <v>0</v>
      </c>
      <c r="EZ86" s="12">
        <f>EZ$4 * IF(AND(EY$4=1,ER$20=1), FE86, FC86)</f>
        <v>0</v>
      </c>
      <c r="FB86" t="s">
        <v>1304</v>
      </c>
      <c r="FC86">
        <f>_xlfn.XLOOKUP(FB86,'KPI Impacts'!$B$2:$H$2,'KPI Impacts'!$B86:$H86)</f>
        <v>0</v>
      </c>
      <c r="FD86" s="35" t="s">
        <v>1304</v>
      </c>
      <c r="FE86">
        <f>_xlfn.XLOOKUP(FD86,'KPI Impacts'!$B$2:$H$2,'KPI Impacts'!$B86:$H86)</f>
        <v>0</v>
      </c>
      <c r="FG86" s="17"/>
      <c r="FH86" s="12">
        <f>FH$4*FS86</f>
        <v>0</v>
      </c>
      <c r="FI86" s="12">
        <f>FI$4 * IF(AND(FH$4=1,FH$20=1), FU86, FS86)</f>
        <v>0</v>
      </c>
      <c r="FJ86" s="12">
        <f>FJ$4 * IF(AND(FI$4=1,FH$20=1), FU86, FS86)</f>
        <v>0</v>
      </c>
      <c r="FK86" s="12">
        <f>FK$4 * IF(AND(FJ$4=1,FH$20=1), FU86, FS86)</f>
        <v>0</v>
      </c>
      <c r="FL86" s="12">
        <f>FL$4 * IF(AND(FK$4=1,FH$20=1), FU86, FS86)</f>
        <v>0</v>
      </c>
      <c r="FM86" s="12">
        <f>FM$4 * IF(AND(FL$4=1,FH$20=1), FU86, FS86)</f>
        <v>0</v>
      </c>
      <c r="FN86" s="12">
        <f>FN$4 * IF(AND(FM$4=1,FH$20=1), FU86, FS86)</f>
        <v>0</v>
      </c>
      <c r="FO86" s="12">
        <f>FO$4 * IF(AND(FN$4=1,FH$20=1), FU86, FS86)</f>
        <v>0</v>
      </c>
      <c r="FP86" s="12">
        <f>FP$4 * IF(AND(FO$4=1,FH$20=1), FU86, FS86)</f>
        <v>0</v>
      </c>
      <c r="FR86" t="s">
        <v>1304</v>
      </c>
      <c r="FS86">
        <f>_xlfn.XLOOKUP(FR86,'KPI Impacts'!$B$2:$H$2,'KPI Impacts'!$B86:$H86)</f>
        <v>0</v>
      </c>
      <c r="FT86" s="35" t="s">
        <v>1304</v>
      </c>
      <c r="FU86">
        <f>_xlfn.XLOOKUP(FT86,'KPI Impacts'!$B$2:$H$2,'KPI Impacts'!$B86:$H86)</f>
        <v>0</v>
      </c>
      <c r="FW86" s="17"/>
      <c r="FX86" s="12">
        <f>FX$4*GI86</f>
        <v>0</v>
      </c>
      <c r="FY86" s="12">
        <f>FY$4 * IF(AND(FX$4=1,FX$20=1), GK86, GI86)</f>
        <v>0</v>
      </c>
      <c r="FZ86" s="12">
        <f>FZ$4 * IF(AND(FY$4=1,FX$20=1), GK86, GI86)</f>
        <v>0</v>
      </c>
      <c r="GA86" s="12">
        <f>GA$4 * IF(AND(FZ$4=1,FX$20=1), GK86, GI86)</f>
        <v>0</v>
      </c>
      <c r="GB86" s="12">
        <f>GB$4 * IF(AND(GA$4=1,FX$20=1), GK86, GI86)</f>
        <v>0</v>
      </c>
      <c r="GC86" s="12">
        <f>GC$4 * IF(AND(GB$4=1,FX$20=1), GK86, GI86)</f>
        <v>0</v>
      </c>
      <c r="GD86" s="12">
        <f>GD$4 * IF(AND(GC$4=1,FX$20=1), GK86, GI86)</f>
        <v>0</v>
      </c>
      <c r="GE86" s="12">
        <f>GE$4 * IF(AND(GD$4=1,FX$20=1), GK86, GI86)</f>
        <v>0</v>
      </c>
      <c r="GF86" s="12">
        <f>GF$4 * IF(AND(GE$4=1,FX$20=1), GK86, GI86)</f>
        <v>0</v>
      </c>
      <c r="GH86" t="s">
        <v>1304</v>
      </c>
      <c r="GI86">
        <f>_xlfn.XLOOKUP(GH86,'KPI Impacts'!$B$2:$H$2,'KPI Impacts'!$B86:$H86)</f>
        <v>0</v>
      </c>
      <c r="GJ86" s="35" t="s">
        <v>1304</v>
      </c>
      <c r="GK86">
        <f>_xlfn.XLOOKUP(GJ86,'KPI Impacts'!$B$2:$H$2,'KPI Impacts'!$B86:$H86)</f>
        <v>0</v>
      </c>
      <c r="GN86" s="12">
        <f>GN$4*GY86</f>
        <v>0</v>
      </c>
      <c r="GO86" s="12">
        <f>GO$4 * IF(AND(GN$4=1,GN$20=1), HA86, GY86)</f>
        <v>0</v>
      </c>
      <c r="GP86" s="12">
        <f>GP$4 * IF(AND(GO$4=1,GN$20=1), HA86, GY86)</f>
        <v>0</v>
      </c>
      <c r="GQ86" s="12">
        <f>GQ$4 * IF(AND(GP$4=1,GN$20=1), HA86, GY86)</f>
        <v>0</v>
      </c>
      <c r="GR86" s="12">
        <f>GR$4 * IF(AND(GQ$4=1,GN$20=1), HA86, GY86)</f>
        <v>0</v>
      </c>
      <c r="GS86" s="12">
        <f>GS$4 * IF(AND(GR$4=1,GN$20=1), HA86, GY86)</f>
        <v>0</v>
      </c>
      <c r="GT86" s="12">
        <f>GT$4 * IF(AND(GS$4=1,GN$20=1), HA86, GY86)</f>
        <v>0</v>
      </c>
      <c r="GU86" s="12">
        <f>GU$4 * IF(AND(GT$4=1,GN$20=1), HA86, GY86)</f>
        <v>0</v>
      </c>
      <c r="GV86" s="12">
        <f>GV$4 * IF(AND(GU$4=1,GN$20=1), HA86, GY86)</f>
        <v>0</v>
      </c>
      <c r="GX86" t="s">
        <v>1304</v>
      </c>
      <c r="GY86">
        <f>_xlfn.XLOOKUP(GX86,'KPI Impacts'!$B$2:$H$2,'KPI Impacts'!$B86:$H86)</f>
        <v>0</v>
      </c>
      <c r="GZ86" s="35" t="s">
        <v>1304</v>
      </c>
      <c r="HA86">
        <f>_xlfn.XLOOKUP(GZ86,'KPI Impacts'!$B$2:$H$2,'KPI Impacts'!$B86:$H86)</f>
        <v>0</v>
      </c>
      <c r="HD86" s="12">
        <f>HD$4*HO86</f>
        <v>0</v>
      </c>
      <c r="HE86" s="12">
        <f>HE$4 * IF(AND(HD$4=1,HD$20=1), HQ86, HO86)</f>
        <v>0</v>
      </c>
      <c r="HF86" s="12">
        <f>HF$4 * IF(AND(HE$4=1,HD$20=1), HQ86, HO86)</f>
        <v>0</v>
      </c>
      <c r="HG86" s="12">
        <f>HG$4 * IF(AND(HF$4=1,HD$20=1), HQ86, HO86)</f>
        <v>0</v>
      </c>
      <c r="HH86" s="12">
        <f>HH$4 * IF(AND(HG$4=1,HD$20=1), HQ86, HO86)</f>
        <v>0</v>
      </c>
      <c r="HI86" s="12">
        <f>HI$4 * IF(AND(HH$4=1,HD$20=1), HQ86, HO86)</f>
        <v>0</v>
      </c>
      <c r="HJ86" s="12">
        <f>HJ$4 * IF(AND(HI$4=1,HD$20=1), HQ86, HO86)</f>
        <v>0</v>
      </c>
      <c r="HK86" s="12">
        <f>HK$4 * IF(AND(HJ$4=1,HD$20=1), HQ86, HO86)</f>
        <v>0</v>
      </c>
      <c r="HL86" s="12">
        <f>HL$4 * IF(AND(HK$4=1,HD$20=1), HQ86, HO86)</f>
        <v>0</v>
      </c>
      <c r="HN86" t="s">
        <v>1304</v>
      </c>
      <c r="HO86">
        <f>_xlfn.XLOOKUP(HN86,'KPI Impacts'!$B$2:$H$2,'KPI Impacts'!$B86:$H86)</f>
        <v>0</v>
      </c>
      <c r="HP86" s="35" t="s">
        <v>1304</v>
      </c>
      <c r="HQ86">
        <f>_xlfn.XLOOKUP(HP86,'KPI Impacts'!$B$2:$H$2,'KPI Impacts'!$B86:$H86)</f>
        <v>0</v>
      </c>
      <c r="HT86" s="12">
        <f>HT$4*IE86</f>
        <v>0</v>
      </c>
      <c r="HU86" s="12">
        <f>HU$4 * IF(AND(HT$4=1,HT$20=1), IG86, IE86)</f>
        <v>0</v>
      </c>
      <c r="HV86" s="12">
        <f>HV$4 * IF(AND(HU$4=1,HT$20=1), IG86, IE86)</f>
        <v>0</v>
      </c>
      <c r="HW86" s="12">
        <f>HW$4 * IF(AND(HV$4=1,HT$20=1), IG86, IE86)</f>
        <v>0</v>
      </c>
      <c r="HX86" s="12">
        <f>HX$4 * IF(AND(HW$4=1,HT$20=1), IG86, IE86)</f>
        <v>0</v>
      </c>
      <c r="HY86" s="12">
        <f>HY$4 * IF(AND(HX$4=1,HT$20=1), IG86, IE86)</f>
        <v>0</v>
      </c>
      <c r="HZ86" s="12">
        <f>HZ$4 * IF(AND(HY$4=1,HT$20=1), IG86, IE86)</f>
        <v>0</v>
      </c>
      <c r="IA86" s="12">
        <f>IA$4 * IF(AND(HZ$4=1,HT$20=1), IG86, IE86)</f>
        <v>0</v>
      </c>
      <c r="IB86" s="12">
        <f>IB$4 * IF(AND(IA$4=1,HT$20=1), IG86, IE86)</f>
        <v>0</v>
      </c>
      <c r="ID86" t="s">
        <v>1304</v>
      </c>
      <c r="IE86">
        <f>_xlfn.XLOOKUP(ID86,'KPI Impacts'!$B$2:$H$2,'KPI Impacts'!$B86:$H86)</f>
        <v>0</v>
      </c>
      <c r="IF86" s="35" t="s">
        <v>1304</v>
      </c>
      <c r="IG86">
        <f>_xlfn.XLOOKUP(IF86,'KPI Impacts'!$B$2:$H$2,'KPI Impacts'!$B86:$H86)</f>
        <v>0</v>
      </c>
      <c r="IJ86" s="12">
        <f>IJ$4*IU86</f>
        <v>0</v>
      </c>
      <c r="IK86" s="12">
        <f>IK$4 * IF(AND(IJ$4=1,IJ$20=1), IW86, IU86)</f>
        <v>0</v>
      </c>
      <c r="IL86" s="12">
        <f>IL$4 * IF(AND(IK$4=1,IJ$20=1), IW86, IU86)</f>
        <v>0</v>
      </c>
      <c r="IM86" s="12">
        <f>IM$4 * IF(AND(IL$4=1,IJ$20=1), IW86, IU86)</f>
        <v>0</v>
      </c>
      <c r="IN86" s="12">
        <f>IN$4 * IF(AND(IM$4=1,IJ$20=1), IW86, IU86)</f>
        <v>0</v>
      </c>
      <c r="IO86" s="12">
        <f>IO$4 * IF(AND(IN$4=1,IJ$20=1), IW86, IU86)</f>
        <v>0</v>
      </c>
      <c r="IP86" s="12">
        <f>IP$4 * IF(AND(IO$4=1,IJ$20=1), IW86, IU86)</f>
        <v>0</v>
      </c>
      <c r="IQ86" s="12">
        <f>IQ$4 * IF(AND(IP$4=1,IJ$20=1), IW86, IU86)</f>
        <v>0</v>
      </c>
      <c r="IR86" s="12">
        <f>IR$4 * IF(AND(IQ$4=1,IJ$20=1), IW86, IU86)</f>
        <v>0</v>
      </c>
      <c r="IT86" t="s">
        <v>1304</v>
      </c>
      <c r="IU86">
        <f>_xlfn.XLOOKUP(IT86,'KPI Impacts'!$B$2:$H$2,'KPI Impacts'!$B86:$H86)</f>
        <v>0</v>
      </c>
      <c r="IV86" s="35" t="s">
        <v>1304</v>
      </c>
      <c r="IW86">
        <f>_xlfn.XLOOKUP(IV86,'KPI Impacts'!$B$2:$H$2,'KPI Impacts'!$B86:$H86)</f>
        <v>0</v>
      </c>
      <c r="IZ86" s="12">
        <f>IZ$4*JK86</f>
        <v>0</v>
      </c>
      <c r="JA86" s="12">
        <f>JA$4 * IF(AND(IZ$4=1,IZ$20=1), JM86, JK86)</f>
        <v>0</v>
      </c>
      <c r="JB86" s="12">
        <f>JB$4 * IF(AND(JA$4=1,IZ$20=1), JM86, JK86)</f>
        <v>0</v>
      </c>
      <c r="JC86" s="12">
        <f>JC$4 * IF(AND(JB$4=1,IZ$20=1), JM86, JK86)</f>
        <v>0</v>
      </c>
      <c r="JD86" s="12">
        <f>JD$4 * IF(AND(JC$4=1,IZ$20=1), JM86, JK86)</f>
        <v>0</v>
      </c>
      <c r="JE86" s="12">
        <f>JE$4 * IF(AND(JD$4=1,IZ$20=1), JM86, JK86)</f>
        <v>0</v>
      </c>
      <c r="JF86" s="12">
        <f>JF$4 * IF(AND(JE$4=1,IZ$20=1), JM86, JK86)</f>
        <v>0</v>
      </c>
      <c r="JG86" s="12">
        <f>JG$4 * IF(AND(JF$4=1,IZ$20=1), JM86, JK86)</f>
        <v>0</v>
      </c>
      <c r="JH86" s="12">
        <f>JH$4 * IF(AND(JG$4=1,IZ$20=1), JM86, JK86)</f>
        <v>0</v>
      </c>
      <c r="JJ86" t="s">
        <v>1304</v>
      </c>
      <c r="JK86">
        <f>_xlfn.XLOOKUP(JJ86,'KPI Impacts'!$B$2:$H$2,'KPI Impacts'!$B86:$H86)</f>
        <v>0</v>
      </c>
      <c r="JL86" s="35" t="s">
        <v>1304</v>
      </c>
      <c r="JM86">
        <f>_xlfn.XLOOKUP(JL86,'KPI Impacts'!$B$2:$H$2,'KPI Impacts'!$B86:$H86)</f>
        <v>0</v>
      </c>
      <c r="JP86" s="12">
        <f>JP$4*KA86</f>
        <v>0</v>
      </c>
      <c r="JQ86" s="12">
        <f>JQ$4 * IF(AND(JP$4=1,JP$20=1), KC86, KA86)</f>
        <v>0</v>
      </c>
      <c r="JR86" s="12">
        <f>JR$4 * IF(AND(JQ$4=1,JP$20=1), KC86, KA86)</f>
        <v>0</v>
      </c>
      <c r="JS86" s="12">
        <f>JS$4 * IF(AND(JR$4=1,JP$20=1), KC86, KA86)</f>
        <v>0</v>
      </c>
      <c r="JT86" s="12">
        <f>JT$4 * IF(AND(JS$4=1,JP$20=1), KC86, KA86)</f>
        <v>0</v>
      </c>
      <c r="JU86" s="12">
        <f>JU$4 * IF(AND(JT$4=1,JP$20=1), KC86, KA86)</f>
        <v>0</v>
      </c>
      <c r="JV86" s="12">
        <f>JV$4 * IF(AND(JU$4=1,JP$20=1), KC86, KA86)</f>
        <v>0</v>
      </c>
      <c r="JW86" s="12">
        <f>JW$4 * IF(AND(JV$4=1,JP$20=1), KC86, KA86)</f>
        <v>0</v>
      </c>
      <c r="JX86" s="12">
        <f>JX$4 * IF(AND(JW$4=1,JP$20=1), KC86, KA86)</f>
        <v>0</v>
      </c>
      <c r="JZ86" t="s">
        <v>1304</v>
      </c>
      <c r="KA86">
        <f>_xlfn.XLOOKUP(JZ86,'KPI Impacts'!$B$2:$H$2,'KPI Impacts'!$B86:$H86)</f>
        <v>0</v>
      </c>
      <c r="KB86" s="35" t="s">
        <v>1304</v>
      </c>
      <c r="KC86">
        <f>_xlfn.XLOOKUP(KB86,'KPI Impacts'!$B$2:$H$2,'KPI Impacts'!$B86:$H86)</f>
        <v>0</v>
      </c>
      <c r="KF86" s="12">
        <f>KF$4*KQ86</f>
        <v>0</v>
      </c>
      <c r="KG86" s="12">
        <f>KG$4 * IF(AND(KF$4=1,KF$20=1), KS86, KQ86)</f>
        <v>0</v>
      </c>
      <c r="KH86" s="12">
        <f>KH$4 * IF(AND(KG$4=1,KF$20=1), KS86, KQ86)</f>
        <v>0</v>
      </c>
      <c r="KI86" s="12">
        <f>KI$4 * IF(AND(KH$4=1,KF$20=1), KS86, KQ86)</f>
        <v>0</v>
      </c>
      <c r="KJ86" s="12">
        <f>KJ$4 * IF(AND(KI$4=1,KF$20=1), KS86, KQ86)</f>
        <v>0</v>
      </c>
      <c r="KK86" s="12">
        <f>KK$4 * IF(AND(KJ$4=1,KF$20=1), KS86, KQ86)</f>
        <v>0</v>
      </c>
      <c r="KL86" s="12">
        <f>KL$4 * IF(AND(KK$4=1,KF$20=1), KS86, KQ86)</f>
        <v>0</v>
      </c>
      <c r="KM86" s="12">
        <f>KM$4 * IF(AND(KL$4=1,KF$20=1), KS86, KQ86)</f>
        <v>0</v>
      </c>
      <c r="KN86" s="12">
        <f>KN$4 * IF(AND(KM$4=1,KF$20=1), KS86, KQ86)</f>
        <v>0</v>
      </c>
      <c r="KP86" t="s">
        <v>1304</v>
      </c>
      <c r="KQ86">
        <f>_xlfn.XLOOKUP(KP86,'KPI Impacts'!$B$2:$H$2,'KPI Impacts'!$B86:$H86)</f>
        <v>0</v>
      </c>
      <c r="KR86" s="35" t="s">
        <v>1304</v>
      </c>
      <c r="KS86">
        <f>_xlfn.XLOOKUP(KR86,'KPI Impacts'!$B$2:$H$2,'KPI Impacts'!$B86:$H86)</f>
        <v>0</v>
      </c>
      <c r="KV86" s="12">
        <f>KV$4*LG86</f>
        <v>0</v>
      </c>
      <c r="KW86" s="12">
        <f>KW$4 * IF(AND(KV$4=1,KV$20=1), LI86, LG86)</f>
        <v>0</v>
      </c>
      <c r="KX86" s="12">
        <f>KX$4 * IF(AND(KW$4=1,KV$20=1), LI86, LG86)</f>
        <v>0</v>
      </c>
      <c r="KY86" s="12">
        <f>KY$4 * IF(AND(KX$4=1,KV$20=1), LI86, LG86)</f>
        <v>0</v>
      </c>
      <c r="KZ86" s="12">
        <f>KZ$4 * IF(AND(KY$4=1,KV$20=1), LI86, LG86)</f>
        <v>0</v>
      </c>
      <c r="LA86" s="12">
        <f>LA$4 * IF(AND(KZ$4=1,KV$20=1), LI86, LG86)</f>
        <v>0</v>
      </c>
      <c r="LB86" s="12">
        <f>LB$4 * IF(AND(LA$4=1,KV$20=1), LI86, LG86)</f>
        <v>0</v>
      </c>
      <c r="LC86" s="12">
        <f>LC$4 * IF(AND(LB$4=1,KV$20=1), LI86, LG86)</f>
        <v>0</v>
      </c>
      <c r="LD86" s="12">
        <f>LD$4 * IF(AND(LC$4=1,KV$20=1), LI86, LG86)</f>
        <v>0</v>
      </c>
      <c r="LF86" t="s">
        <v>1304</v>
      </c>
      <c r="LG86">
        <f>_xlfn.XLOOKUP(LF86,'KPI Impacts'!$B$2:$H$2,'KPI Impacts'!$B86:$H86)</f>
        <v>0</v>
      </c>
      <c r="LH86" s="35" t="s">
        <v>1304</v>
      </c>
      <c r="LI86">
        <f>_xlfn.XLOOKUP(LH86,'KPI Impacts'!$B$2:$H$2,'KPI Impacts'!$B86:$H86)</f>
        <v>0</v>
      </c>
      <c r="LL86" s="12">
        <f>LL$4*LW86</f>
        <v>0</v>
      </c>
      <c r="LM86" s="12">
        <f>LM$4 * IF(AND(LL$4=1,LL$20=1), LY86, LW86)</f>
        <v>0</v>
      </c>
      <c r="LN86" s="12">
        <f>LN$4 * IF(AND(LM$4=1,LL$20=1), LY86, LW86)</f>
        <v>0</v>
      </c>
      <c r="LO86" s="12">
        <f>LO$4 * IF(AND(LN$4=1,LL$20=1), LY86, LW86)</f>
        <v>0</v>
      </c>
      <c r="LP86" s="12">
        <f>LP$4 * IF(AND(LO$4=1,LL$20=1), LY86, LW86)</f>
        <v>0</v>
      </c>
      <c r="LQ86" s="12">
        <f>LQ$4 * IF(AND(LP$4=1,LL$20=1), LY86, LW86)</f>
        <v>0</v>
      </c>
      <c r="LR86" s="12">
        <f>LR$4 * IF(AND(LQ$4=1,LL$20=1), LY86, LW86)</f>
        <v>0</v>
      </c>
      <c r="LS86" s="12">
        <f>LS$4 * IF(AND(LR$4=1,LL$20=1), LY86, LW86)</f>
        <v>0</v>
      </c>
      <c r="LT86" s="12">
        <f>LT$4 * IF(AND(LS$4=1,LL$20=1), LY86, LW86)</f>
        <v>0</v>
      </c>
      <c r="LV86" t="s">
        <v>1304</v>
      </c>
      <c r="LW86">
        <f>_xlfn.XLOOKUP(LV86,'KPI Impacts'!$B$2:$H$2,'KPI Impacts'!$B86:$H86)</f>
        <v>0</v>
      </c>
      <c r="LX86" s="35" t="s">
        <v>1304</v>
      </c>
      <c r="LY86">
        <f>_xlfn.XLOOKUP(LX86,'KPI Impacts'!$B$2:$H$2,'KPI Impacts'!$B86:$H86)</f>
        <v>0</v>
      </c>
      <c r="MB86" s="12">
        <f>MB$4*MM86</f>
        <v>0</v>
      </c>
      <c r="MC86" s="12">
        <f>MC$4 * IF(AND(MB$4=1,MB$20=1), MO86, MM86)</f>
        <v>0</v>
      </c>
      <c r="MD86" s="12">
        <f>MD$4 * IF(AND(MC$4=1,MB$20=1), MO86, MM86)</f>
        <v>0</v>
      </c>
      <c r="ME86" s="12">
        <f>ME$4 * IF(AND(MD$4=1,MB$20=1), MO86, MM86)</f>
        <v>0</v>
      </c>
      <c r="MF86" s="12">
        <f>MF$4 * IF(AND(ME$4=1,MB$20=1), MO86, MM86)</f>
        <v>0</v>
      </c>
      <c r="MG86" s="12">
        <f>MG$4 * IF(AND(MF$4=1,MB$20=1), MO86, MM86)</f>
        <v>0</v>
      </c>
      <c r="MH86" s="12">
        <f>MH$4 * IF(AND(MG$4=1,MB$20=1), MO86, MM86)</f>
        <v>0</v>
      </c>
      <c r="MI86" s="12">
        <f>MI$4 * IF(AND(MH$4=1,MB$20=1), MO86, MM86)</f>
        <v>0</v>
      </c>
      <c r="MJ86" s="12">
        <f>MJ$4 * IF(AND(MI$4=1,MB$20=1), MO86, MM86)</f>
        <v>0</v>
      </c>
      <c r="ML86" t="s">
        <v>1304</v>
      </c>
      <c r="MM86">
        <f>_xlfn.XLOOKUP(ML86,'KPI Impacts'!$B$2:$H$2,'KPI Impacts'!$B86:$H86)</f>
        <v>0</v>
      </c>
      <c r="MN86" s="35" t="s">
        <v>1304</v>
      </c>
      <c r="MO86">
        <f>_xlfn.XLOOKUP(MN86,'KPI Impacts'!$B$2:$H$2,'KPI Impacts'!$B86:$H86)</f>
        <v>0</v>
      </c>
      <c r="MR86" s="12">
        <f>MR$4*NC86</f>
        <v>0</v>
      </c>
      <c r="MS86" s="12">
        <f>MS$4 * IF(AND(MR$4=1,MR$20=1), NE86, NC86)</f>
        <v>0</v>
      </c>
      <c r="MT86" s="12">
        <f>MT$4 * IF(AND(MS$4=1,MR$20=1), NE86, NC86)</f>
        <v>0</v>
      </c>
      <c r="MU86" s="12">
        <f>MU$4 * IF(AND(MT$4=1,MR$20=1), NE86, NC86)</f>
        <v>0</v>
      </c>
      <c r="MV86" s="12">
        <f>MV$4 * IF(AND(MU$4=1,MR$20=1), NE86, NC86)</f>
        <v>0</v>
      </c>
      <c r="MW86" s="12">
        <f>MW$4 * IF(AND(MV$4=1,MR$20=1), NE86, NC86)</f>
        <v>0</v>
      </c>
      <c r="MX86" s="12">
        <f>MX$4 * IF(AND(MW$4=1,MR$20=1), NE86, NC86)</f>
        <v>0</v>
      </c>
      <c r="MY86" s="12">
        <f>MY$4 * IF(AND(MX$4=1,MR$20=1), NE86, NC86)</f>
        <v>0</v>
      </c>
      <c r="MZ86" s="12">
        <f>MZ$4 * IF(AND(MY$4=1,MR$20=1), NE86, NC86)</f>
        <v>0</v>
      </c>
      <c r="NB86" t="s">
        <v>1304</v>
      </c>
      <c r="NC86">
        <f>_xlfn.XLOOKUP(NB86,'KPI Impacts'!$B$2:$H$2,'KPI Impacts'!$B86:$H86)</f>
        <v>0</v>
      </c>
      <c r="ND86" s="35" t="s">
        <v>1304</v>
      </c>
      <c r="NE86">
        <f>_xlfn.XLOOKUP(ND86,'KPI Impacts'!$B$2:$H$2,'KPI Impacts'!$B86:$H86)</f>
        <v>0</v>
      </c>
      <c r="NH86" s="12">
        <f>NH$4*NS86</f>
        <v>0</v>
      </c>
      <c r="NI86" s="12">
        <f>NI$4 * IF(AND(NH$4=1,NH$20=1), NU86, NS86)</f>
        <v>0</v>
      </c>
      <c r="NJ86" s="12">
        <f>NJ$4 * IF(AND(NI$4=1,NH$20=1), NU86, NS86)</f>
        <v>0</v>
      </c>
      <c r="NK86" s="12">
        <f>NK$4 * IF(AND(NJ$4=1,NH$20=1), NU86, NS86)</f>
        <v>0</v>
      </c>
      <c r="NL86" s="12">
        <f>NL$4 * IF(AND(NK$4=1,NH$20=1), NU86, NS86)</f>
        <v>0</v>
      </c>
      <c r="NM86" s="12">
        <f>NM$4 * IF(AND(NL$4=1,NH$20=1), NU86, NS86)</f>
        <v>0</v>
      </c>
      <c r="NN86" s="12">
        <f>NN$4 * IF(AND(NM$4=1,NH$20=1), NU86, NS86)</f>
        <v>0</v>
      </c>
      <c r="NO86" s="12">
        <f>NO$4 * IF(AND(NN$4=1,NH$20=1), NU86, NS86)</f>
        <v>0</v>
      </c>
      <c r="NP86" s="12">
        <f>NP$4 * IF(AND(NO$4=1,NH$20=1), NU86, NS86)</f>
        <v>0</v>
      </c>
      <c r="NR86" t="s">
        <v>1304</v>
      </c>
      <c r="NS86">
        <f>_xlfn.XLOOKUP(NR86,'KPI Impacts'!$B$2:$H$2,'KPI Impacts'!$B86:$H86)</f>
        <v>0</v>
      </c>
      <c r="NT86" s="35" t="s">
        <v>1304</v>
      </c>
      <c r="NU86">
        <f>_xlfn.XLOOKUP(NT86,'KPI Impacts'!$B$2:$H$2,'KPI Impacts'!$B86:$H86)</f>
        <v>0</v>
      </c>
      <c r="NX86" s="12">
        <f>NX$4*OI86</f>
        <v>0</v>
      </c>
      <c r="NY86" s="12">
        <f>NY$4 * IF(AND(NX$4=1,NX$20=1), OK86, OI86)</f>
        <v>0</v>
      </c>
      <c r="NZ86" s="12">
        <f>NZ$4 * IF(AND(NY$4=1,NX$20=1), OK86, OI86)</f>
        <v>0</v>
      </c>
      <c r="OA86" s="12">
        <f>OA$4 * IF(AND(NZ$4=1,NX$20=1), OK86, OI86)</f>
        <v>0</v>
      </c>
      <c r="OB86" s="12">
        <f>OB$4 * IF(AND(OA$4=1,NX$20=1), OK86, OI86)</f>
        <v>0</v>
      </c>
      <c r="OC86" s="12">
        <f>OC$4 * IF(AND(OB$4=1,NX$20=1), OK86, OI86)</f>
        <v>0</v>
      </c>
      <c r="OD86" s="12">
        <f>OD$4 * IF(AND(OC$4=1,NX$20=1), OK86, OI86)</f>
        <v>0</v>
      </c>
      <c r="OE86" s="12">
        <f>OE$4 * IF(AND(OD$4=1,NX$20=1), OK86, OI86)</f>
        <v>0</v>
      </c>
      <c r="OF86" s="12">
        <f>OF$4 * IF(AND(OE$4=1,NX$20=1), OK86, OI86)</f>
        <v>0</v>
      </c>
      <c r="OH86" t="s">
        <v>1304</v>
      </c>
      <c r="OI86">
        <f>_xlfn.XLOOKUP(OH86,'KPI Impacts'!$B$2:$H$2,'KPI Impacts'!$B86:$H86)</f>
        <v>0</v>
      </c>
      <c r="OJ86" s="35" t="s">
        <v>1304</v>
      </c>
      <c r="OK86">
        <f>_xlfn.XLOOKUP(OJ86,'KPI Impacts'!$B$2:$H$2,'KPI Impacts'!$B86:$H86)</f>
        <v>0</v>
      </c>
    </row>
    <row r="87" spans="1:401" x14ac:dyDescent="0.2">
      <c r="A87" s="9" t="s">
        <v>1294</v>
      </c>
      <c r="B87" s="19" t="s">
        <v>1319</v>
      </c>
      <c r="C87" s="19" t="s">
        <v>1319</v>
      </c>
      <c r="D87" s="19" t="s">
        <v>1319</v>
      </c>
      <c r="E87" s="19" t="s">
        <v>1319</v>
      </c>
      <c r="F87" s="19" t="s">
        <v>1319</v>
      </c>
      <c r="G87" s="19" t="s">
        <v>1319</v>
      </c>
      <c r="H87" s="19" t="s">
        <v>1319</v>
      </c>
      <c r="I87" s="19" t="s">
        <v>1319</v>
      </c>
      <c r="J87" s="19" t="s">
        <v>1319</v>
      </c>
      <c r="M87" s="6"/>
      <c r="N87" s="6"/>
      <c r="O87" s="9"/>
      <c r="P87" s="12"/>
      <c r="Q87" s="12"/>
      <c r="R87" s="12"/>
      <c r="S87" s="12"/>
      <c r="T87" s="12"/>
      <c r="U87" s="12"/>
      <c r="V87" s="12"/>
      <c r="W87" s="12"/>
      <c r="X87" s="12"/>
      <c r="AG87" s="9"/>
      <c r="AH87" s="12"/>
      <c r="AI87" s="12"/>
      <c r="AJ87" s="12"/>
      <c r="AK87" s="12"/>
      <c r="AL87" s="12"/>
      <c r="AM87" s="12"/>
      <c r="AN87" s="12"/>
      <c r="AO87" s="12"/>
      <c r="AP87" s="12"/>
      <c r="AY87" s="17"/>
      <c r="AZ87" s="12"/>
      <c r="BA87" s="12"/>
      <c r="BB87" s="12"/>
      <c r="BC87" s="12"/>
      <c r="BD87" s="12"/>
      <c r="BE87" s="12"/>
      <c r="BF87" s="12"/>
      <c r="BG87" s="12"/>
      <c r="BH87" s="12"/>
      <c r="BL87" s="9"/>
      <c r="BO87" s="17"/>
      <c r="BP87" s="12"/>
      <c r="BQ87" s="12"/>
      <c r="BR87" s="12"/>
      <c r="BS87" s="12"/>
      <c r="BT87" s="12"/>
      <c r="BU87" s="12"/>
      <c r="BV87" s="12"/>
      <c r="BW87" s="12"/>
      <c r="BX87" s="12"/>
      <c r="CB87" s="9"/>
      <c r="CE87" s="17"/>
      <c r="CF87" s="12"/>
      <c r="CG87" s="12"/>
      <c r="CH87" s="12"/>
      <c r="CI87" s="12"/>
      <c r="CJ87" s="12"/>
      <c r="CK87" s="12"/>
      <c r="CL87" s="12"/>
      <c r="CM87" s="12"/>
      <c r="CN87" s="12"/>
      <c r="CR87" s="9"/>
      <c r="CU87" s="17"/>
      <c r="CV87" s="12"/>
      <c r="CW87" s="12"/>
      <c r="CX87" s="12"/>
      <c r="CY87" s="12"/>
      <c r="CZ87" s="12"/>
      <c r="DA87" s="12"/>
      <c r="DB87" s="12"/>
      <c r="DC87" s="12"/>
      <c r="DD87" s="12"/>
      <c r="DH87" s="9"/>
      <c r="DK87" s="17"/>
      <c r="DL87" s="12"/>
      <c r="DM87" s="12"/>
      <c r="DN87" s="12"/>
      <c r="DO87" s="12"/>
      <c r="DP87" s="12"/>
      <c r="DQ87" s="12"/>
      <c r="DR87" s="12"/>
      <c r="DS87" s="12"/>
      <c r="DT87" s="12"/>
      <c r="DX87" s="9"/>
      <c r="EA87" s="17"/>
      <c r="EB87" s="12"/>
      <c r="EC87" s="12"/>
      <c r="ED87" s="12"/>
      <c r="EE87" s="12"/>
      <c r="EF87" s="12"/>
      <c r="EG87" s="12"/>
      <c r="EH87" s="12"/>
      <c r="EI87" s="12"/>
      <c r="EJ87" s="12"/>
      <c r="EN87" s="9"/>
      <c r="EQ87" s="17"/>
      <c r="ER87" s="12"/>
      <c r="ES87" s="12"/>
      <c r="ET87" s="12"/>
      <c r="EU87" s="12"/>
      <c r="EV87" s="12"/>
      <c r="EW87" s="12"/>
      <c r="EX87" s="12"/>
      <c r="EY87" s="12"/>
      <c r="EZ87" s="12"/>
      <c r="FD87" s="9"/>
      <c r="FG87" s="17"/>
      <c r="FH87" s="12"/>
      <c r="FI87" s="12"/>
      <c r="FJ87" s="12"/>
      <c r="FK87" s="12"/>
      <c r="FL87" s="12"/>
      <c r="FM87" s="12"/>
      <c r="FN87" s="12"/>
      <c r="FO87" s="12"/>
      <c r="FP87" s="12"/>
      <c r="FT87" s="9"/>
      <c r="FW87" s="17"/>
      <c r="FX87" s="12"/>
      <c r="FY87" s="12"/>
      <c r="FZ87" s="12"/>
      <c r="GA87" s="12"/>
      <c r="GB87" s="12"/>
      <c r="GC87" s="12"/>
      <c r="GD87" s="12"/>
      <c r="GE87" s="12"/>
      <c r="GF87" s="12"/>
      <c r="GJ87" s="9"/>
      <c r="GN87" s="12"/>
      <c r="GO87" s="12"/>
      <c r="GP87" s="12"/>
      <c r="GQ87" s="12"/>
      <c r="GR87" s="12"/>
      <c r="GS87" s="12"/>
      <c r="GT87" s="12"/>
      <c r="GU87" s="12"/>
      <c r="GV87" s="12"/>
      <c r="GZ87" s="9"/>
      <c r="HD87" s="12"/>
      <c r="HE87" s="12"/>
      <c r="HF87" s="12"/>
      <c r="HG87" s="12"/>
      <c r="HH87" s="12"/>
      <c r="HI87" s="12"/>
      <c r="HJ87" s="12"/>
      <c r="HK87" s="12"/>
      <c r="HL87" s="12"/>
      <c r="HP87" s="9"/>
      <c r="HT87" s="12"/>
      <c r="HU87" s="12"/>
      <c r="HV87" s="12"/>
      <c r="HW87" s="12"/>
      <c r="HX87" s="12"/>
      <c r="HY87" s="12"/>
      <c r="HZ87" s="12"/>
      <c r="IA87" s="12"/>
      <c r="IB87" s="12"/>
      <c r="IF87" s="9"/>
      <c r="IJ87" s="12"/>
      <c r="IK87" s="12"/>
      <c r="IL87" s="12"/>
      <c r="IM87" s="12"/>
      <c r="IN87" s="12"/>
      <c r="IO87" s="12"/>
      <c r="IP87" s="12"/>
      <c r="IQ87" s="12"/>
      <c r="IR87" s="12"/>
      <c r="IV87" s="9"/>
      <c r="IZ87" s="12"/>
      <c r="JA87" s="12"/>
      <c r="JB87" s="12"/>
      <c r="JC87" s="12"/>
      <c r="JD87" s="12"/>
      <c r="JE87" s="12"/>
      <c r="JF87" s="12"/>
      <c r="JG87" s="12"/>
      <c r="JH87" s="12"/>
      <c r="JL87" s="9"/>
      <c r="JP87" s="12"/>
      <c r="JQ87" s="12"/>
      <c r="JR87" s="12"/>
      <c r="JS87" s="12"/>
      <c r="JT87" s="12"/>
      <c r="JU87" s="12"/>
      <c r="JV87" s="12"/>
      <c r="JW87" s="12"/>
      <c r="JX87" s="12"/>
      <c r="KB87" s="9"/>
      <c r="KF87" s="12"/>
      <c r="KG87" s="12"/>
      <c r="KH87" s="12"/>
      <c r="KI87" s="12"/>
      <c r="KJ87" s="12"/>
      <c r="KK87" s="12"/>
      <c r="KL87" s="12"/>
      <c r="KM87" s="12"/>
      <c r="KN87" s="12"/>
      <c r="KR87" s="9"/>
      <c r="KV87" s="12"/>
      <c r="KW87" s="12"/>
      <c r="KX87" s="12"/>
      <c r="KY87" s="12"/>
      <c r="KZ87" s="12"/>
      <c r="LA87" s="12"/>
      <c r="LB87" s="12"/>
      <c r="LC87" s="12"/>
      <c r="LD87" s="12"/>
      <c r="LH87" s="9"/>
      <c r="LL87" s="12"/>
      <c r="LM87" s="12"/>
      <c r="LN87" s="12"/>
      <c r="LO87" s="12"/>
      <c r="LP87" s="12"/>
      <c r="LQ87" s="12"/>
      <c r="LR87" s="12"/>
      <c r="LS87" s="12"/>
      <c r="LT87" s="12"/>
      <c r="LX87" s="9"/>
      <c r="MB87" s="12"/>
      <c r="MC87" s="12"/>
      <c r="MD87" s="12"/>
      <c r="ME87" s="12"/>
      <c r="MF87" s="12"/>
      <c r="MG87" s="12"/>
      <c r="MH87" s="12"/>
      <c r="MI87" s="12"/>
      <c r="MJ87" s="12"/>
      <c r="MN87" s="9"/>
      <c r="MR87" s="12"/>
      <c r="MS87" s="12"/>
      <c r="MT87" s="12"/>
      <c r="MU87" s="12"/>
      <c r="MV87" s="12"/>
      <c r="MW87" s="12"/>
      <c r="MX87" s="12"/>
      <c r="MY87" s="12"/>
      <c r="MZ87" s="12"/>
      <c r="ND87" s="9"/>
      <c r="NH87" s="12"/>
      <c r="NI87" s="12"/>
      <c r="NJ87" s="12"/>
      <c r="NK87" s="12"/>
      <c r="NL87" s="12"/>
      <c r="NM87" s="12"/>
      <c r="NN87" s="12"/>
      <c r="NO87" s="12"/>
      <c r="NP87" s="12"/>
      <c r="NT87" s="9"/>
      <c r="NX87" s="12"/>
      <c r="NY87" s="12"/>
      <c r="NZ87" s="12"/>
      <c r="OA87" s="12"/>
      <c r="OB87" s="12"/>
      <c r="OC87" s="12"/>
      <c r="OD87" s="12"/>
      <c r="OE87" s="12"/>
      <c r="OF87" s="12"/>
      <c r="OJ87" s="9"/>
    </row>
    <row r="88" spans="1:401" x14ac:dyDescent="0.2">
      <c r="A88" s="9" t="s">
        <v>1291</v>
      </c>
      <c r="B88" s="12">
        <f t="shared" ref="B88" si="665">P88+AH88+AZ88+BP88+CF88+CV88+DL88+EB88+ER88+FH88+FX88+GN88+HD88+HT88+IJ88+IZ88+JP88+KF88+KV88+LL88+MB88+MR88+NH88+NX88</f>
        <v>0</v>
      </c>
      <c r="C88" s="12">
        <f t="shared" ref="C88" si="666">Q88+AI88+BA88+BQ88+CG88+CW88+DM88+EC88+ES88+FI88+FY88+GO88+HE88+HU88+IK88+JA88+JQ88+KG88+KW88+LM88+MC88+MS88+NI88+NY88</f>
        <v>0</v>
      </c>
      <c r="D88" s="12">
        <f t="shared" ref="D88" si="667">R88+AJ88+BB88+BR88+CH88+CX88+DN88+ED88+ET88+FJ88+FZ88+GP88+HF88+HV88+IL88+JB88+JR88+KH88+KX88+LN88+MD88+MT88+NJ88+NZ88</f>
        <v>0</v>
      </c>
      <c r="E88" s="12">
        <f t="shared" ref="E88" si="668">S88+AK88+BC88+BS88+CI88+CY88+DO88+EE88+EU88+FK88+GA88+GQ88+HG88+HW88+IM88+JC88+JS88+KI88+KY88+LO88+ME88+MU88+NK88+OA88</f>
        <v>0</v>
      </c>
      <c r="F88" s="12">
        <f t="shared" ref="F88" si="669">T88+AL88+BD88+BT88+CJ88+CZ88+DP88+EF88+EV88+FL88+GB88+GR88+HH88+HX88+IN88+JD88+JT88+KJ88+KZ88+LP88+MF88+MV88+NL88+OB88</f>
        <v>0</v>
      </c>
      <c r="G88" s="12">
        <f t="shared" ref="G88" si="670">U88+AM88+BE88+BU88+CK88+DA88+DQ88+EG88+EW88+FM88+GC88+GS88+HI88+HY88+IO88+JE88+JU88+KK88+LA88+LQ88+MG88+MW88+NM88+OC88</f>
        <v>0</v>
      </c>
      <c r="H88" s="12">
        <f t="shared" ref="H88" si="671">V88+AN88+BF88+BV88+CL88+DB88+DR88+EH88+EX88+FN88+GD88+GT88+HJ88+HZ88+IP88+JF88+JV88+KL88+LB88+LR88+MH88+MX88+NN88+OD88</f>
        <v>0</v>
      </c>
      <c r="I88" s="12">
        <f t="shared" ref="I88" si="672">W88+AO88+BG88+BW88+CM88+DC88+DS88+EI88+EY88+FO88+GE88+GU88+HK88+IA88+IQ88+JG88+JW88+KM88+LC88+LS88+MI88+MY88+NO88+OE88</f>
        <v>0</v>
      </c>
      <c r="J88" s="12">
        <f t="shared" ref="J88" si="673">X88+AP88+BH88+BX88+CN88+DD88+DT88+EJ88+EZ88+FP88+GF88+GV88+HL88+IB88+IR88+JH88+JX88+KN88+LD88+LT88+MJ88+MZ88+NP88+OF88</f>
        <v>0</v>
      </c>
      <c r="M88" s="6"/>
      <c r="N88" s="6"/>
      <c r="O88" s="9"/>
      <c r="P88" s="12" cm="1">
        <f t="array" ref="P88">_xlfn.SWITCH(P$4, 0,0, 1, AA88,2,AC88,3,AE88,0)</f>
        <v>0</v>
      </c>
      <c r="Q88" s="12" cm="1">
        <f t="array" ref="Q88">_xlfn.SWITCH(Q$4, 0,0, 1, AA88,2,AC88,3,AE88,0)+P88</f>
        <v>0</v>
      </c>
      <c r="R88" s="12" cm="1">
        <f t="array" ref="R88">_xlfn.SWITCH(R$4, 0,0, 1, AA88,2,AC88,3,AE88,0)+Q88</f>
        <v>0</v>
      </c>
      <c r="S88" s="12" cm="1">
        <f t="array" ref="S88">_xlfn.SWITCH(S$4, 0,0, 1, AA88,2,AC88,3,AE88,0)+R88</f>
        <v>0</v>
      </c>
      <c r="T88" s="12" cm="1">
        <f t="array" ref="T88">_xlfn.SWITCH(T$4, 0,0, 1, AA88,2,AC88,3,AE88,0)+S88</f>
        <v>0</v>
      </c>
      <c r="U88" s="12" cm="1">
        <f t="array" ref="U88">_xlfn.SWITCH(U$4, 0,0, 1, AA88,2,AC88,3,AE88,0)+T88</f>
        <v>0</v>
      </c>
      <c r="V88" s="12" cm="1">
        <f t="array" ref="V88">_xlfn.SWITCH(V$4, 0,0, 1, AA88,2,AC88,3,AE88,0)+U88</f>
        <v>0</v>
      </c>
      <c r="W88" s="12" cm="1">
        <f t="array" ref="W88">_xlfn.SWITCH(W$4, 0,0, 1, AA88,2,AC88,3,AE88,0)+V88</f>
        <v>0</v>
      </c>
      <c r="X88" s="12" cm="1">
        <f t="array" ref="X88">_xlfn.SWITCH(X$4, 0,0, 1, AA88,2,AC88,3,AE88,0)+W88</f>
        <v>0</v>
      </c>
      <c r="Z88" t="s">
        <v>1304</v>
      </c>
      <c r="AA88">
        <f>_xlfn.XLOOKUP(Z88,'KPI Impacts'!$K$2:$Q$2,'KPI Impacts'!$K88:$Q88)</f>
        <v>0</v>
      </c>
      <c r="AB88" t="s">
        <v>1304</v>
      </c>
      <c r="AC88">
        <f>_xlfn.XLOOKUP(AB88,'KPI Impacts'!$K$2:$Q$2,'KPI Impacts'!$K88:$Q88)</f>
        <v>0</v>
      </c>
      <c r="AD88" t="s">
        <v>1304</v>
      </c>
      <c r="AE88">
        <f>_xlfn.XLOOKUP(AD88,'KPI Impacts'!$K$2:$Q$2,'KPI Impacts'!$K88:$Q88)</f>
        <v>0</v>
      </c>
      <c r="AG88" s="9"/>
      <c r="AH88" s="12" cm="1">
        <f t="array" ref="AH88">_xlfn.SWITCH(AH$4, 0,0, 1, AS88,2,AU88,3,AW88,0)</f>
        <v>0</v>
      </c>
      <c r="AI88" s="12" cm="1">
        <f t="array" ref="AI88">_xlfn.SWITCH(AI$4, 0,0, 1, AS88,2,AU88,3,AW88,0)+AH88</f>
        <v>0</v>
      </c>
      <c r="AJ88" s="12" cm="1">
        <f t="array" ref="AJ88">_xlfn.SWITCH(AJ$4, 0,0, 1, AS88,2,AU88,3,AW88,0)+AI88</f>
        <v>0</v>
      </c>
      <c r="AK88" s="12" cm="1">
        <f t="array" ref="AK88">_xlfn.SWITCH(AK$4, 0,0, 1, AS88,2,AU88,3,AW88,0)+AJ88</f>
        <v>0</v>
      </c>
      <c r="AL88" s="12" cm="1">
        <f t="array" ref="AL88">_xlfn.SWITCH(AL$4, 0,0, 1, AS88,2,AU88,3,AW88,0)+AK88</f>
        <v>0</v>
      </c>
      <c r="AM88" s="12" cm="1">
        <f t="array" ref="AM88">_xlfn.SWITCH(AM$4, 0,0, 1, AS88,2,AU88,3,AW88,0)+AL88</f>
        <v>0</v>
      </c>
      <c r="AN88" s="12" cm="1">
        <f t="array" ref="AN88">_xlfn.SWITCH(AN$4, 0,0, 1, AS88,2,AU88,3,AW88,0)+AM88</f>
        <v>0</v>
      </c>
      <c r="AO88" s="12" cm="1">
        <f t="array" ref="AO88">_xlfn.SWITCH(AO$4, 0,0, 1, AS88,2,AU88,3,AW88,0)+AN88</f>
        <v>0</v>
      </c>
      <c r="AP88" s="12" cm="1">
        <f t="array" ref="AP88">_xlfn.SWITCH(AP$4, 0,0, 1, AS88,2,AU88,3,AW88,0)+AO88</f>
        <v>0</v>
      </c>
      <c r="AR88" t="s">
        <v>1304</v>
      </c>
      <c r="AS88">
        <f>_xlfn.XLOOKUP(AR88,'KPI Impacts'!$K$2:$Q$2,'KPI Impacts'!$K88:$Q88)</f>
        <v>0</v>
      </c>
      <c r="AT88" t="s">
        <v>1304</v>
      </c>
      <c r="AU88">
        <f>_xlfn.XLOOKUP(AT88,'KPI Impacts'!$K$2:$Q$2,'KPI Impacts'!$K88:$Q88)</f>
        <v>0</v>
      </c>
      <c r="AV88" t="s">
        <v>1304</v>
      </c>
      <c r="AW88">
        <f>_xlfn.XLOOKUP(AV88,'KPI Impacts'!$K$2:$Q$2,'KPI Impacts'!$K88:$Q88)</f>
        <v>0</v>
      </c>
      <c r="AY88" s="9"/>
      <c r="AZ88" s="12">
        <f>AZ$4*BK88</f>
        <v>0</v>
      </c>
      <c r="BA88" s="12">
        <f>BA$4 * IF(AND(AZ$4=1,AZ$20=1), BM88, BK88)</f>
        <v>0</v>
      </c>
      <c r="BB88" s="12">
        <f>BB$4 * IF(AND(BA$4=1,AZ$20=1), BM88, BK88)</f>
        <v>0</v>
      </c>
      <c r="BC88" s="12">
        <f>BC$4 * IF(AND(BB$4=1,AZ$20=1), BM88, BK88)</f>
        <v>0</v>
      </c>
      <c r="BD88" s="12">
        <f>BD$4 * IF(AND(BC$4=1,AZ$20=1), BM88, BK88)</f>
        <v>0</v>
      </c>
      <c r="BE88" s="12">
        <f>BE$4 * IF(AND(BD$4=1,AZ$20=1), BM88, BK88)</f>
        <v>0</v>
      </c>
      <c r="BF88" s="12">
        <f>BF$4 * IF(AND(BE$4=1,AZ$20=1), BM88, BK88)</f>
        <v>0</v>
      </c>
      <c r="BG88" s="12">
        <f>BG$4 * IF(AND(BF$4=1,AZ$20=1), BM88, BK88)</f>
        <v>0</v>
      </c>
      <c r="BH88" s="12">
        <f>BH$4 * IF(AND(BG$4=1,AZ$20=1), BM88, BK88)</f>
        <v>0</v>
      </c>
      <c r="BJ88" t="s">
        <v>1304</v>
      </c>
      <c r="BK88">
        <f>_xlfn.XLOOKUP(BJ88,'KPI Impacts'!$B$2:$H$2,'KPI Impacts'!$B88:$H88)</f>
        <v>0</v>
      </c>
      <c r="BL88" s="35" t="s">
        <v>1304</v>
      </c>
      <c r="BM88">
        <f>_xlfn.XLOOKUP(BL88,'KPI Impacts'!$B$2:$H$2,'KPI Impacts'!$B88:$H88)</f>
        <v>0</v>
      </c>
      <c r="BO88" s="9"/>
      <c r="BP88" s="12">
        <f>BP$4*CA88</f>
        <v>0</v>
      </c>
      <c r="BQ88" s="12">
        <f>BQ$4 * IF(AND(BP$4=1,BP$20=1), CC88, CA88)</f>
        <v>0</v>
      </c>
      <c r="BR88" s="12">
        <f>BR$4 * IF(AND(BQ$4=1,BP$20=1), CC88, CA88)</f>
        <v>0</v>
      </c>
      <c r="BS88" s="12">
        <f>BS$4 * IF(AND(BR$4=1,BP$20=1), CC88, CA88)</f>
        <v>0</v>
      </c>
      <c r="BT88" s="12">
        <f>BT$4 * IF(AND(BS$4=1,BP$20=1), CC88, CA88)</f>
        <v>0</v>
      </c>
      <c r="BU88" s="12">
        <f>BU$4 * IF(AND(BT$4=1,BP$20=1), CC88, CA88)</f>
        <v>0</v>
      </c>
      <c r="BV88" s="12">
        <f>BV$4 * IF(AND(BU$4=1,BP$20=1), CC88, CA88)</f>
        <v>0</v>
      </c>
      <c r="BW88" s="12">
        <f>BW$4 * IF(AND(BV$4=1,BP$20=1), CC88, CA88)</f>
        <v>0</v>
      </c>
      <c r="BX88" s="12">
        <f>BX$4 * IF(AND(BW$4=1,BP$20=1), CC88, CA88)</f>
        <v>0</v>
      </c>
      <c r="BZ88" t="s">
        <v>1304</v>
      </c>
      <c r="CA88">
        <f>_xlfn.XLOOKUP(BZ88,'KPI Impacts'!$B$2:$H$2,'KPI Impacts'!$B88:$H88)</f>
        <v>0</v>
      </c>
      <c r="CB88" s="35" t="s">
        <v>1304</v>
      </c>
      <c r="CC88">
        <f>_xlfn.XLOOKUP(CB88,'KPI Impacts'!$B$2:$H$2,'KPI Impacts'!$B88:$H88)</f>
        <v>0</v>
      </c>
      <c r="CE88" s="9"/>
      <c r="CF88" s="12">
        <f>CF$4*CQ88</f>
        <v>0</v>
      </c>
      <c r="CG88" s="12">
        <f>CG$4 * IF(AND(CF$4=1,CF$20=1), CS88, CQ88)</f>
        <v>0</v>
      </c>
      <c r="CH88" s="12">
        <f>CH$4 * IF(AND(CG$4=1,CF$20=1), CS88, CQ88)</f>
        <v>0</v>
      </c>
      <c r="CI88" s="12">
        <f>CI$4 * IF(AND(CH$4=1,CF$20=1), CS88, CQ88)</f>
        <v>0</v>
      </c>
      <c r="CJ88" s="12">
        <f>CJ$4 * IF(AND(CI$4=1,CF$20=1), CS88, CQ88)</f>
        <v>0</v>
      </c>
      <c r="CK88" s="12">
        <f>CK$4 * IF(AND(CJ$4=1,CF$20=1), CS88, CQ88)</f>
        <v>0</v>
      </c>
      <c r="CL88" s="12">
        <f>CL$4 * IF(AND(CK$4=1,CF$20=1), CS88, CQ88)</f>
        <v>0</v>
      </c>
      <c r="CM88" s="12">
        <f>CM$4 * IF(AND(CL$4=1,CF$20=1), CS88, CQ88)</f>
        <v>0</v>
      </c>
      <c r="CN88" s="12">
        <f>CN$4 * IF(AND(CM$4=1,CF$20=1), CS88, CQ88)</f>
        <v>0</v>
      </c>
      <c r="CP88" t="s">
        <v>1304</v>
      </c>
      <c r="CQ88">
        <f>_xlfn.XLOOKUP(CP88,'KPI Impacts'!$B$2:$H$2,'KPI Impacts'!$B88:$H88)</f>
        <v>0</v>
      </c>
      <c r="CR88" s="35" t="s">
        <v>1304</v>
      </c>
      <c r="CS88">
        <f>_xlfn.XLOOKUP(CR88,'KPI Impacts'!$B$2:$H$2,'KPI Impacts'!$B88:$H88)</f>
        <v>0</v>
      </c>
      <c r="CU88" s="9"/>
      <c r="CV88" s="12">
        <f>CV$4*DG88</f>
        <v>0</v>
      </c>
      <c r="CW88" s="12">
        <f>CW$4 * IF(AND(CV$4=1,CV$20=1), DI88, DG88)</f>
        <v>0</v>
      </c>
      <c r="CX88" s="12">
        <f>CX$4 * IF(AND(CW$4=1,CV$20=1), DI88, DG88)</f>
        <v>0</v>
      </c>
      <c r="CY88" s="12">
        <f>CY$4 * IF(AND(CX$4=1,CV$20=1), DI88, DG88)</f>
        <v>0</v>
      </c>
      <c r="CZ88" s="12">
        <f>CZ$4 * IF(AND(CY$4=1,CV$20=1), DI88, DG88)</f>
        <v>0</v>
      </c>
      <c r="DA88" s="12">
        <f>DA$4 * IF(AND(CZ$4=1,CV$20=1), DI88, DG88)</f>
        <v>0</v>
      </c>
      <c r="DB88" s="12">
        <f>DB$4 * IF(AND(DA$4=1,CV$20=1), DI88, DG88)</f>
        <v>0</v>
      </c>
      <c r="DC88" s="12">
        <f>DC$4 * IF(AND(DB$4=1,CV$20=1), DI88, DG88)</f>
        <v>0</v>
      </c>
      <c r="DD88" s="12">
        <f>DD$4 * IF(AND(DC$4=1,CV$20=1), DI88, DG88)</f>
        <v>0</v>
      </c>
      <c r="DF88" t="s">
        <v>1304</v>
      </c>
      <c r="DG88">
        <f>_xlfn.XLOOKUP(DF88,'KPI Impacts'!$B$2:$H$2,'KPI Impacts'!$B88:$H88)</f>
        <v>0</v>
      </c>
      <c r="DH88" s="35" t="s">
        <v>1304</v>
      </c>
      <c r="DI88">
        <f>_xlfn.XLOOKUP(DH88,'KPI Impacts'!$B$2:$H$2,'KPI Impacts'!$B88:$H88)</f>
        <v>0</v>
      </c>
      <c r="DK88" s="9"/>
      <c r="DL88" s="12">
        <f>DL$4*DW88</f>
        <v>0</v>
      </c>
      <c r="DM88" s="12">
        <f>DM$4 * IF(AND(DL$4=1,DL$20=1), DY88, DW88)</f>
        <v>0</v>
      </c>
      <c r="DN88" s="12">
        <f>DN$4 * IF(AND(DM$4=1,DL$20=1), DY88, DW88)</f>
        <v>0</v>
      </c>
      <c r="DO88" s="12">
        <f>DO$4 * IF(AND(DN$4=1,DL$20=1), DY88, DW88)</f>
        <v>0</v>
      </c>
      <c r="DP88" s="12">
        <f>DP$4 * IF(AND(DO$4=1,DL$20=1), DY88, DW88)</f>
        <v>0</v>
      </c>
      <c r="DQ88" s="12">
        <f>DQ$4 * IF(AND(DP$4=1,DL$20=1), DY88, DW88)</f>
        <v>0</v>
      </c>
      <c r="DR88" s="12">
        <f>DR$4 * IF(AND(DQ$4=1,DL$20=1), DY88, DW88)</f>
        <v>0</v>
      </c>
      <c r="DS88" s="12">
        <f>DS$4 * IF(AND(DR$4=1,DL$20=1), DY88, DW88)</f>
        <v>0</v>
      </c>
      <c r="DT88" s="12">
        <f>DT$4 * IF(AND(DS$4=1,DL$20=1), DY88, DW88)</f>
        <v>0</v>
      </c>
      <c r="DV88" t="s">
        <v>1304</v>
      </c>
      <c r="DW88">
        <f>_xlfn.XLOOKUP(DV88,'KPI Impacts'!$B$2:$H$2,'KPI Impacts'!$B88:$H88)</f>
        <v>0</v>
      </c>
      <c r="DX88" s="35" t="s">
        <v>1304</v>
      </c>
      <c r="DY88">
        <f>_xlfn.XLOOKUP(DX88,'KPI Impacts'!$B$2:$H$2,'KPI Impacts'!$B88:$H88)</f>
        <v>0</v>
      </c>
      <c r="EA88" s="9"/>
      <c r="EB88" s="12">
        <f>EB$4*EM88</f>
        <v>0</v>
      </c>
      <c r="EC88" s="12">
        <f>EC$4 * IF(AND(EB$4=1,EB$20=1), EO88, EM88)</f>
        <v>0</v>
      </c>
      <c r="ED88" s="12">
        <f>ED$4 * IF(AND(EC$4=1,EB$20=1), EO88, EM88)</f>
        <v>0</v>
      </c>
      <c r="EE88" s="12">
        <f>EE$4 * IF(AND(ED$4=1,EB$20=1), EO88, EM88)</f>
        <v>0</v>
      </c>
      <c r="EF88" s="12">
        <f>EF$4 * IF(AND(EE$4=1,EB$20=1), EO88, EM88)</f>
        <v>0</v>
      </c>
      <c r="EG88" s="12">
        <f>EG$4 * IF(AND(EF$4=1,EB$20=1), EO88, EM88)</f>
        <v>0</v>
      </c>
      <c r="EH88" s="12">
        <f>EH$4 * IF(AND(EG$4=1,EB$20=1), EO88, EM88)</f>
        <v>0</v>
      </c>
      <c r="EI88" s="12">
        <f>EI$4 * IF(AND(EH$4=1,EB$20=1), EO88, EM88)</f>
        <v>0</v>
      </c>
      <c r="EJ88" s="12">
        <f>EJ$4 * IF(AND(EI$4=1,EB$20=1), EO88, EM88)</f>
        <v>0</v>
      </c>
      <c r="EL88" t="s">
        <v>1304</v>
      </c>
      <c r="EM88">
        <f>_xlfn.XLOOKUP(EL88,'KPI Impacts'!$B$2:$H$2,'KPI Impacts'!$B88:$H88)</f>
        <v>0</v>
      </c>
      <c r="EN88" s="35" t="s">
        <v>1304</v>
      </c>
      <c r="EO88">
        <f>_xlfn.XLOOKUP(EN88,'KPI Impacts'!$B$2:$H$2,'KPI Impacts'!$B88:$H88)</f>
        <v>0</v>
      </c>
      <c r="EQ88" s="9"/>
      <c r="ER88" s="12">
        <f>ER$4*FC88</f>
        <v>0</v>
      </c>
      <c r="ES88" s="12">
        <f>ES$4 * IF(AND(ER$4=1,ER$20=1), FE88, FC88)</f>
        <v>0</v>
      </c>
      <c r="ET88" s="12">
        <f>ET$4 * IF(AND(ES$4=1,ER$20=1), FE88, FC88)</f>
        <v>0</v>
      </c>
      <c r="EU88" s="12">
        <f>EU$4 * IF(AND(ET$4=1,ER$20=1), FE88, FC88)</f>
        <v>0</v>
      </c>
      <c r="EV88" s="12">
        <f>EV$4 * IF(AND(EU$4=1,ER$20=1), FE88, FC88)</f>
        <v>0</v>
      </c>
      <c r="EW88" s="12">
        <f>EW$4 * IF(AND(EV$4=1,ER$20=1), FE88, FC88)</f>
        <v>0</v>
      </c>
      <c r="EX88" s="12">
        <f>EX$4 * IF(AND(EW$4=1,ER$20=1), FE88, FC88)</f>
        <v>0</v>
      </c>
      <c r="EY88" s="12">
        <f>EY$4 * IF(AND(EX$4=1,ER$20=1), FE88, FC88)</f>
        <v>0</v>
      </c>
      <c r="EZ88" s="12">
        <f>EZ$4 * IF(AND(EY$4=1,ER$20=1), FE88, FC88)</f>
        <v>0</v>
      </c>
      <c r="FB88" t="s">
        <v>1304</v>
      </c>
      <c r="FC88">
        <f>_xlfn.XLOOKUP(FB88,'KPI Impacts'!$B$2:$H$2,'KPI Impacts'!$B88:$H88)</f>
        <v>0</v>
      </c>
      <c r="FD88" s="35" t="s">
        <v>1304</v>
      </c>
      <c r="FE88">
        <f>_xlfn.XLOOKUP(FD88,'KPI Impacts'!$B$2:$H$2,'KPI Impacts'!$B88:$H88)</f>
        <v>0</v>
      </c>
      <c r="FG88" s="9"/>
      <c r="FH88" s="12">
        <f>FH$4*FS88</f>
        <v>0</v>
      </c>
      <c r="FI88" s="12">
        <f>FI$4 * IF(AND(FH$4=1,FH$20=1), FU88, FS88)</f>
        <v>0</v>
      </c>
      <c r="FJ88" s="12">
        <f>FJ$4 * IF(AND(FI$4=1,FH$20=1), FU88, FS88)</f>
        <v>0</v>
      </c>
      <c r="FK88" s="12">
        <f>FK$4 * IF(AND(FJ$4=1,FH$20=1), FU88, FS88)</f>
        <v>0</v>
      </c>
      <c r="FL88" s="12">
        <f>FL$4 * IF(AND(FK$4=1,FH$20=1), FU88, FS88)</f>
        <v>0</v>
      </c>
      <c r="FM88" s="12">
        <f>FM$4 * IF(AND(FL$4=1,FH$20=1), FU88, FS88)</f>
        <v>0</v>
      </c>
      <c r="FN88" s="12">
        <f>FN$4 * IF(AND(FM$4=1,FH$20=1), FU88, FS88)</f>
        <v>0</v>
      </c>
      <c r="FO88" s="12">
        <f>FO$4 * IF(AND(FN$4=1,FH$20=1), FU88, FS88)</f>
        <v>0</v>
      </c>
      <c r="FP88" s="12">
        <f>FP$4 * IF(AND(FO$4=1,FH$20=1), FU88, FS88)</f>
        <v>0</v>
      </c>
      <c r="FR88" t="s">
        <v>1304</v>
      </c>
      <c r="FS88">
        <f>_xlfn.XLOOKUP(FR88,'KPI Impacts'!$B$2:$H$2,'KPI Impacts'!$B88:$H88)</f>
        <v>0</v>
      </c>
      <c r="FT88" s="35" t="s">
        <v>1304</v>
      </c>
      <c r="FU88">
        <f>_xlfn.XLOOKUP(FT88,'KPI Impacts'!$B$2:$H$2,'KPI Impacts'!$B88:$H88)</f>
        <v>0</v>
      </c>
      <c r="FW88" s="9"/>
      <c r="FX88" s="12">
        <f>FX$4*GI88</f>
        <v>0</v>
      </c>
      <c r="FY88" s="12">
        <f>FY$4 * IF(AND(FX$4=1,FX$20=1), GK88, GI88)</f>
        <v>0</v>
      </c>
      <c r="FZ88" s="12">
        <f>FZ$4 * IF(AND(FY$4=1,FX$20=1), GK88, GI88)</f>
        <v>0</v>
      </c>
      <c r="GA88" s="12">
        <f>GA$4 * IF(AND(FZ$4=1,FX$20=1), GK88, GI88)</f>
        <v>0</v>
      </c>
      <c r="GB88" s="12">
        <f>GB$4 * IF(AND(GA$4=1,FX$20=1), GK88, GI88)</f>
        <v>0</v>
      </c>
      <c r="GC88" s="12">
        <f>GC$4 * IF(AND(GB$4=1,FX$20=1), GK88, GI88)</f>
        <v>0</v>
      </c>
      <c r="GD88" s="12">
        <f>GD$4 * IF(AND(GC$4=1,FX$20=1), GK88, GI88)</f>
        <v>0</v>
      </c>
      <c r="GE88" s="12">
        <f>GE$4 * IF(AND(GD$4=1,FX$20=1), GK88, GI88)</f>
        <v>0</v>
      </c>
      <c r="GF88" s="12">
        <f>GF$4 * IF(AND(GE$4=1,FX$20=1), GK88, GI88)</f>
        <v>0</v>
      </c>
      <c r="GH88" t="s">
        <v>1304</v>
      </c>
      <c r="GI88">
        <f>_xlfn.XLOOKUP(GH88,'KPI Impacts'!$B$2:$H$2,'KPI Impacts'!$B88:$H88)</f>
        <v>0</v>
      </c>
      <c r="GJ88" s="35" t="s">
        <v>1304</v>
      </c>
      <c r="GK88">
        <f>_xlfn.XLOOKUP(GJ88,'KPI Impacts'!$B$2:$H$2,'KPI Impacts'!$B88:$H88)</f>
        <v>0</v>
      </c>
      <c r="GN88" s="12">
        <f>GN$4*GY88</f>
        <v>0</v>
      </c>
      <c r="GO88" s="12">
        <f>GO$4 * IF(AND(GN$4=1,GN$20=1), HA88, GY88)</f>
        <v>0</v>
      </c>
      <c r="GP88" s="12">
        <f>GP$4 * IF(AND(GO$4=1,GN$20=1), HA88, GY88)</f>
        <v>0</v>
      </c>
      <c r="GQ88" s="12">
        <f>GQ$4 * IF(AND(GP$4=1,GN$20=1), HA88, GY88)</f>
        <v>0</v>
      </c>
      <c r="GR88" s="12">
        <f>GR$4 * IF(AND(GQ$4=1,GN$20=1), HA88, GY88)</f>
        <v>0</v>
      </c>
      <c r="GS88" s="12">
        <f>GS$4 * IF(AND(GR$4=1,GN$20=1), HA88, GY88)</f>
        <v>0</v>
      </c>
      <c r="GT88" s="12">
        <f>GT$4 * IF(AND(GS$4=1,GN$20=1), HA88, GY88)</f>
        <v>0</v>
      </c>
      <c r="GU88" s="12">
        <f>GU$4 * IF(AND(GT$4=1,GN$20=1), HA88, GY88)</f>
        <v>0</v>
      </c>
      <c r="GV88" s="12">
        <f>GV$4 * IF(AND(GU$4=1,GN$20=1), HA88, GY88)</f>
        <v>0</v>
      </c>
      <c r="GX88" t="s">
        <v>1304</v>
      </c>
      <c r="GY88">
        <f>_xlfn.XLOOKUP(GX88,'KPI Impacts'!$B$2:$H$2,'KPI Impacts'!$B88:$H88)</f>
        <v>0</v>
      </c>
      <c r="GZ88" s="35" t="s">
        <v>1304</v>
      </c>
      <c r="HA88">
        <f>_xlfn.XLOOKUP(GZ88,'KPI Impacts'!$B$2:$H$2,'KPI Impacts'!$B88:$H88)</f>
        <v>0</v>
      </c>
      <c r="HD88" s="12">
        <f>HD$4*HO88</f>
        <v>0</v>
      </c>
      <c r="HE88" s="12">
        <f>HE$4 * IF(AND(HD$4=1,HD$20=1), HQ88, HO88)</f>
        <v>0</v>
      </c>
      <c r="HF88" s="12">
        <f>HF$4 * IF(AND(HE$4=1,HD$20=1), HQ88, HO88)</f>
        <v>0</v>
      </c>
      <c r="HG88" s="12">
        <f>HG$4 * IF(AND(HF$4=1,HD$20=1), HQ88, HO88)</f>
        <v>0</v>
      </c>
      <c r="HH88" s="12">
        <f>HH$4 * IF(AND(HG$4=1,HD$20=1), HQ88, HO88)</f>
        <v>0</v>
      </c>
      <c r="HI88" s="12">
        <f>HI$4 * IF(AND(HH$4=1,HD$20=1), HQ88, HO88)</f>
        <v>0</v>
      </c>
      <c r="HJ88" s="12">
        <f>HJ$4 * IF(AND(HI$4=1,HD$20=1), HQ88, HO88)</f>
        <v>0</v>
      </c>
      <c r="HK88" s="12">
        <f>HK$4 * IF(AND(HJ$4=1,HD$20=1), HQ88, HO88)</f>
        <v>0</v>
      </c>
      <c r="HL88" s="12">
        <f>HL$4 * IF(AND(HK$4=1,HD$20=1), HQ88, HO88)</f>
        <v>0</v>
      </c>
      <c r="HN88" t="s">
        <v>1304</v>
      </c>
      <c r="HO88">
        <f>_xlfn.XLOOKUP(HN88,'KPI Impacts'!$B$2:$H$2,'KPI Impacts'!$B88:$H88)</f>
        <v>0</v>
      </c>
      <c r="HP88" s="35" t="s">
        <v>1304</v>
      </c>
      <c r="HQ88">
        <f>_xlfn.XLOOKUP(HP88,'KPI Impacts'!$B$2:$H$2,'KPI Impacts'!$B88:$H88)</f>
        <v>0</v>
      </c>
      <c r="HT88" s="12">
        <f>HT$4*IE88</f>
        <v>0</v>
      </c>
      <c r="HU88" s="12">
        <f>HU$4 * IF(AND(HT$4=1,HT$20=1), IG88, IE88)</f>
        <v>0</v>
      </c>
      <c r="HV88" s="12">
        <f>HV$4 * IF(AND(HU$4=1,HT$20=1), IG88, IE88)</f>
        <v>0</v>
      </c>
      <c r="HW88" s="12">
        <f>HW$4 * IF(AND(HV$4=1,HT$20=1), IG88, IE88)</f>
        <v>0</v>
      </c>
      <c r="HX88" s="12">
        <f>HX$4 * IF(AND(HW$4=1,HT$20=1), IG88, IE88)</f>
        <v>0</v>
      </c>
      <c r="HY88" s="12">
        <f>HY$4 * IF(AND(HX$4=1,HT$20=1), IG88, IE88)</f>
        <v>0</v>
      </c>
      <c r="HZ88" s="12">
        <f>HZ$4 * IF(AND(HY$4=1,HT$20=1), IG88, IE88)</f>
        <v>0</v>
      </c>
      <c r="IA88" s="12">
        <f>IA$4 * IF(AND(HZ$4=1,HT$20=1), IG88, IE88)</f>
        <v>0</v>
      </c>
      <c r="IB88" s="12">
        <f>IB$4 * IF(AND(IA$4=1,HT$20=1), IG88, IE88)</f>
        <v>0</v>
      </c>
      <c r="ID88" t="s">
        <v>1304</v>
      </c>
      <c r="IE88">
        <f>_xlfn.XLOOKUP(ID88,'KPI Impacts'!$B$2:$H$2,'KPI Impacts'!$B88:$H88)</f>
        <v>0</v>
      </c>
      <c r="IF88" s="35" t="s">
        <v>1304</v>
      </c>
      <c r="IG88">
        <f>_xlfn.XLOOKUP(IF88,'KPI Impacts'!$B$2:$H$2,'KPI Impacts'!$B88:$H88)</f>
        <v>0</v>
      </c>
      <c r="IJ88" s="12">
        <f>IJ$4*IU88</f>
        <v>0</v>
      </c>
      <c r="IK88" s="12">
        <f>IK$4 * IF(AND(IJ$4=1,IJ$20=1), IW88, IU88)</f>
        <v>0</v>
      </c>
      <c r="IL88" s="12">
        <f>IL$4 * IF(AND(IK$4=1,IJ$20=1), IW88, IU88)</f>
        <v>0</v>
      </c>
      <c r="IM88" s="12">
        <f>IM$4 * IF(AND(IL$4=1,IJ$20=1), IW88, IU88)</f>
        <v>0</v>
      </c>
      <c r="IN88" s="12">
        <f>IN$4 * IF(AND(IM$4=1,IJ$20=1), IW88, IU88)</f>
        <v>0</v>
      </c>
      <c r="IO88" s="12">
        <f>IO$4 * IF(AND(IN$4=1,IJ$20=1), IW88, IU88)</f>
        <v>0</v>
      </c>
      <c r="IP88" s="12">
        <f>IP$4 * IF(AND(IO$4=1,IJ$20=1), IW88, IU88)</f>
        <v>0</v>
      </c>
      <c r="IQ88" s="12">
        <f>IQ$4 * IF(AND(IP$4=1,IJ$20=1), IW88, IU88)</f>
        <v>0</v>
      </c>
      <c r="IR88" s="12">
        <f>IR$4 * IF(AND(IQ$4=1,IJ$20=1), IW88, IU88)</f>
        <v>0</v>
      </c>
      <c r="IT88" t="s">
        <v>1304</v>
      </c>
      <c r="IU88">
        <f>_xlfn.XLOOKUP(IT88,'KPI Impacts'!$B$2:$H$2,'KPI Impacts'!$B88:$H88)</f>
        <v>0</v>
      </c>
      <c r="IV88" s="35" t="s">
        <v>1304</v>
      </c>
      <c r="IW88">
        <f>_xlfn.XLOOKUP(IV88,'KPI Impacts'!$B$2:$H$2,'KPI Impacts'!$B88:$H88)</f>
        <v>0</v>
      </c>
      <c r="IZ88" s="12">
        <f>IZ$4*JK88</f>
        <v>0</v>
      </c>
      <c r="JA88" s="12">
        <f>JA$4 * IF(AND(IZ$4=1,IZ$20=1), JM88, JK88)</f>
        <v>0</v>
      </c>
      <c r="JB88" s="12">
        <f>JB$4 * IF(AND(JA$4=1,IZ$20=1), JM88, JK88)</f>
        <v>0</v>
      </c>
      <c r="JC88" s="12">
        <f>JC$4 * IF(AND(JB$4=1,IZ$20=1), JM88, JK88)</f>
        <v>0</v>
      </c>
      <c r="JD88" s="12">
        <f>JD$4 * IF(AND(JC$4=1,IZ$20=1), JM88, JK88)</f>
        <v>0</v>
      </c>
      <c r="JE88" s="12">
        <f>JE$4 * IF(AND(JD$4=1,IZ$20=1), JM88, JK88)</f>
        <v>0</v>
      </c>
      <c r="JF88" s="12">
        <f>JF$4 * IF(AND(JE$4=1,IZ$20=1), JM88, JK88)</f>
        <v>0</v>
      </c>
      <c r="JG88" s="12">
        <f>JG$4 * IF(AND(JF$4=1,IZ$20=1), JM88, JK88)</f>
        <v>0</v>
      </c>
      <c r="JH88" s="12">
        <f>JH$4 * IF(AND(JG$4=1,IZ$20=1), JM88, JK88)</f>
        <v>0</v>
      </c>
      <c r="JJ88" t="s">
        <v>1304</v>
      </c>
      <c r="JK88">
        <f>_xlfn.XLOOKUP(JJ88,'KPI Impacts'!$B$2:$H$2,'KPI Impacts'!$B88:$H88)</f>
        <v>0</v>
      </c>
      <c r="JL88" s="35" t="s">
        <v>1304</v>
      </c>
      <c r="JM88">
        <f>_xlfn.XLOOKUP(JL88,'KPI Impacts'!$B$2:$H$2,'KPI Impacts'!$B88:$H88)</f>
        <v>0</v>
      </c>
      <c r="JP88" s="12">
        <f>JP$4*KA88</f>
        <v>0</v>
      </c>
      <c r="JQ88" s="12">
        <f>JQ$4 * IF(AND(JP$4=1,JP$20=1), KC88, KA88)</f>
        <v>0</v>
      </c>
      <c r="JR88" s="12">
        <f>JR$4 * IF(AND(JQ$4=1,JP$20=1), KC88, KA88)</f>
        <v>0</v>
      </c>
      <c r="JS88" s="12">
        <f>JS$4 * IF(AND(JR$4=1,JP$20=1), KC88, KA88)</f>
        <v>0</v>
      </c>
      <c r="JT88" s="12">
        <f>JT$4 * IF(AND(JS$4=1,JP$20=1), KC88, KA88)</f>
        <v>0</v>
      </c>
      <c r="JU88" s="12">
        <f>JU$4 * IF(AND(JT$4=1,JP$20=1), KC88, KA88)</f>
        <v>0</v>
      </c>
      <c r="JV88" s="12">
        <f>JV$4 * IF(AND(JU$4=1,JP$20=1), KC88, KA88)</f>
        <v>0</v>
      </c>
      <c r="JW88" s="12">
        <f>JW$4 * IF(AND(JV$4=1,JP$20=1), KC88, KA88)</f>
        <v>0</v>
      </c>
      <c r="JX88" s="12">
        <f>JX$4 * IF(AND(JW$4=1,JP$20=1), KC88, KA88)</f>
        <v>0</v>
      </c>
      <c r="JZ88" t="s">
        <v>1304</v>
      </c>
      <c r="KA88">
        <f>_xlfn.XLOOKUP(JZ88,'KPI Impacts'!$B$2:$H$2,'KPI Impacts'!$B88:$H88)</f>
        <v>0</v>
      </c>
      <c r="KB88" s="35" t="s">
        <v>1304</v>
      </c>
      <c r="KC88">
        <f>_xlfn.XLOOKUP(KB88,'KPI Impacts'!$B$2:$H$2,'KPI Impacts'!$B88:$H88)</f>
        <v>0</v>
      </c>
      <c r="KF88" s="12">
        <f>KF$4*KQ88</f>
        <v>0</v>
      </c>
      <c r="KG88" s="12">
        <f>KG$4 * IF(AND(KF$4=1,KF$20=1), KS88, KQ88)</f>
        <v>0</v>
      </c>
      <c r="KH88" s="12">
        <f>KH$4 * IF(AND(KG$4=1,KF$20=1), KS88, KQ88)</f>
        <v>0</v>
      </c>
      <c r="KI88" s="12">
        <f>KI$4 * IF(AND(KH$4=1,KF$20=1), KS88, KQ88)</f>
        <v>0</v>
      </c>
      <c r="KJ88" s="12">
        <f>KJ$4 * IF(AND(KI$4=1,KF$20=1), KS88, KQ88)</f>
        <v>0</v>
      </c>
      <c r="KK88" s="12">
        <f>KK$4 * IF(AND(KJ$4=1,KF$20=1), KS88, KQ88)</f>
        <v>0</v>
      </c>
      <c r="KL88" s="12">
        <f>KL$4 * IF(AND(KK$4=1,KF$20=1), KS88, KQ88)</f>
        <v>0</v>
      </c>
      <c r="KM88" s="12">
        <f>KM$4 * IF(AND(KL$4=1,KF$20=1), KS88, KQ88)</f>
        <v>0</v>
      </c>
      <c r="KN88" s="12">
        <f>KN$4 * IF(AND(KM$4=1,KF$20=1), KS88, KQ88)</f>
        <v>0</v>
      </c>
      <c r="KP88" t="s">
        <v>1304</v>
      </c>
      <c r="KQ88">
        <f>_xlfn.XLOOKUP(KP88,'KPI Impacts'!$B$2:$H$2,'KPI Impacts'!$B88:$H88)</f>
        <v>0</v>
      </c>
      <c r="KR88" s="35" t="s">
        <v>1304</v>
      </c>
      <c r="KS88">
        <f>_xlfn.XLOOKUP(KR88,'KPI Impacts'!$B$2:$H$2,'KPI Impacts'!$B88:$H88)</f>
        <v>0</v>
      </c>
      <c r="KV88" s="12">
        <f>KV$4*LG88</f>
        <v>0</v>
      </c>
      <c r="KW88" s="12">
        <f>KW$4 * IF(AND(KV$4=1,KV$20=1), LI88, LG88)</f>
        <v>0</v>
      </c>
      <c r="KX88" s="12">
        <f>KX$4 * IF(AND(KW$4=1,KV$20=1), LI88, LG88)</f>
        <v>0</v>
      </c>
      <c r="KY88" s="12">
        <f>KY$4 * IF(AND(KX$4=1,KV$20=1), LI88, LG88)</f>
        <v>0</v>
      </c>
      <c r="KZ88" s="12">
        <f>KZ$4 * IF(AND(KY$4=1,KV$20=1), LI88, LG88)</f>
        <v>0</v>
      </c>
      <c r="LA88" s="12">
        <f>LA$4 * IF(AND(KZ$4=1,KV$20=1), LI88, LG88)</f>
        <v>0</v>
      </c>
      <c r="LB88" s="12">
        <f>LB$4 * IF(AND(LA$4=1,KV$20=1), LI88, LG88)</f>
        <v>0</v>
      </c>
      <c r="LC88" s="12">
        <f>LC$4 * IF(AND(LB$4=1,KV$20=1), LI88, LG88)</f>
        <v>0</v>
      </c>
      <c r="LD88" s="12">
        <f>LD$4 * IF(AND(LC$4=1,KV$20=1), LI88, LG88)</f>
        <v>0</v>
      </c>
      <c r="LF88" t="s">
        <v>1304</v>
      </c>
      <c r="LG88">
        <f>_xlfn.XLOOKUP(LF88,'KPI Impacts'!$B$2:$H$2,'KPI Impacts'!$B88:$H88)</f>
        <v>0</v>
      </c>
      <c r="LH88" s="35" t="s">
        <v>1304</v>
      </c>
      <c r="LI88">
        <f>_xlfn.XLOOKUP(LH88,'KPI Impacts'!$B$2:$H$2,'KPI Impacts'!$B88:$H88)</f>
        <v>0</v>
      </c>
      <c r="LL88" s="12">
        <f>LL$4*LW88</f>
        <v>0</v>
      </c>
      <c r="LM88" s="12">
        <f>LM$4 * IF(AND(LL$4=1,LL$20=1), LY88, LW88)</f>
        <v>0</v>
      </c>
      <c r="LN88" s="12">
        <f>LN$4 * IF(AND(LM$4=1,LL$20=1), LY88, LW88)</f>
        <v>0</v>
      </c>
      <c r="LO88" s="12">
        <f>LO$4 * IF(AND(LN$4=1,LL$20=1), LY88, LW88)</f>
        <v>0</v>
      </c>
      <c r="LP88" s="12">
        <f>LP$4 * IF(AND(LO$4=1,LL$20=1), LY88, LW88)</f>
        <v>0</v>
      </c>
      <c r="LQ88" s="12">
        <f>LQ$4 * IF(AND(LP$4=1,LL$20=1), LY88, LW88)</f>
        <v>0</v>
      </c>
      <c r="LR88" s="12">
        <f>LR$4 * IF(AND(LQ$4=1,LL$20=1), LY88, LW88)</f>
        <v>0</v>
      </c>
      <c r="LS88" s="12">
        <f>LS$4 * IF(AND(LR$4=1,LL$20=1), LY88, LW88)</f>
        <v>0</v>
      </c>
      <c r="LT88" s="12">
        <f>LT$4 * IF(AND(LS$4=1,LL$20=1), LY88, LW88)</f>
        <v>0</v>
      </c>
      <c r="LV88" t="s">
        <v>1304</v>
      </c>
      <c r="LW88">
        <f>_xlfn.XLOOKUP(LV88,'KPI Impacts'!$B$2:$H$2,'KPI Impacts'!$B88:$H88)</f>
        <v>0</v>
      </c>
      <c r="LX88" s="35" t="s">
        <v>1304</v>
      </c>
      <c r="LY88">
        <f>_xlfn.XLOOKUP(LX88,'KPI Impacts'!$B$2:$H$2,'KPI Impacts'!$B88:$H88)</f>
        <v>0</v>
      </c>
      <c r="MB88" s="12">
        <f>MB$4*MM88</f>
        <v>0</v>
      </c>
      <c r="MC88" s="12">
        <f>MC$4 * IF(AND(MB$4=1,MB$20=1), MO88, MM88)</f>
        <v>0</v>
      </c>
      <c r="MD88" s="12">
        <f>MD$4 * IF(AND(MC$4=1,MB$20=1), MO88, MM88)</f>
        <v>0</v>
      </c>
      <c r="ME88" s="12">
        <f>ME$4 * IF(AND(MD$4=1,MB$20=1), MO88, MM88)</f>
        <v>0</v>
      </c>
      <c r="MF88" s="12">
        <f>MF$4 * IF(AND(ME$4=1,MB$20=1), MO88, MM88)</f>
        <v>0</v>
      </c>
      <c r="MG88" s="12">
        <f>MG$4 * IF(AND(MF$4=1,MB$20=1), MO88, MM88)</f>
        <v>0</v>
      </c>
      <c r="MH88" s="12">
        <f>MH$4 * IF(AND(MG$4=1,MB$20=1), MO88, MM88)</f>
        <v>0</v>
      </c>
      <c r="MI88" s="12">
        <f>MI$4 * IF(AND(MH$4=1,MB$20=1), MO88, MM88)</f>
        <v>0</v>
      </c>
      <c r="MJ88" s="12">
        <f>MJ$4 * IF(AND(MI$4=1,MB$20=1), MO88, MM88)</f>
        <v>0</v>
      </c>
      <c r="ML88" t="s">
        <v>1304</v>
      </c>
      <c r="MM88">
        <f>_xlfn.XLOOKUP(ML88,'KPI Impacts'!$B$2:$H$2,'KPI Impacts'!$B88:$H88)</f>
        <v>0</v>
      </c>
      <c r="MN88" s="35" t="s">
        <v>1304</v>
      </c>
      <c r="MO88">
        <f>_xlfn.XLOOKUP(MN88,'KPI Impacts'!$B$2:$H$2,'KPI Impacts'!$B88:$H88)</f>
        <v>0</v>
      </c>
      <c r="MR88" s="12">
        <f>MR$4*NC88</f>
        <v>0</v>
      </c>
      <c r="MS88" s="12">
        <f>MS$4 * IF(AND(MR$4=1,MR$20=1), NE88, NC88)</f>
        <v>0</v>
      </c>
      <c r="MT88" s="12">
        <f>MT$4 * IF(AND(MS$4=1,MR$20=1), NE88, NC88)</f>
        <v>0</v>
      </c>
      <c r="MU88" s="12">
        <f>MU$4 * IF(AND(MT$4=1,MR$20=1), NE88, NC88)</f>
        <v>0</v>
      </c>
      <c r="MV88" s="12">
        <f>MV$4 * IF(AND(MU$4=1,MR$20=1), NE88, NC88)</f>
        <v>0</v>
      </c>
      <c r="MW88" s="12">
        <f>MW$4 * IF(AND(MV$4=1,MR$20=1), NE88, NC88)</f>
        <v>0</v>
      </c>
      <c r="MX88" s="12">
        <f>MX$4 * IF(AND(MW$4=1,MR$20=1), NE88, NC88)</f>
        <v>0</v>
      </c>
      <c r="MY88" s="12">
        <f>MY$4 * IF(AND(MX$4=1,MR$20=1), NE88, NC88)</f>
        <v>0</v>
      </c>
      <c r="MZ88" s="12">
        <f>MZ$4 * IF(AND(MY$4=1,MR$20=1), NE88, NC88)</f>
        <v>0</v>
      </c>
      <c r="NB88" t="s">
        <v>1304</v>
      </c>
      <c r="NC88">
        <f>_xlfn.XLOOKUP(NB88,'KPI Impacts'!$B$2:$H$2,'KPI Impacts'!$B88:$H88)</f>
        <v>0</v>
      </c>
      <c r="ND88" s="35" t="s">
        <v>1304</v>
      </c>
      <c r="NE88">
        <f>_xlfn.XLOOKUP(ND88,'KPI Impacts'!$B$2:$H$2,'KPI Impacts'!$B88:$H88)</f>
        <v>0</v>
      </c>
      <c r="NH88" s="12">
        <f>NH$4*NS88</f>
        <v>0</v>
      </c>
      <c r="NI88" s="12">
        <f>NI$4 * IF(AND(NH$4=1,NH$20=1), NU88, NS88)</f>
        <v>0</v>
      </c>
      <c r="NJ88" s="12">
        <f>NJ$4 * IF(AND(NI$4=1,NH$20=1), NU88, NS88)</f>
        <v>0</v>
      </c>
      <c r="NK88" s="12">
        <f>NK$4 * IF(AND(NJ$4=1,NH$20=1), NU88, NS88)</f>
        <v>0</v>
      </c>
      <c r="NL88" s="12">
        <f>NL$4 * IF(AND(NK$4=1,NH$20=1), NU88, NS88)</f>
        <v>0</v>
      </c>
      <c r="NM88" s="12">
        <f>NM$4 * IF(AND(NL$4=1,NH$20=1), NU88, NS88)</f>
        <v>0</v>
      </c>
      <c r="NN88" s="12">
        <f>NN$4 * IF(AND(NM$4=1,NH$20=1), NU88, NS88)</f>
        <v>0</v>
      </c>
      <c r="NO88" s="12">
        <f>NO$4 * IF(AND(NN$4=1,NH$20=1), NU88, NS88)</f>
        <v>0</v>
      </c>
      <c r="NP88" s="12">
        <f>NP$4 * IF(AND(NO$4=1,NH$20=1), NU88, NS88)</f>
        <v>0</v>
      </c>
      <c r="NR88" t="s">
        <v>1304</v>
      </c>
      <c r="NS88">
        <f>_xlfn.XLOOKUP(NR88,'KPI Impacts'!$B$2:$H$2,'KPI Impacts'!$B88:$H88)</f>
        <v>0</v>
      </c>
      <c r="NT88" s="35" t="s">
        <v>1304</v>
      </c>
      <c r="NU88">
        <f>_xlfn.XLOOKUP(NT88,'KPI Impacts'!$B$2:$H$2,'KPI Impacts'!$B88:$H88)</f>
        <v>0</v>
      </c>
      <c r="NX88" s="12">
        <f>NX$4*OI88</f>
        <v>0</v>
      </c>
      <c r="NY88" s="12">
        <f>NY$4 * IF(AND(NX$4=1,NX$20=1), OK88, OI88)</f>
        <v>0</v>
      </c>
      <c r="NZ88" s="12">
        <f>NZ$4 * IF(AND(NY$4=1,NX$20=1), OK88, OI88)</f>
        <v>0</v>
      </c>
      <c r="OA88" s="12">
        <f>OA$4 * IF(AND(NZ$4=1,NX$20=1), OK88, OI88)</f>
        <v>0</v>
      </c>
      <c r="OB88" s="12">
        <f>OB$4 * IF(AND(OA$4=1,NX$20=1), OK88, OI88)</f>
        <v>0</v>
      </c>
      <c r="OC88" s="12">
        <f>OC$4 * IF(AND(OB$4=1,NX$20=1), OK88, OI88)</f>
        <v>0</v>
      </c>
      <c r="OD88" s="12">
        <f>OD$4 * IF(AND(OC$4=1,NX$20=1), OK88, OI88)</f>
        <v>0</v>
      </c>
      <c r="OE88" s="12">
        <f>OE$4 * IF(AND(OD$4=1,NX$20=1), OK88, OI88)</f>
        <v>0</v>
      </c>
      <c r="OF88" s="12">
        <f>OF$4 * IF(AND(OE$4=1,NX$20=1), OK88, OI88)</f>
        <v>0</v>
      </c>
      <c r="OH88" t="s">
        <v>1304</v>
      </c>
      <c r="OI88">
        <f>_xlfn.XLOOKUP(OH88,'KPI Impacts'!$B$2:$H$2,'KPI Impacts'!$B88:$H88)</f>
        <v>0</v>
      </c>
      <c r="OJ88" s="35" t="s">
        <v>1304</v>
      </c>
      <c r="OK88">
        <f>_xlfn.XLOOKUP(OJ88,'KPI Impacts'!$B$2:$H$2,'KPI Impacts'!$B88:$H88)</f>
        <v>0</v>
      </c>
    </row>
    <row r="89" spans="1:401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M89" s="6"/>
      <c r="N89" s="6"/>
      <c r="O89" s="9"/>
      <c r="P89" s="12"/>
      <c r="Q89" s="12"/>
      <c r="R89" s="12"/>
      <c r="S89" s="12"/>
      <c r="T89" s="12"/>
      <c r="U89" s="12"/>
      <c r="V89" s="12"/>
      <c r="W89" s="12"/>
      <c r="X89" s="12"/>
      <c r="AG89" s="9"/>
      <c r="AH89" s="12"/>
      <c r="AI89" s="12"/>
      <c r="AJ89" s="12"/>
      <c r="AK89" s="12"/>
      <c r="AL89" s="12"/>
      <c r="AM89" s="12"/>
      <c r="AN89" s="12"/>
      <c r="AO89" s="12"/>
      <c r="AP89" s="12"/>
      <c r="AY89" s="9"/>
      <c r="AZ89" s="12"/>
      <c r="BA89" s="12"/>
      <c r="BB89" s="12"/>
      <c r="BC89" s="12"/>
      <c r="BD89" s="12"/>
      <c r="BE89" s="12"/>
      <c r="BF89" s="12"/>
      <c r="BG89" s="12"/>
      <c r="BH89" s="12"/>
      <c r="BL89" s="9"/>
      <c r="BO89" s="9"/>
      <c r="BP89" s="12"/>
      <c r="BQ89" s="12"/>
      <c r="BR89" s="12"/>
      <c r="BS89" s="12"/>
      <c r="BT89" s="12"/>
      <c r="BU89" s="12"/>
      <c r="BV89" s="12"/>
      <c r="BW89" s="12"/>
      <c r="BX89" s="12"/>
      <c r="CB89" s="9"/>
      <c r="CE89" s="9"/>
      <c r="CF89" s="12"/>
      <c r="CG89" s="12"/>
      <c r="CH89" s="12"/>
      <c r="CI89" s="12"/>
      <c r="CJ89" s="12"/>
      <c r="CK89" s="12"/>
      <c r="CL89" s="12"/>
      <c r="CM89" s="12"/>
      <c r="CN89" s="12"/>
      <c r="CR89" s="9"/>
      <c r="CU89" s="9"/>
      <c r="CV89" s="12"/>
      <c r="CW89" s="12"/>
      <c r="CX89" s="12"/>
      <c r="CY89" s="12"/>
      <c r="CZ89" s="12"/>
      <c r="DA89" s="12"/>
      <c r="DB89" s="12"/>
      <c r="DC89" s="12"/>
      <c r="DD89" s="12"/>
      <c r="DH89" s="9"/>
      <c r="DK89" s="9"/>
      <c r="DL89" s="12"/>
      <c r="DM89" s="12"/>
      <c r="DN89" s="12"/>
      <c r="DO89" s="12"/>
      <c r="DP89" s="12"/>
      <c r="DQ89" s="12"/>
      <c r="DR89" s="12"/>
      <c r="DS89" s="12"/>
      <c r="DT89" s="12"/>
      <c r="DX89" s="9"/>
      <c r="EA89" s="9"/>
      <c r="EB89" s="12"/>
      <c r="EC89" s="12"/>
      <c r="ED89" s="12"/>
      <c r="EE89" s="12"/>
      <c r="EF89" s="12"/>
      <c r="EG89" s="12"/>
      <c r="EH89" s="12"/>
      <c r="EI89" s="12"/>
      <c r="EJ89" s="12"/>
      <c r="EN89" s="9"/>
      <c r="EQ89" s="9"/>
      <c r="ER89" s="12"/>
      <c r="ES89" s="12"/>
      <c r="ET89" s="12"/>
      <c r="EU89" s="12"/>
      <c r="EV89" s="12"/>
      <c r="EW89" s="12"/>
      <c r="EX89" s="12"/>
      <c r="EY89" s="12"/>
      <c r="EZ89" s="12"/>
      <c r="FD89" s="9"/>
      <c r="FG89" s="9"/>
      <c r="FH89" s="12"/>
      <c r="FI89" s="12"/>
      <c r="FJ89" s="12"/>
      <c r="FK89" s="12"/>
      <c r="FL89" s="12"/>
      <c r="FM89" s="12"/>
      <c r="FN89" s="12"/>
      <c r="FO89" s="12"/>
      <c r="FP89" s="12"/>
      <c r="FT89" s="9"/>
      <c r="FW89" s="9"/>
      <c r="FX89" s="12"/>
      <c r="FY89" s="12"/>
      <c r="FZ89" s="12"/>
      <c r="GA89" s="12"/>
      <c r="GB89" s="12"/>
      <c r="GC89" s="12"/>
      <c r="GD89" s="12"/>
      <c r="GE89" s="12"/>
      <c r="GF89" s="12"/>
      <c r="GJ89" s="9"/>
      <c r="GN89" s="12"/>
      <c r="GO89" s="12"/>
      <c r="GP89" s="12"/>
      <c r="GQ89" s="12"/>
      <c r="GR89" s="12"/>
      <c r="GS89" s="12"/>
      <c r="GT89" s="12"/>
      <c r="GU89" s="12"/>
      <c r="GV89" s="12"/>
      <c r="GZ89" s="9"/>
      <c r="HD89" s="12"/>
      <c r="HE89" s="12"/>
      <c r="HF89" s="12"/>
      <c r="HG89" s="12"/>
      <c r="HH89" s="12"/>
      <c r="HI89" s="12"/>
      <c r="HJ89" s="12"/>
      <c r="HK89" s="12"/>
      <c r="HL89" s="12"/>
      <c r="HP89" s="9"/>
      <c r="HT89" s="12"/>
      <c r="HU89" s="12"/>
      <c r="HV89" s="12"/>
      <c r="HW89" s="12"/>
      <c r="HX89" s="12"/>
      <c r="HY89" s="12"/>
      <c r="HZ89" s="12"/>
      <c r="IA89" s="12"/>
      <c r="IB89" s="12"/>
      <c r="IF89" s="9"/>
      <c r="IJ89" s="12"/>
      <c r="IK89" s="12"/>
      <c r="IL89" s="12"/>
      <c r="IM89" s="12"/>
      <c r="IN89" s="12"/>
      <c r="IO89" s="12"/>
      <c r="IP89" s="12"/>
      <c r="IQ89" s="12"/>
      <c r="IR89" s="12"/>
      <c r="IV89" s="9"/>
      <c r="IZ89" s="12"/>
      <c r="JA89" s="12"/>
      <c r="JB89" s="12"/>
      <c r="JC89" s="12"/>
      <c r="JD89" s="12"/>
      <c r="JE89" s="12"/>
      <c r="JF89" s="12"/>
      <c r="JG89" s="12"/>
      <c r="JH89" s="12"/>
      <c r="JL89" s="9"/>
      <c r="JP89" s="12"/>
      <c r="JQ89" s="12"/>
      <c r="JR89" s="12"/>
      <c r="JS89" s="12"/>
      <c r="JT89" s="12"/>
      <c r="JU89" s="12"/>
      <c r="JV89" s="12"/>
      <c r="JW89" s="12"/>
      <c r="JX89" s="12"/>
      <c r="KB89" s="9"/>
      <c r="KF89" s="12"/>
      <c r="KG89" s="12"/>
      <c r="KH89" s="12"/>
      <c r="KI89" s="12"/>
      <c r="KJ89" s="12"/>
      <c r="KK89" s="12"/>
      <c r="KL89" s="12"/>
      <c r="KM89" s="12"/>
      <c r="KN89" s="12"/>
      <c r="KR89" s="9"/>
      <c r="KV89" s="12"/>
      <c r="KW89" s="12"/>
      <c r="KX89" s="12"/>
      <c r="KY89" s="12"/>
      <c r="KZ89" s="12"/>
      <c r="LA89" s="12"/>
      <c r="LB89" s="12"/>
      <c r="LC89" s="12"/>
      <c r="LD89" s="12"/>
      <c r="LH89" s="9"/>
      <c r="LL89" s="12"/>
      <c r="LM89" s="12"/>
      <c r="LN89" s="12"/>
      <c r="LO89" s="12"/>
      <c r="LP89" s="12"/>
      <c r="LQ89" s="12"/>
      <c r="LR89" s="12"/>
      <c r="LS89" s="12"/>
      <c r="LT89" s="12"/>
      <c r="LX89" s="9"/>
      <c r="MB89" s="12"/>
      <c r="MC89" s="12"/>
      <c r="MD89" s="12"/>
      <c r="ME89" s="12"/>
      <c r="MF89" s="12"/>
      <c r="MG89" s="12"/>
      <c r="MH89" s="12"/>
      <c r="MI89" s="12"/>
      <c r="MJ89" s="12"/>
      <c r="MN89" s="9"/>
      <c r="MR89" s="12"/>
      <c r="MS89" s="12"/>
      <c r="MT89" s="12"/>
      <c r="MU89" s="12"/>
      <c r="MV89" s="12"/>
      <c r="MW89" s="12"/>
      <c r="MX89" s="12"/>
      <c r="MY89" s="12"/>
      <c r="MZ89" s="12"/>
      <c r="ND89" s="9"/>
      <c r="NH89" s="12"/>
      <c r="NI89" s="12"/>
      <c r="NJ89" s="12"/>
      <c r="NK89" s="12"/>
      <c r="NL89" s="12"/>
      <c r="NM89" s="12"/>
      <c r="NN89" s="12"/>
      <c r="NO89" s="12"/>
      <c r="NP89" s="12"/>
      <c r="NT89" s="9"/>
      <c r="NX89" s="12"/>
      <c r="NY89" s="12"/>
      <c r="NZ89" s="12"/>
      <c r="OA89" s="12"/>
      <c r="OB89" s="12"/>
      <c r="OC89" s="12"/>
      <c r="OD89" s="12"/>
      <c r="OE89" s="12"/>
      <c r="OF89" s="12"/>
      <c r="OJ89" s="9"/>
    </row>
    <row r="90" spans="1:401" x14ac:dyDescent="0.2">
      <c r="B90" s="12"/>
      <c r="M90" s="6"/>
      <c r="O90" s="9"/>
      <c r="P90" s="12"/>
      <c r="Q90" s="12"/>
      <c r="R90" s="12"/>
      <c r="S90" s="12"/>
      <c r="T90" s="12"/>
      <c r="U90" s="12"/>
      <c r="V90" s="12"/>
      <c r="W90" s="12"/>
      <c r="X90" s="12"/>
      <c r="AG90" s="9"/>
      <c r="AH90" s="12"/>
      <c r="AI90" s="12"/>
      <c r="AJ90" s="12"/>
      <c r="AK90" s="12"/>
      <c r="AL90" s="12"/>
      <c r="AM90" s="12"/>
      <c r="AN90" s="12"/>
      <c r="AO90" s="12"/>
      <c r="AP90" s="12"/>
      <c r="AY90" s="9"/>
      <c r="AZ90" s="12"/>
      <c r="BA90" s="12"/>
      <c r="BB90" s="12"/>
      <c r="BC90" s="12"/>
      <c r="BD90" s="12"/>
      <c r="BE90" s="12"/>
      <c r="BF90" s="12"/>
      <c r="BG90" s="12"/>
      <c r="BH90" s="12"/>
      <c r="BL90" s="9"/>
      <c r="BO90" s="9"/>
      <c r="BP90" s="12"/>
      <c r="BQ90" s="12"/>
      <c r="BR90" s="12"/>
      <c r="BS90" s="12"/>
      <c r="BT90" s="12"/>
      <c r="BU90" s="12"/>
      <c r="BV90" s="12"/>
      <c r="BW90" s="12"/>
      <c r="BX90" s="12"/>
      <c r="CB90" s="9"/>
      <c r="CE90" s="9"/>
      <c r="CF90" s="12"/>
      <c r="CG90" s="12"/>
      <c r="CH90" s="12"/>
      <c r="CI90" s="12"/>
      <c r="CJ90" s="12"/>
      <c r="CK90" s="12"/>
      <c r="CL90" s="12"/>
      <c r="CM90" s="12"/>
      <c r="CN90" s="12"/>
      <c r="CR90" s="9"/>
      <c r="CU90" s="9"/>
      <c r="CV90" s="12"/>
      <c r="CW90" s="12"/>
      <c r="CX90" s="12"/>
      <c r="CY90" s="12"/>
      <c r="CZ90" s="12"/>
      <c r="DA90" s="12"/>
      <c r="DB90" s="12"/>
      <c r="DC90" s="12"/>
      <c r="DD90" s="12"/>
      <c r="DH90" s="9"/>
      <c r="DK90" s="9"/>
      <c r="DL90" s="12"/>
      <c r="DM90" s="12"/>
      <c r="DN90" s="12"/>
      <c r="DO90" s="12"/>
      <c r="DP90" s="12"/>
      <c r="DQ90" s="12"/>
      <c r="DR90" s="12"/>
      <c r="DS90" s="12"/>
      <c r="DT90" s="12"/>
      <c r="DX90" s="9"/>
      <c r="EA90" s="9"/>
      <c r="EB90" s="12"/>
      <c r="EC90" s="12"/>
      <c r="ED90" s="12"/>
      <c r="EE90" s="12"/>
      <c r="EF90" s="12"/>
      <c r="EG90" s="12"/>
      <c r="EH90" s="12"/>
      <c r="EI90" s="12"/>
      <c r="EJ90" s="12"/>
      <c r="EN90" s="9"/>
      <c r="EQ90" s="9"/>
      <c r="ER90" s="12"/>
      <c r="ES90" s="12"/>
      <c r="ET90" s="12"/>
      <c r="EU90" s="12"/>
      <c r="EV90" s="12"/>
      <c r="EW90" s="12"/>
      <c r="EX90" s="12"/>
      <c r="EY90" s="12"/>
      <c r="EZ90" s="12"/>
      <c r="FD90" s="9"/>
      <c r="FG90" s="9"/>
      <c r="FH90" s="12"/>
      <c r="FI90" s="12"/>
      <c r="FJ90" s="12"/>
      <c r="FK90" s="12"/>
      <c r="FL90" s="12"/>
      <c r="FM90" s="12"/>
      <c r="FN90" s="12"/>
      <c r="FO90" s="12"/>
      <c r="FP90" s="12"/>
      <c r="FT90" s="9"/>
      <c r="FW90" s="9"/>
      <c r="FX90" s="12"/>
      <c r="FY90" s="12"/>
      <c r="FZ90" s="12"/>
      <c r="GA90" s="12"/>
      <c r="GB90" s="12"/>
      <c r="GC90" s="12"/>
      <c r="GD90" s="12"/>
      <c r="GE90" s="12"/>
      <c r="GF90" s="12"/>
      <c r="GJ90" s="9"/>
      <c r="GN90" s="12"/>
      <c r="GO90" s="12"/>
      <c r="GP90" s="12"/>
      <c r="GQ90" s="12"/>
      <c r="GR90" s="12"/>
      <c r="GS90" s="12"/>
      <c r="GT90" s="12"/>
      <c r="GU90" s="12"/>
      <c r="GV90" s="12"/>
      <c r="GZ90" s="9"/>
      <c r="HD90" s="12"/>
      <c r="HE90" s="12"/>
      <c r="HF90" s="12"/>
      <c r="HG90" s="12"/>
      <c r="HH90" s="12"/>
      <c r="HI90" s="12"/>
      <c r="HJ90" s="12"/>
      <c r="HK90" s="12"/>
      <c r="HL90" s="12"/>
      <c r="HP90" s="9"/>
      <c r="HT90" s="12"/>
      <c r="HU90" s="12"/>
      <c r="HV90" s="12"/>
      <c r="HW90" s="12"/>
      <c r="HX90" s="12"/>
      <c r="HY90" s="12"/>
      <c r="HZ90" s="12"/>
      <c r="IA90" s="12"/>
      <c r="IB90" s="12"/>
      <c r="IF90" s="9"/>
      <c r="IJ90" s="12"/>
      <c r="IK90" s="12"/>
      <c r="IL90" s="12"/>
      <c r="IM90" s="12"/>
      <c r="IN90" s="12"/>
      <c r="IO90" s="12"/>
      <c r="IP90" s="12"/>
      <c r="IQ90" s="12"/>
      <c r="IR90" s="12"/>
      <c r="IV90" s="9"/>
      <c r="IZ90" s="12"/>
      <c r="JA90" s="12"/>
      <c r="JB90" s="12"/>
      <c r="JC90" s="12"/>
      <c r="JD90" s="12"/>
      <c r="JE90" s="12"/>
      <c r="JF90" s="12"/>
      <c r="JG90" s="12"/>
      <c r="JH90" s="12"/>
      <c r="JL90" s="9"/>
      <c r="JP90" s="12"/>
      <c r="JQ90" s="12"/>
      <c r="JR90" s="12"/>
      <c r="JS90" s="12"/>
      <c r="JT90" s="12"/>
      <c r="JU90" s="12"/>
      <c r="JV90" s="12"/>
      <c r="JW90" s="12"/>
      <c r="JX90" s="12"/>
      <c r="KB90" s="9"/>
      <c r="KF90" s="12"/>
      <c r="KG90" s="12"/>
      <c r="KH90" s="12"/>
      <c r="KI90" s="12"/>
      <c r="KJ90" s="12"/>
      <c r="KK90" s="12"/>
      <c r="KL90" s="12"/>
      <c r="KM90" s="12"/>
      <c r="KN90" s="12"/>
      <c r="KR90" s="9"/>
      <c r="KV90" s="12"/>
      <c r="KW90" s="12"/>
      <c r="KX90" s="12"/>
      <c r="KY90" s="12"/>
      <c r="KZ90" s="12"/>
      <c r="LA90" s="12"/>
      <c r="LB90" s="12"/>
      <c r="LC90" s="12"/>
      <c r="LD90" s="12"/>
      <c r="LH90" s="9"/>
      <c r="LL90" s="12"/>
      <c r="LM90" s="12"/>
      <c r="LN90" s="12"/>
      <c r="LO90" s="12"/>
      <c r="LP90" s="12"/>
      <c r="LQ90" s="12"/>
      <c r="LR90" s="12"/>
      <c r="LS90" s="12"/>
      <c r="LT90" s="12"/>
      <c r="LX90" s="9"/>
      <c r="MB90" s="12"/>
      <c r="MC90" s="12"/>
      <c r="MD90" s="12"/>
      <c r="ME90" s="12"/>
      <c r="MF90" s="12"/>
      <c r="MG90" s="12"/>
      <c r="MH90" s="12"/>
      <c r="MI90" s="12"/>
      <c r="MJ90" s="12"/>
      <c r="MN90" s="9"/>
      <c r="MR90" s="12"/>
      <c r="MS90" s="12"/>
      <c r="MT90" s="12"/>
      <c r="MU90" s="12"/>
      <c r="MV90" s="12"/>
      <c r="MW90" s="12"/>
      <c r="MX90" s="12"/>
      <c r="MY90" s="12"/>
      <c r="MZ90" s="12"/>
      <c r="ND90" s="9"/>
      <c r="NH90" s="12"/>
      <c r="NI90" s="12"/>
      <c r="NJ90" s="12"/>
      <c r="NK90" s="12"/>
      <c r="NL90" s="12"/>
      <c r="NM90" s="12"/>
      <c r="NN90" s="12"/>
      <c r="NO90" s="12"/>
      <c r="NP90" s="12"/>
      <c r="NT90" s="9"/>
      <c r="NX90" s="12"/>
      <c r="NY90" s="12"/>
      <c r="NZ90" s="12"/>
      <c r="OA90" s="12"/>
      <c r="OB90" s="12"/>
      <c r="OC90" s="12"/>
      <c r="OD90" s="12"/>
      <c r="OE90" s="12"/>
      <c r="OF90" s="12"/>
      <c r="OJ90" s="9"/>
    </row>
    <row r="91" spans="1:401" x14ac:dyDescent="0.2">
      <c r="M91" s="6"/>
      <c r="O91" s="5"/>
      <c r="P91" s="12"/>
      <c r="Q91" s="12"/>
      <c r="R91" s="12"/>
      <c r="S91" s="12"/>
      <c r="T91" s="12"/>
      <c r="U91" s="12"/>
      <c r="V91" s="12"/>
      <c r="W91" s="12"/>
      <c r="X91" s="12"/>
      <c r="AG91" s="5"/>
      <c r="AH91" s="12"/>
      <c r="AI91" s="12"/>
      <c r="AJ91" s="12"/>
      <c r="AK91" s="12"/>
      <c r="AL91" s="12"/>
      <c r="AM91" s="12"/>
      <c r="AN91" s="12"/>
      <c r="AO91" s="12"/>
      <c r="AP91" s="12"/>
      <c r="AY91" s="9"/>
      <c r="AZ91" s="12"/>
      <c r="BA91" s="12"/>
      <c r="BB91" s="12"/>
      <c r="BC91" s="12"/>
      <c r="BD91" s="12"/>
      <c r="BE91" s="12"/>
      <c r="BF91" s="12"/>
      <c r="BG91" s="12"/>
      <c r="BH91" s="12"/>
      <c r="BL91" s="9"/>
      <c r="BO91" s="9"/>
      <c r="BP91" s="12"/>
      <c r="BQ91" s="12"/>
      <c r="BR91" s="12"/>
      <c r="BS91" s="12"/>
      <c r="BT91" s="12"/>
      <c r="BU91" s="12"/>
      <c r="BV91" s="12"/>
      <c r="BW91" s="12"/>
      <c r="BX91" s="12"/>
      <c r="CB91" s="9"/>
      <c r="CE91" s="9"/>
      <c r="CF91" s="12"/>
      <c r="CG91" s="12"/>
      <c r="CH91" s="12"/>
      <c r="CI91" s="12"/>
      <c r="CJ91" s="12"/>
      <c r="CK91" s="12"/>
      <c r="CL91" s="12"/>
      <c r="CM91" s="12"/>
      <c r="CN91" s="12"/>
      <c r="CR91" s="9"/>
      <c r="CU91" s="9"/>
      <c r="CV91" s="12"/>
      <c r="CW91" s="12"/>
      <c r="CX91" s="12"/>
      <c r="CY91" s="12"/>
      <c r="CZ91" s="12"/>
      <c r="DA91" s="12"/>
      <c r="DB91" s="12"/>
      <c r="DC91" s="12"/>
      <c r="DD91" s="12"/>
      <c r="DH91" s="9"/>
      <c r="DK91" s="9"/>
      <c r="DL91" s="12"/>
      <c r="DM91" s="12"/>
      <c r="DN91" s="12"/>
      <c r="DO91" s="12"/>
      <c r="DP91" s="12"/>
      <c r="DQ91" s="12"/>
      <c r="DR91" s="12"/>
      <c r="DS91" s="12"/>
      <c r="DT91" s="12"/>
      <c r="DX91" s="9"/>
      <c r="EA91" s="9"/>
      <c r="EB91" s="12"/>
      <c r="EC91" s="12"/>
      <c r="ED91" s="12"/>
      <c r="EE91" s="12"/>
      <c r="EF91" s="12"/>
      <c r="EG91" s="12"/>
      <c r="EH91" s="12"/>
      <c r="EI91" s="12"/>
      <c r="EJ91" s="12"/>
      <c r="EN91" s="9"/>
      <c r="EQ91" s="9"/>
      <c r="ER91" s="12"/>
      <c r="ES91" s="12"/>
      <c r="ET91" s="12"/>
      <c r="EU91" s="12"/>
      <c r="EV91" s="12"/>
      <c r="EW91" s="12"/>
      <c r="EX91" s="12"/>
      <c r="EY91" s="12"/>
      <c r="EZ91" s="12"/>
      <c r="FD91" s="9"/>
      <c r="FG91" s="9"/>
      <c r="FH91" s="12"/>
      <c r="FI91" s="12"/>
      <c r="FJ91" s="12"/>
      <c r="FK91" s="12"/>
      <c r="FL91" s="12"/>
      <c r="FM91" s="12"/>
      <c r="FN91" s="12"/>
      <c r="FO91" s="12"/>
      <c r="FP91" s="12"/>
      <c r="FT91" s="9"/>
      <c r="FW91" s="9"/>
      <c r="FX91" s="12"/>
      <c r="FY91" s="12"/>
      <c r="FZ91" s="12"/>
      <c r="GA91" s="12"/>
      <c r="GB91" s="12"/>
      <c r="GC91" s="12"/>
      <c r="GD91" s="12"/>
      <c r="GE91" s="12"/>
      <c r="GF91" s="12"/>
      <c r="GJ91" s="9"/>
      <c r="GN91" s="12"/>
      <c r="GO91" s="12"/>
      <c r="GP91" s="12"/>
      <c r="GQ91" s="12"/>
      <c r="GR91" s="12"/>
      <c r="GS91" s="12"/>
      <c r="GT91" s="12"/>
      <c r="GU91" s="12"/>
      <c r="GV91" s="12"/>
      <c r="GZ91" s="9"/>
      <c r="HD91" s="12"/>
      <c r="HE91" s="12"/>
      <c r="HF91" s="12"/>
      <c r="HG91" s="12"/>
      <c r="HH91" s="12"/>
      <c r="HI91" s="12"/>
      <c r="HJ91" s="12"/>
      <c r="HK91" s="12"/>
      <c r="HL91" s="12"/>
      <c r="HP91" s="9"/>
      <c r="HT91" s="12"/>
      <c r="HU91" s="12"/>
      <c r="HV91" s="12"/>
      <c r="HW91" s="12"/>
      <c r="HX91" s="12"/>
      <c r="HY91" s="12"/>
      <c r="HZ91" s="12"/>
      <c r="IA91" s="12"/>
      <c r="IB91" s="12"/>
      <c r="IF91" s="9"/>
      <c r="IJ91" s="12"/>
      <c r="IK91" s="12"/>
      <c r="IL91" s="12"/>
      <c r="IM91" s="12"/>
      <c r="IN91" s="12"/>
      <c r="IO91" s="12"/>
      <c r="IP91" s="12"/>
      <c r="IQ91" s="12"/>
      <c r="IR91" s="12"/>
      <c r="IV91" s="9"/>
      <c r="IZ91" s="12"/>
      <c r="JA91" s="12"/>
      <c r="JB91" s="12"/>
      <c r="JC91" s="12"/>
      <c r="JD91" s="12"/>
      <c r="JE91" s="12"/>
      <c r="JF91" s="12"/>
      <c r="JG91" s="12"/>
      <c r="JH91" s="12"/>
      <c r="JL91" s="9"/>
      <c r="JP91" s="12"/>
      <c r="JQ91" s="12"/>
      <c r="JR91" s="12"/>
      <c r="JS91" s="12"/>
      <c r="JT91" s="12"/>
      <c r="JU91" s="12"/>
      <c r="JV91" s="12"/>
      <c r="JW91" s="12"/>
      <c r="JX91" s="12"/>
      <c r="KB91" s="9"/>
      <c r="KF91" s="12"/>
      <c r="KG91" s="12"/>
      <c r="KH91" s="12"/>
      <c r="KI91" s="12"/>
      <c r="KJ91" s="12"/>
      <c r="KK91" s="12"/>
      <c r="KL91" s="12"/>
      <c r="KM91" s="12"/>
      <c r="KN91" s="12"/>
      <c r="KR91" s="9"/>
      <c r="KV91" s="12"/>
      <c r="KW91" s="12"/>
      <c r="KX91" s="12"/>
      <c r="KY91" s="12"/>
      <c r="KZ91" s="12"/>
      <c r="LA91" s="12"/>
      <c r="LB91" s="12"/>
      <c r="LC91" s="12"/>
      <c r="LD91" s="12"/>
      <c r="LH91" s="9"/>
      <c r="LL91" s="12"/>
      <c r="LM91" s="12"/>
      <c r="LN91" s="12"/>
      <c r="LO91" s="12"/>
      <c r="LP91" s="12"/>
      <c r="LQ91" s="12"/>
      <c r="LR91" s="12"/>
      <c r="LS91" s="12"/>
      <c r="LT91" s="12"/>
      <c r="LX91" s="9"/>
      <c r="MB91" s="12"/>
      <c r="MC91" s="12"/>
      <c r="MD91" s="12"/>
      <c r="ME91" s="12"/>
      <c r="MF91" s="12"/>
      <c r="MG91" s="12"/>
      <c r="MH91" s="12"/>
      <c r="MI91" s="12"/>
      <c r="MJ91" s="12"/>
      <c r="MN91" s="9"/>
      <c r="MR91" s="12"/>
      <c r="MS91" s="12"/>
      <c r="MT91" s="12"/>
      <c r="MU91" s="12"/>
      <c r="MV91" s="12"/>
      <c r="MW91" s="12"/>
      <c r="MX91" s="12"/>
      <c r="MY91" s="12"/>
      <c r="MZ91" s="12"/>
      <c r="ND91" s="9"/>
      <c r="NH91" s="12"/>
      <c r="NI91" s="12"/>
      <c r="NJ91" s="12"/>
      <c r="NK91" s="12"/>
      <c r="NL91" s="12"/>
      <c r="NM91" s="12"/>
      <c r="NN91" s="12"/>
      <c r="NO91" s="12"/>
      <c r="NP91" s="12"/>
      <c r="NT91" s="9"/>
      <c r="NX91" s="12"/>
      <c r="NY91" s="12"/>
      <c r="NZ91" s="12"/>
      <c r="OA91" s="12"/>
      <c r="OB91" s="12"/>
      <c r="OC91" s="12"/>
      <c r="OD91" s="12"/>
      <c r="OE91" s="12"/>
      <c r="OF91" s="12"/>
      <c r="OJ91" s="9"/>
    </row>
    <row r="92" spans="1:401" x14ac:dyDescent="0.2">
      <c r="A92" s="5" t="s">
        <v>52</v>
      </c>
      <c r="B92" s="12"/>
      <c r="M92" s="6"/>
      <c r="P92" s="12"/>
      <c r="Q92" s="12"/>
      <c r="R92" s="12"/>
      <c r="S92" s="12"/>
      <c r="T92" s="12"/>
      <c r="U92" s="12"/>
      <c r="V92" s="12"/>
      <c r="W92" s="12"/>
      <c r="X92" s="12"/>
      <c r="AH92" s="12"/>
      <c r="AI92" s="12"/>
      <c r="AJ92" s="12"/>
      <c r="AK92" s="12"/>
      <c r="AL92" s="12"/>
      <c r="AM92" s="12"/>
      <c r="AN92" s="12"/>
      <c r="AO92" s="12"/>
      <c r="AP92" s="12"/>
      <c r="AY92" s="5"/>
      <c r="AZ92" s="12"/>
      <c r="BA92" s="12"/>
      <c r="BB92" s="12"/>
      <c r="BC92" s="12"/>
      <c r="BD92" s="12"/>
      <c r="BE92" s="12"/>
      <c r="BF92" s="12"/>
      <c r="BG92" s="12"/>
      <c r="BH92" s="12"/>
      <c r="BL92" s="9"/>
      <c r="BO92" s="5"/>
      <c r="BP92" s="12"/>
      <c r="BQ92" s="12"/>
      <c r="BR92" s="12"/>
      <c r="BS92" s="12"/>
      <c r="BT92" s="12"/>
      <c r="BU92" s="12"/>
      <c r="BV92" s="12"/>
      <c r="BW92" s="12"/>
      <c r="BX92" s="12"/>
      <c r="CB92" s="9"/>
      <c r="CE92" s="5"/>
      <c r="CF92" s="12"/>
      <c r="CG92" s="12"/>
      <c r="CH92" s="12"/>
      <c r="CI92" s="12"/>
      <c r="CJ92" s="12"/>
      <c r="CK92" s="12"/>
      <c r="CL92" s="12"/>
      <c r="CM92" s="12"/>
      <c r="CN92" s="12"/>
      <c r="CR92" s="9"/>
      <c r="CU92" s="5"/>
      <c r="CV92" s="12"/>
      <c r="CW92" s="12"/>
      <c r="CX92" s="12"/>
      <c r="CY92" s="12"/>
      <c r="CZ92" s="12"/>
      <c r="DA92" s="12"/>
      <c r="DB92" s="12"/>
      <c r="DC92" s="12"/>
      <c r="DD92" s="12"/>
      <c r="DH92" s="9"/>
      <c r="DK92" s="5"/>
      <c r="DL92" s="12"/>
      <c r="DM92" s="12"/>
      <c r="DN92" s="12"/>
      <c r="DO92" s="12"/>
      <c r="DP92" s="12"/>
      <c r="DQ92" s="12"/>
      <c r="DR92" s="12"/>
      <c r="DS92" s="12"/>
      <c r="DT92" s="12"/>
      <c r="DX92" s="9"/>
      <c r="EA92" s="5"/>
      <c r="EB92" s="12"/>
      <c r="EC92" s="12"/>
      <c r="ED92" s="12"/>
      <c r="EE92" s="12"/>
      <c r="EF92" s="12"/>
      <c r="EG92" s="12"/>
      <c r="EH92" s="12"/>
      <c r="EI92" s="12"/>
      <c r="EJ92" s="12"/>
      <c r="EN92" s="9"/>
      <c r="EQ92" s="5"/>
      <c r="ER92" s="12"/>
      <c r="ES92" s="12"/>
      <c r="ET92" s="12"/>
      <c r="EU92" s="12"/>
      <c r="EV92" s="12"/>
      <c r="EW92" s="12"/>
      <c r="EX92" s="12"/>
      <c r="EY92" s="12"/>
      <c r="EZ92" s="12"/>
      <c r="FD92" s="9"/>
      <c r="FG92" s="5"/>
      <c r="FH92" s="12"/>
      <c r="FI92" s="12"/>
      <c r="FJ92" s="12"/>
      <c r="FK92" s="12"/>
      <c r="FL92" s="12"/>
      <c r="FM92" s="12"/>
      <c r="FN92" s="12"/>
      <c r="FO92" s="12"/>
      <c r="FP92" s="12"/>
      <c r="FT92" s="9"/>
      <c r="FW92" s="5"/>
      <c r="FX92" s="12"/>
      <c r="FY92" s="12"/>
      <c r="FZ92" s="12"/>
      <c r="GA92" s="12"/>
      <c r="GB92" s="12"/>
      <c r="GC92" s="12"/>
      <c r="GD92" s="12"/>
      <c r="GE92" s="12"/>
      <c r="GF92" s="12"/>
      <c r="GJ92" s="9"/>
      <c r="GN92" s="12"/>
      <c r="GO92" s="12"/>
      <c r="GP92" s="12"/>
      <c r="GQ92" s="12"/>
      <c r="GR92" s="12"/>
      <c r="GS92" s="12"/>
      <c r="GT92" s="12"/>
      <c r="GU92" s="12"/>
      <c r="GV92" s="12"/>
      <c r="GZ92" s="9"/>
      <c r="HD92" s="12"/>
      <c r="HE92" s="12"/>
      <c r="HF92" s="12"/>
      <c r="HG92" s="12"/>
      <c r="HH92" s="12"/>
      <c r="HI92" s="12"/>
      <c r="HJ92" s="12"/>
      <c r="HK92" s="12"/>
      <c r="HL92" s="12"/>
      <c r="HP92" s="9"/>
      <c r="HT92" s="12"/>
      <c r="HU92" s="12"/>
      <c r="HV92" s="12"/>
      <c r="HW92" s="12"/>
      <c r="HX92" s="12"/>
      <c r="HY92" s="12"/>
      <c r="HZ92" s="12"/>
      <c r="IA92" s="12"/>
      <c r="IB92" s="12"/>
      <c r="IF92" s="9"/>
      <c r="IJ92" s="12"/>
      <c r="IK92" s="12"/>
      <c r="IL92" s="12"/>
      <c r="IM92" s="12"/>
      <c r="IN92" s="12"/>
      <c r="IO92" s="12"/>
      <c r="IP92" s="12"/>
      <c r="IQ92" s="12"/>
      <c r="IR92" s="12"/>
      <c r="IV92" s="9"/>
      <c r="IZ92" s="12"/>
      <c r="JA92" s="12"/>
      <c r="JB92" s="12"/>
      <c r="JC92" s="12"/>
      <c r="JD92" s="12"/>
      <c r="JE92" s="12"/>
      <c r="JF92" s="12"/>
      <c r="JG92" s="12"/>
      <c r="JH92" s="12"/>
      <c r="JL92" s="9"/>
      <c r="JP92" s="12"/>
      <c r="JQ92" s="12"/>
      <c r="JR92" s="12"/>
      <c r="JS92" s="12"/>
      <c r="JT92" s="12"/>
      <c r="JU92" s="12"/>
      <c r="JV92" s="12"/>
      <c r="JW92" s="12"/>
      <c r="JX92" s="12"/>
      <c r="KB92" s="9"/>
      <c r="KF92" s="12"/>
      <c r="KG92" s="12"/>
      <c r="KH92" s="12"/>
      <c r="KI92" s="12"/>
      <c r="KJ92" s="12"/>
      <c r="KK92" s="12"/>
      <c r="KL92" s="12"/>
      <c r="KM92" s="12"/>
      <c r="KN92" s="12"/>
      <c r="KR92" s="9"/>
      <c r="KV92" s="12"/>
      <c r="KW92" s="12"/>
      <c r="KX92" s="12"/>
      <c r="KY92" s="12"/>
      <c r="KZ92" s="12"/>
      <c r="LA92" s="12"/>
      <c r="LB92" s="12"/>
      <c r="LC92" s="12"/>
      <c r="LD92" s="12"/>
      <c r="LH92" s="9"/>
      <c r="LL92" s="12"/>
      <c r="LM92" s="12"/>
      <c r="LN92" s="12"/>
      <c r="LO92" s="12"/>
      <c r="LP92" s="12"/>
      <c r="LQ92" s="12"/>
      <c r="LR92" s="12"/>
      <c r="LS92" s="12"/>
      <c r="LT92" s="12"/>
      <c r="LX92" s="9"/>
      <c r="MB92" s="12"/>
      <c r="MC92" s="12"/>
      <c r="MD92" s="12"/>
      <c r="ME92" s="12"/>
      <c r="MF92" s="12"/>
      <c r="MG92" s="12"/>
      <c r="MH92" s="12"/>
      <c r="MI92" s="12"/>
      <c r="MJ92" s="12"/>
      <c r="MN92" s="9"/>
      <c r="MR92" s="12"/>
      <c r="MS92" s="12"/>
      <c r="MT92" s="12"/>
      <c r="MU92" s="12"/>
      <c r="MV92" s="12"/>
      <c r="MW92" s="12"/>
      <c r="MX92" s="12"/>
      <c r="MY92" s="12"/>
      <c r="MZ92" s="12"/>
      <c r="ND92" s="9"/>
      <c r="NH92" s="12"/>
      <c r="NI92" s="12"/>
      <c r="NJ92" s="12"/>
      <c r="NK92" s="12"/>
      <c r="NL92" s="12"/>
      <c r="NM92" s="12"/>
      <c r="NN92" s="12"/>
      <c r="NO92" s="12"/>
      <c r="NP92" s="12"/>
      <c r="NT92" s="9"/>
      <c r="NX92" s="12"/>
      <c r="NY92" s="12"/>
      <c r="NZ92" s="12"/>
      <c r="OA92" s="12"/>
      <c r="OB92" s="12"/>
      <c r="OC92" s="12"/>
      <c r="OD92" s="12"/>
      <c r="OE92" s="12"/>
      <c r="OF92" s="12"/>
      <c r="OJ92" s="9"/>
    </row>
    <row r="93" spans="1:401" x14ac:dyDescent="0.2">
      <c r="A93" t="s">
        <v>56</v>
      </c>
      <c r="B93" s="12">
        <f t="shared" ref="B93" si="674">P93+AH93+AZ93+BP93+CF93+CV93+DL93+EB93+ER93+FH93+FX93+GN93+HD93+HT93+IJ93+IZ93+JP93+KF93+KV93+LL93+MB93+MR93+NH93+NX93</f>
        <v>0</v>
      </c>
      <c r="C93" s="12">
        <f t="shared" ref="C93" si="675">Q93+AI93+BA93+BQ93+CG93+CW93+DM93+EC93+ES93+FI93+FY93+GO93+HE93+HU93+IK93+JA93+JQ93+KG93+KW93+LM93+MC93+MS93+NI93+NY93</f>
        <v>0</v>
      </c>
      <c r="D93" s="12">
        <f t="shared" ref="D93" si="676">R93+AJ93+BB93+BR93+CH93+CX93+DN93+ED93+ET93+FJ93+FZ93+GP93+HF93+HV93+IL93+JB93+JR93+KH93+KX93+LN93+MD93+MT93+NJ93+NZ93</f>
        <v>0</v>
      </c>
      <c r="E93" s="12">
        <f t="shared" ref="E93" si="677">S93+AK93+BC93+BS93+CI93+CY93+DO93+EE93+EU93+FK93+GA93+GQ93+HG93+HW93+IM93+JC93+JS93+KI93+KY93+LO93+ME93+MU93+NK93+OA93</f>
        <v>0</v>
      </c>
      <c r="F93" s="12">
        <f t="shared" ref="F93" si="678">T93+AL93+BD93+BT93+CJ93+CZ93+DP93+EF93+EV93+FL93+GB93+GR93+HH93+HX93+IN93+JD93+JT93+KJ93+KZ93+LP93+MF93+MV93+NL93+OB93</f>
        <v>0</v>
      </c>
      <c r="G93" s="12">
        <f t="shared" ref="G93" si="679">U93+AM93+BE93+BU93+CK93+DA93+DQ93+EG93+EW93+FM93+GC93+GS93+HI93+HY93+IO93+JE93+JU93+KK93+LA93+LQ93+MG93+MW93+NM93+OC93</f>
        <v>0</v>
      </c>
      <c r="H93" s="12">
        <f t="shared" ref="H93" si="680">V93+AN93+BF93+BV93+CL93+DB93+DR93+EH93+EX93+FN93+GD93+GT93+HJ93+HZ93+IP93+JF93+JV93+KL93+LB93+LR93+MH93+MX93+NN93+OD93</f>
        <v>0</v>
      </c>
      <c r="I93" s="12">
        <f t="shared" ref="I93" si="681">W93+AO93+BG93+BW93+CM93+DC93+DS93+EI93+EY93+FO93+GE93+GU93+HK93+IA93+IQ93+JG93+JW93+KM93+LC93+LS93+MI93+MY93+NO93+OE93</f>
        <v>0</v>
      </c>
      <c r="J93" s="12">
        <f t="shared" ref="J93" si="682">X93+AP93+BH93+BX93+CN93+DD93+DT93+EJ93+EZ93+FP93+GF93+GV93+HL93+IB93+IR93+JH93+JX93+KN93+LD93+LT93+MJ93+MZ93+NP93+OF93</f>
        <v>0</v>
      </c>
      <c r="M93" s="6"/>
      <c r="N93" s="6"/>
      <c r="P93" s="12" cm="1">
        <f t="array" ref="P93">_xlfn.SWITCH(P$4, 0,0, 1, AA93,2,AC93,3,AE93,0)</f>
        <v>0</v>
      </c>
      <c r="Q93" s="12" cm="1">
        <f t="array" ref="Q93">_xlfn.SWITCH(Q$4, 0,0, 1, AA93,2,AC93,3,AE93,0)+P93</f>
        <v>0</v>
      </c>
      <c r="R93" s="12" cm="1">
        <f t="array" ref="R93">_xlfn.SWITCH(R$4, 0,0, 1, AA93,2,AC93,3,AE93,0)+Q93</f>
        <v>0</v>
      </c>
      <c r="S93" s="12" cm="1">
        <f t="array" ref="S93">_xlfn.SWITCH(S$4, 0,0, 1, AA93,2,AC93,3,AE93,0)+R93</f>
        <v>0</v>
      </c>
      <c r="T93" s="12" cm="1">
        <f t="array" ref="T93">_xlfn.SWITCH(T$4, 0,0, 1, AA93,2,AC93,3,AE93,0)+S93</f>
        <v>0</v>
      </c>
      <c r="U93" s="12" cm="1">
        <f t="array" ref="U93">_xlfn.SWITCH(U$4, 0,0, 1, AA93,2,AC93,3,AE93,0)+T93</f>
        <v>0</v>
      </c>
      <c r="V93" s="12" cm="1">
        <f t="array" ref="V93">_xlfn.SWITCH(V$4, 0,0, 1, AA93,2,AC93,3,AE93,0)+U93</f>
        <v>0</v>
      </c>
      <c r="W93" s="12" cm="1">
        <f t="array" ref="W93">_xlfn.SWITCH(W$4, 0,0, 1, AA93,2,AC93,3,AE93,0)+V93</f>
        <v>0</v>
      </c>
      <c r="X93" s="12" cm="1">
        <f t="array" ref="X93">_xlfn.SWITCH(X$4, 0,0, 1, AA93,2,AC93,3,AE93,0)+W93</f>
        <v>0</v>
      </c>
      <c r="Z93" t="s">
        <v>1304</v>
      </c>
      <c r="AA93">
        <f>_xlfn.XLOOKUP(Z93,'KPI Impacts'!$K$2:$Q$2,'KPI Impacts'!$K93:$Q93)</f>
        <v>0</v>
      </c>
      <c r="AB93" t="s">
        <v>1304</v>
      </c>
      <c r="AC93">
        <f>_xlfn.XLOOKUP(AB93,'KPI Impacts'!$K$2:$Q$2,'KPI Impacts'!$K93:$Q93)</f>
        <v>0</v>
      </c>
      <c r="AD93" t="s">
        <v>1304</v>
      </c>
      <c r="AE93">
        <f>_xlfn.XLOOKUP(AD93,'KPI Impacts'!$K$2:$Q$2,'KPI Impacts'!$K93:$Q93)</f>
        <v>0</v>
      </c>
      <c r="AH93" s="12" cm="1">
        <f t="array" ref="AH93">_xlfn.SWITCH(AH$4, 0,0, 1, AS93,2,AU93,3,AW93,0)</f>
        <v>0</v>
      </c>
      <c r="AI93" s="12" cm="1">
        <f t="array" ref="AI93">_xlfn.SWITCH(AI$4, 0,0, 1, AS93,2,AU93,3,AW93,0)+AH93</f>
        <v>0</v>
      </c>
      <c r="AJ93" s="12" cm="1">
        <f t="array" ref="AJ93">_xlfn.SWITCH(AJ$4, 0,0, 1, AS93,2,AU93,3,AW93,0)+AI93</f>
        <v>0</v>
      </c>
      <c r="AK93" s="12" cm="1">
        <f t="array" ref="AK93">_xlfn.SWITCH(AK$4, 0,0, 1, AS93,2,AU93,3,AW93,0)+AJ93</f>
        <v>0</v>
      </c>
      <c r="AL93" s="12" cm="1">
        <f t="array" ref="AL93">_xlfn.SWITCH(AL$4, 0,0, 1, AS93,2,AU93,3,AW93,0)+AK93</f>
        <v>0</v>
      </c>
      <c r="AM93" s="12" cm="1">
        <f t="array" ref="AM93">_xlfn.SWITCH(AM$4, 0,0, 1, AS93,2,AU93,3,AW93,0)+AL93</f>
        <v>0</v>
      </c>
      <c r="AN93" s="12" cm="1">
        <f t="array" ref="AN93">_xlfn.SWITCH(AN$4, 0,0, 1, AS93,2,AU93,3,AW93,0)+AM93</f>
        <v>0</v>
      </c>
      <c r="AO93" s="12" cm="1">
        <f t="array" ref="AO93">_xlfn.SWITCH(AO$4, 0,0, 1, AS93,2,AU93,3,AW93,0)+AN93</f>
        <v>0</v>
      </c>
      <c r="AP93" s="12" cm="1">
        <f t="array" ref="AP93">_xlfn.SWITCH(AP$4, 0,0, 1, AS93,2,AU93,3,AW93,0)+AO93</f>
        <v>0</v>
      </c>
      <c r="AR93" t="s">
        <v>1304</v>
      </c>
      <c r="AS93">
        <f>_xlfn.XLOOKUP(AR93,'KPI Impacts'!$K$2:$Q$2,'KPI Impacts'!$K93:$Q93)</f>
        <v>0</v>
      </c>
      <c r="AT93" t="s">
        <v>1304</v>
      </c>
      <c r="AU93">
        <f>_xlfn.XLOOKUP(AT93,'KPI Impacts'!$K$2:$Q$2,'KPI Impacts'!$K93:$Q93)</f>
        <v>0</v>
      </c>
      <c r="AV93" t="s">
        <v>1304</v>
      </c>
      <c r="AW93">
        <f>_xlfn.XLOOKUP(AV93,'KPI Impacts'!$K$2:$Q$2,'KPI Impacts'!$K93:$Q93)</f>
        <v>0</v>
      </c>
      <c r="AZ93" s="12">
        <f>AZ$4*BK93</f>
        <v>0</v>
      </c>
      <c r="BA93" s="12">
        <f>BA$4 * IF(AND(AZ$4=1,AZ$20=1), BM93, BK93)</f>
        <v>0</v>
      </c>
      <c r="BB93" s="12">
        <f>BB$4 * IF(AND(BA$4=1,AZ$20=1), BM93, BK93)</f>
        <v>0</v>
      </c>
      <c r="BC93" s="12">
        <f>BC$4 * IF(AND(BB$4=1,AZ$20=1), BM93, BK93)</f>
        <v>0</v>
      </c>
      <c r="BD93" s="12">
        <f>BD$4 * IF(AND(BC$4=1,AZ$20=1), BM93, BK93)</f>
        <v>0</v>
      </c>
      <c r="BE93" s="12">
        <f>BE$4 * IF(AND(BD$4=1,AZ$20=1), BM93, BK93)</f>
        <v>0</v>
      </c>
      <c r="BF93" s="12">
        <f>BF$4 * IF(AND(BE$4=1,AZ$20=1), BM93, BK93)</f>
        <v>0</v>
      </c>
      <c r="BG93" s="12">
        <f>BG$4 * IF(AND(BF$4=1,AZ$20=1), BM93, BK93)</f>
        <v>0</v>
      </c>
      <c r="BH93" s="12">
        <f>BH$4 * IF(AND(BG$4=1,AZ$20=1), BM93, BK93)</f>
        <v>0</v>
      </c>
      <c r="BJ93" t="s">
        <v>1304</v>
      </c>
      <c r="BK93">
        <f>_xlfn.XLOOKUP(BJ93,'KPI Impacts'!$B$2:$H$2,'KPI Impacts'!$B93:$H93)</f>
        <v>0</v>
      </c>
      <c r="BL93" s="35" t="s">
        <v>1304</v>
      </c>
      <c r="BM93">
        <f>_xlfn.XLOOKUP(BL93,'KPI Impacts'!$B$2:$H$2,'KPI Impacts'!$B93:$H93)</f>
        <v>0</v>
      </c>
      <c r="BP93" s="12">
        <f>BP$4*CA93</f>
        <v>0</v>
      </c>
      <c r="BQ93" s="12">
        <f>BQ$4 * IF(AND(BP$4=1,BP$20=1), CC93, CA93)</f>
        <v>0</v>
      </c>
      <c r="BR93" s="12">
        <f>BR$4 * IF(AND(BQ$4=1,BP$20=1), CC93, CA93)</f>
        <v>0</v>
      </c>
      <c r="BS93" s="12">
        <f>BS$4 * IF(AND(BR$4=1,BP$20=1), CC93, CA93)</f>
        <v>0</v>
      </c>
      <c r="BT93" s="12">
        <f>BT$4 * IF(AND(BS$4=1,BP$20=1), CC93, CA93)</f>
        <v>0</v>
      </c>
      <c r="BU93" s="12">
        <f>BU$4 * IF(AND(BT$4=1,BP$20=1), CC93, CA93)</f>
        <v>0</v>
      </c>
      <c r="BV93" s="12">
        <f>BV$4 * IF(AND(BU$4=1,BP$20=1), CC93, CA93)</f>
        <v>0</v>
      </c>
      <c r="BW93" s="12">
        <f>BW$4 * IF(AND(BV$4=1,BP$20=1), CC93, CA93)</f>
        <v>0</v>
      </c>
      <c r="BX93" s="12">
        <f>BX$4 * IF(AND(BW$4=1,BP$20=1), CC93, CA93)</f>
        <v>0</v>
      </c>
      <c r="BZ93" t="s">
        <v>1304</v>
      </c>
      <c r="CA93">
        <f>_xlfn.XLOOKUP(BZ93,'KPI Impacts'!$B$2:$H$2,'KPI Impacts'!$B93:$H93)</f>
        <v>0</v>
      </c>
      <c r="CB93" s="35" t="s">
        <v>1304</v>
      </c>
      <c r="CC93">
        <f>_xlfn.XLOOKUP(CB93,'KPI Impacts'!$B$2:$H$2,'KPI Impacts'!$B93:$H93)</f>
        <v>0</v>
      </c>
      <c r="CF93" s="12">
        <f>CF$4*CQ93</f>
        <v>0</v>
      </c>
      <c r="CG93" s="12">
        <f>CG$4 * IF(AND(CF$4=1,CF$20=1), CS93, CQ93)</f>
        <v>0</v>
      </c>
      <c r="CH93" s="12">
        <f>CH$4 * IF(AND(CG$4=1,CF$20=1), CS93, CQ93)</f>
        <v>0</v>
      </c>
      <c r="CI93" s="12">
        <f>CI$4 * IF(AND(CH$4=1,CF$20=1), CS93, CQ93)</f>
        <v>0</v>
      </c>
      <c r="CJ93" s="12">
        <f>CJ$4 * IF(AND(CI$4=1,CF$20=1), CS93, CQ93)</f>
        <v>0</v>
      </c>
      <c r="CK93" s="12">
        <f>CK$4 * IF(AND(CJ$4=1,CF$20=1), CS93, CQ93)</f>
        <v>0</v>
      </c>
      <c r="CL93" s="12">
        <f>CL$4 * IF(AND(CK$4=1,CF$20=1), CS93, CQ93)</f>
        <v>0</v>
      </c>
      <c r="CM93" s="12">
        <f>CM$4 * IF(AND(CL$4=1,CF$20=1), CS93, CQ93)</f>
        <v>0</v>
      </c>
      <c r="CN93" s="12">
        <f>CN$4 * IF(AND(CM$4=1,CF$20=1), CS93, CQ93)</f>
        <v>0</v>
      </c>
      <c r="CP93" t="s">
        <v>1304</v>
      </c>
      <c r="CQ93">
        <f>_xlfn.XLOOKUP(CP93,'KPI Impacts'!$B$2:$H$2,'KPI Impacts'!$B93:$H93)</f>
        <v>0</v>
      </c>
      <c r="CR93" s="35" t="s">
        <v>1304</v>
      </c>
      <c r="CS93">
        <f>_xlfn.XLOOKUP(CR93,'KPI Impacts'!$B$2:$H$2,'KPI Impacts'!$B93:$H93)</f>
        <v>0</v>
      </c>
      <c r="CV93" s="12">
        <f>CV$4*DG93</f>
        <v>0</v>
      </c>
      <c r="CW93" s="12">
        <f>CW$4 * IF(AND(CV$4=1,CV$20=1), DI93, DG93)</f>
        <v>0</v>
      </c>
      <c r="CX93" s="12">
        <f>CX$4 * IF(AND(CW$4=1,CV$20=1), DI93, DG93)</f>
        <v>0</v>
      </c>
      <c r="CY93" s="12">
        <f>CY$4 * IF(AND(CX$4=1,CV$20=1), DI93, DG93)</f>
        <v>0</v>
      </c>
      <c r="CZ93" s="12">
        <f>CZ$4 * IF(AND(CY$4=1,CV$20=1), DI93, DG93)</f>
        <v>0</v>
      </c>
      <c r="DA93" s="12">
        <f>DA$4 * IF(AND(CZ$4=1,CV$20=1), DI93, DG93)</f>
        <v>0</v>
      </c>
      <c r="DB93" s="12">
        <f>DB$4 * IF(AND(DA$4=1,CV$20=1), DI93, DG93)</f>
        <v>0</v>
      </c>
      <c r="DC93" s="12">
        <f>DC$4 * IF(AND(DB$4=1,CV$20=1), DI93, DG93)</f>
        <v>0</v>
      </c>
      <c r="DD93" s="12">
        <f>DD$4 * IF(AND(DC$4=1,CV$20=1), DI93, DG93)</f>
        <v>0</v>
      </c>
      <c r="DF93" t="s">
        <v>1304</v>
      </c>
      <c r="DG93">
        <f>_xlfn.XLOOKUP(DF93,'KPI Impacts'!$B$2:$H$2,'KPI Impacts'!$B93:$H93)</f>
        <v>0</v>
      </c>
      <c r="DH93" s="35" t="s">
        <v>1304</v>
      </c>
      <c r="DI93">
        <f>_xlfn.XLOOKUP(DH93,'KPI Impacts'!$B$2:$H$2,'KPI Impacts'!$B93:$H93)</f>
        <v>0</v>
      </c>
      <c r="DL93" s="12">
        <f>DL$4*DW93</f>
        <v>0</v>
      </c>
      <c r="DM93" s="12">
        <f>DM$4 * IF(AND(DL$4=1,DL$20=1), DY93, DW93)</f>
        <v>0</v>
      </c>
      <c r="DN93" s="12">
        <f>DN$4 * IF(AND(DM$4=1,DL$20=1), DY93, DW93)</f>
        <v>0</v>
      </c>
      <c r="DO93" s="12">
        <f>DO$4 * IF(AND(DN$4=1,DL$20=1), DY93, DW93)</f>
        <v>0</v>
      </c>
      <c r="DP93" s="12">
        <f>DP$4 * IF(AND(DO$4=1,DL$20=1), DY93, DW93)</f>
        <v>0</v>
      </c>
      <c r="DQ93" s="12">
        <f>DQ$4 * IF(AND(DP$4=1,DL$20=1), DY93, DW93)</f>
        <v>0</v>
      </c>
      <c r="DR93" s="12">
        <f>DR$4 * IF(AND(DQ$4=1,DL$20=1), DY93, DW93)</f>
        <v>0</v>
      </c>
      <c r="DS93" s="12">
        <f>DS$4 * IF(AND(DR$4=1,DL$20=1), DY93, DW93)</f>
        <v>0</v>
      </c>
      <c r="DT93" s="12">
        <f>DT$4 * IF(AND(DS$4=1,DL$20=1), DY93, DW93)</f>
        <v>0</v>
      </c>
      <c r="DV93" t="s">
        <v>1304</v>
      </c>
      <c r="DW93">
        <f>_xlfn.XLOOKUP(DV93,'KPI Impacts'!$B$2:$H$2,'KPI Impacts'!$B93:$H93)</f>
        <v>0</v>
      </c>
      <c r="DX93" s="35" t="s">
        <v>1304</v>
      </c>
      <c r="DY93">
        <f>_xlfn.XLOOKUP(DX93,'KPI Impacts'!$B$2:$H$2,'KPI Impacts'!$B93:$H93)</f>
        <v>0</v>
      </c>
      <c r="EB93" s="12">
        <f>EB$4*EM93</f>
        <v>0</v>
      </c>
      <c r="EC93" s="12">
        <f>EC$4 * IF(AND(EB$4=1,EB$20=1), EO93, EM93)</f>
        <v>0</v>
      </c>
      <c r="ED93" s="12">
        <f>ED$4 * IF(AND(EC$4=1,EB$20=1), EO93, EM93)</f>
        <v>0</v>
      </c>
      <c r="EE93" s="12">
        <f>EE$4 * IF(AND(ED$4=1,EB$20=1), EO93, EM93)</f>
        <v>0</v>
      </c>
      <c r="EF93" s="12">
        <f>EF$4 * IF(AND(EE$4=1,EB$20=1), EO93, EM93)</f>
        <v>0</v>
      </c>
      <c r="EG93" s="12">
        <f>EG$4 * IF(AND(EF$4=1,EB$20=1), EO93, EM93)</f>
        <v>0</v>
      </c>
      <c r="EH93" s="12">
        <f>EH$4 * IF(AND(EG$4=1,EB$20=1), EO93, EM93)</f>
        <v>0</v>
      </c>
      <c r="EI93" s="12">
        <f>EI$4 * IF(AND(EH$4=1,EB$20=1), EO93, EM93)</f>
        <v>0</v>
      </c>
      <c r="EJ93" s="12">
        <f>EJ$4 * IF(AND(EI$4=1,EB$20=1), EO93, EM93)</f>
        <v>0</v>
      </c>
      <c r="EL93" t="s">
        <v>1304</v>
      </c>
      <c r="EM93">
        <f>_xlfn.XLOOKUP(EL93,'KPI Impacts'!$B$2:$H$2,'KPI Impacts'!$B93:$H93)</f>
        <v>0</v>
      </c>
      <c r="EN93" s="35" t="s">
        <v>1304</v>
      </c>
      <c r="EO93">
        <f>_xlfn.XLOOKUP(EN93,'KPI Impacts'!$B$2:$H$2,'KPI Impacts'!$B93:$H93)</f>
        <v>0</v>
      </c>
      <c r="ER93" s="12">
        <f>ER$4*FC93</f>
        <v>0</v>
      </c>
      <c r="ES93" s="12">
        <f>ES$4 * IF(AND(ER$4=1,ER$20=1), FE93, FC93)</f>
        <v>0</v>
      </c>
      <c r="ET93" s="12">
        <f>ET$4 * IF(AND(ES$4=1,ER$20=1), FE93, FC93)</f>
        <v>0</v>
      </c>
      <c r="EU93" s="12">
        <f>EU$4 * IF(AND(ET$4=1,ER$20=1), FE93, FC93)</f>
        <v>0</v>
      </c>
      <c r="EV93" s="12">
        <f>EV$4 * IF(AND(EU$4=1,ER$20=1), FE93, FC93)</f>
        <v>0</v>
      </c>
      <c r="EW93" s="12">
        <f>EW$4 * IF(AND(EV$4=1,ER$20=1), FE93, FC93)</f>
        <v>0</v>
      </c>
      <c r="EX93" s="12">
        <f>EX$4 * IF(AND(EW$4=1,ER$20=1), FE93, FC93)</f>
        <v>0</v>
      </c>
      <c r="EY93" s="12">
        <f>EY$4 * IF(AND(EX$4=1,ER$20=1), FE93, FC93)</f>
        <v>0</v>
      </c>
      <c r="EZ93" s="12">
        <f>EZ$4 * IF(AND(EY$4=1,ER$20=1), FE93, FC93)</f>
        <v>0</v>
      </c>
      <c r="FB93" t="s">
        <v>1304</v>
      </c>
      <c r="FC93">
        <f>_xlfn.XLOOKUP(FB93,'KPI Impacts'!$B$2:$H$2,'KPI Impacts'!$B93:$H93)</f>
        <v>0</v>
      </c>
      <c r="FD93" s="35" t="s">
        <v>1304</v>
      </c>
      <c r="FE93">
        <f>_xlfn.XLOOKUP(FD93,'KPI Impacts'!$B$2:$H$2,'KPI Impacts'!$B93:$H93)</f>
        <v>0</v>
      </c>
      <c r="FH93" s="12">
        <f>FH$4*FS93</f>
        <v>0</v>
      </c>
      <c r="FI93" s="12">
        <f>FI$4 * IF(AND(FH$4=1,FH$20=1), FU93, FS93)</f>
        <v>0</v>
      </c>
      <c r="FJ93" s="12">
        <f>FJ$4 * IF(AND(FI$4=1,FH$20=1), FU93, FS93)</f>
        <v>0</v>
      </c>
      <c r="FK93" s="12">
        <f>FK$4 * IF(AND(FJ$4=1,FH$20=1), FU93, FS93)</f>
        <v>0</v>
      </c>
      <c r="FL93" s="12">
        <f>FL$4 * IF(AND(FK$4=1,FH$20=1), FU93, FS93)</f>
        <v>0</v>
      </c>
      <c r="FM93" s="12">
        <f>FM$4 * IF(AND(FL$4=1,FH$20=1), FU93, FS93)</f>
        <v>0</v>
      </c>
      <c r="FN93" s="12">
        <f>FN$4 * IF(AND(FM$4=1,FH$20=1), FU93, FS93)</f>
        <v>0</v>
      </c>
      <c r="FO93" s="12">
        <f>FO$4 * IF(AND(FN$4=1,FH$20=1), FU93, FS93)</f>
        <v>0</v>
      </c>
      <c r="FP93" s="12">
        <f>FP$4 * IF(AND(FO$4=1,FH$20=1), FU93, FS93)</f>
        <v>0</v>
      </c>
      <c r="FR93" t="s">
        <v>1304</v>
      </c>
      <c r="FS93">
        <f>_xlfn.XLOOKUP(FR93,'KPI Impacts'!$B$2:$H$2,'KPI Impacts'!$B93:$H93)</f>
        <v>0</v>
      </c>
      <c r="FT93" s="35" t="s">
        <v>1304</v>
      </c>
      <c r="FU93">
        <f>_xlfn.XLOOKUP(FT93,'KPI Impacts'!$B$2:$H$2,'KPI Impacts'!$B93:$H93)</f>
        <v>0</v>
      </c>
      <c r="FX93" s="12">
        <f>FX$4*GI93</f>
        <v>0</v>
      </c>
      <c r="FY93" s="12">
        <f>FY$4 * IF(AND(FX$4=1,FX$20=1), GK93, GI93)</f>
        <v>0</v>
      </c>
      <c r="FZ93" s="12">
        <f>FZ$4 * IF(AND(FY$4=1,FX$20=1), GK93, GI93)</f>
        <v>0</v>
      </c>
      <c r="GA93" s="12">
        <f>GA$4 * IF(AND(FZ$4=1,FX$20=1), GK93, GI93)</f>
        <v>0</v>
      </c>
      <c r="GB93" s="12">
        <f>GB$4 * IF(AND(GA$4=1,FX$20=1), GK93, GI93)</f>
        <v>0</v>
      </c>
      <c r="GC93" s="12">
        <f>GC$4 * IF(AND(GB$4=1,FX$20=1), GK93, GI93)</f>
        <v>0</v>
      </c>
      <c r="GD93" s="12">
        <f>GD$4 * IF(AND(GC$4=1,FX$20=1), GK93, GI93)</f>
        <v>0</v>
      </c>
      <c r="GE93" s="12">
        <f>GE$4 * IF(AND(GD$4=1,FX$20=1), GK93, GI93)</f>
        <v>0</v>
      </c>
      <c r="GF93" s="12">
        <f>GF$4 * IF(AND(GE$4=1,FX$20=1), GK93, GI93)</f>
        <v>0</v>
      </c>
      <c r="GH93" t="s">
        <v>1304</v>
      </c>
      <c r="GI93">
        <f>_xlfn.XLOOKUP(GH93,'KPI Impacts'!$B$2:$H$2,'KPI Impacts'!$B93:$H93)</f>
        <v>0</v>
      </c>
      <c r="GJ93" s="35" t="s">
        <v>1304</v>
      </c>
      <c r="GK93">
        <f>_xlfn.XLOOKUP(GJ93,'KPI Impacts'!$B$2:$H$2,'KPI Impacts'!$B93:$H93)</f>
        <v>0</v>
      </c>
      <c r="GN93" s="12">
        <f>GN$4*GY93</f>
        <v>0</v>
      </c>
      <c r="GO93" s="12">
        <f>GO$4 * IF(AND(GN$4=1,GN$20=1), HA93, GY93)</f>
        <v>0</v>
      </c>
      <c r="GP93" s="12">
        <f>GP$4 * IF(AND(GO$4=1,GN$20=1), HA93, GY93)</f>
        <v>0</v>
      </c>
      <c r="GQ93" s="12">
        <f>GQ$4 * IF(AND(GP$4=1,GN$20=1), HA93, GY93)</f>
        <v>0</v>
      </c>
      <c r="GR93" s="12">
        <f>GR$4 * IF(AND(GQ$4=1,GN$20=1), HA93, GY93)</f>
        <v>0</v>
      </c>
      <c r="GS93" s="12">
        <f>GS$4 * IF(AND(GR$4=1,GN$20=1), HA93, GY93)</f>
        <v>0</v>
      </c>
      <c r="GT93" s="12">
        <f>GT$4 * IF(AND(GS$4=1,GN$20=1), HA93, GY93)</f>
        <v>0</v>
      </c>
      <c r="GU93" s="12">
        <f>GU$4 * IF(AND(GT$4=1,GN$20=1), HA93, GY93)</f>
        <v>0</v>
      </c>
      <c r="GV93" s="12">
        <f>GV$4 * IF(AND(GU$4=1,GN$20=1), HA93, GY93)</f>
        <v>0</v>
      </c>
      <c r="GX93" t="s">
        <v>1304</v>
      </c>
      <c r="GY93">
        <f>_xlfn.XLOOKUP(GX93,'KPI Impacts'!$B$2:$H$2,'KPI Impacts'!$B93:$H93)</f>
        <v>0</v>
      </c>
      <c r="GZ93" s="35" t="s">
        <v>1304</v>
      </c>
      <c r="HA93">
        <f>_xlfn.XLOOKUP(GZ93,'KPI Impacts'!$B$2:$H$2,'KPI Impacts'!$B93:$H93)</f>
        <v>0</v>
      </c>
      <c r="HD93" s="12">
        <f>HD$4*HO93</f>
        <v>0</v>
      </c>
      <c r="HE93" s="12">
        <f>HE$4 * IF(AND(HD$4=1,HD$20=1), HQ93, HO93)</f>
        <v>0</v>
      </c>
      <c r="HF93" s="12">
        <f>HF$4 * IF(AND(HE$4=1,HD$20=1), HQ93, HO93)</f>
        <v>0</v>
      </c>
      <c r="HG93" s="12">
        <f>HG$4 * IF(AND(HF$4=1,HD$20=1), HQ93, HO93)</f>
        <v>0</v>
      </c>
      <c r="HH93" s="12">
        <f>HH$4 * IF(AND(HG$4=1,HD$20=1), HQ93, HO93)</f>
        <v>0</v>
      </c>
      <c r="HI93" s="12">
        <f>HI$4 * IF(AND(HH$4=1,HD$20=1), HQ93, HO93)</f>
        <v>0</v>
      </c>
      <c r="HJ93" s="12">
        <f>HJ$4 * IF(AND(HI$4=1,HD$20=1), HQ93, HO93)</f>
        <v>0</v>
      </c>
      <c r="HK93" s="12">
        <f>HK$4 * IF(AND(HJ$4=1,HD$20=1), HQ93, HO93)</f>
        <v>0</v>
      </c>
      <c r="HL93" s="12">
        <f>HL$4 * IF(AND(HK$4=1,HD$20=1), HQ93, HO93)</f>
        <v>0</v>
      </c>
      <c r="HN93" t="s">
        <v>1304</v>
      </c>
      <c r="HO93">
        <f>_xlfn.XLOOKUP(HN93,'KPI Impacts'!$B$2:$H$2,'KPI Impacts'!$B93:$H93)</f>
        <v>0</v>
      </c>
      <c r="HP93" s="35" t="s">
        <v>1304</v>
      </c>
      <c r="HQ93">
        <f>_xlfn.XLOOKUP(HP93,'KPI Impacts'!$B$2:$H$2,'KPI Impacts'!$B93:$H93)</f>
        <v>0</v>
      </c>
      <c r="HT93" s="12">
        <f>HT$4*IE93</f>
        <v>0</v>
      </c>
      <c r="HU93" s="12">
        <f>HU$4 * IF(AND(HT$4=1,HT$20=1), IG93, IE93)</f>
        <v>0</v>
      </c>
      <c r="HV93" s="12">
        <f>HV$4 * IF(AND(HU$4=1,HT$20=1), IG93, IE93)</f>
        <v>0</v>
      </c>
      <c r="HW93" s="12">
        <f>HW$4 * IF(AND(HV$4=1,HT$20=1), IG93, IE93)</f>
        <v>0</v>
      </c>
      <c r="HX93" s="12">
        <f>HX$4 * IF(AND(HW$4=1,HT$20=1), IG93, IE93)</f>
        <v>0</v>
      </c>
      <c r="HY93" s="12">
        <f>HY$4 * IF(AND(HX$4=1,HT$20=1), IG93, IE93)</f>
        <v>0</v>
      </c>
      <c r="HZ93" s="12">
        <f>HZ$4 * IF(AND(HY$4=1,HT$20=1), IG93, IE93)</f>
        <v>0</v>
      </c>
      <c r="IA93" s="12">
        <f>IA$4 * IF(AND(HZ$4=1,HT$20=1), IG93, IE93)</f>
        <v>0</v>
      </c>
      <c r="IB93" s="12">
        <f>IB$4 * IF(AND(IA$4=1,HT$20=1), IG93, IE93)</f>
        <v>0</v>
      </c>
      <c r="ID93" t="s">
        <v>1304</v>
      </c>
      <c r="IE93">
        <f>_xlfn.XLOOKUP(ID93,'KPI Impacts'!$B$2:$H$2,'KPI Impacts'!$B93:$H93)</f>
        <v>0</v>
      </c>
      <c r="IF93" s="35" t="s">
        <v>1304</v>
      </c>
      <c r="IG93">
        <f>_xlfn.XLOOKUP(IF93,'KPI Impacts'!$B$2:$H$2,'KPI Impacts'!$B93:$H93)</f>
        <v>0</v>
      </c>
      <c r="IJ93" s="12">
        <f>IJ$4*IU93</f>
        <v>0</v>
      </c>
      <c r="IK93" s="12">
        <f>IK$4 * IF(AND(IJ$4=1,IJ$20=1), IW93, IU93)</f>
        <v>0</v>
      </c>
      <c r="IL93" s="12">
        <f>IL$4 * IF(AND(IK$4=1,IJ$20=1), IW93, IU93)</f>
        <v>0</v>
      </c>
      <c r="IM93" s="12">
        <f>IM$4 * IF(AND(IL$4=1,IJ$20=1), IW93, IU93)</f>
        <v>0</v>
      </c>
      <c r="IN93" s="12">
        <f>IN$4 * IF(AND(IM$4=1,IJ$20=1), IW93, IU93)</f>
        <v>0</v>
      </c>
      <c r="IO93" s="12">
        <f>IO$4 * IF(AND(IN$4=1,IJ$20=1), IW93, IU93)</f>
        <v>0</v>
      </c>
      <c r="IP93" s="12">
        <f>IP$4 * IF(AND(IO$4=1,IJ$20=1), IW93, IU93)</f>
        <v>0</v>
      </c>
      <c r="IQ93" s="12">
        <f>IQ$4 * IF(AND(IP$4=1,IJ$20=1), IW93, IU93)</f>
        <v>0</v>
      </c>
      <c r="IR93" s="12">
        <f>IR$4 * IF(AND(IQ$4=1,IJ$20=1), IW93, IU93)</f>
        <v>0</v>
      </c>
      <c r="IT93" t="s">
        <v>1304</v>
      </c>
      <c r="IU93">
        <f>_xlfn.XLOOKUP(IT93,'KPI Impacts'!$B$2:$H$2,'KPI Impacts'!$B93:$H93)</f>
        <v>0</v>
      </c>
      <c r="IV93" s="35" t="s">
        <v>1304</v>
      </c>
      <c r="IW93">
        <f>_xlfn.XLOOKUP(IV93,'KPI Impacts'!$B$2:$H$2,'KPI Impacts'!$B93:$H93)</f>
        <v>0</v>
      </c>
      <c r="IZ93" s="12">
        <f>IZ$4*JK93</f>
        <v>0</v>
      </c>
      <c r="JA93" s="12">
        <f>JA$4 * IF(AND(IZ$4=1,IZ$20=1), JM93, JK93)</f>
        <v>0</v>
      </c>
      <c r="JB93" s="12">
        <f>JB$4 * IF(AND(JA$4=1,IZ$20=1), JM93, JK93)</f>
        <v>0</v>
      </c>
      <c r="JC93" s="12">
        <f>JC$4 * IF(AND(JB$4=1,IZ$20=1), JM93, JK93)</f>
        <v>0</v>
      </c>
      <c r="JD93" s="12">
        <f>JD$4 * IF(AND(JC$4=1,IZ$20=1), JM93, JK93)</f>
        <v>0</v>
      </c>
      <c r="JE93" s="12">
        <f>JE$4 * IF(AND(JD$4=1,IZ$20=1), JM93, JK93)</f>
        <v>0</v>
      </c>
      <c r="JF93" s="12">
        <f>JF$4 * IF(AND(JE$4=1,IZ$20=1), JM93, JK93)</f>
        <v>0</v>
      </c>
      <c r="JG93" s="12">
        <f>JG$4 * IF(AND(JF$4=1,IZ$20=1), JM93, JK93)</f>
        <v>0</v>
      </c>
      <c r="JH93" s="12">
        <f>JH$4 * IF(AND(JG$4=1,IZ$20=1), JM93, JK93)</f>
        <v>0</v>
      </c>
      <c r="JJ93" t="s">
        <v>1304</v>
      </c>
      <c r="JK93">
        <f>_xlfn.XLOOKUP(JJ93,'KPI Impacts'!$B$2:$H$2,'KPI Impacts'!$B93:$H93)</f>
        <v>0</v>
      </c>
      <c r="JL93" s="35" t="s">
        <v>1304</v>
      </c>
      <c r="JM93">
        <f>_xlfn.XLOOKUP(JL93,'KPI Impacts'!$B$2:$H$2,'KPI Impacts'!$B93:$H93)</f>
        <v>0</v>
      </c>
      <c r="JP93" s="12">
        <f>JP$4*KA93</f>
        <v>0</v>
      </c>
      <c r="JQ93" s="12">
        <f>JQ$4 * IF(AND(JP$4=1,JP$20=1), KC93, KA93)</f>
        <v>0</v>
      </c>
      <c r="JR93" s="12">
        <f>JR$4 * IF(AND(JQ$4=1,JP$20=1), KC93, KA93)</f>
        <v>0</v>
      </c>
      <c r="JS93" s="12">
        <f>JS$4 * IF(AND(JR$4=1,JP$20=1), KC93, KA93)</f>
        <v>0</v>
      </c>
      <c r="JT93" s="12">
        <f>JT$4 * IF(AND(JS$4=1,JP$20=1), KC93, KA93)</f>
        <v>0</v>
      </c>
      <c r="JU93" s="12">
        <f>JU$4 * IF(AND(JT$4=1,JP$20=1), KC93, KA93)</f>
        <v>0</v>
      </c>
      <c r="JV93" s="12">
        <f>JV$4 * IF(AND(JU$4=1,JP$20=1), KC93, KA93)</f>
        <v>0</v>
      </c>
      <c r="JW93" s="12">
        <f>JW$4 * IF(AND(JV$4=1,JP$20=1), KC93, KA93)</f>
        <v>0</v>
      </c>
      <c r="JX93" s="12">
        <f>JX$4 * IF(AND(JW$4=1,JP$20=1), KC93, KA93)</f>
        <v>0</v>
      </c>
      <c r="JZ93" t="s">
        <v>1304</v>
      </c>
      <c r="KA93">
        <f>_xlfn.XLOOKUP(JZ93,'KPI Impacts'!$B$2:$H$2,'KPI Impacts'!$B93:$H93)</f>
        <v>0</v>
      </c>
      <c r="KB93" s="35" t="s">
        <v>1304</v>
      </c>
      <c r="KC93">
        <f>_xlfn.XLOOKUP(KB93,'KPI Impacts'!$B$2:$H$2,'KPI Impacts'!$B93:$H93)</f>
        <v>0</v>
      </c>
      <c r="KF93" s="12">
        <f>KF$4*KQ93</f>
        <v>0</v>
      </c>
      <c r="KG93" s="12">
        <f>KG$4 * IF(AND(KF$4=1,KF$20=1), KS93, KQ93)</f>
        <v>0</v>
      </c>
      <c r="KH93" s="12">
        <f>KH$4 * IF(AND(KG$4=1,KF$20=1), KS93, KQ93)</f>
        <v>0</v>
      </c>
      <c r="KI93" s="12">
        <f>KI$4 * IF(AND(KH$4=1,KF$20=1), KS93, KQ93)</f>
        <v>0</v>
      </c>
      <c r="KJ93" s="12">
        <f>KJ$4 * IF(AND(KI$4=1,KF$20=1), KS93, KQ93)</f>
        <v>0</v>
      </c>
      <c r="KK93" s="12">
        <f>KK$4 * IF(AND(KJ$4=1,KF$20=1), KS93, KQ93)</f>
        <v>0</v>
      </c>
      <c r="KL93" s="12">
        <f>KL$4 * IF(AND(KK$4=1,KF$20=1), KS93, KQ93)</f>
        <v>0</v>
      </c>
      <c r="KM93" s="12">
        <f>KM$4 * IF(AND(KL$4=1,KF$20=1), KS93, KQ93)</f>
        <v>0</v>
      </c>
      <c r="KN93" s="12">
        <f>KN$4 * IF(AND(KM$4=1,KF$20=1), KS93, KQ93)</f>
        <v>0</v>
      </c>
      <c r="KP93" t="s">
        <v>1304</v>
      </c>
      <c r="KQ93">
        <f>_xlfn.XLOOKUP(KP93,'KPI Impacts'!$B$2:$H$2,'KPI Impacts'!$B93:$H93)</f>
        <v>0</v>
      </c>
      <c r="KR93" s="35" t="s">
        <v>1304</v>
      </c>
      <c r="KS93">
        <f>_xlfn.XLOOKUP(KR93,'KPI Impacts'!$B$2:$H$2,'KPI Impacts'!$B93:$H93)</f>
        <v>0</v>
      </c>
      <c r="KV93" s="12">
        <f>KV$4*LG93</f>
        <v>0</v>
      </c>
      <c r="KW93" s="12">
        <f>KW$4 * IF(AND(KV$4=1,KV$20=1), LI93, LG93)</f>
        <v>0</v>
      </c>
      <c r="KX93" s="12">
        <f>KX$4 * IF(AND(KW$4=1,KV$20=1), LI93, LG93)</f>
        <v>0</v>
      </c>
      <c r="KY93" s="12">
        <f>KY$4 * IF(AND(KX$4=1,KV$20=1), LI93, LG93)</f>
        <v>0</v>
      </c>
      <c r="KZ93" s="12">
        <f>KZ$4 * IF(AND(KY$4=1,KV$20=1), LI93, LG93)</f>
        <v>0</v>
      </c>
      <c r="LA93" s="12">
        <f>LA$4 * IF(AND(KZ$4=1,KV$20=1), LI93, LG93)</f>
        <v>0</v>
      </c>
      <c r="LB93" s="12">
        <f>LB$4 * IF(AND(LA$4=1,KV$20=1), LI93, LG93)</f>
        <v>0</v>
      </c>
      <c r="LC93" s="12">
        <f>LC$4 * IF(AND(LB$4=1,KV$20=1), LI93, LG93)</f>
        <v>0</v>
      </c>
      <c r="LD93" s="12">
        <f>LD$4 * IF(AND(LC$4=1,KV$20=1), LI93, LG93)</f>
        <v>0</v>
      </c>
      <c r="LF93" t="s">
        <v>1304</v>
      </c>
      <c r="LG93">
        <f>_xlfn.XLOOKUP(LF93,'KPI Impacts'!$B$2:$H$2,'KPI Impacts'!$B93:$H93)</f>
        <v>0</v>
      </c>
      <c r="LH93" s="35" t="s">
        <v>1304</v>
      </c>
      <c r="LI93">
        <f>_xlfn.XLOOKUP(LH93,'KPI Impacts'!$B$2:$H$2,'KPI Impacts'!$B93:$H93)</f>
        <v>0</v>
      </c>
      <c r="LL93" s="12">
        <f>LL$4*LW93</f>
        <v>0</v>
      </c>
      <c r="LM93" s="12">
        <f>LM$4 * IF(AND(LL$4=1,LL$20=1), LY93, LW93)</f>
        <v>0</v>
      </c>
      <c r="LN93" s="12">
        <f>LN$4 * IF(AND(LM$4=1,LL$20=1), LY93, LW93)</f>
        <v>0</v>
      </c>
      <c r="LO93" s="12">
        <f>LO$4 * IF(AND(LN$4=1,LL$20=1), LY93, LW93)</f>
        <v>0</v>
      </c>
      <c r="LP93" s="12">
        <f>LP$4 * IF(AND(LO$4=1,LL$20=1), LY93, LW93)</f>
        <v>0</v>
      </c>
      <c r="LQ93" s="12">
        <f>LQ$4 * IF(AND(LP$4=1,LL$20=1), LY93, LW93)</f>
        <v>0</v>
      </c>
      <c r="LR93" s="12">
        <f>LR$4 * IF(AND(LQ$4=1,LL$20=1), LY93, LW93)</f>
        <v>0</v>
      </c>
      <c r="LS93" s="12">
        <f>LS$4 * IF(AND(LR$4=1,LL$20=1), LY93, LW93)</f>
        <v>0</v>
      </c>
      <c r="LT93" s="12">
        <f>LT$4 * IF(AND(LS$4=1,LL$20=1), LY93, LW93)</f>
        <v>0</v>
      </c>
      <c r="LV93" t="s">
        <v>1304</v>
      </c>
      <c r="LW93">
        <f>_xlfn.XLOOKUP(LV93,'KPI Impacts'!$B$2:$H$2,'KPI Impacts'!$B93:$H93)</f>
        <v>0</v>
      </c>
      <c r="LX93" s="35" t="s">
        <v>1304</v>
      </c>
      <c r="LY93">
        <f>_xlfn.XLOOKUP(LX93,'KPI Impacts'!$B$2:$H$2,'KPI Impacts'!$B93:$H93)</f>
        <v>0</v>
      </c>
      <c r="MB93" s="12">
        <f>MB$4*MM93</f>
        <v>0</v>
      </c>
      <c r="MC93" s="12">
        <f>MC$4 * IF(AND(MB$4=1,MB$20=1), MO93, MM93)</f>
        <v>0</v>
      </c>
      <c r="MD93" s="12">
        <f>MD$4 * IF(AND(MC$4=1,MB$20=1), MO93, MM93)</f>
        <v>0</v>
      </c>
      <c r="ME93" s="12">
        <f>ME$4 * IF(AND(MD$4=1,MB$20=1), MO93, MM93)</f>
        <v>0</v>
      </c>
      <c r="MF93" s="12">
        <f>MF$4 * IF(AND(ME$4=1,MB$20=1), MO93, MM93)</f>
        <v>0</v>
      </c>
      <c r="MG93" s="12">
        <f>MG$4 * IF(AND(MF$4=1,MB$20=1), MO93, MM93)</f>
        <v>0</v>
      </c>
      <c r="MH93" s="12">
        <f>MH$4 * IF(AND(MG$4=1,MB$20=1), MO93, MM93)</f>
        <v>0</v>
      </c>
      <c r="MI93" s="12">
        <f>MI$4 * IF(AND(MH$4=1,MB$20=1), MO93, MM93)</f>
        <v>0</v>
      </c>
      <c r="MJ93" s="12">
        <f>MJ$4 * IF(AND(MI$4=1,MB$20=1), MO93, MM93)</f>
        <v>0</v>
      </c>
      <c r="ML93" t="s">
        <v>1304</v>
      </c>
      <c r="MM93">
        <f>_xlfn.XLOOKUP(ML93,'KPI Impacts'!$B$2:$H$2,'KPI Impacts'!$B93:$H93)</f>
        <v>0</v>
      </c>
      <c r="MN93" s="35" t="s">
        <v>1304</v>
      </c>
      <c r="MO93">
        <f>_xlfn.XLOOKUP(MN93,'KPI Impacts'!$B$2:$H$2,'KPI Impacts'!$B93:$H93)</f>
        <v>0</v>
      </c>
      <c r="MR93" s="12">
        <f>MR$4*NC93</f>
        <v>0</v>
      </c>
      <c r="MS93" s="12">
        <f>MS$4 * IF(AND(MR$4=1,MR$20=1), NE93, NC93)</f>
        <v>0</v>
      </c>
      <c r="MT93" s="12">
        <f>MT$4 * IF(AND(MS$4=1,MR$20=1), NE93, NC93)</f>
        <v>0</v>
      </c>
      <c r="MU93" s="12">
        <f>MU$4 * IF(AND(MT$4=1,MR$20=1), NE93, NC93)</f>
        <v>0</v>
      </c>
      <c r="MV93" s="12">
        <f>MV$4 * IF(AND(MU$4=1,MR$20=1), NE93, NC93)</f>
        <v>0</v>
      </c>
      <c r="MW93" s="12">
        <f>MW$4 * IF(AND(MV$4=1,MR$20=1), NE93, NC93)</f>
        <v>0</v>
      </c>
      <c r="MX93" s="12">
        <f>MX$4 * IF(AND(MW$4=1,MR$20=1), NE93, NC93)</f>
        <v>0</v>
      </c>
      <c r="MY93" s="12">
        <f>MY$4 * IF(AND(MX$4=1,MR$20=1), NE93, NC93)</f>
        <v>0</v>
      </c>
      <c r="MZ93" s="12">
        <f>MZ$4 * IF(AND(MY$4=1,MR$20=1), NE93, NC93)</f>
        <v>0</v>
      </c>
      <c r="NB93" t="s">
        <v>1304</v>
      </c>
      <c r="NC93">
        <f>_xlfn.XLOOKUP(NB93,'KPI Impacts'!$B$2:$H$2,'KPI Impacts'!$B93:$H93)</f>
        <v>0</v>
      </c>
      <c r="ND93" s="35" t="s">
        <v>1304</v>
      </c>
      <c r="NE93">
        <f>_xlfn.XLOOKUP(ND93,'KPI Impacts'!$B$2:$H$2,'KPI Impacts'!$B93:$H93)</f>
        <v>0</v>
      </c>
      <c r="NH93" s="12">
        <f>NH$4*NS93</f>
        <v>0</v>
      </c>
      <c r="NI93" s="12">
        <f>NI$4 * IF(AND(NH$4=1,NH$20=1), NU93, NS93)</f>
        <v>0</v>
      </c>
      <c r="NJ93" s="12">
        <f>NJ$4 * IF(AND(NI$4=1,NH$20=1), NU93, NS93)</f>
        <v>0</v>
      </c>
      <c r="NK93" s="12">
        <f>NK$4 * IF(AND(NJ$4=1,NH$20=1), NU93, NS93)</f>
        <v>0</v>
      </c>
      <c r="NL93" s="12">
        <f>NL$4 * IF(AND(NK$4=1,NH$20=1), NU93, NS93)</f>
        <v>0</v>
      </c>
      <c r="NM93" s="12">
        <f>NM$4 * IF(AND(NL$4=1,NH$20=1), NU93, NS93)</f>
        <v>0</v>
      </c>
      <c r="NN93" s="12">
        <f>NN$4 * IF(AND(NM$4=1,NH$20=1), NU93, NS93)</f>
        <v>0</v>
      </c>
      <c r="NO93" s="12">
        <f>NO$4 * IF(AND(NN$4=1,NH$20=1), NU93, NS93)</f>
        <v>0</v>
      </c>
      <c r="NP93" s="12">
        <f>NP$4 * IF(AND(NO$4=1,NH$20=1), NU93, NS93)</f>
        <v>0</v>
      </c>
      <c r="NR93" t="s">
        <v>1304</v>
      </c>
      <c r="NS93">
        <f>_xlfn.XLOOKUP(NR93,'KPI Impacts'!$B$2:$H$2,'KPI Impacts'!$B93:$H93)</f>
        <v>0</v>
      </c>
      <c r="NT93" s="35" t="s">
        <v>1304</v>
      </c>
      <c r="NU93">
        <f>_xlfn.XLOOKUP(NT93,'KPI Impacts'!$B$2:$H$2,'KPI Impacts'!$B93:$H93)</f>
        <v>0</v>
      </c>
      <c r="NX93" s="12">
        <f>NX$4*OI93</f>
        <v>0</v>
      </c>
      <c r="NY93" s="12">
        <f>NY$4 * IF(AND(NX$4=1,NX$20=1), OK93, OI93)</f>
        <v>0</v>
      </c>
      <c r="NZ93" s="12">
        <f>NZ$4 * IF(AND(NY$4=1,NX$20=1), OK93, OI93)</f>
        <v>0</v>
      </c>
      <c r="OA93" s="12">
        <f>OA$4 * IF(AND(NZ$4=1,NX$20=1), OK93, OI93)</f>
        <v>0</v>
      </c>
      <c r="OB93" s="12">
        <f>OB$4 * IF(AND(OA$4=1,NX$20=1), OK93, OI93)</f>
        <v>0</v>
      </c>
      <c r="OC93" s="12">
        <f>OC$4 * IF(AND(OB$4=1,NX$20=1), OK93, OI93)</f>
        <v>0</v>
      </c>
      <c r="OD93" s="12">
        <f>OD$4 * IF(AND(OC$4=1,NX$20=1), OK93, OI93)</f>
        <v>0</v>
      </c>
      <c r="OE93" s="12">
        <f>OE$4 * IF(AND(OD$4=1,NX$20=1), OK93, OI93)</f>
        <v>0</v>
      </c>
      <c r="OF93" s="12">
        <f>OF$4 * IF(AND(OE$4=1,NX$20=1), OK93, OI93)</f>
        <v>0</v>
      </c>
      <c r="OH93" t="s">
        <v>1304</v>
      </c>
      <c r="OI93">
        <f>_xlfn.XLOOKUP(OH93,'KPI Impacts'!$B$2:$H$2,'KPI Impacts'!$B93:$H93)</f>
        <v>0</v>
      </c>
      <c r="OJ93" s="35" t="s">
        <v>1304</v>
      </c>
      <c r="OK93">
        <f>_xlfn.XLOOKUP(OJ93,'KPI Impacts'!$B$2:$H$2,'KPI Impacts'!$B93:$H93)</f>
        <v>0</v>
      </c>
    </row>
    <row r="94" spans="1:401" x14ac:dyDescent="0.2">
      <c r="A94" t="s">
        <v>1727</v>
      </c>
      <c r="B94" s="12">
        <f t="shared" ref="B94:B96" si="683">P94+AH94+AZ94+BP94+CF94+CV94+DL94+EB94+ER94+FH94+FX94+GN94+HD94+HT94+IJ94+IZ94+JP94+KF94+KV94+LL94+MB94+MR94+NH94+NX94</f>
        <v>0</v>
      </c>
      <c r="C94" s="12">
        <f t="shared" ref="C94:C96" si="684">Q94+AI94+BA94+BQ94+CG94+CW94+DM94+EC94+ES94+FI94+FY94+GO94+HE94+HU94+IK94+JA94+JQ94+KG94+KW94+LM94+MC94+MS94+NI94+NY94</f>
        <v>0</v>
      </c>
      <c r="D94" s="12">
        <f t="shared" ref="D94:D96" si="685">R94+AJ94+BB94+BR94+CH94+CX94+DN94+ED94+ET94+FJ94+FZ94+GP94+HF94+HV94+IL94+JB94+JR94+KH94+KX94+LN94+MD94+MT94+NJ94+NZ94</f>
        <v>0</v>
      </c>
      <c r="E94" s="12">
        <f t="shared" ref="E94:E96" si="686">S94+AK94+BC94+BS94+CI94+CY94+DO94+EE94+EU94+FK94+GA94+GQ94+HG94+HW94+IM94+JC94+JS94+KI94+KY94+LO94+ME94+MU94+NK94+OA94</f>
        <v>0</v>
      </c>
      <c r="F94" s="12">
        <f t="shared" ref="F94:F96" si="687">T94+AL94+BD94+BT94+CJ94+CZ94+DP94+EF94+EV94+FL94+GB94+GR94+HH94+HX94+IN94+JD94+JT94+KJ94+KZ94+LP94+MF94+MV94+NL94+OB94</f>
        <v>0</v>
      </c>
      <c r="G94" s="12">
        <f t="shared" ref="G94:G96" si="688">U94+AM94+BE94+BU94+CK94+DA94+DQ94+EG94+EW94+FM94+GC94+GS94+HI94+HY94+IO94+JE94+JU94+KK94+LA94+LQ94+MG94+MW94+NM94+OC94</f>
        <v>0</v>
      </c>
      <c r="H94" s="12">
        <f t="shared" ref="H94:H96" si="689">V94+AN94+BF94+BV94+CL94+DB94+DR94+EH94+EX94+FN94+GD94+GT94+HJ94+HZ94+IP94+JF94+JV94+KL94+LB94+LR94+MH94+MX94+NN94+OD94</f>
        <v>0</v>
      </c>
      <c r="I94" s="12">
        <f t="shared" ref="I94:I96" si="690">W94+AO94+BG94+BW94+CM94+DC94+DS94+EI94+EY94+FO94+GE94+GU94+HK94+IA94+IQ94+JG94+JW94+KM94+LC94+LS94+MI94+MY94+NO94+OE94</f>
        <v>0</v>
      </c>
      <c r="J94" s="12">
        <f t="shared" ref="J94:J96" si="691">X94+AP94+BH94+BX94+CN94+DD94+DT94+EJ94+EZ94+FP94+GF94+GV94+HL94+IB94+IR94+JH94+JX94+KN94+LD94+LT94+MJ94+MZ94+NP94+OF94</f>
        <v>0</v>
      </c>
      <c r="M94" s="6"/>
      <c r="N94" s="6"/>
      <c r="P94" s="12" cm="1">
        <f t="array" ref="P94">_xlfn.SWITCH(P$4, 0,0, 1, AA94,2,AC94,3,AE94,0)</f>
        <v>0</v>
      </c>
      <c r="Q94" s="12" cm="1">
        <f t="array" ref="Q94">_xlfn.SWITCH(Q$4, 0,0, 1, AA94,2,AC94,3,AE94,0)+P94</f>
        <v>0</v>
      </c>
      <c r="R94" s="12" cm="1">
        <f t="array" ref="R94">_xlfn.SWITCH(R$4, 0,0, 1, AA94,2,AC94,3,AE94,0)+Q94</f>
        <v>0</v>
      </c>
      <c r="S94" s="12" cm="1">
        <f t="array" ref="S94">_xlfn.SWITCH(S$4, 0,0, 1, AA94,2,AC94,3,AE94,0)+R94</f>
        <v>0</v>
      </c>
      <c r="T94" s="12" cm="1">
        <f t="array" ref="T94">_xlfn.SWITCH(T$4, 0,0, 1, AA94,2,AC94,3,AE94,0)+S94</f>
        <v>0</v>
      </c>
      <c r="U94" s="12" cm="1">
        <f t="array" ref="U94">_xlfn.SWITCH(U$4, 0,0, 1, AA94,2,AC94,3,AE94,0)+T94</f>
        <v>0</v>
      </c>
      <c r="V94" s="12" cm="1">
        <f t="array" ref="V94">_xlfn.SWITCH(V$4, 0,0, 1, AA94,2,AC94,3,AE94,0)+U94</f>
        <v>0</v>
      </c>
      <c r="W94" s="12" cm="1">
        <f t="array" ref="W94">_xlfn.SWITCH(W$4, 0,0, 1, AA94,2,AC94,3,AE94,0)+V94</f>
        <v>0</v>
      </c>
      <c r="X94" s="12" cm="1">
        <f t="array" ref="X94">_xlfn.SWITCH(X$4, 0,0, 1, AA94,2,AC94,3,AE94,0)+W94</f>
        <v>0</v>
      </c>
      <c r="Z94" t="s">
        <v>1304</v>
      </c>
      <c r="AA94">
        <f>_xlfn.XLOOKUP(Z94,'KPI Impacts'!$K$2:$Q$2,'KPI Impacts'!$K94:$Q94)</f>
        <v>0</v>
      </c>
      <c r="AB94" t="s">
        <v>1304</v>
      </c>
      <c r="AC94">
        <f>_xlfn.XLOOKUP(AB94,'KPI Impacts'!$K$2:$Q$2,'KPI Impacts'!$K94:$Q94)</f>
        <v>0</v>
      </c>
      <c r="AD94" t="s">
        <v>1304</v>
      </c>
      <c r="AE94">
        <f>_xlfn.XLOOKUP(AD94,'KPI Impacts'!$K$2:$Q$2,'KPI Impacts'!$K94:$Q94)</f>
        <v>0</v>
      </c>
      <c r="AH94" s="12" cm="1">
        <f t="array" ref="AH94">_xlfn.SWITCH(AH$4, 0,0, 1, AS94,2,AU94,3,AW94,0)</f>
        <v>0</v>
      </c>
      <c r="AI94" s="12" cm="1">
        <f t="array" ref="AI94">_xlfn.SWITCH(AI$4, 0,0, 1, AS94,2,AU94,3,AW94,0)+AH94</f>
        <v>0</v>
      </c>
      <c r="AJ94" s="12" cm="1">
        <f t="array" ref="AJ94">_xlfn.SWITCH(AJ$4, 0,0, 1, AS94,2,AU94,3,AW94,0)+AI94</f>
        <v>0</v>
      </c>
      <c r="AK94" s="12" cm="1">
        <f t="array" ref="AK94">_xlfn.SWITCH(AK$4, 0,0, 1, AS94,2,AU94,3,AW94,0)+AJ94</f>
        <v>0</v>
      </c>
      <c r="AL94" s="12" cm="1">
        <f t="array" ref="AL94">_xlfn.SWITCH(AL$4, 0,0, 1, AS94,2,AU94,3,AW94,0)+AK94</f>
        <v>0</v>
      </c>
      <c r="AM94" s="12" cm="1">
        <f t="array" ref="AM94">_xlfn.SWITCH(AM$4, 0,0, 1, AS94,2,AU94,3,AW94,0)+AL94</f>
        <v>0</v>
      </c>
      <c r="AN94" s="12" cm="1">
        <f t="array" ref="AN94">_xlfn.SWITCH(AN$4, 0,0, 1, AS94,2,AU94,3,AW94,0)+AM94</f>
        <v>0</v>
      </c>
      <c r="AO94" s="12" cm="1">
        <f t="array" ref="AO94">_xlfn.SWITCH(AO$4, 0,0, 1, AS94,2,AU94,3,AW94,0)+AN94</f>
        <v>0</v>
      </c>
      <c r="AP94" s="12" cm="1">
        <f t="array" ref="AP94">_xlfn.SWITCH(AP$4, 0,0, 1, AS94,2,AU94,3,AW94,0)+AO94</f>
        <v>0</v>
      </c>
      <c r="AR94" t="s">
        <v>1304</v>
      </c>
      <c r="AS94">
        <f>_xlfn.XLOOKUP(AR94,'KPI Impacts'!$K$2:$Q$2,'KPI Impacts'!$K94:$Q94)</f>
        <v>0</v>
      </c>
      <c r="AT94" t="s">
        <v>1304</v>
      </c>
      <c r="AU94">
        <f>_xlfn.XLOOKUP(AT94,'KPI Impacts'!$K$2:$Q$2,'KPI Impacts'!$K94:$Q94)</f>
        <v>0</v>
      </c>
      <c r="AV94" t="s">
        <v>1304</v>
      </c>
      <c r="AW94">
        <f>_xlfn.XLOOKUP(AV94,'KPI Impacts'!$K$2:$Q$2,'KPI Impacts'!$K94:$Q94)</f>
        <v>0</v>
      </c>
      <c r="AZ94" s="12">
        <f>AZ$4*BK94</f>
        <v>0</v>
      </c>
      <c r="BA94" s="12">
        <f>BA$4 * IF(AND(AZ$4=1,AZ$20=1), BM94, BK94)</f>
        <v>0</v>
      </c>
      <c r="BB94" s="12">
        <f>BB$4 * IF(AND(BA$4=1,AZ$20=1), BM94, BK94)</f>
        <v>0</v>
      </c>
      <c r="BC94" s="12">
        <f>BC$4 * IF(AND(BB$4=1,AZ$20=1), BM94, BK94)</f>
        <v>0</v>
      </c>
      <c r="BD94" s="12">
        <f>BD$4 * IF(AND(BC$4=1,AZ$20=1), BM94, BK94)</f>
        <v>0</v>
      </c>
      <c r="BE94" s="12">
        <f>BE$4 * IF(AND(BD$4=1,AZ$20=1), BM94, BK94)</f>
        <v>0</v>
      </c>
      <c r="BF94" s="12">
        <f>BF$4 * IF(AND(BE$4=1,AZ$20=1), BM94, BK94)</f>
        <v>0</v>
      </c>
      <c r="BG94" s="12">
        <f>BG$4 * IF(AND(BF$4=1,AZ$20=1), BM94, BK94)</f>
        <v>0</v>
      </c>
      <c r="BH94" s="12">
        <f>BH$4 * IF(AND(BG$4=1,AZ$20=1), BM94, BK94)</f>
        <v>0</v>
      </c>
      <c r="BJ94" t="s">
        <v>1304</v>
      </c>
      <c r="BK94">
        <f>_xlfn.XLOOKUP(BJ94,'KPI Impacts'!$B$2:$H$2,'KPI Impacts'!$B94:$H94)</f>
        <v>0</v>
      </c>
      <c r="BL94" s="35" t="s">
        <v>1304</v>
      </c>
      <c r="BM94">
        <f>_xlfn.XLOOKUP(BL94,'KPI Impacts'!$B$2:$H$2,'KPI Impacts'!$B94:$H94)</f>
        <v>0</v>
      </c>
      <c r="BP94" s="12">
        <f>BP$4*CA94</f>
        <v>0</v>
      </c>
      <c r="BQ94" s="12">
        <f>BQ$4 * IF(AND(BP$4=1,BP$20=1), CC94, CA94)</f>
        <v>0</v>
      </c>
      <c r="BR94" s="12">
        <f>BR$4 * IF(AND(BQ$4=1,BP$20=1), CC94, CA94)</f>
        <v>0</v>
      </c>
      <c r="BS94" s="12">
        <f>BS$4 * IF(AND(BR$4=1,BP$20=1), CC94, CA94)</f>
        <v>0</v>
      </c>
      <c r="BT94" s="12">
        <f>BT$4 * IF(AND(BS$4=1,BP$20=1), CC94, CA94)</f>
        <v>0</v>
      </c>
      <c r="BU94" s="12">
        <f>BU$4 * IF(AND(BT$4=1,BP$20=1), CC94, CA94)</f>
        <v>0</v>
      </c>
      <c r="BV94" s="12">
        <f>BV$4 * IF(AND(BU$4=1,BP$20=1), CC94, CA94)</f>
        <v>0</v>
      </c>
      <c r="BW94" s="12">
        <f>BW$4 * IF(AND(BV$4=1,BP$20=1), CC94, CA94)</f>
        <v>0</v>
      </c>
      <c r="BX94" s="12">
        <f>BX$4 * IF(AND(BW$4=1,BP$20=1), CC94, CA94)</f>
        <v>0</v>
      </c>
      <c r="BZ94" t="s">
        <v>1304</v>
      </c>
      <c r="CA94">
        <f>_xlfn.XLOOKUP(BZ94,'KPI Impacts'!$B$2:$H$2,'KPI Impacts'!$B94:$H94)</f>
        <v>0</v>
      </c>
      <c r="CB94" s="35" t="s">
        <v>1304</v>
      </c>
      <c r="CC94">
        <f>_xlfn.XLOOKUP(CB94,'KPI Impacts'!$B$2:$H$2,'KPI Impacts'!$B94:$H94)</f>
        <v>0</v>
      </c>
      <c r="CF94" s="12">
        <f>CF$4*CQ94</f>
        <v>0</v>
      </c>
      <c r="CG94" s="12">
        <f>CG$4 * IF(AND(CF$4=1,CF$20=1), CS94, CQ94)</f>
        <v>0</v>
      </c>
      <c r="CH94" s="12">
        <f>CH$4 * IF(AND(CG$4=1,CF$20=1), CS94, CQ94)</f>
        <v>0</v>
      </c>
      <c r="CI94" s="12">
        <f>CI$4 * IF(AND(CH$4=1,CF$20=1), CS94, CQ94)</f>
        <v>0</v>
      </c>
      <c r="CJ94" s="12">
        <f>CJ$4 * IF(AND(CI$4=1,CF$20=1), CS94, CQ94)</f>
        <v>0</v>
      </c>
      <c r="CK94" s="12">
        <f>CK$4 * IF(AND(CJ$4=1,CF$20=1), CS94, CQ94)</f>
        <v>0</v>
      </c>
      <c r="CL94" s="12">
        <f>CL$4 * IF(AND(CK$4=1,CF$20=1), CS94, CQ94)</f>
        <v>0</v>
      </c>
      <c r="CM94" s="12">
        <f>CM$4 * IF(AND(CL$4=1,CF$20=1), CS94, CQ94)</f>
        <v>0</v>
      </c>
      <c r="CN94" s="12">
        <f>CN$4 * IF(AND(CM$4=1,CF$20=1), CS94, CQ94)</f>
        <v>0</v>
      </c>
      <c r="CP94" t="s">
        <v>1304</v>
      </c>
      <c r="CQ94">
        <f>_xlfn.XLOOKUP(CP94,'KPI Impacts'!$B$2:$H$2,'KPI Impacts'!$B94:$H94)</f>
        <v>0</v>
      </c>
      <c r="CR94" s="35" t="s">
        <v>1304</v>
      </c>
      <c r="CS94">
        <f>_xlfn.XLOOKUP(CR94,'KPI Impacts'!$B$2:$H$2,'KPI Impacts'!$B94:$H94)</f>
        <v>0</v>
      </c>
      <c r="CV94" s="12">
        <f>CV$4*DG94</f>
        <v>0</v>
      </c>
      <c r="CW94" s="12">
        <f>CW$4 * IF(AND(CV$4=1,CV$20=1), DI94, DG94)</f>
        <v>0</v>
      </c>
      <c r="CX94" s="12">
        <f>CX$4 * IF(AND(CW$4=1,CV$20=1), DI94, DG94)</f>
        <v>0</v>
      </c>
      <c r="CY94" s="12">
        <f>CY$4 * IF(AND(CX$4=1,CV$20=1), DI94, DG94)</f>
        <v>0</v>
      </c>
      <c r="CZ94" s="12">
        <f>CZ$4 * IF(AND(CY$4=1,CV$20=1), DI94, DG94)</f>
        <v>0</v>
      </c>
      <c r="DA94" s="12">
        <f>DA$4 * IF(AND(CZ$4=1,CV$20=1), DI94, DG94)</f>
        <v>0</v>
      </c>
      <c r="DB94" s="12">
        <f>DB$4 * IF(AND(DA$4=1,CV$20=1), DI94, DG94)</f>
        <v>0</v>
      </c>
      <c r="DC94" s="12">
        <f>DC$4 * IF(AND(DB$4=1,CV$20=1), DI94, DG94)</f>
        <v>0</v>
      </c>
      <c r="DD94" s="12">
        <f>DD$4 * IF(AND(DC$4=1,CV$20=1), DI94, DG94)</f>
        <v>0</v>
      </c>
      <c r="DF94" t="s">
        <v>1304</v>
      </c>
      <c r="DG94">
        <f>_xlfn.XLOOKUP(DF94,'KPI Impacts'!$B$2:$H$2,'KPI Impacts'!$B94:$H94)</f>
        <v>0</v>
      </c>
      <c r="DH94" s="35" t="s">
        <v>1304</v>
      </c>
      <c r="DI94">
        <f>_xlfn.XLOOKUP(DH94,'KPI Impacts'!$B$2:$H$2,'KPI Impacts'!$B94:$H94)</f>
        <v>0</v>
      </c>
      <c r="DL94" s="12">
        <f>DL$4*DW94</f>
        <v>0</v>
      </c>
      <c r="DM94" s="12">
        <f>DM$4 * IF(AND(DL$4=1,DL$20=1), DY94, DW94)</f>
        <v>0</v>
      </c>
      <c r="DN94" s="12">
        <f>DN$4 * IF(AND(DM$4=1,DL$20=1), DY94, DW94)</f>
        <v>0</v>
      </c>
      <c r="DO94" s="12">
        <f>DO$4 * IF(AND(DN$4=1,DL$20=1), DY94, DW94)</f>
        <v>0</v>
      </c>
      <c r="DP94" s="12">
        <f>DP$4 * IF(AND(DO$4=1,DL$20=1), DY94, DW94)</f>
        <v>0</v>
      </c>
      <c r="DQ94" s="12">
        <f>DQ$4 * IF(AND(DP$4=1,DL$20=1), DY94, DW94)</f>
        <v>0</v>
      </c>
      <c r="DR94" s="12">
        <f>DR$4 * IF(AND(DQ$4=1,DL$20=1), DY94, DW94)</f>
        <v>0</v>
      </c>
      <c r="DS94" s="12">
        <f>DS$4 * IF(AND(DR$4=1,DL$20=1), DY94, DW94)</f>
        <v>0</v>
      </c>
      <c r="DT94" s="12">
        <f>DT$4 * IF(AND(DS$4=1,DL$20=1), DY94, DW94)</f>
        <v>0</v>
      </c>
      <c r="DV94" t="s">
        <v>1304</v>
      </c>
      <c r="DW94">
        <f>_xlfn.XLOOKUP(DV94,'KPI Impacts'!$B$2:$H$2,'KPI Impacts'!$B94:$H94)</f>
        <v>0</v>
      </c>
      <c r="DX94" s="35" t="s">
        <v>1304</v>
      </c>
      <c r="DY94">
        <f>_xlfn.XLOOKUP(DX94,'KPI Impacts'!$B$2:$H$2,'KPI Impacts'!$B94:$H94)</f>
        <v>0</v>
      </c>
      <c r="EB94" s="12">
        <f>EB$4*EM94</f>
        <v>0</v>
      </c>
      <c r="EC94" s="12">
        <f>EC$4 * IF(AND(EB$4=1,EB$20=1), EO94, EM94)</f>
        <v>0</v>
      </c>
      <c r="ED94" s="12">
        <f>ED$4 * IF(AND(EC$4=1,EB$20=1), EO94, EM94)</f>
        <v>0</v>
      </c>
      <c r="EE94" s="12">
        <f>EE$4 * IF(AND(ED$4=1,EB$20=1), EO94, EM94)</f>
        <v>0</v>
      </c>
      <c r="EF94" s="12">
        <f>EF$4 * IF(AND(EE$4=1,EB$20=1), EO94, EM94)</f>
        <v>0</v>
      </c>
      <c r="EG94" s="12">
        <f>EG$4 * IF(AND(EF$4=1,EB$20=1), EO94, EM94)</f>
        <v>0</v>
      </c>
      <c r="EH94" s="12">
        <f>EH$4 * IF(AND(EG$4=1,EB$20=1), EO94, EM94)</f>
        <v>0</v>
      </c>
      <c r="EI94" s="12">
        <f>EI$4 * IF(AND(EH$4=1,EB$20=1), EO94, EM94)</f>
        <v>0</v>
      </c>
      <c r="EJ94" s="12">
        <f>EJ$4 * IF(AND(EI$4=1,EB$20=1), EO94, EM94)</f>
        <v>0</v>
      </c>
      <c r="EL94" t="s">
        <v>1304</v>
      </c>
      <c r="EM94">
        <f>_xlfn.XLOOKUP(EL94,'KPI Impacts'!$B$2:$H$2,'KPI Impacts'!$B94:$H94)</f>
        <v>0</v>
      </c>
      <c r="EN94" s="35" t="s">
        <v>1304</v>
      </c>
      <c r="EO94">
        <f>_xlfn.XLOOKUP(EN94,'KPI Impacts'!$B$2:$H$2,'KPI Impacts'!$B94:$H94)</f>
        <v>0</v>
      </c>
      <c r="ER94" s="12">
        <f>ER$4*FC94</f>
        <v>0</v>
      </c>
      <c r="ES94" s="12">
        <f>ES$4 * IF(AND(ER$4=1,ER$20=1), FE94, FC94)</f>
        <v>0</v>
      </c>
      <c r="ET94" s="12">
        <f>ET$4 * IF(AND(ES$4=1,ER$20=1), FE94, FC94)</f>
        <v>0</v>
      </c>
      <c r="EU94" s="12">
        <f>EU$4 * IF(AND(ET$4=1,ER$20=1), FE94, FC94)</f>
        <v>0</v>
      </c>
      <c r="EV94" s="12">
        <f>EV$4 * IF(AND(EU$4=1,ER$20=1), FE94, FC94)</f>
        <v>0</v>
      </c>
      <c r="EW94" s="12">
        <f>EW$4 * IF(AND(EV$4=1,ER$20=1), FE94, FC94)</f>
        <v>0</v>
      </c>
      <c r="EX94" s="12">
        <f>EX$4 * IF(AND(EW$4=1,ER$20=1), FE94, FC94)</f>
        <v>0</v>
      </c>
      <c r="EY94" s="12">
        <f>EY$4 * IF(AND(EX$4=1,ER$20=1), FE94, FC94)</f>
        <v>0</v>
      </c>
      <c r="EZ94" s="12">
        <f>EZ$4 * IF(AND(EY$4=1,ER$20=1), FE94, FC94)</f>
        <v>0</v>
      </c>
      <c r="FB94" t="s">
        <v>1304</v>
      </c>
      <c r="FC94">
        <f>_xlfn.XLOOKUP(FB94,'KPI Impacts'!$B$2:$H$2,'KPI Impacts'!$B94:$H94)</f>
        <v>0</v>
      </c>
      <c r="FD94" s="35" t="s">
        <v>1304</v>
      </c>
      <c r="FE94">
        <f>_xlfn.XLOOKUP(FD94,'KPI Impacts'!$B$2:$H$2,'KPI Impacts'!$B94:$H94)</f>
        <v>0</v>
      </c>
      <c r="FH94" s="12">
        <f>FH$4*FS94</f>
        <v>0</v>
      </c>
      <c r="FI94" s="12">
        <f>FI$4 * IF(AND(FH$4=1,FH$20=1), FU94, FS94)</f>
        <v>0</v>
      </c>
      <c r="FJ94" s="12">
        <f>FJ$4 * IF(AND(FI$4=1,FH$20=1), FU94, FS94)</f>
        <v>0</v>
      </c>
      <c r="FK94" s="12">
        <f>FK$4 * IF(AND(FJ$4=1,FH$20=1), FU94, FS94)</f>
        <v>0</v>
      </c>
      <c r="FL94" s="12">
        <f>FL$4 * IF(AND(FK$4=1,FH$20=1), FU94, FS94)</f>
        <v>0</v>
      </c>
      <c r="FM94" s="12">
        <f>FM$4 * IF(AND(FL$4=1,FH$20=1), FU94, FS94)</f>
        <v>0</v>
      </c>
      <c r="FN94" s="12">
        <f>FN$4 * IF(AND(FM$4=1,FH$20=1), FU94, FS94)</f>
        <v>0</v>
      </c>
      <c r="FO94" s="12">
        <f>FO$4 * IF(AND(FN$4=1,FH$20=1), FU94, FS94)</f>
        <v>0</v>
      </c>
      <c r="FP94" s="12">
        <f>FP$4 * IF(AND(FO$4=1,FH$20=1), FU94, FS94)</f>
        <v>0</v>
      </c>
      <c r="FR94" t="s">
        <v>1304</v>
      </c>
      <c r="FS94">
        <f>_xlfn.XLOOKUP(FR94,'KPI Impacts'!$B$2:$H$2,'KPI Impacts'!$B94:$H94)</f>
        <v>0</v>
      </c>
      <c r="FT94" s="35" t="s">
        <v>1304</v>
      </c>
      <c r="FU94">
        <f>_xlfn.XLOOKUP(FT94,'KPI Impacts'!$B$2:$H$2,'KPI Impacts'!$B94:$H94)</f>
        <v>0</v>
      </c>
      <c r="FX94" s="12">
        <f>FX$4*GI94</f>
        <v>0</v>
      </c>
      <c r="FY94" s="12">
        <f>FY$4 * IF(AND(FX$4=1,FX$20=1), GK94, GI94)</f>
        <v>0</v>
      </c>
      <c r="FZ94" s="12">
        <f>FZ$4 * IF(AND(FY$4=1,FX$20=1), GK94, GI94)</f>
        <v>0</v>
      </c>
      <c r="GA94" s="12">
        <f>GA$4 * IF(AND(FZ$4=1,FX$20=1), GK94, GI94)</f>
        <v>0</v>
      </c>
      <c r="GB94" s="12">
        <f>GB$4 * IF(AND(GA$4=1,FX$20=1), GK94, GI94)</f>
        <v>0</v>
      </c>
      <c r="GC94" s="12">
        <f>GC$4 * IF(AND(GB$4=1,FX$20=1), GK94, GI94)</f>
        <v>0</v>
      </c>
      <c r="GD94" s="12">
        <f>GD$4 * IF(AND(GC$4=1,FX$20=1), GK94, GI94)</f>
        <v>0</v>
      </c>
      <c r="GE94" s="12">
        <f>GE$4 * IF(AND(GD$4=1,FX$20=1), GK94, GI94)</f>
        <v>0</v>
      </c>
      <c r="GF94" s="12">
        <f>GF$4 * IF(AND(GE$4=1,FX$20=1), GK94, GI94)</f>
        <v>0</v>
      </c>
      <c r="GH94" t="s">
        <v>1304</v>
      </c>
      <c r="GI94">
        <f>_xlfn.XLOOKUP(GH94,'KPI Impacts'!$B$2:$H$2,'KPI Impacts'!$B94:$H94)</f>
        <v>0</v>
      </c>
      <c r="GJ94" s="35" t="s">
        <v>1304</v>
      </c>
      <c r="GK94">
        <f>_xlfn.XLOOKUP(GJ94,'KPI Impacts'!$B$2:$H$2,'KPI Impacts'!$B94:$H94)</f>
        <v>0</v>
      </c>
      <c r="GN94" s="12">
        <f>GN$4*GY94</f>
        <v>0</v>
      </c>
      <c r="GO94" s="12">
        <f>GO$4 * IF(AND(GN$4=1,GN$20=1), HA94, GY94)</f>
        <v>0</v>
      </c>
      <c r="GP94" s="12">
        <f>GP$4 * IF(AND(GO$4=1,GN$20=1), HA94, GY94)</f>
        <v>0</v>
      </c>
      <c r="GQ94" s="12">
        <f>GQ$4 * IF(AND(GP$4=1,GN$20=1), HA94, GY94)</f>
        <v>0</v>
      </c>
      <c r="GR94" s="12">
        <f>GR$4 * IF(AND(GQ$4=1,GN$20=1), HA94, GY94)</f>
        <v>0</v>
      </c>
      <c r="GS94" s="12">
        <f>GS$4 * IF(AND(GR$4=1,GN$20=1), HA94, GY94)</f>
        <v>0</v>
      </c>
      <c r="GT94" s="12">
        <f>GT$4 * IF(AND(GS$4=1,GN$20=1), HA94, GY94)</f>
        <v>0</v>
      </c>
      <c r="GU94" s="12">
        <f>GU$4 * IF(AND(GT$4=1,GN$20=1), HA94, GY94)</f>
        <v>0</v>
      </c>
      <c r="GV94" s="12">
        <f>GV$4 * IF(AND(GU$4=1,GN$20=1), HA94, GY94)</f>
        <v>0</v>
      </c>
      <c r="GX94" t="s">
        <v>1304</v>
      </c>
      <c r="GY94">
        <f>_xlfn.XLOOKUP(GX94,'KPI Impacts'!$B$2:$H$2,'KPI Impacts'!$B94:$H94)</f>
        <v>0</v>
      </c>
      <c r="GZ94" s="35" t="s">
        <v>1304</v>
      </c>
      <c r="HA94">
        <f>_xlfn.XLOOKUP(GZ94,'KPI Impacts'!$B$2:$H$2,'KPI Impacts'!$B94:$H94)</f>
        <v>0</v>
      </c>
      <c r="HD94" s="12">
        <f>HD$4*HO94</f>
        <v>0</v>
      </c>
      <c r="HE94" s="12">
        <f>HE$4 * IF(AND(HD$4=1,HD$20=1), HQ94, HO94)</f>
        <v>0</v>
      </c>
      <c r="HF94" s="12">
        <f>HF$4 * IF(AND(HE$4=1,HD$20=1), HQ94, HO94)</f>
        <v>0</v>
      </c>
      <c r="HG94" s="12">
        <f>HG$4 * IF(AND(HF$4=1,HD$20=1), HQ94, HO94)</f>
        <v>0</v>
      </c>
      <c r="HH94" s="12">
        <f>HH$4 * IF(AND(HG$4=1,HD$20=1), HQ94, HO94)</f>
        <v>0</v>
      </c>
      <c r="HI94" s="12">
        <f>HI$4 * IF(AND(HH$4=1,HD$20=1), HQ94, HO94)</f>
        <v>0</v>
      </c>
      <c r="HJ94" s="12">
        <f>HJ$4 * IF(AND(HI$4=1,HD$20=1), HQ94, HO94)</f>
        <v>0</v>
      </c>
      <c r="HK94" s="12">
        <f>HK$4 * IF(AND(HJ$4=1,HD$20=1), HQ94, HO94)</f>
        <v>0</v>
      </c>
      <c r="HL94" s="12">
        <f>HL$4 * IF(AND(HK$4=1,HD$20=1), HQ94, HO94)</f>
        <v>0</v>
      </c>
      <c r="HN94" t="s">
        <v>1304</v>
      </c>
      <c r="HO94">
        <f>_xlfn.XLOOKUP(HN94,'KPI Impacts'!$B$2:$H$2,'KPI Impacts'!$B94:$H94)</f>
        <v>0</v>
      </c>
      <c r="HP94" s="35" t="s">
        <v>1304</v>
      </c>
      <c r="HQ94">
        <f>_xlfn.XLOOKUP(HP94,'KPI Impacts'!$B$2:$H$2,'KPI Impacts'!$B94:$H94)</f>
        <v>0</v>
      </c>
      <c r="HT94" s="12">
        <f>HT$4*IE94</f>
        <v>0</v>
      </c>
      <c r="HU94" s="12">
        <f>HU$4 * IF(AND(HT$4=1,HT$20=1), IG94, IE94)</f>
        <v>0</v>
      </c>
      <c r="HV94" s="12">
        <f>HV$4 * IF(AND(HU$4=1,HT$20=1), IG94, IE94)</f>
        <v>0</v>
      </c>
      <c r="HW94" s="12">
        <f>HW$4 * IF(AND(HV$4=1,HT$20=1), IG94, IE94)</f>
        <v>0</v>
      </c>
      <c r="HX94" s="12">
        <f>HX$4 * IF(AND(HW$4=1,HT$20=1), IG94, IE94)</f>
        <v>0</v>
      </c>
      <c r="HY94" s="12">
        <f>HY$4 * IF(AND(HX$4=1,HT$20=1), IG94, IE94)</f>
        <v>0</v>
      </c>
      <c r="HZ94" s="12">
        <f>HZ$4 * IF(AND(HY$4=1,HT$20=1), IG94, IE94)</f>
        <v>0</v>
      </c>
      <c r="IA94" s="12">
        <f>IA$4 * IF(AND(HZ$4=1,HT$20=1), IG94, IE94)</f>
        <v>0</v>
      </c>
      <c r="IB94" s="12">
        <f>IB$4 * IF(AND(IA$4=1,HT$20=1), IG94, IE94)</f>
        <v>0</v>
      </c>
      <c r="ID94" t="s">
        <v>1304</v>
      </c>
      <c r="IE94">
        <f>_xlfn.XLOOKUP(ID94,'KPI Impacts'!$B$2:$H$2,'KPI Impacts'!$B94:$H94)</f>
        <v>0</v>
      </c>
      <c r="IF94" s="35" t="s">
        <v>1304</v>
      </c>
      <c r="IG94">
        <f>_xlfn.XLOOKUP(IF94,'KPI Impacts'!$B$2:$H$2,'KPI Impacts'!$B94:$H94)</f>
        <v>0</v>
      </c>
      <c r="IJ94" s="12">
        <f>IJ$4*IU94</f>
        <v>0</v>
      </c>
      <c r="IK94" s="12">
        <f>IK$4 * IF(AND(IJ$4=1,IJ$20=1), IW94, IU94)</f>
        <v>0</v>
      </c>
      <c r="IL94" s="12">
        <f>IL$4 * IF(AND(IK$4=1,IJ$20=1), IW94, IU94)</f>
        <v>0</v>
      </c>
      <c r="IM94" s="12">
        <f>IM$4 * IF(AND(IL$4=1,IJ$20=1), IW94, IU94)</f>
        <v>0</v>
      </c>
      <c r="IN94" s="12">
        <f>IN$4 * IF(AND(IM$4=1,IJ$20=1), IW94, IU94)</f>
        <v>0</v>
      </c>
      <c r="IO94" s="12">
        <f>IO$4 * IF(AND(IN$4=1,IJ$20=1), IW94, IU94)</f>
        <v>0</v>
      </c>
      <c r="IP94" s="12">
        <f>IP$4 * IF(AND(IO$4=1,IJ$20=1), IW94, IU94)</f>
        <v>0</v>
      </c>
      <c r="IQ94" s="12">
        <f>IQ$4 * IF(AND(IP$4=1,IJ$20=1), IW94, IU94)</f>
        <v>0</v>
      </c>
      <c r="IR94" s="12">
        <f>IR$4 * IF(AND(IQ$4=1,IJ$20=1), IW94, IU94)</f>
        <v>0</v>
      </c>
      <c r="IT94" t="s">
        <v>1304</v>
      </c>
      <c r="IU94">
        <f>_xlfn.XLOOKUP(IT94,'KPI Impacts'!$B$2:$H$2,'KPI Impacts'!$B94:$H94)</f>
        <v>0</v>
      </c>
      <c r="IV94" s="35" t="s">
        <v>1304</v>
      </c>
      <c r="IW94">
        <f>_xlfn.XLOOKUP(IV94,'KPI Impacts'!$B$2:$H$2,'KPI Impacts'!$B94:$H94)</f>
        <v>0</v>
      </c>
      <c r="IZ94" s="12">
        <f>IZ$4*JK94</f>
        <v>0</v>
      </c>
      <c r="JA94" s="12">
        <f>JA$4 * IF(AND(IZ$4=1,IZ$20=1), JM94, JK94)</f>
        <v>0</v>
      </c>
      <c r="JB94" s="12">
        <f>JB$4 * IF(AND(JA$4=1,IZ$20=1), JM94, JK94)</f>
        <v>0</v>
      </c>
      <c r="JC94" s="12">
        <f>JC$4 * IF(AND(JB$4=1,IZ$20=1), JM94, JK94)</f>
        <v>0</v>
      </c>
      <c r="JD94" s="12">
        <f>JD$4 * IF(AND(JC$4=1,IZ$20=1), JM94, JK94)</f>
        <v>0</v>
      </c>
      <c r="JE94" s="12">
        <f>JE$4 * IF(AND(JD$4=1,IZ$20=1), JM94, JK94)</f>
        <v>0</v>
      </c>
      <c r="JF94" s="12">
        <f>JF$4 * IF(AND(JE$4=1,IZ$20=1), JM94, JK94)</f>
        <v>0</v>
      </c>
      <c r="JG94" s="12">
        <f>JG$4 * IF(AND(JF$4=1,IZ$20=1), JM94, JK94)</f>
        <v>0</v>
      </c>
      <c r="JH94" s="12">
        <f>JH$4 * IF(AND(JG$4=1,IZ$20=1), JM94, JK94)</f>
        <v>0</v>
      </c>
      <c r="JJ94" t="s">
        <v>1304</v>
      </c>
      <c r="JK94">
        <f>_xlfn.XLOOKUP(JJ94,'KPI Impacts'!$B$2:$H$2,'KPI Impacts'!$B94:$H94)</f>
        <v>0</v>
      </c>
      <c r="JL94" s="35" t="s">
        <v>1304</v>
      </c>
      <c r="JM94">
        <f>_xlfn.XLOOKUP(JL94,'KPI Impacts'!$B$2:$H$2,'KPI Impacts'!$B94:$H94)</f>
        <v>0</v>
      </c>
      <c r="JP94" s="12">
        <f>JP$4*KA94</f>
        <v>0</v>
      </c>
      <c r="JQ94" s="12">
        <f>JQ$4 * IF(AND(JP$4=1,JP$20=1), KC94, KA94)</f>
        <v>0</v>
      </c>
      <c r="JR94" s="12">
        <f>JR$4 * IF(AND(JQ$4=1,JP$20=1), KC94, KA94)</f>
        <v>0</v>
      </c>
      <c r="JS94" s="12">
        <f>JS$4 * IF(AND(JR$4=1,JP$20=1), KC94, KA94)</f>
        <v>0</v>
      </c>
      <c r="JT94" s="12">
        <f>JT$4 * IF(AND(JS$4=1,JP$20=1), KC94, KA94)</f>
        <v>0</v>
      </c>
      <c r="JU94" s="12">
        <f>JU$4 * IF(AND(JT$4=1,JP$20=1), KC94, KA94)</f>
        <v>0</v>
      </c>
      <c r="JV94" s="12">
        <f>JV$4 * IF(AND(JU$4=1,JP$20=1), KC94, KA94)</f>
        <v>0</v>
      </c>
      <c r="JW94" s="12">
        <f>JW$4 * IF(AND(JV$4=1,JP$20=1), KC94, KA94)</f>
        <v>0</v>
      </c>
      <c r="JX94" s="12">
        <f>JX$4 * IF(AND(JW$4=1,JP$20=1), KC94, KA94)</f>
        <v>0</v>
      </c>
      <c r="JZ94" t="s">
        <v>1304</v>
      </c>
      <c r="KA94">
        <f>_xlfn.XLOOKUP(JZ94,'KPI Impacts'!$B$2:$H$2,'KPI Impacts'!$B94:$H94)</f>
        <v>0</v>
      </c>
      <c r="KB94" s="35" t="s">
        <v>1304</v>
      </c>
      <c r="KC94">
        <f>_xlfn.XLOOKUP(KB94,'KPI Impacts'!$B$2:$H$2,'KPI Impacts'!$B94:$H94)</f>
        <v>0</v>
      </c>
      <c r="KF94" s="12">
        <f>KF$4*KQ94</f>
        <v>0</v>
      </c>
      <c r="KG94" s="12">
        <f>KG$4 * IF(AND(KF$4=1,KF$20=1), KS94, KQ94)</f>
        <v>0</v>
      </c>
      <c r="KH94" s="12">
        <f>KH$4 * IF(AND(KG$4=1,KF$20=1), KS94, KQ94)</f>
        <v>0</v>
      </c>
      <c r="KI94" s="12">
        <f>KI$4 * IF(AND(KH$4=1,KF$20=1), KS94, KQ94)</f>
        <v>0</v>
      </c>
      <c r="KJ94" s="12">
        <f>KJ$4 * IF(AND(KI$4=1,KF$20=1), KS94, KQ94)</f>
        <v>0</v>
      </c>
      <c r="KK94" s="12">
        <f>KK$4 * IF(AND(KJ$4=1,KF$20=1), KS94, KQ94)</f>
        <v>0</v>
      </c>
      <c r="KL94" s="12">
        <f>KL$4 * IF(AND(KK$4=1,KF$20=1), KS94, KQ94)</f>
        <v>0</v>
      </c>
      <c r="KM94" s="12">
        <f>KM$4 * IF(AND(KL$4=1,KF$20=1), KS94, KQ94)</f>
        <v>0</v>
      </c>
      <c r="KN94" s="12">
        <f>KN$4 * IF(AND(KM$4=1,KF$20=1), KS94, KQ94)</f>
        <v>0</v>
      </c>
      <c r="KP94" t="s">
        <v>1304</v>
      </c>
      <c r="KQ94">
        <f>_xlfn.XLOOKUP(KP94,'KPI Impacts'!$B$2:$H$2,'KPI Impacts'!$B94:$H94)</f>
        <v>0</v>
      </c>
      <c r="KR94" s="35" t="s">
        <v>1304</v>
      </c>
      <c r="KS94">
        <f>_xlfn.XLOOKUP(KR94,'KPI Impacts'!$B$2:$H$2,'KPI Impacts'!$B94:$H94)</f>
        <v>0</v>
      </c>
      <c r="KV94" s="12">
        <f>KV$4*LG94</f>
        <v>0</v>
      </c>
      <c r="KW94" s="12">
        <f>KW$4 * IF(AND(KV$4=1,KV$20=1), LI94, LG94)</f>
        <v>0</v>
      </c>
      <c r="KX94" s="12">
        <f>KX$4 * IF(AND(KW$4=1,KV$20=1), LI94, LG94)</f>
        <v>0</v>
      </c>
      <c r="KY94" s="12">
        <f>KY$4 * IF(AND(KX$4=1,KV$20=1), LI94, LG94)</f>
        <v>0</v>
      </c>
      <c r="KZ94" s="12">
        <f>KZ$4 * IF(AND(KY$4=1,KV$20=1), LI94, LG94)</f>
        <v>0</v>
      </c>
      <c r="LA94" s="12">
        <f>LA$4 * IF(AND(KZ$4=1,KV$20=1), LI94, LG94)</f>
        <v>0</v>
      </c>
      <c r="LB94" s="12">
        <f>LB$4 * IF(AND(LA$4=1,KV$20=1), LI94, LG94)</f>
        <v>0</v>
      </c>
      <c r="LC94" s="12">
        <f>LC$4 * IF(AND(LB$4=1,KV$20=1), LI94, LG94)</f>
        <v>0</v>
      </c>
      <c r="LD94" s="12">
        <f>LD$4 * IF(AND(LC$4=1,KV$20=1), LI94, LG94)</f>
        <v>0</v>
      </c>
      <c r="LF94" t="s">
        <v>1304</v>
      </c>
      <c r="LG94">
        <f>_xlfn.XLOOKUP(LF94,'KPI Impacts'!$B$2:$H$2,'KPI Impacts'!$B94:$H94)</f>
        <v>0</v>
      </c>
      <c r="LH94" s="35" t="s">
        <v>1304</v>
      </c>
      <c r="LI94">
        <f>_xlfn.XLOOKUP(LH94,'KPI Impacts'!$B$2:$H$2,'KPI Impacts'!$B94:$H94)</f>
        <v>0</v>
      </c>
      <c r="LL94" s="12">
        <f>LL$4*LW94</f>
        <v>0</v>
      </c>
      <c r="LM94" s="12">
        <f>LM$4 * IF(AND(LL$4=1,LL$20=1), LY94, LW94)</f>
        <v>0</v>
      </c>
      <c r="LN94" s="12">
        <f>LN$4 * IF(AND(LM$4=1,LL$20=1), LY94, LW94)</f>
        <v>0</v>
      </c>
      <c r="LO94" s="12">
        <f>LO$4 * IF(AND(LN$4=1,LL$20=1), LY94, LW94)</f>
        <v>0</v>
      </c>
      <c r="LP94" s="12">
        <f>LP$4 * IF(AND(LO$4=1,LL$20=1), LY94, LW94)</f>
        <v>0</v>
      </c>
      <c r="LQ94" s="12">
        <f>LQ$4 * IF(AND(LP$4=1,LL$20=1), LY94, LW94)</f>
        <v>0</v>
      </c>
      <c r="LR94" s="12">
        <f>LR$4 * IF(AND(LQ$4=1,LL$20=1), LY94, LW94)</f>
        <v>0</v>
      </c>
      <c r="LS94" s="12">
        <f>LS$4 * IF(AND(LR$4=1,LL$20=1), LY94, LW94)</f>
        <v>0</v>
      </c>
      <c r="LT94" s="12">
        <f>LT$4 * IF(AND(LS$4=1,LL$20=1), LY94, LW94)</f>
        <v>0</v>
      </c>
      <c r="LV94" t="s">
        <v>1304</v>
      </c>
      <c r="LW94">
        <f>_xlfn.XLOOKUP(LV94,'KPI Impacts'!$B$2:$H$2,'KPI Impacts'!$B94:$H94)</f>
        <v>0</v>
      </c>
      <c r="LX94" s="35" t="s">
        <v>1304</v>
      </c>
      <c r="LY94">
        <f>_xlfn.XLOOKUP(LX94,'KPI Impacts'!$B$2:$H$2,'KPI Impacts'!$B94:$H94)</f>
        <v>0</v>
      </c>
      <c r="MB94" s="12">
        <f>MB$4*MM94</f>
        <v>0</v>
      </c>
      <c r="MC94" s="12">
        <f>MC$4 * IF(AND(MB$4=1,MB$20=1), MO94, MM94)</f>
        <v>0</v>
      </c>
      <c r="MD94" s="12">
        <f>MD$4 * IF(AND(MC$4=1,MB$20=1), MO94, MM94)</f>
        <v>0</v>
      </c>
      <c r="ME94" s="12">
        <f>ME$4 * IF(AND(MD$4=1,MB$20=1), MO94, MM94)</f>
        <v>0</v>
      </c>
      <c r="MF94" s="12">
        <f>MF$4 * IF(AND(ME$4=1,MB$20=1), MO94, MM94)</f>
        <v>0</v>
      </c>
      <c r="MG94" s="12">
        <f>MG$4 * IF(AND(MF$4=1,MB$20=1), MO94, MM94)</f>
        <v>0</v>
      </c>
      <c r="MH94" s="12">
        <f>MH$4 * IF(AND(MG$4=1,MB$20=1), MO94, MM94)</f>
        <v>0</v>
      </c>
      <c r="MI94" s="12">
        <f>MI$4 * IF(AND(MH$4=1,MB$20=1), MO94, MM94)</f>
        <v>0</v>
      </c>
      <c r="MJ94" s="12">
        <f>MJ$4 * IF(AND(MI$4=1,MB$20=1), MO94, MM94)</f>
        <v>0</v>
      </c>
      <c r="ML94" t="s">
        <v>1304</v>
      </c>
      <c r="MM94">
        <f>_xlfn.XLOOKUP(ML94,'KPI Impacts'!$B$2:$H$2,'KPI Impacts'!$B94:$H94)</f>
        <v>0</v>
      </c>
      <c r="MN94" s="35" t="s">
        <v>1304</v>
      </c>
      <c r="MO94">
        <f>_xlfn.XLOOKUP(MN94,'KPI Impacts'!$B$2:$H$2,'KPI Impacts'!$B94:$H94)</f>
        <v>0</v>
      </c>
      <c r="MR94" s="12">
        <f>MR$4*NC94</f>
        <v>0</v>
      </c>
      <c r="MS94" s="12">
        <f>MS$4 * IF(AND(MR$4=1,MR$20=1), NE94, NC94)</f>
        <v>0</v>
      </c>
      <c r="MT94" s="12">
        <f>MT$4 * IF(AND(MS$4=1,MR$20=1), NE94, NC94)</f>
        <v>0</v>
      </c>
      <c r="MU94" s="12">
        <f>MU$4 * IF(AND(MT$4=1,MR$20=1), NE94, NC94)</f>
        <v>0</v>
      </c>
      <c r="MV94" s="12">
        <f>MV$4 * IF(AND(MU$4=1,MR$20=1), NE94, NC94)</f>
        <v>0</v>
      </c>
      <c r="MW94" s="12">
        <f>MW$4 * IF(AND(MV$4=1,MR$20=1), NE94, NC94)</f>
        <v>0</v>
      </c>
      <c r="MX94" s="12">
        <f>MX$4 * IF(AND(MW$4=1,MR$20=1), NE94, NC94)</f>
        <v>0</v>
      </c>
      <c r="MY94" s="12">
        <f>MY$4 * IF(AND(MX$4=1,MR$20=1), NE94, NC94)</f>
        <v>0</v>
      </c>
      <c r="MZ94" s="12">
        <f>MZ$4 * IF(AND(MY$4=1,MR$20=1), NE94, NC94)</f>
        <v>0</v>
      </c>
      <c r="NB94" t="s">
        <v>1304</v>
      </c>
      <c r="NC94">
        <f>_xlfn.XLOOKUP(NB94,'KPI Impacts'!$B$2:$H$2,'KPI Impacts'!$B94:$H94)</f>
        <v>0</v>
      </c>
      <c r="ND94" s="35" t="s">
        <v>1304</v>
      </c>
      <c r="NE94">
        <f>_xlfn.XLOOKUP(ND94,'KPI Impacts'!$B$2:$H$2,'KPI Impacts'!$B94:$H94)</f>
        <v>0</v>
      </c>
      <c r="NH94" s="12">
        <f>NH$4*NS94</f>
        <v>0</v>
      </c>
      <c r="NI94" s="12">
        <f>NI$4 * IF(AND(NH$4=1,NH$20=1), NU94, NS94)</f>
        <v>0</v>
      </c>
      <c r="NJ94" s="12">
        <f>NJ$4 * IF(AND(NI$4=1,NH$20=1), NU94, NS94)</f>
        <v>0</v>
      </c>
      <c r="NK94" s="12">
        <f>NK$4 * IF(AND(NJ$4=1,NH$20=1), NU94, NS94)</f>
        <v>0</v>
      </c>
      <c r="NL94" s="12">
        <f>NL$4 * IF(AND(NK$4=1,NH$20=1), NU94, NS94)</f>
        <v>0</v>
      </c>
      <c r="NM94" s="12">
        <f>NM$4 * IF(AND(NL$4=1,NH$20=1), NU94, NS94)</f>
        <v>0</v>
      </c>
      <c r="NN94" s="12">
        <f>NN$4 * IF(AND(NM$4=1,NH$20=1), NU94, NS94)</f>
        <v>0</v>
      </c>
      <c r="NO94" s="12">
        <f>NO$4 * IF(AND(NN$4=1,NH$20=1), NU94, NS94)</f>
        <v>0</v>
      </c>
      <c r="NP94" s="12">
        <f>NP$4 * IF(AND(NO$4=1,NH$20=1), NU94, NS94)</f>
        <v>0</v>
      </c>
      <c r="NR94" t="s">
        <v>1304</v>
      </c>
      <c r="NS94">
        <f>_xlfn.XLOOKUP(NR94,'KPI Impacts'!$B$2:$H$2,'KPI Impacts'!$B94:$H94)</f>
        <v>0</v>
      </c>
      <c r="NT94" s="35" t="s">
        <v>1304</v>
      </c>
      <c r="NU94">
        <f>_xlfn.XLOOKUP(NT94,'KPI Impacts'!$B$2:$H$2,'KPI Impacts'!$B94:$H94)</f>
        <v>0</v>
      </c>
      <c r="NX94" s="12">
        <f>NX$4*OI94</f>
        <v>0</v>
      </c>
      <c r="NY94" s="12">
        <f>NY$4 * IF(AND(NX$4=1,NX$20=1), OK94, OI94)</f>
        <v>0</v>
      </c>
      <c r="NZ94" s="12">
        <f>NZ$4 * IF(AND(NY$4=1,NX$20=1), OK94, OI94)</f>
        <v>0</v>
      </c>
      <c r="OA94" s="12">
        <f>OA$4 * IF(AND(NZ$4=1,NX$20=1), OK94, OI94)</f>
        <v>0</v>
      </c>
      <c r="OB94" s="12">
        <f>OB$4 * IF(AND(OA$4=1,NX$20=1), OK94, OI94)</f>
        <v>0</v>
      </c>
      <c r="OC94" s="12">
        <f>OC$4 * IF(AND(OB$4=1,NX$20=1), OK94, OI94)</f>
        <v>0</v>
      </c>
      <c r="OD94" s="12">
        <f>OD$4 * IF(AND(OC$4=1,NX$20=1), OK94, OI94)</f>
        <v>0</v>
      </c>
      <c r="OE94" s="12">
        <f>OE$4 * IF(AND(OD$4=1,NX$20=1), OK94, OI94)</f>
        <v>0</v>
      </c>
      <c r="OF94" s="12">
        <f>OF$4 * IF(AND(OE$4=1,NX$20=1), OK94, OI94)</f>
        <v>0</v>
      </c>
      <c r="OH94" t="s">
        <v>1304</v>
      </c>
      <c r="OI94">
        <f>_xlfn.XLOOKUP(OH94,'KPI Impacts'!$B$2:$H$2,'KPI Impacts'!$B94:$H94)</f>
        <v>0</v>
      </c>
      <c r="OJ94" s="35" t="s">
        <v>1304</v>
      </c>
      <c r="OK94">
        <f>_xlfn.XLOOKUP(OJ94,'KPI Impacts'!$B$2:$H$2,'KPI Impacts'!$B94:$H94)</f>
        <v>0</v>
      </c>
    </row>
    <row r="95" spans="1:401" x14ac:dyDescent="0.2">
      <c r="A95" t="s">
        <v>1317</v>
      </c>
      <c r="B95" s="12">
        <f t="shared" si="683"/>
        <v>0</v>
      </c>
      <c r="C95" s="12">
        <f t="shared" si="684"/>
        <v>0</v>
      </c>
      <c r="D95" s="12">
        <f t="shared" si="685"/>
        <v>0</v>
      </c>
      <c r="E95" s="12">
        <f t="shared" si="686"/>
        <v>0</v>
      </c>
      <c r="F95" s="12">
        <f t="shared" si="687"/>
        <v>0</v>
      </c>
      <c r="G95" s="12">
        <f t="shared" si="688"/>
        <v>0</v>
      </c>
      <c r="H95" s="12">
        <f t="shared" si="689"/>
        <v>0</v>
      </c>
      <c r="I95" s="12">
        <f t="shared" si="690"/>
        <v>0</v>
      </c>
      <c r="J95" s="12">
        <f t="shared" si="691"/>
        <v>0</v>
      </c>
      <c r="M95" s="6"/>
      <c r="N95" s="6"/>
      <c r="P95" s="12" cm="1">
        <f t="array" ref="P95">_xlfn.SWITCH(P$4, 0,0, 1, AA95,2,AC95,3,AE95,0)</f>
        <v>0</v>
      </c>
      <c r="Q95" s="12" cm="1">
        <f t="array" ref="Q95">_xlfn.SWITCH(Q$4, 0,0, 1, AA95,2,AC95,3,AE95,0)+P95</f>
        <v>0</v>
      </c>
      <c r="R95" s="12" cm="1">
        <f t="array" ref="R95">_xlfn.SWITCH(R$4, 0,0, 1, AA95,2,AC95,3,AE95,0)+Q95</f>
        <v>0</v>
      </c>
      <c r="S95" s="12" cm="1">
        <f t="array" ref="S95">_xlfn.SWITCH(S$4, 0,0, 1, AA95,2,AC95,3,AE95,0)+R95</f>
        <v>0</v>
      </c>
      <c r="T95" s="12" cm="1">
        <f t="array" ref="T95">_xlfn.SWITCH(T$4, 0,0, 1, AA95,2,AC95,3,AE95,0)+S95</f>
        <v>0</v>
      </c>
      <c r="U95" s="12" cm="1">
        <f t="array" ref="U95">_xlfn.SWITCH(U$4, 0,0, 1, AA95,2,AC95,3,AE95,0)+T95</f>
        <v>0</v>
      </c>
      <c r="V95" s="12" cm="1">
        <f t="array" ref="V95">_xlfn.SWITCH(V$4, 0,0, 1, AA95,2,AC95,3,AE95,0)+U95</f>
        <v>0</v>
      </c>
      <c r="W95" s="12" cm="1">
        <f t="array" ref="W95">_xlfn.SWITCH(W$4, 0,0, 1, AA95,2,AC95,3,AE95,0)+V95</f>
        <v>0</v>
      </c>
      <c r="X95" s="12" cm="1">
        <f t="array" ref="X95">_xlfn.SWITCH(X$4, 0,0, 1, AA95,2,AC95,3,AE95,0)+W95</f>
        <v>0</v>
      </c>
      <c r="Z95" t="s">
        <v>1304</v>
      </c>
      <c r="AA95">
        <f>_xlfn.XLOOKUP(Z95,'KPI Impacts'!$K$2:$Q$2,'KPI Impacts'!$K95:$Q95)</f>
        <v>0</v>
      </c>
      <c r="AB95" t="s">
        <v>1304</v>
      </c>
      <c r="AC95">
        <f>_xlfn.XLOOKUP(AB95,'KPI Impacts'!$K$2:$Q$2,'KPI Impacts'!$K95:$Q95)</f>
        <v>0</v>
      </c>
      <c r="AD95" t="s">
        <v>1304</v>
      </c>
      <c r="AE95">
        <f>_xlfn.XLOOKUP(AD95,'KPI Impacts'!$K$2:$Q$2,'KPI Impacts'!$K95:$Q95)</f>
        <v>0</v>
      </c>
      <c r="AH95" s="12" cm="1">
        <f t="array" ref="AH95">_xlfn.SWITCH(AH$4, 0,0, 1, AS95,2,AU95,3,AW95,0)</f>
        <v>0</v>
      </c>
      <c r="AI95" s="12" cm="1">
        <f t="array" ref="AI95">_xlfn.SWITCH(AI$4, 0,0, 1, AS95,2,AU95,3,AW95,0)+AH95</f>
        <v>0</v>
      </c>
      <c r="AJ95" s="12" cm="1">
        <f t="array" ref="AJ95">_xlfn.SWITCH(AJ$4, 0,0, 1, AS95,2,AU95,3,AW95,0)+AI95</f>
        <v>0</v>
      </c>
      <c r="AK95" s="12" cm="1">
        <f t="array" ref="AK95">_xlfn.SWITCH(AK$4, 0,0, 1, AS95,2,AU95,3,AW95,0)+AJ95</f>
        <v>0</v>
      </c>
      <c r="AL95" s="12" cm="1">
        <f t="array" ref="AL95">_xlfn.SWITCH(AL$4, 0,0, 1, AS95,2,AU95,3,AW95,0)+AK95</f>
        <v>0</v>
      </c>
      <c r="AM95" s="12" cm="1">
        <f t="array" ref="AM95">_xlfn.SWITCH(AM$4, 0,0, 1, AS95,2,AU95,3,AW95,0)+AL95</f>
        <v>0</v>
      </c>
      <c r="AN95" s="12" cm="1">
        <f t="array" ref="AN95">_xlfn.SWITCH(AN$4, 0,0, 1, AS95,2,AU95,3,AW95,0)+AM95</f>
        <v>0</v>
      </c>
      <c r="AO95" s="12" cm="1">
        <f t="array" ref="AO95">_xlfn.SWITCH(AO$4, 0,0, 1, AS95,2,AU95,3,AW95,0)+AN95</f>
        <v>0</v>
      </c>
      <c r="AP95" s="12" cm="1">
        <f t="array" ref="AP95">_xlfn.SWITCH(AP$4, 0,0, 1, AS95,2,AU95,3,AW95,0)+AO95</f>
        <v>0</v>
      </c>
      <c r="AR95" t="s">
        <v>1304</v>
      </c>
      <c r="AS95">
        <f>_xlfn.XLOOKUP(AR95,'KPI Impacts'!$K$2:$Q$2,'KPI Impacts'!$K95:$Q95)</f>
        <v>0</v>
      </c>
      <c r="AT95" t="s">
        <v>1304</v>
      </c>
      <c r="AU95">
        <f>_xlfn.XLOOKUP(AT95,'KPI Impacts'!$K$2:$Q$2,'KPI Impacts'!$K95:$Q95)</f>
        <v>0</v>
      </c>
      <c r="AV95" t="s">
        <v>1304</v>
      </c>
      <c r="AW95">
        <f>_xlfn.XLOOKUP(AV95,'KPI Impacts'!$K$2:$Q$2,'KPI Impacts'!$K95:$Q95)</f>
        <v>0</v>
      </c>
      <c r="AZ95" s="12">
        <f>AZ$4*BK95</f>
        <v>0</v>
      </c>
      <c r="BA95" s="12">
        <f>BA$4 * IF(AND(AZ$4=1,AZ$20=1), BM95, BK95)</f>
        <v>0</v>
      </c>
      <c r="BB95" s="12">
        <f>BB$4 * IF(AND(BA$4=1,AZ$20=1), BM95, BK95)</f>
        <v>0</v>
      </c>
      <c r="BC95" s="12">
        <f>BC$4 * IF(AND(BB$4=1,AZ$20=1), BM95, BK95)</f>
        <v>0</v>
      </c>
      <c r="BD95" s="12">
        <f>BD$4 * IF(AND(BC$4=1,AZ$20=1), BM95, BK95)</f>
        <v>0</v>
      </c>
      <c r="BE95" s="12">
        <f>BE$4 * IF(AND(BD$4=1,AZ$20=1), BM95, BK95)</f>
        <v>0</v>
      </c>
      <c r="BF95" s="12">
        <f>BF$4 * IF(AND(BE$4=1,AZ$20=1), BM95, BK95)</f>
        <v>0</v>
      </c>
      <c r="BG95" s="12">
        <f>BG$4 * IF(AND(BF$4=1,AZ$20=1), BM95, BK95)</f>
        <v>0</v>
      </c>
      <c r="BH95" s="12">
        <f>BH$4 * IF(AND(BG$4=1,AZ$20=1), BM95, BK95)</f>
        <v>0</v>
      </c>
      <c r="BJ95" t="s">
        <v>1304</v>
      </c>
      <c r="BK95">
        <f>_xlfn.XLOOKUP(BJ95,'KPI Impacts'!$B$2:$H$2,'KPI Impacts'!$B95:$H95)</f>
        <v>0</v>
      </c>
      <c r="BL95" s="35" t="s">
        <v>1304</v>
      </c>
      <c r="BM95">
        <f>_xlfn.XLOOKUP(BL95,'KPI Impacts'!$B$2:$H$2,'KPI Impacts'!$B95:$H95)</f>
        <v>0</v>
      </c>
      <c r="BP95" s="12">
        <f>BP$4*CA95</f>
        <v>0</v>
      </c>
      <c r="BQ95" s="12">
        <f>BQ$4 * IF(AND(BP$4=1,BP$20=1), CC95, CA95)</f>
        <v>0</v>
      </c>
      <c r="BR95" s="12">
        <f>BR$4 * IF(AND(BQ$4=1,BP$20=1), CC95, CA95)</f>
        <v>0</v>
      </c>
      <c r="BS95" s="12">
        <f>BS$4 * IF(AND(BR$4=1,BP$20=1), CC95, CA95)</f>
        <v>0</v>
      </c>
      <c r="BT95" s="12">
        <f>BT$4 * IF(AND(BS$4=1,BP$20=1), CC95, CA95)</f>
        <v>0</v>
      </c>
      <c r="BU95" s="12">
        <f>BU$4 * IF(AND(BT$4=1,BP$20=1), CC95, CA95)</f>
        <v>0</v>
      </c>
      <c r="BV95" s="12">
        <f>BV$4 * IF(AND(BU$4=1,BP$20=1), CC95, CA95)</f>
        <v>0</v>
      </c>
      <c r="BW95" s="12">
        <f>BW$4 * IF(AND(BV$4=1,BP$20=1), CC95, CA95)</f>
        <v>0</v>
      </c>
      <c r="BX95" s="12">
        <f>BX$4 * IF(AND(BW$4=1,BP$20=1), CC95, CA95)</f>
        <v>0</v>
      </c>
      <c r="BZ95" t="s">
        <v>1304</v>
      </c>
      <c r="CA95">
        <f>_xlfn.XLOOKUP(BZ95,'KPI Impacts'!$B$2:$H$2,'KPI Impacts'!$B95:$H95)</f>
        <v>0</v>
      </c>
      <c r="CB95" s="35" t="s">
        <v>1304</v>
      </c>
      <c r="CC95">
        <f>_xlfn.XLOOKUP(CB95,'KPI Impacts'!$B$2:$H$2,'KPI Impacts'!$B95:$H95)</f>
        <v>0</v>
      </c>
      <c r="CF95" s="12">
        <f>CF$4*CQ95</f>
        <v>0</v>
      </c>
      <c r="CG95" s="12">
        <f>CG$4 * IF(AND(CF$4=1,CF$20=1), CS95, CQ95)</f>
        <v>0</v>
      </c>
      <c r="CH95" s="12">
        <f>CH$4 * IF(AND(CG$4=1,CF$20=1), CS95, CQ95)</f>
        <v>0</v>
      </c>
      <c r="CI95" s="12">
        <f>CI$4 * IF(AND(CH$4=1,CF$20=1), CS95, CQ95)</f>
        <v>0</v>
      </c>
      <c r="CJ95" s="12">
        <f>CJ$4 * IF(AND(CI$4=1,CF$20=1), CS95, CQ95)</f>
        <v>0</v>
      </c>
      <c r="CK95" s="12">
        <f>CK$4 * IF(AND(CJ$4=1,CF$20=1), CS95, CQ95)</f>
        <v>0</v>
      </c>
      <c r="CL95" s="12">
        <f>CL$4 * IF(AND(CK$4=1,CF$20=1), CS95, CQ95)</f>
        <v>0</v>
      </c>
      <c r="CM95" s="12">
        <f>CM$4 * IF(AND(CL$4=1,CF$20=1), CS95, CQ95)</f>
        <v>0</v>
      </c>
      <c r="CN95" s="12">
        <f>CN$4 * IF(AND(CM$4=1,CF$20=1), CS95, CQ95)</f>
        <v>0</v>
      </c>
      <c r="CP95" t="s">
        <v>1304</v>
      </c>
      <c r="CQ95">
        <f>_xlfn.XLOOKUP(CP95,'KPI Impacts'!$B$2:$H$2,'KPI Impacts'!$B95:$H95)</f>
        <v>0</v>
      </c>
      <c r="CR95" s="35" t="s">
        <v>1304</v>
      </c>
      <c r="CS95">
        <f>_xlfn.XLOOKUP(CR95,'KPI Impacts'!$B$2:$H$2,'KPI Impacts'!$B95:$H95)</f>
        <v>0</v>
      </c>
      <c r="CV95" s="12">
        <f>CV$4*DG95</f>
        <v>0</v>
      </c>
      <c r="CW95" s="12">
        <f>CW$4 * IF(AND(CV$4=1,CV$20=1), DI95, DG95)</f>
        <v>0</v>
      </c>
      <c r="CX95" s="12">
        <f>CX$4 * IF(AND(CW$4=1,CV$20=1), DI95, DG95)</f>
        <v>0</v>
      </c>
      <c r="CY95" s="12">
        <f>CY$4 * IF(AND(CX$4=1,CV$20=1), DI95, DG95)</f>
        <v>0</v>
      </c>
      <c r="CZ95" s="12">
        <f>CZ$4 * IF(AND(CY$4=1,CV$20=1), DI95, DG95)</f>
        <v>0</v>
      </c>
      <c r="DA95" s="12">
        <f>DA$4 * IF(AND(CZ$4=1,CV$20=1), DI95, DG95)</f>
        <v>0</v>
      </c>
      <c r="DB95" s="12">
        <f>DB$4 * IF(AND(DA$4=1,CV$20=1), DI95, DG95)</f>
        <v>0</v>
      </c>
      <c r="DC95" s="12">
        <f>DC$4 * IF(AND(DB$4=1,CV$20=1), DI95, DG95)</f>
        <v>0</v>
      </c>
      <c r="DD95" s="12">
        <f>DD$4 * IF(AND(DC$4=1,CV$20=1), DI95, DG95)</f>
        <v>0</v>
      </c>
      <c r="DF95" t="s">
        <v>1304</v>
      </c>
      <c r="DG95">
        <f>_xlfn.XLOOKUP(DF95,'KPI Impacts'!$B$2:$H$2,'KPI Impacts'!$B95:$H95)</f>
        <v>0</v>
      </c>
      <c r="DH95" s="35" t="s">
        <v>1304</v>
      </c>
      <c r="DI95">
        <f>_xlfn.XLOOKUP(DH95,'KPI Impacts'!$B$2:$H$2,'KPI Impacts'!$B95:$H95)</f>
        <v>0</v>
      </c>
      <c r="DL95" s="12">
        <f>DL$4*DW95</f>
        <v>0</v>
      </c>
      <c r="DM95" s="12">
        <f>DM$4 * IF(AND(DL$4=1,DL$20=1), DY95, DW95)</f>
        <v>0</v>
      </c>
      <c r="DN95" s="12">
        <f>DN$4 * IF(AND(DM$4=1,DL$20=1), DY95, DW95)</f>
        <v>0</v>
      </c>
      <c r="DO95" s="12">
        <f>DO$4 * IF(AND(DN$4=1,DL$20=1), DY95, DW95)</f>
        <v>0</v>
      </c>
      <c r="DP95" s="12">
        <f>DP$4 * IF(AND(DO$4=1,DL$20=1), DY95, DW95)</f>
        <v>0</v>
      </c>
      <c r="DQ95" s="12">
        <f>DQ$4 * IF(AND(DP$4=1,DL$20=1), DY95, DW95)</f>
        <v>0</v>
      </c>
      <c r="DR95" s="12">
        <f>DR$4 * IF(AND(DQ$4=1,DL$20=1), DY95, DW95)</f>
        <v>0</v>
      </c>
      <c r="DS95" s="12">
        <f>DS$4 * IF(AND(DR$4=1,DL$20=1), DY95, DW95)</f>
        <v>0</v>
      </c>
      <c r="DT95" s="12">
        <f>DT$4 * IF(AND(DS$4=1,DL$20=1), DY95, DW95)</f>
        <v>0</v>
      </c>
      <c r="DV95" t="s">
        <v>1304</v>
      </c>
      <c r="DW95">
        <f>_xlfn.XLOOKUP(DV95,'KPI Impacts'!$B$2:$H$2,'KPI Impacts'!$B95:$H95)</f>
        <v>0</v>
      </c>
      <c r="DX95" s="35" t="s">
        <v>1304</v>
      </c>
      <c r="DY95">
        <f>_xlfn.XLOOKUP(DX95,'KPI Impacts'!$B$2:$H$2,'KPI Impacts'!$B95:$H95)</f>
        <v>0</v>
      </c>
      <c r="EB95" s="12">
        <f>EB$4*EM95</f>
        <v>0</v>
      </c>
      <c r="EC95" s="12">
        <f>EC$4 * IF(AND(EB$4=1,EB$20=1), EO95, EM95)</f>
        <v>0</v>
      </c>
      <c r="ED95" s="12">
        <f>ED$4 * IF(AND(EC$4=1,EB$20=1), EO95, EM95)</f>
        <v>0</v>
      </c>
      <c r="EE95" s="12">
        <f>EE$4 * IF(AND(ED$4=1,EB$20=1), EO95, EM95)</f>
        <v>0</v>
      </c>
      <c r="EF95" s="12">
        <f>EF$4 * IF(AND(EE$4=1,EB$20=1), EO95, EM95)</f>
        <v>0</v>
      </c>
      <c r="EG95" s="12">
        <f>EG$4 * IF(AND(EF$4=1,EB$20=1), EO95, EM95)</f>
        <v>0</v>
      </c>
      <c r="EH95" s="12">
        <f>EH$4 * IF(AND(EG$4=1,EB$20=1), EO95, EM95)</f>
        <v>0</v>
      </c>
      <c r="EI95" s="12">
        <f>EI$4 * IF(AND(EH$4=1,EB$20=1), EO95, EM95)</f>
        <v>0</v>
      </c>
      <c r="EJ95" s="12">
        <f>EJ$4 * IF(AND(EI$4=1,EB$20=1), EO95, EM95)</f>
        <v>0</v>
      </c>
      <c r="EL95" t="s">
        <v>1304</v>
      </c>
      <c r="EM95">
        <f>_xlfn.XLOOKUP(EL95,'KPI Impacts'!$B$2:$H$2,'KPI Impacts'!$B95:$H95)</f>
        <v>0</v>
      </c>
      <c r="EN95" s="35" t="s">
        <v>1304</v>
      </c>
      <c r="EO95">
        <f>_xlfn.XLOOKUP(EN95,'KPI Impacts'!$B$2:$H$2,'KPI Impacts'!$B95:$H95)</f>
        <v>0</v>
      </c>
      <c r="ER95" s="12">
        <f>ER$4*FC95</f>
        <v>0</v>
      </c>
      <c r="ES95" s="12">
        <f>ES$4 * IF(AND(ER$4=1,ER$20=1), FE95, FC95)</f>
        <v>0</v>
      </c>
      <c r="ET95" s="12">
        <f>ET$4 * IF(AND(ES$4=1,ER$20=1), FE95, FC95)</f>
        <v>0</v>
      </c>
      <c r="EU95" s="12">
        <f>EU$4 * IF(AND(ET$4=1,ER$20=1), FE95, FC95)</f>
        <v>0</v>
      </c>
      <c r="EV95" s="12">
        <f>EV$4 * IF(AND(EU$4=1,ER$20=1), FE95, FC95)</f>
        <v>0</v>
      </c>
      <c r="EW95" s="12">
        <f>EW$4 * IF(AND(EV$4=1,ER$20=1), FE95, FC95)</f>
        <v>0</v>
      </c>
      <c r="EX95" s="12">
        <f>EX$4 * IF(AND(EW$4=1,ER$20=1), FE95, FC95)</f>
        <v>0</v>
      </c>
      <c r="EY95" s="12">
        <f>EY$4 * IF(AND(EX$4=1,ER$20=1), FE95, FC95)</f>
        <v>0</v>
      </c>
      <c r="EZ95" s="12">
        <f>EZ$4 * IF(AND(EY$4=1,ER$20=1), FE95, FC95)</f>
        <v>0</v>
      </c>
      <c r="FB95" t="s">
        <v>1304</v>
      </c>
      <c r="FC95">
        <f>_xlfn.XLOOKUP(FB95,'KPI Impacts'!$B$2:$H$2,'KPI Impacts'!$B95:$H95)</f>
        <v>0</v>
      </c>
      <c r="FD95" s="35" t="s">
        <v>1304</v>
      </c>
      <c r="FE95">
        <f>_xlfn.XLOOKUP(FD95,'KPI Impacts'!$B$2:$H$2,'KPI Impacts'!$B95:$H95)</f>
        <v>0</v>
      </c>
      <c r="FH95" s="12">
        <f>FH$4*FS95</f>
        <v>0</v>
      </c>
      <c r="FI95" s="12">
        <f>FI$4 * IF(AND(FH$4=1,FH$20=1), FU95, FS95)</f>
        <v>0</v>
      </c>
      <c r="FJ95" s="12">
        <f>FJ$4 * IF(AND(FI$4=1,FH$20=1), FU95, FS95)</f>
        <v>0</v>
      </c>
      <c r="FK95" s="12">
        <f>FK$4 * IF(AND(FJ$4=1,FH$20=1), FU95, FS95)</f>
        <v>0</v>
      </c>
      <c r="FL95" s="12">
        <f>FL$4 * IF(AND(FK$4=1,FH$20=1), FU95, FS95)</f>
        <v>0</v>
      </c>
      <c r="FM95" s="12">
        <f>FM$4 * IF(AND(FL$4=1,FH$20=1), FU95, FS95)</f>
        <v>0</v>
      </c>
      <c r="FN95" s="12">
        <f>FN$4 * IF(AND(FM$4=1,FH$20=1), FU95, FS95)</f>
        <v>0</v>
      </c>
      <c r="FO95" s="12">
        <f>FO$4 * IF(AND(FN$4=1,FH$20=1), FU95, FS95)</f>
        <v>0</v>
      </c>
      <c r="FP95" s="12">
        <f>FP$4 * IF(AND(FO$4=1,FH$20=1), FU95, FS95)</f>
        <v>0</v>
      </c>
      <c r="FR95" t="s">
        <v>1304</v>
      </c>
      <c r="FS95">
        <f>_xlfn.XLOOKUP(FR95,'KPI Impacts'!$B$2:$H$2,'KPI Impacts'!$B95:$H95)</f>
        <v>0</v>
      </c>
      <c r="FT95" s="35" t="s">
        <v>1304</v>
      </c>
      <c r="FU95">
        <f>_xlfn.XLOOKUP(FT95,'KPI Impacts'!$B$2:$H$2,'KPI Impacts'!$B95:$H95)</f>
        <v>0</v>
      </c>
      <c r="FX95" s="12">
        <f>FX$4*GI95</f>
        <v>0</v>
      </c>
      <c r="FY95" s="12">
        <f>FY$4 * IF(AND(FX$4=1,FX$20=1), GK95, GI95)</f>
        <v>0</v>
      </c>
      <c r="FZ95" s="12">
        <f>FZ$4 * IF(AND(FY$4=1,FX$20=1), GK95, GI95)</f>
        <v>0</v>
      </c>
      <c r="GA95" s="12">
        <f>GA$4 * IF(AND(FZ$4=1,FX$20=1), GK95, GI95)</f>
        <v>0</v>
      </c>
      <c r="GB95" s="12">
        <f>GB$4 * IF(AND(GA$4=1,FX$20=1), GK95, GI95)</f>
        <v>0</v>
      </c>
      <c r="GC95" s="12">
        <f>GC$4 * IF(AND(GB$4=1,FX$20=1), GK95, GI95)</f>
        <v>0</v>
      </c>
      <c r="GD95" s="12">
        <f>GD$4 * IF(AND(GC$4=1,FX$20=1), GK95, GI95)</f>
        <v>0</v>
      </c>
      <c r="GE95" s="12">
        <f>GE$4 * IF(AND(GD$4=1,FX$20=1), GK95, GI95)</f>
        <v>0</v>
      </c>
      <c r="GF95" s="12">
        <f>GF$4 * IF(AND(GE$4=1,FX$20=1), GK95, GI95)</f>
        <v>0</v>
      </c>
      <c r="GH95" t="s">
        <v>1304</v>
      </c>
      <c r="GI95">
        <f>_xlfn.XLOOKUP(GH95,'KPI Impacts'!$B$2:$H$2,'KPI Impacts'!$B95:$H95)</f>
        <v>0</v>
      </c>
      <c r="GJ95" s="35" t="s">
        <v>1304</v>
      </c>
      <c r="GK95">
        <f>_xlfn.XLOOKUP(GJ95,'KPI Impacts'!$B$2:$H$2,'KPI Impacts'!$B95:$H95)</f>
        <v>0</v>
      </c>
      <c r="GN95" s="12">
        <f>GN$4*GY95</f>
        <v>0</v>
      </c>
      <c r="GO95" s="12">
        <f>GO$4 * IF(AND(GN$4=1,GN$20=1), HA95, GY95)</f>
        <v>0</v>
      </c>
      <c r="GP95" s="12">
        <f>GP$4 * IF(AND(GO$4=1,GN$20=1), HA95, GY95)</f>
        <v>0</v>
      </c>
      <c r="GQ95" s="12">
        <f>GQ$4 * IF(AND(GP$4=1,GN$20=1), HA95, GY95)</f>
        <v>0</v>
      </c>
      <c r="GR95" s="12">
        <f>GR$4 * IF(AND(GQ$4=1,GN$20=1), HA95, GY95)</f>
        <v>0</v>
      </c>
      <c r="GS95" s="12">
        <f>GS$4 * IF(AND(GR$4=1,GN$20=1), HA95, GY95)</f>
        <v>0</v>
      </c>
      <c r="GT95" s="12">
        <f>GT$4 * IF(AND(GS$4=1,GN$20=1), HA95, GY95)</f>
        <v>0</v>
      </c>
      <c r="GU95" s="12">
        <f>GU$4 * IF(AND(GT$4=1,GN$20=1), HA95, GY95)</f>
        <v>0</v>
      </c>
      <c r="GV95" s="12">
        <f>GV$4 * IF(AND(GU$4=1,GN$20=1), HA95, GY95)</f>
        <v>0</v>
      </c>
      <c r="GX95" t="s">
        <v>1304</v>
      </c>
      <c r="GY95">
        <f>_xlfn.XLOOKUP(GX95,'KPI Impacts'!$B$2:$H$2,'KPI Impacts'!$B95:$H95)</f>
        <v>0</v>
      </c>
      <c r="GZ95" s="35" t="s">
        <v>1304</v>
      </c>
      <c r="HA95">
        <f>_xlfn.XLOOKUP(GZ95,'KPI Impacts'!$B$2:$H$2,'KPI Impacts'!$B95:$H95)</f>
        <v>0</v>
      </c>
      <c r="HD95" s="12">
        <f>HD$4*HO95</f>
        <v>0</v>
      </c>
      <c r="HE95" s="12">
        <f>HE$4 * IF(AND(HD$4=1,HD$20=1), HQ95, HO95)</f>
        <v>0</v>
      </c>
      <c r="HF95" s="12">
        <f>HF$4 * IF(AND(HE$4=1,HD$20=1), HQ95, HO95)</f>
        <v>0</v>
      </c>
      <c r="HG95" s="12">
        <f>HG$4 * IF(AND(HF$4=1,HD$20=1), HQ95, HO95)</f>
        <v>0</v>
      </c>
      <c r="HH95" s="12">
        <f>HH$4 * IF(AND(HG$4=1,HD$20=1), HQ95, HO95)</f>
        <v>0</v>
      </c>
      <c r="HI95" s="12">
        <f>HI$4 * IF(AND(HH$4=1,HD$20=1), HQ95, HO95)</f>
        <v>0</v>
      </c>
      <c r="HJ95" s="12">
        <f>HJ$4 * IF(AND(HI$4=1,HD$20=1), HQ95, HO95)</f>
        <v>0</v>
      </c>
      <c r="HK95" s="12">
        <f>HK$4 * IF(AND(HJ$4=1,HD$20=1), HQ95, HO95)</f>
        <v>0</v>
      </c>
      <c r="HL95" s="12">
        <f>HL$4 * IF(AND(HK$4=1,HD$20=1), HQ95, HO95)</f>
        <v>0</v>
      </c>
      <c r="HN95" t="s">
        <v>1304</v>
      </c>
      <c r="HO95">
        <f>_xlfn.XLOOKUP(HN95,'KPI Impacts'!$B$2:$H$2,'KPI Impacts'!$B95:$H95)</f>
        <v>0</v>
      </c>
      <c r="HP95" s="35" t="s">
        <v>1304</v>
      </c>
      <c r="HQ95">
        <f>_xlfn.XLOOKUP(HP95,'KPI Impacts'!$B$2:$H$2,'KPI Impacts'!$B95:$H95)</f>
        <v>0</v>
      </c>
      <c r="HT95" s="12">
        <f>HT$4*IE95</f>
        <v>0</v>
      </c>
      <c r="HU95" s="12">
        <f>HU$4 * IF(AND(HT$4=1,HT$20=1), IG95, IE95)</f>
        <v>0</v>
      </c>
      <c r="HV95" s="12">
        <f>HV$4 * IF(AND(HU$4=1,HT$20=1), IG95, IE95)</f>
        <v>0</v>
      </c>
      <c r="HW95" s="12">
        <f>HW$4 * IF(AND(HV$4=1,HT$20=1), IG95, IE95)</f>
        <v>0</v>
      </c>
      <c r="HX95" s="12">
        <f>HX$4 * IF(AND(HW$4=1,HT$20=1), IG95, IE95)</f>
        <v>0</v>
      </c>
      <c r="HY95" s="12">
        <f>HY$4 * IF(AND(HX$4=1,HT$20=1), IG95, IE95)</f>
        <v>0</v>
      </c>
      <c r="HZ95" s="12">
        <f>HZ$4 * IF(AND(HY$4=1,HT$20=1), IG95, IE95)</f>
        <v>0</v>
      </c>
      <c r="IA95" s="12">
        <f>IA$4 * IF(AND(HZ$4=1,HT$20=1), IG95, IE95)</f>
        <v>0</v>
      </c>
      <c r="IB95" s="12">
        <f>IB$4 * IF(AND(IA$4=1,HT$20=1), IG95, IE95)</f>
        <v>0</v>
      </c>
      <c r="ID95" t="s">
        <v>1304</v>
      </c>
      <c r="IE95">
        <f>_xlfn.XLOOKUP(ID95,'KPI Impacts'!$B$2:$H$2,'KPI Impacts'!$B95:$H95)</f>
        <v>0</v>
      </c>
      <c r="IF95" s="35" t="s">
        <v>1304</v>
      </c>
      <c r="IG95">
        <f>_xlfn.XLOOKUP(IF95,'KPI Impacts'!$B$2:$H$2,'KPI Impacts'!$B95:$H95)</f>
        <v>0</v>
      </c>
      <c r="IJ95" s="12">
        <f>IJ$4*IU95</f>
        <v>0</v>
      </c>
      <c r="IK95" s="12">
        <f>IK$4 * IF(AND(IJ$4=1,IJ$20=1), IW95, IU95)</f>
        <v>0</v>
      </c>
      <c r="IL95" s="12">
        <f>IL$4 * IF(AND(IK$4=1,IJ$20=1), IW95, IU95)</f>
        <v>0</v>
      </c>
      <c r="IM95" s="12">
        <f>IM$4 * IF(AND(IL$4=1,IJ$20=1), IW95, IU95)</f>
        <v>0</v>
      </c>
      <c r="IN95" s="12">
        <f>IN$4 * IF(AND(IM$4=1,IJ$20=1), IW95, IU95)</f>
        <v>0</v>
      </c>
      <c r="IO95" s="12">
        <f>IO$4 * IF(AND(IN$4=1,IJ$20=1), IW95, IU95)</f>
        <v>0</v>
      </c>
      <c r="IP95" s="12">
        <f>IP$4 * IF(AND(IO$4=1,IJ$20=1), IW95, IU95)</f>
        <v>0</v>
      </c>
      <c r="IQ95" s="12">
        <f>IQ$4 * IF(AND(IP$4=1,IJ$20=1), IW95, IU95)</f>
        <v>0</v>
      </c>
      <c r="IR95" s="12">
        <f>IR$4 * IF(AND(IQ$4=1,IJ$20=1), IW95, IU95)</f>
        <v>0</v>
      </c>
      <c r="IT95" t="s">
        <v>1304</v>
      </c>
      <c r="IU95">
        <f>_xlfn.XLOOKUP(IT95,'KPI Impacts'!$B$2:$H$2,'KPI Impacts'!$B95:$H95)</f>
        <v>0</v>
      </c>
      <c r="IV95" s="35" t="s">
        <v>1304</v>
      </c>
      <c r="IW95">
        <f>_xlfn.XLOOKUP(IV95,'KPI Impacts'!$B$2:$H$2,'KPI Impacts'!$B95:$H95)</f>
        <v>0</v>
      </c>
      <c r="IZ95" s="12">
        <f>IZ$4*JK95</f>
        <v>0</v>
      </c>
      <c r="JA95" s="12">
        <f>JA$4 * IF(AND(IZ$4=1,IZ$20=1), JM95, JK95)</f>
        <v>0</v>
      </c>
      <c r="JB95" s="12">
        <f>JB$4 * IF(AND(JA$4=1,IZ$20=1), JM95, JK95)</f>
        <v>0</v>
      </c>
      <c r="JC95" s="12">
        <f>JC$4 * IF(AND(JB$4=1,IZ$20=1), JM95, JK95)</f>
        <v>0</v>
      </c>
      <c r="JD95" s="12">
        <f>JD$4 * IF(AND(JC$4=1,IZ$20=1), JM95, JK95)</f>
        <v>0</v>
      </c>
      <c r="JE95" s="12">
        <f>JE$4 * IF(AND(JD$4=1,IZ$20=1), JM95, JK95)</f>
        <v>0</v>
      </c>
      <c r="JF95" s="12">
        <f>JF$4 * IF(AND(JE$4=1,IZ$20=1), JM95, JK95)</f>
        <v>0</v>
      </c>
      <c r="JG95" s="12">
        <f>JG$4 * IF(AND(JF$4=1,IZ$20=1), JM95, JK95)</f>
        <v>0</v>
      </c>
      <c r="JH95" s="12">
        <f>JH$4 * IF(AND(JG$4=1,IZ$20=1), JM95, JK95)</f>
        <v>0</v>
      </c>
      <c r="JJ95" t="s">
        <v>1304</v>
      </c>
      <c r="JK95">
        <f>_xlfn.XLOOKUP(JJ95,'KPI Impacts'!$B$2:$H$2,'KPI Impacts'!$B95:$H95)</f>
        <v>0</v>
      </c>
      <c r="JL95" s="35" t="s">
        <v>1304</v>
      </c>
      <c r="JM95">
        <f>_xlfn.XLOOKUP(JL95,'KPI Impacts'!$B$2:$H$2,'KPI Impacts'!$B95:$H95)</f>
        <v>0</v>
      </c>
      <c r="JP95" s="12">
        <f>JP$4*KA95</f>
        <v>0</v>
      </c>
      <c r="JQ95" s="12">
        <f>JQ$4 * IF(AND(JP$4=1,JP$20=1), KC95, KA95)</f>
        <v>0</v>
      </c>
      <c r="JR95" s="12">
        <f>JR$4 * IF(AND(JQ$4=1,JP$20=1), KC95, KA95)</f>
        <v>0</v>
      </c>
      <c r="JS95" s="12">
        <f>JS$4 * IF(AND(JR$4=1,JP$20=1), KC95, KA95)</f>
        <v>0</v>
      </c>
      <c r="JT95" s="12">
        <f>JT$4 * IF(AND(JS$4=1,JP$20=1), KC95, KA95)</f>
        <v>0</v>
      </c>
      <c r="JU95" s="12">
        <f>JU$4 * IF(AND(JT$4=1,JP$20=1), KC95, KA95)</f>
        <v>0</v>
      </c>
      <c r="JV95" s="12">
        <f>JV$4 * IF(AND(JU$4=1,JP$20=1), KC95, KA95)</f>
        <v>0</v>
      </c>
      <c r="JW95" s="12">
        <f>JW$4 * IF(AND(JV$4=1,JP$20=1), KC95, KA95)</f>
        <v>0</v>
      </c>
      <c r="JX95" s="12">
        <f>JX$4 * IF(AND(JW$4=1,JP$20=1), KC95, KA95)</f>
        <v>0</v>
      </c>
      <c r="JZ95" t="s">
        <v>1304</v>
      </c>
      <c r="KA95">
        <f>_xlfn.XLOOKUP(JZ95,'KPI Impacts'!$B$2:$H$2,'KPI Impacts'!$B95:$H95)</f>
        <v>0</v>
      </c>
      <c r="KB95" s="35" t="s">
        <v>1304</v>
      </c>
      <c r="KC95">
        <f>_xlfn.XLOOKUP(KB95,'KPI Impacts'!$B$2:$H$2,'KPI Impacts'!$B95:$H95)</f>
        <v>0</v>
      </c>
      <c r="KF95" s="12">
        <f>KF$4*KQ95</f>
        <v>0</v>
      </c>
      <c r="KG95" s="12">
        <f>KG$4 * IF(AND(KF$4=1,KF$20=1), KS95, KQ95)</f>
        <v>0</v>
      </c>
      <c r="KH95" s="12">
        <f>KH$4 * IF(AND(KG$4=1,KF$20=1), KS95, KQ95)</f>
        <v>0</v>
      </c>
      <c r="KI95" s="12">
        <f>KI$4 * IF(AND(KH$4=1,KF$20=1), KS95, KQ95)</f>
        <v>0</v>
      </c>
      <c r="KJ95" s="12">
        <f>KJ$4 * IF(AND(KI$4=1,KF$20=1), KS95, KQ95)</f>
        <v>0</v>
      </c>
      <c r="KK95" s="12">
        <f>KK$4 * IF(AND(KJ$4=1,KF$20=1), KS95, KQ95)</f>
        <v>0</v>
      </c>
      <c r="KL95" s="12">
        <f>KL$4 * IF(AND(KK$4=1,KF$20=1), KS95, KQ95)</f>
        <v>0</v>
      </c>
      <c r="KM95" s="12">
        <f>KM$4 * IF(AND(KL$4=1,KF$20=1), KS95, KQ95)</f>
        <v>0</v>
      </c>
      <c r="KN95" s="12">
        <f>KN$4 * IF(AND(KM$4=1,KF$20=1), KS95, KQ95)</f>
        <v>0</v>
      </c>
      <c r="KP95" t="s">
        <v>1304</v>
      </c>
      <c r="KQ95">
        <f>_xlfn.XLOOKUP(KP95,'KPI Impacts'!$B$2:$H$2,'KPI Impacts'!$B95:$H95)</f>
        <v>0</v>
      </c>
      <c r="KR95" s="35" t="s">
        <v>1304</v>
      </c>
      <c r="KS95">
        <f>_xlfn.XLOOKUP(KR95,'KPI Impacts'!$B$2:$H$2,'KPI Impacts'!$B95:$H95)</f>
        <v>0</v>
      </c>
      <c r="KV95" s="12">
        <f>KV$4*LG95</f>
        <v>0</v>
      </c>
      <c r="KW95" s="12">
        <f>KW$4 * IF(AND(KV$4=1,KV$20=1), LI95, LG95)</f>
        <v>0</v>
      </c>
      <c r="KX95" s="12">
        <f>KX$4 * IF(AND(KW$4=1,KV$20=1), LI95, LG95)</f>
        <v>0</v>
      </c>
      <c r="KY95" s="12">
        <f>KY$4 * IF(AND(KX$4=1,KV$20=1), LI95, LG95)</f>
        <v>0</v>
      </c>
      <c r="KZ95" s="12">
        <f>KZ$4 * IF(AND(KY$4=1,KV$20=1), LI95, LG95)</f>
        <v>0</v>
      </c>
      <c r="LA95" s="12">
        <f>LA$4 * IF(AND(KZ$4=1,KV$20=1), LI95, LG95)</f>
        <v>0</v>
      </c>
      <c r="LB95" s="12">
        <f>LB$4 * IF(AND(LA$4=1,KV$20=1), LI95, LG95)</f>
        <v>0</v>
      </c>
      <c r="LC95" s="12">
        <f>LC$4 * IF(AND(LB$4=1,KV$20=1), LI95, LG95)</f>
        <v>0</v>
      </c>
      <c r="LD95" s="12">
        <f>LD$4 * IF(AND(LC$4=1,KV$20=1), LI95, LG95)</f>
        <v>0</v>
      </c>
      <c r="LF95" t="s">
        <v>1304</v>
      </c>
      <c r="LG95">
        <f>_xlfn.XLOOKUP(LF95,'KPI Impacts'!$B$2:$H$2,'KPI Impacts'!$B95:$H95)</f>
        <v>0</v>
      </c>
      <c r="LH95" s="35" t="s">
        <v>1304</v>
      </c>
      <c r="LI95">
        <f>_xlfn.XLOOKUP(LH95,'KPI Impacts'!$B$2:$H$2,'KPI Impacts'!$B95:$H95)</f>
        <v>0</v>
      </c>
      <c r="LL95" s="12">
        <f>LL$4*LW95</f>
        <v>0</v>
      </c>
      <c r="LM95" s="12">
        <f>LM$4 * IF(AND(LL$4=1,LL$20=1), LY95, LW95)</f>
        <v>0</v>
      </c>
      <c r="LN95" s="12">
        <f>LN$4 * IF(AND(LM$4=1,LL$20=1), LY95, LW95)</f>
        <v>0</v>
      </c>
      <c r="LO95" s="12">
        <f>LO$4 * IF(AND(LN$4=1,LL$20=1), LY95, LW95)</f>
        <v>0</v>
      </c>
      <c r="LP95" s="12">
        <f>LP$4 * IF(AND(LO$4=1,LL$20=1), LY95, LW95)</f>
        <v>0</v>
      </c>
      <c r="LQ95" s="12">
        <f>LQ$4 * IF(AND(LP$4=1,LL$20=1), LY95, LW95)</f>
        <v>0</v>
      </c>
      <c r="LR95" s="12">
        <f>LR$4 * IF(AND(LQ$4=1,LL$20=1), LY95, LW95)</f>
        <v>0</v>
      </c>
      <c r="LS95" s="12">
        <f>LS$4 * IF(AND(LR$4=1,LL$20=1), LY95, LW95)</f>
        <v>0</v>
      </c>
      <c r="LT95" s="12">
        <f>LT$4 * IF(AND(LS$4=1,LL$20=1), LY95, LW95)</f>
        <v>0</v>
      </c>
      <c r="LV95" t="s">
        <v>1304</v>
      </c>
      <c r="LW95">
        <f>_xlfn.XLOOKUP(LV95,'KPI Impacts'!$B$2:$H$2,'KPI Impacts'!$B95:$H95)</f>
        <v>0</v>
      </c>
      <c r="LX95" s="35" t="s">
        <v>1304</v>
      </c>
      <c r="LY95">
        <f>_xlfn.XLOOKUP(LX95,'KPI Impacts'!$B$2:$H$2,'KPI Impacts'!$B95:$H95)</f>
        <v>0</v>
      </c>
      <c r="MB95" s="12">
        <f>MB$4*MM95</f>
        <v>0</v>
      </c>
      <c r="MC95" s="12">
        <f>MC$4 * IF(AND(MB$4=1,MB$20=1), MO95, MM95)</f>
        <v>0</v>
      </c>
      <c r="MD95" s="12">
        <f>MD$4 * IF(AND(MC$4=1,MB$20=1), MO95, MM95)</f>
        <v>0</v>
      </c>
      <c r="ME95" s="12">
        <f>ME$4 * IF(AND(MD$4=1,MB$20=1), MO95, MM95)</f>
        <v>0</v>
      </c>
      <c r="MF95" s="12">
        <f>MF$4 * IF(AND(ME$4=1,MB$20=1), MO95, MM95)</f>
        <v>0</v>
      </c>
      <c r="MG95" s="12">
        <f>MG$4 * IF(AND(MF$4=1,MB$20=1), MO95, MM95)</f>
        <v>0</v>
      </c>
      <c r="MH95" s="12">
        <f>MH$4 * IF(AND(MG$4=1,MB$20=1), MO95, MM95)</f>
        <v>0</v>
      </c>
      <c r="MI95" s="12">
        <f>MI$4 * IF(AND(MH$4=1,MB$20=1), MO95, MM95)</f>
        <v>0</v>
      </c>
      <c r="MJ95" s="12">
        <f>MJ$4 * IF(AND(MI$4=1,MB$20=1), MO95, MM95)</f>
        <v>0</v>
      </c>
      <c r="ML95" t="s">
        <v>1304</v>
      </c>
      <c r="MM95">
        <f>_xlfn.XLOOKUP(ML95,'KPI Impacts'!$B$2:$H$2,'KPI Impacts'!$B95:$H95)</f>
        <v>0</v>
      </c>
      <c r="MN95" s="35" t="s">
        <v>1304</v>
      </c>
      <c r="MO95">
        <f>_xlfn.XLOOKUP(MN95,'KPI Impacts'!$B$2:$H$2,'KPI Impacts'!$B95:$H95)</f>
        <v>0</v>
      </c>
      <c r="MR95" s="12">
        <f>MR$4*NC95</f>
        <v>0</v>
      </c>
      <c r="MS95" s="12">
        <f>MS$4 * IF(AND(MR$4=1,MR$20=1), NE95, NC95)</f>
        <v>0</v>
      </c>
      <c r="MT95" s="12">
        <f>MT$4 * IF(AND(MS$4=1,MR$20=1), NE95, NC95)</f>
        <v>0</v>
      </c>
      <c r="MU95" s="12">
        <f>MU$4 * IF(AND(MT$4=1,MR$20=1), NE95, NC95)</f>
        <v>0</v>
      </c>
      <c r="MV95" s="12">
        <f>MV$4 * IF(AND(MU$4=1,MR$20=1), NE95, NC95)</f>
        <v>0</v>
      </c>
      <c r="MW95" s="12">
        <f>MW$4 * IF(AND(MV$4=1,MR$20=1), NE95, NC95)</f>
        <v>0</v>
      </c>
      <c r="MX95" s="12">
        <f>MX$4 * IF(AND(MW$4=1,MR$20=1), NE95, NC95)</f>
        <v>0</v>
      </c>
      <c r="MY95" s="12">
        <f>MY$4 * IF(AND(MX$4=1,MR$20=1), NE95, NC95)</f>
        <v>0</v>
      </c>
      <c r="MZ95" s="12">
        <f>MZ$4 * IF(AND(MY$4=1,MR$20=1), NE95, NC95)</f>
        <v>0</v>
      </c>
      <c r="NB95" t="s">
        <v>1304</v>
      </c>
      <c r="NC95">
        <f>_xlfn.XLOOKUP(NB95,'KPI Impacts'!$B$2:$H$2,'KPI Impacts'!$B95:$H95)</f>
        <v>0</v>
      </c>
      <c r="ND95" s="35" t="s">
        <v>1304</v>
      </c>
      <c r="NE95">
        <f>_xlfn.XLOOKUP(ND95,'KPI Impacts'!$B$2:$H$2,'KPI Impacts'!$B95:$H95)</f>
        <v>0</v>
      </c>
      <c r="NH95" s="12">
        <f>NH$4*NS95</f>
        <v>0</v>
      </c>
      <c r="NI95" s="12">
        <f>NI$4 * IF(AND(NH$4=1,NH$20=1), NU95, NS95)</f>
        <v>0</v>
      </c>
      <c r="NJ95" s="12">
        <f>NJ$4 * IF(AND(NI$4=1,NH$20=1), NU95, NS95)</f>
        <v>0</v>
      </c>
      <c r="NK95" s="12">
        <f>NK$4 * IF(AND(NJ$4=1,NH$20=1), NU95, NS95)</f>
        <v>0</v>
      </c>
      <c r="NL95" s="12">
        <f>NL$4 * IF(AND(NK$4=1,NH$20=1), NU95, NS95)</f>
        <v>0</v>
      </c>
      <c r="NM95" s="12">
        <f>NM$4 * IF(AND(NL$4=1,NH$20=1), NU95, NS95)</f>
        <v>0</v>
      </c>
      <c r="NN95" s="12">
        <f>NN$4 * IF(AND(NM$4=1,NH$20=1), NU95, NS95)</f>
        <v>0</v>
      </c>
      <c r="NO95" s="12">
        <f>NO$4 * IF(AND(NN$4=1,NH$20=1), NU95, NS95)</f>
        <v>0</v>
      </c>
      <c r="NP95" s="12">
        <f>NP$4 * IF(AND(NO$4=1,NH$20=1), NU95, NS95)</f>
        <v>0</v>
      </c>
      <c r="NR95" t="s">
        <v>1304</v>
      </c>
      <c r="NS95">
        <f>_xlfn.XLOOKUP(NR95,'KPI Impacts'!$B$2:$H$2,'KPI Impacts'!$B95:$H95)</f>
        <v>0</v>
      </c>
      <c r="NT95" s="35" t="s">
        <v>1304</v>
      </c>
      <c r="NU95">
        <f>_xlfn.XLOOKUP(NT95,'KPI Impacts'!$B$2:$H$2,'KPI Impacts'!$B95:$H95)</f>
        <v>0</v>
      </c>
      <c r="NX95" s="12">
        <f>NX$4*OI95</f>
        <v>0</v>
      </c>
      <c r="NY95" s="12">
        <f>NY$4 * IF(AND(NX$4=1,NX$20=1), OK95, OI95)</f>
        <v>0</v>
      </c>
      <c r="NZ95" s="12">
        <f>NZ$4 * IF(AND(NY$4=1,NX$20=1), OK95, OI95)</f>
        <v>0</v>
      </c>
      <c r="OA95" s="12">
        <f>OA$4 * IF(AND(NZ$4=1,NX$20=1), OK95, OI95)</f>
        <v>0</v>
      </c>
      <c r="OB95" s="12">
        <f>OB$4 * IF(AND(OA$4=1,NX$20=1), OK95, OI95)</f>
        <v>0</v>
      </c>
      <c r="OC95" s="12">
        <f>OC$4 * IF(AND(OB$4=1,NX$20=1), OK95, OI95)</f>
        <v>0</v>
      </c>
      <c r="OD95" s="12">
        <f>OD$4 * IF(AND(OC$4=1,NX$20=1), OK95, OI95)</f>
        <v>0</v>
      </c>
      <c r="OE95" s="12">
        <f>OE$4 * IF(AND(OD$4=1,NX$20=1), OK95, OI95)</f>
        <v>0</v>
      </c>
      <c r="OF95" s="12">
        <f>OF$4 * IF(AND(OE$4=1,NX$20=1), OK95, OI95)</f>
        <v>0</v>
      </c>
      <c r="OH95" t="s">
        <v>1304</v>
      </c>
      <c r="OI95">
        <f>_xlfn.XLOOKUP(OH95,'KPI Impacts'!$B$2:$H$2,'KPI Impacts'!$B95:$H95)</f>
        <v>0</v>
      </c>
      <c r="OJ95" s="35" t="s">
        <v>1304</v>
      </c>
      <c r="OK95">
        <f>_xlfn.XLOOKUP(OJ95,'KPI Impacts'!$B$2:$H$2,'KPI Impacts'!$B95:$H95)</f>
        <v>0</v>
      </c>
    </row>
    <row r="96" spans="1:401" x14ac:dyDescent="0.2">
      <c r="A96" t="s">
        <v>1318</v>
      </c>
      <c r="B96" s="12">
        <f t="shared" si="683"/>
        <v>0</v>
      </c>
      <c r="C96" s="12">
        <f t="shared" si="684"/>
        <v>0</v>
      </c>
      <c r="D96" s="12">
        <f t="shared" si="685"/>
        <v>0</v>
      </c>
      <c r="E96" s="12">
        <f t="shared" si="686"/>
        <v>0</v>
      </c>
      <c r="F96" s="12">
        <f t="shared" si="687"/>
        <v>0</v>
      </c>
      <c r="G96" s="12">
        <f t="shared" si="688"/>
        <v>0</v>
      </c>
      <c r="H96" s="12">
        <f t="shared" si="689"/>
        <v>0</v>
      </c>
      <c r="I96" s="12">
        <f t="shared" si="690"/>
        <v>0</v>
      </c>
      <c r="J96" s="12">
        <f t="shared" si="691"/>
        <v>0</v>
      </c>
      <c r="M96" s="6"/>
      <c r="N96" s="6"/>
      <c r="P96" s="12" cm="1">
        <f t="array" ref="P96">_xlfn.SWITCH(P$4, 0,0, 1, AA96,2,AC96,3,AE96,0)</f>
        <v>0</v>
      </c>
      <c r="Q96" s="12" cm="1">
        <f t="array" ref="Q96">_xlfn.SWITCH(Q$4, 0,0, 1, AA96,2,AC96,3,AE96,0)+P96</f>
        <v>0</v>
      </c>
      <c r="R96" s="12" cm="1">
        <f t="array" ref="R96">_xlfn.SWITCH(R$4, 0,0, 1, AA96,2,AC96,3,AE96,0)+Q96</f>
        <v>0</v>
      </c>
      <c r="S96" s="12" cm="1">
        <f t="array" ref="S96">_xlfn.SWITCH(S$4, 0,0, 1, AA96,2,AC96,3,AE96,0)+R96</f>
        <v>0</v>
      </c>
      <c r="T96" s="12" cm="1">
        <f t="array" ref="T96">_xlfn.SWITCH(T$4, 0,0, 1, AA96,2,AC96,3,AE96,0)+S96</f>
        <v>0</v>
      </c>
      <c r="U96" s="12" cm="1">
        <f t="array" ref="U96">_xlfn.SWITCH(U$4, 0,0, 1, AA96,2,AC96,3,AE96,0)+T96</f>
        <v>0</v>
      </c>
      <c r="V96" s="12" cm="1">
        <f t="array" ref="V96">_xlfn.SWITCH(V$4, 0,0, 1, AA96,2,AC96,3,AE96,0)+U96</f>
        <v>0</v>
      </c>
      <c r="W96" s="12" cm="1">
        <f t="array" ref="W96">_xlfn.SWITCH(W$4, 0,0, 1, AA96,2,AC96,3,AE96,0)+V96</f>
        <v>0</v>
      </c>
      <c r="X96" s="12" cm="1">
        <f t="array" ref="X96">_xlfn.SWITCH(X$4, 0,0, 1, AA96,2,AC96,3,AE96,0)+W96</f>
        <v>0</v>
      </c>
      <c r="Z96" t="s">
        <v>1304</v>
      </c>
      <c r="AA96">
        <f>_xlfn.XLOOKUP(Z96,'KPI Impacts'!$K$2:$Q$2,'KPI Impacts'!$K96:$Q96)</f>
        <v>0</v>
      </c>
      <c r="AB96" t="s">
        <v>1304</v>
      </c>
      <c r="AC96">
        <f>_xlfn.XLOOKUP(AB96,'KPI Impacts'!$K$2:$Q$2,'KPI Impacts'!$K96:$Q96)</f>
        <v>0</v>
      </c>
      <c r="AD96" t="s">
        <v>1304</v>
      </c>
      <c r="AE96">
        <f>_xlfn.XLOOKUP(AD96,'KPI Impacts'!$K$2:$Q$2,'KPI Impacts'!$K96:$Q96)</f>
        <v>0</v>
      </c>
      <c r="AH96" s="12" cm="1">
        <f t="array" ref="AH96">_xlfn.SWITCH(AH$4, 0,0, 1, AS96,2,AU96,3,AW96,0)</f>
        <v>0</v>
      </c>
      <c r="AI96" s="12" cm="1">
        <f t="array" ref="AI96">_xlfn.SWITCH(AI$4, 0,0, 1, AS96,2,AU96,3,AW96,0)+AH96</f>
        <v>0</v>
      </c>
      <c r="AJ96" s="12" cm="1">
        <f t="array" ref="AJ96">_xlfn.SWITCH(AJ$4, 0,0, 1, AS96,2,AU96,3,AW96,0)+AI96</f>
        <v>0</v>
      </c>
      <c r="AK96" s="12" cm="1">
        <f t="array" ref="AK96">_xlfn.SWITCH(AK$4, 0,0, 1, AS96,2,AU96,3,AW96,0)+AJ96</f>
        <v>0</v>
      </c>
      <c r="AL96" s="12" cm="1">
        <f t="array" ref="AL96">_xlfn.SWITCH(AL$4, 0,0, 1, AS96,2,AU96,3,AW96,0)+AK96</f>
        <v>0</v>
      </c>
      <c r="AM96" s="12" cm="1">
        <f t="array" ref="AM96">_xlfn.SWITCH(AM$4, 0,0, 1, AS96,2,AU96,3,AW96,0)+AL96</f>
        <v>0</v>
      </c>
      <c r="AN96" s="12" cm="1">
        <f t="array" ref="AN96">_xlfn.SWITCH(AN$4, 0,0, 1, AS96,2,AU96,3,AW96,0)+AM96</f>
        <v>0</v>
      </c>
      <c r="AO96" s="12" cm="1">
        <f t="array" ref="AO96">_xlfn.SWITCH(AO$4, 0,0, 1, AS96,2,AU96,3,AW96,0)+AN96</f>
        <v>0</v>
      </c>
      <c r="AP96" s="12" cm="1">
        <f t="array" ref="AP96">_xlfn.SWITCH(AP$4, 0,0, 1, AS96,2,AU96,3,AW96,0)+AO96</f>
        <v>0</v>
      </c>
      <c r="AR96" t="s">
        <v>1304</v>
      </c>
      <c r="AS96">
        <f>_xlfn.XLOOKUP(AR96,'KPI Impacts'!$K$2:$Q$2,'KPI Impacts'!$K96:$Q96)</f>
        <v>0</v>
      </c>
      <c r="AT96" t="s">
        <v>1304</v>
      </c>
      <c r="AU96">
        <f>_xlfn.XLOOKUP(AT96,'KPI Impacts'!$K$2:$Q$2,'KPI Impacts'!$K96:$Q96)</f>
        <v>0</v>
      </c>
      <c r="AV96" t="s">
        <v>1304</v>
      </c>
      <c r="AW96">
        <f>_xlfn.XLOOKUP(AV96,'KPI Impacts'!$K$2:$Q$2,'KPI Impacts'!$K96:$Q96)</f>
        <v>0</v>
      </c>
      <c r="AZ96" s="12">
        <f>AZ$4*BK96</f>
        <v>0</v>
      </c>
      <c r="BA96" s="12">
        <f>BA$4 * IF(AND(AZ$4=1,AZ$20=1), BM96, BK96)</f>
        <v>0</v>
      </c>
      <c r="BB96" s="12">
        <f>BB$4 * IF(AND(BA$4=1,AZ$20=1), BM96, BK96)</f>
        <v>0</v>
      </c>
      <c r="BC96" s="12">
        <f>BC$4 * IF(AND(BB$4=1,AZ$20=1), BM96, BK96)</f>
        <v>0</v>
      </c>
      <c r="BD96" s="12">
        <f>BD$4 * IF(AND(BC$4=1,AZ$20=1), BM96, BK96)</f>
        <v>0</v>
      </c>
      <c r="BE96" s="12">
        <f>BE$4 * IF(AND(BD$4=1,AZ$20=1), BM96, BK96)</f>
        <v>0</v>
      </c>
      <c r="BF96" s="12">
        <f>BF$4 * IF(AND(BE$4=1,AZ$20=1), BM96, BK96)</f>
        <v>0</v>
      </c>
      <c r="BG96" s="12">
        <f>BG$4 * IF(AND(BF$4=1,AZ$20=1), BM96, BK96)</f>
        <v>0</v>
      </c>
      <c r="BH96" s="12">
        <f>BH$4 * IF(AND(BG$4=1,AZ$20=1), BM96, BK96)</f>
        <v>0</v>
      </c>
      <c r="BJ96" t="s">
        <v>1304</v>
      </c>
      <c r="BK96">
        <f>_xlfn.XLOOKUP(BJ96,'KPI Impacts'!$B$2:$H$2,'KPI Impacts'!$B96:$H96)</f>
        <v>0</v>
      </c>
      <c r="BL96" s="35" t="s">
        <v>1304</v>
      </c>
      <c r="BM96">
        <f>_xlfn.XLOOKUP(BL96,'KPI Impacts'!$B$2:$H$2,'KPI Impacts'!$B96:$H96)</f>
        <v>0</v>
      </c>
      <c r="BP96" s="12">
        <f>BP$4*CA96</f>
        <v>0</v>
      </c>
      <c r="BQ96" s="12">
        <f>BQ$4 * IF(AND(BP$4=1,BP$20=1), CC96, CA96)</f>
        <v>0</v>
      </c>
      <c r="BR96" s="12">
        <f>BR$4 * IF(AND(BQ$4=1,BP$20=1), CC96, CA96)</f>
        <v>0</v>
      </c>
      <c r="BS96" s="12">
        <f>BS$4 * IF(AND(BR$4=1,BP$20=1), CC96, CA96)</f>
        <v>0</v>
      </c>
      <c r="BT96" s="12">
        <f>BT$4 * IF(AND(BS$4=1,BP$20=1), CC96, CA96)</f>
        <v>0</v>
      </c>
      <c r="BU96" s="12">
        <f>BU$4 * IF(AND(BT$4=1,BP$20=1), CC96, CA96)</f>
        <v>0</v>
      </c>
      <c r="BV96" s="12">
        <f>BV$4 * IF(AND(BU$4=1,BP$20=1), CC96, CA96)</f>
        <v>0</v>
      </c>
      <c r="BW96" s="12">
        <f>BW$4 * IF(AND(BV$4=1,BP$20=1), CC96, CA96)</f>
        <v>0</v>
      </c>
      <c r="BX96" s="12">
        <f>BX$4 * IF(AND(BW$4=1,BP$20=1), CC96, CA96)</f>
        <v>0</v>
      </c>
      <c r="BZ96" t="s">
        <v>1304</v>
      </c>
      <c r="CA96">
        <f>_xlfn.XLOOKUP(BZ96,'KPI Impacts'!$B$2:$H$2,'KPI Impacts'!$B96:$H96)</f>
        <v>0</v>
      </c>
      <c r="CB96" s="35" t="s">
        <v>1304</v>
      </c>
      <c r="CC96">
        <f>_xlfn.XLOOKUP(CB96,'KPI Impacts'!$B$2:$H$2,'KPI Impacts'!$B96:$H96)</f>
        <v>0</v>
      </c>
      <c r="CF96" s="12">
        <f>CF$4*CQ96</f>
        <v>0</v>
      </c>
      <c r="CG96" s="12">
        <f>CG$4 * IF(AND(CF$4=1,CF$20=1), CS96, CQ96)</f>
        <v>0</v>
      </c>
      <c r="CH96" s="12">
        <f>CH$4 * IF(AND(CG$4=1,CF$20=1), CS96, CQ96)</f>
        <v>0</v>
      </c>
      <c r="CI96" s="12">
        <f>CI$4 * IF(AND(CH$4=1,CF$20=1), CS96, CQ96)</f>
        <v>0</v>
      </c>
      <c r="CJ96" s="12">
        <f>CJ$4 * IF(AND(CI$4=1,CF$20=1), CS96, CQ96)</f>
        <v>0</v>
      </c>
      <c r="CK96" s="12">
        <f>CK$4 * IF(AND(CJ$4=1,CF$20=1), CS96, CQ96)</f>
        <v>0</v>
      </c>
      <c r="CL96" s="12">
        <f>CL$4 * IF(AND(CK$4=1,CF$20=1), CS96, CQ96)</f>
        <v>0</v>
      </c>
      <c r="CM96" s="12">
        <f>CM$4 * IF(AND(CL$4=1,CF$20=1), CS96, CQ96)</f>
        <v>0</v>
      </c>
      <c r="CN96" s="12">
        <f>CN$4 * IF(AND(CM$4=1,CF$20=1), CS96, CQ96)</f>
        <v>0</v>
      </c>
      <c r="CP96" t="s">
        <v>1304</v>
      </c>
      <c r="CQ96">
        <f>_xlfn.XLOOKUP(CP96,'KPI Impacts'!$B$2:$H$2,'KPI Impacts'!$B96:$H96)</f>
        <v>0</v>
      </c>
      <c r="CR96" s="35" t="s">
        <v>1304</v>
      </c>
      <c r="CS96">
        <f>_xlfn.XLOOKUP(CR96,'KPI Impacts'!$B$2:$H$2,'KPI Impacts'!$B96:$H96)</f>
        <v>0</v>
      </c>
      <c r="CV96" s="12">
        <f>CV$4*DG96</f>
        <v>0</v>
      </c>
      <c r="CW96" s="12">
        <f>CW$4 * IF(AND(CV$4=1,CV$20=1), DI96, DG96)</f>
        <v>0</v>
      </c>
      <c r="CX96" s="12">
        <f>CX$4 * IF(AND(CW$4=1,CV$20=1), DI96, DG96)</f>
        <v>0</v>
      </c>
      <c r="CY96" s="12">
        <f>CY$4 * IF(AND(CX$4=1,CV$20=1), DI96, DG96)</f>
        <v>0</v>
      </c>
      <c r="CZ96" s="12">
        <f>CZ$4 * IF(AND(CY$4=1,CV$20=1), DI96, DG96)</f>
        <v>0</v>
      </c>
      <c r="DA96" s="12">
        <f>DA$4 * IF(AND(CZ$4=1,CV$20=1), DI96, DG96)</f>
        <v>0</v>
      </c>
      <c r="DB96" s="12">
        <f>DB$4 * IF(AND(DA$4=1,CV$20=1), DI96, DG96)</f>
        <v>0</v>
      </c>
      <c r="DC96" s="12">
        <f>DC$4 * IF(AND(DB$4=1,CV$20=1), DI96, DG96)</f>
        <v>0</v>
      </c>
      <c r="DD96" s="12">
        <f>DD$4 * IF(AND(DC$4=1,CV$20=1), DI96, DG96)</f>
        <v>0</v>
      </c>
      <c r="DF96" t="s">
        <v>1304</v>
      </c>
      <c r="DG96">
        <f>_xlfn.XLOOKUP(DF96,'KPI Impacts'!$B$2:$H$2,'KPI Impacts'!$B96:$H96)</f>
        <v>0</v>
      </c>
      <c r="DH96" s="35" t="s">
        <v>1304</v>
      </c>
      <c r="DI96">
        <f>_xlfn.XLOOKUP(DH96,'KPI Impacts'!$B$2:$H$2,'KPI Impacts'!$B96:$H96)</f>
        <v>0</v>
      </c>
      <c r="DL96" s="12">
        <f>DL$4*DW96</f>
        <v>0</v>
      </c>
      <c r="DM96" s="12">
        <f>DM$4 * IF(AND(DL$4=1,DL$20=1), DY96, DW96)</f>
        <v>0</v>
      </c>
      <c r="DN96" s="12">
        <f>DN$4 * IF(AND(DM$4=1,DL$20=1), DY96, DW96)</f>
        <v>0</v>
      </c>
      <c r="DO96" s="12">
        <f>DO$4 * IF(AND(DN$4=1,DL$20=1), DY96, DW96)</f>
        <v>0</v>
      </c>
      <c r="DP96" s="12">
        <f>DP$4 * IF(AND(DO$4=1,DL$20=1), DY96, DW96)</f>
        <v>0</v>
      </c>
      <c r="DQ96" s="12">
        <f>DQ$4 * IF(AND(DP$4=1,DL$20=1), DY96, DW96)</f>
        <v>0</v>
      </c>
      <c r="DR96" s="12">
        <f>DR$4 * IF(AND(DQ$4=1,DL$20=1), DY96, DW96)</f>
        <v>0</v>
      </c>
      <c r="DS96" s="12">
        <f>DS$4 * IF(AND(DR$4=1,DL$20=1), DY96, DW96)</f>
        <v>0</v>
      </c>
      <c r="DT96" s="12">
        <f>DT$4 * IF(AND(DS$4=1,DL$20=1), DY96, DW96)</f>
        <v>0</v>
      </c>
      <c r="DV96" t="s">
        <v>1304</v>
      </c>
      <c r="DW96">
        <f>_xlfn.XLOOKUP(DV96,'KPI Impacts'!$B$2:$H$2,'KPI Impacts'!$B96:$H96)</f>
        <v>0</v>
      </c>
      <c r="DX96" s="35" t="s">
        <v>1304</v>
      </c>
      <c r="DY96">
        <f>_xlfn.XLOOKUP(DX96,'KPI Impacts'!$B$2:$H$2,'KPI Impacts'!$B96:$H96)</f>
        <v>0</v>
      </c>
      <c r="EB96" s="12">
        <f>EB$4*EM96</f>
        <v>0</v>
      </c>
      <c r="EC96" s="12">
        <f>EC$4 * IF(AND(EB$4=1,EB$20=1), EO96, EM96)</f>
        <v>0</v>
      </c>
      <c r="ED96" s="12">
        <f>ED$4 * IF(AND(EC$4=1,EB$20=1), EO96, EM96)</f>
        <v>0</v>
      </c>
      <c r="EE96" s="12">
        <f>EE$4 * IF(AND(ED$4=1,EB$20=1), EO96, EM96)</f>
        <v>0</v>
      </c>
      <c r="EF96" s="12">
        <f>EF$4 * IF(AND(EE$4=1,EB$20=1), EO96, EM96)</f>
        <v>0</v>
      </c>
      <c r="EG96" s="12">
        <f>EG$4 * IF(AND(EF$4=1,EB$20=1), EO96, EM96)</f>
        <v>0</v>
      </c>
      <c r="EH96" s="12">
        <f>EH$4 * IF(AND(EG$4=1,EB$20=1), EO96, EM96)</f>
        <v>0</v>
      </c>
      <c r="EI96" s="12">
        <f>EI$4 * IF(AND(EH$4=1,EB$20=1), EO96, EM96)</f>
        <v>0</v>
      </c>
      <c r="EJ96" s="12">
        <f>EJ$4 * IF(AND(EI$4=1,EB$20=1), EO96, EM96)</f>
        <v>0</v>
      </c>
      <c r="EL96" t="s">
        <v>1304</v>
      </c>
      <c r="EM96">
        <f>_xlfn.XLOOKUP(EL96,'KPI Impacts'!$B$2:$H$2,'KPI Impacts'!$B96:$H96)</f>
        <v>0</v>
      </c>
      <c r="EN96" s="35" t="s">
        <v>1304</v>
      </c>
      <c r="EO96">
        <f>_xlfn.XLOOKUP(EN96,'KPI Impacts'!$B$2:$H$2,'KPI Impacts'!$B96:$H96)</f>
        <v>0</v>
      </c>
      <c r="ER96" s="12">
        <f>ER$4*FC96</f>
        <v>0</v>
      </c>
      <c r="ES96" s="12">
        <f>ES$4 * IF(AND(ER$4=1,ER$20=1), FE96, FC96)</f>
        <v>0</v>
      </c>
      <c r="ET96" s="12">
        <f>ET$4 * IF(AND(ES$4=1,ER$20=1), FE96, FC96)</f>
        <v>0</v>
      </c>
      <c r="EU96" s="12">
        <f>EU$4 * IF(AND(ET$4=1,ER$20=1), FE96, FC96)</f>
        <v>0</v>
      </c>
      <c r="EV96" s="12">
        <f>EV$4 * IF(AND(EU$4=1,ER$20=1), FE96, FC96)</f>
        <v>0</v>
      </c>
      <c r="EW96" s="12">
        <f>EW$4 * IF(AND(EV$4=1,ER$20=1), FE96, FC96)</f>
        <v>0</v>
      </c>
      <c r="EX96" s="12">
        <f>EX$4 * IF(AND(EW$4=1,ER$20=1), FE96, FC96)</f>
        <v>0</v>
      </c>
      <c r="EY96" s="12">
        <f>EY$4 * IF(AND(EX$4=1,ER$20=1), FE96, FC96)</f>
        <v>0</v>
      </c>
      <c r="EZ96" s="12">
        <f>EZ$4 * IF(AND(EY$4=1,ER$20=1), FE96, FC96)</f>
        <v>0</v>
      </c>
      <c r="FB96" t="s">
        <v>1304</v>
      </c>
      <c r="FC96">
        <f>_xlfn.XLOOKUP(FB96,'KPI Impacts'!$B$2:$H$2,'KPI Impacts'!$B96:$H96)</f>
        <v>0</v>
      </c>
      <c r="FD96" s="35" t="s">
        <v>1304</v>
      </c>
      <c r="FE96">
        <f>_xlfn.XLOOKUP(FD96,'KPI Impacts'!$B$2:$H$2,'KPI Impacts'!$B96:$H96)</f>
        <v>0</v>
      </c>
      <c r="FH96" s="12">
        <f>FH$4*FS96</f>
        <v>0</v>
      </c>
      <c r="FI96" s="12">
        <f>FI$4 * IF(AND(FH$4=1,FH$20=1), FU96, FS96)</f>
        <v>0</v>
      </c>
      <c r="FJ96" s="12">
        <f>FJ$4 * IF(AND(FI$4=1,FH$20=1), FU96, FS96)</f>
        <v>0</v>
      </c>
      <c r="FK96" s="12">
        <f>FK$4 * IF(AND(FJ$4=1,FH$20=1), FU96, FS96)</f>
        <v>0</v>
      </c>
      <c r="FL96" s="12">
        <f>FL$4 * IF(AND(FK$4=1,FH$20=1), FU96, FS96)</f>
        <v>0</v>
      </c>
      <c r="FM96" s="12">
        <f>FM$4 * IF(AND(FL$4=1,FH$20=1), FU96, FS96)</f>
        <v>0</v>
      </c>
      <c r="FN96" s="12">
        <f>FN$4 * IF(AND(FM$4=1,FH$20=1), FU96, FS96)</f>
        <v>0</v>
      </c>
      <c r="FO96" s="12">
        <f>FO$4 * IF(AND(FN$4=1,FH$20=1), FU96, FS96)</f>
        <v>0</v>
      </c>
      <c r="FP96" s="12">
        <f>FP$4 * IF(AND(FO$4=1,FH$20=1), FU96, FS96)</f>
        <v>0</v>
      </c>
      <c r="FR96" t="s">
        <v>1304</v>
      </c>
      <c r="FS96">
        <f>_xlfn.XLOOKUP(FR96,'KPI Impacts'!$B$2:$H$2,'KPI Impacts'!$B96:$H96)</f>
        <v>0</v>
      </c>
      <c r="FT96" s="35" t="s">
        <v>1304</v>
      </c>
      <c r="FU96">
        <f>_xlfn.XLOOKUP(FT96,'KPI Impacts'!$B$2:$H$2,'KPI Impacts'!$B96:$H96)</f>
        <v>0</v>
      </c>
      <c r="FX96" s="12">
        <f>FX$4*GI96</f>
        <v>0</v>
      </c>
      <c r="FY96" s="12">
        <f>FY$4 * IF(AND(FX$4=1,FX$20=1), GK96, GI96)</f>
        <v>0</v>
      </c>
      <c r="FZ96" s="12">
        <f>FZ$4 * IF(AND(FY$4=1,FX$20=1), GK96, GI96)</f>
        <v>0</v>
      </c>
      <c r="GA96" s="12">
        <f>GA$4 * IF(AND(FZ$4=1,FX$20=1), GK96, GI96)</f>
        <v>0</v>
      </c>
      <c r="GB96" s="12">
        <f>GB$4 * IF(AND(GA$4=1,FX$20=1), GK96, GI96)</f>
        <v>0</v>
      </c>
      <c r="GC96" s="12">
        <f>GC$4 * IF(AND(GB$4=1,FX$20=1), GK96, GI96)</f>
        <v>0</v>
      </c>
      <c r="GD96" s="12">
        <f>GD$4 * IF(AND(GC$4=1,FX$20=1), GK96, GI96)</f>
        <v>0</v>
      </c>
      <c r="GE96" s="12">
        <f>GE$4 * IF(AND(GD$4=1,FX$20=1), GK96, GI96)</f>
        <v>0</v>
      </c>
      <c r="GF96" s="12">
        <f>GF$4 * IF(AND(GE$4=1,FX$20=1), GK96, GI96)</f>
        <v>0</v>
      </c>
      <c r="GH96" t="s">
        <v>1304</v>
      </c>
      <c r="GI96">
        <f>_xlfn.XLOOKUP(GH96,'KPI Impacts'!$B$2:$H$2,'KPI Impacts'!$B96:$H96)</f>
        <v>0</v>
      </c>
      <c r="GJ96" s="35" t="s">
        <v>1304</v>
      </c>
      <c r="GK96">
        <f>_xlfn.XLOOKUP(GJ96,'KPI Impacts'!$B$2:$H$2,'KPI Impacts'!$B96:$H96)</f>
        <v>0</v>
      </c>
      <c r="GN96" s="12">
        <f>GN$4*GY96</f>
        <v>0</v>
      </c>
      <c r="GO96" s="12">
        <f>GO$4 * IF(AND(GN$4=1,GN$20=1), HA96, GY96)</f>
        <v>0</v>
      </c>
      <c r="GP96" s="12">
        <f>GP$4 * IF(AND(GO$4=1,GN$20=1), HA96, GY96)</f>
        <v>0</v>
      </c>
      <c r="GQ96" s="12">
        <f>GQ$4 * IF(AND(GP$4=1,GN$20=1), HA96, GY96)</f>
        <v>0</v>
      </c>
      <c r="GR96" s="12">
        <f>GR$4 * IF(AND(GQ$4=1,GN$20=1), HA96, GY96)</f>
        <v>0</v>
      </c>
      <c r="GS96" s="12">
        <f>GS$4 * IF(AND(GR$4=1,GN$20=1), HA96, GY96)</f>
        <v>0</v>
      </c>
      <c r="GT96" s="12">
        <f>GT$4 * IF(AND(GS$4=1,GN$20=1), HA96, GY96)</f>
        <v>0</v>
      </c>
      <c r="GU96" s="12">
        <f>GU$4 * IF(AND(GT$4=1,GN$20=1), HA96, GY96)</f>
        <v>0</v>
      </c>
      <c r="GV96" s="12">
        <f>GV$4 * IF(AND(GU$4=1,GN$20=1), HA96, GY96)</f>
        <v>0</v>
      </c>
      <c r="GX96" t="s">
        <v>1304</v>
      </c>
      <c r="GY96">
        <f>_xlfn.XLOOKUP(GX96,'KPI Impacts'!$B$2:$H$2,'KPI Impacts'!$B96:$H96)</f>
        <v>0</v>
      </c>
      <c r="GZ96" s="35" t="s">
        <v>1304</v>
      </c>
      <c r="HA96">
        <f>_xlfn.XLOOKUP(GZ96,'KPI Impacts'!$B$2:$H$2,'KPI Impacts'!$B96:$H96)</f>
        <v>0</v>
      </c>
      <c r="HD96" s="12">
        <f>HD$4*HO96</f>
        <v>0</v>
      </c>
      <c r="HE96" s="12">
        <f>HE$4 * IF(AND(HD$4=1,HD$20=1), HQ96, HO96)</f>
        <v>0</v>
      </c>
      <c r="HF96" s="12">
        <f>HF$4 * IF(AND(HE$4=1,HD$20=1), HQ96, HO96)</f>
        <v>0</v>
      </c>
      <c r="HG96" s="12">
        <f>HG$4 * IF(AND(HF$4=1,HD$20=1), HQ96, HO96)</f>
        <v>0</v>
      </c>
      <c r="HH96" s="12">
        <f>HH$4 * IF(AND(HG$4=1,HD$20=1), HQ96, HO96)</f>
        <v>0</v>
      </c>
      <c r="HI96" s="12">
        <f>HI$4 * IF(AND(HH$4=1,HD$20=1), HQ96, HO96)</f>
        <v>0</v>
      </c>
      <c r="HJ96" s="12">
        <f>HJ$4 * IF(AND(HI$4=1,HD$20=1), HQ96, HO96)</f>
        <v>0</v>
      </c>
      <c r="HK96" s="12">
        <f>HK$4 * IF(AND(HJ$4=1,HD$20=1), HQ96, HO96)</f>
        <v>0</v>
      </c>
      <c r="HL96" s="12">
        <f>HL$4 * IF(AND(HK$4=1,HD$20=1), HQ96, HO96)</f>
        <v>0</v>
      </c>
      <c r="HN96" t="s">
        <v>1304</v>
      </c>
      <c r="HO96">
        <f>_xlfn.XLOOKUP(HN96,'KPI Impacts'!$B$2:$H$2,'KPI Impacts'!$B96:$H96)</f>
        <v>0</v>
      </c>
      <c r="HP96" s="35" t="s">
        <v>1304</v>
      </c>
      <c r="HQ96">
        <f>_xlfn.XLOOKUP(HP96,'KPI Impacts'!$B$2:$H$2,'KPI Impacts'!$B96:$H96)</f>
        <v>0</v>
      </c>
      <c r="HT96" s="12">
        <f>HT$4*IE96</f>
        <v>0</v>
      </c>
      <c r="HU96" s="12">
        <f>HU$4 * IF(AND(HT$4=1,HT$20=1), IG96, IE96)</f>
        <v>0</v>
      </c>
      <c r="HV96" s="12">
        <f>HV$4 * IF(AND(HU$4=1,HT$20=1), IG96, IE96)</f>
        <v>0</v>
      </c>
      <c r="HW96" s="12">
        <f>HW$4 * IF(AND(HV$4=1,HT$20=1), IG96, IE96)</f>
        <v>0</v>
      </c>
      <c r="HX96" s="12">
        <f>HX$4 * IF(AND(HW$4=1,HT$20=1), IG96, IE96)</f>
        <v>0</v>
      </c>
      <c r="HY96" s="12">
        <f>HY$4 * IF(AND(HX$4=1,HT$20=1), IG96, IE96)</f>
        <v>0</v>
      </c>
      <c r="HZ96" s="12">
        <f>HZ$4 * IF(AND(HY$4=1,HT$20=1), IG96, IE96)</f>
        <v>0</v>
      </c>
      <c r="IA96" s="12">
        <f>IA$4 * IF(AND(HZ$4=1,HT$20=1), IG96, IE96)</f>
        <v>0</v>
      </c>
      <c r="IB96" s="12">
        <f>IB$4 * IF(AND(IA$4=1,HT$20=1), IG96, IE96)</f>
        <v>0</v>
      </c>
      <c r="ID96" t="s">
        <v>1304</v>
      </c>
      <c r="IE96">
        <f>_xlfn.XLOOKUP(ID96,'KPI Impacts'!$B$2:$H$2,'KPI Impacts'!$B96:$H96)</f>
        <v>0</v>
      </c>
      <c r="IF96" s="35" t="s">
        <v>1304</v>
      </c>
      <c r="IG96">
        <f>_xlfn.XLOOKUP(IF96,'KPI Impacts'!$B$2:$H$2,'KPI Impacts'!$B96:$H96)</f>
        <v>0</v>
      </c>
      <c r="IJ96" s="12">
        <f>IJ$4*IU96</f>
        <v>0</v>
      </c>
      <c r="IK96" s="12">
        <f>IK$4 * IF(AND(IJ$4=1,IJ$20=1), IW96, IU96)</f>
        <v>0</v>
      </c>
      <c r="IL96" s="12">
        <f>IL$4 * IF(AND(IK$4=1,IJ$20=1), IW96, IU96)</f>
        <v>0</v>
      </c>
      <c r="IM96" s="12">
        <f>IM$4 * IF(AND(IL$4=1,IJ$20=1), IW96, IU96)</f>
        <v>0</v>
      </c>
      <c r="IN96" s="12">
        <f>IN$4 * IF(AND(IM$4=1,IJ$20=1), IW96, IU96)</f>
        <v>0</v>
      </c>
      <c r="IO96" s="12">
        <f>IO$4 * IF(AND(IN$4=1,IJ$20=1), IW96, IU96)</f>
        <v>0</v>
      </c>
      <c r="IP96" s="12">
        <f>IP$4 * IF(AND(IO$4=1,IJ$20=1), IW96, IU96)</f>
        <v>0</v>
      </c>
      <c r="IQ96" s="12">
        <f>IQ$4 * IF(AND(IP$4=1,IJ$20=1), IW96, IU96)</f>
        <v>0</v>
      </c>
      <c r="IR96" s="12">
        <f>IR$4 * IF(AND(IQ$4=1,IJ$20=1), IW96, IU96)</f>
        <v>0</v>
      </c>
      <c r="IT96" t="s">
        <v>1304</v>
      </c>
      <c r="IU96">
        <f>_xlfn.XLOOKUP(IT96,'KPI Impacts'!$B$2:$H$2,'KPI Impacts'!$B96:$H96)</f>
        <v>0</v>
      </c>
      <c r="IV96" s="35" t="s">
        <v>1304</v>
      </c>
      <c r="IW96">
        <f>_xlfn.XLOOKUP(IV96,'KPI Impacts'!$B$2:$H$2,'KPI Impacts'!$B96:$H96)</f>
        <v>0</v>
      </c>
      <c r="IZ96" s="12">
        <f>IZ$4*JK96</f>
        <v>0</v>
      </c>
      <c r="JA96" s="12">
        <f>JA$4 * IF(AND(IZ$4=1,IZ$20=1), JM96, JK96)</f>
        <v>0</v>
      </c>
      <c r="JB96" s="12">
        <f>JB$4 * IF(AND(JA$4=1,IZ$20=1), JM96, JK96)</f>
        <v>0</v>
      </c>
      <c r="JC96" s="12">
        <f>JC$4 * IF(AND(JB$4=1,IZ$20=1), JM96, JK96)</f>
        <v>0</v>
      </c>
      <c r="JD96" s="12">
        <f>JD$4 * IF(AND(JC$4=1,IZ$20=1), JM96, JK96)</f>
        <v>0</v>
      </c>
      <c r="JE96" s="12">
        <f>JE$4 * IF(AND(JD$4=1,IZ$20=1), JM96, JK96)</f>
        <v>0</v>
      </c>
      <c r="JF96" s="12">
        <f>JF$4 * IF(AND(JE$4=1,IZ$20=1), JM96, JK96)</f>
        <v>0</v>
      </c>
      <c r="JG96" s="12">
        <f>JG$4 * IF(AND(JF$4=1,IZ$20=1), JM96, JK96)</f>
        <v>0</v>
      </c>
      <c r="JH96" s="12">
        <f>JH$4 * IF(AND(JG$4=1,IZ$20=1), JM96, JK96)</f>
        <v>0</v>
      </c>
      <c r="JJ96" t="s">
        <v>1304</v>
      </c>
      <c r="JK96">
        <f>_xlfn.XLOOKUP(JJ96,'KPI Impacts'!$B$2:$H$2,'KPI Impacts'!$B96:$H96)</f>
        <v>0</v>
      </c>
      <c r="JL96" s="35" t="s">
        <v>1304</v>
      </c>
      <c r="JM96">
        <f>_xlfn.XLOOKUP(JL96,'KPI Impacts'!$B$2:$H$2,'KPI Impacts'!$B96:$H96)</f>
        <v>0</v>
      </c>
      <c r="JP96" s="12">
        <f>JP$4*KA96</f>
        <v>0</v>
      </c>
      <c r="JQ96" s="12">
        <f>JQ$4 * IF(AND(JP$4=1,JP$20=1), KC96, KA96)</f>
        <v>0</v>
      </c>
      <c r="JR96" s="12">
        <f>JR$4 * IF(AND(JQ$4=1,JP$20=1), KC96, KA96)</f>
        <v>0</v>
      </c>
      <c r="JS96" s="12">
        <f>JS$4 * IF(AND(JR$4=1,JP$20=1), KC96, KA96)</f>
        <v>0</v>
      </c>
      <c r="JT96" s="12">
        <f>JT$4 * IF(AND(JS$4=1,JP$20=1), KC96, KA96)</f>
        <v>0</v>
      </c>
      <c r="JU96" s="12">
        <f>JU$4 * IF(AND(JT$4=1,JP$20=1), KC96, KA96)</f>
        <v>0</v>
      </c>
      <c r="JV96" s="12">
        <f>JV$4 * IF(AND(JU$4=1,JP$20=1), KC96, KA96)</f>
        <v>0</v>
      </c>
      <c r="JW96" s="12">
        <f>JW$4 * IF(AND(JV$4=1,JP$20=1), KC96, KA96)</f>
        <v>0</v>
      </c>
      <c r="JX96" s="12">
        <f>JX$4 * IF(AND(JW$4=1,JP$20=1), KC96, KA96)</f>
        <v>0</v>
      </c>
      <c r="JZ96" t="s">
        <v>1304</v>
      </c>
      <c r="KA96">
        <f>_xlfn.XLOOKUP(JZ96,'KPI Impacts'!$B$2:$H$2,'KPI Impacts'!$B96:$H96)</f>
        <v>0</v>
      </c>
      <c r="KB96" s="35" t="s">
        <v>1304</v>
      </c>
      <c r="KC96">
        <f>_xlfn.XLOOKUP(KB96,'KPI Impacts'!$B$2:$H$2,'KPI Impacts'!$B96:$H96)</f>
        <v>0</v>
      </c>
      <c r="KF96" s="12">
        <f>KF$4*KQ96</f>
        <v>0</v>
      </c>
      <c r="KG96" s="12">
        <f>KG$4 * IF(AND(KF$4=1,KF$20=1), KS96, KQ96)</f>
        <v>0</v>
      </c>
      <c r="KH96" s="12">
        <f>KH$4 * IF(AND(KG$4=1,KF$20=1), KS96, KQ96)</f>
        <v>0</v>
      </c>
      <c r="KI96" s="12">
        <f>KI$4 * IF(AND(KH$4=1,KF$20=1), KS96, KQ96)</f>
        <v>0</v>
      </c>
      <c r="KJ96" s="12">
        <f>KJ$4 * IF(AND(KI$4=1,KF$20=1), KS96, KQ96)</f>
        <v>0</v>
      </c>
      <c r="KK96" s="12">
        <f>KK$4 * IF(AND(KJ$4=1,KF$20=1), KS96, KQ96)</f>
        <v>0</v>
      </c>
      <c r="KL96" s="12">
        <f>KL$4 * IF(AND(KK$4=1,KF$20=1), KS96, KQ96)</f>
        <v>0</v>
      </c>
      <c r="KM96" s="12">
        <f>KM$4 * IF(AND(KL$4=1,KF$20=1), KS96, KQ96)</f>
        <v>0</v>
      </c>
      <c r="KN96" s="12">
        <f>KN$4 * IF(AND(KM$4=1,KF$20=1), KS96, KQ96)</f>
        <v>0</v>
      </c>
      <c r="KP96" t="s">
        <v>1304</v>
      </c>
      <c r="KQ96">
        <f>_xlfn.XLOOKUP(KP96,'KPI Impacts'!$B$2:$H$2,'KPI Impacts'!$B96:$H96)</f>
        <v>0</v>
      </c>
      <c r="KR96" s="35" t="s">
        <v>1304</v>
      </c>
      <c r="KS96">
        <f>_xlfn.XLOOKUP(KR96,'KPI Impacts'!$B$2:$H$2,'KPI Impacts'!$B96:$H96)</f>
        <v>0</v>
      </c>
      <c r="KV96" s="12">
        <f>KV$4*LG96</f>
        <v>0</v>
      </c>
      <c r="KW96" s="12">
        <f>KW$4 * IF(AND(KV$4=1,KV$20=1), LI96, LG96)</f>
        <v>0</v>
      </c>
      <c r="KX96" s="12">
        <f>KX$4 * IF(AND(KW$4=1,KV$20=1), LI96, LG96)</f>
        <v>0</v>
      </c>
      <c r="KY96" s="12">
        <f>KY$4 * IF(AND(KX$4=1,KV$20=1), LI96, LG96)</f>
        <v>0</v>
      </c>
      <c r="KZ96" s="12">
        <f>KZ$4 * IF(AND(KY$4=1,KV$20=1), LI96, LG96)</f>
        <v>0</v>
      </c>
      <c r="LA96" s="12">
        <f>LA$4 * IF(AND(KZ$4=1,KV$20=1), LI96, LG96)</f>
        <v>0</v>
      </c>
      <c r="LB96" s="12">
        <f>LB$4 * IF(AND(LA$4=1,KV$20=1), LI96, LG96)</f>
        <v>0</v>
      </c>
      <c r="LC96" s="12">
        <f>LC$4 * IF(AND(LB$4=1,KV$20=1), LI96, LG96)</f>
        <v>0</v>
      </c>
      <c r="LD96" s="12">
        <f>LD$4 * IF(AND(LC$4=1,KV$20=1), LI96, LG96)</f>
        <v>0</v>
      </c>
      <c r="LF96" t="s">
        <v>1304</v>
      </c>
      <c r="LG96">
        <f>_xlfn.XLOOKUP(LF96,'KPI Impacts'!$B$2:$H$2,'KPI Impacts'!$B96:$H96)</f>
        <v>0</v>
      </c>
      <c r="LH96" s="35" t="s">
        <v>1304</v>
      </c>
      <c r="LI96">
        <f>_xlfn.XLOOKUP(LH96,'KPI Impacts'!$B$2:$H$2,'KPI Impacts'!$B96:$H96)</f>
        <v>0</v>
      </c>
      <c r="LL96" s="12">
        <f>LL$4*LW96</f>
        <v>0</v>
      </c>
      <c r="LM96" s="12">
        <f>LM$4 * IF(AND(LL$4=1,LL$20=1), LY96, LW96)</f>
        <v>0</v>
      </c>
      <c r="LN96" s="12">
        <f>LN$4 * IF(AND(LM$4=1,LL$20=1), LY96, LW96)</f>
        <v>0</v>
      </c>
      <c r="LO96" s="12">
        <f>LO$4 * IF(AND(LN$4=1,LL$20=1), LY96, LW96)</f>
        <v>0</v>
      </c>
      <c r="LP96" s="12">
        <f>LP$4 * IF(AND(LO$4=1,LL$20=1), LY96, LW96)</f>
        <v>0</v>
      </c>
      <c r="LQ96" s="12">
        <f>LQ$4 * IF(AND(LP$4=1,LL$20=1), LY96, LW96)</f>
        <v>0</v>
      </c>
      <c r="LR96" s="12">
        <f>LR$4 * IF(AND(LQ$4=1,LL$20=1), LY96, LW96)</f>
        <v>0</v>
      </c>
      <c r="LS96" s="12">
        <f>LS$4 * IF(AND(LR$4=1,LL$20=1), LY96, LW96)</f>
        <v>0</v>
      </c>
      <c r="LT96" s="12">
        <f>LT$4 * IF(AND(LS$4=1,LL$20=1), LY96, LW96)</f>
        <v>0</v>
      </c>
      <c r="LV96" t="s">
        <v>1304</v>
      </c>
      <c r="LW96">
        <f>_xlfn.XLOOKUP(LV96,'KPI Impacts'!$B$2:$H$2,'KPI Impacts'!$B96:$H96)</f>
        <v>0</v>
      </c>
      <c r="LX96" s="35" t="s">
        <v>1304</v>
      </c>
      <c r="LY96">
        <f>_xlfn.XLOOKUP(LX96,'KPI Impacts'!$B$2:$H$2,'KPI Impacts'!$B96:$H96)</f>
        <v>0</v>
      </c>
      <c r="MB96" s="12">
        <f>MB$4*MM96</f>
        <v>0</v>
      </c>
      <c r="MC96" s="12">
        <f>MC$4 * IF(AND(MB$4=1,MB$20=1), MO96, MM96)</f>
        <v>0</v>
      </c>
      <c r="MD96" s="12">
        <f>MD$4 * IF(AND(MC$4=1,MB$20=1), MO96, MM96)</f>
        <v>0</v>
      </c>
      <c r="ME96" s="12">
        <f>ME$4 * IF(AND(MD$4=1,MB$20=1), MO96, MM96)</f>
        <v>0</v>
      </c>
      <c r="MF96" s="12">
        <f>MF$4 * IF(AND(ME$4=1,MB$20=1), MO96, MM96)</f>
        <v>0</v>
      </c>
      <c r="MG96" s="12">
        <f>MG$4 * IF(AND(MF$4=1,MB$20=1), MO96, MM96)</f>
        <v>0</v>
      </c>
      <c r="MH96" s="12">
        <f>MH$4 * IF(AND(MG$4=1,MB$20=1), MO96, MM96)</f>
        <v>0</v>
      </c>
      <c r="MI96" s="12">
        <f>MI$4 * IF(AND(MH$4=1,MB$20=1), MO96, MM96)</f>
        <v>0</v>
      </c>
      <c r="MJ96" s="12">
        <f>MJ$4 * IF(AND(MI$4=1,MB$20=1), MO96, MM96)</f>
        <v>0</v>
      </c>
      <c r="ML96" t="s">
        <v>1304</v>
      </c>
      <c r="MM96">
        <f>_xlfn.XLOOKUP(ML96,'KPI Impacts'!$B$2:$H$2,'KPI Impacts'!$B96:$H96)</f>
        <v>0</v>
      </c>
      <c r="MN96" s="35" t="s">
        <v>1304</v>
      </c>
      <c r="MO96">
        <f>_xlfn.XLOOKUP(MN96,'KPI Impacts'!$B$2:$H$2,'KPI Impacts'!$B96:$H96)</f>
        <v>0</v>
      </c>
      <c r="MR96" s="12">
        <f>MR$4*NC96</f>
        <v>0</v>
      </c>
      <c r="MS96" s="12">
        <f>MS$4 * IF(AND(MR$4=1,MR$20=1), NE96, NC96)</f>
        <v>0</v>
      </c>
      <c r="MT96" s="12">
        <f>MT$4 * IF(AND(MS$4=1,MR$20=1), NE96, NC96)</f>
        <v>0</v>
      </c>
      <c r="MU96" s="12">
        <f>MU$4 * IF(AND(MT$4=1,MR$20=1), NE96, NC96)</f>
        <v>0</v>
      </c>
      <c r="MV96" s="12">
        <f>MV$4 * IF(AND(MU$4=1,MR$20=1), NE96, NC96)</f>
        <v>0</v>
      </c>
      <c r="MW96" s="12">
        <f>MW$4 * IF(AND(MV$4=1,MR$20=1), NE96, NC96)</f>
        <v>0</v>
      </c>
      <c r="MX96" s="12">
        <f>MX$4 * IF(AND(MW$4=1,MR$20=1), NE96, NC96)</f>
        <v>0</v>
      </c>
      <c r="MY96" s="12">
        <f>MY$4 * IF(AND(MX$4=1,MR$20=1), NE96, NC96)</f>
        <v>0</v>
      </c>
      <c r="MZ96" s="12">
        <f>MZ$4 * IF(AND(MY$4=1,MR$20=1), NE96, NC96)</f>
        <v>0</v>
      </c>
      <c r="NB96" t="s">
        <v>1304</v>
      </c>
      <c r="NC96">
        <f>_xlfn.XLOOKUP(NB96,'KPI Impacts'!$B$2:$H$2,'KPI Impacts'!$B96:$H96)</f>
        <v>0</v>
      </c>
      <c r="ND96" s="35" t="s">
        <v>1304</v>
      </c>
      <c r="NE96">
        <f>_xlfn.XLOOKUP(ND96,'KPI Impacts'!$B$2:$H$2,'KPI Impacts'!$B96:$H96)</f>
        <v>0</v>
      </c>
      <c r="NH96" s="12">
        <f>NH$4*NS96</f>
        <v>0</v>
      </c>
      <c r="NI96" s="12">
        <f>NI$4 * IF(AND(NH$4=1,NH$20=1), NU96, NS96)</f>
        <v>0</v>
      </c>
      <c r="NJ96" s="12">
        <f>NJ$4 * IF(AND(NI$4=1,NH$20=1), NU96, NS96)</f>
        <v>0</v>
      </c>
      <c r="NK96" s="12">
        <f>NK$4 * IF(AND(NJ$4=1,NH$20=1), NU96, NS96)</f>
        <v>0</v>
      </c>
      <c r="NL96" s="12">
        <f>NL$4 * IF(AND(NK$4=1,NH$20=1), NU96, NS96)</f>
        <v>0</v>
      </c>
      <c r="NM96" s="12">
        <f>NM$4 * IF(AND(NL$4=1,NH$20=1), NU96, NS96)</f>
        <v>0</v>
      </c>
      <c r="NN96" s="12">
        <f>NN$4 * IF(AND(NM$4=1,NH$20=1), NU96, NS96)</f>
        <v>0</v>
      </c>
      <c r="NO96" s="12">
        <f>NO$4 * IF(AND(NN$4=1,NH$20=1), NU96, NS96)</f>
        <v>0</v>
      </c>
      <c r="NP96" s="12">
        <f>NP$4 * IF(AND(NO$4=1,NH$20=1), NU96, NS96)</f>
        <v>0</v>
      </c>
      <c r="NR96" t="s">
        <v>1304</v>
      </c>
      <c r="NS96">
        <f>_xlfn.XLOOKUP(NR96,'KPI Impacts'!$B$2:$H$2,'KPI Impacts'!$B96:$H96)</f>
        <v>0</v>
      </c>
      <c r="NT96" s="35" t="s">
        <v>1304</v>
      </c>
      <c r="NU96">
        <f>_xlfn.XLOOKUP(NT96,'KPI Impacts'!$B$2:$H$2,'KPI Impacts'!$B96:$H96)</f>
        <v>0</v>
      </c>
      <c r="NX96" s="12">
        <f>NX$4*OI96</f>
        <v>0</v>
      </c>
      <c r="NY96" s="12">
        <f>NY$4 * IF(AND(NX$4=1,NX$20=1), OK96, OI96)</f>
        <v>0</v>
      </c>
      <c r="NZ96" s="12">
        <f>NZ$4 * IF(AND(NY$4=1,NX$20=1), OK96, OI96)</f>
        <v>0</v>
      </c>
      <c r="OA96" s="12">
        <f>OA$4 * IF(AND(NZ$4=1,NX$20=1), OK96, OI96)</f>
        <v>0</v>
      </c>
      <c r="OB96" s="12">
        <f>OB$4 * IF(AND(OA$4=1,NX$20=1), OK96, OI96)</f>
        <v>0</v>
      </c>
      <c r="OC96" s="12">
        <f>OC$4 * IF(AND(OB$4=1,NX$20=1), OK96, OI96)</f>
        <v>0</v>
      </c>
      <c r="OD96" s="12">
        <f>OD$4 * IF(AND(OC$4=1,NX$20=1), OK96, OI96)</f>
        <v>0</v>
      </c>
      <c r="OE96" s="12">
        <f>OE$4 * IF(AND(OD$4=1,NX$20=1), OK96, OI96)</f>
        <v>0</v>
      </c>
      <c r="OF96" s="12">
        <f>OF$4 * IF(AND(OE$4=1,NX$20=1), OK96, OI96)</f>
        <v>0</v>
      </c>
      <c r="OH96" t="s">
        <v>1304</v>
      </c>
      <c r="OI96">
        <f>_xlfn.XLOOKUP(OH96,'KPI Impacts'!$B$2:$H$2,'KPI Impacts'!$B96:$H96)</f>
        <v>0</v>
      </c>
      <c r="OJ96" s="35" t="s">
        <v>1304</v>
      </c>
      <c r="OK96">
        <f>_xlfn.XLOOKUP(OJ96,'KPI Impacts'!$B$2:$H$2,'KPI Impacts'!$B96:$H96)</f>
        <v>0</v>
      </c>
    </row>
    <row r="97" spans="1:499" x14ac:dyDescent="0.2">
      <c r="A97" t="s">
        <v>1295</v>
      </c>
      <c r="B97" s="19" t="s">
        <v>1319</v>
      </c>
      <c r="C97" s="19" t="s">
        <v>1319</v>
      </c>
      <c r="D97" s="19" t="s">
        <v>1319</v>
      </c>
      <c r="E97" s="19" t="s">
        <v>1319</v>
      </c>
      <c r="F97" s="19" t="s">
        <v>1319</v>
      </c>
      <c r="G97" s="19" t="s">
        <v>1319</v>
      </c>
      <c r="H97" s="19" t="s">
        <v>1319</v>
      </c>
      <c r="I97" s="19" t="s">
        <v>1319</v>
      </c>
      <c r="J97" s="19" t="s">
        <v>1319</v>
      </c>
      <c r="M97" s="6"/>
      <c r="N97" s="6"/>
      <c r="P97" s="12"/>
      <c r="Q97" s="12"/>
      <c r="R97" s="12"/>
      <c r="S97" s="12"/>
      <c r="T97" s="12"/>
      <c r="U97" s="12"/>
      <c r="V97" s="12"/>
      <c r="W97" s="12"/>
      <c r="X97" s="12"/>
      <c r="AH97" s="12"/>
      <c r="AI97" s="12"/>
      <c r="AJ97" s="12"/>
      <c r="AK97" s="12"/>
      <c r="AL97" s="12"/>
      <c r="AM97" s="12"/>
      <c r="AN97" s="12"/>
      <c r="AO97" s="12"/>
      <c r="AP97" s="12"/>
      <c r="AZ97" s="12"/>
      <c r="BA97" s="12"/>
      <c r="BB97" s="12"/>
      <c r="BC97" s="12"/>
      <c r="BD97" s="12"/>
      <c r="BE97" s="12"/>
      <c r="BF97" s="12"/>
      <c r="BG97" s="12"/>
      <c r="BH97" s="12"/>
      <c r="BL97" s="9"/>
      <c r="BP97" s="12"/>
      <c r="BQ97" s="12"/>
      <c r="BR97" s="12"/>
      <c r="BS97" s="12"/>
      <c r="BT97" s="12"/>
      <c r="BU97" s="12"/>
      <c r="BV97" s="12"/>
      <c r="BW97" s="12"/>
      <c r="BX97" s="12"/>
      <c r="CB97" s="9"/>
      <c r="CF97" s="12"/>
      <c r="CG97" s="12"/>
      <c r="CH97" s="12"/>
      <c r="CI97" s="12"/>
      <c r="CJ97" s="12"/>
      <c r="CK97" s="12"/>
      <c r="CL97" s="12"/>
      <c r="CM97" s="12"/>
      <c r="CN97" s="12"/>
      <c r="CR97" s="9"/>
      <c r="CV97" s="12"/>
      <c r="CW97" s="12"/>
      <c r="CX97" s="12"/>
      <c r="CY97" s="12"/>
      <c r="CZ97" s="12"/>
      <c r="DA97" s="12"/>
      <c r="DB97" s="12"/>
      <c r="DC97" s="12"/>
      <c r="DD97" s="12"/>
      <c r="DH97" s="9"/>
      <c r="DL97" s="12"/>
      <c r="DM97" s="12"/>
      <c r="DN97" s="12"/>
      <c r="DO97" s="12"/>
      <c r="DP97" s="12"/>
      <c r="DQ97" s="12"/>
      <c r="DR97" s="12"/>
      <c r="DS97" s="12"/>
      <c r="DT97" s="12"/>
      <c r="DX97" s="9"/>
      <c r="EB97" s="12"/>
      <c r="EC97" s="12"/>
      <c r="ED97" s="12"/>
      <c r="EE97" s="12"/>
      <c r="EF97" s="12"/>
      <c r="EG97" s="12"/>
      <c r="EH97" s="12"/>
      <c r="EI97" s="12"/>
      <c r="EJ97" s="12"/>
      <c r="EN97" s="9"/>
      <c r="ER97" s="12"/>
      <c r="ES97" s="12"/>
      <c r="ET97" s="12"/>
      <c r="EU97" s="12"/>
      <c r="EV97" s="12"/>
      <c r="EW97" s="12"/>
      <c r="EX97" s="12"/>
      <c r="EY97" s="12"/>
      <c r="EZ97" s="12"/>
      <c r="FD97" s="9"/>
      <c r="FH97" s="12"/>
      <c r="FI97" s="12"/>
      <c r="FJ97" s="12"/>
      <c r="FK97" s="12"/>
      <c r="FL97" s="12"/>
      <c r="FM97" s="12"/>
      <c r="FN97" s="12"/>
      <c r="FO97" s="12"/>
      <c r="FP97" s="12"/>
      <c r="FT97" s="9"/>
      <c r="FX97" s="12"/>
      <c r="FY97" s="12"/>
      <c r="FZ97" s="12"/>
      <c r="GA97" s="12"/>
      <c r="GB97" s="12"/>
      <c r="GC97" s="12"/>
      <c r="GD97" s="12"/>
      <c r="GE97" s="12"/>
      <c r="GF97" s="12"/>
      <c r="GJ97" s="9"/>
      <c r="GN97" s="12"/>
      <c r="GO97" s="12"/>
      <c r="GP97" s="12"/>
      <c r="GQ97" s="12"/>
      <c r="GR97" s="12"/>
      <c r="GS97" s="12"/>
      <c r="GT97" s="12"/>
      <c r="GU97" s="12"/>
      <c r="GV97" s="12"/>
      <c r="GZ97" s="9"/>
      <c r="HD97" s="12"/>
      <c r="HE97" s="12"/>
      <c r="HF97" s="12"/>
      <c r="HG97" s="12"/>
      <c r="HH97" s="12"/>
      <c r="HI97" s="12"/>
      <c r="HJ97" s="12"/>
      <c r="HK97" s="12"/>
      <c r="HL97" s="12"/>
      <c r="HP97" s="9"/>
      <c r="HT97" s="12"/>
      <c r="HU97" s="12"/>
      <c r="HV97" s="12"/>
      <c r="HW97" s="12"/>
      <c r="HX97" s="12"/>
      <c r="HY97" s="12"/>
      <c r="HZ97" s="12"/>
      <c r="IA97" s="12"/>
      <c r="IB97" s="12"/>
      <c r="IF97" s="9"/>
      <c r="IJ97" s="12"/>
      <c r="IK97" s="12"/>
      <c r="IL97" s="12"/>
      <c r="IM97" s="12"/>
      <c r="IN97" s="12"/>
      <c r="IO97" s="12"/>
      <c r="IP97" s="12"/>
      <c r="IQ97" s="12"/>
      <c r="IR97" s="12"/>
      <c r="IV97" s="9"/>
      <c r="IZ97" s="12"/>
      <c r="JA97" s="12"/>
      <c r="JB97" s="12"/>
      <c r="JC97" s="12"/>
      <c r="JD97" s="12"/>
      <c r="JE97" s="12"/>
      <c r="JF97" s="12"/>
      <c r="JG97" s="12"/>
      <c r="JH97" s="12"/>
      <c r="JL97" s="9"/>
      <c r="JP97" s="12"/>
      <c r="JQ97" s="12"/>
      <c r="JR97" s="12"/>
      <c r="JS97" s="12"/>
      <c r="JT97" s="12"/>
      <c r="JU97" s="12"/>
      <c r="JV97" s="12"/>
      <c r="JW97" s="12"/>
      <c r="JX97" s="12"/>
      <c r="KB97" s="9"/>
      <c r="KF97" s="12"/>
      <c r="KG97" s="12"/>
      <c r="KH97" s="12"/>
      <c r="KI97" s="12"/>
      <c r="KJ97" s="12"/>
      <c r="KK97" s="12"/>
      <c r="KL97" s="12"/>
      <c r="KM97" s="12"/>
      <c r="KN97" s="12"/>
      <c r="KR97" s="9"/>
      <c r="KV97" s="12"/>
      <c r="KW97" s="12"/>
      <c r="KX97" s="12"/>
      <c r="KY97" s="12"/>
      <c r="KZ97" s="12"/>
      <c r="LA97" s="12"/>
      <c r="LB97" s="12"/>
      <c r="LC97" s="12"/>
      <c r="LD97" s="12"/>
      <c r="LH97" s="9"/>
      <c r="LL97" s="12"/>
      <c r="LM97" s="12"/>
      <c r="LN97" s="12"/>
      <c r="LO97" s="12"/>
      <c r="LP97" s="12"/>
      <c r="LQ97" s="12"/>
      <c r="LR97" s="12"/>
      <c r="LS97" s="12"/>
      <c r="LT97" s="12"/>
      <c r="LX97" s="9"/>
      <c r="MB97" s="12"/>
      <c r="MC97" s="12"/>
      <c r="MD97" s="12"/>
      <c r="ME97" s="12"/>
      <c r="MF97" s="12"/>
      <c r="MG97" s="12"/>
      <c r="MH97" s="12"/>
      <c r="MI97" s="12"/>
      <c r="MJ97" s="12"/>
      <c r="MN97" s="9"/>
      <c r="MR97" s="12"/>
      <c r="MS97" s="12"/>
      <c r="MT97" s="12"/>
      <c r="MU97" s="12"/>
      <c r="MV97" s="12"/>
      <c r="MW97" s="12"/>
      <c r="MX97" s="12"/>
      <c r="MY97" s="12"/>
      <c r="MZ97" s="12"/>
      <c r="ND97" s="9"/>
      <c r="NH97" s="12"/>
      <c r="NI97" s="12"/>
      <c r="NJ97" s="12"/>
      <c r="NK97" s="12"/>
      <c r="NL97" s="12"/>
      <c r="NM97" s="12"/>
      <c r="NN97" s="12"/>
      <c r="NO97" s="12"/>
      <c r="NP97" s="12"/>
      <c r="NT97" s="9"/>
      <c r="NX97" s="12"/>
      <c r="NY97" s="12"/>
      <c r="NZ97" s="12"/>
      <c r="OA97" s="12"/>
      <c r="OB97" s="12"/>
      <c r="OC97" s="12"/>
      <c r="OD97" s="12"/>
      <c r="OE97" s="12"/>
      <c r="OF97" s="12"/>
      <c r="OJ97" s="9"/>
    </row>
    <row r="98" spans="1:499" hidden="1" x14ac:dyDescent="0.2">
      <c r="B98" s="12"/>
      <c r="P98" s="12"/>
      <c r="Q98" s="12"/>
      <c r="R98" s="12"/>
      <c r="S98" s="12"/>
      <c r="T98" s="12"/>
      <c r="U98" s="12"/>
      <c r="V98" s="12"/>
      <c r="W98" s="12"/>
      <c r="X98" s="12"/>
      <c r="AH98" s="12"/>
      <c r="AI98" s="12"/>
      <c r="AJ98" s="12"/>
      <c r="AK98" s="12"/>
      <c r="AL98" s="12"/>
      <c r="AM98" s="12"/>
      <c r="AN98" s="12"/>
      <c r="AO98" s="12"/>
      <c r="AP98" s="12"/>
      <c r="AZ98" s="12"/>
      <c r="BA98" s="12"/>
      <c r="BB98" s="12"/>
      <c r="BC98" s="12"/>
      <c r="BD98" s="12"/>
      <c r="BE98" s="12"/>
      <c r="BF98" s="12"/>
      <c r="BG98" s="12"/>
      <c r="BH98" s="12"/>
      <c r="BL98" s="9"/>
      <c r="BP98" s="12"/>
      <c r="BQ98" s="12"/>
      <c r="BR98" s="12"/>
      <c r="BS98" s="12"/>
      <c r="BT98" s="12"/>
      <c r="BU98" s="12"/>
      <c r="BV98" s="12"/>
      <c r="BW98" s="12"/>
      <c r="BX98" s="12"/>
      <c r="CB98" s="9"/>
      <c r="CF98" s="12"/>
      <c r="CG98" s="12"/>
      <c r="CH98" s="12"/>
      <c r="CI98" s="12"/>
      <c r="CJ98" s="12"/>
      <c r="CK98" s="12"/>
      <c r="CL98" s="12"/>
      <c r="CM98" s="12"/>
      <c r="CN98" s="12"/>
      <c r="CR98" s="9"/>
      <c r="CV98" s="12"/>
      <c r="CW98" s="12"/>
      <c r="CX98" s="12"/>
      <c r="CY98" s="12"/>
      <c r="CZ98" s="12"/>
      <c r="DA98" s="12"/>
      <c r="DB98" s="12"/>
      <c r="DC98" s="12"/>
      <c r="DD98" s="12"/>
      <c r="DH98" s="9"/>
      <c r="DL98" s="12"/>
      <c r="DM98" s="12"/>
      <c r="DN98" s="12"/>
      <c r="DO98" s="12"/>
      <c r="DP98" s="12"/>
      <c r="DQ98" s="12"/>
      <c r="DR98" s="12"/>
      <c r="DS98" s="12"/>
      <c r="DT98" s="12"/>
      <c r="DX98" s="9"/>
      <c r="EB98" s="12"/>
      <c r="EC98" s="12"/>
      <c r="ED98" s="12"/>
      <c r="EE98" s="12"/>
      <c r="EF98" s="12"/>
      <c r="EG98" s="12"/>
      <c r="EH98" s="12"/>
      <c r="EI98" s="12"/>
      <c r="EJ98" s="12"/>
      <c r="EN98" s="9"/>
      <c r="ER98" s="12"/>
      <c r="ES98" s="12"/>
      <c r="ET98" s="12"/>
      <c r="EU98" s="12"/>
      <c r="EV98" s="12"/>
      <c r="EW98" s="12"/>
      <c r="EX98" s="12"/>
      <c r="EY98" s="12"/>
      <c r="EZ98" s="12"/>
      <c r="FD98" s="9"/>
      <c r="FH98" s="12"/>
      <c r="FI98" s="12"/>
      <c r="FJ98" s="12"/>
      <c r="FK98" s="12"/>
      <c r="FL98" s="12"/>
      <c r="FM98" s="12"/>
      <c r="FN98" s="12"/>
      <c r="FO98" s="12"/>
      <c r="FP98" s="12"/>
      <c r="FT98" s="9"/>
      <c r="FX98" s="12"/>
      <c r="FY98" s="12"/>
      <c r="FZ98" s="12"/>
      <c r="GA98" s="12"/>
      <c r="GB98" s="12"/>
      <c r="GC98" s="12"/>
      <c r="GD98" s="12"/>
      <c r="GE98" s="12"/>
      <c r="GF98" s="12"/>
      <c r="GJ98" s="9"/>
      <c r="GN98" s="12"/>
      <c r="GO98" s="12"/>
      <c r="GP98" s="12"/>
      <c r="GQ98" s="12"/>
      <c r="GR98" s="12"/>
      <c r="GS98" s="12"/>
      <c r="GT98" s="12"/>
      <c r="GU98" s="12"/>
      <c r="GV98" s="12"/>
      <c r="GZ98" s="9"/>
      <c r="HD98" s="12"/>
      <c r="HE98" s="12"/>
      <c r="HF98" s="12"/>
      <c r="HG98" s="12"/>
      <c r="HH98" s="12"/>
      <c r="HI98" s="12"/>
      <c r="HJ98" s="12"/>
      <c r="HK98" s="12"/>
      <c r="HL98" s="12"/>
      <c r="HP98" s="9"/>
      <c r="HT98" s="12"/>
      <c r="HU98" s="12"/>
      <c r="HV98" s="12"/>
      <c r="HW98" s="12"/>
      <c r="HX98" s="12"/>
      <c r="HY98" s="12"/>
      <c r="HZ98" s="12"/>
      <c r="IA98" s="12"/>
      <c r="IB98" s="12"/>
      <c r="IF98" s="9"/>
      <c r="IJ98" s="12"/>
      <c r="IK98" s="12"/>
      <c r="IL98" s="12"/>
      <c r="IM98" s="12"/>
      <c r="IN98" s="12"/>
      <c r="IO98" s="12"/>
      <c r="IP98" s="12"/>
      <c r="IQ98" s="12"/>
      <c r="IR98" s="12"/>
      <c r="IV98" s="9"/>
      <c r="IZ98" s="12"/>
      <c r="JA98" s="12"/>
      <c r="JB98" s="12"/>
      <c r="JC98" s="12"/>
      <c r="JD98" s="12"/>
      <c r="JE98" s="12"/>
      <c r="JF98" s="12"/>
      <c r="JG98" s="12"/>
      <c r="JH98" s="12"/>
      <c r="JL98" s="9"/>
      <c r="JP98" s="12"/>
      <c r="JQ98" s="12"/>
      <c r="JR98" s="12"/>
      <c r="JS98" s="12"/>
      <c r="JT98" s="12"/>
      <c r="JU98" s="12"/>
      <c r="JV98" s="12"/>
      <c r="JW98" s="12"/>
      <c r="JX98" s="12"/>
      <c r="KB98" s="9"/>
      <c r="KF98" s="12"/>
      <c r="KG98" s="12"/>
      <c r="KH98" s="12"/>
      <c r="KI98" s="12"/>
      <c r="KJ98" s="12"/>
      <c r="KK98" s="12"/>
      <c r="KL98" s="12"/>
      <c r="KM98" s="12"/>
      <c r="KN98" s="12"/>
      <c r="KR98" s="9"/>
      <c r="KV98" s="12"/>
      <c r="KW98" s="12"/>
      <c r="KX98" s="12"/>
      <c r="KY98" s="12"/>
      <c r="KZ98" s="12"/>
      <c r="LA98" s="12"/>
      <c r="LB98" s="12"/>
      <c r="LC98" s="12"/>
      <c r="LD98" s="12"/>
      <c r="LH98" s="9"/>
      <c r="LL98" s="12"/>
      <c r="LM98" s="12"/>
      <c r="LN98" s="12"/>
      <c r="LO98" s="12"/>
      <c r="LP98" s="12"/>
      <c r="LQ98" s="12"/>
      <c r="LR98" s="12"/>
      <c r="LS98" s="12"/>
      <c r="LT98" s="12"/>
      <c r="LX98" s="9"/>
      <c r="MB98" s="12"/>
      <c r="MC98" s="12"/>
      <c r="MD98" s="12"/>
      <c r="ME98" s="12"/>
      <c r="MF98" s="12"/>
      <c r="MG98" s="12"/>
      <c r="MH98" s="12"/>
      <c r="MI98" s="12"/>
      <c r="MJ98" s="12"/>
      <c r="MN98" s="9"/>
      <c r="MR98" s="12"/>
      <c r="MS98" s="12"/>
      <c r="MT98" s="12"/>
      <c r="MU98" s="12"/>
      <c r="MV98" s="12"/>
      <c r="MW98" s="12"/>
      <c r="MX98" s="12"/>
      <c r="MY98" s="12"/>
      <c r="MZ98" s="12"/>
      <c r="ND98" s="9"/>
      <c r="NH98" s="12"/>
      <c r="NI98" s="12"/>
      <c r="NJ98" s="12"/>
      <c r="NK98" s="12"/>
      <c r="NL98" s="12"/>
      <c r="NM98" s="12"/>
      <c r="NN98" s="12"/>
      <c r="NO98" s="12"/>
      <c r="NP98" s="12"/>
      <c r="NT98" s="9"/>
      <c r="NX98" s="12"/>
      <c r="NY98" s="12"/>
      <c r="NZ98" s="12"/>
      <c r="OA98" s="12"/>
      <c r="OB98" s="12"/>
      <c r="OC98" s="12"/>
      <c r="OD98" s="12"/>
      <c r="OE98" s="12"/>
      <c r="OF98" s="12"/>
      <c r="OJ98" s="9"/>
    </row>
    <row r="99" spans="1:499" x14ac:dyDescent="0.2">
      <c r="B99" s="12"/>
      <c r="P99" s="12"/>
      <c r="Q99" s="12"/>
      <c r="R99" s="12"/>
      <c r="S99" s="12"/>
      <c r="T99" s="12"/>
      <c r="U99" s="12"/>
      <c r="V99" s="12"/>
      <c r="W99" s="12"/>
      <c r="X99" s="12"/>
      <c r="AH99" s="12"/>
      <c r="AI99" s="12"/>
      <c r="AJ99" s="12"/>
      <c r="AK99" s="12"/>
      <c r="AL99" s="12"/>
      <c r="AM99" s="12"/>
      <c r="AN99" s="12"/>
      <c r="AO99" s="12"/>
      <c r="AP99" s="12"/>
      <c r="AZ99" s="12"/>
      <c r="BA99" s="12"/>
      <c r="BB99" s="12"/>
      <c r="BC99" s="12"/>
      <c r="BD99" s="12"/>
      <c r="BE99" s="12"/>
      <c r="BF99" s="12"/>
      <c r="BG99" s="12"/>
      <c r="BH99" s="12"/>
      <c r="BL99" s="9"/>
      <c r="BP99" s="12"/>
      <c r="BQ99" s="12"/>
      <c r="BR99" s="12"/>
      <c r="BS99" s="12"/>
      <c r="BT99" s="12"/>
      <c r="BU99" s="12"/>
      <c r="BV99" s="12"/>
      <c r="BW99" s="12"/>
      <c r="BX99" s="12"/>
      <c r="CB99" s="9"/>
      <c r="CF99" s="12"/>
      <c r="CG99" s="12"/>
      <c r="CH99" s="12"/>
      <c r="CI99" s="12"/>
      <c r="CJ99" s="12"/>
      <c r="CK99" s="12"/>
      <c r="CL99" s="12"/>
      <c r="CM99" s="12"/>
      <c r="CN99" s="12"/>
      <c r="CR99" s="9"/>
      <c r="CV99" s="12"/>
      <c r="CW99" s="12"/>
      <c r="CX99" s="12"/>
      <c r="CY99" s="12"/>
      <c r="CZ99" s="12"/>
      <c r="DA99" s="12"/>
      <c r="DB99" s="12"/>
      <c r="DC99" s="12"/>
      <c r="DD99" s="12"/>
      <c r="DH99" s="9"/>
      <c r="DL99" s="12"/>
      <c r="DM99" s="12"/>
      <c r="DN99" s="12"/>
      <c r="DO99" s="12"/>
      <c r="DP99" s="12"/>
      <c r="DQ99" s="12"/>
      <c r="DR99" s="12"/>
      <c r="DS99" s="12"/>
      <c r="DT99" s="12"/>
      <c r="DX99" s="9"/>
      <c r="EB99" s="12"/>
      <c r="EC99" s="12"/>
      <c r="ED99" s="12"/>
      <c r="EE99" s="12"/>
      <c r="EF99" s="12"/>
      <c r="EG99" s="12"/>
      <c r="EH99" s="12"/>
      <c r="EI99" s="12"/>
      <c r="EJ99" s="12"/>
      <c r="EN99" s="9"/>
      <c r="ER99" s="12"/>
      <c r="ES99" s="12"/>
      <c r="ET99" s="12"/>
      <c r="EU99" s="12"/>
      <c r="EV99" s="12"/>
      <c r="EW99" s="12"/>
      <c r="EX99" s="12"/>
      <c r="EY99" s="12"/>
      <c r="EZ99" s="12"/>
      <c r="FD99" s="9"/>
      <c r="FH99" s="12"/>
      <c r="FI99" s="12"/>
      <c r="FJ99" s="12"/>
      <c r="FK99" s="12"/>
      <c r="FL99" s="12"/>
      <c r="FM99" s="12"/>
      <c r="FN99" s="12"/>
      <c r="FO99" s="12"/>
      <c r="FP99" s="12"/>
      <c r="FT99" s="9"/>
      <c r="FX99" s="12"/>
      <c r="FY99" s="12"/>
      <c r="FZ99" s="12"/>
      <c r="GA99" s="12"/>
      <c r="GB99" s="12"/>
      <c r="GC99" s="12"/>
      <c r="GD99" s="12"/>
      <c r="GE99" s="12"/>
      <c r="GF99" s="12"/>
      <c r="GJ99" s="9"/>
      <c r="GN99" s="12"/>
      <c r="GO99" s="12"/>
      <c r="GP99" s="12"/>
      <c r="GQ99" s="12"/>
      <c r="GR99" s="12"/>
      <c r="GS99" s="12"/>
      <c r="GT99" s="12"/>
      <c r="GU99" s="12"/>
      <c r="GV99" s="12"/>
      <c r="GZ99" s="9"/>
      <c r="HD99" s="12"/>
      <c r="HE99" s="12"/>
      <c r="HF99" s="12"/>
      <c r="HG99" s="12"/>
      <c r="HH99" s="12"/>
      <c r="HI99" s="12"/>
      <c r="HJ99" s="12"/>
      <c r="HK99" s="12"/>
      <c r="HL99" s="12"/>
      <c r="HP99" s="9"/>
      <c r="HT99" s="12"/>
      <c r="HU99" s="12"/>
      <c r="HV99" s="12"/>
      <c r="HW99" s="12"/>
      <c r="HX99" s="12"/>
      <c r="HY99" s="12"/>
      <c r="HZ99" s="12"/>
      <c r="IA99" s="12"/>
      <c r="IB99" s="12"/>
      <c r="IF99" s="9"/>
      <c r="IJ99" s="12"/>
      <c r="IK99" s="12"/>
      <c r="IL99" s="12"/>
      <c r="IM99" s="12"/>
      <c r="IN99" s="12"/>
      <c r="IO99" s="12"/>
      <c r="IP99" s="12"/>
      <c r="IQ99" s="12"/>
      <c r="IR99" s="12"/>
      <c r="IV99" s="9"/>
      <c r="IZ99" s="12"/>
      <c r="JA99" s="12"/>
      <c r="JB99" s="12"/>
      <c r="JC99" s="12"/>
      <c r="JD99" s="12"/>
      <c r="JE99" s="12"/>
      <c r="JF99" s="12"/>
      <c r="JG99" s="12"/>
      <c r="JH99" s="12"/>
      <c r="JL99" s="9"/>
      <c r="JP99" s="12"/>
      <c r="JQ99" s="12"/>
      <c r="JR99" s="12"/>
      <c r="JS99" s="12"/>
      <c r="JT99" s="12"/>
      <c r="JU99" s="12"/>
      <c r="JV99" s="12"/>
      <c r="JW99" s="12"/>
      <c r="JX99" s="12"/>
      <c r="KB99" s="9"/>
      <c r="KF99" s="12"/>
      <c r="KG99" s="12"/>
      <c r="KH99" s="12"/>
      <c r="KI99" s="12"/>
      <c r="KJ99" s="12"/>
      <c r="KK99" s="12"/>
      <c r="KL99" s="12"/>
      <c r="KM99" s="12"/>
      <c r="KN99" s="12"/>
      <c r="KR99" s="9"/>
      <c r="KV99" s="12"/>
      <c r="KW99" s="12"/>
      <c r="KX99" s="12"/>
      <c r="KY99" s="12"/>
      <c r="KZ99" s="12"/>
      <c r="LA99" s="12"/>
      <c r="LB99" s="12"/>
      <c r="LC99" s="12"/>
      <c r="LD99" s="12"/>
      <c r="LH99" s="9"/>
      <c r="LL99" s="12"/>
      <c r="LM99" s="12"/>
      <c r="LN99" s="12"/>
      <c r="LO99" s="12"/>
      <c r="LP99" s="12"/>
      <c r="LQ99" s="12"/>
      <c r="LR99" s="12"/>
      <c r="LS99" s="12"/>
      <c r="LT99" s="12"/>
      <c r="LX99" s="9"/>
      <c r="MB99" s="12"/>
      <c r="MC99" s="12"/>
      <c r="MD99" s="12"/>
      <c r="ME99" s="12"/>
      <c r="MF99" s="12"/>
      <c r="MG99" s="12"/>
      <c r="MH99" s="12"/>
      <c r="MI99" s="12"/>
      <c r="MJ99" s="12"/>
      <c r="MN99" s="9"/>
      <c r="MR99" s="12"/>
      <c r="MS99" s="12"/>
      <c r="MT99" s="12"/>
      <c r="MU99" s="12"/>
      <c r="MV99" s="12"/>
      <c r="MW99" s="12"/>
      <c r="MX99" s="12"/>
      <c r="MY99" s="12"/>
      <c r="MZ99" s="12"/>
      <c r="ND99" s="9"/>
      <c r="NH99" s="12"/>
      <c r="NI99" s="12"/>
      <c r="NJ99" s="12"/>
      <c r="NK99" s="12"/>
      <c r="NL99" s="12"/>
      <c r="NM99" s="12"/>
      <c r="NN99" s="12"/>
      <c r="NO99" s="12"/>
      <c r="NP99" s="12"/>
      <c r="NT99" s="9"/>
      <c r="NX99" s="12"/>
      <c r="NY99" s="12"/>
      <c r="NZ99" s="12"/>
      <c r="OA99" s="12"/>
      <c r="OB99" s="12"/>
      <c r="OC99" s="12"/>
      <c r="OD99" s="12"/>
      <c r="OE99" s="12"/>
      <c r="OF99" s="12"/>
      <c r="OJ99" s="9"/>
    </row>
    <row r="100" spans="1:499" x14ac:dyDescent="0.2">
      <c r="B100" s="12"/>
      <c r="P100" s="12"/>
      <c r="Q100" s="12"/>
      <c r="R100" s="12"/>
      <c r="S100" s="12"/>
      <c r="T100" s="12"/>
      <c r="U100" s="12"/>
      <c r="V100" s="12"/>
      <c r="W100" s="12"/>
      <c r="X100" s="12"/>
      <c r="AH100" s="12"/>
      <c r="AI100" s="12"/>
      <c r="AJ100" s="12"/>
      <c r="AK100" s="12"/>
      <c r="AL100" s="12"/>
      <c r="AM100" s="12"/>
      <c r="AN100" s="12"/>
      <c r="AO100" s="12"/>
      <c r="AP100" s="12"/>
      <c r="AZ100" s="12"/>
      <c r="BA100" s="12"/>
      <c r="BB100" s="12"/>
      <c r="BC100" s="12"/>
      <c r="BD100" s="12"/>
      <c r="BE100" s="12"/>
      <c r="BF100" s="12"/>
      <c r="BG100" s="12"/>
      <c r="BH100" s="12"/>
      <c r="BL100" s="9"/>
      <c r="BP100" s="12"/>
      <c r="BQ100" s="12"/>
      <c r="BR100" s="12"/>
      <c r="BS100" s="12"/>
      <c r="BT100" s="12"/>
      <c r="BU100" s="12"/>
      <c r="BV100" s="12"/>
      <c r="BW100" s="12"/>
      <c r="BX100" s="12"/>
      <c r="CB100" s="9"/>
      <c r="CF100" s="12"/>
      <c r="CG100" s="12"/>
      <c r="CH100" s="12"/>
      <c r="CI100" s="12"/>
      <c r="CJ100" s="12"/>
      <c r="CK100" s="12"/>
      <c r="CL100" s="12"/>
      <c r="CM100" s="12"/>
      <c r="CN100" s="12"/>
      <c r="CR100" s="9"/>
      <c r="CV100" s="12"/>
      <c r="CW100" s="12"/>
      <c r="CX100" s="12"/>
      <c r="CY100" s="12"/>
      <c r="CZ100" s="12"/>
      <c r="DA100" s="12"/>
      <c r="DB100" s="12"/>
      <c r="DC100" s="12"/>
      <c r="DD100" s="12"/>
      <c r="DH100" s="9"/>
      <c r="DL100" s="12"/>
      <c r="DM100" s="12"/>
      <c r="DN100" s="12"/>
      <c r="DO100" s="12"/>
      <c r="DP100" s="12"/>
      <c r="DQ100" s="12"/>
      <c r="DR100" s="12"/>
      <c r="DS100" s="12"/>
      <c r="DT100" s="12"/>
      <c r="DX100" s="9"/>
      <c r="EB100" s="12"/>
      <c r="EC100" s="12"/>
      <c r="ED100" s="12"/>
      <c r="EE100" s="12"/>
      <c r="EF100" s="12"/>
      <c r="EG100" s="12"/>
      <c r="EH100" s="12"/>
      <c r="EI100" s="12"/>
      <c r="EJ100" s="12"/>
      <c r="EN100" s="9"/>
      <c r="ER100" s="12"/>
      <c r="ES100" s="12"/>
      <c r="ET100" s="12"/>
      <c r="EU100" s="12"/>
      <c r="EV100" s="12"/>
      <c r="EW100" s="12"/>
      <c r="EX100" s="12"/>
      <c r="EY100" s="12"/>
      <c r="EZ100" s="12"/>
      <c r="FD100" s="9"/>
      <c r="FH100" s="12"/>
      <c r="FI100" s="12"/>
      <c r="FJ100" s="12"/>
      <c r="FK100" s="12"/>
      <c r="FL100" s="12"/>
      <c r="FM100" s="12"/>
      <c r="FN100" s="12"/>
      <c r="FO100" s="12"/>
      <c r="FP100" s="12"/>
      <c r="FT100" s="9"/>
      <c r="FX100" s="12"/>
      <c r="FY100" s="12"/>
      <c r="FZ100" s="12"/>
      <c r="GA100" s="12"/>
      <c r="GB100" s="12"/>
      <c r="GC100" s="12"/>
      <c r="GD100" s="12"/>
      <c r="GE100" s="12"/>
      <c r="GF100" s="12"/>
      <c r="GJ100" s="9"/>
      <c r="GN100" s="12"/>
      <c r="GO100" s="12"/>
      <c r="GP100" s="12"/>
      <c r="GQ100" s="12"/>
      <c r="GR100" s="12"/>
      <c r="GS100" s="12"/>
      <c r="GT100" s="12"/>
      <c r="GU100" s="12"/>
      <c r="GV100" s="12"/>
      <c r="GZ100" s="9"/>
      <c r="HD100" s="12"/>
      <c r="HE100" s="12"/>
      <c r="HF100" s="12"/>
      <c r="HG100" s="12"/>
      <c r="HH100" s="12"/>
      <c r="HI100" s="12"/>
      <c r="HJ100" s="12"/>
      <c r="HK100" s="12"/>
      <c r="HL100" s="12"/>
      <c r="HP100" s="9"/>
      <c r="HT100" s="12"/>
      <c r="HU100" s="12"/>
      <c r="HV100" s="12"/>
      <c r="HW100" s="12"/>
      <c r="HX100" s="12"/>
      <c r="HY100" s="12"/>
      <c r="HZ100" s="12"/>
      <c r="IA100" s="12"/>
      <c r="IB100" s="12"/>
      <c r="IF100" s="9"/>
      <c r="IJ100" s="12"/>
      <c r="IK100" s="12"/>
      <c r="IL100" s="12"/>
      <c r="IM100" s="12"/>
      <c r="IN100" s="12"/>
      <c r="IO100" s="12"/>
      <c r="IP100" s="12"/>
      <c r="IQ100" s="12"/>
      <c r="IR100" s="12"/>
      <c r="IV100" s="9"/>
      <c r="IZ100" s="12"/>
      <c r="JA100" s="12"/>
      <c r="JB100" s="12"/>
      <c r="JC100" s="12"/>
      <c r="JD100" s="12"/>
      <c r="JE100" s="12"/>
      <c r="JF100" s="12"/>
      <c r="JG100" s="12"/>
      <c r="JH100" s="12"/>
      <c r="JL100" s="9"/>
      <c r="JP100" s="12"/>
      <c r="JQ100" s="12"/>
      <c r="JR100" s="12"/>
      <c r="JS100" s="12"/>
      <c r="JT100" s="12"/>
      <c r="JU100" s="12"/>
      <c r="JV100" s="12"/>
      <c r="JW100" s="12"/>
      <c r="JX100" s="12"/>
      <c r="KB100" s="9"/>
      <c r="KF100" s="12"/>
      <c r="KG100" s="12"/>
      <c r="KH100" s="12"/>
      <c r="KI100" s="12"/>
      <c r="KJ100" s="12"/>
      <c r="KK100" s="12"/>
      <c r="KL100" s="12"/>
      <c r="KM100" s="12"/>
      <c r="KN100" s="12"/>
      <c r="KR100" s="9"/>
      <c r="KV100" s="12"/>
      <c r="KW100" s="12"/>
      <c r="KX100" s="12"/>
      <c r="KY100" s="12"/>
      <c r="KZ100" s="12"/>
      <c r="LA100" s="12"/>
      <c r="LB100" s="12"/>
      <c r="LC100" s="12"/>
      <c r="LD100" s="12"/>
      <c r="LH100" s="9"/>
      <c r="LL100" s="12"/>
      <c r="LM100" s="12"/>
      <c r="LN100" s="12"/>
      <c r="LO100" s="12"/>
      <c r="LP100" s="12"/>
      <c r="LQ100" s="12"/>
      <c r="LR100" s="12"/>
      <c r="LS100" s="12"/>
      <c r="LT100" s="12"/>
      <c r="LX100" s="9"/>
      <c r="MB100" s="12"/>
      <c r="MC100" s="12"/>
      <c r="MD100" s="12"/>
      <c r="ME100" s="12"/>
      <c r="MF100" s="12"/>
      <c r="MG100" s="12"/>
      <c r="MH100" s="12"/>
      <c r="MI100" s="12"/>
      <c r="MJ100" s="12"/>
      <c r="MN100" s="9"/>
      <c r="MR100" s="12"/>
      <c r="MS100" s="12"/>
      <c r="MT100" s="12"/>
      <c r="MU100" s="12"/>
      <c r="MV100" s="12"/>
      <c r="MW100" s="12"/>
      <c r="MX100" s="12"/>
      <c r="MY100" s="12"/>
      <c r="MZ100" s="12"/>
      <c r="ND100" s="9"/>
      <c r="NH100" s="12"/>
      <c r="NI100" s="12"/>
      <c r="NJ100" s="12"/>
      <c r="NK100" s="12"/>
      <c r="NL100" s="12"/>
      <c r="NM100" s="12"/>
      <c r="NN100" s="12"/>
      <c r="NO100" s="12"/>
      <c r="NP100" s="12"/>
      <c r="NT100" s="9"/>
      <c r="NX100" s="12"/>
      <c r="NY100" s="12"/>
      <c r="NZ100" s="12"/>
      <c r="OA100" s="12"/>
      <c r="OB100" s="12"/>
      <c r="OC100" s="12"/>
      <c r="OD100" s="12"/>
      <c r="OE100" s="12"/>
      <c r="OF100" s="12"/>
      <c r="OJ100" s="9"/>
    </row>
    <row r="101" spans="1:499" x14ac:dyDescent="0.2">
      <c r="A101" s="5" t="s">
        <v>53</v>
      </c>
      <c r="B101" s="12"/>
      <c r="P101" s="12"/>
      <c r="Q101" s="12"/>
      <c r="R101" s="12"/>
      <c r="S101" s="12"/>
      <c r="T101" s="12"/>
      <c r="U101" s="12"/>
      <c r="V101" s="12"/>
      <c r="W101" s="12"/>
      <c r="X101" s="12"/>
      <c r="AH101" s="12"/>
      <c r="AI101" s="12"/>
      <c r="AJ101" s="12"/>
      <c r="AK101" s="12"/>
      <c r="AL101" s="12"/>
      <c r="AM101" s="12"/>
      <c r="AN101" s="12"/>
      <c r="AO101" s="12"/>
      <c r="AP101" s="12"/>
      <c r="AZ101" s="12"/>
      <c r="BA101" s="12"/>
      <c r="BB101" s="12"/>
      <c r="BC101" s="12"/>
      <c r="BD101" s="12"/>
      <c r="BE101" s="12"/>
      <c r="BF101" s="12"/>
      <c r="BG101" s="12"/>
      <c r="BH101" s="12"/>
      <c r="BL101" s="9"/>
      <c r="BP101" s="12"/>
      <c r="BQ101" s="12"/>
      <c r="BR101" s="12"/>
      <c r="BS101" s="12"/>
      <c r="BT101" s="12"/>
      <c r="BU101" s="12"/>
      <c r="BV101" s="12"/>
      <c r="BW101" s="12"/>
      <c r="BX101" s="12"/>
      <c r="CB101" s="9"/>
      <c r="CF101" s="12"/>
      <c r="CG101" s="12"/>
      <c r="CH101" s="12"/>
      <c r="CI101" s="12"/>
      <c r="CJ101" s="12"/>
      <c r="CK101" s="12"/>
      <c r="CL101" s="12"/>
      <c r="CM101" s="12"/>
      <c r="CN101" s="12"/>
      <c r="CR101" s="9"/>
      <c r="CV101" s="12"/>
      <c r="CW101" s="12"/>
      <c r="CX101" s="12"/>
      <c r="CY101" s="12"/>
      <c r="CZ101" s="12"/>
      <c r="DA101" s="12"/>
      <c r="DB101" s="12"/>
      <c r="DC101" s="12"/>
      <c r="DD101" s="12"/>
      <c r="DH101" s="9"/>
      <c r="DL101" s="12"/>
      <c r="DM101" s="12"/>
      <c r="DN101" s="12"/>
      <c r="DO101" s="12"/>
      <c r="DP101" s="12"/>
      <c r="DQ101" s="12"/>
      <c r="DR101" s="12"/>
      <c r="DS101" s="12"/>
      <c r="DT101" s="12"/>
      <c r="DX101" s="9"/>
      <c r="EB101" s="12"/>
      <c r="EC101" s="12"/>
      <c r="ED101" s="12"/>
      <c r="EE101" s="12"/>
      <c r="EF101" s="12"/>
      <c r="EG101" s="12"/>
      <c r="EH101" s="12"/>
      <c r="EI101" s="12"/>
      <c r="EJ101" s="12"/>
      <c r="EN101" s="9"/>
      <c r="ER101" s="12"/>
      <c r="ES101" s="12"/>
      <c r="ET101" s="12"/>
      <c r="EU101" s="12"/>
      <c r="EV101" s="12"/>
      <c r="EW101" s="12"/>
      <c r="EX101" s="12"/>
      <c r="EY101" s="12"/>
      <c r="EZ101" s="12"/>
      <c r="FD101" s="9"/>
      <c r="FH101" s="12"/>
      <c r="FI101" s="12"/>
      <c r="FJ101" s="12"/>
      <c r="FK101" s="12"/>
      <c r="FL101" s="12"/>
      <c r="FM101" s="12"/>
      <c r="FN101" s="12"/>
      <c r="FO101" s="12"/>
      <c r="FP101" s="12"/>
      <c r="FT101" s="9"/>
      <c r="FX101" s="12"/>
      <c r="FY101" s="12"/>
      <c r="FZ101" s="12"/>
      <c r="GA101" s="12"/>
      <c r="GB101" s="12"/>
      <c r="GC101" s="12"/>
      <c r="GD101" s="12"/>
      <c r="GE101" s="12"/>
      <c r="GF101" s="12"/>
      <c r="GJ101" s="9"/>
      <c r="GN101" s="12"/>
      <c r="GO101" s="12"/>
      <c r="GP101" s="12"/>
      <c r="GQ101" s="12"/>
      <c r="GR101" s="12"/>
      <c r="GS101" s="12"/>
      <c r="GT101" s="12"/>
      <c r="GU101" s="12"/>
      <c r="GV101" s="12"/>
      <c r="GZ101" s="9"/>
      <c r="HD101" s="12"/>
      <c r="HE101" s="12"/>
      <c r="HF101" s="12"/>
      <c r="HG101" s="12"/>
      <c r="HH101" s="12"/>
      <c r="HI101" s="12"/>
      <c r="HJ101" s="12"/>
      <c r="HK101" s="12"/>
      <c r="HL101" s="12"/>
      <c r="HP101" s="9"/>
      <c r="HT101" s="12"/>
      <c r="HU101" s="12"/>
      <c r="HV101" s="12"/>
      <c r="HW101" s="12"/>
      <c r="HX101" s="12"/>
      <c r="HY101" s="12"/>
      <c r="HZ101" s="12"/>
      <c r="IA101" s="12"/>
      <c r="IB101" s="12"/>
      <c r="IF101" s="9"/>
      <c r="IJ101" s="12"/>
      <c r="IK101" s="12"/>
      <c r="IL101" s="12"/>
      <c r="IM101" s="12"/>
      <c r="IN101" s="12"/>
      <c r="IO101" s="12"/>
      <c r="IP101" s="12"/>
      <c r="IQ101" s="12"/>
      <c r="IR101" s="12"/>
      <c r="IV101" s="9"/>
      <c r="IZ101" s="12"/>
      <c r="JA101" s="12"/>
      <c r="JB101" s="12"/>
      <c r="JC101" s="12"/>
      <c r="JD101" s="12"/>
      <c r="JE101" s="12"/>
      <c r="JF101" s="12"/>
      <c r="JG101" s="12"/>
      <c r="JH101" s="12"/>
      <c r="JL101" s="9"/>
      <c r="JP101" s="12"/>
      <c r="JQ101" s="12"/>
      <c r="JR101" s="12"/>
      <c r="JS101" s="12"/>
      <c r="JT101" s="12"/>
      <c r="JU101" s="12"/>
      <c r="JV101" s="12"/>
      <c r="JW101" s="12"/>
      <c r="JX101" s="12"/>
      <c r="KB101" s="9"/>
      <c r="KF101" s="12"/>
      <c r="KG101" s="12"/>
      <c r="KH101" s="12"/>
      <c r="KI101" s="12"/>
      <c r="KJ101" s="12"/>
      <c r="KK101" s="12"/>
      <c r="KL101" s="12"/>
      <c r="KM101" s="12"/>
      <c r="KN101" s="12"/>
      <c r="KR101" s="9"/>
      <c r="KV101" s="12"/>
      <c r="KW101" s="12"/>
      <c r="KX101" s="12"/>
      <c r="KY101" s="12"/>
      <c r="KZ101" s="12"/>
      <c r="LA101" s="12"/>
      <c r="LB101" s="12"/>
      <c r="LC101" s="12"/>
      <c r="LD101" s="12"/>
      <c r="LH101" s="9"/>
      <c r="LL101" s="12"/>
      <c r="LM101" s="12"/>
      <c r="LN101" s="12"/>
      <c r="LO101" s="12"/>
      <c r="LP101" s="12"/>
      <c r="LQ101" s="12"/>
      <c r="LR101" s="12"/>
      <c r="LS101" s="12"/>
      <c r="LT101" s="12"/>
      <c r="LX101" s="9"/>
      <c r="MB101" s="12"/>
      <c r="MC101" s="12"/>
      <c r="MD101" s="12"/>
      <c r="ME101" s="12"/>
      <c r="MF101" s="12"/>
      <c r="MG101" s="12"/>
      <c r="MH101" s="12"/>
      <c r="MI101" s="12"/>
      <c r="MJ101" s="12"/>
      <c r="MN101" s="9"/>
      <c r="MR101" s="12"/>
      <c r="MS101" s="12"/>
      <c r="MT101" s="12"/>
      <c r="MU101" s="12"/>
      <c r="MV101" s="12"/>
      <c r="MW101" s="12"/>
      <c r="MX101" s="12"/>
      <c r="MY101" s="12"/>
      <c r="MZ101" s="12"/>
      <c r="ND101" s="9"/>
      <c r="NH101" s="12"/>
      <c r="NI101" s="12"/>
      <c r="NJ101" s="12"/>
      <c r="NK101" s="12"/>
      <c r="NL101" s="12"/>
      <c r="NM101" s="12"/>
      <c r="NN101" s="12"/>
      <c r="NO101" s="12"/>
      <c r="NP101" s="12"/>
      <c r="NT101" s="9"/>
      <c r="NX101" s="12"/>
      <c r="NY101" s="12"/>
      <c r="NZ101" s="12"/>
      <c r="OA101" s="12"/>
      <c r="OB101" s="12"/>
      <c r="OC101" s="12"/>
      <c r="OD101" s="12"/>
      <c r="OE101" s="12"/>
      <c r="OF101" s="12"/>
      <c r="OJ101" s="9"/>
    </row>
    <row r="102" spans="1:499" x14ac:dyDescent="0.2">
      <c r="A102" t="s">
        <v>57</v>
      </c>
      <c r="B102" s="12">
        <f t="shared" ref="B102:B104" si="692">P102+AH102+AZ102+BP102+CF102+CV102+DL102+EB102+ER102+FH102+FX102+GN102+HD102+HT102+IJ102+IZ102+JP102+KF102+KV102+LL102+MB102+MR102+NH102+NX102</f>
        <v>0</v>
      </c>
      <c r="C102" s="12">
        <f t="shared" ref="C102:C104" si="693">Q102+AI102+BA102+BQ102+CG102+CW102+DM102+EC102+ES102+FI102+FY102+GO102+HE102+HU102+IK102+JA102+JQ102+KG102+KW102+LM102+MC102+MS102+NI102+NY102</f>
        <v>0</v>
      </c>
      <c r="D102" s="12">
        <f t="shared" ref="D102:D104" si="694">R102+AJ102+BB102+BR102+CH102+CX102+DN102+ED102+ET102+FJ102+FZ102+GP102+HF102+HV102+IL102+JB102+JR102+KH102+KX102+LN102+MD102+MT102+NJ102+NZ102</f>
        <v>0</v>
      </c>
      <c r="E102" s="12">
        <f t="shared" ref="E102:E104" si="695">S102+AK102+BC102+BS102+CI102+CY102+DO102+EE102+EU102+FK102+GA102+GQ102+HG102+HW102+IM102+JC102+JS102+KI102+KY102+LO102+ME102+MU102+NK102+OA102</f>
        <v>0</v>
      </c>
      <c r="F102" s="12">
        <f t="shared" ref="F102:F104" si="696">T102+AL102+BD102+BT102+CJ102+CZ102+DP102+EF102+EV102+FL102+GB102+GR102+HH102+HX102+IN102+JD102+JT102+KJ102+KZ102+LP102+MF102+MV102+NL102+OB102</f>
        <v>0</v>
      </c>
      <c r="G102" s="12">
        <f t="shared" ref="G102:G104" si="697">U102+AM102+BE102+BU102+CK102+DA102+DQ102+EG102+EW102+FM102+GC102+GS102+HI102+HY102+IO102+JE102+JU102+KK102+LA102+LQ102+MG102+MW102+NM102+OC102</f>
        <v>0</v>
      </c>
      <c r="H102" s="12">
        <f t="shared" ref="H102:H104" si="698">V102+AN102+BF102+BV102+CL102+DB102+DR102+EH102+EX102+FN102+GD102+GT102+HJ102+HZ102+IP102+JF102+JV102+KL102+LB102+LR102+MH102+MX102+NN102+OD102</f>
        <v>0</v>
      </c>
      <c r="I102" s="12">
        <f t="shared" ref="I102:I104" si="699">W102+AO102+BG102+BW102+CM102+DC102+DS102+EI102+EY102+FO102+GE102+GU102+HK102+IA102+IQ102+JG102+JW102+KM102+LC102+LS102+MI102+MY102+NO102+OE102</f>
        <v>0</v>
      </c>
      <c r="J102" s="12">
        <f t="shared" ref="J102:J104" si="700">X102+AP102+BH102+BX102+CN102+DD102+DT102+EJ102+EZ102+FP102+GF102+GV102+HL102+IB102+IR102+JH102+JX102+KN102+LD102+LT102+MJ102+MZ102+NP102+OF102</f>
        <v>0</v>
      </c>
      <c r="P102" s="12" cm="1">
        <f t="array" ref="P102">_xlfn.SWITCH(P$4, 0,0, 1, AA102,2,AC102,3,AE102,0)</f>
        <v>0</v>
      </c>
      <c r="Q102" s="12" cm="1">
        <f t="array" ref="Q102">_xlfn.SWITCH(Q$4, 0,0, 1, AA102,2,AC102,3,AE102,0)+P102</f>
        <v>0</v>
      </c>
      <c r="R102" s="12" cm="1">
        <f t="array" ref="R102">_xlfn.SWITCH(R$4, 0,0, 1, AA102,2,AC102,3,AE102,0)+Q102</f>
        <v>0</v>
      </c>
      <c r="S102" s="12" cm="1">
        <f t="array" ref="S102">_xlfn.SWITCH(S$4, 0,0, 1, AA102,2,AC102,3,AE102,0)+R102</f>
        <v>0</v>
      </c>
      <c r="T102" s="12" cm="1">
        <f t="array" ref="T102">_xlfn.SWITCH(T$4, 0,0, 1, AA102,2,AC102,3,AE102,0)+S102</f>
        <v>0</v>
      </c>
      <c r="U102" s="12" cm="1">
        <f t="array" ref="U102">_xlfn.SWITCH(U$4, 0,0, 1, AA102,2,AC102,3,AE102,0)+T102</f>
        <v>0</v>
      </c>
      <c r="V102" s="12" cm="1">
        <f t="array" ref="V102">_xlfn.SWITCH(V$4, 0,0, 1, AA102,2,AC102,3,AE102,0)+U102</f>
        <v>0</v>
      </c>
      <c r="W102" s="12" cm="1">
        <f t="array" ref="W102">_xlfn.SWITCH(W$4, 0,0, 1, AA102,2,AC102,3,AE102,0)+V102</f>
        <v>0</v>
      </c>
      <c r="X102" s="12" cm="1">
        <f t="array" ref="X102">_xlfn.SWITCH(X$4, 0,0, 1, AA102,2,AC102,3,AE102,0)+W102</f>
        <v>0</v>
      </c>
      <c r="Z102" t="s">
        <v>1304</v>
      </c>
      <c r="AA102">
        <f>_xlfn.XLOOKUP(Z102,'KPI Impacts'!$K$2:$Q$2,'KPI Impacts'!$K102:$Q102)</f>
        <v>0</v>
      </c>
      <c r="AB102" t="s">
        <v>1304</v>
      </c>
      <c r="AC102">
        <f>_xlfn.XLOOKUP(AB102,'KPI Impacts'!$K$2:$Q$2,'KPI Impacts'!$K102:$Q102)</f>
        <v>0</v>
      </c>
      <c r="AD102" t="s">
        <v>1304</v>
      </c>
      <c r="AE102">
        <f>_xlfn.XLOOKUP(AD102,'KPI Impacts'!$K$2:$Q$2,'KPI Impacts'!$K102:$Q102)</f>
        <v>0</v>
      </c>
      <c r="AH102" s="12" cm="1">
        <f t="array" ref="AH102">_xlfn.SWITCH(AH$4, 0,0, 1, AS102,2,AU102,3,AW102,0)</f>
        <v>0</v>
      </c>
      <c r="AI102" s="12" cm="1">
        <f t="array" ref="AI102">_xlfn.SWITCH(AI$4, 0,0, 1, AS102,2,AU102,3,AW102,0)+AH102</f>
        <v>0</v>
      </c>
      <c r="AJ102" s="12" cm="1">
        <f t="array" ref="AJ102">_xlfn.SWITCH(AJ$4, 0,0, 1, AS102,2,AU102,3,AW102,0)+AI102</f>
        <v>0</v>
      </c>
      <c r="AK102" s="12" cm="1">
        <f t="array" ref="AK102">_xlfn.SWITCH(AK$4, 0,0, 1, AS102,2,AU102,3,AW102,0)+AJ102</f>
        <v>0</v>
      </c>
      <c r="AL102" s="12" cm="1">
        <f t="array" ref="AL102">_xlfn.SWITCH(AL$4, 0,0, 1, AS102,2,AU102,3,AW102,0)+AK102</f>
        <v>0</v>
      </c>
      <c r="AM102" s="12" cm="1">
        <f t="array" ref="AM102">_xlfn.SWITCH(AM$4, 0,0, 1, AS102,2,AU102,3,AW102,0)+AL102</f>
        <v>0</v>
      </c>
      <c r="AN102" s="12" cm="1">
        <f t="array" ref="AN102">_xlfn.SWITCH(AN$4, 0,0, 1, AS102,2,AU102,3,AW102,0)+AM102</f>
        <v>0</v>
      </c>
      <c r="AO102" s="12" cm="1">
        <f t="array" ref="AO102">_xlfn.SWITCH(AO$4, 0,0, 1, AS102,2,AU102,3,AW102,0)+AN102</f>
        <v>0</v>
      </c>
      <c r="AP102" s="12" cm="1">
        <f t="array" ref="AP102">_xlfn.SWITCH(AP$4, 0,0, 1, AS102,2,AU102,3,AW102,0)+AO102</f>
        <v>0</v>
      </c>
      <c r="AR102" t="s">
        <v>1304</v>
      </c>
      <c r="AS102">
        <f>_xlfn.XLOOKUP(AR102,'KPI Impacts'!$K$2:$Q$2,'KPI Impacts'!$K102:$Q102)</f>
        <v>0</v>
      </c>
      <c r="AT102" t="s">
        <v>1304</v>
      </c>
      <c r="AU102">
        <f>_xlfn.XLOOKUP(AT102,'KPI Impacts'!$K$2:$Q$2,'KPI Impacts'!$K102:$Q102)</f>
        <v>0</v>
      </c>
      <c r="AV102" t="s">
        <v>1304</v>
      </c>
      <c r="AW102">
        <f>_xlfn.XLOOKUP(AV102,'KPI Impacts'!$K$2:$Q$2,'KPI Impacts'!$K102:$Q102)</f>
        <v>0</v>
      </c>
      <c r="AZ102" s="12">
        <f>AZ$4*BK102</f>
        <v>0</v>
      </c>
      <c r="BA102" s="12">
        <f>BA$4 * IF(AND(AZ$4=1,AZ$20=1), BM102, BK102)</f>
        <v>0</v>
      </c>
      <c r="BB102" s="12">
        <f>BB$4 * IF(AND(BA$4=1,AZ$20=1), BM102, BK102)</f>
        <v>0</v>
      </c>
      <c r="BC102" s="12">
        <f>BC$4 * IF(AND(BB$4=1,AZ$20=1), BM102, BK102)</f>
        <v>0</v>
      </c>
      <c r="BD102" s="12">
        <f>BD$4 * IF(AND(BC$4=1,AZ$20=1), BM102, BK102)</f>
        <v>0</v>
      </c>
      <c r="BE102" s="12">
        <f>BE$4 * IF(AND(BD$4=1,AZ$20=1), BM102, BK102)</f>
        <v>0</v>
      </c>
      <c r="BF102" s="12">
        <f>BF$4 * IF(AND(BE$4=1,AZ$20=1), BM102, BK102)</f>
        <v>0</v>
      </c>
      <c r="BG102" s="12">
        <f>BG$4 * IF(AND(BF$4=1,AZ$20=1), BM102, BK102)</f>
        <v>0</v>
      </c>
      <c r="BH102" s="12">
        <f>BH$4 * IF(AND(BG$4=1,AZ$20=1), BM102, BK102)</f>
        <v>0</v>
      </c>
      <c r="BJ102" t="s">
        <v>1304</v>
      </c>
      <c r="BK102">
        <f>_xlfn.XLOOKUP(BJ102,'KPI Impacts'!$B$2:$H$2,'KPI Impacts'!$B102:$H102)</f>
        <v>0</v>
      </c>
      <c r="BL102" s="35" t="s">
        <v>1304</v>
      </c>
      <c r="BM102">
        <f>_xlfn.XLOOKUP(BL102,'KPI Impacts'!$B$2:$H$2,'KPI Impacts'!$B102:$H102)</f>
        <v>0</v>
      </c>
      <c r="BP102" s="12">
        <f>BP$4*CA102</f>
        <v>0</v>
      </c>
      <c r="BQ102" s="12">
        <f>BQ$4 * IF(AND(BP$4=1,BP$20=1), CC102, CA102)</f>
        <v>0</v>
      </c>
      <c r="BR102" s="12">
        <f>BR$4 * IF(AND(BQ$4=1,BP$20=1), CC102, CA102)</f>
        <v>0</v>
      </c>
      <c r="BS102" s="12">
        <f>BS$4 * IF(AND(BR$4=1,BP$20=1), CC102, CA102)</f>
        <v>0</v>
      </c>
      <c r="BT102" s="12">
        <f>BT$4 * IF(AND(BS$4=1,BP$20=1), CC102, CA102)</f>
        <v>0</v>
      </c>
      <c r="BU102" s="12">
        <f>BU$4 * IF(AND(BT$4=1,BP$20=1), CC102, CA102)</f>
        <v>0</v>
      </c>
      <c r="BV102" s="12">
        <f>BV$4 * IF(AND(BU$4=1,BP$20=1), CC102, CA102)</f>
        <v>0</v>
      </c>
      <c r="BW102" s="12">
        <f>BW$4 * IF(AND(BV$4=1,BP$20=1), CC102, CA102)</f>
        <v>0</v>
      </c>
      <c r="BX102" s="12">
        <f>BX$4 * IF(AND(BW$4=1,BP$20=1), CC102, CA102)</f>
        <v>0</v>
      </c>
      <c r="BZ102" t="s">
        <v>1304</v>
      </c>
      <c r="CA102">
        <f>_xlfn.XLOOKUP(BZ102,'KPI Impacts'!$B$2:$H$2,'KPI Impacts'!$B102:$H102)</f>
        <v>0</v>
      </c>
      <c r="CB102" s="35" t="s">
        <v>1304</v>
      </c>
      <c r="CC102">
        <f>_xlfn.XLOOKUP(CB102,'KPI Impacts'!$B$2:$H$2,'KPI Impacts'!$B102:$H102)</f>
        <v>0</v>
      </c>
      <c r="CF102" s="12">
        <f>CF$4*CQ102</f>
        <v>0</v>
      </c>
      <c r="CG102" s="12">
        <f>CG$4 * IF(AND(CF$4=1,CF$20=1), CS102, CQ102)</f>
        <v>0</v>
      </c>
      <c r="CH102" s="12">
        <f>CH$4 * IF(AND(CG$4=1,CF$20=1), CS102, CQ102)</f>
        <v>0</v>
      </c>
      <c r="CI102" s="12">
        <f>CI$4 * IF(AND(CH$4=1,CF$20=1), CS102, CQ102)</f>
        <v>0</v>
      </c>
      <c r="CJ102" s="12">
        <f>CJ$4 * IF(AND(CI$4=1,CF$20=1), CS102, CQ102)</f>
        <v>0</v>
      </c>
      <c r="CK102" s="12">
        <f>CK$4 * IF(AND(CJ$4=1,CF$20=1), CS102, CQ102)</f>
        <v>0</v>
      </c>
      <c r="CL102" s="12">
        <f>CL$4 * IF(AND(CK$4=1,CF$20=1), CS102, CQ102)</f>
        <v>0</v>
      </c>
      <c r="CM102" s="12">
        <f>CM$4 * IF(AND(CL$4=1,CF$20=1), CS102, CQ102)</f>
        <v>0</v>
      </c>
      <c r="CN102" s="12">
        <f>CN$4 * IF(AND(CM$4=1,CF$20=1), CS102, CQ102)</f>
        <v>0</v>
      </c>
      <c r="CP102" t="s">
        <v>1304</v>
      </c>
      <c r="CQ102">
        <f>_xlfn.XLOOKUP(CP102,'KPI Impacts'!$B$2:$H$2,'KPI Impacts'!$B102:$H102)</f>
        <v>0</v>
      </c>
      <c r="CR102" s="35" t="s">
        <v>1304</v>
      </c>
      <c r="CS102">
        <f>_xlfn.XLOOKUP(CR102,'KPI Impacts'!$B$2:$H$2,'KPI Impacts'!$B102:$H102)</f>
        <v>0</v>
      </c>
      <c r="CV102" s="12">
        <f>CV$4*DG102</f>
        <v>0</v>
      </c>
      <c r="CW102" s="12">
        <f>CW$4 * IF(AND(CV$4=1,CV$20=1), DI102, DG102)</f>
        <v>0</v>
      </c>
      <c r="CX102" s="12">
        <f>CX$4 * IF(AND(CW$4=1,CV$20=1), DI102, DG102)</f>
        <v>0</v>
      </c>
      <c r="CY102" s="12">
        <f>CY$4 * IF(AND(CX$4=1,CV$20=1), DI102, DG102)</f>
        <v>0</v>
      </c>
      <c r="CZ102" s="12">
        <f>CZ$4 * IF(AND(CY$4=1,CV$20=1), DI102, DG102)</f>
        <v>0</v>
      </c>
      <c r="DA102" s="12">
        <f>DA$4 * IF(AND(CZ$4=1,CV$20=1), DI102, DG102)</f>
        <v>0</v>
      </c>
      <c r="DB102" s="12">
        <f>DB$4 * IF(AND(DA$4=1,CV$20=1), DI102, DG102)</f>
        <v>0</v>
      </c>
      <c r="DC102" s="12">
        <f>DC$4 * IF(AND(DB$4=1,CV$20=1), DI102, DG102)</f>
        <v>0</v>
      </c>
      <c r="DD102" s="12">
        <f>DD$4 * IF(AND(DC$4=1,CV$20=1), DI102, DG102)</f>
        <v>0</v>
      </c>
      <c r="DF102" t="s">
        <v>1304</v>
      </c>
      <c r="DG102">
        <f>_xlfn.XLOOKUP(DF102,'KPI Impacts'!$B$2:$H$2,'KPI Impacts'!$B102:$H102)</f>
        <v>0</v>
      </c>
      <c r="DH102" s="35" t="s">
        <v>1304</v>
      </c>
      <c r="DI102">
        <f>_xlfn.XLOOKUP(DH102,'KPI Impacts'!$B$2:$H$2,'KPI Impacts'!$B102:$H102)</f>
        <v>0</v>
      </c>
      <c r="DL102" s="12">
        <f>DL$4*DW102</f>
        <v>0</v>
      </c>
      <c r="DM102" s="12">
        <f>DM$4 * IF(AND(DL$4=1,DL$20=1), DY102, DW102)</f>
        <v>0</v>
      </c>
      <c r="DN102" s="12">
        <f>DN$4 * IF(AND(DM$4=1,DL$20=1), DY102, DW102)</f>
        <v>0</v>
      </c>
      <c r="DO102" s="12">
        <f>DO$4 * IF(AND(DN$4=1,DL$20=1), DY102, DW102)</f>
        <v>0</v>
      </c>
      <c r="DP102" s="12">
        <f>DP$4 * IF(AND(DO$4=1,DL$20=1), DY102, DW102)</f>
        <v>0</v>
      </c>
      <c r="DQ102" s="12">
        <f>DQ$4 * IF(AND(DP$4=1,DL$20=1), DY102, DW102)</f>
        <v>0</v>
      </c>
      <c r="DR102" s="12">
        <f>DR$4 * IF(AND(DQ$4=1,DL$20=1), DY102, DW102)</f>
        <v>0</v>
      </c>
      <c r="DS102" s="12">
        <f>DS$4 * IF(AND(DR$4=1,DL$20=1), DY102, DW102)</f>
        <v>0</v>
      </c>
      <c r="DT102" s="12">
        <f>DT$4 * IF(AND(DS$4=1,DL$20=1), DY102, DW102)</f>
        <v>0</v>
      </c>
      <c r="DV102" t="s">
        <v>1304</v>
      </c>
      <c r="DW102">
        <f>_xlfn.XLOOKUP(DV102,'KPI Impacts'!$B$2:$H$2,'KPI Impacts'!$B102:$H102)</f>
        <v>0</v>
      </c>
      <c r="DX102" s="35" t="s">
        <v>1304</v>
      </c>
      <c r="DY102">
        <f>_xlfn.XLOOKUP(DX102,'KPI Impacts'!$B$2:$H$2,'KPI Impacts'!$B102:$H102)</f>
        <v>0</v>
      </c>
      <c r="EB102" s="12">
        <f>EB$4*EM102</f>
        <v>0</v>
      </c>
      <c r="EC102" s="12">
        <f>EC$4 * IF(AND(EB$4=1,EB$20=1), EO102, EM102)</f>
        <v>0</v>
      </c>
      <c r="ED102" s="12">
        <f>ED$4 * IF(AND(EC$4=1,EB$20=1), EO102, EM102)</f>
        <v>0</v>
      </c>
      <c r="EE102" s="12">
        <f>EE$4 * IF(AND(ED$4=1,EB$20=1), EO102, EM102)</f>
        <v>0</v>
      </c>
      <c r="EF102" s="12">
        <f>EF$4 * IF(AND(EE$4=1,EB$20=1), EO102, EM102)</f>
        <v>0</v>
      </c>
      <c r="EG102" s="12">
        <f>EG$4 * IF(AND(EF$4=1,EB$20=1), EO102, EM102)</f>
        <v>0</v>
      </c>
      <c r="EH102" s="12">
        <f>EH$4 * IF(AND(EG$4=1,EB$20=1), EO102, EM102)</f>
        <v>0</v>
      </c>
      <c r="EI102" s="12">
        <f>EI$4 * IF(AND(EH$4=1,EB$20=1), EO102, EM102)</f>
        <v>0</v>
      </c>
      <c r="EJ102" s="12">
        <f>EJ$4 * IF(AND(EI$4=1,EB$20=1), EO102, EM102)</f>
        <v>0</v>
      </c>
      <c r="EL102" t="s">
        <v>1304</v>
      </c>
      <c r="EM102">
        <f>_xlfn.XLOOKUP(EL102,'KPI Impacts'!$B$2:$H$2,'KPI Impacts'!$B102:$H102)</f>
        <v>0</v>
      </c>
      <c r="EN102" s="35" t="s">
        <v>1304</v>
      </c>
      <c r="EO102">
        <f>_xlfn.XLOOKUP(EN102,'KPI Impacts'!$B$2:$H$2,'KPI Impacts'!$B102:$H102)</f>
        <v>0</v>
      </c>
      <c r="ER102" s="12">
        <f>ER$4*FC102</f>
        <v>0</v>
      </c>
      <c r="ES102" s="12">
        <f>ES$4 * IF(AND(ER$4=1,ER$20=1), FE102, FC102)</f>
        <v>0</v>
      </c>
      <c r="ET102" s="12">
        <f>ET$4 * IF(AND(ES$4=1,ER$20=1), FE102, FC102)</f>
        <v>0</v>
      </c>
      <c r="EU102" s="12">
        <f>EU$4 * IF(AND(ET$4=1,ER$20=1), FE102, FC102)</f>
        <v>0</v>
      </c>
      <c r="EV102" s="12">
        <f>EV$4 * IF(AND(EU$4=1,ER$20=1), FE102, FC102)</f>
        <v>0</v>
      </c>
      <c r="EW102" s="12">
        <f>EW$4 * IF(AND(EV$4=1,ER$20=1), FE102, FC102)</f>
        <v>0</v>
      </c>
      <c r="EX102" s="12">
        <f>EX$4 * IF(AND(EW$4=1,ER$20=1), FE102, FC102)</f>
        <v>0</v>
      </c>
      <c r="EY102" s="12">
        <f>EY$4 * IF(AND(EX$4=1,ER$20=1), FE102, FC102)</f>
        <v>0</v>
      </c>
      <c r="EZ102" s="12">
        <f>EZ$4 * IF(AND(EY$4=1,ER$20=1), FE102, FC102)</f>
        <v>0</v>
      </c>
      <c r="FB102" t="s">
        <v>1304</v>
      </c>
      <c r="FC102">
        <f>_xlfn.XLOOKUP(FB102,'KPI Impacts'!$B$2:$H$2,'KPI Impacts'!$B102:$H102)</f>
        <v>0</v>
      </c>
      <c r="FD102" s="35" t="s">
        <v>1304</v>
      </c>
      <c r="FE102">
        <f>_xlfn.XLOOKUP(FD102,'KPI Impacts'!$B$2:$H$2,'KPI Impacts'!$B102:$H102)</f>
        <v>0</v>
      </c>
      <c r="FH102" s="12">
        <f>FH$4*FS102</f>
        <v>0</v>
      </c>
      <c r="FI102" s="12">
        <f>FI$4 * IF(AND(FH$4=1,FH$20=1), FU102, FS102)</f>
        <v>0</v>
      </c>
      <c r="FJ102" s="12">
        <f>FJ$4 * IF(AND(FI$4=1,FH$20=1), FU102, FS102)</f>
        <v>0</v>
      </c>
      <c r="FK102" s="12">
        <f>FK$4 * IF(AND(FJ$4=1,FH$20=1), FU102, FS102)</f>
        <v>0</v>
      </c>
      <c r="FL102" s="12">
        <f>FL$4 * IF(AND(FK$4=1,FH$20=1), FU102, FS102)</f>
        <v>0</v>
      </c>
      <c r="FM102" s="12">
        <f>FM$4 * IF(AND(FL$4=1,FH$20=1), FU102, FS102)</f>
        <v>0</v>
      </c>
      <c r="FN102" s="12">
        <f>FN$4 * IF(AND(FM$4=1,FH$20=1), FU102, FS102)</f>
        <v>0</v>
      </c>
      <c r="FO102" s="12">
        <f>FO$4 * IF(AND(FN$4=1,FH$20=1), FU102, FS102)</f>
        <v>0</v>
      </c>
      <c r="FP102" s="12">
        <f>FP$4 * IF(AND(FO$4=1,FH$20=1), FU102, FS102)</f>
        <v>0</v>
      </c>
      <c r="FR102" t="s">
        <v>1304</v>
      </c>
      <c r="FS102">
        <f>_xlfn.XLOOKUP(FR102,'KPI Impacts'!$B$2:$H$2,'KPI Impacts'!$B102:$H102)</f>
        <v>0</v>
      </c>
      <c r="FT102" s="35" t="s">
        <v>1304</v>
      </c>
      <c r="FU102">
        <f>_xlfn.XLOOKUP(FT102,'KPI Impacts'!$B$2:$H$2,'KPI Impacts'!$B102:$H102)</f>
        <v>0</v>
      </c>
      <c r="FX102" s="12">
        <f>FX$4*GI102</f>
        <v>0</v>
      </c>
      <c r="FY102" s="12">
        <f>FY$4 * IF(AND(FX$4=1,FX$20=1), GK102, GI102)</f>
        <v>0</v>
      </c>
      <c r="FZ102" s="12">
        <f>FZ$4 * IF(AND(FY$4=1,FX$20=1), GK102, GI102)</f>
        <v>0</v>
      </c>
      <c r="GA102" s="12">
        <f>GA$4 * IF(AND(FZ$4=1,FX$20=1), GK102, GI102)</f>
        <v>0</v>
      </c>
      <c r="GB102" s="12">
        <f>GB$4 * IF(AND(GA$4=1,FX$20=1), GK102, GI102)</f>
        <v>0</v>
      </c>
      <c r="GC102" s="12">
        <f>GC$4 * IF(AND(GB$4=1,FX$20=1), GK102, GI102)</f>
        <v>0</v>
      </c>
      <c r="GD102" s="12">
        <f>GD$4 * IF(AND(GC$4=1,FX$20=1), GK102, GI102)</f>
        <v>0</v>
      </c>
      <c r="GE102" s="12">
        <f>GE$4 * IF(AND(GD$4=1,FX$20=1), GK102, GI102)</f>
        <v>0</v>
      </c>
      <c r="GF102" s="12">
        <f>GF$4 * IF(AND(GE$4=1,FX$20=1), GK102, GI102)</f>
        <v>0</v>
      </c>
      <c r="GH102" t="s">
        <v>1304</v>
      </c>
      <c r="GI102">
        <f>_xlfn.XLOOKUP(GH102,'KPI Impacts'!$B$2:$H$2,'KPI Impacts'!$B102:$H102)</f>
        <v>0</v>
      </c>
      <c r="GJ102" s="35" t="s">
        <v>1304</v>
      </c>
      <c r="GK102">
        <f>_xlfn.XLOOKUP(GJ102,'KPI Impacts'!$B$2:$H$2,'KPI Impacts'!$B102:$H102)</f>
        <v>0</v>
      </c>
      <c r="GN102" s="12">
        <f>GN$4*GY102</f>
        <v>0</v>
      </c>
      <c r="GO102" s="12">
        <f>GO$4 * IF(AND(GN$4=1,GN$20=1), HA102, GY102)</f>
        <v>0</v>
      </c>
      <c r="GP102" s="12">
        <f>GP$4 * IF(AND(GO$4=1,GN$20=1), HA102, GY102)</f>
        <v>0</v>
      </c>
      <c r="GQ102" s="12">
        <f>GQ$4 * IF(AND(GP$4=1,GN$20=1), HA102, GY102)</f>
        <v>0</v>
      </c>
      <c r="GR102" s="12">
        <f>GR$4 * IF(AND(GQ$4=1,GN$20=1), HA102, GY102)</f>
        <v>0</v>
      </c>
      <c r="GS102" s="12">
        <f>GS$4 * IF(AND(GR$4=1,GN$20=1), HA102, GY102)</f>
        <v>0</v>
      </c>
      <c r="GT102" s="12">
        <f>GT$4 * IF(AND(GS$4=1,GN$20=1), HA102, GY102)</f>
        <v>0</v>
      </c>
      <c r="GU102" s="12">
        <f>GU$4 * IF(AND(GT$4=1,GN$20=1), HA102, GY102)</f>
        <v>0</v>
      </c>
      <c r="GV102" s="12">
        <f>GV$4 * IF(AND(GU$4=1,GN$20=1), HA102, GY102)</f>
        <v>0</v>
      </c>
      <c r="GX102" t="s">
        <v>1304</v>
      </c>
      <c r="GY102">
        <f>_xlfn.XLOOKUP(GX102,'KPI Impacts'!$B$2:$H$2,'KPI Impacts'!$B102:$H102)</f>
        <v>0</v>
      </c>
      <c r="GZ102" s="35" t="s">
        <v>1304</v>
      </c>
      <c r="HA102">
        <f>_xlfn.XLOOKUP(GZ102,'KPI Impacts'!$B$2:$H$2,'KPI Impacts'!$B102:$H102)</f>
        <v>0</v>
      </c>
      <c r="HD102" s="12">
        <f>HD$4*HO102</f>
        <v>0</v>
      </c>
      <c r="HE102" s="12">
        <f>HE$4 * IF(AND(HD$4=1,HD$20=1), HQ102, HO102)</f>
        <v>0</v>
      </c>
      <c r="HF102" s="12">
        <f>HF$4 * IF(AND(HE$4=1,HD$20=1), HQ102, HO102)</f>
        <v>0</v>
      </c>
      <c r="HG102" s="12">
        <f>HG$4 * IF(AND(HF$4=1,HD$20=1), HQ102, HO102)</f>
        <v>0</v>
      </c>
      <c r="HH102" s="12">
        <f>HH$4 * IF(AND(HG$4=1,HD$20=1), HQ102, HO102)</f>
        <v>0</v>
      </c>
      <c r="HI102" s="12">
        <f>HI$4 * IF(AND(HH$4=1,HD$20=1), HQ102, HO102)</f>
        <v>0</v>
      </c>
      <c r="HJ102" s="12">
        <f>HJ$4 * IF(AND(HI$4=1,HD$20=1), HQ102, HO102)</f>
        <v>0</v>
      </c>
      <c r="HK102" s="12">
        <f>HK$4 * IF(AND(HJ$4=1,HD$20=1), HQ102, HO102)</f>
        <v>0</v>
      </c>
      <c r="HL102" s="12">
        <f>HL$4 * IF(AND(HK$4=1,HD$20=1), HQ102, HO102)</f>
        <v>0</v>
      </c>
      <c r="HN102" t="s">
        <v>1304</v>
      </c>
      <c r="HO102">
        <f>_xlfn.XLOOKUP(HN102,'KPI Impacts'!$B$2:$H$2,'KPI Impacts'!$B102:$H102)</f>
        <v>0</v>
      </c>
      <c r="HP102" s="35" t="s">
        <v>1304</v>
      </c>
      <c r="HQ102">
        <f>_xlfn.XLOOKUP(HP102,'KPI Impacts'!$B$2:$H$2,'KPI Impacts'!$B102:$H102)</f>
        <v>0</v>
      </c>
      <c r="HT102" s="12">
        <f>HT$4*IE102</f>
        <v>0</v>
      </c>
      <c r="HU102" s="12">
        <f>HU$4 * IF(AND(HT$4=1,HT$20=1), IG102, IE102)</f>
        <v>0</v>
      </c>
      <c r="HV102" s="12">
        <f>HV$4 * IF(AND(HU$4=1,HT$20=1), IG102, IE102)</f>
        <v>0</v>
      </c>
      <c r="HW102" s="12">
        <f>HW$4 * IF(AND(HV$4=1,HT$20=1), IG102, IE102)</f>
        <v>0</v>
      </c>
      <c r="HX102" s="12">
        <f>HX$4 * IF(AND(HW$4=1,HT$20=1), IG102, IE102)</f>
        <v>0</v>
      </c>
      <c r="HY102" s="12">
        <f>HY$4 * IF(AND(HX$4=1,HT$20=1), IG102, IE102)</f>
        <v>0</v>
      </c>
      <c r="HZ102" s="12">
        <f>HZ$4 * IF(AND(HY$4=1,HT$20=1), IG102, IE102)</f>
        <v>0</v>
      </c>
      <c r="IA102" s="12">
        <f>IA$4 * IF(AND(HZ$4=1,HT$20=1), IG102, IE102)</f>
        <v>0</v>
      </c>
      <c r="IB102" s="12">
        <f>IB$4 * IF(AND(IA$4=1,HT$20=1), IG102, IE102)</f>
        <v>0</v>
      </c>
      <c r="ID102" t="s">
        <v>1304</v>
      </c>
      <c r="IE102">
        <f>_xlfn.XLOOKUP(ID102,'KPI Impacts'!$B$2:$H$2,'KPI Impacts'!$B102:$H102)</f>
        <v>0</v>
      </c>
      <c r="IF102" s="35" t="s">
        <v>1304</v>
      </c>
      <c r="IG102">
        <f>_xlfn.XLOOKUP(IF102,'KPI Impacts'!$B$2:$H$2,'KPI Impacts'!$B102:$H102)</f>
        <v>0</v>
      </c>
      <c r="IJ102" s="12">
        <f>IJ$4*IU102</f>
        <v>0</v>
      </c>
      <c r="IK102" s="12">
        <f>IK$4 * IF(AND(IJ$4=1,IJ$20=1), IW102, IU102)</f>
        <v>0</v>
      </c>
      <c r="IL102" s="12">
        <f>IL$4 * IF(AND(IK$4=1,IJ$20=1), IW102, IU102)</f>
        <v>0</v>
      </c>
      <c r="IM102" s="12">
        <f>IM$4 * IF(AND(IL$4=1,IJ$20=1), IW102, IU102)</f>
        <v>0</v>
      </c>
      <c r="IN102" s="12">
        <f>IN$4 * IF(AND(IM$4=1,IJ$20=1), IW102, IU102)</f>
        <v>0</v>
      </c>
      <c r="IO102" s="12">
        <f>IO$4 * IF(AND(IN$4=1,IJ$20=1), IW102, IU102)</f>
        <v>0</v>
      </c>
      <c r="IP102" s="12">
        <f>IP$4 * IF(AND(IO$4=1,IJ$20=1), IW102, IU102)</f>
        <v>0</v>
      </c>
      <c r="IQ102" s="12">
        <f>IQ$4 * IF(AND(IP$4=1,IJ$20=1), IW102, IU102)</f>
        <v>0</v>
      </c>
      <c r="IR102" s="12">
        <f>IR$4 * IF(AND(IQ$4=1,IJ$20=1), IW102, IU102)</f>
        <v>0</v>
      </c>
      <c r="IT102" t="s">
        <v>1304</v>
      </c>
      <c r="IU102">
        <f>_xlfn.XLOOKUP(IT102,'KPI Impacts'!$B$2:$H$2,'KPI Impacts'!$B102:$H102)</f>
        <v>0</v>
      </c>
      <c r="IV102" s="35" t="s">
        <v>1304</v>
      </c>
      <c r="IW102">
        <f>_xlfn.XLOOKUP(IV102,'KPI Impacts'!$B$2:$H$2,'KPI Impacts'!$B102:$H102)</f>
        <v>0</v>
      </c>
      <c r="IZ102" s="12">
        <f>IZ$4*JK102</f>
        <v>0</v>
      </c>
      <c r="JA102" s="12">
        <f>JA$4 * IF(AND(IZ$4=1,IZ$20=1), JM102, JK102)</f>
        <v>0</v>
      </c>
      <c r="JB102" s="12">
        <f>JB$4 * IF(AND(JA$4=1,IZ$20=1), JM102, JK102)</f>
        <v>0</v>
      </c>
      <c r="JC102" s="12">
        <f>JC$4 * IF(AND(JB$4=1,IZ$20=1), JM102, JK102)</f>
        <v>0</v>
      </c>
      <c r="JD102" s="12">
        <f>JD$4 * IF(AND(JC$4=1,IZ$20=1), JM102, JK102)</f>
        <v>0</v>
      </c>
      <c r="JE102" s="12">
        <f>JE$4 * IF(AND(JD$4=1,IZ$20=1), JM102, JK102)</f>
        <v>0</v>
      </c>
      <c r="JF102" s="12">
        <f>JF$4 * IF(AND(JE$4=1,IZ$20=1), JM102, JK102)</f>
        <v>0</v>
      </c>
      <c r="JG102" s="12">
        <f>JG$4 * IF(AND(JF$4=1,IZ$20=1), JM102, JK102)</f>
        <v>0</v>
      </c>
      <c r="JH102" s="12">
        <f>JH$4 * IF(AND(JG$4=1,IZ$20=1), JM102, JK102)</f>
        <v>0</v>
      </c>
      <c r="JJ102" t="s">
        <v>1304</v>
      </c>
      <c r="JK102">
        <f>_xlfn.XLOOKUP(JJ102,'KPI Impacts'!$B$2:$H$2,'KPI Impacts'!$B102:$H102)</f>
        <v>0</v>
      </c>
      <c r="JL102" s="35" t="s">
        <v>1304</v>
      </c>
      <c r="JM102">
        <f>_xlfn.XLOOKUP(JL102,'KPI Impacts'!$B$2:$H$2,'KPI Impacts'!$B102:$H102)</f>
        <v>0</v>
      </c>
      <c r="JP102" s="12">
        <f>JP$4*KA102</f>
        <v>0</v>
      </c>
      <c r="JQ102" s="12">
        <f>JQ$4 * IF(AND(JP$4=1,JP$20=1), KC102, KA102)</f>
        <v>0</v>
      </c>
      <c r="JR102" s="12">
        <f>JR$4 * IF(AND(JQ$4=1,JP$20=1), KC102, KA102)</f>
        <v>0</v>
      </c>
      <c r="JS102" s="12">
        <f>JS$4 * IF(AND(JR$4=1,JP$20=1), KC102, KA102)</f>
        <v>0</v>
      </c>
      <c r="JT102" s="12">
        <f>JT$4 * IF(AND(JS$4=1,JP$20=1), KC102, KA102)</f>
        <v>0</v>
      </c>
      <c r="JU102" s="12">
        <f>JU$4 * IF(AND(JT$4=1,JP$20=1), KC102, KA102)</f>
        <v>0</v>
      </c>
      <c r="JV102" s="12">
        <f>JV$4 * IF(AND(JU$4=1,JP$20=1), KC102, KA102)</f>
        <v>0</v>
      </c>
      <c r="JW102" s="12">
        <f>JW$4 * IF(AND(JV$4=1,JP$20=1), KC102, KA102)</f>
        <v>0</v>
      </c>
      <c r="JX102" s="12">
        <f>JX$4 * IF(AND(JW$4=1,JP$20=1), KC102, KA102)</f>
        <v>0</v>
      </c>
      <c r="JZ102" t="s">
        <v>1304</v>
      </c>
      <c r="KA102">
        <f>_xlfn.XLOOKUP(JZ102,'KPI Impacts'!$B$2:$H$2,'KPI Impacts'!$B102:$H102)</f>
        <v>0</v>
      </c>
      <c r="KB102" s="35" t="s">
        <v>1304</v>
      </c>
      <c r="KC102">
        <f>_xlfn.XLOOKUP(KB102,'KPI Impacts'!$B$2:$H$2,'KPI Impacts'!$B102:$H102)</f>
        <v>0</v>
      </c>
      <c r="KF102" s="12">
        <f>KF$4*KQ102</f>
        <v>0</v>
      </c>
      <c r="KG102" s="12">
        <f>KG$4 * IF(AND(KF$4=1,KF$20=1), KS102, KQ102)</f>
        <v>0</v>
      </c>
      <c r="KH102" s="12">
        <f>KH$4 * IF(AND(KG$4=1,KF$20=1), KS102, KQ102)</f>
        <v>0</v>
      </c>
      <c r="KI102" s="12">
        <f>KI$4 * IF(AND(KH$4=1,KF$20=1), KS102, KQ102)</f>
        <v>0</v>
      </c>
      <c r="KJ102" s="12">
        <f>KJ$4 * IF(AND(KI$4=1,KF$20=1), KS102, KQ102)</f>
        <v>0</v>
      </c>
      <c r="KK102" s="12">
        <f>KK$4 * IF(AND(KJ$4=1,KF$20=1), KS102, KQ102)</f>
        <v>0</v>
      </c>
      <c r="KL102" s="12">
        <f>KL$4 * IF(AND(KK$4=1,KF$20=1), KS102, KQ102)</f>
        <v>0</v>
      </c>
      <c r="KM102" s="12">
        <f>KM$4 * IF(AND(KL$4=1,KF$20=1), KS102, KQ102)</f>
        <v>0</v>
      </c>
      <c r="KN102" s="12">
        <f>KN$4 * IF(AND(KM$4=1,KF$20=1), KS102, KQ102)</f>
        <v>0</v>
      </c>
      <c r="KP102" t="s">
        <v>1304</v>
      </c>
      <c r="KQ102">
        <f>_xlfn.XLOOKUP(KP102,'KPI Impacts'!$B$2:$H$2,'KPI Impacts'!$B102:$H102)</f>
        <v>0</v>
      </c>
      <c r="KR102" s="35" t="s">
        <v>1304</v>
      </c>
      <c r="KS102">
        <f>_xlfn.XLOOKUP(KR102,'KPI Impacts'!$B$2:$H$2,'KPI Impacts'!$B102:$H102)</f>
        <v>0</v>
      </c>
      <c r="KV102" s="12">
        <f>KV$4*LG102</f>
        <v>0</v>
      </c>
      <c r="KW102" s="12">
        <f>KW$4 * IF(AND(KV$4=1,KV$20=1), LI102, LG102)</f>
        <v>0</v>
      </c>
      <c r="KX102" s="12">
        <f>KX$4 * IF(AND(KW$4=1,KV$20=1), LI102, LG102)</f>
        <v>0</v>
      </c>
      <c r="KY102" s="12">
        <f>KY$4 * IF(AND(KX$4=1,KV$20=1), LI102, LG102)</f>
        <v>0</v>
      </c>
      <c r="KZ102" s="12">
        <f>KZ$4 * IF(AND(KY$4=1,KV$20=1), LI102, LG102)</f>
        <v>0</v>
      </c>
      <c r="LA102" s="12">
        <f>LA$4 * IF(AND(KZ$4=1,KV$20=1), LI102, LG102)</f>
        <v>0</v>
      </c>
      <c r="LB102" s="12">
        <f>LB$4 * IF(AND(LA$4=1,KV$20=1), LI102, LG102)</f>
        <v>0</v>
      </c>
      <c r="LC102" s="12">
        <f>LC$4 * IF(AND(LB$4=1,KV$20=1), LI102, LG102)</f>
        <v>0</v>
      </c>
      <c r="LD102" s="12">
        <f>LD$4 * IF(AND(LC$4=1,KV$20=1), LI102, LG102)</f>
        <v>0</v>
      </c>
      <c r="LF102" t="s">
        <v>1304</v>
      </c>
      <c r="LG102">
        <f>_xlfn.XLOOKUP(LF102,'KPI Impacts'!$B$2:$H$2,'KPI Impacts'!$B102:$H102)</f>
        <v>0</v>
      </c>
      <c r="LH102" s="35" t="s">
        <v>1304</v>
      </c>
      <c r="LI102">
        <f>_xlfn.XLOOKUP(LH102,'KPI Impacts'!$B$2:$H$2,'KPI Impacts'!$B102:$H102)</f>
        <v>0</v>
      </c>
      <c r="LL102" s="12">
        <f>LL$4*LW102</f>
        <v>0</v>
      </c>
      <c r="LM102" s="12">
        <f>LM$4 * IF(AND(LL$4=1,LL$20=1), LY102, LW102)</f>
        <v>0</v>
      </c>
      <c r="LN102" s="12">
        <f>LN$4 * IF(AND(LM$4=1,LL$20=1), LY102, LW102)</f>
        <v>0</v>
      </c>
      <c r="LO102" s="12">
        <f>LO$4 * IF(AND(LN$4=1,LL$20=1), LY102, LW102)</f>
        <v>0</v>
      </c>
      <c r="LP102" s="12">
        <f>LP$4 * IF(AND(LO$4=1,LL$20=1), LY102, LW102)</f>
        <v>0</v>
      </c>
      <c r="LQ102" s="12">
        <f>LQ$4 * IF(AND(LP$4=1,LL$20=1), LY102, LW102)</f>
        <v>0</v>
      </c>
      <c r="LR102" s="12">
        <f>LR$4 * IF(AND(LQ$4=1,LL$20=1), LY102, LW102)</f>
        <v>0</v>
      </c>
      <c r="LS102" s="12">
        <f>LS$4 * IF(AND(LR$4=1,LL$20=1), LY102, LW102)</f>
        <v>0</v>
      </c>
      <c r="LT102" s="12">
        <f>LT$4 * IF(AND(LS$4=1,LL$20=1), LY102, LW102)</f>
        <v>0</v>
      </c>
      <c r="LV102" t="s">
        <v>1304</v>
      </c>
      <c r="LW102">
        <f>_xlfn.XLOOKUP(LV102,'KPI Impacts'!$B$2:$H$2,'KPI Impacts'!$B102:$H102)</f>
        <v>0</v>
      </c>
      <c r="LX102" s="35" t="s">
        <v>1304</v>
      </c>
      <c r="LY102">
        <f>_xlfn.XLOOKUP(LX102,'KPI Impacts'!$B$2:$H$2,'KPI Impacts'!$B102:$H102)</f>
        <v>0</v>
      </c>
      <c r="MB102" s="12">
        <f>MB$4*MM102</f>
        <v>0</v>
      </c>
      <c r="MC102" s="12">
        <f>MC$4 * IF(AND(MB$4=1,MB$20=1), MO102, MM102)</f>
        <v>0</v>
      </c>
      <c r="MD102" s="12">
        <f>MD$4 * IF(AND(MC$4=1,MB$20=1), MO102, MM102)</f>
        <v>0</v>
      </c>
      <c r="ME102" s="12">
        <f>ME$4 * IF(AND(MD$4=1,MB$20=1), MO102, MM102)</f>
        <v>0</v>
      </c>
      <c r="MF102" s="12">
        <f>MF$4 * IF(AND(ME$4=1,MB$20=1), MO102, MM102)</f>
        <v>0</v>
      </c>
      <c r="MG102" s="12">
        <f>MG$4 * IF(AND(MF$4=1,MB$20=1), MO102, MM102)</f>
        <v>0</v>
      </c>
      <c r="MH102" s="12">
        <f>MH$4 * IF(AND(MG$4=1,MB$20=1), MO102, MM102)</f>
        <v>0</v>
      </c>
      <c r="MI102" s="12">
        <f>MI$4 * IF(AND(MH$4=1,MB$20=1), MO102, MM102)</f>
        <v>0</v>
      </c>
      <c r="MJ102" s="12">
        <f>MJ$4 * IF(AND(MI$4=1,MB$20=1), MO102, MM102)</f>
        <v>0</v>
      </c>
      <c r="ML102" t="s">
        <v>1304</v>
      </c>
      <c r="MM102">
        <f>_xlfn.XLOOKUP(ML102,'KPI Impacts'!$B$2:$H$2,'KPI Impacts'!$B102:$H102)</f>
        <v>0</v>
      </c>
      <c r="MN102" s="35" t="s">
        <v>1304</v>
      </c>
      <c r="MO102">
        <f>_xlfn.XLOOKUP(MN102,'KPI Impacts'!$B$2:$H$2,'KPI Impacts'!$B102:$H102)</f>
        <v>0</v>
      </c>
      <c r="MR102" s="12">
        <f>MR$4*NC102</f>
        <v>0</v>
      </c>
      <c r="MS102" s="12">
        <f>MS$4 * IF(AND(MR$4=1,MR$20=1), NE102, NC102)</f>
        <v>0</v>
      </c>
      <c r="MT102" s="12">
        <f>MT$4 * IF(AND(MS$4=1,MR$20=1), NE102, NC102)</f>
        <v>0</v>
      </c>
      <c r="MU102" s="12">
        <f>MU$4 * IF(AND(MT$4=1,MR$20=1), NE102, NC102)</f>
        <v>0</v>
      </c>
      <c r="MV102" s="12">
        <f>MV$4 * IF(AND(MU$4=1,MR$20=1), NE102, NC102)</f>
        <v>0</v>
      </c>
      <c r="MW102" s="12">
        <f>MW$4 * IF(AND(MV$4=1,MR$20=1), NE102, NC102)</f>
        <v>0</v>
      </c>
      <c r="MX102" s="12">
        <f>MX$4 * IF(AND(MW$4=1,MR$20=1), NE102, NC102)</f>
        <v>0</v>
      </c>
      <c r="MY102" s="12">
        <f>MY$4 * IF(AND(MX$4=1,MR$20=1), NE102, NC102)</f>
        <v>0</v>
      </c>
      <c r="MZ102" s="12">
        <f>MZ$4 * IF(AND(MY$4=1,MR$20=1), NE102, NC102)</f>
        <v>0</v>
      </c>
      <c r="NB102" t="s">
        <v>1304</v>
      </c>
      <c r="NC102">
        <f>_xlfn.XLOOKUP(NB102,'KPI Impacts'!$B$2:$H$2,'KPI Impacts'!$B102:$H102)</f>
        <v>0</v>
      </c>
      <c r="ND102" s="35" t="s">
        <v>1304</v>
      </c>
      <c r="NE102">
        <f>_xlfn.XLOOKUP(ND102,'KPI Impacts'!$B$2:$H$2,'KPI Impacts'!$B102:$H102)</f>
        <v>0</v>
      </c>
      <c r="NH102" s="12">
        <f>NH$4*NS102</f>
        <v>0</v>
      </c>
      <c r="NI102" s="12">
        <f>NI$4 * IF(AND(NH$4=1,NH$20=1), NU102, NS102)</f>
        <v>0</v>
      </c>
      <c r="NJ102" s="12">
        <f>NJ$4 * IF(AND(NI$4=1,NH$20=1), NU102, NS102)</f>
        <v>0</v>
      </c>
      <c r="NK102" s="12">
        <f>NK$4 * IF(AND(NJ$4=1,NH$20=1), NU102, NS102)</f>
        <v>0</v>
      </c>
      <c r="NL102" s="12">
        <f>NL$4 * IF(AND(NK$4=1,NH$20=1), NU102, NS102)</f>
        <v>0</v>
      </c>
      <c r="NM102" s="12">
        <f>NM$4 * IF(AND(NL$4=1,NH$20=1), NU102, NS102)</f>
        <v>0</v>
      </c>
      <c r="NN102" s="12">
        <f>NN$4 * IF(AND(NM$4=1,NH$20=1), NU102, NS102)</f>
        <v>0</v>
      </c>
      <c r="NO102" s="12">
        <f>NO$4 * IF(AND(NN$4=1,NH$20=1), NU102, NS102)</f>
        <v>0</v>
      </c>
      <c r="NP102" s="12">
        <f>NP$4 * IF(AND(NO$4=1,NH$20=1), NU102, NS102)</f>
        <v>0</v>
      </c>
      <c r="NR102" t="s">
        <v>1304</v>
      </c>
      <c r="NS102">
        <f>_xlfn.XLOOKUP(NR102,'KPI Impacts'!$B$2:$H$2,'KPI Impacts'!$B102:$H102)</f>
        <v>0</v>
      </c>
      <c r="NT102" s="35" t="s">
        <v>1304</v>
      </c>
      <c r="NU102">
        <f>_xlfn.XLOOKUP(NT102,'KPI Impacts'!$B$2:$H$2,'KPI Impacts'!$B102:$H102)</f>
        <v>0</v>
      </c>
      <c r="NX102" s="12">
        <f>NX$4*OI102</f>
        <v>0</v>
      </c>
      <c r="NY102" s="12">
        <f>NY$4 * IF(AND(NX$4=1,NX$20=1), OK102, OI102)</f>
        <v>0</v>
      </c>
      <c r="NZ102" s="12">
        <f>NZ$4 * IF(AND(NY$4=1,NX$20=1), OK102, OI102)</f>
        <v>0</v>
      </c>
      <c r="OA102" s="12">
        <f>OA$4 * IF(AND(NZ$4=1,NX$20=1), OK102, OI102)</f>
        <v>0</v>
      </c>
      <c r="OB102" s="12">
        <f>OB$4 * IF(AND(OA$4=1,NX$20=1), OK102, OI102)</f>
        <v>0</v>
      </c>
      <c r="OC102" s="12">
        <f>OC$4 * IF(AND(OB$4=1,NX$20=1), OK102, OI102)</f>
        <v>0</v>
      </c>
      <c r="OD102" s="12">
        <f>OD$4 * IF(AND(OC$4=1,NX$20=1), OK102, OI102)</f>
        <v>0</v>
      </c>
      <c r="OE102" s="12">
        <f>OE$4 * IF(AND(OD$4=1,NX$20=1), OK102, OI102)</f>
        <v>0</v>
      </c>
      <c r="OF102" s="12">
        <f>OF$4 * IF(AND(OE$4=1,NX$20=1), OK102, OI102)</f>
        <v>0</v>
      </c>
      <c r="OH102" t="s">
        <v>1304</v>
      </c>
      <c r="OI102">
        <f>_xlfn.XLOOKUP(OH102,'KPI Impacts'!$B$2:$H$2,'KPI Impacts'!$B102:$H102)</f>
        <v>0</v>
      </c>
      <c r="OJ102" s="35" t="s">
        <v>1304</v>
      </c>
      <c r="OK102">
        <f>_xlfn.XLOOKUP(OJ102,'KPI Impacts'!$B$2:$H$2,'KPI Impacts'!$B102:$H102)</f>
        <v>0</v>
      </c>
    </row>
    <row r="103" spans="1:499" x14ac:dyDescent="0.2">
      <c r="A103" t="s">
        <v>58</v>
      </c>
      <c r="B103" s="12">
        <f t="shared" si="692"/>
        <v>0</v>
      </c>
      <c r="C103" s="12">
        <f t="shared" si="693"/>
        <v>0</v>
      </c>
      <c r="D103" s="12">
        <f t="shared" si="694"/>
        <v>0</v>
      </c>
      <c r="E103" s="12">
        <f t="shared" si="695"/>
        <v>0</v>
      </c>
      <c r="F103" s="12">
        <f t="shared" si="696"/>
        <v>0</v>
      </c>
      <c r="G103" s="12">
        <f t="shared" si="697"/>
        <v>0</v>
      </c>
      <c r="H103" s="12">
        <f t="shared" si="698"/>
        <v>0</v>
      </c>
      <c r="I103" s="12">
        <f t="shared" si="699"/>
        <v>0</v>
      </c>
      <c r="J103" s="12">
        <f t="shared" si="700"/>
        <v>0</v>
      </c>
      <c r="P103" s="12" cm="1">
        <f t="array" ref="P103">_xlfn.SWITCH(P$4, 0,0, 1, AA103,2,AC103,3,AE103,0)</f>
        <v>0</v>
      </c>
      <c r="Q103" s="12" cm="1">
        <f t="array" ref="Q103">_xlfn.SWITCH(Q$4, 0,0, 1, AA103,2,AC103,3,AE103,0)+P103</f>
        <v>0</v>
      </c>
      <c r="R103" s="12" cm="1">
        <f t="array" ref="R103">_xlfn.SWITCH(R$4, 0,0, 1, AA103,2,AC103,3,AE103,0)+Q103</f>
        <v>0</v>
      </c>
      <c r="S103" s="12" cm="1">
        <f t="array" ref="S103">_xlfn.SWITCH(S$4, 0,0, 1, AA103,2,AC103,3,AE103,0)+R103</f>
        <v>0</v>
      </c>
      <c r="T103" s="12" cm="1">
        <f t="array" ref="T103">_xlfn.SWITCH(T$4, 0,0, 1, AA103,2,AC103,3,AE103,0)+S103</f>
        <v>0</v>
      </c>
      <c r="U103" s="12" cm="1">
        <f t="array" ref="U103">_xlfn.SWITCH(U$4, 0,0, 1, AA103,2,AC103,3,AE103,0)+T103</f>
        <v>0</v>
      </c>
      <c r="V103" s="12" cm="1">
        <f t="array" ref="V103">_xlfn.SWITCH(V$4, 0,0, 1, AA103,2,AC103,3,AE103,0)+U103</f>
        <v>0</v>
      </c>
      <c r="W103" s="12" cm="1">
        <f t="array" ref="W103">_xlfn.SWITCH(W$4, 0,0, 1, AA103,2,AC103,3,AE103,0)+V103</f>
        <v>0</v>
      </c>
      <c r="X103" s="12" cm="1">
        <f t="array" ref="X103">_xlfn.SWITCH(X$4, 0,0, 1, AA103,2,AC103,3,AE103,0)+W103</f>
        <v>0</v>
      </c>
      <c r="Z103" t="s">
        <v>1304</v>
      </c>
      <c r="AA103">
        <f>_xlfn.XLOOKUP(Z103,'KPI Impacts'!$K$2:$Q$2,'KPI Impacts'!$K103:$Q103)</f>
        <v>0</v>
      </c>
      <c r="AB103" t="s">
        <v>1304</v>
      </c>
      <c r="AC103">
        <f>_xlfn.XLOOKUP(AB103,'KPI Impacts'!$K$2:$Q$2,'KPI Impacts'!$K103:$Q103)</f>
        <v>0</v>
      </c>
      <c r="AD103" t="s">
        <v>1304</v>
      </c>
      <c r="AE103">
        <f>_xlfn.XLOOKUP(AD103,'KPI Impacts'!$K$2:$Q$2,'KPI Impacts'!$K103:$Q103)</f>
        <v>0</v>
      </c>
      <c r="AH103" s="12" cm="1">
        <f t="array" ref="AH103">_xlfn.SWITCH(AH$4, 0,0, 1, AS103,2,AU103,3,AW103,0)</f>
        <v>0</v>
      </c>
      <c r="AI103" s="12" cm="1">
        <f t="array" ref="AI103">_xlfn.SWITCH(AI$4, 0,0, 1, AS103,2,AU103,3,AW103,0)+AH103</f>
        <v>0</v>
      </c>
      <c r="AJ103" s="12" cm="1">
        <f t="array" ref="AJ103">_xlfn.SWITCH(AJ$4, 0,0, 1, AS103,2,AU103,3,AW103,0)+AI103</f>
        <v>0</v>
      </c>
      <c r="AK103" s="12" cm="1">
        <f t="array" ref="AK103">_xlfn.SWITCH(AK$4, 0,0, 1, AS103,2,AU103,3,AW103,0)+AJ103</f>
        <v>0</v>
      </c>
      <c r="AL103" s="12" cm="1">
        <f t="array" ref="AL103">_xlfn.SWITCH(AL$4, 0,0, 1, AS103,2,AU103,3,AW103,0)+AK103</f>
        <v>0</v>
      </c>
      <c r="AM103" s="12" cm="1">
        <f t="array" ref="AM103">_xlfn.SWITCH(AM$4, 0,0, 1, AS103,2,AU103,3,AW103,0)+AL103</f>
        <v>0</v>
      </c>
      <c r="AN103" s="12" cm="1">
        <f t="array" ref="AN103">_xlfn.SWITCH(AN$4, 0,0, 1, AS103,2,AU103,3,AW103,0)+AM103</f>
        <v>0</v>
      </c>
      <c r="AO103" s="12" cm="1">
        <f t="array" ref="AO103">_xlfn.SWITCH(AO$4, 0,0, 1, AS103,2,AU103,3,AW103,0)+AN103</f>
        <v>0</v>
      </c>
      <c r="AP103" s="12" cm="1">
        <f t="array" ref="AP103">_xlfn.SWITCH(AP$4, 0,0, 1, AS103,2,AU103,3,AW103,0)+AO103</f>
        <v>0</v>
      </c>
      <c r="AR103" t="s">
        <v>1304</v>
      </c>
      <c r="AS103">
        <f>_xlfn.XLOOKUP(AR103,'KPI Impacts'!$K$2:$Q$2,'KPI Impacts'!$K103:$Q103)</f>
        <v>0</v>
      </c>
      <c r="AT103" t="s">
        <v>1304</v>
      </c>
      <c r="AU103">
        <f>_xlfn.XLOOKUP(AT103,'KPI Impacts'!$K$2:$Q$2,'KPI Impacts'!$K103:$Q103)</f>
        <v>0</v>
      </c>
      <c r="AV103" t="s">
        <v>1304</v>
      </c>
      <c r="AW103">
        <f>_xlfn.XLOOKUP(AV103,'KPI Impacts'!$K$2:$Q$2,'KPI Impacts'!$K103:$Q103)</f>
        <v>0</v>
      </c>
      <c r="AZ103" s="12">
        <f>AZ$4*BK103</f>
        <v>0</v>
      </c>
      <c r="BA103" s="12">
        <f>BA$4 * IF(AND(AZ$4=1,AZ$20=1), BM103, BK103)</f>
        <v>0</v>
      </c>
      <c r="BB103" s="12">
        <f>BB$4 * IF(AND(BA$4=1,AZ$20=1), BM103, BK103)</f>
        <v>0</v>
      </c>
      <c r="BC103" s="12">
        <f>BC$4 * IF(AND(BB$4=1,AZ$20=1), BM103, BK103)</f>
        <v>0</v>
      </c>
      <c r="BD103" s="12">
        <f>BD$4 * IF(AND(BC$4=1,AZ$20=1), BM103, BK103)</f>
        <v>0</v>
      </c>
      <c r="BE103" s="12">
        <f>BE$4 * IF(AND(BD$4=1,AZ$20=1), BM103, BK103)</f>
        <v>0</v>
      </c>
      <c r="BF103" s="12">
        <f>BF$4 * IF(AND(BE$4=1,AZ$20=1), BM103, BK103)</f>
        <v>0</v>
      </c>
      <c r="BG103" s="12">
        <f>BG$4 * IF(AND(BF$4=1,AZ$20=1), BM103, BK103)</f>
        <v>0</v>
      </c>
      <c r="BH103" s="12">
        <f>BH$4 * IF(AND(BG$4=1,AZ$20=1), BM103, BK103)</f>
        <v>0</v>
      </c>
      <c r="BJ103" t="s">
        <v>1304</v>
      </c>
      <c r="BK103">
        <f>_xlfn.XLOOKUP(BJ103,'KPI Impacts'!$B$2:$H$2,'KPI Impacts'!$B103:$H103)</f>
        <v>0</v>
      </c>
      <c r="BL103" s="35" t="s">
        <v>1304</v>
      </c>
      <c r="BM103">
        <f>_xlfn.XLOOKUP(BL103,'KPI Impacts'!$B$2:$H$2,'KPI Impacts'!$B103:$H103)</f>
        <v>0</v>
      </c>
      <c r="BP103" s="12">
        <f>BP$4*CA103</f>
        <v>0</v>
      </c>
      <c r="BQ103" s="12">
        <f>BQ$4 * IF(AND(BP$4=1,BP$20=1), CC103, CA103)</f>
        <v>0</v>
      </c>
      <c r="BR103" s="12">
        <f>BR$4 * IF(AND(BQ$4=1,BP$20=1), CC103, CA103)</f>
        <v>0</v>
      </c>
      <c r="BS103" s="12">
        <f>BS$4 * IF(AND(BR$4=1,BP$20=1), CC103, CA103)</f>
        <v>0</v>
      </c>
      <c r="BT103" s="12">
        <f>BT$4 * IF(AND(BS$4=1,BP$20=1), CC103, CA103)</f>
        <v>0</v>
      </c>
      <c r="BU103" s="12">
        <f>BU$4 * IF(AND(BT$4=1,BP$20=1), CC103, CA103)</f>
        <v>0</v>
      </c>
      <c r="BV103" s="12">
        <f>BV$4 * IF(AND(BU$4=1,BP$20=1), CC103, CA103)</f>
        <v>0</v>
      </c>
      <c r="BW103" s="12">
        <f>BW$4 * IF(AND(BV$4=1,BP$20=1), CC103, CA103)</f>
        <v>0</v>
      </c>
      <c r="BX103" s="12">
        <f>BX$4 * IF(AND(BW$4=1,BP$20=1), CC103, CA103)</f>
        <v>0</v>
      </c>
      <c r="BZ103" t="s">
        <v>1304</v>
      </c>
      <c r="CA103">
        <f>_xlfn.XLOOKUP(BZ103,'KPI Impacts'!$B$2:$H$2,'KPI Impacts'!$B103:$H103)</f>
        <v>0</v>
      </c>
      <c r="CB103" s="35" t="s">
        <v>1304</v>
      </c>
      <c r="CC103">
        <f>_xlfn.XLOOKUP(CB103,'KPI Impacts'!$B$2:$H$2,'KPI Impacts'!$B103:$H103)</f>
        <v>0</v>
      </c>
      <c r="CF103" s="12">
        <f>CF$4*CQ103</f>
        <v>0</v>
      </c>
      <c r="CG103" s="12">
        <f>CG$4 * IF(AND(CF$4=1,CF$20=1), CS103, CQ103)</f>
        <v>0</v>
      </c>
      <c r="CH103" s="12">
        <f>CH$4 * IF(AND(CG$4=1,CF$20=1), CS103, CQ103)</f>
        <v>0</v>
      </c>
      <c r="CI103" s="12">
        <f>CI$4 * IF(AND(CH$4=1,CF$20=1), CS103, CQ103)</f>
        <v>0</v>
      </c>
      <c r="CJ103" s="12">
        <f>CJ$4 * IF(AND(CI$4=1,CF$20=1), CS103, CQ103)</f>
        <v>0</v>
      </c>
      <c r="CK103" s="12">
        <f>CK$4 * IF(AND(CJ$4=1,CF$20=1), CS103, CQ103)</f>
        <v>0</v>
      </c>
      <c r="CL103" s="12">
        <f>CL$4 * IF(AND(CK$4=1,CF$20=1), CS103, CQ103)</f>
        <v>0</v>
      </c>
      <c r="CM103" s="12">
        <f>CM$4 * IF(AND(CL$4=1,CF$20=1), CS103, CQ103)</f>
        <v>0</v>
      </c>
      <c r="CN103" s="12">
        <f>CN$4 * IF(AND(CM$4=1,CF$20=1), CS103, CQ103)</f>
        <v>0</v>
      </c>
      <c r="CP103" t="s">
        <v>1304</v>
      </c>
      <c r="CQ103">
        <f>_xlfn.XLOOKUP(CP103,'KPI Impacts'!$B$2:$H$2,'KPI Impacts'!$B103:$H103)</f>
        <v>0</v>
      </c>
      <c r="CR103" s="35" t="s">
        <v>1304</v>
      </c>
      <c r="CS103">
        <f>_xlfn.XLOOKUP(CR103,'KPI Impacts'!$B$2:$H$2,'KPI Impacts'!$B103:$H103)</f>
        <v>0</v>
      </c>
      <c r="CV103" s="12">
        <f>CV$4*DG103</f>
        <v>0</v>
      </c>
      <c r="CW103" s="12">
        <f>CW$4 * IF(AND(CV$4=1,CV$20=1), DI103, DG103)</f>
        <v>0</v>
      </c>
      <c r="CX103" s="12">
        <f>CX$4 * IF(AND(CW$4=1,CV$20=1), DI103, DG103)</f>
        <v>0</v>
      </c>
      <c r="CY103" s="12">
        <f>CY$4 * IF(AND(CX$4=1,CV$20=1), DI103, DG103)</f>
        <v>0</v>
      </c>
      <c r="CZ103" s="12">
        <f>CZ$4 * IF(AND(CY$4=1,CV$20=1), DI103, DG103)</f>
        <v>0</v>
      </c>
      <c r="DA103" s="12">
        <f>DA$4 * IF(AND(CZ$4=1,CV$20=1), DI103, DG103)</f>
        <v>0</v>
      </c>
      <c r="DB103" s="12">
        <f>DB$4 * IF(AND(DA$4=1,CV$20=1), DI103, DG103)</f>
        <v>0</v>
      </c>
      <c r="DC103" s="12">
        <f>DC$4 * IF(AND(DB$4=1,CV$20=1), DI103, DG103)</f>
        <v>0</v>
      </c>
      <c r="DD103" s="12">
        <f>DD$4 * IF(AND(DC$4=1,CV$20=1), DI103, DG103)</f>
        <v>0</v>
      </c>
      <c r="DF103" t="s">
        <v>1304</v>
      </c>
      <c r="DG103">
        <f>_xlfn.XLOOKUP(DF103,'KPI Impacts'!$B$2:$H$2,'KPI Impacts'!$B103:$H103)</f>
        <v>0</v>
      </c>
      <c r="DH103" s="35" t="s">
        <v>1304</v>
      </c>
      <c r="DI103">
        <f>_xlfn.XLOOKUP(DH103,'KPI Impacts'!$B$2:$H$2,'KPI Impacts'!$B103:$H103)</f>
        <v>0</v>
      </c>
      <c r="DL103" s="12">
        <f>DL$4*DW103</f>
        <v>0</v>
      </c>
      <c r="DM103" s="12">
        <f>DM$4 * IF(AND(DL$4=1,DL$20=1), DY103, DW103)</f>
        <v>0</v>
      </c>
      <c r="DN103" s="12">
        <f>DN$4 * IF(AND(DM$4=1,DL$20=1), DY103, DW103)</f>
        <v>0</v>
      </c>
      <c r="DO103" s="12">
        <f>DO$4 * IF(AND(DN$4=1,DL$20=1), DY103, DW103)</f>
        <v>0</v>
      </c>
      <c r="DP103" s="12">
        <f>DP$4 * IF(AND(DO$4=1,DL$20=1), DY103, DW103)</f>
        <v>0</v>
      </c>
      <c r="DQ103" s="12">
        <f>DQ$4 * IF(AND(DP$4=1,DL$20=1), DY103, DW103)</f>
        <v>0</v>
      </c>
      <c r="DR103" s="12">
        <f>DR$4 * IF(AND(DQ$4=1,DL$20=1), DY103, DW103)</f>
        <v>0</v>
      </c>
      <c r="DS103" s="12">
        <f>DS$4 * IF(AND(DR$4=1,DL$20=1), DY103, DW103)</f>
        <v>0</v>
      </c>
      <c r="DT103" s="12">
        <f>DT$4 * IF(AND(DS$4=1,DL$20=1), DY103, DW103)</f>
        <v>0</v>
      </c>
      <c r="DV103" t="s">
        <v>1304</v>
      </c>
      <c r="DW103">
        <f>_xlfn.XLOOKUP(DV103,'KPI Impacts'!$B$2:$H$2,'KPI Impacts'!$B103:$H103)</f>
        <v>0</v>
      </c>
      <c r="DX103" s="35" t="s">
        <v>1304</v>
      </c>
      <c r="DY103">
        <f>_xlfn.XLOOKUP(DX103,'KPI Impacts'!$B$2:$H$2,'KPI Impacts'!$B103:$H103)</f>
        <v>0</v>
      </c>
      <c r="EB103" s="12">
        <f>EB$4*EM103</f>
        <v>0</v>
      </c>
      <c r="EC103" s="12">
        <f>EC$4 * IF(AND(EB$4=1,EB$20=1), EO103, EM103)</f>
        <v>0</v>
      </c>
      <c r="ED103" s="12">
        <f>ED$4 * IF(AND(EC$4=1,EB$20=1), EO103, EM103)</f>
        <v>0</v>
      </c>
      <c r="EE103" s="12">
        <f>EE$4 * IF(AND(ED$4=1,EB$20=1), EO103, EM103)</f>
        <v>0</v>
      </c>
      <c r="EF103" s="12">
        <f>EF$4 * IF(AND(EE$4=1,EB$20=1), EO103, EM103)</f>
        <v>0</v>
      </c>
      <c r="EG103" s="12">
        <f>EG$4 * IF(AND(EF$4=1,EB$20=1), EO103, EM103)</f>
        <v>0</v>
      </c>
      <c r="EH103" s="12">
        <f>EH$4 * IF(AND(EG$4=1,EB$20=1), EO103, EM103)</f>
        <v>0</v>
      </c>
      <c r="EI103" s="12">
        <f>EI$4 * IF(AND(EH$4=1,EB$20=1), EO103, EM103)</f>
        <v>0</v>
      </c>
      <c r="EJ103" s="12">
        <f>EJ$4 * IF(AND(EI$4=1,EB$20=1), EO103, EM103)</f>
        <v>0</v>
      </c>
      <c r="EL103" t="s">
        <v>1304</v>
      </c>
      <c r="EM103">
        <f>_xlfn.XLOOKUP(EL103,'KPI Impacts'!$B$2:$H$2,'KPI Impacts'!$B103:$H103)</f>
        <v>0</v>
      </c>
      <c r="EN103" s="35" t="s">
        <v>1304</v>
      </c>
      <c r="EO103">
        <f>_xlfn.XLOOKUP(EN103,'KPI Impacts'!$B$2:$H$2,'KPI Impacts'!$B103:$H103)</f>
        <v>0</v>
      </c>
      <c r="ER103" s="12">
        <f>ER$4*FC103</f>
        <v>0</v>
      </c>
      <c r="ES103" s="12">
        <f>ES$4 * IF(AND(ER$4=1,ER$20=1), FE103, FC103)</f>
        <v>0</v>
      </c>
      <c r="ET103" s="12">
        <f>ET$4 * IF(AND(ES$4=1,ER$20=1), FE103, FC103)</f>
        <v>0</v>
      </c>
      <c r="EU103" s="12">
        <f>EU$4 * IF(AND(ET$4=1,ER$20=1), FE103, FC103)</f>
        <v>0</v>
      </c>
      <c r="EV103" s="12">
        <f>EV$4 * IF(AND(EU$4=1,ER$20=1), FE103, FC103)</f>
        <v>0</v>
      </c>
      <c r="EW103" s="12">
        <f>EW$4 * IF(AND(EV$4=1,ER$20=1), FE103, FC103)</f>
        <v>0</v>
      </c>
      <c r="EX103" s="12">
        <f>EX$4 * IF(AND(EW$4=1,ER$20=1), FE103, FC103)</f>
        <v>0</v>
      </c>
      <c r="EY103" s="12">
        <f>EY$4 * IF(AND(EX$4=1,ER$20=1), FE103, FC103)</f>
        <v>0</v>
      </c>
      <c r="EZ103" s="12">
        <f>EZ$4 * IF(AND(EY$4=1,ER$20=1), FE103, FC103)</f>
        <v>0</v>
      </c>
      <c r="FB103" t="s">
        <v>1304</v>
      </c>
      <c r="FC103">
        <f>_xlfn.XLOOKUP(FB103,'KPI Impacts'!$B$2:$H$2,'KPI Impacts'!$B103:$H103)</f>
        <v>0</v>
      </c>
      <c r="FD103" s="35" t="s">
        <v>1304</v>
      </c>
      <c r="FE103">
        <f>_xlfn.XLOOKUP(FD103,'KPI Impacts'!$B$2:$H$2,'KPI Impacts'!$B103:$H103)</f>
        <v>0</v>
      </c>
      <c r="FH103" s="12">
        <f>FH$4*FS103</f>
        <v>0</v>
      </c>
      <c r="FI103" s="12">
        <f>FI$4 * IF(AND(FH$4=1,FH$20=1), FU103, FS103)</f>
        <v>0</v>
      </c>
      <c r="FJ103" s="12">
        <f>FJ$4 * IF(AND(FI$4=1,FH$20=1), FU103, FS103)</f>
        <v>0</v>
      </c>
      <c r="FK103" s="12">
        <f>FK$4 * IF(AND(FJ$4=1,FH$20=1), FU103, FS103)</f>
        <v>0</v>
      </c>
      <c r="FL103" s="12">
        <f>FL$4 * IF(AND(FK$4=1,FH$20=1), FU103, FS103)</f>
        <v>0</v>
      </c>
      <c r="FM103" s="12">
        <f>FM$4 * IF(AND(FL$4=1,FH$20=1), FU103, FS103)</f>
        <v>0</v>
      </c>
      <c r="FN103" s="12">
        <f>FN$4 * IF(AND(FM$4=1,FH$20=1), FU103, FS103)</f>
        <v>0</v>
      </c>
      <c r="FO103" s="12">
        <f>FO$4 * IF(AND(FN$4=1,FH$20=1), FU103, FS103)</f>
        <v>0</v>
      </c>
      <c r="FP103" s="12">
        <f>FP$4 * IF(AND(FO$4=1,FH$20=1), FU103, FS103)</f>
        <v>0</v>
      </c>
      <c r="FR103" t="s">
        <v>1304</v>
      </c>
      <c r="FS103">
        <f>_xlfn.XLOOKUP(FR103,'KPI Impacts'!$B$2:$H$2,'KPI Impacts'!$B103:$H103)</f>
        <v>0</v>
      </c>
      <c r="FT103" s="35" t="s">
        <v>1304</v>
      </c>
      <c r="FU103">
        <f>_xlfn.XLOOKUP(FT103,'KPI Impacts'!$B$2:$H$2,'KPI Impacts'!$B103:$H103)</f>
        <v>0</v>
      </c>
      <c r="FX103" s="12">
        <f>FX$4*GI103</f>
        <v>0</v>
      </c>
      <c r="FY103" s="12">
        <f>FY$4 * IF(AND(FX$4=1,FX$20=1), GK103, GI103)</f>
        <v>0</v>
      </c>
      <c r="FZ103" s="12">
        <f>FZ$4 * IF(AND(FY$4=1,FX$20=1), GK103, GI103)</f>
        <v>0</v>
      </c>
      <c r="GA103" s="12">
        <f>GA$4 * IF(AND(FZ$4=1,FX$20=1), GK103, GI103)</f>
        <v>0</v>
      </c>
      <c r="GB103" s="12">
        <f>GB$4 * IF(AND(GA$4=1,FX$20=1), GK103, GI103)</f>
        <v>0</v>
      </c>
      <c r="GC103" s="12">
        <f>GC$4 * IF(AND(GB$4=1,FX$20=1), GK103, GI103)</f>
        <v>0</v>
      </c>
      <c r="GD103" s="12">
        <f>GD$4 * IF(AND(GC$4=1,FX$20=1), GK103, GI103)</f>
        <v>0</v>
      </c>
      <c r="GE103" s="12">
        <f>GE$4 * IF(AND(GD$4=1,FX$20=1), GK103, GI103)</f>
        <v>0</v>
      </c>
      <c r="GF103" s="12">
        <f>GF$4 * IF(AND(GE$4=1,FX$20=1), GK103, GI103)</f>
        <v>0</v>
      </c>
      <c r="GH103" t="s">
        <v>1304</v>
      </c>
      <c r="GI103">
        <f>_xlfn.XLOOKUP(GH103,'KPI Impacts'!$B$2:$H$2,'KPI Impacts'!$B103:$H103)</f>
        <v>0</v>
      </c>
      <c r="GJ103" s="35" t="s">
        <v>1304</v>
      </c>
      <c r="GK103">
        <f>_xlfn.XLOOKUP(GJ103,'KPI Impacts'!$B$2:$H$2,'KPI Impacts'!$B103:$H103)</f>
        <v>0</v>
      </c>
      <c r="GN103" s="12">
        <f>GN$4*GY103</f>
        <v>0</v>
      </c>
      <c r="GO103" s="12">
        <f>GO$4 * IF(AND(GN$4=1,GN$20=1), HA103, GY103)</f>
        <v>0</v>
      </c>
      <c r="GP103" s="12">
        <f>GP$4 * IF(AND(GO$4=1,GN$20=1), HA103, GY103)</f>
        <v>0</v>
      </c>
      <c r="GQ103" s="12">
        <f>GQ$4 * IF(AND(GP$4=1,GN$20=1), HA103, GY103)</f>
        <v>0</v>
      </c>
      <c r="GR103" s="12">
        <f>GR$4 * IF(AND(GQ$4=1,GN$20=1), HA103, GY103)</f>
        <v>0</v>
      </c>
      <c r="GS103" s="12">
        <f>GS$4 * IF(AND(GR$4=1,GN$20=1), HA103, GY103)</f>
        <v>0</v>
      </c>
      <c r="GT103" s="12">
        <f>GT$4 * IF(AND(GS$4=1,GN$20=1), HA103, GY103)</f>
        <v>0</v>
      </c>
      <c r="GU103" s="12">
        <f>GU$4 * IF(AND(GT$4=1,GN$20=1), HA103, GY103)</f>
        <v>0</v>
      </c>
      <c r="GV103" s="12">
        <f>GV$4 * IF(AND(GU$4=1,GN$20=1), HA103, GY103)</f>
        <v>0</v>
      </c>
      <c r="GX103" t="s">
        <v>1304</v>
      </c>
      <c r="GY103">
        <f>_xlfn.XLOOKUP(GX103,'KPI Impacts'!$B$2:$H$2,'KPI Impacts'!$B103:$H103)</f>
        <v>0</v>
      </c>
      <c r="GZ103" s="35" t="s">
        <v>1304</v>
      </c>
      <c r="HA103">
        <f>_xlfn.XLOOKUP(GZ103,'KPI Impacts'!$B$2:$H$2,'KPI Impacts'!$B103:$H103)</f>
        <v>0</v>
      </c>
      <c r="HD103" s="12">
        <f>HD$4*HO103</f>
        <v>0</v>
      </c>
      <c r="HE103" s="12">
        <f>HE$4 * IF(AND(HD$4=1,HD$20=1), HQ103, HO103)</f>
        <v>0</v>
      </c>
      <c r="HF103" s="12">
        <f>HF$4 * IF(AND(HE$4=1,HD$20=1), HQ103, HO103)</f>
        <v>0</v>
      </c>
      <c r="HG103" s="12">
        <f>HG$4 * IF(AND(HF$4=1,HD$20=1), HQ103, HO103)</f>
        <v>0</v>
      </c>
      <c r="HH103" s="12">
        <f>HH$4 * IF(AND(HG$4=1,HD$20=1), HQ103, HO103)</f>
        <v>0</v>
      </c>
      <c r="HI103" s="12">
        <f>HI$4 * IF(AND(HH$4=1,HD$20=1), HQ103, HO103)</f>
        <v>0</v>
      </c>
      <c r="HJ103" s="12">
        <f>HJ$4 * IF(AND(HI$4=1,HD$20=1), HQ103, HO103)</f>
        <v>0</v>
      </c>
      <c r="HK103" s="12">
        <f>HK$4 * IF(AND(HJ$4=1,HD$20=1), HQ103, HO103)</f>
        <v>0</v>
      </c>
      <c r="HL103" s="12">
        <f>HL$4 * IF(AND(HK$4=1,HD$20=1), HQ103, HO103)</f>
        <v>0</v>
      </c>
      <c r="HN103" t="s">
        <v>1304</v>
      </c>
      <c r="HO103">
        <f>_xlfn.XLOOKUP(HN103,'KPI Impacts'!$B$2:$H$2,'KPI Impacts'!$B103:$H103)</f>
        <v>0</v>
      </c>
      <c r="HP103" s="35" t="s">
        <v>1304</v>
      </c>
      <c r="HQ103">
        <f>_xlfn.XLOOKUP(HP103,'KPI Impacts'!$B$2:$H$2,'KPI Impacts'!$B103:$H103)</f>
        <v>0</v>
      </c>
      <c r="HT103" s="12">
        <f>HT$4*IE103</f>
        <v>0</v>
      </c>
      <c r="HU103" s="12">
        <f>HU$4 * IF(AND(HT$4=1,HT$20=1), IG103, IE103)</f>
        <v>0</v>
      </c>
      <c r="HV103" s="12">
        <f>HV$4 * IF(AND(HU$4=1,HT$20=1), IG103, IE103)</f>
        <v>0</v>
      </c>
      <c r="HW103" s="12">
        <f>HW$4 * IF(AND(HV$4=1,HT$20=1), IG103, IE103)</f>
        <v>0</v>
      </c>
      <c r="HX103" s="12">
        <f>HX$4 * IF(AND(HW$4=1,HT$20=1), IG103, IE103)</f>
        <v>0</v>
      </c>
      <c r="HY103" s="12">
        <f>HY$4 * IF(AND(HX$4=1,HT$20=1), IG103, IE103)</f>
        <v>0</v>
      </c>
      <c r="HZ103" s="12">
        <f>HZ$4 * IF(AND(HY$4=1,HT$20=1), IG103, IE103)</f>
        <v>0</v>
      </c>
      <c r="IA103" s="12">
        <f>IA$4 * IF(AND(HZ$4=1,HT$20=1), IG103, IE103)</f>
        <v>0</v>
      </c>
      <c r="IB103" s="12">
        <f>IB$4 * IF(AND(IA$4=1,HT$20=1), IG103, IE103)</f>
        <v>0</v>
      </c>
      <c r="ID103" t="s">
        <v>1304</v>
      </c>
      <c r="IE103">
        <f>_xlfn.XLOOKUP(ID103,'KPI Impacts'!$B$2:$H$2,'KPI Impacts'!$B103:$H103)</f>
        <v>0</v>
      </c>
      <c r="IF103" s="35" t="s">
        <v>1304</v>
      </c>
      <c r="IG103">
        <f>_xlfn.XLOOKUP(IF103,'KPI Impacts'!$B$2:$H$2,'KPI Impacts'!$B103:$H103)</f>
        <v>0</v>
      </c>
      <c r="IJ103" s="12">
        <f>IJ$4*IU103</f>
        <v>0</v>
      </c>
      <c r="IK103" s="12">
        <f>IK$4 * IF(AND(IJ$4=1,IJ$20=1), IW103, IU103)</f>
        <v>0</v>
      </c>
      <c r="IL103" s="12">
        <f>IL$4 * IF(AND(IK$4=1,IJ$20=1), IW103, IU103)</f>
        <v>0</v>
      </c>
      <c r="IM103" s="12">
        <f>IM$4 * IF(AND(IL$4=1,IJ$20=1), IW103, IU103)</f>
        <v>0</v>
      </c>
      <c r="IN103" s="12">
        <f>IN$4 * IF(AND(IM$4=1,IJ$20=1), IW103, IU103)</f>
        <v>0</v>
      </c>
      <c r="IO103" s="12">
        <f>IO$4 * IF(AND(IN$4=1,IJ$20=1), IW103, IU103)</f>
        <v>0</v>
      </c>
      <c r="IP103" s="12">
        <f>IP$4 * IF(AND(IO$4=1,IJ$20=1), IW103, IU103)</f>
        <v>0</v>
      </c>
      <c r="IQ103" s="12">
        <f>IQ$4 * IF(AND(IP$4=1,IJ$20=1), IW103, IU103)</f>
        <v>0</v>
      </c>
      <c r="IR103" s="12">
        <f>IR$4 * IF(AND(IQ$4=1,IJ$20=1), IW103, IU103)</f>
        <v>0</v>
      </c>
      <c r="IT103" t="s">
        <v>1304</v>
      </c>
      <c r="IU103">
        <f>_xlfn.XLOOKUP(IT103,'KPI Impacts'!$B$2:$H$2,'KPI Impacts'!$B103:$H103)</f>
        <v>0</v>
      </c>
      <c r="IV103" s="35" t="s">
        <v>1304</v>
      </c>
      <c r="IW103">
        <f>_xlfn.XLOOKUP(IV103,'KPI Impacts'!$B$2:$H$2,'KPI Impacts'!$B103:$H103)</f>
        <v>0</v>
      </c>
      <c r="IZ103" s="12">
        <f>IZ$4*JK103</f>
        <v>0</v>
      </c>
      <c r="JA103" s="12">
        <f>JA$4 * IF(AND(IZ$4=1,IZ$20=1), JM103, JK103)</f>
        <v>0</v>
      </c>
      <c r="JB103" s="12">
        <f>JB$4 * IF(AND(JA$4=1,IZ$20=1), JM103, JK103)</f>
        <v>0</v>
      </c>
      <c r="JC103" s="12">
        <f>JC$4 * IF(AND(JB$4=1,IZ$20=1), JM103, JK103)</f>
        <v>0</v>
      </c>
      <c r="JD103" s="12">
        <f>JD$4 * IF(AND(JC$4=1,IZ$20=1), JM103, JK103)</f>
        <v>0</v>
      </c>
      <c r="JE103" s="12">
        <f>JE$4 * IF(AND(JD$4=1,IZ$20=1), JM103, JK103)</f>
        <v>0</v>
      </c>
      <c r="JF103" s="12">
        <f>JF$4 * IF(AND(JE$4=1,IZ$20=1), JM103, JK103)</f>
        <v>0</v>
      </c>
      <c r="JG103" s="12">
        <f>JG$4 * IF(AND(JF$4=1,IZ$20=1), JM103, JK103)</f>
        <v>0</v>
      </c>
      <c r="JH103" s="12">
        <f>JH$4 * IF(AND(JG$4=1,IZ$20=1), JM103, JK103)</f>
        <v>0</v>
      </c>
      <c r="JJ103" t="s">
        <v>1304</v>
      </c>
      <c r="JK103">
        <f>_xlfn.XLOOKUP(JJ103,'KPI Impacts'!$B$2:$H$2,'KPI Impacts'!$B103:$H103)</f>
        <v>0</v>
      </c>
      <c r="JL103" s="35" t="s">
        <v>1304</v>
      </c>
      <c r="JM103">
        <f>_xlfn.XLOOKUP(JL103,'KPI Impacts'!$B$2:$H$2,'KPI Impacts'!$B103:$H103)</f>
        <v>0</v>
      </c>
      <c r="JP103" s="12">
        <f>JP$4*KA103</f>
        <v>0</v>
      </c>
      <c r="JQ103" s="12">
        <f>JQ$4 * IF(AND(JP$4=1,JP$20=1), KC103, KA103)</f>
        <v>0</v>
      </c>
      <c r="JR103" s="12">
        <f>JR$4 * IF(AND(JQ$4=1,JP$20=1), KC103, KA103)</f>
        <v>0</v>
      </c>
      <c r="JS103" s="12">
        <f>JS$4 * IF(AND(JR$4=1,JP$20=1), KC103, KA103)</f>
        <v>0</v>
      </c>
      <c r="JT103" s="12">
        <f>JT$4 * IF(AND(JS$4=1,JP$20=1), KC103, KA103)</f>
        <v>0</v>
      </c>
      <c r="JU103" s="12">
        <f>JU$4 * IF(AND(JT$4=1,JP$20=1), KC103, KA103)</f>
        <v>0</v>
      </c>
      <c r="JV103" s="12">
        <f>JV$4 * IF(AND(JU$4=1,JP$20=1), KC103, KA103)</f>
        <v>0</v>
      </c>
      <c r="JW103" s="12">
        <f>JW$4 * IF(AND(JV$4=1,JP$20=1), KC103, KA103)</f>
        <v>0</v>
      </c>
      <c r="JX103" s="12">
        <f>JX$4 * IF(AND(JW$4=1,JP$20=1), KC103, KA103)</f>
        <v>0</v>
      </c>
      <c r="JZ103" t="s">
        <v>1304</v>
      </c>
      <c r="KA103">
        <f>_xlfn.XLOOKUP(JZ103,'KPI Impacts'!$B$2:$H$2,'KPI Impacts'!$B103:$H103)</f>
        <v>0</v>
      </c>
      <c r="KB103" s="35" t="s">
        <v>1304</v>
      </c>
      <c r="KC103">
        <f>_xlfn.XLOOKUP(KB103,'KPI Impacts'!$B$2:$H$2,'KPI Impacts'!$B103:$H103)</f>
        <v>0</v>
      </c>
      <c r="KF103" s="12">
        <f>KF$4*KQ103</f>
        <v>0</v>
      </c>
      <c r="KG103" s="12">
        <f>KG$4 * IF(AND(KF$4=1,KF$20=1), KS103, KQ103)</f>
        <v>0</v>
      </c>
      <c r="KH103" s="12">
        <f>KH$4 * IF(AND(KG$4=1,KF$20=1), KS103, KQ103)</f>
        <v>0</v>
      </c>
      <c r="KI103" s="12">
        <f>KI$4 * IF(AND(KH$4=1,KF$20=1), KS103, KQ103)</f>
        <v>0</v>
      </c>
      <c r="KJ103" s="12">
        <f>KJ$4 * IF(AND(KI$4=1,KF$20=1), KS103, KQ103)</f>
        <v>0</v>
      </c>
      <c r="KK103" s="12">
        <f>KK$4 * IF(AND(KJ$4=1,KF$20=1), KS103, KQ103)</f>
        <v>0</v>
      </c>
      <c r="KL103" s="12">
        <f>KL$4 * IF(AND(KK$4=1,KF$20=1), KS103, KQ103)</f>
        <v>0</v>
      </c>
      <c r="KM103" s="12">
        <f>KM$4 * IF(AND(KL$4=1,KF$20=1), KS103, KQ103)</f>
        <v>0</v>
      </c>
      <c r="KN103" s="12">
        <f>KN$4 * IF(AND(KM$4=1,KF$20=1), KS103, KQ103)</f>
        <v>0</v>
      </c>
      <c r="KP103" t="s">
        <v>1304</v>
      </c>
      <c r="KQ103">
        <f>_xlfn.XLOOKUP(KP103,'KPI Impacts'!$B$2:$H$2,'KPI Impacts'!$B103:$H103)</f>
        <v>0</v>
      </c>
      <c r="KR103" s="35" t="s">
        <v>1304</v>
      </c>
      <c r="KS103">
        <f>_xlfn.XLOOKUP(KR103,'KPI Impacts'!$B$2:$H$2,'KPI Impacts'!$B103:$H103)</f>
        <v>0</v>
      </c>
      <c r="KV103" s="12">
        <f>KV$4*LG103</f>
        <v>0</v>
      </c>
      <c r="KW103" s="12">
        <f>KW$4 * IF(AND(KV$4=1,KV$20=1), LI103, LG103)</f>
        <v>0</v>
      </c>
      <c r="KX103" s="12">
        <f>KX$4 * IF(AND(KW$4=1,KV$20=1), LI103, LG103)</f>
        <v>0</v>
      </c>
      <c r="KY103" s="12">
        <f>KY$4 * IF(AND(KX$4=1,KV$20=1), LI103, LG103)</f>
        <v>0</v>
      </c>
      <c r="KZ103" s="12">
        <f>KZ$4 * IF(AND(KY$4=1,KV$20=1), LI103, LG103)</f>
        <v>0</v>
      </c>
      <c r="LA103" s="12">
        <f>LA$4 * IF(AND(KZ$4=1,KV$20=1), LI103, LG103)</f>
        <v>0</v>
      </c>
      <c r="LB103" s="12">
        <f>LB$4 * IF(AND(LA$4=1,KV$20=1), LI103, LG103)</f>
        <v>0</v>
      </c>
      <c r="LC103" s="12">
        <f>LC$4 * IF(AND(LB$4=1,KV$20=1), LI103, LG103)</f>
        <v>0</v>
      </c>
      <c r="LD103" s="12">
        <f>LD$4 * IF(AND(LC$4=1,KV$20=1), LI103, LG103)</f>
        <v>0</v>
      </c>
      <c r="LF103" t="s">
        <v>1304</v>
      </c>
      <c r="LG103">
        <f>_xlfn.XLOOKUP(LF103,'KPI Impacts'!$B$2:$H$2,'KPI Impacts'!$B103:$H103)</f>
        <v>0</v>
      </c>
      <c r="LH103" s="35" t="s">
        <v>1304</v>
      </c>
      <c r="LI103">
        <f>_xlfn.XLOOKUP(LH103,'KPI Impacts'!$B$2:$H$2,'KPI Impacts'!$B103:$H103)</f>
        <v>0</v>
      </c>
      <c r="LL103" s="12">
        <f>LL$4*LW103</f>
        <v>0</v>
      </c>
      <c r="LM103" s="12">
        <f>LM$4 * IF(AND(LL$4=1,LL$20=1), LY103, LW103)</f>
        <v>0</v>
      </c>
      <c r="LN103" s="12">
        <f>LN$4 * IF(AND(LM$4=1,LL$20=1), LY103, LW103)</f>
        <v>0</v>
      </c>
      <c r="LO103" s="12">
        <f>LO$4 * IF(AND(LN$4=1,LL$20=1), LY103, LW103)</f>
        <v>0</v>
      </c>
      <c r="LP103" s="12">
        <f>LP$4 * IF(AND(LO$4=1,LL$20=1), LY103, LW103)</f>
        <v>0</v>
      </c>
      <c r="LQ103" s="12">
        <f>LQ$4 * IF(AND(LP$4=1,LL$20=1), LY103, LW103)</f>
        <v>0</v>
      </c>
      <c r="LR103" s="12">
        <f>LR$4 * IF(AND(LQ$4=1,LL$20=1), LY103, LW103)</f>
        <v>0</v>
      </c>
      <c r="LS103" s="12">
        <f>LS$4 * IF(AND(LR$4=1,LL$20=1), LY103, LW103)</f>
        <v>0</v>
      </c>
      <c r="LT103" s="12">
        <f>LT$4 * IF(AND(LS$4=1,LL$20=1), LY103, LW103)</f>
        <v>0</v>
      </c>
      <c r="LV103" t="s">
        <v>1304</v>
      </c>
      <c r="LW103">
        <f>_xlfn.XLOOKUP(LV103,'KPI Impacts'!$B$2:$H$2,'KPI Impacts'!$B103:$H103)</f>
        <v>0</v>
      </c>
      <c r="LX103" s="35" t="s">
        <v>1304</v>
      </c>
      <c r="LY103">
        <f>_xlfn.XLOOKUP(LX103,'KPI Impacts'!$B$2:$H$2,'KPI Impacts'!$B103:$H103)</f>
        <v>0</v>
      </c>
      <c r="MB103" s="12">
        <f>MB$4*MM103</f>
        <v>0</v>
      </c>
      <c r="MC103" s="12">
        <f>MC$4 * IF(AND(MB$4=1,MB$20=1), MO103, MM103)</f>
        <v>0</v>
      </c>
      <c r="MD103" s="12">
        <f>MD$4 * IF(AND(MC$4=1,MB$20=1), MO103, MM103)</f>
        <v>0</v>
      </c>
      <c r="ME103" s="12">
        <f>ME$4 * IF(AND(MD$4=1,MB$20=1), MO103, MM103)</f>
        <v>0</v>
      </c>
      <c r="MF103" s="12">
        <f>MF$4 * IF(AND(ME$4=1,MB$20=1), MO103, MM103)</f>
        <v>0</v>
      </c>
      <c r="MG103" s="12">
        <f>MG$4 * IF(AND(MF$4=1,MB$20=1), MO103, MM103)</f>
        <v>0</v>
      </c>
      <c r="MH103" s="12">
        <f>MH$4 * IF(AND(MG$4=1,MB$20=1), MO103, MM103)</f>
        <v>0</v>
      </c>
      <c r="MI103" s="12">
        <f>MI$4 * IF(AND(MH$4=1,MB$20=1), MO103, MM103)</f>
        <v>0</v>
      </c>
      <c r="MJ103" s="12">
        <f>MJ$4 * IF(AND(MI$4=1,MB$20=1), MO103, MM103)</f>
        <v>0</v>
      </c>
      <c r="ML103" t="s">
        <v>1304</v>
      </c>
      <c r="MM103">
        <f>_xlfn.XLOOKUP(ML103,'KPI Impacts'!$B$2:$H$2,'KPI Impacts'!$B103:$H103)</f>
        <v>0</v>
      </c>
      <c r="MN103" s="35" t="s">
        <v>1304</v>
      </c>
      <c r="MO103">
        <f>_xlfn.XLOOKUP(MN103,'KPI Impacts'!$B$2:$H$2,'KPI Impacts'!$B103:$H103)</f>
        <v>0</v>
      </c>
      <c r="MR103" s="12">
        <f>MR$4*NC103</f>
        <v>0</v>
      </c>
      <c r="MS103" s="12">
        <f>MS$4 * IF(AND(MR$4=1,MR$20=1), NE103, NC103)</f>
        <v>0</v>
      </c>
      <c r="MT103" s="12">
        <f>MT$4 * IF(AND(MS$4=1,MR$20=1), NE103, NC103)</f>
        <v>0</v>
      </c>
      <c r="MU103" s="12">
        <f>MU$4 * IF(AND(MT$4=1,MR$20=1), NE103, NC103)</f>
        <v>0</v>
      </c>
      <c r="MV103" s="12">
        <f>MV$4 * IF(AND(MU$4=1,MR$20=1), NE103, NC103)</f>
        <v>0</v>
      </c>
      <c r="MW103" s="12">
        <f>MW$4 * IF(AND(MV$4=1,MR$20=1), NE103, NC103)</f>
        <v>0</v>
      </c>
      <c r="MX103" s="12">
        <f>MX$4 * IF(AND(MW$4=1,MR$20=1), NE103, NC103)</f>
        <v>0</v>
      </c>
      <c r="MY103" s="12">
        <f>MY$4 * IF(AND(MX$4=1,MR$20=1), NE103, NC103)</f>
        <v>0</v>
      </c>
      <c r="MZ103" s="12">
        <f>MZ$4 * IF(AND(MY$4=1,MR$20=1), NE103, NC103)</f>
        <v>0</v>
      </c>
      <c r="NB103" t="s">
        <v>1304</v>
      </c>
      <c r="NC103">
        <f>_xlfn.XLOOKUP(NB103,'KPI Impacts'!$B$2:$H$2,'KPI Impacts'!$B103:$H103)</f>
        <v>0</v>
      </c>
      <c r="ND103" s="35" t="s">
        <v>1304</v>
      </c>
      <c r="NE103">
        <f>_xlfn.XLOOKUP(ND103,'KPI Impacts'!$B$2:$H$2,'KPI Impacts'!$B103:$H103)</f>
        <v>0</v>
      </c>
      <c r="NH103" s="12">
        <f>NH$4*NS103</f>
        <v>0</v>
      </c>
      <c r="NI103" s="12">
        <f>NI$4 * IF(AND(NH$4=1,NH$20=1), NU103, NS103)</f>
        <v>0</v>
      </c>
      <c r="NJ103" s="12">
        <f>NJ$4 * IF(AND(NI$4=1,NH$20=1), NU103, NS103)</f>
        <v>0</v>
      </c>
      <c r="NK103" s="12">
        <f>NK$4 * IF(AND(NJ$4=1,NH$20=1), NU103, NS103)</f>
        <v>0</v>
      </c>
      <c r="NL103" s="12">
        <f>NL$4 * IF(AND(NK$4=1,NH$20=1), NU103, NS103)</f>
        <v>0</v>
      </c>
      <c r="NM103" s="12">
        <f>NM$4 * IF(AND(NL$4=1,NH$20=1), NU103, NS103)</f>
        <v>0</v>
      </c>
      <c r="NN103" s="12">
        <f>NN$4 * IF(AND(NM$4=1,NH$20=1), NU103, NS103)</f>
        <v>0</v>
      </c>
      <c r="NO103" s="12">
        <f>NO$4 * IF(AND(NN$4=1,NH$20=1), NU103, NS103)</f>
        <v>0</v>
      </c>
      <c r="NP103" s="12">
        <f>NP$4 * IF(AND(NO$4=1,NH$20=1), NU103, NS103)</f>
        <v>0</v>
      </c>
      <c r="NR103" t="s">
        <v>1304</v>
      </c>
      <c r="NS103">
        <f>_xlfn.XLOOKUP(NR103,'KPI Impacts'!$B$2:$H$2,'KPI Impacts'!$B103:$H103)</f>
        <v>0</v>
      </c>
      <c r="NT103" s="35" t="s">
        <v>1304</v>
      </c>
      <c r="NU103">
        <f>_xlfn.XLOOKUP(NT103,'KPI Impacts'!$B$2:$H$2,'KPI Impacts'!$B103:$H103)</f>
        <v>0</v>
      </c>
      <c r="NX103" s="12">
        <f>NX$4*OI103</f>
        <v>0</v>
      </c>
      <c r="NY103" s="12">
        <f>NY$4 * IF(AND(NX$4=1,NX$20=1), OK103, OI103)</f>
        <v>0</v>
      </c>
      <c r="NZ103" s="12">
        <f>NZ$4 * IF(AND(NY$4=1,NX$20=1), OK103, OI103)</f>
        <v>0</v>
      </c>
      <c r="OA103" s="12">
        <f>OA$4 * IF(AND(NZ$4=1,NX$20=1), OK103, OI103)</f>
        <v>0</v>
      </c>
      <c r="OB103" s="12">
        <f>OB$4 * IF(AND(OA$4=1,NX$20=1), OK103, OI103)</f>
        <v>0</v>
      </c>
      <c r="OC103" s="12">
        <f>OC$4 * IF(AND(OB$4=1,NX$20=1), OK103, OI103)</f>
        <v>0</v>
      </c>
      <c r="OD103" s="12">
        <f>OD$4 * IF(AND(OC$4=1,NX$20=1), OK103, OI103)</f>
        <v>0</v>
      </c>
      <c r="OE103" s="12">
        <f>OE$4 * IF(AND(OD$4=1,NX$20=1), OK103, OI103)</f>
        <v>0</v>
      </c>
      <c r="OF103" s="12">
        <f>OF$4 * IF(AND(OE$4=1,NX$20=1), OK103, OI103)</f>
        <v>0</v>
      </c>
      <c r="OH103" t="s">
        <v>1304</v>
      </c>
      <c r="OI103">
        <f>_xlfn.XLOOKUP(OH103,'KPI Impacts'!$B$2:$H$2,'KPI Impacts'!$B103:$H103)</f>
        <v>0</v>
      </c>
      <c r="OJ103" s="35" t="s">
        <v>1304</v>
      </c>
      <c r="OK103">
        <f>_xlfn.XLOOKUP(OJ103,'KPI Impacts'!$B$2:$H$2,'KPI Impacts'!$B103:$H103)</f>
        <v>0</v>
      </c>
    </row>
    <row r="104" spans="1:499" x14ac:dyDescent="0.2">
      <c r="A104" t="s">
        <v>1296</v>
      </c>
      <c r="B104" s="12">
        <f t="shared" si="692"/>
        <v>0</v>
      </c>
      <c r="C104" s="12">
        <f t="shared" si="693"/>
        <v>0</v>
      </c>
      <c r="D104" s="12">
        <f t="shared" si="694"/>
        <v>0</v>
      </c>
      <c r="E104" s="12">
        <f t="shared" si="695"/>
        <v>0</v>
      </c>
      <c r="F104" s="12">
        <f t="shared" si="696"/>
        <v>0</v>
      </c>
      <c r="G104" s="12">
        <f t="shared" si="697"/>
        <v>0</v>
      </c>
      <c r="H104" s="12">
        <f t="shared" si="698"/>
        <v>0</v>
      </c>
      <c r="I104" s="12">
        <f t="shared" si="699"/>
        <v>0</v>
      </c>
      <c r="J104" s="12">
        <f t="shared" si="700"/>
        <v>0</v>
      </c>
      <c r="P104" s="12" cm="1">
        <f t="array" ref="P104">_xlfn.SWITCH(P$4, 0,0, 1, AA104,2,AC104,3,AE104,0)</f>
        <v>0</v>
      </c>
      <c r="Q104" s="12" cm="1">
        <f t="array" ref="Q104">_xlfn.SWITCH(Q$4, 0,0, 1, AA104,2,AC104,3,AE104,0)+P104</f>
        <v>0</v>
      </c>
      <c r="R104" s="12" cm="1">
        <f t="array" ref="R104">_xlfn.SWITCH(R$4, 0,0, 1, AA104,2,AC104,3,AE104,0)+Q104</f>
        <v>0</v>
      </c>
      <c r="S104" s="12" cm="1">
        <f t="array" ref="S104">_xlfn.SWITCH(S$4, 0,0, 1, AA104,2,AC104,3,AE104,0)+R104</f>
        <v>0</v>
      </c>
      <c r="T104" s="12" cm="1">
        <f t="array" ref="T104">_xlfn.SWITCH(T$4, 0,0, 1, AA104,2,AC104,3,AE104,0)+S104</f>
        <v>0</v>
      </c>
      <c r="U104" s="12" cm="1">
        <f t="array" ref="U104">_xlfn.SWITCH(U$4, 0,0, 1, AA104,2,AC104,3,AE104,0)+T104</f>
        <v>0</v>
      </c>
      <c r="V104" s="12" cm="1">
        <f t="array" ref="V104">_xlfn.SWITCH(V$4, 0,0, 1, AA104,2,AC104,3,AE104,0)+U104</f>
        <v>0</v>
      </c>
      <c r="W104" s="12" cm="1">
        <f t="array" ref="W104">_xlfn.SWITCH(W$4, 0,0, 1, AA104,2,AC104,3,AE104,0)+V104</f>
        <v>0</v>
      </c>
      <c r="X104" s="12" cm="1">
        <f t="array" ref="X104">_xlfn.SWITCH(X$4, 0,0, 1, AA104,2,AC104,3,AE104,0)+W104</f>
        <v>0</v>
      </c>
      <c r="Z104" t="s">
        <v>1304</v>
      </c>
      <c r="AA104">
        <f>_xlfn.XLOOKUP(Z104,'KPI Impacts'!$K$2:$Q$2,'KPI Impacts'!$K104:$Q104)</f>
        <v>0</v>
      </c>
      <c r="AB104" t="s">
        <v>1304</v>
      </c>
      <c r="AC104">
        <f>_xlfn.XLOOKUP(AB104,'KPI Impacts'!$K$2:$Q$2,'KPI Impacts'!$K104:$Q104)</f>
        <v>0</v>
      </c>
      <c r="AD104" t="s">
        <v>1304</v>
      </c>
      <c r="AE104">
        <f>_xlfn.XLOOKUP(AD104,'KPI Impacts'!$K$2:$Q$2,'KPI Impacts'!$K104:$Q104)</f>
        <v>0</v>
      </c>
      <c r="AH104" s="12" cm="1">
        <f t="array" ref="AH104">_xlfn.SWITCH(AH$4, 0,0, 1, AS104,2,AU104,3,AW104,0)</f>
        <v>0</v>
      </c>
      <c r="AI104" s="12" cm="1">
        <f t="array" ref="AI104">_xlfn.SWITCH(AI$4, 0,0, 1, AS104,2,AU104,3,AW104,0)+AH104</f>
        <v>0</v>
      </c>
      <c r="AJ104" s="12" cm="1">
        <f t="array" ref="AJ104">_xlfn.SWITCH(AJ$4, 0,0, 1, AS104,2,AU104,3,AW104,0)+AI104</f>
        <v>0</v>
      </c>
      <c r="AK104" s="12" cm="1">
        <f t="array" ref="AK104">_xlfn.SWITCH(AK$4, 0,0, 1, AS104,2,AU104,3,AW104,0)+AJ104</f>
        <v>0</v>
      </c>
      <c r="AL104" s="12" cm="1">
        <f t="array" ref="AL104">_xlfn.SWITCH(AL$4, 0,0, 1, AS104,2,AU104,3,AW104,0)+AK104</f>
        <v>0</v>
      </c>
      <c r="AM104" s="12" cm="1">
        <f t="array" ref="AM104">_xlfn.SWITCH(AM$4, 0,0, 1, AS104,2,AU104,3,AW104,0)+AL104</f>
        <v>0</v>
      </c>
      <c r="AN104" s="12" cm="1">
        <f t="array" ref="AN104">_xlfn.SWITCH(AN$4, 0,0, 1, AS104,2,AU104,3,AW104,0)+AM104</f>
        <v>0</v>
      </c>
      <c r="AO104" s="12" cm="1">
        <f t="array" ref="AO104">_xlfn.SWITCH(AO$4, 0,0, 1, AS104,2,AU104,3,AW104,0)+AN104</f>
        <v>0</v>
      </c>
      <c r="AP104" s="12" cm="1">
        <f t="array" ref="AP104">_xlfn.SWITCH(AP$4, 0,0, 1, AS104,2,AU104,3,AW104,0)+AO104</f>
        <v>0</v>
      </c>
      <c r="AR104" t="s">
        <v>1304</v>
      </c>
      <c r="AS104">
        <f>_xlfn.XLOOKUP(AR104,'KPI Impacts'!$K$2:$Q$2,'KPI Impacts'!$K104:$Q104)</f>
        <v>0</v>
      </c>
      <c r="AT104" t="s">
        <v>1304</v>
      </c>
      <c r="AU104">
        <f>_xlfn.XLOOKUP(AT104,'KPI Impacts'!$K$2:$Q$2,'KPI Impacts'!$K104:$Q104)</f>
        <v>0</v>
      </c>
      <c r="AV104" t="s">
        <v>1304</v>
      </c>
      <c r="AW104">
        <f>_xlfn.XLOOKUP(AV104,'KPI Impacts'!$K$2:$Q$2,'KPI Impacts'!$K104:$Q104)</f>
        <v>0</v>
      </c>
      <c r="AZ104" s="12">
        <f>AZ$4*BK104</f>
        <v>0</v>
      </c>
      <c r="BA104" s="12">
        <f>BA$4 * IF(AND(AZ$4=1,AZ$20=1), BM104, BK104)</f>
        <v>0</v>
      </c>
      <c r="BB104" s="12">
        <f>BB$4 * IF(AND(BA$4=1,AZ$20=1), BM104, BK104)</f>
        <v>0</v>
      </c>
      <c r="BC104" s="12">
        <f>BC$4 * IF(AND(BB$4=1,AZ$20=1), BM104, BK104)</f>
        <v>0</v>
      </c>
      <c r="BD104" s="12">
        <f>BD$4 * IF(AND(BC$4=1,AZ$20=1), BM104, BK104)</f>
        <v>0</v>
      </c>
      <c r="BE104" s="12">
        <f>BE$4 * IF(AND(BD$4=1,AZ$20=1), BM104, BK104)</f>
        <v>0</v>
      </c>
      <c r="BF104" s="12">
        <f>BF$4 * IF(AND(BE$4=1,AZ$20=1), BM104, BK104)</f>
        <v>0</v>
      </c>
      <c r="BG104" s="12">
        <f>BG$4 * IF(AND(BF$4=1,AZ$20=1), BM104, BK104)</f>
        <v>0</v>
      </c>
      <c r="BH104" s="12">
        <f>BH$4 * IF(AND(BG$4=1,AZ$20=1), BM104, BK104)</f>
        <v>0</v>
      </c>
      <c r="BJ104" t="s">
        <v>1304</v>
      </c>
      <c r="BK104">
        <f>_xlfn.XLOOKUP(BJ104,'KPI Impacts'!$B$2:$H$2,'KPI Impacts'!$B104:$H104)</f>
        <v>0</v>
      </c>
      <c r="BL104" s="35" t="s">
        <v>1304</v>
      </c>
      <c r="BM104">
        <f>_xlfn.XLOOKUP(BL104,'KPI Impacts'!$B$2:$H$2,'KPI Impacts'!$B104:$H104)</f>
        <v>0</v>
      </c>
      <c r="BP104" s="12">
        <f>BP$4*CA104</f>
        <v>0</v>
      </c>
      <c r="BQ104" s="12">
        <f>BQ$4 * IF(AND(BP$4=1,BP$20=1), CC104, CA104)</f>
        <v>0</v>
      </c>
      <c r="BR104" s="12">
        <f>BR$4 * IF(AND(BQ$4=1,BP$20=1), CC104, CA104)</f>
        <v>0</v>
      </c>
      <c r="BS104" s="12">
        <f>BS$4 * IF(AND(BR$4=1,BP$20=1), CC104, CA104)</f>
        <v>0</v>
      </c>
      <c r="BT104" s="12">
        <f>BT$4 * IF(AND(BS$4=1,BP$20=1), CC104, CA104)</f>
        <v>0</v>
      </c>
      <c r="BU104" s="12">
        <f>BU$4 * IF(AND(BT$4=1,BP$20=1), CC104, CA104)</f>
        <v>0</v>
      </c>
      <c r="BV104" s="12">
        <f>BV$4 * IF(AND(BU$4=1,BP$20=1), CC104, CA104)</f>
        <v>0</v>
      </c>
      <c r="BW104" s="12">
        <f>BW$4 * IF(AND(BV$4=1,BP$20=1), CC104, CA104)</f>
        <v>0</v>
      </c>
      <c r="BX104" s="12">
        <f>BX$4 * IF(AND(BW$4=1,BP$20=1), CC104, CA104)</f>
        <v>0</v>
      </c>
      <c r="BZ104" t="s">
        <v>1304</v>
      </c>
      <c r="CA104">
        <f>_xlfn.XLOOKUP(BZ104,'KPI Impacts'!$B$2:$H$2,'KPI Impacts'!$B104:$H104)</f>
        <v>0</v>
      </c>
      <c r="CB104" s="35" t="s">
        <v>1304</v>
      </c>
      <c r="CC104">
        <f>_xlfn.XLOOKUP(CB104,'KPI Impacts'!$B$2:$H$2,'KPI Impacts'!$B104:$H104)</f>
        <v>0</v>
      </c>
      <c r="CF104" s="12">
        <f>CF$4*CQ104</f>
        <v>0</v>
      </c>
      <c r="CG104" s="12">
        <f>CG$4 * IF(AND(CF$4=1,CF$20=1), CS104, CQ104)</f>
        <v>0</v>
      </c>
      <c r="CH104" s="12">
        <f>CH$4 * IF(AND(CG$4=1,CF$20=1), CS104, CQ104)</f>
        <v>0</v>
      </c>
      <c r="CI104" s="12">
        <f>CI$4 * IF(AND(CH$4=1,CF$20=1), CS104, CQ104)</f>
        <v>0</v>
      </c>
      <c r="CJ104" s="12">
        <f>CJ$4 * IF(AND(CI$4=1,CF$20=1), CS104, CQ104)</f>
        <v>0</v>
      </c>
      <c r="CK104" s="12">
        <f>CK$4 * IF(AND(CJ$4=1,CF$20=1), CS104, CQ104)</f>
        <v>0</v>
      </c>
      <c r="CL104" s="12">
        <f>CL$4 * IF(AND(CK$4=1,CF$20=1), CS104, CQ104)</f>
        <v>0</v>
      </c>
      <c r="CM104" s="12">
        <f>CM$4 * IF(AND(CL$4=1,CF$20=1), CS104, CQ104)</f>
        <v>0</v>
      </c>
      <c r="CN104" s="12">
        <f>CN$4 * IF(AND(CM$4=1,CF$20=1), CS104, CQ104)</f>
        <v>0</v>
      </c>
      <c r="CP104" t="s">
        <v>1304</v>
      </c>
      <c r="CQ104">
        <f>_xlfn.XLOOKUP(CP104,'KPI Impacts'!$B$2:$H$2,'KPI Impacts'!$B104:$H104)</f>
        <v>0</v>
      </c>
      <c r="CR104" s="35" t="s">
        <v>1304</v>
      </c>
      <c r="CS104">
        <f>_xlfn.XLOOKUP(CR104,'KPI Impacts'!$B$2:$H$2,'KPI Impacts'!$B104:$H104)</f>
        <v>0</v>
      </c>
      <c r="CV104" s="12">
        <f>CV$4*DG104</f>
        <v>0</v>
      </c>
      <c r="CW104" s="12">
        <f>CW$4 * IF(AND(CV$4=1,CV$20=1), DI104, DG104)</f>
        <v>0</v>
      </c>
      <c r="CX104" s="12">
        <f>CX$4 * IF(AND(CW$4=1,CV$20=1), DI104, DG104)</f>
        <v>0</v>
      </c>
      <c r="CY104" s="12">
        <f>CY$4 * IF(AND(CX$4=1,CV$20=1), DI104, DG104)</f>
        <v>0</v>
      </c>
      <c r="CZ104" s="12">
        <f>CZ$4 * IF(AND(CY$4=1,CV$20=1), DI104, DG104)</f>
        <v>0</v>
      </c>
      <c r="DA104" s="12">
        <f>DA$4 * IF(AND(CZ$4=1,CV$20=1), DI104, DG104)</f>
        <v>0</v>
      </c>
      <c r="DB104" s="12">
        <f>DB$4 * IF(AND(DA$4=1,CV$20=1), DI104, DG104)</f>
        <v>0</v>
      </c>
      <c r="DC104" s="12">
        <f>DC$4 * IF(AND(DB$4=1,CV$20=1), DI104, DG104)</f>
        <v>0</v>
      </c>
      <c r="DD104" s="12">
        <f>DD$4 * IF(AND(DC$4=1,CV$20=1), DI104, DG104)</f>
        <v>0</v>
      </c>
      <c r="DF104" t="s">
        <v>1304</v>
      </c>
      <c r="DG104">
        <f>_xlfn.XLOOKUP(DF104,'KPI Impacts'!$B$2:$H$2,'KPI Impacts'!$B104:$H104)</f>
        <v>0</v>
      </c>
      <c r="DH104" s="35" t="s">
        <v>1304</v>
      </c>
      <c r="DI104">
        <f>_xlfn.XLOOKUP(DH104,'KPI Impacts'!$B$2:$H$2,'KPI Impacts'!$B104:$H104)</f>
        <v>0</v>
      </c>
      <c r="DL104" s="12">
        <f>DL$4*DW104</f>
        <v>0</v>
      </c>
      <c r="DM104" s="12">
        <f>DM$4 * IF(AND(DL$4=1,DL$20=1), DY104, DW104)</f>
        <v>0</v>
      </c>
      <c r="DN104" s="12">
        <f>DN$4 * IF(AND(DM$4=1,DL$20=1), DY104, DW104)</f>
        <v>0</v>
      </c>
      <c r="DO104" s="12">
        <f>DO$4 * IF(AND(DN$4=1,DL$20=1), DY104, DW104)</f>
        <v>0</v>
      </c>
      <c r="DP104" s="12">
        <f>DP$4 * IF(AND(DO$4=1,DL$20=1), DY104, DW104)</f>
        <v>0</v>
      </c>
      <c r="DQ104" s="12">
        <f>DQ$4 * IF(AND(DP$4=1,DL$20=1), DY104, DW104)</f>
        <v>0</v>
      </c>
      <c r="DR104" s="12">
        <f>DR$4 * IF(AND(DQ$4=1,DL$20=1), DY104, DW104)</f>
        <v>0</v>
      </c>
      <c r="DS104" s="12">
        <f>DS$4 * IF(AND(DR$4=1,DL$20=1), DY104, DW104)</f>
        <v>0</v>
      </c>
      <c r="DT104" s="12">
        <f>DT$4 * IF(AND(DS$4=1,DL$20=1), DY104, DW104)</f>
        <v>0</v>
      </c>
      <c r="DV104" t="s">
        <v>1304</v>
      </c>
      <c r="DW104">
        <f>_xlfn.XLOOKUP(DV104,'KPI Impacts'!$B$2:$H$2,'KPI Impacts'!$B104:$H104)</f>
        <v>0</v>
      </c>
      <c r="DX104" s="35" t="s">
        <v>1304</v>
      </c>
      <c r="DY104">
        <f>_xlfn.XLOOKUP(DX104,'KPI Impacts'!$B$2:$H$2,'KPI Impacts'!$B104:$H104)</f>
        <v>0</v>
      </c>
      <c r="EB104" s="12">
        <f>EB$4*EM104</f>
        <v>0</v>
      </c>
      <c r="EC104" s="12">
        <f>EC$4 * IF(AND(EB$4=1,EB$20=1), EO104, EM104)</f>
        <v>0</v>
      </c>
      <c r="ED104" s="12">
        <f>ED$4 * IF(AND(EC$4=1,EB$20=1), EO104, EM104)</f>
        <v>0</v>
      </c>
      <c r="EE104" s="12">
        <f>EE$4 * IF(AND(ED$4=1,EB$20=1), EO104, EM104)</f>
        <v>0</v>
      </c>
      <c r="EF104" s="12">
        <f>EF$4 * IF(AND(EE$4=1,EB$20=1), EO104, EM104)</f>
        <v>0</v>
      </c>
      <c r="EG104" s="12">
        <f>EG$4 * IF(AND(EF$4=1,EB$20=1), EO104, EM104)</f>
        <v>0</v>
      </c>
      <c r="EH104" s="12">
        <f>EH$4 * IF(AND(EG$4=1,EB$20=1), EO104, EM104)</f>
        <v>0</v>
      </c>
      <c r="EI104" s="12">
        <f>EI$4 * IF(AND(EH$4=1,EB$20=1), EO104, EM104)</f>
        <v>0</v>
      </c>
      <c r="EJ104" s="12">
        <f>EJ$4 * IF(AND(EI$4=1,EB$20=1), EO104, EM104)</f>
        <v>0</v>
      </c>
      <c r="EL104" t="s">
        <v>1304</v>
      </c>
      <c r="EM104">
        <f>_xlfn.XLOOKUP(EL104,'KPI Impacts'!$B$2:$H$2,'KPI Impacts'!$B104:$H104)</f>
        <v>0</v>
      </c>
      <c r="EN104" s="35" t="s">
        <v>1304</v>
      </c>
      <c r="EO104">
        <f>_xlfn.XLOOKUP(EN104,'KPI Impacts'!$B$2:$H$2,'KPI Impacts'!$B104:$H104)</f>
        <v>0</v>
      </c>
      <c r="ER104" s="12">
        <f>ER$4*FC104</f>
        <v>0</v>
      </c>
      <c r="ES104" s="12">
        <f>ES$4 * IF(AND(ER$4=1,ER$20=1), FE104, FC104)</f>
        <v>0</v>
      </c>
      <c r="ET104" s="12">
        <f>ET$4 * IF(AND(ES$4=1,ER$20=1), FE104, FC104)</f>
        <v>0</v>
      </c>
      <c r="EU104" s="12">
        <f>EU$4 * IF(AND(ET$4=1,ER$20=1), FE104, FC104)</f>
        <v>0</v>
      </c>
      <c r="EV104" s="12">
        <f>EV$4 * IF(AND(EU$4=1,ER$20=1), FE104, FC104)</f>
        <v>0</v>
      </c>
      <c r="EW104" s="12">
        <f>EW$4 * IF(AND(EV$4=1,ER$20=1), FE104, FC104)</f>
        <v>0</v>
      </c>
      <c r="EX104" s="12">
        <f>EX$4 * IF(AND(EW$4=1,ER$20=1), FE104, FC104)</f>
        <v>0</v>
      </c>
      <c r="EY104" s="12">
        <f>EY$4 * IF(AND(EX$4=1,ER$20=1), FE104, FC104)</f>
        <v>0</v>
      </c>
      <c r="EZ104" s="12">
        <f>EZ$4 * IF(AND(EY$4=1,ER$20=1), FE104, FC104)</f>
        <v>0</v>
      </c>
      <c r="FB104" t="s">
        <v>1304</v>
      </c>
      <c r="FC104">
        <f>_xlfn.XLOOKUP(FB104,'KPI Impacts'!$B$2:$H$2,'KPI Impacts'!$B104:$H104)</f>
        <v>0</v>
      </c>
      <c r="FD104" s="35" t="s">
        <v>1304</v>
      </c>
      <c r="FE104">
        <f>_xlfn.XLOOKUP(FD104,'KPI Impacts'!$B$2:$H$2,'KPI Impacts'!$B104:$H104)</f>
        <v>0</v>
      </c>
      <c r="FH104" s="12">
        <f>FH$4*FS104</f>
        <v>0</v>
      </c>
      <c r="FI104" s="12">
        <f>FI$4 * IF(AND(FH$4=1,FH$20=1), FU104, FS104)</f>
        <v>0</v>
      </c>
      <c r="FJ104" s="12">
        <f>FJ$4 * IF(AND(FI$4=1,FH$20=1), FU104, FS104)</f>
        <v>0</v>
      </c>
      <c r="FK104" s="12">
        <f>FK$4 * IF(AND(FJ$4=1,FH$20=1), FU104, FS104)</f>
        <v>0</v>
      </c>
      <c r="FL104" s="12">
        <f>FL$4 * IF(AND(FK$4=1,FH$20=1), FU104, FS104)</f>
        <v>0</v>
      </c>
      <c r="FM104" s="12">
        <f>FM$4 * IF(AND(FL$4=1,FH$20=1), FU104, FS104)</f>
        <v>0</v>
      </c>
      <c r="FN104" s="12">
        <f>FN$4 * IF(AND(FM$4=1,FH$20=1), FU104, FS104)</f>
        <v>0</v>
      </c>
      <c r="FO104" s="12">
        <f>FO$4 * IF(AND(FN$4=1,FH$20=1), FU104, FS104)</f>
        <v>0</v>
      </c>
      <c r="FP104" s="12">
        <f>FP$4 * IF(AND(FO$4=1,FH$20=1), FU104, FS104)</f>
        <v>0</v>
      </c>
      <c r="FR104" t="s">
        <v>1304</v>
      </c>
      <c r="FS104">
        <f>_xlfn.XLOOKUP(FR104,'KPI Impacts'!$B$2:$H$2,'KPI Impacts'!$B104:$H104)</f>
        <v>0</v>
      </c>
      <c r="FT104" s="35" t="s">
        <v>1304</v>
      </c>
      <c r="FU104">
        <f>_xlfn.XLOOKUP(FT104,'KPI Impacts'!$B$2:$H$2,'KPI Impacts'!$B104:$H104)</f>
        <v>0</v>
      </c>
      <c r="FX104" s="12">
        <f>FX$4*GI104</f>
        <v>0</v>
      </c>
      <c r="FY104" s="12">
        <f>FY$4 * IF(AND(FX$4=1,FX$20=1), GK104, GI104)</f>
        <v>0</v>
      </c>
      <c r="FZ104" s="12">
        <f>FZ$4 * IF(AND(FY$4=1,FX$20=1), GK104, GI104)</f>
        <v>0</v>
      </c>
      <c r="GA104" s="12">
        <f>GA$4 * IF(AND(FZ$4=1,FX$20=1), GK104, GI104)</f>
        <v>0</v>
      </c>
      <c r="GB104" s="12">
        <f>GB$4 * IF(AND(GA$4=1,FX$20=1), GK104, GI104)</f>
        <v>0</v>
      </c>
      <c r="GC104" s="12">
        <f>GC$4 * IF(AND(GB$4=1,FX$20=1), GK104, GI104)</f>
        <v>0</v>
      </c>
      <c r="GD104" s="12">
        <f>GD$4 * IF(AND(GC$4=1,FX$20=1), GK104, GI104)</f>
        <v>0</v>
      </c>
      <c r="GE104" s="12">
        <f>GE$4 * IF(AND(GD$4=1,FX$20=1), GK104, GI104)</f>
        <v>0</v>
      </c>
      <c r="GF104" s="12">
        <f>GF$4 * IF(AND(GE$4=1,FX$20=1), GK104, GI104)</f>
        <v>0</v>
      </c>
      <c r="GH104" t="s">
        <v>1304</v>
      </c>
      <c r="GI104">
        <f>_xlfn.XLOOKUP(GH104,'KPI Impacts'!$B$2:$H$2,'KPI Impacts'!$B104:$H104)</f>
        <v>0</v>
      </c>
      <c r="GJ104" s="35" t="s">
        <v>1304</v>
      </c>
      <c r="GK104">
        <f>_xlfn.XLOOKUP(GJ104,'KPI Impacts'!$B$2:$H$2,'KPI Impacts'!$B104:$H104)</f>
        <v>0</v>
      </c>
      <c r="GN104" s="12">
        <f>GN$4*GY104</f>
        <v>0</v>
      </c>
      <c r="GO104" s="12">
        <f>GO$4 * IF(AND(GN$4=1,GN$20=1), HA104, GY104)</f>
        <v>0</v>
      </c>
      <c r="GP104" s="12">
        <f>GP$4 * IF(AND(GO$4=1,GN$20=1), HA104, GY104)</f>
        <v>0</v>
      </c>
      <c r="GQ104" s="12">
        <f>GQ$4 * IF(AND(GP$4=1,GN$20=1), HA104, GY104)</f>
        <v>0</v>
      </c>
      <c r="GR104" s="12">
        <f>GR$4 * IF(AND(GQ$4=1,GN$20=1), HA104, GY104)</f>
        <v>0</v>
      </c>
      <c r="GS104" s="12">
        <f>GS$4 * IF(AND(GR$4=1,GN$20=1), HA104, GY104)</f>
        <v>0</v>
      </c>
      <c r="GT104" s="12">
        <f>GT$4 * IF(AND(GS$4=1,GN$20=1), HA104, GY104)</f>
        <v>0</v>
      </c>
      <c r="GU104" s="12">
        <f>GU$4 * IF(AND(GT$4=1,GN$20=1), HA104, GY104)</f>
        <v>0</v>
      </c>
      <c r="GV104" s="12">
        <f>GV$4 * IF(AND(GU$4=1,GN$20=1), HA104, GY104)</f>
        <v>0</v>
      </c>
      <c r="GX104" t="s">
        <v>1304</v>
      </c>
      <c r="GY104">
        <f>_xlfn.XLOOKUP(GX104,'KPI Impacts'!$B$2:$H$2,'KPI Impacts'!$B104:$H104)</f>
        <v>0</v>
      </c>
      <c r="GZ104" s="35" t="s">
        <v>1304</v>
      </c>
      <c r="HA104">
        <f>_xlfn.XLOOKUP(GZ104,'KPI Impacts'!$B$2:$H$2,'KPI Impacts'!$B104:$H104)</f>
        <v>0</v>
      </c>
      <c r="HD104" s="12">
        <f>HD$4*HO104</f>
        <v>0</v>
      </c>
      <c r="HE104" s="12">
        <f>HE$4 * IF(AND(HD$4=1,HD$20=1), HQ104, HO104)</f>
        <v>0</v>
      </c>
      <c r="HF104" s="12">
        <f>HF$4 * IF(AND(HE$4=1,HD$20=1), HQ104, HO104)</f>
        <v>0</v>
      </c>
      <c r="HG104" s="12">
        <f>HG$4 * IF(AND(HF$4=1,HD$20=1), HQ104, HO104)</f>
        <v>0</v>
      </c>
      <c r="HH104" s="12">
        <f>HH$4 * IF(AND(HG$4=1,HD$20=1), HQ104, HO104)</f>
        <v>0</v>
      </c>
      <c r="HI104" s="12">
        <f>HI$4 * IF(AND(HH$4=1,HD$20=1), HQ104, HO104)</f>
        <v>0</v>
      </c>
      <c r="HJ104" s="12">
        <f>HJ$4 * IF(AND(HI$4=1,HD$20=1), HQ104, HO104)</f>
        <v>0</v>
      </c>
      <c r="HK104" s="12">
        <f>HK$4 * IF(AND(HJ$4=1,HD$20=1), HQ104, HO104)</f>
        <v>0</v>
      </c>
      <c r="HL104" s="12">
        <f>HL$4 * IF(AND(HK$4=1,HD$20=1), HQ104, HO104)</f>
        <v>0</v>
      </c>
      <c r="HN104" t="s">
        <v>1304</v>
      </c>
      <c r="HO104">
        <f>_xlfn.XLOOKUP(HN104,'KPI Impacts'!$B$2:$H$2,'KPI Impacts'!$B104:$H104)</f>
        <v>0</v>
      </c>
      <c r="HP104" s="35" t="s">
        <v>1304</v>
      </c>
      <c r="HQ104">
        <f>_xlfn.XLOOKUP(HP104,'KPI Impacts'!$B$2:$H$2,'KPI Impacts'!$B104:$H104)</f>
        <v>0</v>
      </c>
      <c r="HT104" s="12">
        <f>HT$4*IE104</f>
        <v>0</v>
      </c>
      <c r="HU104" s="12">
        <f>HU$4 * IF(AND(HT$4=1,HT$20=1), IG104, IE104)</f>
        <v>0</v>
      </c>
      <c r="HV104" s="12">
        <f>HV$4 * IF(AND(HU$4=1,HT$20=1), IG104, IE104)</f>
        <v>0</v>
      </c>
      <c r="HW104" s="12">
        <f>HW$4 * IF(AND(HV$4=1,HT$20=1), IG104, IE104)</f>
        <v>0</v>
      </c>
      <c r="HX104" s="12">
        <f>HX$4 * IF(AND(HW$4=1,HT$20=1), IG104, IE104)</f>
        <v>0</v>
      </c>
      <c r="HY104" s="12">
        <f>HY$4 * IF(AND(HX$4=1,HT$20=1), IG104, IE104)</f>
        <v>0</v>
      </c>
      <c r="HZ104" s="12">
        <f>HZ$4 * IF(AND(HY$4=1,HT$20=1), IG104, IE104)</f>
        <v>0</v>
      </c>
      <c r="IA104" s="12">
        <f>IA$4 * IF(AND(HZ$4=1,HT$20=1), IG104, IE104)</f>
        <v>0</v>
      </c>
      <c r="IB104" s="12">
        <f>IB$4 * IF(AND(IA$4=1,HT$20=1), IG104, IE104)</f>
        <v>0</v>
      </c>
      <c r="ID104" t="s">
        <v>1304</v>
      </c>
      <c r="IE104">
        <f>_xlfn.XLOOKUP(ID104,'KPI Impacts'!$B$2:$H$2,'KPI Impacts'!$B104:$H104)</f>
        <v>0</v>
      </c>
      <c r="IF104" s="35" t="s">
        <v>1304</v>
      </c>
      <c r="IG104">
        <f>_xlfn.XLOOKUP(IF104,'KPI Impacts'!$B$2:$H$2,'KPI Impacts'!$B104:$H104)</f>
        <v>0</v>
      </c>
      <c r="IJ104" s="12">
        <f>IJ$4*IU104</f>
        <v>0</v>
      </c>
      <c r="IK104" s="12">
        <f>IK$4 * IF(AND(IJ$4=1,IJ$20=1), IW104, IU104)</f>
        <v>0</v>
      </c>
      <c r="IL104" s="12">
        <f>IL$4 * IF(AND(IK$4=1,IJ$20=1), IW104, IU104)</f>
        <v>0</v>
      </c>
      <c r="IM104" s="12">
        <f>IM$4 * IF(AND(IL$4=1,IJ$20=1), IW104, IU104)</f>
        <v>0</v>
      </c>
      <c r="IN104" s="12">
        <f>IN$4 * IF(AND(IM$4=1,IJ$20=1), IW104, IU104)</f>
        <v>0</v>
      </c>
      <c r="IO104" s="12">
        <f>IO$4 * IF(AND(IN$4=1,IJ$20=1), IW104, IU104)</f>
        <v>0</v>
      </c>
      <c r="IP104" s="12">
        <f>IP$4 * IF(AND(IO$4=1,IJ$20=1), IW104, IU104)</f>
        <v>0</v>
      </c>
      <c r="IQ104" s="12">
        <f>IQ$4 * IF(AND(IP$4=1,IJ$20=1), IW104, IU104)</f>
        <v>0</v>
      </c>
      <c r="IR104" s="12">
        <f>IR$4 * IF(AND(IQ$4=1,IJ$20=1), IW104, IU104)</f>
        <v>0</v>
      </c>
      <c r="IT104" t="s">
        <v>1304</v>
      </c>
      <c r="IU104">
        <f>_xlfn.XLOOKUP(IT104,'KPI Impacts'!$B$2:$H$2,'KPI Impacts'!$B104:$H104)</f>
        <v>0</v>
      </c>
      <c r="IV104" s="35" t="s">
        <v>1304</v>
      </c>
      <c r="IW104">
        <f>_xlfn.XLOOKUP(IV104,'KPI Impacts'!$B$2:$H$2,'KPI Impacts'!$B104:$H104)</f>
        <v>0</v>
      </c>
      <c r="IZ104" s="12">
        <f>IZ$4*JK104</f>
        <v>0</v>
      </c>
      <c r="JA104" s="12">
        <f>JA$4 * IF(AND(IZ$4=1,IZ$20=1), JM104, JK104)</f>
        <v>0</v>
      </c>
      <c r="JB104" s="12">
        <f>JB$4 * IF(AND(JA$4=1,IZ$20=1), JM104, JK104)</f>
        <v>0</v>
      </c>
      <c r="JC104" s="12">
        <f>JC$4 * IF(AND(JB$4=1,IZ$20=1), JM104, JK104)</f>
        <v>0</v>
      </c>
      <c r="JD104" s="12">
        <f>JD$4 * IF(AND(JC$4=1,IZ$20=1), JM104, JK104)</f>
        <v>0</v>
      </c>
      <c r="JE104" s="12">
        <f>JE$4 * IF(AND(JD$4=1,IZ$20=1), JM104, JK104)</f>
        <v>0</v>
      </c>
      <c r="JF104" s="12">
        <f>JF$4 * IF(AND(JE$4=1,IZ$20=1), JM104, JK104)</f>
        <v>0</v>
      </c>
      <c r="JG104" s="12">
        <f>JG$4 * IF(AND(JF$4=1,IZ$20=1), JM104, JK104)</f>
        <v>0</v>
      </c>
      <c r="JH104" s="12">
        <f>JH$4 * IF(AND(JG$4=1,IZ$20=1), JM104, JK104)</f>
        <v>0</v>
      </c>
      <c r="JJ104" t="s">
        <v>1304</v>
      </c>
      <c r="JK104">
        <f>_xlfn.XLOOKUP(JJ104,'KPI Impacts'!$B$2:$H$2,'KPI Impacts'!$B104:$H104)</f>
        <v>0</v>
      </c>
      <c r="JL104" s="35" t="s">
        <v>1304</v>
      </c>
      <c r="JM104">
        <f>_xlfn.XLOOKUP(JL104,'KPI Impacts'!$B$2:$H$2,'KPI Impacts'!$B104:$H104)</f>
        <v>0</v>
      </c>
      <c r="JP104" s="12">
        <f>JP$4*KA104</f>
        <v>0</v>
      </c>
      <c r="JQ104" s="12">
        <f>JQ$4 * IF(AND(JP$4=1,JP$20=1), KC104, KA104)</f>
        <v>0</v>
      </c>
      <c r="JR104" s="12">
        <f>JR$4 * IF(AND(JQ$4=1,JP$20=1), KC104, KA104)</f>
        <v>0</v>
      </c>
      <c r="JS104" s="12">
        <f>JS$4 * IF(AND(JR$4=1,JP$20=1), KC104, KA104)</f>
        <v>0</v>
      </c>
      <c r="JT104" s="12">
        <f>JT$4 * IF(AND(JS$4=1,JP$20=1), KC104, KA104)</f>
        <v>0</v>
      </c>
      <c r="JU104" s="12">
        <f>JU$4 * IF(AND(JT$4=1,JP$20=1), KC104, KA104)</f>
        <v>0</v>
      </c>
      <c r="JV104" s="12">
        <f>JV$4 * IF(AND(JU$4=1,JP$20=1), KC104, KA104)</f>
        <v>0</v>
      </c>
      <c r="JW104" s="12">
        <f>JW$4 * IF(AND(JV$4=1,JP$20=1), KC104, KA104)</f>
        <v>0</v>
      </c>
      <c r="JX104" s="12">
        <f>JX$4 * IF(AND(JW$4=1,JP$20=1), KC104, KA104)</f>
        <v>0</v>
      </c>
      <c r="JZ104" t="s">
        <v>1304</v>
      </c>
      <c r="KA104">
        <f>_xlfn.XLOOKUP(JZ104,'KPI Impacts'!$B$2:$H$2,'KPI Impacts'!$B104:$H104)</f>
        <v>0</v>
      </c>
      <c r="KB104" s="35" t="s">
        <v>1304</v>
      </c>
      <c r="KC104">
        <f>_xlfn.XLOOKUP(KB104,'KPI Impacts'!$B$2:$H$2,'KPI Impacts'!$B104:$H104)</f>
        <v>0</v>
      </c>
      <c r="KF104" s="12">
        <f>KF$4*KQ104</f>
        <v>0</v>
      </c>
      <c r="KG104" s="12">
        <f>KG$4 * IF(AND(KF$4=1,KF$20=1), KS104, KQ104)</f>
        <v>0</v>
      </c>
      <c r="KH104" s="12">
        <f>KH$4 * IF(AND(KG$4=1,KF$20=1), KS104, KQ104)</f>
        <v>0</v>
      </c>
      <c r="KI104" s="12">
        <f>KI$4 * IF(AND(KH$4=1,KF$20=1), KS104, KQ104)</f>
        <v>0</v>
      </c>
      <c r="KJ104" s="12">
        <f>KJ$4 * IF(AND(KI$4=1,KF$20=1), KS104, KQ104)</f>
        <v>0</v>
      </c>
      <c r="KK104" s="12">
        <f>KK$4 * IF(AND(KJ$4=1,KF$20=1), KS104, KQ104)</f>
        <v>0</v>
      </c>
      <c r="KL104" s="12">
        <f>KL$4 * IF(AND(KK$4=1,KF$20=1), KS104, KQ104)</f>
        <v>0</v>
      </c>
      <c r="KM104" s="12">
        <f>KM$4 * IF(AND(KL$4=1,KF$20=1), KS104, KQ104)</f>
        <v>0</v>
      </c>
      <c r="KN104" s="12">
        <f>KN$4 * IF(AND(KM$4=1,KF$20=1), KS104, KQ104)</f>
        <v>0</v>
      </c>
      <c r="KP104" t="s">
        <v>1304</v>
      </c>
      <c r="KQ104">
        <f>_xlfn.XLOOKUP(KP104,'KPI Impacts'!$B$2:$H$2,'KPI Impacts'!$B104:$H104)</f>
        <v>0</v>
      </c>
      <c r="KR104" s="35" t="s">
        <v>1304</v>
      </c>
      <c r="KS104">
        <f>_xlfn.XLOOKUP(KR104,'KPI Impacts'!$B$2:$H$2,'KPI Impacts'!$B104:$H104)</f>
        <v>0</v>
      </c>
      <c r="KV104" s="12">
        <f>KV$4*LG104</f>
        <v>0</v>
      </c>
      <c r="KW104" s="12">
        <f>KW$4 * IF(AND(KV$4=1,KV$20=1), LI104, LG104)</f>
        <v>0</v>
      </c>
      <c r="KX104" s="12">
        <f>KX$4 * IF(AND(KW$4=1,KV$20=1), LI104, LG104)</f>
        <v>0</v>
      </c>
      <c r="KY104" s="12">
        <f>KY$4 * IF(AND(KX$4=1,KV$20=1), LI104, LG104)</f>
        <v>0</v>
      </c>
      <c r="KZ104" s="12">
        <f>KZ$4 * IF(AND(KY$4=1,KV$20=1), LI104, LG104)</f>
        <v>0</v>
      </c>
      <c r="LA104" s="12">
        <f>LA$4 * IF(AND(KZ$4=1,KV$20=1), LI104, LG104)</f>
        <v>0</v>
      </c>
      <c r="LB104" s="12">
        <f>LB$4 * IF(AND(LA$4=1,KV$20=1), LI104, LG104)</f>
        <v>0</v>
      </c>
      <c r="LC104" s="12">
        <f>LC$4 * IF(AND(LB$4=1,KV$20=1), LI104, LG104)</f>
        <v>0</v>
      </c>
      <c r="LD104" s="12">
        <f>LD$4 * IF(AND(LC$4=1,KV$20=1), LI104, LG104)</f>
        <v>0</v>
      </c>
      <c r="LF104" t="s">
        <v>1304</v>
      </c>
      <c r="LG104">
        <f>_xlfn.XLOOKUP(LF104,'KPI Impacts'!$B$2:$H$2,'KPI Impacts'!$B104:$H104)</f>
        <v>0</v>
      </c>
      <c r="LH104" s="35" t="s">
        <v>1304</v>
      </c>
      <c r="LI104">
        <f>_xlfn.XLOOKUP(LH104,'KPI Impacts'!$B$2:$H$2,'KPI Impacts'!$B104:$H104)</f>
        <v>0</v>
      </c>
      <c r="LL104" s="12">
        <f>LL$4*LW104</f>
        <v>0</v>
      </c>
      <c r="LM104" s="12">
        <f>LM$4 * IF(AND(LL$4=1,LL$20=1), LY104, LW104)</f>
        <v>0</v>
      </c>
      <c r="LN104" s="12">
        <f>LN$4 * IF(AND(LM$4=1,LL$20=1), LY104, LW104)</f>
        <v>0</v>
      </c>
      <c r="LO104" s="12">
        <f>LO$4 * IF(AND(LN$4=1,LL$20=1), LY104, LW104)</f>
        <v>0</v>
      </c>
      <c r="LP104" s="12">
        <f>LP$4 * IF(AND(LO$4=1,LL$20=1), LY104, LW104)</f>
        <v>0</v>
      </c>
      <c r="LQ104" s="12">
        <f>LQ$4 * IF(AND(LP$4=1,LL$20=1), LY104, LW104)</f>
        <v>0</v>
      </c>
      <c r="LR104" s="12">
        <f>LR$4 * IF(AND(LQ$4=1,LL$20=1), LY104, LW104)</f>
        <v>0</v>
      </c>
      <c r="LS104" s="12">
        <f>LS$4 * IF(AND(LR$4=1,LL$20=1), LY104, LW104)</f>
        <v>0</v>
      </c>
      <c r="LT104" s="12">
        <f>LT$4 * IF(AND(LS$4=1,LL$20=1), LY104, LW104)</f>
        <v>0</v>
      </c>
      <c r="LV104" t="s">
        <v>1304</v>
      </c>
      <c r="LW104">
        <f>_xlfn.XLOOKUP(LV104,'KPI Impacts'!$B$2:$H$2,'KPI Impacts'!$B104:$H104)</f>
        <v>0</v>
      </c>
      <c r="LX104" s="35" t="s">
        <v>1304</v>
      </c>
      <c r="LY104">
        <f>_xlfn.XLOOKUP(LX104,'KPI Impacts'!$B$2:$H$2,'KPI Impacts'!$B104:$H104)</f>
        <v>0</v>
      </c>
      <c r="MB104" s="12">
        <f>MB$4*MM104</f>
        <v>0</v>
      </c>
      <c r="MC104" s="12">
        <f>MC$4 * IF(AND(MB$4=1,MB$20=1), MO104, MM104)</f>
        <v>0</v>
      </c>
      <c r="MD104" s="12">
        <f>MD$4 * IF(AND(MC$4=1,MB$20=1), MO104, MM104)</f>
        <v>0</v>
      </c>
      <c r="ME104" s="12">
        <f>ME$4 * IF(AND(MD$4=1,MB$20=1), MO104, MM104)</f>
        <v>0</v>
      </c>
      <c r="MF104" s="12">
        <f>MF$4 * IF(AND(ME$4=1,MB$20=1), MO104, MM104)</f>
        <v>0</v>
      </c>
      <c r="MG104" s="12">
        <f>MG$4 * IF(AND(MF$4=1,MB$20=1), MO104, MM104)</f>
        <v>0</v>
      </c>
      <c r="MH104" s="12">
        <f>MH$4 * IF(AND(MG$4=1,MB$20=1), MO104, MM104)</f>
        <v>0</v>
      </c>
      <c r="MI104" s="12">
        <f>MI$4 * IF(AND(MH$4=1,MB$20=1), MO104, MM104)</f>
        <v>0</v>
      </c>
      <c r="MJ104" s="12">
        <f>MJ$4 * IF(AND(MI$4=1,MB$20=1), MO104, MM104)</f>
        <v>0</v>
      </c>
      <c r="ML104" t="s">
        <v>1304</v>
      </c>
      <c r="MM104">
        <f>_xlfn.XLOOKUP(ML104,'KPI Impacts'!$B$2:$H$2,'KPI Impacts'!$B104:$H104)</f>
        <v>0</v>
      </c>
      <c r="MN104" s="35" t="s">
        <v>1304</v>
      </c>
      <c r="MO104">
        <f>_xlfn.XLOOKUP(MN104,'KPI Impacts'!$B$2:$H$2,'KPI Impacts'!$B104:$H104)</f>
        <v>0</v>
      </c>
      <c r="MR104" s="12">
        <f>MR$4*NC104</f>
        <v>0</v>
      </c>
      <c r="MS104" s="12">
        <f>MS$4 * IF(AND(MR$4=1,MR$20=1), NE104, NC104)</f>
        <v>0</v>
      </c>
      <c r="MT104" s="12">
        <f>MT$4 * IF(AND(MS$4=1,MR$20=1), NE104, NC104)</f>
        <v>0</v>
      </c>
      <c r="MU104" s="12">
        <f>MU$4 * IF(AND(MT$4=1,MR$20=1), NE104, NC104)</f>
        <v>0</v>
      </c>
      <c r="MV104" s="12">
        <f>MV$4 * IF(AND(MU$4=1,MR$20=1), NE104, NC104)</f>
        <v>0</v>
      </c>
      <c r="MW104" s="12">
        <f>MW$4 * IF(AND(MV$4=1,MR$20=1), NE104, NC104)</f>
        <v>0</v>
      </c>
      <c r="MX104" s="12">
        <f>MX$4 * IF(AND(MW$4=1,MR$20=1), NE104, NC104)</f>
        <v>0</v>
      </c>
      <c r="MY104" s="12">
        <f>MY$4 * IF(AND(MX$4=1,MR$20=1), NE104, NC104)</f>
        <v>0</v>
      </c>
      <c r="MZ104" s="12">
        <f>MZ$4 * IF(AND(MY$4=1,MR$20=1), NE104, NC104)</f>
        <v>0</v>
      </c>
      <c r="NB104" t="s">
        <v>1304</v>
      </c>
      <c r="NC104">
        <f>_xlfn.XLOOKUP(NB104,'KPI Impacts'!$B$2:$H$2,'KPI Impacts'!$B104:$H104)</f>
        <v>0</v>
      </c>
      <c r="ND104" s="35" t="s">
        <v>1304</v>
      </c>
      <c r="NE104">
        <f>_xlfn.XLOOKUP(ND104,'KPI Impacts'!$B$2:$H$2,'KPI Impacts'!$B104:$H104)</f>
        <v>0</v>
      </c>
      <c r="NH104" s="12">
        <f>NH$4*NS104</f>
        <v>0</v>
      </c>
      <c r="NI104" s="12">
        <f>NI$4 * IF(AND(NH$4=1,NH$20=1), NU104, NS104)</f>
        <v>0</v>
      </c>
      <c r="NJ104" s="12">
        <f>NJ$4 * IF(AND(NI$4=1,NH$20=1), NU104, NS104)</f>
        <v>0</v>
      </c>
      <c r="NK104" s="12">
        <f>NK$4 * IF(AND(NJ$4=1,NH$20=1), NU104, NS104)</f>
        <v>0</v>
      </c>
      <c r="NL104" s="12">
        <f>NL$4 * IF(AND(NK$4=1,NH$20=1), NU104, NS104)</f>
        <v>0</v>
      </c>
      <c r="NM104" s="12">
        <f>NM$4 * IF(AND(NL$4=1,NH$20=1), NU104, NS104)</f>
        <v>0</v>
      </c>
      <c r="NN104" s="12">
        <f>NN$4 * IF(AND(NM$4=1,NH$20=1), NU104, NS104)</f>
        <v>0</v>
      </c>
      <c r="NO104" s="12">
        <f>NO$4 * IF(AND(NN$4=1,NH$20=1), NU104, NS104)</f>
        <v>0</v>
      </c>
      <c r="NP104" s="12">
        <f>NP$4 * IF(AND(NO$4=1,NH$20=1), NU104, NS104)</f>
        <v>0</v>
      </c>
      <c r="NR104" t="s">
        <v>1304</v>
      </c>
      <c r="NS104">
        <f>_xlfn.XLOOKUP(NR104,'KPI Impacts'!$B$2:$H$2,'KPI Impacts'!$B104:$H104)</f>
        <v>0</v>
      </c>
      <c r="NT104" s="35" t="s">
        <v>1304</v>
      </c>
      <c r="NU104">
        <f>_xlfn.XLOOKUP(NT104,'KPI Impacts'!$B$2:$H$2,'KPI Impacts'!$B104:$H104)</f>
        <v>0</v>
      </c>
      <c r="NX104" s="12">
        <f>NX$4*OI104</f>
        <v>0</v>
      </c>
      <c r="NY104" s="12">
        <f>NY$4 * IF(AND(NX$4=1,NX$20=1), OK104, OI104)</f>
        <v>0</v>
      </c>
      <c r="NZ104" s="12">
        <f>NZ$4 * IF(AND(NY$4=1,NX$20=1), OK104, OI104)</f>
        <v>0</v>
      </c>
      <c r="OA104" s="12">
        <f>OA$4 * IF(AND(NZ$4=1,NX$20=1), OK104, OI104)</f>
        <v>0</v>
      </c>
      <c r="OB104" s="12">
        <f>OB$4 * IF(AND(OA$4=1,NX$20=1), OK104, OI104)</f>
        <v>0</v>
      </c>
      <c r="OC104" s="12">
        <f>OC$4 * IF(AND(OB$4=1,NX$20=1), OK104, OI104)</f>
        <v>0</v>
      </c>
      <c r="OD104" s="12">
        <f>OD$4 * IF(AND(OC$4=1,NX$20=1), OK104, OI104)</f>
        <v>0</v>
      </c>
      <c r="OE104" s="12">
        <f>OE$4 * IF(AND(OD$4=1,NX$20=1), OK104, OI104)</f>
        <v>0</v>
      </c>
      <c r="OF104" s="12">
        <f>OF$4 * IF(AND(OE$4=1,NX$20=1), OK104, OI104)</f>
        <v>0</v>
      </c>
      <c r="OH104" t="s">
        <v>1304</v>
      </c>
      <c r="OI104">
        <f>_xlfn.XLOOKUP(OH104,'KPI Impacts'!$B$2:$H$2,'KPI Impacts'!$B104:$H104)</f>
        <v>0</v>
      </c>
      <c r="OJ104" s="35" t="s">
        <v>1304</v>
      </c>
      <c r="OK104">
        <f>_xlfn.XLOOKUP(OJ104,'KPI Impacts'!$B$2:$H$2,'KPI Impacts'!$B104:$H104)</f>
        <v>0</v>
      </c>
    </row>
    <row r="105" spans="1:499" x14ac:dyDescent="0.2">
      <c r="B105" s="6"/>
      <c r="C105" s="6"/>
      <c r="D105" s="6"/>
      <c r="E105" s="6"/>
      <c r="F105" s="6"/>
      <c r="G105" s="6"/>
      <c r="H105" s="6"/>
      <c r="I105" s="6"/>
      <c r="J105" s="6"/>
      <c r="BL105" s="9"/>
      <c r="CB105" s="9"/>
      <c r="CR105" s="9"/>
      <c r="DH105" s="9"/>
      <c r="DX105" s="9"/>
      <c r="EN105" s="9"/>
      <c r="FD105" s="9"/>
      <c r="FT105" s="9"/>
      <c r="GJ105" s="9"/>
      <c r="GZ105" s="9"/>
      <c r="HP105" s="9"/>
      <c r="IF105" s="9"/>
      <c r="IV105" s="9"/>
      <c r="JL105" s="9"/>
      <c r="KB105" s="9"/>
      <c r="KR105" s="9"/>
      <c r="LH105" s="9"/>
      <c r="LX105" s="9"/>
      <c r="MN105" s="9"/>
      <c r="ND105" s="9"/>
      <c r="NT105" s="9"/>
      <c r="OJ105" s="9"/>
    </row>
    <row r="106" spans="1:499" x14ac:dyDescent="0.2">
      <c r="A106" s="3"/>
      <c r="BL106" s="9"/>
      <c r="CB106" s="9"/>
      <c r="CR106" s="9"/>
      <c r="DH106" s="9"/>
      <c r="DX106" s="9"/>
      <c r="EN106" s="9"/>
      <c r="FD106" s="9"/>
      <c r="FT106" s="9"/>
      <c r="GJ106" s="9"/>
      <c r="GM106" s="3"/>
      <c r="GZ106" s="9"/>
      <c r="HC106" s="3"/>
      <c r="HP106" s="9"/>
      <c r="HS106" s="3"/>
      <c r="IF106" s="9"/>
      <c r="II106" s="3"/>
      <c r="IV106" s="9"/>
      <c r="IY106" s="3"/>
      <c r="JL106" s="9"/>
      <c r="JO106" s="3"/>
      <c r="KB106" s="9"/>
      <c r="KE106" s="3"/>
      <c r="KR106" s="9"/>
      <c r="KU106" s="3"/>
      <c r="LH106" s="9"/>
      <c r="LK106" s="3"/>
      <c r="LX106" s="9"/>
      <c r="MA106" s="3"/>
      <c r="MN106" s="9"/>
      <c r="MQ106" s="3"/>
      <c r="ND106" s="9"/>
      <c r="NG106" s="3"/>
      <c r="NT106" s="9"/>
      <c r="NW106" s="3"/>
      <c r="OJ106" s="9"/>
      <c r="OY106" s="3"/>
      <c r="PM106" s="3"/>
      <c r="QA106" s="3"/>
      <c r="QO106" s="3"/>
      <c r="RC106" s="3"/>
      <c r="SE106" s="3"/>
    </row>
    <row r="107" spans="1:499" x14ac:dyDescent="0.2">
      <c r="A107" s="5" t="s">
        <v>42</v>
      </c>
      <c r="BL107" s="9"/>
      <c r="CB107" s="9"/>
      <c r="CR107" s="9"/>
      <c r="DH107" s="9"/>
      <c r="DX107" s="9"/>
      <c r="EN107" s="9"/>
      <c r="FD107" s="9"/>
      <c r="FT107" s="9"/>
      <c r="GJ107" s="9"/>
      <c r="GZ107" s="9"/>
      <c r="HP107" s="9"/>
      <c r="IF107" s="9"/>
      <c r="IV107" s="9"/>
      <c r="JL107" s="9"/>
      <c r="KB107" s="9"/>
      <c r="KR107" s="9"/>
      <c r="LH107" s="9"/>
      <c r="LX107" s="9"/>
      <c r="MN107" s="9"/>
      <c r="ND107" s="9"/>
      <c r="NT107" s="9"/>
      <c r="OJ107" s="9"/>
    </row>
    <row r="108" spans="1:499" x14ac:dyDescent="0.2">
      <c r="A108" t="s">
        <v>1330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BL108" s="9"/>
      <c r="CB108" s="9"/>
      <c r="CR108" s="9"/>
      <c r="DH108" s="9"/>
      <c r="DX108" s="9"/>
      <c r="EN108" s="9"/>
      <c r="FD108" s="9"/>
      <c r="FT108" s="9"/>
      <c r="GJ108" s="9"/>
      <c r="GZ108" s="9"/>
      <c r="HP108" s="9"/>
      <c r="IF108" s="9"/>
      <c r="IV108" s="9"/>
      <c r="JL108" s="9"/>
      <c r="KB108" s="9"/>
      <c r="KR108" s="9"/>
      <c r="LH108" s="9"/>
      <c r="LX108" s="9"/>
      <c r="MN108" s="9"/>
      <c r="ND108" s="9"/>
      <c r="NT108" s="9"/>
      <c r="OJ108" s="9"/>
    </row>
    <row r="109" spans="1:499" x14ac:dyDescent="0.2">
      <c r="A109" t="s">
        <v>1334</v>
      </c>
      <c r="B109" s="8">
        <f>P6+AH6+AZ11+BP11+CF11+CV11+DL11+EB11+ER11+FH11+FX11+GN11+HD11+HT11+IJ11+IZ11+JP11+KF11+KV11+LL11+MB11+MR11+NH11+NX11</f>
        <v>0</v>
      </c>
      <c r="C109" s="8">
        <f t="shared" ref="C109:J109" si="701">Q6+AI6+BA11+BQ11+CG11+CW11+DM11+EC11+ES11+FI11+FY11+GO11+HE11+HU11+IK11+JA11+JQ11+KG11+KW11+LM11+MC11+MS11+NI11+NY11</f>
        <v>0</v>
      </c>
      <c r="D109" s="8">
        <f t="shared" si="701"/>
        <v>0</v>
      </c>
      <c r="E109" s="8">
        <f t="shared" si="701"/>
        <v>0</v>
      </c>
      <c r="F109" s="8">
        <f t="shared" si="701"/>
        <v>0</v>
      </c>
      <c r="G109" s="8">
        <f t="shared" si="701"/>
        <v>0</v>
      </c>
      <c r="H109" s="8">
        <f t="shared" si="701"/>
        <v>0</v>
      </c>
      <c r="I109" s="8">
        <f>W6+AO6+BG11+BW11+CM11+DC11+DS11+EI11+EY11+FO11+GE11+GU11+HK11+IA11+IQ11+JG11+JW11+KM11+LC11+LS11+MI11+MY11+NO11+OE11</f>
        <v>0</v>
      </c>
      <c r="J109" s="8">
        <f t="shared" si="701"/>
        <v>0</v>
      </c>
      <c r="K109" s="8"/>
      <c r="L109" s="8"/>
      <c r="M109" s="8"/>
      <c r="BL109" s="9"/>
      <c r="CB109" s="9"/>
      <c r="CR109" s="9"/>
      <c r="DH109" s="9"/>
      <c r="DX109" s="9"/>
      <c r="EN109" s="9"/>
      <c r="FD109" s="9"/>
      <c r="FT109" s="9"/>
      <c r="GJ109" s="9"/>
      <c r="GZ109" s="9"/>
      <c r="HP109" s="9"/>
      <c r="IF109" s="9"/>
      <c r="IV109" s="9"/>
      <c r="JL109" s="9"/>
      <c r="KB109" s="9"/>
      <c r="KR109" s="9"/>
      <c r="LH109" s="9"/>
      <c r="LX109" s="9"/>
      <c r="MN109" s="9"/>
      <c r="ND109" s="9"/>
      <c r="NT109" s="9"/>
      <c r="OJ109" s="9"/>
    </row>
    <row r="110" spans="1:499" x14ac:dyDescent="0.2">
      <c r="A110" t="s">
        <v>1333</v>
      </c>
      <c r="B110" s="10">
        <f t="shared" ref="B110" si="702">AZ13+BP13+CF13+CV13+DL13+EB13+ER13+FH13+FX13+GN13+HD13+HT13+IJ13+IZ13+JP13+KF13+KV13+LL13+MB13+MR13+NH13+NX13</f>
        <v>0</v>
      </c>
      <c r="C110" s="10">
        <f t="shared" ref="C110" si="703">BA13+BQ13+CG13+CW13+DM13+EC13+ES13+FI13+FY13+GO13+HE13+HU13+IK13+JA13+JQ13+KG13+KW13+LM13+MC13+MS13+NI13+NY13</f>
        <v>0</v>
      </c>
      <c r="D110" s="10">
        <f t="shared" ref="D110" si="704">BB13+BR13+CH13+CX13+DN13+ED13+ET13+FJ13+FZ13+GP13+HF13+HV13+IL13+JB13+JR13+KH13+KX13+LN13+MD13+MT13+NJ13+NZ13</f>
        <v>0</v>
      </c>
      <c r="E110" s="10">
        <f t="shared" ref="E110" si="705">BC13+BS13+CI13+CY13+DO13+EE13+EU13+FK13+GA13+GQ13+HG13+HW13+IM13+JC13+JS13+KI13+KY13+LO13+ME13+MU13+NK13+OA13</f>
        <v>0</v>
      </c>
      <c r="F110" s="10">
        <f t="shared" ref="F110" si="706">BD13+BT13+CJ13+CZ13+DP13+EF13+EV13+FL13+GB13+GR13+HH13+HX13+IN13+JD13+JT13+KJ13+KZ13+LP13+MF13+MV13+NL13+OB13</f>
        <v>0</v>
      </c>
      <c r="G110" s="10">
        <f t="shared" ref="G110" si="707">BE13+BU13+CK13+DA13+DQ13+EG13+EW13+FM13+GC13+GS13+HI13+HY13+IO13+JE13+JU13+KK13+LA13+LQ13+MG13+MW13+NM13+OC13</f>
        <v>0</v>
      </c>
      <c r="H110" s="10">
        <f t="shared" ref="H110" si="708">BF13+BV13+CL13+DB13+DR13+EH13+EX13+FN13+GD13+GT13+HJ13+HZ13+IP13+JF13+JV13+KL13+LB13+LR13+MH13+MX13+NN13+OD13</f>
        <v>0</v>
      </c>
      <c r="I110" s="10">
        <f t="shared" ref="I110:J110" si="709">BG13+BW13+CM13+DC13+DS13+EI13+EY13+FO13+GE13+GU13+HK13+IA13+IQ13+JG13+JW13+KM13+LC13+LS13+MI13+MY13+NO13+OE13</f>
        <v>0</v>
      </c>
      <c r="J110" s="10">
        <f t="shared" si="709"/>
        <v>0</v>
      </c>
      <c r="BL110" s="9"/>
      <c r="CB110" s="9"/>
      <c r="CR110" s="9"/>
      <c r="DH110" s="9"/>
      <c r="DX110" s="9"/>
      <c r="EN110" s="9"/>
      <c r="FD110" s="9"/>
      <c r="FT110" s="9"/>
      <c r="GJ110" s="9"/>
      <c r="GZ110" s="9"/>
      <c r="HP110" s="9"/>
      <c r="IF110" s="9"/>
      <c r="IV110" s="9"/>
      <c r="JL110" s="9"/>
      <c r="KB110" s="9"/>
      <c r="KR110" s="9"/>
      <c r="LH110" s="9"/>
      <c r="LX110" s="9"/>
      <c r="MN110" s="9"/>
      <c r="ND110" s="9"/>
      <c r="NT110" s="9"/>
      <c r="OJ110" s="9"/>
    </row>
    <row r="111" spans="1:499" x14ac:dyDescent="0.2">
      <c r="A111" t="s">
        <v>1340</v>
      </c>
      <c r="B111" s="10">
        <f>B108-B110</f>
        <v>0</v>
      </c>
      <c r="C111" s="10">
        <f t="shared" ref="C111:J111" si="710">C108-C110</f>
        <v>100000000</v>
      </c>
      <c r="D111" s="10">
        <f t="shared" si="710"/>
        <v>100000000</v>
      </c>
      <c r="E111" s="10">
        <f t="shared" si="710"/>
        <v>100000000</v>
      </c>
      <c r="F111" s="10">
        <f t="shared" si="710"/>
        <v>100000000</v>
      </c>
      <c r="G111" s="10">
        <f t="shared" si="710"/>
        <v>100000000</v>
      </c>
      <c r="H111" s="10">
        <f t="shared" si="710"/>
        <v>100000000</v>
      </c>
      <c r="I111" s="10">
        <f t="shared" si="710"/>
        <v>100000000</v>
      </c>
      <c r="J111" s="10">
        <f t="shared" si="710"/>
        <v>100000000</v>
      </c>
      <c r="BL111" s="9"/>
      <c r="CB111" s="9"/>
      <c r="CR111" s="9"/>
      <c r="DH111" s="9"/>
      <c r="DX111" s="9"/>
      <c r="EN111" s="9"/>
      <c r="FD111" s="9"/>
      <c r="FT111" s="9"/>
      <c r="GJ111" s="9"/>
      <c r="GZ111" s="9"/>
      <c r="HP111" s="9"/>
      <c r="IF111" s="9"/>
      <c r="IV111" s="9"/>
      <c r="JL111" s="9"/>
      <c r="KB111" s="9"/>
      <c r="KR111" s="9"/>
      <c r="LH111" s="9"/>
      <c r="LX111" s="9"/>
      <c r="MN111" s="9"/>
      <c r="ND111" s="9"/>
      <c r="NT111" s="9"/>
      <c r="OJ111" s="9"/>
    </row>
    <row r="112" spans="1:499" x14ac:dyDescent="0.2">
      <c r="A112" t="s">
        <v>1331</v>
      </c>
      <c r="B112" s="8">
        <f>B109+B110</f>
        <v>0</v>
      </c>
      <c r="C112" s="8">
        <f t="shared" ref="C112:J112" si="711">C109+C110</f>
        <v>0</v>
      </c>
      <c r="D112" s="8">
        <f t="shared" si="711"/>
        <v>0</v>
      </c>
      <c r="E112" s="8">
        <f t="shared" si="711"/>
        <v>0</v>
      </c>
      <c r="F112" s="8">
        <f t="shared" si="711"/>
        <v>0</v>
      </c>
      <c r="G112" s="8">
        <f t="shared" si="711"/>
        <v>0</v>
      </c>
      <c r="H112" s="8">
        <f t="shared" si="711"/>
        <v>0</v>
      </c>
      <c r="I112" s="8">
        <f t="shared" si="711"/>
        <v>0</v>
      </c>
      <c r="J112" s="8">
        <f t="shared" si="711"/>
        <v>0</v>
      </c>
      <c r="O112" s="5"/>
      <c r="AG112" s="5"/>
      <c r="BL112" s="9"/>
      <c r="CB112" s="9"/>
      <c r="CR112" s="9"/>
      <c r="DH112" s="9"/>
      <c r="DX112" s="9"/>
      <c r="EN112" s="9"/>
      <c r="FD112" s="9"/>
      <c r="FT112" s="9"/>
      <c r="GJ112" s="9"/>
      <c r="GZ112" s="9"/>
      <c r="HP112" s="9"/>
      <c r="IF112" s="9"/>
      <c r="IV112" s="9"/>
      <c r="JL112" s="9"/>
      <c r="KB112" s="9"/>
      <c r="KR112" s="9"/>
      <c r="LH112" s="9"/>
      <c r="LX112" s="9"/>
      <c r="MN112" s="9"/>
      <c r="ND112" s="9"/>
      <c r="NT112" s="9"/>
      <c r="OJ112" s="9"/>
    </row>
    <row r="113" spans="1:400" x14ac:dyDescent="0.2">
      <c r="A113" t="s">
        <v>1332</v>
      </c>
      <c r="B113" s="8">
        <f>B108-B112</f>
        <v>0</v>
      </c>
      <c r="C113" s="8">
        <f t="shared" ref="C113:J113" si="712">C108-C112</f>
        <v>100000000</v>
      </c>
      <c r="D113" s="8">
        <f t="shared" si="712"/>
        <v>100000000</v>
      </c>
      <c r="E113" s="8">
        <f t="shared" si="712"/>
        <v>100000000</v>
      </c>
      <c r="F113" s="8">
        <f t="shared" si="712"/>
        <v>100000000</v>
      </c>
      <c r="G113" s="8">
        <f t="shared" si="712"/>
        <v>100000000</v>
      </c>
      <c r="H113" s="8">
        <f t="shared" si="712"/>
        <v>100000000</v>
      </c>
      <c r="I113" s="8">
        <f t="shared" si="712"/>
        <v>100000000</v>
      </c>
      <c r="J113" s="8">
        <f t="shared" si="712"/>
        <v>100000000</v>
      </c>
      <c r="K113" s="8"/>
      <c r="L113" s="8"/>
      <c r="M113" s="8"/>
      <c r="AY113" s="5"/>
      <c r="BL113" s="9"/>
      <c r="BO113" s="5"/>
      <c r="CB113" s="9"/>
      <c r="CE113" s="5"/>
      <c r="CR113" s="9"/>
      <c r="CU113" s="5"/>
      <c r="DH113" s="9"/>
      <c r="DK113" s="5"/>
      <c r="DX113" s="9"/>
      <c r="EA113" s="5"/>
      <c r="EN113" s="9"/>
      <c r="EQ113" s="5"/>
      <c r="FD113" s="9"/>
      <c r="FG113" s="5"/>
      <c r="FT113" s="9"/>
      <c r="FW113" s="5"/>
      <c r="GJ113" s="9"/>
      <c r="GZ113" s="9"/>
      <c r="HP113" s="9"/>
      <c r="IF113" s="9"/>
      <c r="IV113" s="9"/>
      <c r="JL113" s="9"/>
      <c r="KB113" s="9"/>
      <c r="KR113" s="9"/>
      <c r="LH113" s="9"/>
      <c r="LX113" s="9"/>
      <c r="MN113" s="9"/>
      <c r="ND113" s="9"/>
      <c r="NT113" s="9"/>
      <c r="OJ113" s="9"/>
    </row>
    <row r="114" spans="1:400" x14ac:dyDescent="0.2">
      <c r="A114" t="s">
        <v>1341</v>
      </c>
      <c r="B114" s="8">
        <f>C110</f>
        <v>0</v>
      </c>
      <c r="C114" s="8">
        <f t="shared" ref="C114:I114" si="713">D110</f>
        <v>0</v>
      </c>
      <c r="D114" s="8">
        <f t="shared" si="713"/>
        <v>0</v>
      </c>
      <c r="E114" s="8">
        <f t="shared" si="713"/>
        <v>0</v>
      </c>
      <c r="F114" s="8">
        <f t="shared" si="713"/>
        <v>0</v>
      </c>
      <c r="G114" s="8">
        <f t="shared" si="713"/>
        <v>0</v>
      </c>
      <c r="H114" s="8">
        <f t="shared" si="713"/>
        <v>0</v>
      </c>
      <c r="I114" s="8">
        <f t="shared" si="713"/>
        <v>0</v>
      </c>
      <c r="J114" s="8">
        <f>K110</f>
        <v>0</v>
      </c>
      <c r="K114" s="8"/>
      <c r="L114" s="8"/>
      <c r="M114" s="8"/>
      <c r="BL114" s="9"/>
      <c r="CB114" s="9"/>
      <c r="CR114" s="9"/>
      <c r="DH114" s="9"/>
      <c r="DX114" s="9"/>
      <c r="EN114" s="9"/>
      <c r="FD114" s="9"/>
      <c r="FT114" s="9"/>
      <c r="GJ114" s="9"/>
      <c r="GZ114" s="9"/>
      <c r="HP114" s="9"/>
      <c r="IF114" s="9"/>
      <c r="IV114" s="9"/>
      <c r="JL114" s="9"/>
      <c r="KB114" s="9"/>
      <c r="KR114" s="9"/>
      <c r="LH114" s="9"/>
      <c r="LX114" s="9"/>
      <c r="MN114" s="9"/>
      <c r="ND114" s="9"/>
      <c r="NT114" s="9"/>
      <c r="OJ114" s="9"/>
    </row>
    <row r="115" spans="1:400" x14ac:dyDescent="0.2">
      <c r="B115" s="8"/>
      <c r="M115" s="8"/>
    </row>
    <row r="116" spans="1:400" x14ac:dyDescent="0.2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400" x14ac:dyDescent="0.2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400" x14ac:dyDescent="0.2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400" x14ac:dyDescent="0.2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1" spans="1:400" x14ac:dyDescent="0.2"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1:400" x14ac:dyDescent="0.2">
      <c r="B122" s="12"/>
      <c r="C122" s="12"/>
      <c r="D122" s="12"/>
      <c r="E122" s="12"/>
      <c r="F122" s="12"/>
      <c r="G122" s="12"/>
      <c r="H122" s="12"/>
      <c r="I122" s="12"/>
      <c r="J122" s="1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353D-D22F-BD4A-9534-3B02C291330B}">
  <dimension ref="A1:SK114"/>
  <sheetViews>
    <sheetView zoomScaleNormal="100" workbookViewId="0">
      <pane xSplit="1" ySplit="20" topLeftCell="IK21" activePane="bottomRight" state="frozen"/>
      <selection pane="topRight" activeCell="B1" sqref="B1"/>
      <selection pane="bottomLeft" activeCell="A21" sqref="A21"/>
      <selection pane="bottomRight" activeCell="IN73" sqref="IN73"/>
    </sheetView>
  </sheetViews>
  <sheetFormatPr baseColWidth="10" defaultColWidth="8.83203125" defaultRowHeight="15" x14ac:dyDescent="0.2"/>
  <cols>
    <col min="1" max="1" width="37.6640625" customWidth="1"/>
    <col min="2" max="10" width="16.1640625" customWidth="1"/>
    <col min="11" max="11" width="12.6640625" customWidth="1"/>
    <col min="12" max="13" width="10.6640625" customWidth="1"/>
    <col min="14" max="14" width="16.83203125" customWidth="1"/>
    <col min="15" max="15" width="21.83203125" bestFit="1" customWidth="1"/>
    <col min="16" max="24" width="11.5" bestFit="1" customWidth="1"/>
    <col min="25" max="25" width="10.6640625" customWidth="1"/>
    <col min="26" max="26" width="12.6640625" customWidth="1"/>
    <col min="27" max="31" width="12.5" customWidth="1"/>
    <col min="33" max="33" width="19.6640625" customWidth="1"/>
    <col min="34" max="42" width="13.1640625" bestFit="1" customWidth="1"/>
    <col min="51" max="51" width="23" customWidth="1"/>
    <col min="52" max="60" width="14.5" customWidth="1"/>
    <col min="62" max="65" width="12.83203125" customWidth="1"/>
    <col min="67" max="67" width="22.5" customWidth="1"/>
    <col min="68" max="76" width="15.1640625" customWidth="1"/>
    <col min="78" max="78" width="10.5" bestFit="1" customWidth="1"/>
    <col min="83" max="83" width="22.6640625" customWidth="1"/>
    <col min="84" max="92" width="14.1640625" customWidth="1"/>
    <col min="94" max="94" width="10.6640625" customWidth="1"/>
    <col min="99" max="99" width="22.83203125" customWidth="1"/>
    <col min="100" max="108" width="14.83203125" customWidth="1"/>
    <col min="110" max="113" width="11.83203125" customWidth="1"/>
    <col min="115" max="115" width="22.83203125" customWidth="1"/>
    <col min="116" max="124" width="14.83203125" customWidth="1"/>
    <col min="131" max="131" width="22.83203125" customWidth="1"/>
    <col min="132" max="140" width="14.83203125" customWidth="1"/>
    <col min="147" max="147" width="22.83203125" customWidth="1"/>
    <col min="148" max="156" width="14.83203125" customWidth="1"/>
    <col min="158" max="158" width="11.5" bestFit="1" customWidth="1"/>
    <col min="163" max="163" width="24.1640625" customWidth="1"/>
    <col min="164" max="172" width="14.83203125" customWidth="1"/>
    <col min="174" max="174" width="11.5" bestFit="1" customWidth="1"/>
    <col min="179" max="179" width="23.83203125" customWidth="1"/>
    <col min="180" max="188" width="14.83203125" customWidth="1"/>
    <col min="190" max="190" width="10.5" bestFit="1" customWidth="1"/>
    <col min="195" max="195" width="23.83203125" customWidth="1"/>
    <col min="196" max="204" width="14.83203125" customWidth="1"/>
    <col min="205" max="207" width="11.5" bestFit="1" customWidth="1"/>
    <col min="208" max="209" width="11.5" customWidth="1"/>
    <col min="210" max="210" width="11.5" bestFit="1" customWidth="1"/>
    <col min="211" max="211" width="23.5" customWidth="1"/>
    <col min="212" max="220" width="14.83203125" customWidth="1"/>
    <col min="221" max="222" width="11.5" bestFit="1" customWidth="1"/>
    <col min="223" max="224" width="11.5" customWidth="1"/>
    <col min="225" max="226" width="11.5" bestFit="1" customWidth="1"/>
    <col min="227" max="227" width="24.33203125" customWidth="1"/>
    <col min="228" max="236" width="14.83203125" customWidth="1"/>
    <col min="238" max="241" width="11.5" customWidth="1"/>
    <col min="243" max="243" width="24.1640625" customWidth="1"/>
    <col min="244" max="252" width="14.83203125" customWidth="1"/>
    <col min="259" max="259" width="23.6640625" customWidth="1"/>
    <col min="260" max="268" width="14.83203125" customWidth="1"/>
    <col min="275" max="275" width="23.6640625" customWidth="1"/>
    <col min="276" max="284" width="14.83203125" customWidth="1"/>
    <col min="291" max="291" width="23.6640625" customWidth="1"/>
    <col min="292" max="300" width="14.83203125" customWidth="1"/>
    <col min="307" max="307" width="23.83203125" customWidth="1"/>
    <col min="308" max="316" width="14.83203125" customWidth="1"/>
    <col min="323" max="323" width="23.6640625" customWidth="1"/>
    <col min="324" max="332" width="14.83203125" customWidth="1"/>
    <col min="339" max="339" width="23.6640625" customWidth="1"/>
    <col min="340" max="348" width="14.83203125" customWidth="1"/>
    <col min="355" max="355" width="23.5" customWidth="1"/>
    <col min="356" max="364" width="14.83203125" customWidth="1"/>
    <col min="371" max="371" width="23.6640625" customWidth="1"/>
    <col min="372" max="380" width="14.83203125" customWidth="1"/>
    <col min="387" max="387" width="23.5" customWidth="1"/>
    <col min="388" max="396" width="14.83203125" customWidth="1"/>
    <col min="414" max="414" width="9.1640625" bestFit="1" customWidth="1"/>
    <col min="427" max="427" width="19.6640625" customWidth="1"/>
    <col min="454" max="454" width="19.6640625" customWidth="1"/>
    <col min="468" max="468" width="19.6640625" customWidth="1"/>
    <col min="482" max="482" width="19.33203125" customWidth="1"/>
    <col min="483" max="483" width="9.1640625" bestFit="1" customWidth="1"/>
    <col min="496" max="496" width="23" customWidth="1"/>
    <col min="497" max="497" width="10.1640625" customWidth="1"/>
  </cols>
  <sheetData>
    <row r="1" spans="1:505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 s="9"/>
      <c r="P1">
        <v>0</v>
      </c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Z1" s="26" t="s">
        <v>10</v>
      </c>
      <c r="AA1" s="6"/>
      <c r="AB1" s="26" t="s">
        <v>7</v>
      </c>
      <c r="AC1" s="6"/>
      <c r="AD1" s="26" t="s">
        <v>11</v>
      </c>
      <c r="AE1" s="6"/>
      <c r="AH1">
        <v>0</v>
      </c>
      <c r="AI1">
        <v>1</v>
      </c>
      <c r="AJ1">
        <v>2</v>
      </c>
      <c r="AK1">
        <v>3</v>
      </c>
      <c r="AL1">
        <v>4</v>
      </c>
      <c r="AM1">
        <v>5</v>
      </c>
      <c r="AN1">
        <v>6</v>
      </c>
      <c r="AO1">
        <v>7</v>
      </c>
      <c r="AP1">
        <v>8</v>
      </c>
      <c r="AR1" s="26" t="s">
        <v>10</v>
      </c>
      <c r="AS1" s="6"/>
      <c r="AT1" s="26" t="s">
        <v>7</v>
      </c>
      <c r="AU1" s="6"/>
      <c r="AV1" s="26" t="s">
        <v>11</v>
      </c>
      <c r="AW1" s="6"/>
      <c r="AZ1">
        <v>0</v>
      </c>
      <c r="BA1">
        <v>1</v>
      </c>
      <c r="BB1">
        <v>2</v>
      </c>
      <c r="BC1">
        <v>3</v>
      </c>
      <c r="BD1">
        <v>4</v>
      </c>
      <c r="BE1">
        <v>5</v>
      </c>
      <c r="BF1">
        <v>6</v>
      </c>
      <c r="BG1">
        <v>7</v>
      </c>
      <c r="BH1">
        <v>8</v>
      </c>
      <c r="BJ1" s="34" t="s">
        <v>1870</v>
      </c>
      <c r="BK1" s="6"/>
      <c r="BL1" s="34" t="s">
        <v>1871</v>
      </c>
      <c r="BM1" s="6"/>
      <c r="BP1">
        <v>0</v>
      </c>
      <c r="BQ1">
        <v>1</v>
      </c>
      <c r="BR1">
        <v>2</v>
      </c>
      <c r="BS1">
        <v>3</v>
      </c>
      <c r="BT1">
        <v>4</v>
      </c>
      <c r="BU1">
        <v>5</v>
      </c>
      <c r="BV1">
        <v>6</v>
      </c>
      <c r="BW1">
        <v>7</v>
      </c>
      <c r="BX1">
        <v>8</v>
      </c>
      <c r="BZ1" s="34" t="s">
        <v>1870</v>
      </c>
      <c r="CA1" s="6"/>
      <c r="CB1" s="34" t="s">
        <v>1871</v>
      </c>
      <c r="CC1" s="6"/>
      <c r="CF1">
        <v>0</v>
      </c>
      <c r="CG1">
        <v>1</v>
      </c>
      <c r="CH1">
        <v>2</v>
      </c>
      <c r="CI1">
        <v>3</v>
      </c>
      <c r="CJ1">
        <v>4</v>
      </c>
      <c r="CK1">
        <v>5</v>
      </c>
      <c r="CL1">
        <v>6</v>
      </c>
      <c r="CM1">
        <v>7</v>
      </c>
      <c r="CN1">
        <v>8</v>
      </c>
      <c r="CP1" s="34" t="s">
        <v>1870</v>
      </c>
      <c r="CQ1" s="6"/>
      <c r="CR1" s="34" t="s">
        <v>1871</v>
      </c>
      <c r="CS1" s="6"/>
      <c r="CV1">
        <v>0</v>
      </c>
      <c r="CW1">
        <v>1</v>
      </c>
      <c r="CX1">
        <v>2</v>
      </c>
      <c r="CY1">
        <v>3</v>
      </c>
      <c r="CZ1">
        <v>4</v>
      </c>
      <c r="DA1">
        <v>5</v>
      </c>
      <c r="DB1">
        <v>6</v>
      </c>
      <c r="DC1">
        <v>7</v>
      </c>
      <c r="DD1">
        <v>8</v>
      </c>
      <c r="DF1" s="34" t="s">
        <v>1870</v>
      </c>
      <c r="DG1" s="6"/>
      <c r="DH1" s="34" t="s">
        <v>1871</v>
      </c>
      <c r="DI1" s="6"/>
      <c r="DL1">
        <v>0</v>
      </c>
      <c r="DM1">
        <v>1</v>
      </c>
      <c r="DN1">
        <v>2</v>
      </c>
      <c r="DO1">
        <v>3</v>
      </c>
      <c r="DP1">
        <v>4</v>
      </c>
      <c r="DQ1">
        <v>5</v>
      </c>
      <c r="DR1">
        <v>6</v>
      </c>
      <c r="DS1">
        <v>7</v>
      </c>
      <c r="DT1">
        <v>8</v>
      </c>
      <c r="DV1" s="34" t="s">
        <v>1870</v>
      </c>
      <c r="DW1" s="6"/>
      <c r="DX1" s="34" t="s">
        <v>1871</v>
      </c>
      <c r="DY1" s="6"/>
      <c r="EB1">
        <v>0</v>
      </c>
      <c r="EC1">
        <v>1</v>
      </c>
      <c r="ED1">
        <v>2</v>
      </c>
      <c r="EE1">
        <v>3</v>
      </c>
      <c r="EF1">
        <v>4</v>
      </c>
      <c r="EG1">
        <v>5</v>
      </c>
      <c r="EH1">
        <v>6</v>
      </c>
      <c r="EI1">
        <v>7</v>
      </c>
      <c r="EJ1">
        <v>8</v>
      </c>
      <c r="EL1" s="34" t="s">
        <v>1870</v>
      </c>
      <c r="EM1" s="6"/>
      <c r="EN1" s="34" t="s">
        <v>1871</v>
      </c>
      <c r="EO1" s="6"/>
      <c r="ER1">
        <v>0</v>
      </c>
      <c r="ES1">
        <v>1</v>
      </c>
      <c r="ET1">
        <v>2</v>
      </c>
      <c r="EU1">
        <v>3</v>
      </c>
      <c r="EV1">
        <v>4</v>
      </c>
      <c r="EW1">
        <v>5</v>
      </c>
      <c r="EX1">
        <v>6</v>
      </c>
      <c r="EY1">
        <v>7</v>
      </c>
      <c r="EZ1">
        <v>8</v>
      </c>
      <c r="FB1" s="5" t="s">
        <v>1870</v>
      </c>
      <c r="FC1" s="6"/>
      <c r="FD1" s="5" t="s">
        <v>1871</v>
      </c>
      <c r="FE1" s="6"/>
      <c r="FH1">
        <v>0</v>
      </c>
      <c r="FI1">
        <v>1</v>
      </c>
      <c r="FJ1">
        <v>2</v>
      </c>
      <c r="FK1">
        <v>3</v>
      </c>
      <c r="FL1">
        <v>4</v>
      </c>
      <c r="FM1">
        <v>5</v>
      </c>
      <c r="FN1">
        <v>6</v>
      </c>
      <c r="FO1">
        <v>7</v>
      </c>
      <c r="FP1">
        <v>8</v>
      </c>
      <c r="FR1" s="5" t="s">
        <v>1870</v>
      </c>
      <c r="FS1" s="6"/>
      <c r="FT1" s="5" t="s">
        <v>1871</v>
      </c>
      <c r="FU1" s="6"/>
      <c r="FX1">
        <v>0</v>
      </c>
      <c r="FY1">
        <v>1</v>
      </c>
      <c r="FZ1">
        <v>2</v>
      </c>
      <c r="GA1">
        <v>3</v>
      </c>
      <c r="GB1">
        <v>4</v>
      </c>
      <c r="GC1">
        <v>5</v>
      </c>
      <c r="GD1">
        <v>6</v>
      </c>
      <c r="GE1">
        <v>7</v>
      </c>
      <c r="GF1">
        <v>8</v>
      </c>
      <c r="GH1" s="5" t="s">
        <v>1870</v>
      </c>
      <c r="GJ1" s="5" t="s">
        <v>1871</v>
      </c>
      <c r="GN1">
        <v>0</v>
      </c>
      <c r="GO1">
        <v>1</v>
      </c>
      <c r="GP1">
        <v>2</v>
      </c>
      <c r="GQ1">
        <v>3</v>
      </c>
      <c r="GR1">
        <v>4</v>
      </c>
      <c r="GS1">
        <v>5</v>
      </c>
      <c r="GT1">
        <v>6</v>
      </c>
      <c r="GU1">
        <v>7</v>
      </c>
      <c r="GV1">
        <v>8</v>
      </c>
      <c r="GX1" s="5" t="s">
        <v>1870</v>
      </c>
      <c r="GZ1" s="5" t="s">
        <v>1871</v>
      </c>
      <c r="HD1">
        <v>0</v>
      </c>
      <c r="HE1">
        <v>1</v>
      </c>
      <c r="HF1">
        <v>2</v>
      </c>
      <c r="HG1">
        <v>3</v>
      </c>
      <c r="HH1">
        <v>4</v>
      </c>
      <c r="HI1">
        <v>5</v>
      </c>
      <c r="HJ1">
        <v>6</v>
      </c>
      <c r="HK1">
        <v>7</v>
      </c>
      <c r="HL1">
        <v>8</v>
      </c>
      <c r="HN1" s="5" t="s">
        <v>1870</v>
      </c>
      <c r="HP1" s="5" t="s">
        <v>1871</v>
      </c>
      <c r="HT1">
        <v>0</v>
      </c>
      <c r="HU1">
        <v>1</v>
      </c>
      <c r="HV1">
        <v>2</v>
      </c>
      <c r="HW1">
        <v>3</v>
      </c>
      <c r="HX1">
        <v>4</v>
      </c>
      <c r="HY1">
        <v>5</v>
      </c>
      <c r="HZ1">
        <v>6</v>
      </c>
      <c r="IA1">
        <v>7</v>
      </c>
      <c r="IB1">
        <v>8</v>
      </c>
      <c r="ID1" s="5" t="s">
        <v>1870</v>
      </c>
      <c r="IF1" s="5" t="s">
        <v>1871</v>
      </c>
      <c r="IJ1">
        <v>0</v>
      </c>
      <c r="IK1">
        <v>1</v>
      </c>
      <c r="IL1">
        <v>2</v>
      </c>
      <c r="IM1">
        <v>3</v>
      </c>
      <c r="IN1">
        <v>4</v>
      </c>
      <c r="IO1">
        <v>5</v>
      </c>
      <c r="IP1">
        <v>6</v>
      </c>
      <c r="IQ1">
        <v>7</v>
      </c>
      <c r="IR1">
        <v>8</v>
      </c>
      <c r="IT1" s="5" t="s">
        <v>1870</v>
      </c>
      <c r="IV1" s="5" t="s">
        <v>1871</v>
      </c>
      <c r="IZ1">
        <v>0</v>
      </c>
      <c r="JA1">
        <v>1</v>
      </c>
      <c r="JB1">
        <v>2</v>
      </c>
      <c r="JC1">
        <v>3</v>
      </c>
      <c r="JD1">
        <v>4</v>
      </c>
      <c r="JE1">
        <v>5</v>
      </c>
      <c r="JF1">
        <v>6</v>
      </c>
      <c r="JG1">
        <v>7</v>
      </c>
      <c r="JH1">
        <v>8</v>
      </c>
      <c r="JJ1" s="5" t="s">
        <v>1870</v>
      </c>
      <c r="JL1" s="5" t="s">
        <v>1871</v>
      </c>
      <c r="JP1">
        <v>0</v>
      </c>
      <c r="JQ1">
        <v>1</v>
      </c>
      <c r="JR1">
        <v>2</v>
      </c>
      <c r="JS1">
        <v>3</v>
      </c>
      <c r="JT1">
        <v>4</v>
      </c>
      <c r="JU1">
        <v>5</v>
      </c>
      <c r="JV1">
        <v>6</v>
      </c>
      <c r="JW1">
        <v>7</v>
      </c>
      <c r="JX1">
        <v>8</v>
      </c>
      <c r="JZ1" s="5" t="s">
        <v>1870</v>
      </c>
      <c r="KB1" s="5" t="s">
        <v>1871</v>
      </c>
      <c r="KF1">
        <v>0</v>
      </c>
      <c r="KG1">
        <v>1</v>
      </c>
      <c r="KH1">
        <v>2</v>
      </c>
      <c r="KI1">
        <v>3</v>
      </c>
      <c r="KJ1">
        <v>4</v>
      </c>
      <c r="KK1">
        <v>5</v>
      </c>
      <c r="KL1">
        <v>6</v>
      </c>
      <c r="KM1">
        <v>7</v>
      </c>
      <c r="KN1">
        <v>8</v>
      </c>
      <c r="KP1" s="5" t="s">
        <v>1870</v>
      </c>
      <c r="KR1" s="5" t="s">
        <v>1871</v>
      </c>
      <c r="KV1">
        <v>0</v>
      </c>
      <c r="KW1">
        <v>1</v>
      </c>
      <c r="KX1">
        <v>2</v>
      </c>
      <c r="KY1">
        <v>3</v>
      </c>
      <c r="KZ1">
        <v>4</v>
      </c>
      <c r="LA1">
        <v>5</v>
      </c>
      <c r="LB1">
        <v>6</v>
      </c>
      <c r="LC1">
        <v>7</v>
      </c>
      <c r="LD1">
        <v>8</v>
      </c>
      <c r="LF1" s="5" t="s">
        <v>1870</v>
      </c>
      <c r="LH1" s="5" t="s">
        <v>1871</v>
      </c>
      <c r="LL1">
        <v>0</v>
      </c>
      <c r="LM1">
        <v>1</v>
      </c>
      <c r="LN1">
        <v>2</v>
      </c>
      <c r="LO1">
        <v>3</v>
      </c>
      <c r="LP1">
        <v>4</v>
      </c>
      <c r="LQ1">
        <v>5</v>
      </c>
      <c r="LR1">
        <v>6</v>
      </c>
      <c r="LS1">
        <v>7</v>
      </c>
      <c r="LT1">
        <v>8</v>
      </c>
      <c r="LV1" s="5" t="s">
        <v>1870</v>
      </c>
      <c r="LX1" s="5" t="s">
        <v>1871</v>
      </c>
      <c r="MB1">
        <v>0</v>
      </c>
      <c r="MC1">
        <v>1</v>
      </c>
      <c r="MD1">
        <v>2</v>
      </c>
      <c r="ME1">
        <v>3</v>
      </c>
      <c r="MF1">
        <v>4</v>
      </c>
      <c r="MG1">
        <v>5</v>
      </c>
      <c r="MH1">
        <v>6</v>
      </c>
      <c r="MI1">
        <v>7</v>
      </c>
      <c r="MJ1">
        <v>8</v>
      </c>
      <c r="ML1" s="5" t="s">
        <v>1870</v>
      </c>
      <c r="MN1" s="5" t="s">
        <v>1871</v>
      </c>
      <c r="MR1">
        <v>0</v>
      </c>
      <c r="MS1">
        <v>1</v>
      </c>
      <c r="MT1">
        <v>2</v>
      </c>
      <c r="MU1">
        <v>3</v>
      </c>
      <c r="MV1">
        <v>4</v>
      </c>
      <c r="MW1">
        <v>5</v>
      </c>
      <c r="MX1">
        <v>6</v>
      </c>
      <c r="MY1">
        <v>7</v>
      </c>
      <c r="MZ1">
        <v>8</v>
      </c>
      <c r="NB1" s="5" t="s">
        <v>1870</v>
      </c>
      <c r="ND1" s="5" t="s">
        <v>1871</v>
      </c>
      <c r="NH1">
        <v>0</v>
      </c>
      <c r="NI1">
        <v>1</v>
      </c>
      <c r="NJ1">
        <v>2</v>
      </c>
      <c r="NK1">
        <v>3</v>
      </c>
      <c r="NL1">
        <v>4</v>
      </c>
      <c r="NM1">
        <v>5</v>
      </c>
      <c r="NN1">
        <v>6</v>
      </c>
      <c r="NO1">
        <v>7</v>
      </c>
      <c r="NP1">
        <v>8</v>
      </c>
      <c r="NR1" s="5" t="s">
        <v>1870</v>
      </c>
      <c r="NT1" s="5" t="s">
        <v>1871</v>
      </c>
      <c r="NX1">
        <v>0</v>
      </c>
      <c r="NY1">
        <v>1</v>
      </c>
      <c r="NZ1">
        <v>2</v>
      </c>
      <c r="OA1">
        <v>3</v>
      </c>
      <c r="OB1">
        <v>4</v>
      </c>
      <c r="OC1">
        <v>5</v>
      </c>
      <c r="OD1">
        <v>6</v>
      </c>
      <c r="OE1">
        <v>7</v>
      </c>
      <c r="OF1">
        <v>8</v>
      </c>
      <c r="OH1" s="5" t="s">
        <v>1870</v>
      </c>
      <c r="OJ1" s="5" t="s">
        <v>1871</v>
      </c>
    </row>
    <row r="2" spans="1:505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Z2" s="6" t="s">
        <v>1321</v>
      </c>
      <c r="AA2" s="6" t="s">
        <v>1320</v>
      </c>
      <c r="AB2" s="6" t="s">
        <v>1321</v>
      </c>
      <c r="AC2" s="6" t="s">
        <v>1320</v>
      </c>
      <c r="AD2" s="6" t="s">
        <v>1321</v>
      </c>
      <c r="AE2" s="6" t="s">
        <v>1320</v>
      </c>
      <c r="AR2" s="6" t="s">
        <v>1321</v>
      </c>
      <c r="AS2" s="6" t="s">
        <v>1320</v>
      </c>
      <c r="AT2" s="6" t="s">
        <v>1321</v>
      </c>
      <c r="AU2" s="6" t="s">
        <v>1320</v>
      </c>
      <c r="AV2" s="6" t="s">
        <v>1321</v>
      </c>
      <c r="AW2" s="6" t="s">
        <v>1320</v>
      </c>
      <c r="BJ2" s="6" t="s">
        <v>1321</v>
      </c>
      <c r="BK2" s="6" t="s">
        <v>1320</v>
      </c>
      <c r="BL2" s="6" t="s">
        <v>1321</v>
      </c>
      <c r="BM2" s="6" t="s">
        <v>1320</v>
      </c>
      <c r="BZ2" s="6" t="s">
        <v>1321</v>
      </c>
      <c r="CA2" s="6" t="s">
        <v>1320</v>
      </c>
      <c r="CB2" s="6" t="s">
        <v>1321</v>
      </c>
      <c r="CC2" s="6" t="s">
        <v>1320</v>
      </c>
      <c r="CP2" s="6" t="s">
        <v>1321</v>
      </c>
      <c r="CQ2" s="6" t="s">
        <v>1320</v>
      </c>
      <c r="CR2" s="6" t="s">
        <v>1321</v>
      </c>
      <c r="CS2" s="6" t="s">
        <v>1320</v>
      </c>
      <c r="DF2" s="6" t="s">
        <v>1321</v>
      </c>
      <c r="DG2" s="6" t="s">
        <v>1320</v>
      </c>
      <c r="DH2" s="6" t="s">
        <v>1321</v>
      </c>
      <c r="DI2" s="6" t="s">
        <v>1320</v>
      </c>
      <c r="DV2" s="6" t="s">
        <v>1321</v>
      </c>
      <c r="DW2" s="6" t="s">
        <v>1320</v>
      </c>
      <c r="DX2" s="6" t="s">
        <v>1321</v>
      </c>
      <c r="DY2" s="6" t="s">
        <v>1320</v>
      </c>
      <c r="EL2" s="6" t="s">
        <v>1321</v>
      </c>
      <c r="EM2" s="6" t="s">
        <v>1320</v>
      </c>
      <c r="EN2" s="6" t="s">
        <v>1321</v>
      </c>
      <c r="EO2" s="6" t="s">
        <v>1320</v>
      </c>
      <c r="FB2" t="s">
        <v>1321</v>
      </c>
      <c r="FC2" s="6" t="s">
        <v>1320</v>
      </c>
      <c r="FD2" t="s">
        <v>1321</v>
      </c>
      <c r="FE2" s="6" t="s">
        <v>1320</v>
      </c>
      <c r="FR2" t="s">
        <v>1321</v>
      </c>
      <c r="FS2" s="6" t="s">
        <v>1320</v>
      </c>
      <c r="FT2" t="s">
        <v>1321</v>
      </c>
      <c r="FU2" s="6" t="s">
        <v>1320</v>
      </c>
      <c r="GH2" t="s">
        <v>1321</v>
      </c>
      <c r="GI2" t="s">
        <v>1320</v>
      </c>
      <c r="GJ2" t="s">
        <v>1321</v>
      </c>
      <c r="GK2" t="s">
        <v>1320</v>
      </c>
      <c r="GX2" t="s">
        <v>1321</v>
      </c>
      <c r="GY2" t="s">
        <v>1320</v>
      </c>
      <c r="GZ2" t="s">
        <v>1321</v>
      </c>
      <c r="HA2" t="s">
        <v>1320</v>
      </c>
      <c r="HN2" t="s">
        <v>1321</v>
      </c>
      <c r="HO2" t="s">
        <v>1320</v>
      </c>
      <c r="HP2" t="s">
        <v>1321</v>
      </c>
      <c r="HQ2" t="s">
        <v>1320</v>
      </c>
      <c r="ID2" t="s">
        <v>1321</v>
      </c>
      <c r="IE2" t="s">
        <v>1320</v>
      </c>
      <c r="IF2" t="s">
        <v>1321</v>
      </c>
      <c r="IG2" t="s">
        <v>1320</v>
      </c>
      <c r="IT2" t="s">
        <v>1321</v>
      </c>
      <c r="IU2" t="s">
        <v>1320</v>
      </c>
      <c r="IV2" t="s">
        <v>1321</v>
      </c>
      <c r="IW2" t="s">
        <v>1320</v>
      </c>
      <c r="JJ2" t="s">
        <v>1321</v>
      </c>
      <c r="JK2" t="s">
        <v>1320</v>
      </c>
      <c r="JL2" t="s">
        <v>1321</v>
      </c>
      <c r="JM2" t="s">
        <v>1320</v>
      </c>
      <c r="JZ2" t="s">
        <v>1321</v>
      </c>
      <c r="KA2" t="s">
        <v>1320</v>
      </c>
      <c r="KB2" t="s">
        <v>1321</v>
      </c>
      <c r="KC2" t="s">
        <v>1320</v>
      </c>
      <c r="KP2" t="s">
        <v>1321</v>
      </c>
      <c r="KQ2" t="s">
        <v>1320</v>
      </c>
      <c r="KR2" t="s">
        <v>1321</v>
      </c>
      <c r="KS2" t="s">
        <v>1320</v>
      </c>
      <c r="LF2" t="s">
        <v>1321</v>
      </c>
      <c r="LG2" t="s">
        <v>1320</v>
      </c>
      <c r="LH2" t="s">
        <v>1321</v>
      </c>
      <c r="LI2" t="s">
        <v>1320</v>
      </c>
      <c r="LV2" t="s">
        <v>1321</v>
      </c>
      <c r="LW2" t="s">
        <v>1320</v>
      </c>
      <c r="LX2" t="s">
        <v>1321</v>
      </c>
      <c r="LY2" t="s">
        <v>1320</v>
      </c>
      <c r="ML2" t="s">
        <v>1321</v>
      </c>
      <c r="MM2" t="s">
        <v>1320</v>
      </c>
      <c r="MN2" t="s">
        <v>1321</v>
      </c>
      <c r="MO2" t="s">
        <v>1320</v>
      </c>
      <c r="NB2" t="s">
        <v>1321</v>
      </c>
      <c r="NC2" t="s">
        <v>1320</v>
      </c>
      <c r="ND2" t="s">
        <v>1321</v>
      </c>
      <c r="NE2" t="s">
        <v>1320</v>
      </c>
      <c r="NR2" t="s">
        <v>1321</v>
      </c>
      <c r="NS2" t="s">
        <v>1320</v>
      </c>
      <c r="NT2" t="s">
        <v>1321</v>
      </c>
      <c r="NU2" t="s">
        <v>1320</v>
      </c>
      <c r="OH2" t="s">
        <v>1321</v>
      </c>
      <c r="OI2" t="s">
        <v>1320</v>
      </c>
      <c r="OJ2" t="s">
        <v>1321</v>
      </c>
      <c r="OK2" t="s">
        <v>1320</v>
      </c>
    </row>
    <row r="3" spans="1:505" x14ac:dyDescent="0.2">
      <c r="O3" s="5" t="s">
        <v>334</v>
      </c>
      <c r="AG3" s="5" t="s">
        <v>333</v>
      </c>
      <c r="AY3" s="5" t="s">
        <v>1826</v>
      </c>
      <c r="BL3" s="9"/>
      <c r="BO3" s="5" t="s">
        <v>1723</v>
      </c>
      <c r="CB3" s="9"/>
      <c r="CE3" s="5" t="s">
        <v>1827</v>
      </c>
      <c r="CR3" s="9"/>
      <c r="CU3" s="5" t="s">
        <v>1828</v>
      </c>
      <c r="DH3" s="9"/>
      <c r="DK3" s="11" t="s">
        <v>1829</v>
      </c>
      <c r="DX3" s="9"/>
      <c r="EA3" s="11" t="s">
        <v>1830</v>
      </c>
      <c r="EN3" s="9"/>
      <c r="EQ3" s="11" t="s">
        <v>1831</v>
      </c>
      <c r="FD3" s="9"/>
      <c r="FG3" s="11" t="s">
        <v>1832</v>
      </c>
      <c r="FT3" s="9"/>
      <c r="FW3" s="11" t="s">
        <v>1833</v>
      </c>
      <c r="GJ3" s="9"/>
      <c r="GM3" s="11" t="s">
        <v>1834</v>
      </c>
      <c r="GZ3" s="9"/>
      <c r="HC3" s="11" t="s">
        <v>1835</v>
      </c>
      <c r="HP3" s="9"/>
      <c r="HS3" s="11" t="s">
        <v>1836</v>
      </c>
      <c r="IF3" s="9"/>
      <c r="II3" s="11" t="s">
        <v>1837</v>
      </c>
      <c r="IV3" s="9"/>
      <c r="IY3" s="11" t="s">
        <v>383</v>
      </c>
      <c r="JL3" s="9"/>
      <c r="JO3" s="11" t="s">
        <v>384</v>
      </c>
      <c r="KB3" s="9"/>
      <c r="KE3" s="5"/>
      <c r="KR3" s="9"/>
      <c r="KU3" s="5"/>
      <c r="LH3" s="9"/>
      <c r="LK3" s="5"/>
      <c r="LX3" s="9"/>
      <c r="MA3" s="5"/>
      <c r="MN3" s="9"/>
      <c r="MQ3" s="5"/>
      <c r="ND3" s="9"/>
      <c r="NG3" s="5"/>
      <c r="NT3" s="9"/>
      <c r="NW3" s="5"/>
      <c r="OJ3" s="9"/>
      <c r="PK3" s="5"/>
      <c r="QL3" s="5"/>
      <c r="QZ3" s="5"/>
      <c r="RN3" s="5"/>
      <c r="SB3" s="5"/>
    </row>
    <row r="4" spans="1:505" x14ac:dyDescent="0.2">
      <c r="A4" s="2" t="s">
        <v>393</v>
      </c>
      <c r="B4" s="2"/>
      <c r="O4" s="2" t="s">
        <v>1636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/>
      <c r="Z4" s="1"/>
      <c r="AG4" s="2" t="s">
        <v>1639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/>
      <c r="AR4" s="1"/>
      <c r="AY4" s="2" t="s">
        <v>394</v>
      </c>
      <c r="AZ4" s="1">
        <v>0</v>
      </c>
      <c r="BA4" s="1">
        <f>+AZ4</f>
        <v>0</v>
      </c>
      <c r="BB4" s="1">
        <f t="shared" ref="BB4:BH4" si="0">+BA4</f>
        <v>0</v>
      </c>
      <c r="BC4" s="1">
        <f t="shared" si="0"/>
        <v>0</v>
      </c>
      <c r="BD4" s="1">
        <f t="shared" si="0"/>
        <v>0</v>
      </c>
      <c r="BE4" s="1">
        <f t="shared" si="0"/>
        <v>0</v>
      </c>
      <c r="BF4" s="1">
        <f t="shared" si="0"/>
        <v>0</v>
      </c>
      <c r="BG4" s="1">
        <f t="shared" si="0"/>
        <v>0</v>
      </c>
      <c r="BH4" s="1">
        <f t="shared" si="0"/>
        <v>0</v>
      </c>
      <c r="BI4" s="1"/>
      <c r="BJ4" s="1"/>
      <c r="BL4" s="36"/>
      <c r="BO4" s="2" t="s">
        <v>395</v>
      </c>
      <c r="BP4" s="1">
        <v>0</v>
      </c>
      <c r="BQ4" s="1">
        <f>+BP4</f>
        <v>0</v>
      </c>
      <c r="BR4" s="1">
        <f t="shared" ref="BR4:BX4" si="1">+BQ4</f>
        <v>0</v>
      </c>
      <c r="BS4" s="1">
        <f t="shared" si="1"/>
        <v>0</v>
      </c>
      <c r="BT4" s="1">
        <f t="shared" si="1"/>
        <v>0</v>
      </c>
      <c r="BU4" s="1">
        <f t="shared" si="1"/>
        <v>0</v>
      </c>
      <c r="BV4" s="1">
        <f t="shared" si="1"/>
        <v>0</v>
      </c>
      <c r="BW4" s="1">
        <f t="shared" si="1"/>
        <v>0</v>
      </c>
      <c r="BX4" s="1">
        <f t="shared" si="1"/>
        <v>0</v>
      </c>
      <c r="BY4" s="1"/>
      <c r="BZ4" s="1"/>
      <c r="CB4" s="36"/>
      <c r="CE4" s="2" t="s">
        <v>396</v>
      </c>
      <c r="CF4" s="1">
        <v>0</v>
      </c>
      <c r="CG4" s="1">
        <f>+CF4</f>
        <v>0</v>
      </c>
      <c r="CH4" s="1">
        <f t="shared" ref="CH4:CN4" si="2">+CG4</f>
        <v>0</v>
      </c>
      <c r="CI4" s="1">
        <f t="shared" si="2"/>
        <v>0</v>
      </c>
      <c r="CJ4" s="1">
        <f t="shared" si="2"/>
        <v>0</v>
      </c>
      <c r="CK4" s="1">
        <f t="shared" si="2"/>
        <v>0</v>
      </c>
      <c r="CL4" s="1">
        <f t="shared" si="2"/>
        <v>0</v>
      </c>
      <c r="CM4" s="1">
        <f t="shared" si="2"/>
        <v>0</v>
      </c>
      <c r="CN4" s="1">
        <f t="shared" si="2"/>
        <v>0</v>
      </c>
      <c r="CO4" s="1"/>
      <c r="CP4" s="1"/>
      <c r="CR4" s="36"/>
      <c r="CU4" s="2" t="s">
        <v>397</v>
      </c>
      <c r="CV4" s="1">
        <v>0</v>
      </c>
      <c r="CW4" s="1">
        <f>+CV4</f>
        <v>0</v>
      </c>
      <c r="CX4" s="1">
        <f t="shared" ref="CX4:DD4" si="3">+CW4</f>
        <v>0</v>
      </c>
      <c r="CY4" s="1">
        <f t="shared" si="3"/>
        <v>0</v>
      </c>
      <c r="CZ4" s="1">
        <f t="shared" si="3"/>
        <v>0</v>
      </c>
      <c r="DA4" s="1">
        <f t="shared" si="3"/>
        <v>0</v>
      </c>
      <c r="DB4" s="1">
        <f t="shared" si="3"/>
        <v>0</v>
      </c>
      <c r="DC4" s="1">
        <f t="shared" si="3"/>
        <v>0</v>
      </c>
      <c r="DD4" s="1">
        <f t="shared" si="3"/>
        <v>0</v>
      </c>
      <c r="DE4" s="1"/>
      <c r="DF4" s="1"/>
      <c r="DH4" s="36"/>
      <c r="DK4" s="2" t="s">
        <v>398</v>
      </c>
      <c r="DL4" s="1">
        <v>0</v>
      </c>
      <c r="DM4" s="1">
        <f>+DL4</f>
        <v>0</v>
      </c>
      <c r="DN4" s="1">
        <f t="shared" ref="DN4:DT4" si="4">+DM4</f>
        <v>0</v>
      </c>
      <c r="DO4" s="1">
        <f t="shared" si="4"/>
        <v>0</v>
      </c>
      <c r="DP4" s="1">
        <f t="shared" si="4"/>
        <v>0</v>
      </c>
      <c r="DQ4" s="1">
        <f t="shared" si="4"/>
        <v>0</v>
      </c>
      <c r="DR4" s="1">
        <f t="shared" si="4"/>
        <v>0</v>
      </c>
      <c r="DS4" s="1">
        <f t="shared" si="4"/>
        <v>0</v>
      </c>
      <c r="DT4" s="1">
        <f t="shared" si="4"/>
        <v>0</v>
      </c>
      <c r="DU4" s="1"/>
      <c r="DV4" s="1"/>
      <c r="DX4" s="36"/>
      <c r="EA4" s="2" t="s">
        <v>399</v>
      </c>
      <c r="EB4" s="1">
        <v>0</v>
      </c>
      <c r="EC4" s="1">
        <f>+EB4</f>
        <v>0</v>
      </c>
      <c r="ED4" s="1">
        <f t="shared" ref="ED4:EJ4" si="5">+EC4</f>
        <v>0</v>
      </c>
      <c r="EE4" s="1">
        <f t="shared" si="5"/>
        <v>0</v>
      </c>
      <c r="EF4" s="1">
        <f t="shared" si="5"/>
        <v>0</v>
      </c>
      <c r="EG4" s="1">
        <f t="shared" si="5"/>
        <v>0</v>
      </c>
      <c r="EH4" s="1">
        <f t="shared" si="5"/>
        <v>0</v>
      </c>
      <c r="EI4" s="1">
        <f t="shared" si="5"/>
        <v>0</v>
      </c>
      <c r="EJ4" s="1">
        <f t="shared" si="5"/>
        <v>0</v>
      </c>
      <c r="EK4" s="1"/>
      <c r="EL4" s="1"/>
      <c r="EN4" s="36"/>
      <c r="EQ4" s="2" t="s">
        <v>400</v>
      </c>
      <c r="ER4" s="1">
        <v>0</v>
      </c>
      <c r="ES4" s="1">
        <f>+ER4</f>
        <v>0</v>
      </c>
      <c r="ET4" s="1">
        <f t="shared" ref="ET4:EZ4" si="6">+ES4</f>
        <v>0</v>
      </c>
      <c r="EU4" s="1">
        <f t="shared" si="6"/>
        <v>0</v>
      </c>
      <c r="EV4" s="1">
        <f t="shared" si="6"/>
        <v>0</v>
      </c>
      <c r="EW4" s="1">
        <f t="shared" si="6"/>
        <v>0</v>
      </c>
      <c r="EX4" s="1">
        <f t="shared" si="6"/>
        <v>0</v>
      </c>
      <c r="EY4" s="1">
        <f t="shared" si="6"/>
        <v>0</v>
      </c>
      <c r="EZ4" s="1">
        <f t="shared" si="6"/>
        <v>0</v>
      </c>
      <c r="FA4" s="1"/>
      <c r="FB4" s="1"/>
      <c r="FD4" s="36"/>
      <c r="FG4" s="2" t="s">
        <v>401</v>
      </c>
      <c r="FH4" s="1">
        <v>0</v>
      </c>
      <c r="FI4" s="1">
        <f>+FH4</f>
        <v>0</v>
      </c>
      <c r="FJ4" s="1">
        <f t="shared" ref="FJ4:FP4" si="7">+FI4</f>
        <v>0</v>
      </c>
      <c r="FK4" s="1">
        <f t="shared" si="7"/>
        <v>0</v>
      </c>
      <c r="FL4" s="1">
        <f t="shared" si="7"/>
        <v>0</v>
      </c>
      <c r="FM4" s="1">
        <f t="shared" si="7"/>
        <v>0</v>
      </c>
      <c r="FN4" s="1">
        <f t="shared" si="7"/>
        <v>0</v>
      </c>
      <c r="FO4" s="1">
        <f t="shared" si="7"/>
        <v>0</v>
      </c>
      <c r="FP4" s="1">
        <f t="shared" si="7"/>
        <v>0</v>
      </c>
      <c r="FQ4" s="1"/>
      <c r="FR4" s="1"/>
      <c r="FT4" s="36"/>
      <c r="FW4" s="2" t="s">
        <v>402</v>
      </c>
      <c r="FX4" s="1">
        <v>0</v>
      </c>
      <c r="FY4" s="1">
        <f>+FX4</f>
        <v>0</v>
      </c>
      <c r="FZ4" s="1">
        <f t="shared" ref="FZ4:GF4" si="8">+FY4</f>
        <v>0</v>
      </c>
      <c r="GA4" s="1">
        <f t="shared" si="8"/>
        <v>0</v>
      </c>
      <c r="GB4" s="1">
        <f t="shared" si="8"/>
        <v>0</v>
      </c>
      <c r="GC4" s="1">
        <f t="shared" si="8"/>
        <v>0</v>
      </c>
      <c r="GD4" s="1">
        <f t="shared" si="8"/>
        <v>0</v>
      </c>
      <c r="GE4" s="1">
        <f t="shared" si="8"/>
        <v>0</v>
      </c>
      <c r="GF4" s="1">
        <f t="shared" si="8"/>
        <v>0</v>
      </c>
      <c r="GG4" s="1"/>
      <c r="GH4" s="1"/>
      <c r="GJ4" s="36"/>
      <c r="GM4" s="2" t="s">
        <v>403</v>
      </c>
      <c r="GN4" s="1">
        <v>0</v>
      </c>
      <c r="GO4" s="1">
        <f>+GN4</f>
        <v>0</v>
      </c>
      <c r="GP4" s="1">
        <f t="shared" ref="GP4:GV4" si="9">+GO4</f>
        <v>0</v>
      </c>
      <c r="GQ4" s="1">
        <f t="shared" si="9"/>
        <v>0</v>
      </c>
      <c r="GR4" s="1">
        <f t="shared" si="9"/>
        <v>0</v>
      </c>
      <c r="GS4" s="1">
        <f t="shared" si="9"/>
        <v>0</v>
      </c>
      <c r="GT4" s="1">
        <f t="shared" si="9"/>
        <v>0</v>
      </c>
      <c r="GU4" s="1">
        <f t="shared" si="9"/>
        <v>0</v>
      </c>
      <c r="GV4" s="1">
        <f t="shared" si="9"/>
        <v>0</v>
      </c>
      <c r="GW4" s="1"/>
      <c r="GX4" s="1"/>
      <c r="GY4" s="1"/>
      <c r="GZ4" s="36"/>
      <c r="HA4" s="1"/>
      <c r="HB4" s="1"/>
      <c r="HC4" s="2" t="s">
        <v>404</v>
      </c>
      <c r="HD4" s="1">
        <v>0</v>
      </c>
      <c r="HE4" s="1">
        <f>+HD4</f>
        <v>0</v>
      </c>
      <c r="HF4" s="1">
        <f t="shared" ref="HF4:HL4" si="10">+HE4</f>
        <v>0</v>
      </c>
      <c r="HG4" s="1">
        <f t="shared" si="10"/>
        <v>0</v>
      </c>
      <c r="HH4" s="1">
        <f t="shared" si="10"/>
        <v>0</v>
      </c>
      <c r="HI4" s="1">
        <f t="shared" si="10"/>
        <v>0</v>
      </c>
      <c r="HJ4" s="1">
        <f t="shared" si="10"/>
        <v>0</v>
      </c>
      <c r="HK4" s="1">
        <f t="shared" si="10"/>
        <v>0</v>
      </c>
      <c r="HL4" s="1">
        <f t="shared" si="10"/>
        <v>0</v>
      </c>
      <c r="HM4" s="1"/>
      <c r="HN4" s="1"/>
      <c r="HO4" s="1"/>
      <c r="HP4" s="36"/>
      <c r="HQ4" s="1"/>
      <c r="HR4" s="1"/>
      <c r="HS4" s="2" t="s">
        <v>405</v>
      </c>
      <c r="HT4" s="1">
        <v>0</v>
      </c>
      <c r="HU4" s="1">
        <f>+HT4</f>
        <v>0</v>
      </c>
      <c r="HV4" s="1">
        <f t="shared" ref="HV4:IB4" si="11">+HU4</f>
        <v>0</v>
      </c>
      <c r="HW4" s="1">
        <f t="shared" si="11"/>
        <v>0</v>
      </c>
      <c r="HX4" s="1">
        <f t="shared" si="11"/>
        <v>0</v>
      </c>
      <c r="HY4" s="1">
        <f t="shared" si="11"/>
        <v>0</v>
      </c>
      <c r="HZ4" s="1">
        <f t="shared" si="11"/>
        <v>0</v>
      </c>
      <c r="IA4" s="1">
        <f t="shared" si="11"/>
        <v>0</v>
      </c>
      <c r="IB4" s="1">
        <f t="shared" si="11"/>
        <v>0</v>
      </c>
      <c r="IC4" s="1"/>
      <c r="ID4" s="1"/>
      <c r="IF4" s="36"/>
      <c r="II4" s="2" t="s">
        <v>406</v>
      </c>
      <c r="IJ4" s="1">
        <v>0</v>
      </c>
      <c r="IK4" s="1">
        <f>+IJ4</f>
        <v>0</v>
      </c>
      <c r="IL4" s="1">
        <f t="shared" ref="IL4:IR4" si="12">+IK4</f>
        <v>0</v>
      </c>
      <c r="IM4" s="1">
        <f t="shared" si="12"/>
        <v>0</v>
      </c>
      <c r="IN4" s="1">
        <f t="shared" si="12"/>
        <v>0</v>
      </c>
      <c r="IO4" s="1">
        <f t="shared" si="12"/>
        <v>0</v>
      </c>
      <c r="IP4" s="1">
        <f t="shared" si="12"/>
        <v>0</v>
      </c>
      <c r="IQ4" s="1">
        <f t="shared" si="12"/>
        <v>0</v>
      </c>
      <c r="IR4" s="1">
        <f t="shared" si="12"/>
        <v>0</v>
      </c>
      <c r="IS4" s="1"/>
      <c r="IT4" s="1"/>
      <c r="IU4" s="1"/>
      <c r="IV4" s="36"/>
      <c r="IW4" s="1"/>
      <c r="IY4" s="2" t="s">
        <v>407</v>
      </c>
      <c r="IZ4" s="1">
        <v>0</v>
      </c>
      <c r="JA4" s="1">
        <f>+IZ4</f>
        <v>0</v>
      </c>
      <c r="JB4" s="1">
        <f t="shared" ref="JB4:JH4" si="13">+JA4</f>
        <v>0</v>
      </c>
      <c r="JC4" s="1">
        <f t="shared" si="13"/>
        <v>0</v>
      </c>
      <c r="JD4" s="1">
        <f t="shared" si="13"/>
        <v>0</v>
      </c>
      <c r="JE4" s="1">
        <f t="shared" si="13"/>
        <v>0</v>
      </c>
      <c r="JF4" s="1">
        <f t="shared" si="13"/>
        <v>0</v>
      </c>
      <c r="JG4" s="1">
        <f t="shared" si="13"/>
        <v>0</v>
      </c>
      <c r="JH4" s="1">
        <f t="shared" si="13"/>
        <v>0</v>
      </c>
      <c r="JI4" s="1"/>
      <c r="JJ4" s="1"/>
      <c r="JK4" s="1"/>
      <c r="JL4" s="36"/>
      <c r="JM4" s="1"/>
      <c r="JO4" s="2" t="s">
        <v>408</v>
      </c>
      <c r="JP4" s="1">
        <v>0</v>
      </c>
      <c r="JQ4" s="1">
        <f>+JP4</f>
        <v>0</v>
      </c>
      <c r="JR4" s="1">
        <f t="shared" ref="JR4:JX4" si="14">+JQ4</f>
        <v>0</v>
      </c>
      <c r="JS4" s="1">
        <f t="shared" si="14"/>
        <v>0</v>
      </c>
      <c r="JT4" s="1">
        <f t="shared" si="14"/>
        <v>0</v>
      </c>
      <c r="JU4" s="1">
        <f t="shared" si="14"/>
        <v>0</v>
      </c>
      <c r="JV4" s="1">
        <f t="shared" si="14"/>
        <v>0</v>
      </c>
      <c r="JW4" s="1">
        <f t="shared" si="14"/>
        <v>0</v>
      </c>
      <c r="JX4" s="1">
        <f t="shared" si="14"/>
        <v>0</v>
      </c>
      <c r="JY4" s="1"/>
      <c r="JZ4" s="1"/>
      <c r="KA4" s="1"/>
      <c r="KB4" s="36"/>
      <c r="KC4" s="1"/>
      <c r="KE4" s="2" t="s">
        <v>409</v>
      </c>
      <c r="KF4" s="1">
        <v>0</v>
      </c>
      <c r="KG4" s="1">
        <f>+KF4</f>
        <v>0</v>
      </c>
      <c r="KH4" s="1">
        <f t="shared" ref="KH4:KN4" si="15">+KG4</f>
        <v>0</v>
      </c>
      <c r="KI4" s="1">
        <f t="shared" si="15"/>
        <v>0</v>
      </c>
      <c r="KJ4" s="1">
        <f t="shared" si="15"/>
        <v>0</v>
      </c>
      <c r="KK4" s="1">
        <f t="shared" si="15"/>
        <v>0</v>
      </c>
      <c r="KL4" s="1">
        <f t="shared" si="15"/>
        <v>0</v>
      </c>
      <c r="KM4" s="1">
        <f t="shared" si="15"/>
        <v>0</v>
      </c>
      <c r="KN4" s="1">
        <f t="shared" si="15"/>
        <v>0</v>
      </c>
      <c r="KO4" s="1"/>
      <c r="KP4" s="1"/>
      <c r="KQ4" s="1"/>
      <c r="KR4" s="36"/>
      <c r="KS4" s="1"/>
      <c r="KU4" s="2" t="s">
        <v>410</v>
      </c>
      <c r="KV4" s="1">
        <v>0</v>
      </c>
      <c r="KW4" s="1">
        <f>+KV4</f>
        <v>0</v>
      </c>
      <c r="KX4" s="1">
        <f t="shared" ref="KX4:LD4" si="16">+KW4</f>
        <v>0</v>
      </c>
      <c r="KY4" s="1">
        <f t="shared" si="16"/>
        <v>0</v>
      </c>
      <c r="KZ4" s="1">
        <f t="shared" si="16"/>
        <v>0</v>
      </c>
      <c r="LA4" s="1">
        <f t="shared" si="16"/>
        <v>0</v>
      </c>
      <c r="LB4" s="1">
        <f t="shared" si="16"/>
        <v>0</v>
      </c>
      <c r="LC4" s="1">
        <f t="shared" si="16"/>
        <v>0</v>
      </c>
      <c r="LD4" s="1">
        <f t="shared" si="16"/>
        <v>0</v>
      </c>
      <c r="LE4" s="1"/>
      <c r="LF4" s="1"/>
      <c r="LG4" s="1"/>
      <c r="LH4" s="36"/>
      <c r="LI4" s="1"/>
      <c r="LK4" s="2" t="s">
        <v>411</v>
      </c>
      <c r="LL4" s="1">
        <v>0</v>
      </c>
      <c r="LM4" s="1">
        <f>+LL4</f>
        <v>0</v>
      </c>
      <c r="LN4" s="1">
        <f t="shared" ref="LN4:LT4" si="17">+LM4</f>
        <v>0</v>
      </c>
      <c r="LO4" s="1">
        <f t="shared" si="17"/>
        <v>0</v>
      </c>
      <c r="LP4" s="1">
        <f t="shared" si="17"/>
        <v>0</v>
      </c>
      <c r="LQ4" s="1">
        <f t="shared" si="17"/>
        <v>0</v>
      </c>
      <c r="LR4" s="1">
        <f t="shared" si="17"/>
        <v>0</v>
      </c>
      <c r="LS4" s="1">
        <f t="shared" si="17"/>
        <v>0</v>
      </c>
      <c r="LT4" s="1">
        <f t="shared" si="17"/>
        <v>0</v>
      </c>
      <c r="LU4" s="1"/>
      <c r="LV4" s="1"/>
      <c r="LW4" s="1"/>
      <c r="LX4" s="36"/>
      <c r="LY4" s="1"/>
      <c r="MA4" s="2" t="s">
        <v>412</v>
      </c>
      <c r="MB4" s="1">
        <v>0</v>
      </c>
      <c r="MC4" s="1">
        <f>+MB4</f>
        <v>0</v>
      </c>
      <c r="MD4" s="1">
        <f t="shared" ref="MD4:MJ4" si="18">+MC4</f>
        <v>0</v>
      </c>
      <c r="ME4" s="1">
        <f t="shared" si="18"/>
        <v>0</v>
      </c>
      <c r="MF4" s="1">
        <f t="shared" si="18"/>
        <v>0</v>
      </c>
      <c r="MG4" s="1">
        <f t="shared" si="18"/>
        <v>0</v>
      </c>
      <c r="MH4" s="1">
        <f t="shared" si="18"/>
        <v>0</v>
      </c>
      <c r="MI4" s="1">
        <f t="shared" si="18"/>
        <v>0</v>
      </c>
      <c r="MJ4" s="1">
        <f t="shared" si="18"/>
        <v>0</v>
      </c>
      <c r="MK4" s="1"/>
      <c r="ML4" s="1"/>
      <c r="MM4" s="1"/>
      <c r="MN4" s="36"/>
      <c r="MO4" s="1"/>
      <c r="MQ4" s="2" t="s">
        <v>413</v>
      </c>
      <c r="MR4" s="1">
        <v>0</v>
      </c>
      <c r="MS4" s="1">
        <f>+MR4</f>
        <v>0</v>
      </c>
      <c r="MT4" s="1">
        <f t="shared" ref="MT4:MZ4" si="19">+MS4</f>
        <v>0</v>
      </c>
      <c r="MU4" s="1">
        <f t="shared" si="19"/>
        <v>0</v>
      </c>
      <c r="MV4" s="1">
        <f t="shared" si="19"/>
        <v>0</v>
      </c>
      <c r="MW4" s="1">
        <f t="shared" si="19"/>
        <v>0</v>
      </c>
      <c r="MX4" s="1">
        <f t="shared" si="19"/>
        <v>0</v>
      </c>
      <c r="MY4" s="1">
        <f t="shared" si="19"/>
        <v>0</v>
      </c>
      <c r="MZ4" s="1">
        <f t="shared" si="19"/>
        <v>0</v>
      </c>
      <c r="NA4" s="1"/>
      <c r="NB4" s="1"/>
      <c r="NC4" s="1"/>
      <c r="ND4" s="36"/>
      <c r="NE4" s="1"/>
      <c r="NG4" s="2" t="s">
        <v>414</v>
      </c>
      <c r="NH4" s="1">
        <v>0</v>
      </c>
      <c r="NI4" s="1">
        <f>+NH4</f>
        <v>0</v>
      </c>
      <c r="NJ4" s="1">
        <f t="shared" ref="NJ4:NP4" si="20">+NI4</f>
        <v>0</v>
      </c>
      <c r="NK4" s="1">
        <f t="shared" si="20"/>
        <v>0</v>
      </c>
      <c r="NL4" s="1">
        <f t="shared" si="20"/>
        <v>0</v>
      </c>
      <c r="NM4" s="1">
        <f t="shared" si="20"/>
        <v>0</v>
      </c>
      <c r="NN4" s="1">
        <f t="shared" si="20"/>
        <v>0</v>
      </c>
      <c r="NO4" s="1">
        <f t="shared" si="20"/>
        <v>0</v>
      </c>
      <c r="NP4" s="1">
        <f t="shared" si="20"/>
        <v>0</v>
      </c>
      <c r="NQ4" s="1"/>
      <c r="NR4" s="1"/>
      <c r="NS4" s="1"/>
      <c r="NT4" s="36"/>
      <c r="NU4" s="1"/>
      <c r="NW4" s="2" t="s">
        <v>415</v>
      </c>
      <c r="NX4" s="1">
        <v>0</v>
      </c>
      <c r="NY4" s="1">
        <f>+NX4</f>
        <v>0</v>
      </c>
      <c r="NZ4" s="1">
        <f t="shared" ref="NZ4:OF4" si="21">+NY4</f>
        <v>0</v>
      </c>
      <c r="OA4" s="1">
        <f t="shared" si="21"/>
        <v>0</v>
      </c>
      <c r="OB4" s="1">
        <f t="shared" si="21"/>
        <v>0</v>
      </c>
      <c r="OC4" s="1">
        <f t="shared" si="21"/>
        <v>0</v>
      </c>
      <c r="OD4" s="1">
        <f t="shared" si="21"/>
        <v>0</v>
      </c>
      <c r="OE4" s="1">
        <f t="shared" si="21"/>
        <v>0</v>
      </c>
      <c r="OF4" s="1">
        <f t="shared" si="21"/>
        <v>0</v>
      </c>
      <c r="OG4" s="1"/>
      <c r="OH4" s="1"/>
      <c r="OJ4" s="36"/>
      <c r="OL4" s="1"/>
      <c r="OM4" s="1"/>
      <c r="ON4" s="1"/>
      <c r="OO4" s="1"/>
      <c r="OP4" s="1"/>
      <c r="OQ4" s="1"/>
      <c r="OR4" s="1"/>
      <c r="OS4" s="1"/>
      <c r="OT4" s="1"/>
      <c r="OU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K4" s="2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L4" s="2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Z4" s="2"/>
      <c r="RA4" s="1"/>
      <c r="RB4" s="1"/>
      <c r="RC4" s="1"/>
      <c r="RD4" s="1"/>
      <c r="RE4" s="1"/>
      <c r="RF4" s="1"/>
      <c r="RG4" s="1"/>
      <c r="RH4" s="1"/>
      <c r="RI4" s="1"/>
      <c r="RN4" s="2"/>
      <c r="RO4" s="1"/>
      <c r="RP4" s="1"/>
      <c r="RQ4" s="1"/>
      <c r="RR4" s="1"/>
      <c r="RS4" s="1"/>
      <c r="RT4" s="1"/>
      <c r="RU4" s="1"/>
      <c r="RV4" s="1"/>
      <c r="RW4" s="1"/>
      <c r="SB4" s="2"/>
      <c r="SC4" s="1"/>
      <c r="SD4" s="1"/>
      <c r="SE4" s="1"/>
      <c r="SF4" s="1"/>
      <c r="SG4" s="1"/>
      <c r="SH4" s="1"/>
      <c r="SI4" s="1"/>
      <c r="SJ4" s="1"/>
      <c r="SK4" s="1"/>
    </row>
    <row r="5" spans="1:505" x14ac:dyDescent="0.2">
      <c r="A5" s="3" t="s">
        <v>416</v>
      </c>
      <c r="B5" s="3"/>
      <c r="O5" s="3" t="s">
        <v>1637</v>
      </c>
      <c r="P5" s="6">
        <v>0</v>
      </c>
      <c r="Q5" s="6">
        <f t="shared" ref="Q5:X5" si="22">P4</f>
        <v>0</v>
      </c>
      <c r="R5" s="6">
        <f t="shared" si="22"/>
        <v>0</v>
      </c>
      <c r="S5" s="6">
        <f t="shared" si="22"/>
        <v>0</v>
      </c>
      <c r="T5" s="6">
        <f t="shared" si="22"/>
        <v>0</v>
      </c>
      <c r="U5" s="6">
        <f t="shared" si="22"/>
        <v>0</v>
      </c>
      <c r="V5" s="6">
        <f t="shared" si="22"/>
        <v>0</v>
      </c>
      <c r="W5" s="6">
        <f t="shared" si="22"/>
        <v>0</v>
      </c>
      <c r="X5" s="6">
        <f t="shared" si="22"/>
        <v>0</v>
      </c>
      <c r="Y5" s="1"/>
      <c r="Z5" s="1"/>
      <c r="AG5" s="3" t="s">
        <v>1640</v>
      </c>
      <c r="AH5" s="6">
        <v>0</v>
      </c>
      <c r="AI5" s="6">
        <f t="shared" ref="AI5:AP5" si="23">AH4</f>
        <v>0</v>
      </c>
      <c r="AJ5" s="6">
        <f t="shared" si="23"/>
        <v>0</v>
      </c>
      <c r="AK5" s="6">
        <f t="shared" si="23"/>
        <v>0</v>
      </c>
      <c r="AL5" s="6">
        <f t="shared" si="23"/>
        <v>0</v>
      </c>
      <c r="AM5" s="6">
        <f t="shared" si="23"/>
        <v>0</v>
      </c>
      <c r="AN5" s="6">
        <f t="shared" si="23"/>
        <v>0</v>
      </c>
      <c r="AO5" s="6">
        <f t="shared" si="23"/>
        <v>0</v>
      </c>
      <c r="AP5" s="6">
        <f t="shared" si="23"/>
        <v>0</v>
      </c>
      <c r="AQ5" s="1"/>
      <c r="AR5" s="1"/>
      <c r="AY5" s="3" t="s">
        <v>417</v>
      </c>
      <c r="AZ5" s="1">
        <f>AZ4</f>
        <v>0</v>
      </c>
      <c r="BA5" s="1">
        <f>IF(AZ5=1,1,BA4)</f>
        <v>0</v>
      </c>
      <c r="BB5" s="1">
        <f t="shared" ref="BB5:BH5" si="24">IF(BA5=1,1,BB4)</f>
        <v>0</v>
      </c>
      <c r="BC5" s="1">
        <f t="shared" si="24"/>
        <v>0</v>
      </c>
      <c r="BD5" s="1">
        <f t="shared" si="24"/>
        <v>0</v>
      </c>
      <c r="BE5" s="1">
        <f t="shared" si="24"/>
        <v>0</v>
      </c>
      <c r="BF5" s="1">
        <f t="shared" si="24"/>
        <v>0</v>
      </c>
      <c r="BG5" s="1">
        <f t="shared" si="24"/>
        <v>0</v>
      </c>
      <c r="BH5" s="1">
        <f t="shared" si="24"/>
        <v>0</v>
      </c>
      <c r="BI5" s="1"/>
      <c r="BJ5" s="1"/>
      <c r="BL5" s="36"/>
      <c r="BO5" s="3" t="s">
        <v>418</v>
      </c>
      <c r="BP5" s="1">
        <f>BP4</f>
        <v>0</v>
      </c>
      <c r="BQ5" s="1">
        <f>IF(BP5=1,1,BQ4)</f>
        <v>0</v>
      </c>
      <c r="BR5" s="1">
        <f t="shared" ref="BR5" si="25">IF(BQ5=1,1,BR4)</f>
        <v>0</v>
      </c>
      <c r="BS5" s="1">
        <f t="shared" ref="BS5" si="26">IF(BR5=1,1,BS4)</f>
        <v>0</v>
      </c>
      <c r="BT5" s="1">
        <f t="shared" ref="BT5" si="27">IF(BS5=1,1,BT4)</f>
        <v>0</v>
      </c>
      <c r="BU5" s="1">
        <f t="shared" ref="BU5" si="28">IF(BT5=1,1,BU4)</f>
        <v>0</v>
      </c>
      <c r="BV5" s="1">
        <f t="shared" ref="BV5" si="29">IF(BU5=1,1,BV4)</f>
        <v>0</v>
      </c>
      <c r="BW5" s="1">
        <f t="shared" ref="BW5" si="30">IF(BV5=1,1,BW4)</f>
        <v>0</v>
      </c>
      <c r="BX5" s="1">
        <f t="shared" ref="BX5" si="31">IF(BW5=1,1,BX4)</f>
        <v>0</v>
      </c>
      <c r="BY5" s="1"/>
      <c r="BZ5" s="1"/>
      <c r="CB5" s="36"/>
      <c r="CE5" s="3" t="s">
        <v>419</v>
      </c>
      <c r="CF5" s="1">
        <f>CF4</f>
        <v>0</v>
      </c>
      <c r="CG5" s="1">
        <f>IF(CF5=1,1,CG4)</f>
        <v>0</v>
      </c>
      <c r="CH5" s="1">
        <f t="shared" ref="CH5" si="32">IF(CG5=1,1,CH4)</f>
        <v>0</v>
      </c>
      <c r="CI5" s="1">
        <f t="shared" ref="CI5" si="33">IF(CH5=1,1,CI4)</f>
        <v>0</v>
      </c>
      <c r="CJ5" s="1">
        <f t="shared" ref="CJ5" si="34">IF(CI5=1,1,CJ4)</f>
        <v>0</v>
      </c>
      <c r="CK5" s="1">
        <f t="shared" ref="CK5" si="35">IF(CJ5=1,1,CK4)</f>
        <v>0</v>
      </c>
      <c r="CL5" s="1">
        <f t="shared" ref="CL5" si="36">IF(CK5=1,1,CL4)</f>
        <v>0</v>
      </c>
      <c r="CM5" s="1">
        <f t="shared" ref="CM5" si="37">IF(CL5=1,1,CM4)</f>
        <v>0</v>
      </c>
      <c r="CN5" s="1">
        <f t="shared" ref="CN5" si="38">IF(CM5=1,1,CN4)</f>
        <v>0</v>
      </c>
      <c r="CO5" s="1"/>
      <c r="CP5" s="1"/>
      <c r="CR5" s="36"/>
      <c r="CU5" s="3" t="s">
        <v>420</v>
      </c>
      <c r="CV5" s="1">
        <f>CV4</f>
        <v>0</v>
      </c>
      <c r="CW5" s="1">
        <f>IF(CV5=1,1,CW4)</f>
        <v>0</v>
      </c>
      <c r="CX5" s="1">
        <f t="shared" ref="CX5" si="39">IF(CW5=1,1,CX4)</f>
        <v>0</v>
      </c>
      <c r="CY5" s="1">
        <f t="shared" ref="CY5" si="40">IF(CX5=1,1,CY4)</f>
        <v>0</v>
      </c>
      <c r="CZ5" s="1">
        <f t="shared" ref="CZ5" si="41">IF(CY5=1,1,CZ4)</f>
        <v>0</v>
      </c>
      <c r="DA5" s="1">
        <f t="shared" ref="DA5" si="42">IF(CZ5=1,1,DA4)</f>
        <v>0</v>
      </c>
      <c r="DB5" s="1">
        <f t="shared" ref="DB5" si="43">IF(DA5=1,1,DB4)</f>
        <v>0</v>
      </c>
      <c r="DC5" s="1">
        <f t="shared" ref="DC5" si="44">IF(DB5=1,1,DC4)</f>
        <v>0</v>
      </c>
      <c r="DD5" s="1">
        <f t="shared" ref="DD5" si="45">IF(DC5=1,1,DD4)</f>
        <v>0</v>
      </c>
      <c r="DE5" s="1"/>
      <c r="DF5" s="1"/>
      <c r="DH5" s="36"/>
      <c r="DK5" s="3" t="s">
        <v>421</v>
      </c>
      <c r="DL5" s="1">
        <f>DL4</f>
        <v>0</v>
      </c>
      <c r="DM5" s="1">
        <f>IF(DL5=1,1,DM4)</f>
        <v>0</v>
      </c>
      <c r="DN5" s="1">
        <f t="shared" ref="DN5" si="46">IF(DM5=1,1,DN4)</f>
        <v>0</v>
      </c>
      <c r="DO5" s="1">
        <f t="shared" ref="DO5" si="47">IF(DN5=1,1,DO4)</f>
        <v>0</v>
      </c>
      <c r="DP5" s="1">
        <f t="shared" ref="DP5" si="48">IF(DO5=1,1,DP4)</f>
        <v>0</v>
      </c>
      <c r="DQ5" s="1">
        <f t="shared" ref="DQ5" si="49">IF(DP5=1,1,DQ4)</f>
        <v>0</v>
      </c>
      <c r="DR5" s="1">
        <f t="shared" ref="DR5" si="50">IF(DQ5=1,1,DR4)</f>
        <v>0</v>
      </c>
      <c r="DS5" s="1">
        <f t="shared" ref="DS5" si="51">IF(DR5=1,1,DS4)</f>
        <v>0</v>
      </c>
      <c r="DT5" s="1">
        <f t="shared" ref="DT5" si="52">IF(DS5=1,1,DT4)</f>
        <v>0</v>
      </c>
      <c r="DU5" s="1"/>
      <c r="DV5" s="1"/>
      <c r="DX5" s="36"/>
      <c r="EA5" s="3" t="s">
        <v>422</v>
      </c>
      <c r="EB5" s="1">
        <f>EB4</f>
        <v>0</v>
      </c>
      <c r="EC5" s="1">
        <f>IF(EB5=1,1,EC4)</f>
        <v>0</v>
      </c>
      <c r="ED5" s="1">
        <f t="shared" ref="ED5" si="53">IF(EC5=1,1,ED4)</f>
        <v>0</v>
      </c>
      <c r="EE5" s="1">
        <f t="shared" ref="EE5" si="54">IF(ED5=1,1,EE4)</f>
        <v>0</v>
      </c>
      <c r="EF5" s="1">
        <f t="shared" ref="EF5" si="55">IF(EE5=1,1,EF4)</f>
        <v>0</v>
      </c>
      <c r="EG5" s="1">
        <f t="shared" ref="EG5" si="56">IF(EF5=1,1,EG4)</f>
        <v>0</v>
      </c>
      <c r="EH5" s="1">
        <f t="shared" ref="EH5" si="57">IF(EG5=1,1,EH4)</f>
        <v>0</v>
      </c>
      <c r="EI5" s="1">
        <f t="shared" ref="EI5" si="58">IF(EH5=1,1,EI4)</f>
        <v>0</v>
      </c>
      <c r="EJ5" s="1">
        <f t="shared" ref="EJ5" si="59">IF(EI5=1,1,EJ4)</f>
        <v>0</v>
      </c>
      <c r="EK5" s="1"/>
      <c r="EL5" s="1"/>
      <c r="EN5" s="36"/>
      <c r="EQ5" s="3" t="s">
        <v>423</v>
      </c>
      <c r="ER5" s="1">
        <f>ER4</f>
        <v>0</v>
      </c>
      <c r="ES5" s="1">
        <f>IF(ER5=1,1,ES4)</f>
        <v>0</v>
      </c>
      <c r="ET5" s="1">
        <f t="shared" ref="ET5" si="60">IF(ES5=1,1,ET4)</f>
        <v>0</v>
      </c>
      <c r="EU5" s="1">
        <f t="shared" ref="EU5" si="61">IF(ET5=1,1,EU4)</f>
        <v>0</v>
      </c>
      <c r="EV5" s="1">
        <f t="shared" ref="EV5" si="62">IF(EU5=1,1,EV4)</f>
        <v>0</v>
      </c>
      <c r="EW5" s="1">
        <f t="shared" ref="EW5" si="63">IF(EV5=1,1,EW4)</f>
        <v>0</v>
      </c>
      <c r="EX5" s="1">
        <f t="shared" ref="EX5" si="64">IF(EW5=1,1,EX4)</f>
        <v>0</v>
      </c>
      <c r="EY5" s="1">
        <f t="shared" ref="EY5" si="65">IF(EX5=1,1,EY4)</f>
        <v>0</v>
      </c>
      <c r="EZ5" s="1">
        <f t="shared" ref="EZ5" si="66">IF(EY5=1,1,EZ4)</f>
        <v>0</v>
      </c>
      <c r="FA5" s="1"/>
      <c r="FB5" s="1"/>
      <c r="FD5" s="36"/>
      <c r="FG5" s="3" t="s">
        <v>424</v>
      </c>
      <c r="FH5" s="1">
        <f>FH4</f>
        <v>0</v>
      </c>
      <c r="FI5" s="1">
        <f>IF(FH5=1,1,FI4)</f>
        <v>0</v>
      </c>
      <c r="FJ5" s="1">
        <f t="shared" ref="FJ5" si="67">IF(FI5=1,1,FJ4)</f>
        <v>0</v>
      </c>
      <c r="FK5" s="1">
        <f t="shared" ref="FK5" si="68">IF(FJ5=1,1,FK4)</f>
        <v>0</v>
      </c>
      <c r="FL5" s="1">
        <f t="shared" ref="FL5" si="69">IF(FK5=1,1,FL4)</f>
        <v>0</v>
      </c>
      <c r="FM5" s="1">
        <f t="shared" ref="FM5" si="70">IF(FL5=1,1,FM4)</f>
        <v>0</v>
      </c>
      <c r="FN5" s="1">
        <f t="shared" ref="FN5" si="71">IF(FM5=1,1,FN4)</f>
        <v>0</v>
      </c>
      <c r="FO5" s="1">
        <f t="shared" ref="FO5" si="72">IF(FN5=1,1,FO4)</f>
        <v>0</v>
      </c>
      <c r="FP5" s="1">
        <f t="shared" ref="FP5" si="73">IF(FO5=1,1,FP4)</f>
        <v>0</v>
      </c>
      <c r="FQ5" s="1"/>
      <c r="FR5" s="1"/>
      <c r="FT5" s="36"/>
      <c r="FW5" s="3" t="s">
        <v>425</v>
      </c>
      <c r="FX5" s="1">
        <f>FX4</f>
        <v>0</v>
      </c>
      <c r="FY5" s="1">
        <f>IF(FX5=1,1,FY4)</f>
        <v>0</v>
      </c>
      <c r="FZ5" s="1">
        <f t="shared" ref="FZ5" si="74">IF(FY5=1,1,FZ4)</f>
        <v>0</v>
      </c>
      <c r="GA5" s="1">
        <f t="shared" ref="GA5" si="75">IF(FZ5=1,1,GA4)</f>
        <v>0</v>
      </c>
      <c r="GB5" s="1">
        <f t="shared" ref="GB5" si="76">IF(GA5=1,1,GB4)</f>
        <v>0</v>
      </c>
      <c r="GC5" s="1">
        <f t="shared" ref="GC5" si="77">IF(GB5=1,1,GC4)</f>
        <v>0</v>
      </c>
      <c r="GD5" s="1">
        <f t="shared" ref="GD5" si="78">IF(GC5=1,1,GD4)</f>
        <v>0</v>
      </c>
      <c r="GE5" s="1">
        <f t="shared" ref="GE5" si="79">IF(GD5=1,1,GE4)</f>
        <v>0</v>
      </c>
      <c r="GF5" s="1">
        <f t="shared" ref="GF5" si="80">IF(GE5=1,1,GF4)</f>
        <v>0</v>
      </c>
      <c r="GG5" s="1"/>
      <c r="GH5" s="1"/>
      <c r="GJ5" s="36"/>
      <c r="GM5" s="3" t="s">
        <v>426</v>
      </c>
      <c r="GN5" s="1">
        <f>GN4</f>
        <v>0</v>
      </c>
      <c r="GO5" s="1">
        <f>IF(GN5=1,1,GO4)</f>
        <v>0</v>
      </c>
      <c r="GP5" s="1">
        <f t="shared" ref="GP5" si="81">IF(GO5=1,1,GP4)</f>
        <v>0</v>
      </c>
      <c r="GQ5" s="1">
        <f t="shared" ref="GQ5" si="82">IF(GP5=1,1,GQ4)</f>
        <v>0</v>
      </c>
      <c r="GR5" s="1">
        <f t="shared" ref="GR5" si="83">IF(GQ5=1,1,GR4)</f>
        <v>0</v>
      </c>
      <c r="GS5" s="1">
        <f t="shared" ref="GS5" si="84">IF(GR5=1,1,GS4)</f>
        <v>0</v>
      </c>
      <c r="GT5" s="1">
        <f t="shared" ref="GT5" si="85">IF(GS5=1,1,GT4)</f>
        <v>0</v>
      </c>
      <c r="GU5" s="1">
        <f t="shared" ref="GU5" si="86">IF(GT5=1,1,GU4)</f>
        <v>0</v>
      </c>
      <c r="GV5" s="1">
        <f t="shared" ref="GV5" si="87">IF(GU5=1,1,GV4)</f>
        <v>0</v>
      </c>
      <c r="GW5" s="1"/>
      <c r="GX5" s="1"/>
      <c r="GY5" s="1"/>
      <c r="GZ5" s="36"/>
      <c r="HA5" s="1"/>
      <c r="HB5" s="1"/>
      <c r="HC5" s="3" t="s">
        <v>427</v>
      </c>
      <c r="HD5" s="1">
        <f>HD4</f>
        <v>0</v>
      </c>
      <c r="HE5" s="1">
        <f>IF(HD5=1,1,HE4)</f>
        <v>0</v>
      </c>
      <c r="HF5" s="1">
        <f t="shared" ref="HF5" si="88">IF(HE5=1,1,HF4)</f>
        <v>0</v>
      </c>
      <c r="HG5" s="1">
        <f t="shared" ref="HG5" si="89">IF(HF5=1,1,HG4)</f>
        <v>0</v>
      </c>
      <c r="HH5" s="1">
        <f t="shared" ref="HH5" si="90">IF(HG5=1,1,HH4)</f>
        <v>0</v>
      </c>
      <c r="HI5" s="1">
        <f t="shared" ref="HI5" si="91">IF(HH5=1,1,HI4)</f>
        <v>0</v>
      </c>
      <c r="HJ5" s="1">
        <f t="shared" ref="HJ5" si="92">IF(HI5=1,1,HJ4)</f>
        <v>0</v>
      </c>
      <c r="HK5" s="1">
        <f t="shared" ref="HK5" si="93">IF(HJ5=1,1,HK4)</f>
        <v>0</v>
      </c>
      <c r="HL5" s="1">
        <f t="shared" ref="HL5" si="94">IF(HK5=1,1,HL4)</f>
        <v>0</v>
      </c>
      <c r="HM5" s="1"/>
      <c r="HN5" s="1"/>
      <c r="HO5" s="1"/>
      <c r="HP5" s="36"/>
      <c r="HQ5" s="1"/>
      <c r="HR5" s="1"/>
      <c r="HS5" s="3" t="s">
        <v>428</v>
      </c>
      <c r="HT5" s="1">
        <f>HT4</f>
        <v>0</v>
      </c>
      <c r="HU5" s="1">
        <f>IF(HT5=1,1,HU4)</f>
        <v>0</v>
      </c>
      <c r="HV5" s="1">
        <f t="shared" ref="HV5" si="95">IF(HU5=1,1,HV4)</f>
        <v>0</v>
      </c>
      <c r="HW5" s="1">
        <f t="shared" ref="HW5" si="96">IF(HV5=1,1,HW4)</f>
        <v>0</v>
      </c>
      <c r="HX5" s="1">
        <f t="shared" ref="HX5" si="97">IF(HW5=1,1,HX4)</f>
        <v>0</v>
      </c>
      <c r="HY5" s="1">
        <f t="shared" ref="HY5" si="98">IF(HX5=1,1,HY4)</f>
        <v>0</v>
      </c>
      <c r="HZ5" s="1">
        <f t="shared" ref="HZ5" si="99">IF(HY5=1,1,HZ4)</f>
        <v>0</v>
      </c>
      <c r="IA5" s="1">
        <f t="shared" ref="IA5" si="100">IF(HZ5=1,1,IA4)</f>
        <v>0</v>
      </c>
      <c r="IB5" s="1">
        <f t="shared" ref="IB5" si="101">IF(IA5=1,1,IB4)</f>
        <v>0</v>
      </c>
      <c r="IC5" s="1"/>
      <c r="ID5" s="1"/>
      <c r="IF5" s="36"/>
      <c r="II5" s="3" t="s">
        <v>429</v>
      </c>
      <c r="IJ5" s="1">
        <f>IJ4</f>
        <v>0</v>
      </c>
      <c r="IK5" s="1">
        <f>IF(IJ5=1,1,IK4)</f>
        <v>0</v>
      </c>
      <c r="IL5" s="1">
        <f t="shared" ref="IL5" si="102">IF(IK5=1,1,IL4)</f>
        <v>0</v>
      </c>
      <c r="IM5" s="1">
        <f t="shared" ref="IM5" si="103">IF(IL5=1,1,IM4)</f>
        <v>0</v>
      </c>
      <c r="IN5" s="1">
        <f t="shared" ref="IN5" si="104">IF(IM5=1,1,IN4)</f>
        <v>0</v>
      </c>
      <c r="IO5" s="1">
        <f t="shared" ref="IO5" si="105">IF(IN5=1,1,IO4)</f>
        <v>0</v>
      </c>
      <c r="IP5" s="1">
        <f t="shared" ref="IP5" si="106">IF(IO5=1,1,IP4)</f>
        <v>0</v>
      </c>
      <c r="IQ5" s="1">
        <f t="shared" ref="IQ5" si="107">IF(IP5=1,1,IQ4)</f>
        <v>0</v>
      </c>
      <c r="IR5" s="1">
        <f t="shared" ref="IR5" si="108">IF(IQ5=1,1,IR4)</f>
        <v>0</v>
      </c>
      <c r="IS5" s="1"/>
      <c r="IT5" s="1"/>
      <c r="IU5" s="1"/>
      <c r="IV5" s="36"/>
      <c r="IW5" s="1"/>
      <c r="IY5" s="3" t="s">
        <v>430</v>
      </c>
      <c r="IZ5" s="1">
        <f>IZ4</f>
        <v>0</v>
      </c>
      <c r="JA5" s="1">
        <f>IF(IZ5=1,1,JA4)</f>
        <v>0</v>
      </c>
      <c r="JB5" s="1">
        <f t="shared" ref="JB5" si="109">IF(JA5=1,1,JB4)</f>
        <v>0</v>
      </c>
      <c r="JC5" s="1">
        <f t="shared" ref="JC5" si="110">IF(JB5=1,1,JC4)</f>
        <v>0</v>
      </c>
      <c r="JD5" s="1">
        <f t="shared" ref="JD5" si="111">IF(JC5=1,1,JD4)</f>
        <v>0</v>
      </c>
      <c r="JE5" s="1">
        <f t="shared" ref="JE5" si="112">IF(JD5=1,1,JE4)</f>
        <v>0</v>
      </c>
      <c r="JF5" s="1">
        <f t="shared" ref="JF5" si="113">IF(JE5=1,1,JF4)</f>
        <v>0</v>
      </c>
      <c r="JG5" s="1">
        <f t="shared" ref="JG5" si="114">IF(JF5=1,1,JG4)</f>
        <v>0</v>
      </c>
      <c r="JH5" s="1">
        <f t="shared" ref="JH5" si="115">IF(JG5=1,1,JH4)</f>
        <v>0</v>
      </c>
      <c r="JI5" s="1"/>
      <c r="JJ5" s="1"/>
      <c r="JK5" s="1"/>
      <c r="JL5" s="36"/>
      <c r="JM5" s="1"/>
      <c r="JO5" s="3" t="s">
        <v>431</v>
      </c>
      <c r="JP5" s="1">
        <f>JP4</f>
        <v>0</v>
      </c>
      <c r="JQ5" s="1">
        <f>IF(JP5=1,1,JQ4)</f>
        <v>0</v>
      </c>
      <c r="JR5" s="1">
        <f t="shared" ref="JR5" si="116">IF(JQ5=1,1,JR4)</f>
        <v>0</v>
      </c>
      <c r="JS5" s="1">
        <f t="shared" ref="JS5" si="117">IF(JR5=1,1,JS4)</f>
        <v>0</v>
      </c>
      <c r="JT5" s="1">
        <f t="shared" ref="JT5" si="118">IF(JS5=1,1,JT4)</f>
        <v>0</v>
      </c>
      <c r="JU5" s="1">
        <f t="shared" ref="JU5" si="119">IF(JT5=1,1,JU4)</f>
        <v>0</v>
      </c>
      <c r="JV5" s="1">
        <f t="shared" ref="JV5" si="120">IF(JU5=1,1,JV4)</f>
        <v>0</v>
      </c>
      <c r="JW5" s="1">
        <f t="shared" ref="JW5" si="121">IF(JV5=1,1,JW4)</f>
        <v>0</v>
      </c>
      <c r="JX5" s="1">
        <f t="shared" ref="JX5" si="122">IF(JW5=1,1,JX4)</f>
        <v>0</v>
      </c>
      <c r="JY5" s="1"/>
      <c r="JZ5" s="1"/>
      <c r="KA5" s="1"/>
      <c r="KB5" s="36"/>
      <c r="KC5" s="1"/>
      <c r="KE5" s="3" t="s">
        <v>1596</v>
      </c>
      <c r="KF5" s="1">
        <f>KF4</f>
        <v>0</v>
      </c>
      <c r="KG5" s="1">
        <f>IF(KF5=1,1,KG4)</f>
        <v>0</v>
      </c>
      <c r="KH5" s="1">
        <f t="shared" ref="KH5" si="123">IF(KG5=1,1,KH4)</f>
        <v>0</v>
      </c>
      <c r="KI5" s="1">
        <f t="shared" ref="KI5" si="124">IF(KH5=1,1,KI4)</f>
        <v>0</v>
      </c>
      <c r="KJ5" s="1">
        <f t="shared" ref="KJ5" si="125">IF(KI5=1,1,KJ4)</f>
        <v>0</v>
      </c>
      <c r="KK5" s="1">
        <f t="shared" ref="KK5" si="126">IF(KJ5=1,1,KK4)</f>
        <v>0</v>
      </c>
      <c r="KL5" s="1">
        <f t="shared" ref="KL5" si="127">IF(KK5=1,1,KL4)</f>
        <v>0</v>
      </c>
      <c r="KM5" s="1">
        <f t="shared" ref="KM5" si="128">IF(KL5=1,1,KM4)</f>
        <v>0</v>
      </c>
      <c r="KN5" s="1">
        <f t="shared" ref="KN5" si="129">IF(KM5=1,1,KN4)</f>
        <v>0</v>
      </c>
      <c r="KO5" s="1"/>
      <c r="KP5" s="1"/>
      <c r="KQ5" s="1"/>
      <c r="KR5" s="36"/>
      <c r="KS5" s="1"/>
      <c r="KU5" s="3" t="s">
        <v>1597</v>
      </c>
      <c r="KV5" s="1">
        <f>KV4</f>
        <v>0</v>
      </c>
      <c r="KW5" s="1">
        <f>IF(KV5=1,1,KW4)</f>
        <v>0</v>
      </c>
      <c r="KX5" s="1">
        <f t="shared" ref="KX5" si="130">IF(KW5=1,1,KX4)</f>
        <v>0</v>
      </c>
      <c r="KY5" s="1">
        <f t="shared" ref="KY5" si="131">IF(KX5=1,1,KY4)</f>
        <v>0</v>
      </c>
      <c r="KZ5" s="1">
        <f t="shared" ref="KZ5" si="132">IF(KY5=1,1,KZ4)</f>
        <v>0</v>
      </c>
      <c r="LA5" s="1">
        <f t="shared" ref="LA5" si="133">IF(KZ5=1,1,LA4)</f>
        <v>0</v>
      </c>
      <c r="LB5" s="1">
        <f t="shared" ref="LB5" si="134">IF(LA5=1,1,LB4)</f>
        <v>0</v>
      </c>
      <c r="LC5" s="1">
        <f t="shared" ref="LC5" si="135">IF(LB5=1,1,LC4)</f>
        <v>0</v>
      </c>
      <c r="LD5" s="1">
        <f t="shared" ref="LD5" si="136">IF(LC5=1,1,LD4)</f>
        <v>0</v>
      </c>
      <c r="LE5" s="1"/>
      <c r="LF5" s="1"/>
      <c r="LG5" s="1"/>
      <c r="LH5" s="36"/>
      <c r="LI5" s="1"/>
      <c r="LK5" s="3" t="s">
        <v>1598</v>
      </c>
      <c r="LL5" s="1">
        <f>LL4</f>
        <v>0</v>
      </c>
      <c r="LM5" s="1">
        <f>IF(LL5=1,1,LM4)</f>
        <v>0</v>
      </c>
      <c r="LN5" s="1">
        <f t="shared" ref="LN5" si="137">IF(LM5=1,1,LN4)</f>
        <v>0</v>
      </c>
      <c r="LO5" s="1">
        <f t="shared" ref="LO5" si="138">IF(LN5=1,1,LO4)</f>
        <v>0</v>
      </c>
      <c r="LP5" s="1">
        <f t="shared" ref="LP5" si="139">IF(LO5=1,1,LP4)</f>
        <v>0</v>
      </c>
      <c r="LQ5" s="1">
        <f t="shared" ref="LQ5" si="140">IF(LP5=1,1,LQ4)</f>
        <v>0</v>
      </c>
      <c r="LR5" s="1">
        <f t="shared" ref="LR5" si="141">IF(LQ5=1,1,LR4)</f>
        <v>0</v>
      </c>
      <c r="LS5" s="1">
        <f t="shared" ref="LS5" si="142">IF(LR5=1,1,LS4)</f>
        <v>0</v>
      </c>
      <c r="LT5" s="1">
        <f t="shared" ref="LT5" si="143">IF(LS5=1,1,LT4)</f>
        <v>0</v>
      </c>
      <c r="LU5" s="1"/>
      <c r="LV5" s="1"/>
      <c r="LW5" s="1"/>
      <c r="LX5" s="36"/>
      <c r="LY5" s="1"/>
      <c r="MA5" s="3" t="s">
        <v>1599</v>
      </c>
      <c r="MB5" s="1">
        <f>MB4</f>
        <v>0</v>
      </c>
      <c r="MC5" s="1">
        <f>IF(MB5=1,1,MC4)</f>
        <v>0</v>
      </c>
      <c r="MD5" s="1">
        <f t="shared" ref="MD5" si="144">IF(MC5=1,1,MD4)</f>
        <v>0</v>
      </c>
      <c r="ME5" s="1">
        <f t="shared" ref="ME5" si="145">IF(MD5=1,1,ME4)</f>
        <v>0</v>
      </c>
      <c r="MF5" s="1">
        <f t="shared" ref="MF5" si="146">IF(ME5=1,1,MF4)</f>
        <v>0</v>
      </c>
      <c r="MG5" s="1">
        <f t="shared" ref="MG5" si="147">IF(MF5=1,1,MG4)</f>
        <v>0</v>
      </c>
      <c r="MH5" s="1">
        <f t="shared" ref="MH5" si="148">IF(MG5=1,1,MH4)</f>
        <v>0</v>
      </c>
      <c r="MI5" s="1">
        <f t="shared" ref="MI5" si="149">IF(MH5=1,1,MI4)</f>
        <v>0</v>
      </c>
      <c r="MJ5" s="1">
        <f t="shared" ref="MJ5" si="150">IF(MI5=1,1,MJ4)</f>
        <v>0</v>
      </c>
      <c r="MK5" s="1"/>
      <c r="ML5" s="1"/>
      <c r="MM5" s="1"/>
      <c r="MN5" s="36"/>
      <c r="MO5" s="1"/>
      <c r="MQ5" s="3" t="s">
        <v>1600</v>
      </c>
      <c r="MR5" s="1">
        <f>MR4</f>
        <v>0</v>
      </c>
      <c r="MS5" s="1">
        <f>IF(MR5=1,1,MS4)</f>
        <v>0</v>
      </c>
      <c r="MT5" s="1">
        <f t="shared" ref="MT5" si="151">IF(MS5=1,1,MT4)</f>
        <v>0</v>
      </c>
      <c r="MU5" s="1">
        <f t="shared" ref="MU5" si="152">IF(MT5=1,1,MU4)</f>
        <v>0</v>
      </c>
      <c r="MV5" s="1">
        <f t="shared" ref="MV5" si="153">IF(MU5=1,1,MV4)</f>
        <v>0</v>
      </c>
      <c r="MW5" s="1">
        <f t="shared" ref="MW5" si="154">IF(MV5=1,1,MW4)</f>
        <v>0</v>
      </c>
      <c r="MX5" s="1">
        <f t="shared" ref="MX5" si="155">IF(MW5=1,1,MX4)</f>
        <v>0</v>
      </c>
      <c r="MY5" s="1">
        <f t="shared" ref="MY5" si="156">IF(MX5=1,1,MY4)</f>
        <v>0</v>
      </c>
      <c r="MZ5" s="1">
        <f t="shared" ref="MZ5" si="157">IF(MY5=1,1,MZ4)</f>
        <v>0</v>
      </c>
      <c r="NA5" s="1"/>
      <c r="NB5" s="1"/>
      <c r="NC5" s="1"/>
      <c r="ND5" s="36"/>
      <c r="NE5" s="1"/>
      <c r="NG5" s="3" t="s">
        <v>1601</v>
      </c>
      <c r="NH5" s="1">
        <f>NH4</f>
        <v>0</v>
      </c>
      <c r="NI5" s="1">
        <f>IF(NH5=1,1,NI4)</f>
        <v>0</v>
      </c>
      <c r="NJ5" s="1">
        <f t="shared" ref="NJ5" si="158">IF(NI5=1,1,NJ4)</f>
        <v>0</v>
      </c>
      <c r="NK5" s="1">
        <f t="shared" ref="NK5" si="159">IF(NJ5=1,1,NK4)</f>
        <v>0</v>
      </c>
      <c r="NL5" s="1">
        <f t="shared" ref="NL5" si="160">IF(NK5=1,1,NL4)</f>
        <v>0</v>
      </c>
      <c r="NM5" s="1">
        <f t="shared" ref="NM5" si="161">IF(NL5=1,1,NM4)</f>
        <v>0</v>
      </c>
      <c r="NN5" s="1">
        <f t="shared" ref="NN5" si="162">IF(NM5=1,1,NN4)</f>
        <v>0</v>
      </c>
      <c r="NO5" s="1">
        <f t="shared" ref="NO5" si="163">IF(NN5=1,1,NO4)</f>
        <v>0</v>
      </c>
      <c r="NP5" s="1">
        <f t="shared" ref="NP5" si="164">IF(NO5=1,1,NP4)</f>
        <v>0</v>
      </c>
      <c r="NQ5" s="1"/>
      <c r="NR5" s="1"/>
      <c r="NS5" s="1"/>
      <c r="NT5" s="36"/>
      <c r="NU5" s="1"/>
      <c r="NW5" s="3" t="s">
        <v>1595</v>
      </c>
      <c r="NX5" s="1">
        <f>NX4</f>
        <v>0</v>
      </c>
      <c r="NY5" s="1">
        <f>IF(NX5=1,1,NY4)</f>
        <v>0</v>
      </c>
      <c r="NZ5" s="1">
        <f t="shared" ref="NZ5" si="165">IF(NY5=1,1,NZ4)</f>
        <v>0</v>
      </c>
      <c r="OA5" s="1">
        <f t="shared" ref="OA5" si="166">IF(NZ5=1,1,OA4)</f>
        <v>0</v>
      </c>
      <c r="OB5" s="1">
        <f t="shared" ref="OB5" si="167">IF(OA5=1,1,OB4)</f>
        <v>0</v>
      </c>
      <c r="OC5" s="1">
        <f t="shared" ref="OC5" si="168">IF(OB5=1,1,OC4)</f>
        <v>0</v>
      </c>
      <c r="OD5" s="1">
        <f t="shared" ref="OD5" si="169">IF(OC5=1,1,OD4)</f>
        <v>0</v>
      </c>
      <c r="OE5" s="1">
        <f t="shared" ref="OE5" si="170">IF(OD5=1,1,OE4)</f>
        <v>0</v>
      </c>
      <c r="OF5" s="1">
        <f t="shared" ref="OF5" si="171">IF(OE5=1,1,OF4)</f>
        <v>0</v>
      </c>
      <c r="OG5" s="1"/>
      <c r="OH5" s="1"/>
      <c r="OJ5" s="36"/>
      <c r="OL5" s="1"/>
      <c r="OM5" s="1"/>
      <c r="ON5" s="1"/>
      <c r="OO5" s="1"/>
      <c r="OP5" s="1"/>
      <c r="OQ5" s="1"/>
      <c r="OR5" s="1"/>
      <c r="OS5" s="1"/>
      <c r="OT5" s="1"/>
      <c r="OU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K5" s="2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L5" s="2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Z5" s="2"/>
      <c r="RA5" s="1"/>
      <c r="RB5" s="1"/>
      <c r="RC5" s="1"/>
      <c r="RD5" s="1"/>
      <c r="RE5" s="1"/>
      <c r="RF5" s="1"/>
      <c r="RG5" s="1"/>
      <c r="RH5" s="1"/>
      <c r="RI5" s="1"/>
      <c r="RN5" s="2"/>
      <c r="RO5" s="1"/>
      <c r="RP5" s="1"/>
      <c r="RQ5" s="1"/>
      <c r="RR5" s="1"/>
      <c r="RS5" s="1"/>
      <c r="RT5" s="1"/>
      <c r="RU5" s="1"/>
      <c r="RV5" s="1"/>
      <c r="RW5" s="1"/>
      <c r="SB5" s="2"/>
      <c r="SC5" s="1"/>
      <c r="SD5" s="1"/>
      <c r="SE5" s="1"/>
      <c r="SF5" s="1"/>
      <c r="SG5" s="1"/>
      <c r="SH5" s="1"/>
      <c r="SI5" s="1"/>
      <c r="SJ5" s="1"/>
      <c r="SK5" s="1"/>
    </row>
    <row r="6" spans="1:505" x14ac:dyDescent="0.2">
      <c r="A6" s="3" t="s">
        <v>432</v>
      </c>
      <c r="B6" s="3"/>
      <c r="O6" s="3" t="s">
        <v>1638</v>
      </c>
      <c r="P6" s="1">
        <f>_xlfn.XLOOKUP(P4,'KPI Impacts'!$T$2:$W$2,'KPI Impacts'!$T$63:$W$63)</f>
        <v>0</v>
      </c>
      <c r="Q6" s="1">
        <f>_xlfn.XLOOKUP(Q4,'KPI Impacts'!$T$2:$W$2,'KPI Impacts'!$T$63:$W$63)</f>
        <v>0</v>
      </c>
      <c r="R6" s="1">
        <f>_xlfn.XLOOKUP(R4,'KPI Impacts'!$T$2:$W$2,'KPI Impacts'!$T$63:$W$63)</f>
        <v>0</v>
      </c>
      <c r="S6" s="1">
        <f>_xlfn.XLOOKUP(S4,'KPI Impacts'!$T$2:$W$2,'KPI Impacts'!$T$63:$W$63)</f>
        <v>0</v>
      </c>
      <c r="T6" s="1">
        <f>_xlfn.XLOOKUP(T4,'KPI Impacts'!$T$2:$W$2,'KPI Impacts'!$T$63:$W$63)</f>
        <v>0</v>
      </c>
      <c r="U6" s="1">
        <f>_xlfn.XLOOKUP(U4,'KPI Impacts'!$T$2:$W$2,'KPI Impacts'!$T$63:$W$63)</f>
        <v>0</v>
      </c>
      <c r="V6" s="1">
        <f>_xlfn.XLOOKUP(V4,'KPI Impacts'!$T$2:$W$2,'KPI Impacts'!$T$63:$W$63)</f>
        <v>0</v>
      </c>
      <c r="W6" s="1">
        <f>_xlfn.XLOOKUP(W4,'KPI Impacts'!$T$2:$W$2,'KPI Impacts'!$T$63:$W$63)</f>
        <v>0</v>
      </c>
      <c r="X6" s="1">
        <f>_xlfn.XLOOKUP(X4,'KPI Impacts'!$T$2:$W$2,'KPI Impacts'!$T$63:$W$63)</f>
        <v>0</v>
      </c>
      <c r="Y6" s="1"/>
      <c r="Z6" s="1"/>
      <c r="AG6" s="3" t="s">
        <v>1641</v>
      </c>
      <c r="AH6" s="1">
        <f>_xlfn.XLOOKUP(AH4,'KPI Impacts'!$T$2:$W$2,'KPI Impacts'!$T$63:$W$63)</f>
        <v>0</v>
      </c>
      <c r="AI6" s="1">
        <f>_xlfn.XLOOKUP(AI4,'KPI Impacts'!$T$2:$W$2,'KPI Impacts'!$T$63:$W$63)</f>
        <v>0</v>
      </c>
      <c r="AJ6" s="1">
        <f>_xlfn.XLOOKUP(AJ4,'KPI Impacts'!$T$2:$W$2,'KPI Impacts'!$T$63:$W$63)</f>
        <v>0</v>
      </c>
      <c r="AK6" s="1">
        <f>_xlfn.XLOOKUP(AK4,'KPI Impacts'!$T$2:$W$2,'KPI Impacts'!$T$63:$W$63)</f>
        <v>0</v>
      </c>
      <c r="AL6" s="1">
        <f>_xlfn.XLOOKUP(AL4,'KPI Impacts'!$T$2:$W$2,'KPI Impacts'!$T$63:$W$63)</f>
        <v>0</v>
      </c>
      <c r="AM6" s="1">
        <f>_xlfn.XLOOKUP(AM4,'KPI Impacts'!$T$2:$W$2,'KPI Impacts'!$T$63:$W$63)</f>
        <v>0</v>
      </c>
      <c r="AN6" s="1">
        <f>_xlfn.XLOOKUP(AN4,'KPI Impacts'!$T$2:$W$2,'KPI Impacts'!$T$63:$W$63)</f>
        <v>0</v>
      </c>
      <c r="AO6" s="1">
        <f>_xlfn.XLOOKUP(AO4,'KPI Impacts'!$T$2:$W$2,'KPI Impacts'!$T$63:$W$63)</f>
        <v>0</v>
      </c>
      <c r="AP6" s="1">
        <f>_xlfn.XLOOKUP(AP4,'KPI Impacts'!$T$2:$W$2,'KPI Impacts'!$T$63:$W$63)</f>
        <v>0</v>
      </c>
      <c r="AQ6" s="1"/>
      <c r="AR6" s="1"/>
      <c r="AY6" s="3" t="s">
        <v>433</v>
      </c>
      <c r="AZ6" s="1">
        <v>0</v>
      </c>
      <c r="BA6" s="1">
        <f>IF(AND(AZ4=1,AZ5=1),1,IF(AND(AZ4=0,AZ5=1),3,0))</f>
        <v>0</v>
      </c>
      <c r="BB6" s="1">
        <f t="shared" ref="BB6:BH6" si="172">IF(AND(BA4=1,BA5=1),1,IF(AND(BA4=0,BA5=1),3,0))</f>
        <v>0</v>
      </c>
      <c r="BC6" s="1">
        <f t="shared" si="172"/>
        <v>0</v>
      </c>
      <c r="BD6" s="1">
        <f t="shared" si="172"/>
        <v>0</v>
      </c>
      <c r="BE6" s="1">
        <f t="shared" si="172"/>
        <v>0</v>
      </c>
      <c r="BF6" s="1">
        <f t="shared" si="172"/>
        <v>0</v>
      </c>
      <c r="BG6" s="1">
        <f t="shared" si="172"/>
        <v>0</v>
      </c>
      <c r="BH6" s="1">
        <f t="shared" si="172"/>
        <v>0</v>
      </c>
      <c r="BI6" s="1"/>
      <c r="BJ6" s="1"/>
      <c r="BL6" s="36"/>
      <c r="BO6" s="3" t="s">
        <v>434</v>
      </c>
      <c r="BP6" s="1">
        <v>2</v>
      </c>
      <c r="BQ6" s="1">
        <v>2</v>
      </c>
      <c r="BR6" s="1">
        <f t="shared" ref="BR6:BX6" si="173">IF(AND(BQ4=1,BQ5=1),1,IF(AND(BQ4=0,BQ5=1),3,0))</f>
        <v>0</v>
      </c>
      <c r="BS6" s="1">
        <f t="shared" si="173"/>
        <v>0</v>
      </c>
      <c r="BT6" s="1">
        <f t="shared" si="173"/>
        <v>0</v>
      </c>
      <c r="BU6" s="1">
        <f t="shared" si="173"/>
        <v>0</v>
      </c>
      <c r="BV6" s="1">
        <f t="shared" si="173"/>
        <v>0</v>
      </c>
      <c r="BW6" s="1">
        <f t="shared" si="173"/>
        <v>0</v>
      </c>
      <c r="BX6" s="1">
        <f t="shared" si="173"/>
        <v>0</v>
      </c>
      <c r="BY6" s="1"/>
      <c r="BZ6" s="1"/>
      <c r="CB6" s="36"/>
      <c r="CE6" s="3" t="s">
        <v>435</v>
      </c>
      <c r="CF6" s="1">
        <v>0</v>
      </c>
      <c r="CG6" s="1">
        <f>IF(AND(CF4=1,CF5=1),1,IF(AND(CF4=0,CF5=1),3,0))</f>
        <v>0</v>
      </c>
      <c r="CH6" s="1">
        <f t="shared" ref="CH6:CN6" si="174">IF(AND(CG4=1,CG5=1),1,IF(AND(CG4=0,CG5=1),3,0))</f>
        <v>0</v>
      </c>
      <c r="CI6" s="1">
        <f t="shared" si="174"/>
        <v>0</v>
      </c>
      <c r="CJ6" s="1">
        <f t="shared" si="174"/>
        <v>0</v>
      </c>
      <c r="CK6" s="1">
        <f t="shared" si="174"/>
        <v>0</v>
      </c>
      <c r="CL6" s="1">
        <f t="shared" si="174"/>
        <v>0</v>
      </c>
      <c r="CM6" s="1">
        <f t="shared" si="174"/>
        <v>0</v>
      </c>
      <c r="CN6" s="1">
        <f t="shared" si="174"/>
        <v>0</v>
      </c>
      <c r="CO6" s="1"/>
      <c r="CP6" s="1"/>
      <c r="CR6" s="36"/>
      <c r="CU6" s="3" t="s">
        <v>436</v>
      </c>
      <c r="CV6" s="1">
        <v>0</v>
      </c>
      <c r="CW6" s="1">
        <f t="shared" ref="CW6:DD6" si="175">IF(AND(CV4=1,CV5=1),1,IF(AND(CV4=0,CV5=1),3,0))</f>
        <v>0</v>
      </c>
      <c r="CX6" s="1">
        <f t="shared" si="175"/>
        <v>0</v>
      </c>
      <c r="CY6" s="1">
        <f t="shared" si="175"/>
        <v>0</v>
      </c>
      <c r="CZ6" s="1">
        <f t="shared" si="175"/>
        <v>0</v>
      </c>
      <c r="DA6" s="1">
        <f t="shared" si="175"/>
        <v>0</v>
      </c>
      <c r="DB6" s="1">
        <f t="shared" si="175"/>
        <v>0</v>
      </c>
      <c r="DC6" s="1">
        <f t="shared" si="175"/>
        <v>0</v>
      </c>
      <c r="DD6" s="1">
        <f t="shared" si="175"/>
        <v>0</v>
      </c>
      <c r="DE6" s="1"/>
      <c r="DF6" s="1"/>
      <c r="DH6" s="36"/>
      <c r="DK6" s="3" t="s">
        <v>437</v>
      </c>
      <c r="DL6" s="1">
        <v>0</v>
      </c>
      <c r="DM6" s="1">
        <f t="shared" ref="DM6:DT6" si="176">IF(AND(DL4=1,DL5=1),1,IF(AND(DL4=0,DL5=1),3,0))</f>
        <v>0</v>
      </c>
      <c r="DN6" s="1">
        <f t="shared" si="176"/>
        <v>0</v>
      </c>
      <c r="DO6" s="1">
        <f t="shared" si="176"/>
        <v>0</v>
      </c>
      <c r="DP6" s="1">
        <f t="shared" si="176"/>
        <v>0</v>
      </c>
      <c r="DQ6" s="1">
        <f t="shared" si="176"/>
        <v>0</v>
      </c>
      <c r="DR6" s="1">
        <f t="shared" si="176"/>
        <v>0</v>
      </c>
      <c r="DS6" s="1">
        <f t="shared" si="176"/>
        <v>0</v>
      </c>
      <c r="DT6" s="1">
        <f t="shared" si="176"/>
        <v>0</v>
      </c>
      <c r="DU6" s="1"/>
      <c r="DV6" s="1"/>
      <c r="DX6" s="36"/>
      <c r="EA6" s="3" t="s">
        <v>438</v>
      </c>
      <c r="EB6" s="1">
        <v>2</v>
      </c>
      <c r="EC6" s="1">
        <v>2</v>
      </c>
      <c r="ED6" s="1">
        <f t="shared" ref="ED6:EJ6" si="177">IF(AND(EC4=1,EC5=1),1,IF(AND(EC4=0,EC5=1),3,0))</f>
        <v>0</v>
      </c>
      <c r="EE6" s="1">
        <f t="shared" si="177"/>
        <v>0</v>
      </c>
      <c r="EF6" s="1">
        <f t="shared" si="177"/>
        <v>0</v>
      </c>
      <c r="EG6" s="1">
        <f t="shared" si="177"/>
        <v>0</v>
      </c>
      <c r="EH6" s="1">
        <f t="shared" si="177"/>
        <v>0</v>
      </c>
      <c r="EI6" s="1">
        <f t="shared" si="177"/>
        <v>0</v>
      </c>
      <c r="EJ6" s="1">
        <f t="shared" si="177"/>
        <v>0</v>
      </c>
      <c r="EK6" s="1"/>
      <c r="EL6" s="1"/>
      <c r="EN6" s="36"/>
      <c r="EQ6" s="3" t="s">
        <v>439</v>
      </c>
      <c r="ER6" s="1">
        <v>2</v>
      </c>
      <c r="ES6" s="1">
        <v>2</v>
      </c>
      <c r="ET6" s="1">
        <v>2</v>
      </c>
      <c r="EU6" s="1">
        <f t="shared" ref="EU6:EZ6" si="178">IF(AND(ET4=1,ET5=1),1,IF(AND(ET4=0,ET5=1),3,0))</f>
        <v>0</v>
      </c>
      <c r="EV6" s="1">
        <f t="shared" si="178"/>
        <v>0</v>
      </c>
      <c r="EW6" s="1">
        <f t="shared" si="178"/>
        <v>0</v>
      </c>
      <c r="EX6" s="1">
        <f t="shared" si="178"/>
        <v>0</v>
      </c>
      <c r="EY6" s="1">
        <f t="shared" si="178"/>
        <v>0</v>
      </c>
      <c r="EZ6" s="1">
        <f t="shared" si="178"/>
        <v>0</v>
      </c>
      <c r="FA6" s="1"/>
      <c r="FB6" s="1"/>
      <c r="FD6" s="36"/>
      <c r="FG6" s="3" t="s">
        <v>440</v>
      </c>
      <c r="FH6" s="1">
        <v>2</v>
      </c>
      <c r="FI6" s="1">
        <v>2</v>
      </c>
      <c r="FJ6" s="1">
        <v>2</v>
      </c>
      <c r="FK6" s="1">
        <f t="shared" ref="FK6:FP6" si="179">IF(AND(FJ4=1,FJ5=1),1,IF(AND(FJ4=0,FJ5=1),3,0))</f>
        <v>0</v>
      </c>
      <c r="FL6" s="1">
        <f t="shared" si="179"/>
        <v>0</v>
      </c>
      <c r="FM6" s="1">
        <f t="shared" si="179"/>
        <v>0</v>
      </c>
      <c r="FN6" s="1">
        <f t="shared" si="179"/>
        <v>0</v>
      </c>
      <c r="FO6" s="1">
        <f t="shared" si="179"/>
        <v>0</v>
      </c>
      <c r="FP6" s="1">
        <f t="shared" si="179"/>
        <v>0</v>
      </c>
      <c r="FQ6" s="1"/>
      <c r="FR6" s="1"/>
      <c r="FT6" s="36"/>
      <c r="FW6" s="3" t="s">
        <v>441</v>
      </c>
      <c r="FX6" s="1">
        <v>2</v>
      </c>
      <c r="FY6" s="1">
        <v>2</v>
      </c>
      <c r="FZ6" s="1">
        <v>2</v>
      </c>
      <c r="GA6" s="1">
        <v>2</v>
      </c>
      <c r="GB6" s="1">
        <f t="shared" ref="GB6:GF6" si="180">IF(AND(GA4=1,GA5=1),1,IF(AND(GA4=0,GA5=1),3,0))</f>
        <v>0</v>
      </c>
      <c r="GC6" s="1">
        <f t="shared" si="180"/>
        <v>0</v>
      </c>
      <c r="GD6" s="1">
        <f t="shared" si="180"/>
        <v>0</v>
      </c>
      <c r="GE6" s="1">
        <f t="shared" si="180"/>
        <v>0</v>
      </c>
      <c r="GF6" s="1">
        <f t="shared" si="180"/>
        <v>0</v>
      </c>
      <c r="GG6" s="1"/>
      <c r="GH6" s="1"/>
      <c r="GJ6" s="36"/>
      <c r="GM6" s="3" t="s">
        <v>442</v>
      </c>
      <c r="GN6" s="1">
        <v>2</v>
      </c>
      <c r="GO6" s="1">
        <v>2</v>
      </c>
      <c r="GP6" s="1">
        <v>2</v>
      </c>
      <c r="GQ6" s="1">
        <v>2</v>
      </c>
      <c r="GR6" s="1">
        <f t="shared" ref="GR6:GV6" si="181">IF(AND(GQ4=1,GQ5=1),1,IF(AND(GQ4=0,GQ5=1),3,0))</f>
        <v>0</v>
      </c>
      <c r="GS6" s="1">
        <f t="shared" si="181"/>
        <v>0</v>
      </c>
      <c r="GT6" s="1">
        <f t="shared" si="181"/>
        <v>0</v>
      </c>
      <c r="GU6" s="1">
        <f t="shared" si="181"/>
        <v>0</v>
      </c>
      <c r="GV6" s="1">
        <f t="shared" si="181"/>
        <v>0</v>
      </c>
      <c r="GW6" s="1"/>
      <c r="GX6" s="1"/>
      <c r="GY6" s="1"/>
      <c r="GZ6" s="36"/>
      <c r="HA6" s="1"/>
      <c r="HB6" s="1"/>
      <c r="HC6" s="3" t="s">
        <v>443</v>
      </c>
      <c r="HD6" s="1">
        <v>2</v>
      </c>
      <c r="HE6" s="1">
        <v>2</v>
      </c>
      <c r="HF6" s="1">
        <v>2</v>
      </c>
      <c r="HG6" s="1">
        <v>2</v>
      </c>
      <c r="HH6" s="1">
        <v>2</v>
      </c>
      <c r="HI6" s="1">
        <f t="shared" ref="HI6:HL6" si="182">IF(AND(HH4=1,HH5=1),1,IF(AND(HH4=0,HH5=1),3,0))</f>
        <v>0</v>
      </c>
      <c r="HJ6" s="1">
        <f t="shared" si="182"/>
        <v>0</v>
      </c>
      <c r="HK6" s="1">
        <f t="shared" si="182"/>
        <v>0</v>
      </c>
      <c r="HL6" s="1">
        <f t="shared" si="182"/>
        <v>0</v>
      </c>
      <c r="HM6" s="1"/>
      <c r="HN6" s="1"/>
      <c r="HO6" s="1"/>
      <c r="HP6" s="36"/>
      <c r="HQ6" s="1"/>
      <c r="HR6" s="1"/>
      <c r="HS6" s="3" t="s">
        <v>444</v>
      </c>
      <c r="HT6" s="1">
        <v>2</v>
      </c>
      <c r="HU6" s="1">
        <v>2</v>
      </c>
      <c r="HV6" s="1">
        <v>2</v>
      </c>
      <c r="HW6" s="1">
        <v>2</v>
      </c>
      <c r="HX6" s="1">
        <v>2</v>
      </c>
      <c r="HY6" s="1">
        <f t="shared" ref="HY6:IB6" si="183">IF(AND(HX4=1,HX5=1),1,IF(AND(HX4=0,HX5=1),3,0))</f>
        <v>0</v>
      </c>
      <c r="HZ6" s="1">
        <f t="shared" si="183"/>
        <v>0</v>
      </c>
      <c r="IA6" s="1">
        <f t="shared" si="183"/>
        <v>0</v>
      </c>
      <c r="IB6" s="1">
        <f t="shared" si="183"/>
        <v>0</v>
      </c>
      <c r="IC6" s="1"/>
      <c r="ID6" s="1"/>
      <c r="IF6" s="36"/>
      <c r="II6" s="3" t="s">
        <v>445</v>
      </c>
      <c r="IJ6" s="1">
        <v>2</v>
      </c>
      <c r="IK6" s="1">
        <v>2</v>
      </c>
      <c r="IL6" s="1">
        <v>2</v>
      </c>
      <c r="IM6" s="1">
        <v>2</v>
      </c>
      <c r="IN6" s="1">
        <v>2</v>
      </c>
      <c r="IO6" s="1">
        <v>2</v>
      </c>
      <c r="IP6" s="1">
        <f t="shared" ref="IP6:IR6" si="184">IF(AND(IO4=1,IO5=1),1,IF(AND(IO4=0,IO5=1),3,0))</f>
        <v>0</v>
      </c>
      <c r="IQ6" s="1">
        <f t="shared" si="184"/>
        <v>0</v>
      </c>
      <c r="IR6" s="1">
        <f t="shared" si="184"/>
        <v>0</v>
      </c>
      <c r="IS6" s="1"/>
      <c r="IT6" s="1"/>
      <c r="IU6" s="1"/>
      <c r="IV6" s="36"/>
      <c r="IW6" s="1"/>
      <c r="IY6" s="3" t="s">
        <v>446</v>
      </c>
      <c r="IZ6" s="1">
        <v>2</v>
      </c>
      <c r="JA6" s="1">
        <v>2</v>
      </c>
      <c r="JB6" s="1">
        <v>2</v>
      </c>
      <c r="JC6" s="1">
        <v>2</v>
      </c>
      <c r="JD6" s="1">
        <f t="shared" ref="JD6:JH6" si="185">IF(AND(JC4=1,JC5=1),1,IF(AND(JC4=0,JC5=1),3,0))</f>
        <v>0</v>
      </c>
      <c r="JE6" s="1">
        <f t="shared" si="185"/>
        <v>0</v>
      </c>
      <c r="JF6" s="1">
        <f t="shared" si="185"/>
        <v>0</v>
      </c>
      <c r="JG6" s="1">
        <f t="shared" si="185"/>
        <v>0</v>
      </c>
      <c r="JH6" s="1">
        <f t="shared" si="185"/>
        <v>0</v>
      </c>
      <c r="JI6" s="1"/>
      <c r="JJ6" s="1"/>
      <c r="JK6" s="1"/>
      <c r="JL6" s="36"/>
      <c r="JM6" s="1"/>
      <c r="JO6" s="3" t="s">
        <v>447</v>
      </c>
      <c r="JP6" s="1">
        <v>2</v>
      </c>
      <c r="JQ6" s="1">
        <v>2</v>
      </c>
      <c r="JR6" s="1">
        <v>2</v>
      </c>
      <c r="JS6" s="1">
        <v>2</v>
      </c>
      <c r="JT6" s="1">
        <f>IF(AND(JS4=1,JS5=1),1,IF(AND(JS4=0,JS5=1),3,0))</f>
        <v>0</v>
      </c>
      <c r="JU6" s="1">
        <f t="shared" ref="JU6:JX6" si="186">IF(AND(JT4=1,JT5=1),1,IF(AND(JT4=0,JT5=1),3,0))</f>
        <v>0</v>
      </c>
      <c r="JV6" s="1">
        <f t="shared" si="186"/>
        <v>0</v>
      </c>
      <c r="JW6" s="1">
        <f t="shared" si="186"/>
        <v>0</v>
      </c>
      <c r="JX6" s="1">
        <f t="shared" si="186"/>
        <v>0</v>
      </c>
      <c r="JY6" s="1"/>
      <c r="JZ6" s="1"/>
      <c r="KA6" s="1"/>
      <c r="KB6" s="36"/>
      <c r="KC6" s="1"/>
      <c r="KE6" s="3" t="s">
        <v>448</v>
      </c>
      <c r="KF6" s="1">
        <v>0</v>
      </c>
      <c r="KG6" s="1">
        <f>IF(AND(KF4=1,KF5=1),1,IF(AND(KF4=0,KF5=1),3,0))</f>
        <v>0</v>
      </c>
      <c r="KH6" s="1">
        <f t="shared" ref="KH6" si="187">IF(AND(KG4=1,KG5=1),1,IF(AND(KG4=0,KG5=1),3,0))</f>
        <v>0</v>
      </c>
      <c r="KI6" s="1">
        <f t="shared" ref="KI6" si="188">IF(AND(KH4=1,KH5=1),1,IF(AND(KH4=0,KH5=1),3,0))</f>
        <v>0</v>
      </c>
      <c r="KJ6" s="1">
        <f t="shared" ref="KJ6" si="189">IF(AND(KI4=1,KI5=1),1,IF(AND(KI4=0,KI5=1),3,0))</f>
        <v>0</v>
      </c>
      <c r="KK6" s="1">
        <f t="shared" ref="KK6" si="190">IF(AND(KJ4=1,KJ5=1),1,IF(AND(KJ4=0,KJ5=1),3,0))</f>
        <v>0</v>
      </c>
      <c r="KL6" s="1">
        <f t="shared" ref="KL6" si="191">IF(AND(KK4=1,KK5=1),1,IF(AND(KK4=0,KK5=1),3,0))</f>
        <v>0</v>
      </c>
      <c r="KM6" s="1">
        <f t="shared" ref="KM6" si="192">IF(AND(KL4=1,KL5=1),1,IF(AND(KL4=0,KL5=1),3,0))</f>
        <v>0</v>
      </c>
      <c r="KN6" s="1">
        <f t="shared" ref="KN6" si="193">IF(AND(KM4=1,KM5=1),1,IF(AND(KM4=0,KM5=1),3,0))</f>
        <v>0</v>
      </c>
      <c r="KO6" s="1"/>
      <c r="KP6" s="1"/>
      <c r="KQ6" s="1"/>
      <c r="KR6" s="36"/>
      <c r="KS6" s="1"/>
      <c r="KU6" s="3" t="s">
        <v>449</v>
      </c>
      <c r="KV6" s="1">
        <v>0</v>
      </c>
      <c r="KW6" s="1">
        <f>IF(AND(KV4=1,KV5=1),1,IF(AND(KV4=0,KV5=1),3,0))</f>
        <v>0</v>
      </c>
      <c r="KX6" s="1">
        <f t="shared" ref="KX6" si="194">IF(AND(KW4=1,KW5=1),1,IF(AND(KW4=0,KW5=1),3,0))</f>
        <v>0</v>
      </c>
      <c r="KY6" s="1">
        <f t="shared" ref="KY6" si="195">IF(AND(KX4=1,KX5=1),1,IF(AND(KX4=0,KX5=1),3,0))</f>
        <v>0</v>
      </c>
      <c r="KZ6" s="1">
        <f t="shared" ref="KZ6" si="196">IF(AND(KY4=1,KY5=1),1,IF(AND(KY4=0,KY5=1),3,0))</f>
        <v>0</v>
      </c>
      <c r="LA6" s="1">
        <f t="shared" ref="LA6" si="197">IF(AND(KZ4=1,KZ5=1),1,IF(AND(KZ4=0,KZ5=1),3,0))</f>
        <v>0</v>
      </c>
      <c r="LB6" s="1">
        <f t="shared" ref="LB6" si="198">IF(AND(LA4=1,LA5=1),1,IF(AND(LA4=0,LA5=1),3,0))</f>
        <v>0</v>
      </c>
      <c r="LC6" s="1">
        <f t="shared" ref="LC6" si="199">IF(AND(LB4=1,LB5=1),1,IF(AND(LB4=0,LB5=1),3,0))</f>
        <v>0</v>
      </c>
      <c r="LD6" s="1">
        <f t="shared" ref="LD6" si="200">IF(AND(LC4=1,LC5=1),1,IF(AND(LC4=0,LC5=1),3,0))</f>
        <v>0</v>
      </c>
      <c r="LE6" s="1"/>
      <c r="LF6" s="1"/>
      <c r="LG6" s="1"/>
      <c r="LH6" s="36"/>
      <c r="LI6" s="1"/>
      <c r="LK6" s="3" t="s">
        <v>450</v>
      </c>
      <c r="LL6" s="1">
        <v>0</v>
      </c>
      <c r="LM6" s="1">
        <f>IF(AND(LL4=1,LL5=1),1,IF(AND(LL4=0,LL5=1),3,0))</f>
        <v>0</v>
      </c>
      <c r="LN6" s="1">
        <f t="shared" ref="LN6" si="201">IF(AND(LM4=1,LM5=1),1,IF(AND(LM4=0,LM5=1),3,0))</f>
        <v>0</v>
      </c>
      <c r="LO6" s="1">
        <f t="shared" ref="LO6" si="202">IF(AND(LN4=1,LN5=1),1,IF(AND(LN4=0,LN5=1),3,0))</f>
        <v>0</v>
      </c>
      <c r="LP6" s="1">
        <f t="shared" ref="LP6" si="203">IF(AND(LO4=1,LO5=1),1,IF(AND(LO4=0,LO5=1),3,0))</f>
        <v>0</v>
      </c>
      <c r="LQ6" s="1">
        <f t="shared" ref="LQ6" si="204">IF(AND(LP4=1,LP5=1),1,IF(AND(LP4=0,LP5=1),3,0))</f>
        <v>0</v>
      </c>
      <c r="LR6" s="1">
        <f t="shared" ref="LR6" si="205">IF(AND(LQ4=1,LQ5=1),1,IF(AND(LQ4=0,LQ5=1),3,0))</f>
        <v>0</v>
      </c>
      <c r="LS6" s="1">
        <f t="shared" ref="LS6" si="206">IF(AND(LR4=1,LR5=1),1,IF(AND(LR4=0,LR5=1),3,0))</f>
        <v>0</v>
      </c>
      <c r="LT6" s="1">
        <f t="shared" ref="LT6" si="207">IF(AND(LS4=1,LS5=1),1,IF(AND(LS4=0,LS5=1),3,0))</f>
        <v>0</v>
      </c>
      <c r="LU6" s="1"/>
      <c r="LV6" s="1"/>
      <c r="LW6" s="1"/>
      <c r="LX6" s="36"/>
      <c r="LY6" s="1"/>
      <c r="MA6" s="3" t="s">
        <v>451</v>
      </c>
      <c r="MB6" s="1">
        <v>0</v>
      </c>
      <c r="MC6" s="1">
        <f>IF(AND(MB4=1,MB5=1),1,IF(AND(MB4=0,MB5=1),3,0))</f>
        <v>0</v>
      </c>
      <c r="MD6" s="1">
        <f t="shared" ref="MD6" si="208">IF(AND(MC4=1,MC5=1),1,IF(AND(MC4=0,MC5=1),3,0))</f>
        <v>0</v>
      </c>
      <c r="ME6" s="1">
        <f t="shared" ref="ME6" si="209">IF(AND(MD4=1,MD5=1),1,IF(AND(MD4=0,MD5=1),3,0))</f>
        <v>0</v>
      </c>
      <c r="MF6" s="1">
        <f t="shared" ref="MF6" si="210">IF(AND(ME4=1,ME5=1),1,IF(AND(ME4=0,ME5=1),3,0))</f>
        <v>0</v>
      </c>
      <c r="MG6" s="1">
        <f t="shared" ref="MG6" si="211">IF(AND(MF4=1,MF5=1),1,IF(AND(MF4=0,MF5=1),3,0))</f>
        <v>0</v>
      </c>
      <c r="MH6" s="1">
        <f t="shared" ref="MH6" si="212">IF(AND(MG4=1,MG5=1),1,IF(AND(MG4=0,MG5=1),3,0))</f>
        <v>0</v>
      </c>
      <c r="MI6" s="1">
        <f t="shared" ref="MI6" si="213">IF(AND(MH4=1,MH5=1),1,IF(AND(MH4=0,MH5=1),3,0))</f>
        <v>0</v>
      </c>
      <c r="MJ6" s="1">
        <f t="shared" ref="MJ6" si="214">IF(AND(MI4=1,MI5=1),1,IF(AND(MI4=0,MI5=1),3,0))</f>
        <v>0</v>
      </c>
      <c r="MK6" s="1"/>
      <c r="ML6" s="1"/>
      <c r="MM6" s="1"/>
      <c r="MN6" s="36"/>
      <c r="MO6" s="1"/>
      <c r="MQ6" s="3" t="s">
        <v>452</v>
      </c>
      <c r="MR6" s="1">
        <v>0</v>
      </c>
      <c r="MS6" s="1">
        <f>IF(AND(MR4=1,MR5=1),1,IF(AND(MR4=0,MR5=1),3,0))</f>
        <v>0</v>
      </c>
      <c r="MT6" s="1">
        <f t="shared" ref="MT6" si="215">IF(AND(MS4=1,MS5=1),1,IF(AND(MS4=0,MS5=1),3,0))</f>
        <v>0</v>
      </c>
      <c r="MU6" s="1">
        <f t="shared" ref="MU6" si="216">IF(AND(MT4=1,MT5=1),1,IF(AND(MT4=0,MT5=1),3,0))</f>
        <v>0</v>
      </c>
      <c r="MV6" s="1">
        <f t="shared" ref="MV6" si="217">IF(AND(MU4=1,MU5=1),1,IF(AND(MU4=0,MU5=1),3,0))</f>
        <v>0</v>
      </c>
      <c r="MW6" s="1">
        <f t="shared" ref="MW6" si="218">IF(AND(MV4=1,MV5=1),1,IF(AND(MV4=0,MV5=1),3,0))</f>
        <v>0</v>
      </c>
      <c r="MX6" s="1">
        <f t="shared" ref="MX6" si="219">IF(AND(MW4=1,MW5=1),1,IF(AND(MW4=0,MW5=1),3,0))</f>
        <v>0</v>
      </c>
      <c r="MY6" s="1">
        <f t="shared" ref="MY6" si="220">IF(AND(MX4=1,MX5=1),1,IF(AND(MX4=0,MX5=1),3,0))</f>
        <v>0</v>
      </c>
      <c r="MZ6" s="1">
        <f t="shared" ref="MZ6" si="221">IF(AND(MY4=1,MY5=1),1,IF(AND(MY4=0,MY5=1),3,0))</f>
        <v>0</v>
      </c>
      <c r="NA6" s="1"/>
      <c r="NB6" s="1"/>
      <c r="NC6" s="1"/>
      <c r="ND6" s="36"/>
      <c r="NE6" s="1"/>
      <c r="NG6" s="3" t="s">
        <v>453</v>
      </c>
      <c r="NH6" s="1">
        <v>0</v>
      </c>
      <c r="NI6" s="1">
        <f>IF(AND(NH4=1,NH5=1),1,IF(AND(NH4=0,NH5=1),3,0))</f>
        <v>0</v>
      </c>
      <c r="NJ6" s="1">
        <f t="shared" ref="NJ6" si="222">IF(AND(NI4=1,NI5=1),1,IF(AND(NI4=0,NI5=1),3,0))</f>
        <v>0</v>
      </c>
      <c r="NK6" s="1">
        <f t="shared" ref="NK6" si="223">IF(AND(NJ4=1,NJ5=1),1,IF(AND(NJ4=0,NJ5=1),3,0))</f>
        <v>0</v>
      </c>
      <c r="NL6" s="1">
        <f t="shared" ref="NL6" si="224">IF(AND(NK4=1,NK5=1),1,IF(AND(NK4=0,NK5=1),3,0))</f>
        <v>0</v>
      </c>
      <c r="NM6" s="1">
        <f t="shared" ref="NM6" si="225">IF(AND(NL4=1,NL5=1),1,IF(AND(NL4=0,NL5=1),3,0))</f>
        <v>0</v>
      </c>
      <c r="NN6" s="1">
        <f t="shared" ref="NN6" si="226">IF(AND(NM4=1,NM5=1),1,IF(AND(NM4=0,NM5=1),3,0))</f>
        <v>0</v>
      </c>
      <c r="NO6" s="1">
        <f t="shared" ref="NO6" si="227">IF(AND(NN4=1,NN5=1),1,IF(AND(NN4=0,NN5=1),3,0))</f>
        <v>0</v>
      </c>
      <c r="NP6" s="1">
        <f t="shared" ref="NP6" si="228">IF(AND(NO4=1,NO5=1),1,IF(AND(NO4=0,NO5=1),3,0))</f>
        <v>0</v>
      </c>
      <c r="NQ6" s="1"/>
      <c r="NR6" s="1"/>
      <c r="NS6" s="1"/>
      <c r="NT6" s="36"/>
      <c r="NU6" s="1"/>
      <c r="NW6" s="3" t="s">
        <v>454</v>
      </c>
      <c r="NX6" s="1">
        <v>0</v>
      </c>
      <c r="NY6" s="1">
        <f>IF(AND(NX4=1,NX5=1),1,IF(AND(NX4=0,NX5=1),3,0))</f>
        <v>0</v>
      </c>
      <c r="NZ6" s="1">
        <f t="shared" ref="NZ6" si="229">IF(AND(NY4=1,NY5=1),1,IF(AND(NY4=0,NY5=1),3,0))</f>
        <v>0</v>
      </c>
      <c r="OA6" s="1">
        <f t="shared" ref="OA6" si="230">IF(AND(NZ4=1,NZ5=1),1,IF(AND(NZ4=0,NZ5=1),3,0))</f>
        <v>0</v>
      </c>
      <c r="OB6" s="1">
        <f t="shared" ref="OB6" si="231">IF(AND(OA4=1,OA5=1),1,IF(AND(OA4=0,OA5=1),3,0))</f>
        <v>0</v>
      </c>
      <c r="OC6" s="1">
        <f t="shared" ref="OC6" si="232">IF(AND(OB4=1,OB5=1),1,IF(AND(OB4=0,OB5=1),3,0))</f>
        <v>0</v>
      </c>
      <c r="OD6" s="1">
        <f t="shared" ref="OD6" si="233">IF(AND(OC4=1,OC5=1),1,IF(AND(OC4=0,OC5=1),3,0))</f>
        <v>0</v>
      </c>
      <c r="OE6" s="1">
        <f t="shared" ref="OE6" si="234">IF(AND(OD4=1,OD5=1),1,IF(AND(OD4=0,OD5=1),3,0))</f>
        <v>0</v>
      </c>
      <c r="OF6" s="1">
        <f t="shared" ref="OF6" si="235">IF(AND(OE4=1,OE5=1),1,IF(AND(OE4=0,OE5=1),3,0))</f>
        <v>0</v>
      </c>
      <c r="OG6" s="1"/>
      <c r="OH6" s="1"/>
      <c r="OJ6" s="36"/>
      <c r="OL6" s="1"/>
      <c r="OM6" s="1"/>
      <c r="ON6" s="1"/>
      <c r="OO6" s="1"/>
      <c r="OP6" s="1"/>
      <c r="OQ6" s="1"/>
      <c r="OR6" s="1"/>
      <c r="OS6" s="1"/>
      <c r="OT6" s="1"/>
      <c r="OU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K6" s="3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L6" s="3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Z6" s="3"/>
      <c r="RA6" s="1"/>
      <c r="RB6" s="1"/>
      <c r="RC6" s="1"/>
      <c r="RD6" s="1"/>
      <c r="RE6" s="1"/>
      <c r="RF6" s="1"/>
      <c r="RG6" s="1"/>
      <c r="RH6" s="1"/>
      <c r="RI6" s="1"/>
      <c r="RN6" s="3"/>
      <c r="RO6" s="1"/>
      <c r="RP6" s="1"/>
      <c r="RQ6" s="1"/>
      <c r="RR6" s="1"/>
      <c r="RS6" s="1"/>
      <c r="RT6" s="1"/>
      <c r="RU6" s="1"/>
      <c r="RV6" s="1"/>
      <c r="RW6" s="1"/>
      <c r="SB6" s="3"/>
      <c r="SC6" s="1"/>
      <c r="SD6" s="1"/>
      <c r="SE6" s="1"/>
      <c r="SF6" s="1"/>
      <c r="SG6" s="1"/>
      <c r="SH6" s="1"/>
      <c r="SI6" s="1"/>
      <c r="SJ6" s="1"/>
      <c r="SK6" s="1"/>
    </row>
    <row r="7" spans="1:505" x14ac:dyDescent="0.2">
      <c r="A7" s="3" t="s">
        <v>455</v>
      </c>
      <c r="B7" s="3"/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G7" s="3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Y7" s="3" t="s">
        <v>456</v>
      </c>
      <c r="AZ7" s="1">
        <v>0</v>
      </c>
      <c r="BA7" s="1">
        <f>IF(AND(AZ6=2,BA6&lt;&gt;2),1,0)</f>
        <v>0</v>
      </c>
      <c r="BB7" s="1">
        <f t="shared" ref="BB7:BH7" si="236">IF(AND(BA6=2,BB6&lt;&gt;2),1,0)</f>
        <v>0</v>
      </c>
      <c r="BC7" s="1">
        <f t="shared" si="236"/>
        <v>0</v>
      </c>
      <c r="BD7" s="1">
        <f t="shared" si="236"/>
        <v>0</v>
      </c>
      <c r="BE7" s="1">
        <f t="shared" si="236"/>
        <v>0</v>
      </c>
      <c r="BF7" s="1">
        <f t="shared" si="236"/>
        <v>0</v>
      </c>
      <c r="BG7" s="1">
        <f t="shared" si="236"/>
        <v>0</v>
      </c>
      <c r="BH7" s="1">
        <f t="shared" si="236"/>
        <v>0</v>
      </c>
      <c r="BI7" s="1"/>
      <c r="BJ7" s="1"/>
      <c r="BL7" s="36"/>
      <c r="BO7" s="3" t="s">
        <v>457</v>
      </c>
      <c r="BP7" s="1">
        <v>0</v>
      </c>
      <c r="BQ7" s="1">
        <f>IF(AND(BP6=2,BQ6&lt;&gt;2),1,0)</f>
        <v>0</v>
      </c>
      <c r="BR7" s="1">
        <f t="shared" ref="BR7:BX7" si="237">IF(AND(BQ6=2,BR6&lt;&gt;2),1,0)</f>
        <v>1</v>
      </c>
      <c r="BS7" s="1">
        <f t="shared" si="237"/>
        <v>0</v>
      </c>
      <c r="BT7" s="1">
        <f t="shared" si="237"/>
        <v>0</v>
      </c>
      <c r="BU7" s="1">
        <f t="shared" si="237"/>
        <v>0</v>
      </c>
      <c r="BV7" s="1">
        <f t="shared" si="237"/>
        <v>0</v>
      </c>
      <c r="BW7" s="1">
        <f t="shared" si="237"/>
        <v>0</v>
      </c>
      <c r="BX7" s="1">
        <f t="shared" si="237"/>
        <v>0</v>
      </c>
      <c r="BY7" s="1"/>
      <c r="BZ7" s="1"/>
      <c r="CB7" s="36"/>
      <c r="CE7" s="3" t="s">
        <v>458</v>
      </c>
      <c r="CF7" s="1">
        <v>0</v>
      </c>
      <c r="CG7" s="1">
        <f>IF(AND(CF6=2,CG6&lt;&gt;2),1,0)</f>
        <v>0</v>
      </c>
      <c r="CH7" s="1">
        <f t="shared" ref="CH7:CN7" si="238">IF(AND(CG6=2,CH6&lt;&gt;2),1,0)</f>
        <v>0</v>
      </c>
      <c r="CI7" s="1">
        <f t="shared" si="238"/>
        <v>0</v>
      </c>
      <c r="CJ7" s="1">
        <f t="shared" si="238"/>
        <v>0</v>
      </c>
      <c r="CK7" s="1">
        <f t="shared" si="238"/>
        <v>0</v>
      </c>
      <c r="CL7" s="1">
        <f t="shared" si="238"/>
        <v>0</v>
      </c>
      <c r="CM7" s="1">
        <f t="shared" si="238"/>
        <v>0</v>
      </c>
      <c r="CN7" s="1">
        <f t="shared" si="238"/>
        <v>0</v>
      </c>
      <c r="CO7" s="1"/>
      <c r="CP7" s="1"/>
      <c r="CR7" s="36"/>
      <c r="CU7" s="3" t="s">
        <v>459</v>
      </c>
      <c r="CV7" s="1">
        <v>0</v>
      </c>
      <c r="CW7" s="1">
        <f>IF(AND(CV6=2,CW6&lt;&gt;2),1,0)</f>
        <v>0</v>
      </c>
      <c r="CX7" s="1">
        <f>IF(AND(CW6=2,CX6&lt;&gt;2),1,0)</f>
        <v>0</v>
      </c>
      <c r="CY7" s="1">
        <f t="shared" ref="CY7:DD7" si="239">IF(AND(CX6=2,CY6&lt;&gt;2),1,0)</f>
        <v>0</v>
      </c>
      <c r="CZ7" s="1">
        <f t="shared" si="239"/>
        <v>0</v>
      </c>
      <c r="DA7" s="1">
        <f t="shared" si="239"/>
        <v>0</v>
      </c>
      <c r="DB7" s="1">
        <f t="shared" si="239"/>
        <v>0</v>
      </c>
      <c r="DC7" s="1">
        <f t="shared" si="239"/>
        <v>0</v>
      </c>
      <c r="DD7" s="1">
        <f t="shared" si="239"/>
        <v>0</v>
      </c>
      <c r="DE7" s="1"/>
      <c r="DF7" s="1"/>
      <c r="DH7" s="36"/>
      <c r="DK7" s="3" t="s">
        <v>460</v>
      </c>
      <c r="DL7" s="1">
        <v>0</v>
      </c>
      <c r="DM7" s="1">
        <f>IF(AND(DL6=2,DM6&lt;&gt;2),1,0)</f>
        <v>0</v>
      </c>
      <c r="DN7" s="1">
        <f t="shared" ref="DN7:DT7" si="240">IF(AND(DM6=2,DN6&lt;&gt;2),1,0)</f>
        <v>0</v>
      </c>
      <c r="DO7" s="1">
        <f t="shared" si="240"/>
        <v>0</v>
      </c>
      <c r="DP7" s="1">
        <f t="shared" si="240"/>
        <v>0</v>
      </c>
      <c r="DQ7" s="1">
        <f t="shared" si="240"/>
        <v>0</v>
      </c>
      <c r="DR7" s="1">
        <f t="shared" si="240"/>
        <v>0</v>
      </c>
      <c r="DS7" s="1">
        <f t="shared" si="240"/>
        <v>0</v>
      </c>
      <c r="DT7" s="1">
        <f t="shared" si="240"/>
        <v>0</v>
      </c>
      <c r="DU7" s="1"/>
      <c r="DV7" s="1"/>
      <c r="DX7" s="36"/>
      <c r="EA7" s="3" t="s">
        <v>461</v>
      </c>
      <c r="EB7" s="1">
        <v>0</v>
      </c>
      <c r="EC7" s="1">
        <f>IF(AND(EB6=2,EC6&lt;&gt;2),1,0)</f>
        <v>0</v>
      </c>
      <c r="ED7" s="1">
        <f t="shared" ref="ED7:EJ7" si="241">IF(AND(EC6=2,ED6&lt;&gt;2),1,0)</f>
        <v>1</v>
      </c>
      <c r="EE7" s="1">
        <f t="shared" si="241"/>
        <v>0</v>
      </c>
      <c r="EF7" s="1">
        <f t="shared" si="241"/>
        <v>0</v>
      </c>
      <c r="EG7" s="1">
        <f t="shared" si="241"/>
        <v>0</v>
      </c>
      <c r="EH7" s="1">
        <f t="shared" si="241"/>
        <v>0</v>
      </c>
      <c r="EI7" s="1">
        <f t="shared" si="241"/>
        <v>0</v>
      </c>
      <c r="EJ7" s="1">
        <f t="shared" si="241"/>
        <v>0</v>
      </c>
      <c r="EK7" s="1"/>
      <c r="EL7" s="1"/>
      <c r="EN7" s="36"/>
      <c r="EQ7" s="3" t="s">
        <v>462</v>
      </c>
      <c r="ER7" s="1">
        <v>0</v>
      </c>
      <c r="ES7" s="1">
        <f>IF(AND(ER6=2,ES6&lt;&gt;2),1,0)</f>
        <v>0</v>
      </c>
      <c r="ET7" s="1">
        <f t="shared" ref="ET7:EZ7" si="242">IF(AND(ES6=2,ET6&lt;&gt;2),1,0)</f>
        <v>0</v>
      </c>
      <c r="EU7" s="1">
        <f t="shared" si="242"/>
        <v>1</v>
      </c>
      <c r="EV7" s="1">
        <f t="shared" si="242"/>
        <v>0</v>
      </c>
      <c r="EW7" s="1">
        <f t="shared" si="242"/>
        <v>0</v>
      </c>
      <c r="EX7" s="1">
        <f t="shared" si="242"/>
        <v>0</v>
      </c>
      <c r="EY7" s="1">
        <f t="shared" si="242"/>
        <v>0</v>
      </c>
      <c r="EZ7" s="1">
        <f t="shared" si="242"/>
        <v>0</v>
      </c>
      <c r="FA7" s="1"/>
      <c r="FB7" s="1"/>
      <c r="FD7" s="36"/>
      <c r="FG7" s="3" t="s">
        <v>463</v>
      </c>
      <c r="FH7" s="1">
        <v>0</v>
      </c>
      <c r="FI7" s="1">
        <f>IF(AND(FH6=2,FI6&lt;&gt;2),1,0)</f>
        <v>0</v>
      </c>
      <c r="FJ7" s="1">
        <f t="shared" ref="FJ7:FP7" si="243">IF(AND(FI6=2,FJ6&lt;&gt;2),1,0)</f>
        <v>0</v>
      </c>
      <c r="FK7" s="1">
        <f t="shared" si="243"/>
        <v>1</v>
      </c>
      <c r="FL7" s="1">
        <f t="shared" si="243"/>
        <v>0</v>
      </c>
      <c r="FM7" s="1">
        <f t="shared" si="243"/>
        <v>0</v>
      </c>
      <c r="FN7" s="1">
        <f t="shared" si="243"/>
        <v>0</v>
      </c>
      <c r="FO7" s="1">
        <f t="shared" si="243"/>
        <v>0</v>
      </c>
      <c r="FP7" s="1">
        <f t="shared" si="243"/>
        <v>0</v>
      </c>
      <c r="FQ7" s="1"/>
      <c r="FR7" s="1"/>
      <c r="FT7" s="36"/>
      <c r="FW7" s="3" t="s">
        <v>464</v>
      </c>
      <c r="FX7" s="1">
        <v>0</v>
      </c>
      <c r="FY7" s="1">
        <f>IF(AND(FX6=2,FY6&lt;&gt;2),1,0)</f>
        <v>0</v>
      </c>
      <c r="FZ7" s="1">
        <f t="shared" ref="FZ7:GF7" si="244">IF(AND(FY6=2,FZ6&lt;&gt;2),1,0)</f>
        <v>0</v>
      </c>
      <c r="GA7" s="1">
        <f t="shared" si="244"/>
        <v>0</v>
      </c>
      <c r="GB7" s="1">
        <f t="shared" si="244"/>
        <v>1</v>
      </c>
      <c r="GC7" s="1">
        <f t="shared" si="244"/>
        <v>0</v>
      </c>
      <c r="GD7" s="1">
        <f t="shared" si="244"/>
        <v>0</v>
      </c>
      <c r="GE7" s="1">
        <f t="shared" si="244"/>
        <v>0</v>
      </c>
      <c r="GF7" s="1">
        <f t="shared" si="244"/>
        <v>0</v>
      </c>
      <c r="GG7" s="1"/>
      <c r="GH7" s="1"/>
      <c r="GJ7" s="36"/>
      <c r="GM7" s="3" t="s">
        <v>465</v>
      </c>
      <c r="GN7" s="1">
        <v>0</v>
      </c>
      <c r="GO7" s="1">
        <f>IF(AND(GN6=2,GO6&lt;&gt;2),1,0)</f>
        <v>0</v>
      </c>
      <c r="GP7" s="1">
        <f t="shared" ref="GP7:GV7" si="245">IF(AND(GO6=2,GP6&lt;&gt;2),1,0)</f>
        <v>0</v>
      </c>
      <c r="GQ7" s="1">
        <f t="shared" si="245"/>
        <v>0</v>
      </c>
      <c r="GR7" s="1">
        <f t="shared" si="245"/>
        <v>1</v>
      </c>
      <c r="GS7" s="1">
        <f t="shared" si="245"/>
        <v>0</v>
      </c>
      <c r="GT7" s="1">
        <f t="shared" si="245"/>
        <v>0</v>
      </c>
      <c r="GU7" s="1">
        <f t="shared" si="245"/>
        <v>0</v>
      </c>
      <c r="GV7" s="1">
        <f t="shared" si="245"/>
        <v>0</v>
      </c>
      <c r="GW7" s="1"/>
      <c r="GX7" s="1"/>
      <c r="GY7" s="1"/>
      <c r="GZ7" s="36"/>
      <c r="HA7" s="1"/>
      <c r="HB7" s="1"/>
      <c r="HC7" s="3" t="s">
        <v>466</v>
      </c>
      <c r="HD7" s="1">
        <v>0</v>
      </c>
      <c r="HE7" s="1">
        <f>IF(AND(HD6=2,HE6&lt;&gt;2),1,0)</f>
        <v>0</v>
      </c>
      <c r="HF7" s="1">
        <f t="shared" ref="HF7:HL7" si="246">IF(AND(HE6=2,HF6&lt;&gt;2),1,0)</f>
        <v>0</v>
      </c>
      <c r="HG7" s="1">
        <f t="shared" si="246"/>
        <v>0</v>
      </c>
      <c r="HH7" s="1">
        <f t="shared" si="246"/>
        <v>0</v>
      </c>
      <c r="HI7" s="1">
        <f t="shared" si="246"/>
        <v>1</v>
      </c>
      <c r="HJ7" s="1">
        <f t="shared" si="246"/>
        <v>0</v>
      </c>
      <c r="HK7" s="1">
        <f t="shared" si="246"/>
        <v>0</v>
      </c>
      <c r="HL7" s="1">
        <f t="shared" si="246"/>
        <v>0</v>
      </c>
      <c r="HM7" s="1"/>
      <c r="HN7" s="1"/>
      <c r="HO7" s="1"/>
      <c r="HP7" s="36"/>
      <c r="HQ7" s="1"/>
      <c r="HR7" s="1"/>
      <c r="HS7" s="3" t="s">
        <v>467</v>
      </c>
      <c r="HT7" s="1">
        <v>0</v>
      </c>
      <c r="HU7" s="1">
        <f>IF(AND(HT6=2,HU6&lt;&gt;2),1,0)</f>
        <v>0</v>
      </c>
      <c r="HV7" s="1">
        <f t="shared" ref="HV7:IB7" si="247">IF(AND(HU6=2,HV6&lt;&gt;2),1,0)</f>
        <v>0</v>
      </c>
      <c r="HW7" s="1">
        <f t="shared" si="247"/>
        <v>0</v>
      </c>
      <c r="HX7" s="1">
        <f t="shared" si="247"/>
        <v>0</v>
      </c>
      <c r="HY7" s="1">
        <f t="shared" si="247"/>
        <v>1</v>
      </c>
      <c r="HZ7" s="1">
        <f t="shared" si="247"/>
        <v>0</v>
      </c>
      <c r="IA7" s="1">
        <f t="shared" si="247"/>
        <v>0</v>
      </c>
      <c r="IB7" s="1">
        <f t="shared" si="247"/>
        <v>0</v>
      </c>
      <c r="IC7" s="1"/>
      <c r="ID7" s="1"/>
      <c r="IF7" s="36"/>
      <c r="II7" s="3" t="s">
        <v>468</v>
      </c>
      <c r="IJ7" s="1">
        <v>0</v>
      </c>
      <c r="IK7" s="1">
        <f>IF(AND(IJ6=2,IK6&lt;&gt;2),1,0)</f>
        <v>0</v>
      </c>
      <c r="IL7" s="1">
        <f t="shared" ref="IL7:IR7" si="248">IF(AND(IK6=2,IL6&lt;&gt;2),1,0)</f>
        <v>0</v>
      </c>
      <c r="IM7" s="1">
        <f t="shared" si="248"/>
        <v>0</v>
      </c>
      <c r="IN7" s="1">
        <f t="shared" si="248"/>
        <v>0</v>
      </c>
      <c r="IO7" s="1">
        <f t="shared" si="248"/>
        <v>0</v>
      </c>
      <c r="IP7" s="1">
        <f t="shared" si="248"/>
        <v>1</v>
      </c>
      <c r="IQ7" s="1">
        <f t="shared" si="248"/>
        <v>0</v>
      </c>
      <c r="IR7" s="1">
        <f t="shared" si="248"/>
        <v>0</v>
      </c>
      <c r="IS7" s="1"/>
      <c r="IT7" s="1"/>
      <c r="IU7" s="1"/>
      <c r="IV7" s="36"/>
      <c r="IW7" s="1"/>
      <c r="IY7" s="3" t="s">
        <v>469</v>
      </c>
      <c r="IZ7" s="1">
        <v>0</v>
      </c>
      <c r="JA7" s="1">
        <f>IF(AND(IZ6=2,JA6&lt;&gt;2),1,0)</f>
        <v>0</v>
      </c>
      <c r="JB7" s="1">
        <f t="shared" ref="JB7:JH7" si="249">IF(AND(JA6=2,JB6&lt;&gt;2),1,0)</f>
        <v>0</v>
      </c>
      <c r="JC7" s="1">
        <f t="shared" si="249"/>
        <v>0</v>
      </c>
      <c r="JD7" s="1">
        <f t="shared" si="249"/>
        <v>1</v>
      </c>
      <c r="JE7" s="1">
        <f t="shared" si="249"/>
        <v>0</v>
      </c>
      <c r="JF7" s="1">
        <f t="shared" si="249"/>
        <v>0</v>
      </c>
      <c r="JG7" s="1">
        <f t="shared" si="249"/>
        <v>0</v>
      </c>
      <c r="JH7" s="1">
        <f t="shared" si="249"/>
        <v>0</v>
      </c>
      <c r="JI7" s="1"/>
      <c r="JJ7" s="1"/>
      <c r="JK7" s="1"/>
      <c r="JL7" s="36"/>
      <c r="JM7" s="1"/>
      <c r="JO7" s="3" t="s">
        <v>470</v>
      </c>
      <c r="JP7" s="1">
        <v>0</v>
      </c>
      <c r="JQ7" s="1">
        <f>IF(AND(JP6=2,JQ6&lt;&gt;2),1,0)</f>
        <v>0</v>
      </c>
      <c r="JR7" s="1">
        <f t="shared" ref="JR7:JX7" si="250">IF(AND(JQ6=2,JR6&lt;&gt;2),1,0)</f>
        <v>0</v>
      </c>
      <c r="JS7" s="1">
        <f t="shared" si="250"/>
        <v>0</v>
      </c>
      <c r="JT7" s="1">
        <f t="shared" si="250"/>
        <v>1</v>
      </c>
      <c r="JU7" s="1">
        <f t="shared" si="250"/>
        <v>0</v>
      </c>
      <c r="JV7" s="1">
        <f t="shared" si="250"/>
        <v>0</v>
      </c>
      <c r="JW7" s="1">
        <f t="shared" si="250"/>
        <v>0</v>
      </c>
      <c r="JX7" s="1">
        <f t="shared" si="250"/>
        <v>0</v>
      </c>
      <c r="JY7" s="1"/>
      <c r="JZ7" s="1"/>
      <c r="KA7" s="1"/>
      <c r="KB7" s="36"/>
      <c r="KC7" s="1"/>
      <c r="KE7" s="3" t="s">
        <v>471</v>
      </c>
      <c r="KF7" s="1">
        <v>0</v>
      </c>
      <c r="KG7" s="1">
        <f>IF(AND(KF6=2,KG6&lt;&gt;2),1,0)</f>
        <v>0</v>
      </c>
      <c r="KH7" s="1">
        <f t="shared" ref="KH7:KN7" si="251">IF(AND(KG6=2,KH6&lt;&gt;2),1,0)</f>
        <v>0</v>
      </c>
      <c r="KI7" s="1">
        <f t="shared" si="251"/>
        <v>0</v>
      </c>
      <c r="KJ7" s="1">
        <f t="shared" si="251"/>
        <v>0</v>
      </c>
      <c r="KK7" s="1">
        <f t="shared" si="251"/>
        <v>0</v>
      </c>
      <c r="KL7" s="1">
        <f t="shared" si="251"/>
        <v>0</v>
      </c>
      <c r="KM7" s="1">
        <f t="shared" si="251"/>
        <v>0</v>
      </c>
      <c r="KN7" s="1">
        <f t="shared" si="251"/>
        <v>0</v>
      </c>
      <c r="KO7" s="1"/>
      <c r="KP7" s="1"/>
      <c r="KQ7" s="1"/>
      <c r="KR7" s="36"/>
      <c r="KS7" s="1"/>
      <c r="KU7" s="3" t="s">
        <v>472</v>
      </c>
      <c r="KV7" s="1">
        <v>0</v>
      </c>
      <c r="KW7" s="1">
        <f>IF(AND(KV6=2,KW6&lt;&gt;2),1,0)</f>
        <v>0</v>
      </c>
      <c r="KX7" s="1">
        <f t="shared" ref="KX7:LD7" si="252">IF(AND(KW6=2,KX6&lt;&gt;2),1,0)</f>
        <v>0</v>
      </c>
      <c r="KY7" s="1">
        <f t="shared" si="252"/>
        <v>0</v>
      </c>
      <c r="KZ7" s="1">
        <f t="shared" si="252"/>
        <v>0</v>
      </c>
      <c r="LA7" s="1">
        <f t="shared" si="252"/>
        <v>0</v>
      </c>
      <c r="LB7" s="1">
        <f t="shared" si="252"/>
        <v>0</v>
      </c>
      <c r="LC7" s="1">
        <f t="shared" si="252"/>
        <v>0</v>
      </c>
      <c r="LD7" s="1">
        <f t="shared" si="252"/>
        <v>0</v>
      </c>
      <c r="LE7" s="1"/>
      <c r="LF7" s="1"/>
      <c r="LG7" s="1"/>
      <c r="LH7" s="36"/>
      <c r="LI7" s="1"/>
      <c r="LK7" s="3" t="s">
        <v>473</v>
      </c>
      <c r="LL7" s="1">
        <v>0</v>
      </c>
      <c r="LM7" s="1">
        <f>IF(AND(LL6=2,LM6&lt;&gt;2),1,0)</f>
        <v>0</v>
      </c>
      <c r="LN7" s="1">
        <f t="shared" ref="LN7:LT7" si="253">IF(AND(LM6=2,LN6&lt;&gt;2),1,0)</f>
        <v>0</v>
      </c>
      <c r="LO7" s="1">
        <f t="shared" si="253"/>
        <v>0</v>
      </c>
      <c r="LP7" s="1">
        <f t="shared" si="253"/>
        <v>0</v>
      </c>
      <c r="LQ7" s="1">
        <f t="shared" si="253"/>
        <v>0</v>
      </c>
      <c r="LR7" s="1">
        <f t="shared" si="253"/>
        <v>0</v>
      </c>
      <c r="LS7" s="1">
        <f t="shared" si="253"/>
        <v>0</v>
      </c>
      <c r="LT7" s="1">
        <f t="shared" si="253"/>
        <v>0</v>
      </c>
      <c r="LU7" s="1"/>
      <c r="LV7" s="1"/>
      <c r="LW7" s="1"/>
      <c r="LX7" s="36"/>
      <c r="LY7" s="1"/>
      <c r="MA7" s="3" t="s">
        <v>474</v>
      </c>
      <c r="MB7" s="1">
        <v>0</v>
      </c>
      <c r="MC7" s="1">
        <f>IF(AND(MB6=2,MC6&lt;&gt;2),1,0)</f>
        <v>0</v>
      </c>
      <c r="MD7" s="1">
        <f t="shared" ref="MD7:MJ7" si="254">IF(AND(MC6=2,MD6&lt;&gt;2),1,0)</f>
        <v>0</v>
      </c>
      <c r="ME7" s="1">
        <f t="shared" si="254"/>
        <v>0</v>
      </c>
      <c r="MF7" s="1">
        <f t="shared" si="254"/>
        <v>0</v>
      </c>
      <c r="MG7" s="1">
        <f t="shared" si="254"/>
        <v>0</v>
      </c>
      <c r="MH7" s="1">
        <f t="shared" si="254"/>
        <v>0</v>
      </c>
      <c r="MI7" s="1">
        <f t="shared" si="254"/>
        <v>0</v>
      </c>
      <c r="MJ7" s="1">
        <f t="shared" si="254"/>
        <v>0</v>
      </c>
      <c r="MK7" s="1"/>
      <c r="ML7" s="1"/>
      <c r="MM7" s="1"/>
      <c r="MN7" s="36"/>
      <c r="MO7" s="1"/>
      <c r="MQ7" s="3" t="s">
        <v>475</v>
      </c>
      <c r="MR7" s="1">
        <v>0</v>
      </c>
      <c r="MS7" s="1">
        <f>IF(AND(MR6=2,MS6&lt;&gt;2),1,0)</f>
        <v>0</v>
      </c>
      <c r="MT7" s="1">
        <f t="shared" ref="MT7:MZ7" si="255">IF(AND(MS6=2,MT6&lt;&gt;2),1,0)</f>
        <v>0</v>
      </c>
      <c r="MU7" s="1">
        <f t="shared" si="255"/>
        <v>0</v>
      </c>
      <c r="MV7" s="1">
        <f t="shared" si="255"/>
        <v>0</v>
      </c>
      <c r="MW7" s="1">
        <f t="shared" si="255"/>
        <v>0</v>
      </c>
      <c r="MX7" s="1">
        <f t="shared" si="255"/>
        <v>0</v>
      </c>
      <c r="MY7" s="1">
        <f t="shared" si="255"/>
        <v>0</v>
      </c>
      <c r="MZ7" s="1">
        <f t="shared" si="255"/>
        <v>0</v>
      </c>
      <c r="NA7" s="1"/>
      <c r="NB7" s="1"/>
      <c r="NC7" s="1"/>
      <c r="ND7" s="36"/>
      <c r="NE7" s="1"/>
      <c r="NG7" s="3" t="s">
        <v>476</v>
      </c>
      <c r="NH7" s="1">
        <v>0</v>
      </c>
      <c r="NI7" s="1">
        <f>IF(AND(NH6=2,NI6&lt;&gt;2),1,0)</f>
        <v>0</v>
      </c>
      <c r="NJ7" s="1">
        <f t="shared" ref="NJ7:NP7" si="256">IF(AND(NI6=2,NJ6&lt;&gt;2),1,0)</f>
        <v>0</v>
      </c>
      <c r="NK7" s="1">
        <f t="shared" si="256"/>
        <v>0</v>
      </c>
      <c r="NL7" s="1">
        <f t="shared" si="256"/>
        <v>0</v>
      </c>
      <c r="NM7" s="1">
        <f t="shared" si="256"/>
        <v>0</v>
      </c>
      <c r="NN7" s="1">
        <f t="shared" si="256"/>
        <v>0</v>
      </c>
      <c r="NO7" s="1">
        <f t="shared" si="256"/>
        <v>0</v>
      </c>
      <c r="NP7" s="1">
        <f t="shared" si="256"/>
        <v>0</v>
      </c>
      <c r="NQ7" s="1"/>
      <c r="NR7" s="1"/>
      <c r="NS7" s="1"/>
      <c r="NT7" s="36"/>
      <c r="NU7" s="1"/>
      <c r="NW7" s="3" t="s">
        <v>477</v>
      </c>
      <c r="NX7" s="1">
        <v>0</v>
      </c>
      <c r="NY7" s="1">
        <f>IF(AND(NX6=2,NY6&lt;&gt;2),1,0)</f>
        <v>0</v>
      </c>
      <c r="NZ7" s="1">
        <f t="shared" ref="NZ7:OF7" si="257">IF(AND(NY6=2,NZ6&lt;&gt;2),1,0)</f>
        <v>0</v>
      </c>
      <c r="OA7" s="1">
        <f t="shared" si="257"/>
        <v>0</v>
      </c>
      <c r="OB7" s="1">
        <f t="shared" si="257"/>
        <v>0</v>
      </c>
      <c r="OC7" s="1">
        <f t="shared" si="257"/>
        <v>0</v>
      </c>
      <c r="OD7" s="1">
        <f t="shared" si="257"/>
        <v>0</v>
      </c>
      <c r="OE7" s="1">
        <f t="shared" si="257"/>
        <v>0</v>
      </c>
      <c r="OF7" s="1">
        <f t="shared" si="257"/>
        <v>0</v>
      </c>
      <c r="OG7" s="1"/>
      <c r="OH7" s="1"/>
      <c r="OJ7" s="36"/>
      <c r="OL7" s="1"/>
      <c r="OM7" s="1"/>
      <c r="ON7" s="1"/>
      <c r="OO7" s="1"/>
      <c r="OP7" s="1"/>
      <c r="OQ7" s="1"/>
      <c r="OR7" s="1"/>
      <c r="OS7" s="1"/>
      <c r="OT7" s="1"/>
      <c r="OU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K7" s="3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L7" s="3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Z7" s="3"/>
      <c r="RA7" s="1"/>
      <c r="RB7" s="1"/>
      <c r="RC7" s="1"/>
      <c r="RD7" s="1"/>
      <c r="RE7" s="1"/>
      <c r="RF7" s="1"/>
      <c r="RG7" s="1"/>
      <c r="RH7" s="1"/>
      <c r="RI7" s="1"/>
      <c r="RN7" s="3"/>
      <c r="RO7" s="1"/>
      <c r="RP7" s="1"/>
      <c r="RQ7" s="1"/>
      <c r="RR7" s="1"/>
      <c r="RS7" s="1"/>
      <c r="RT7" s="1"/>
      <c r="RU7" s="1"/>
      <c r="RV7" s="1"/>
      <c r="RW7" s="1"/>
      <c r="SB7" s="3"/>
      <c r="SC7" s="1"/>
      <c r="SD7" s="1"/>
      <c r="SE7" s="1"/>
      <c r="SF7" s="1"/>
      <c r="SG7" s="1"/>
      <c r="SH7" s="1"/>
      <c r="SI7" s="1"/>
      <c r="SJ7" s="1"/>
      <c r="SK7" s="1"/>
    </row>
    <row r="8" spans="1:505" x14ac:dyDescent="0.2">
      <c r="A8" s="3" t="s">
        <v>478</v>
      </c>
      <c r="B8" s="3"/>
      <c r="O8" s="3"/>
      <c r="P8" s="1"/>
      <c r="Q8" s="4"/>
      <c r="R8" s="4"/>
      <c r="S8" s="4"/>
      <c r="T8" s="4"/>
      <c r="U8" s="4"/>
      <c r="V8" s="4"/>
      <c r="W8" s="4"/>
      <c r="X8" s="4"/>
      <c r="Y8" s="4"/>
      <c r="Z8" s="4"/>
      <c r="AG8" s="3"/>
      <c r="AH8" s="1"/>
      <c r="AI8" s="1"/>
      <c r="AJ8" s="1"/>
      <c r="AK8" s="1"/>
      <c r="AL8" s="1"/>
      <c r="AM8" s="1"/>
      <c r="AN8" s="1"/>
      <c r="AO8" s="1"/>
      <c r="AP8" s="1"/>
      <c r="AQ8" s="4"/>
      <c r="AR8" s="4"/>
      <c r="AY8" s="3" t="s">
        <v>479</v>
      </c>
      <c r="AZ8" s="1">
        <v>0</v>
      </c>
      <c r="BA8" s="1">
        <f>IF(BA7=1,Results!C5+1,AZ8)</f>
        <v>0</v>
      </c>
      <c r="BB8" s="1">
        <f>IF(BB7=1,Results!D5+1,BA8)</f>
        <v>0</v>
      </c>
      <c r="BC8" s="1">
        <f>IF(BC7=1,Results!E5+1,BB8)</f>
        <v>0</v>
      </c>
      <c r="BD8" s="1">
        <f>IF(BD7=1,Results!F5+1,BC8)</f>
        <v>0</v>
      </c>
      <c r="BE8" s="1">
        <f>IF(BE7=1,Results!G5+1,BD8)</f>
        <v>0</v>
      </c>
      <c r="BF8" s="1">
        <f>IF(BF7=1,Results!H5+1,BE8)</f>
        <v>0</v>
      </c>
      <c r="BG8" s="1">
        <f>IF(BG7=1,Results!I5+1,BF8)</f>
        <v>0</v>
      </c>
      <c r="BH8" s="1">
        <f>IF(BH7=1,Results!J5+1,BG8)</f>
        <v>0</v>
      </c>
      <c r="BI8" s="4"/>
      <c r="BJ8" s="4"/>
      <c r="BL8" s="36"/>
      <c r="BO8" s="3" t="s">
        <v>480</v>
      </c>
      <c r="BP8" s="1">
        <v>0</v>
      </c>
      <c r="BQ8" s="4">
        <f>IF(BQ7=1,Results!C5+1,BP8)</f>
        <v>0</v>
      </c>
      <c r="BR8" s="4">
        <f>IF(BR7=1,Results!D5+1,BQ8)</f>
        <v>3</v>
      </c>
      <c r="BS8" s="4">
        <f>IF(BS7=1,Results!E5+1,BR8)</f>
        <v>3</v>
      </c>
      <c r="BT8" s="4">
        <f>IF(BT7=1,Results!F5+1,BS8)</f>
        <v>3</v>
      </c>
      <c r="BU8" s="4">
        <f>IF(BU7=1,Results!G5+1,BT8)</f>
        <v>3</v>
      </c>
      <c r="BV8" s="4">
        <f>IF(BV7=1,Results!H5+1,BU8)</f>
        <v>3</v>
      </c>
      <c r="BW8" s="4">
        <f>IF(BW7=1,Results!I5+1,BV8)</f>
        <v>3</v>
      </c>
      <c r="BX8" s="4">
        <f>IF(BX7=1,Results!J5+1,BW8)</f>
        <v>3</v>
      </c>
      <c r="BY8" s="4"/>
      <c r="BZ8" s="4"/>
      <c r="CB8" s="36"/>
      <c r="CE8" s="3" t="s">
        <v>481</v>
      </c>
      <c r="CF8" s="1">
        <v>0</v>
      </c>
      <c r="CG8" s="4">
        <f>IF(CG7=1,Results!C5+1,CF8)</f>
        <v>0</v>
      </c>
      <c r="CH8" s="4">
        <f>IF(CH7=1,Results!D5+1,CG8)</f>
        <v>0</v>
      </c>
      <c r="CI8" s="4">
        <f>IF(CI7=1,Results!E5+1,CH8)</f>
        <v>0</v>
      </c>
      <c r="CJ8" s="4">
        <f>IF(CJ7=1,Results!F5+1,CI8)</f>
        <v>0</v>
      </c>
      <c r="CK8" s="4">
        <f>IF(CK7=1,Results!G5+1,CJ8)</f>
        <v>0</v>
      </c>
      <c r="CL8" s="4">
        <f>IF(CL7=1,Results!H5+1,CK8)</f>
        <v>0</v>
      </c>
      <c r="CM8" s="4">
        <f>IF(CM7=1,Results!I5+1,CL8)</f>
        <v>0</v>
      </c>
      <c r="CN8" s="4">
        <f>IF(CN7=1,Results!J5+1,CM8)</f>
        <v>0</v>
      </c>
      <c r="CO8" s="4"/>
      <c r="CP8" s="4"/>
      <c r="CR8" s="36"/>
      <c r="CU8" s="3" t="s">
        <v>482</v>
      </c>
      <c r="CV8" s="1">
        <v>0</v>
      </c>
      <c r="CW8" s="4">
        <f>IF(CW7=1,Results!C5+1,CV8)</f>
        <v>0</v>
      </c>
      <c r="CX8" s="4">
        <f>IF(CX7=1,Results!D5+1,CW8)</f>
        <v>0</v>
      </c>
      <c r="CY8" s="4">
        <f>IF(CY7=1,Results!E5+1,CX8)</f>
        <v>0</v>
      </c>
      <c r="CZ8" s="4">
        <f>IF(CZ7=1,Results!F5+1,CY8)</f>
        <v>0</v>
      </c>
      <c r="DA8" s="4">
        <f>IF(DA7=1,Results!G5+1,CZ8)</f>
        <v>0</v>
      </c>
      <c r="DB8" s="4">
        <f>IF(DB7=1,Results!H5+1,DA8)</f>
        <v>0</v>
      </c>
      <c r="DC8" s="4">
        <f>IF(DC7=1,Results!I5+1,DB8)</f>
        <v>0</v>
      </c>
      <c r="DD8" s="4">
        <f>IF(DD7=1,Results!J5+1,DC8)</f>
        <v>0</v>
      </c>
      <c r="DE8" s="4"/>
      <c r="DF8" s="4"/>
      <c r="DH8" s="36"/>
      <c r="DK8" s="3" t="s">
        <v>483</v>
      </c>
      <c r="DL8" s="1">
        <v>0</v>
      </c>
      <c r="DM8" s="4">
        <f>IF(DM7=1,Results!C5+1,DL8)</f>
        <v>0</v>
      </c>
      <c r="DN8" s="4">
        <f>IF(DN7=1,Results!D5+1,DM8)</f>
        <v>0</v>
      </c>
      <c r="DO8" s="4">
        <f>IF(DO7=1,Results!E5+1,DN8)</f>
        <v>0</v>
      </c>
      <c r="DP8" s="4">
        <f>IF(DP7=1,Results!F5+1,DO8)</f>
        <v>0</v>
      </c>
      <c r="DQ8" s="4">
        <f>IF(DQ7=1,Results!G5+1,DP8)</f>
        <v>0</v>
      </c>
      <c r="DR8" s="4">
        <f>IF(DR7=1,Results!H5+1,DQ8)</f>
        <v>0</v>
      </c>
      <c r="DS8" s="4">
        <f>IF(DS7=1,Results!I5+1,DR8)</f>
        <v>0</v>
      </c>
      <c r="DT8" s="4">
        <f>IF(DT7=1,Results!J5+1,DS8)</f>
        <v>0</v>
      </c>
      <c r="DU8" s="4"/>
      <c r="DV8" s="4"/>
      <c r="DX8" s="36"/>
      <c r="EA8" s="3" t="s">
        <v>484</v>
      </c>
      <c r="EB8" s="1">
        <v>0</v>
      </c>
      <c r="EC8" s="4">
        <f>IF(EC7=1,Results!C5+1,EB8)</f>
        <v>0</v>
      </c>
      <c r="ED8" s="4">
        <f>IF(ED7=1,Results!D5+1,EC8)</f>
        <v>3</v>
      </c>
      <c r="EE8" s="4">
        <f>IF(EE7=1,Results!E5+1,ED8)</f>
        <v>3</v>
      </c>
      <c r="EF8" s="4">
        <f>IF(EF7=1,Results!F5+1,EE8)</f>
        <v>3</v>
      </c>
      <c r="EG8" s="4">
        <f>IF(EG7=1,Results!G5+1,EF8)</f>
        <v>3</v>
      </c>
      <c r="EH8" s="4">
        <f>IF(EH7=1,Results!H5+1,EG8)</f>
        <v>3</v>
      </c>
      <c r="EI8" s="4">
        <f>IF(EI7=1,Results!I5+1,EH8)</f>
        <v>3</v>
      </c>
      <c r="EJ8" s="4">
        <f>IF(EJ7=1,Results!J5+1,EI8)</f>
        <v>3</v>
      </c>
      <c r="EK8" s="4"/>
      <c r="EL8" s="4"/>
      <c r="EN8" s="36"/>
      <c r="EQ8" s="3" t="s">
        <v>485</v>
      </c>
      <c r="ER8" s="1">
        <v>0</v>
      </c>
      <c r="ES8" s="4">
        <f>IF(ES7=1,Results!C5+1,ER8)</f>
        <v>0</v>
      </c>
      <c r="ET8" s="4">
        <f>IF(ET7=1,Results!D5+1,ES8)</f>
        <v>0</v>
      </c>
      <c r="EU8" s="4">
        <f>IF(EU7=1,Results!E5+1,ET8)</f>
        <v>4</v>
      </c>
      <c r="EV8" s="4">
        <f>IF(EV7=1,Results!F5+1,EU8)</f>
        <v>4</v>
      </c>
      <c r="EW8" s="4">
        <f>IF(EW7=1,Results!G5+1,EV8)</f>
        <v>4</v>
      </c>
      <c r="EX8" s="4">
        <f>IF(EX7=1,Results!H5+1,EW8)</f>
        <v>4</v>
      </c>
      <c r="EY8" s="4">
        <f>IF(EY7=1,Results!I5+1,EX8)</f>
        <v>4</v>
      </c>
      <c r="EZ8" s="1">
        <f>IF(EZ7=1,Results!J5+1,EY8)</f>
        <v>4</v>
      </c>
      <c r="FA8" s="4"/>
      <c r="FB8" s="1"/>
      <c r="FD8" s="36"/>
      <c r="FG8" s="3" t="s">
        <v>486</v>
      </c>
      <c r="FH8" s="1">
        <v>0</v>
      </c>
      <c r="FI8" s="4">
        <f>IF(FI7=1,Results!C5+1,FH8)</f>
        <v>0</v>
      </c>
      <c r="FJ8" s="4">
        <f>IF(FJ7=1,Results!D5+1,FI8)</f>
        <v>0</v>
      </c>
      <c r="FK8" s="4">
        <f>IF(FK7=1,Results!E5+1,FJ8)</f>
        <v>4</v>
      </c>
      <c r="FL8" s="4">
        <f>IF(FL7=1,Results!F5+1,FK8)</f>
        <v>4</v>
      </c>
      <c r="FM8" s="4">
        <f>IF(FM7=1,Results!G5+1,FL8)</f>
        <v>4</v>
      </c>
      <c r="FN8" s="4">
        <f>IF(FN7=1,Results!H5+1,FM8)</f>
        <v>4</v>
      </c>
      <c r="FO8" s="4">
        <f>IF(FO7=1,Results!I5+1,FN8)</f>
        <v>4</v>
      </c>
      <c r="FP8" s="1">
        <f>IF(FP7=1,Results!J5+1,FO8)</f>
        <v>4</v>
      </c>
      <c r="FQ8" s="4"/>
      <c r="FR8" s="1"/>
      <c r="FT8" s="36"/>
      <c r="FW8" s="3" t="s">
        <v>487</v>
      </c>
      <c r="FX8" s="1">
        <v>0</v>
      </c>
      <c r="FY8" s="4">
        <f>IF(FY7=1,Results!C5+1,FX8)</f>
        <v>0</v>
      </c>
      <c r="FZ8" s="4">
        <f>IF(FZ7=1,Results!D5+1,FY8)</f>
        <v>0</v>
      </c>
      <c r="GA8" s="4">
        <f>IF(GA7=1,Results!E5+1,FZ8)</f>
        <v>0</v>
      </c>
      <c r="GB8" s="4">
        <f>IF(GB7=1,Results!F5+1,GA8)</f>
        <v>5</v>
      </c>
      <c r="GC8" s="4">
        <f>IF(GC7=1,Results!G5+1,GB8)</f>
        <v>5</v>
      </c>
      <c r="GD8" s="4">
        <f>IF(GD7=1,Results!H5+1,GC8)</f>
        <v>5</v>
      </c>
      <c r="GE8" s="4">
        <f>IF(GE7=1,Results!I5+1,GD8)</f>
        <v>5</v>
      </c>
      <c r="GF8" s="1">
        <f>IF(GF7=1,Results!J5+1,GE8)</f>
        <v>5</v>
      </c>
      <c r="GG8" s="4"/>
      <c r="GH8" s="4"/>
      <c r="GJ8" s="36"/>
      <c r="GM8" s="3" t="s">
        <v>488</v>
      </c>
      <c r="GN8" s="1">
        <v>0</v>
      </c>
      <c r="GO8" s="4">
        <f>IF(GO7=1,Results!C5+1,GN8)</f>
        <v>0</v>
      </c>
      <c r="GP8" s="1">
        <f>IF(GP7=1,Results!D5+1,GO8)</f>
        <v>0</v>
      </c>
      <c r="GQ8" s="1">
        <f>IF(GQ7=1,Results!E5+1,GP8)</f>
        <v>0</v>
      </c>
      <c r="GR8" s="1">
        <f>IF(GR7=1,Results!F5+1,GQ8)</f>
        <v>5</v>
      </c>
      <c r="GS8" s="1">
        <f>IF(GS7=1,Results!G5+1,GR8)</f>
        <v>5</v>
      </c>
      <c r="GT8" s="1">
        <f>IF(GT7=1,Results!H5+1,GS8)</f>
        <v>5</v>
      </c>
      <c r="GU8" s="1">
        <f>IF(GU7=1,Results!I5+1,GT8)</f>
        <v>5</v>
      </c>
      <c r="GV8" s="1">
        <f>IF(GV7=1,Results!J5+1,GU8)</f>
        <v>5</v>
      </c>
      <c r="GW8" s="1"/>
      <c r="GX8" s="1"/>
      <c r="GY8" s="1"/>
      <c r="GZ8" s="36"/>
      <c r="HA8" s="1"/>
      <c r="HB8" s="1"/>
      <c r="HC8" s="3" t="s">
        <v>489</v>
      </c>
      <c r="HD8" s="1">
        <v>0</v>
      </c>
      <c r="HE8" s="1">
        <f>IF(HE7=1,Results!C5+1,HD8)</f>
        <v>0</v>
      </c>
      <c r="HF8" s="1">
        <f>IF(HF7=1,Results!D5+1,HE8)</f>
        <v>0</v>
      </c>
      <c r="HG8" s="1">
        <f>IF(HG7=1,Results!E5+1,HF8)</f>
        <v>0</v>
      </c>
      <c r="HH8" s="1">
        <f>IF(HH7=1,Results!F5+1,HG8)</f>
        <v>0</v>
      </c>
      <c r="HI8" s="1">
        <f>IF(HI7=1,Results!G5+1,HH8)</f>
        <v>6</v>
      </c>
      <c r="HJ8" s="1">
        <f>IF(HJ7=1,Results!H5+1,HI8)</f>
        <v>6</v>
      </c>
      <c r="HK8" s="1">
        <f>IF(HK7=1,Results!I5+1,HJ8)</f>
        <v>6</v>
      </c>
      <c r="HL8" s="1">
        <f>IF(HL7=1,Results!J5+1,HK8)</f>
        <v>6</v>
      </c>
      <c r="HM8" s="1"/>
      <c r="HN8" s="1"/>
      <c r="HO8" s="1"/>
      <c r="HP8" s="36"/>
      <c r="HQ8" s="1"/>
      <c r="HR8" s="1"/>
      <c r="HS8" s="3" t="s">
        <v>490</v>
      </c>
      <c r="HT8" s="1">
        <v>0</v>
      </c>
      <c r="HU8" s="1">
        <f>IF(HU7=1,Results!C5+1,HT8)</f>
        <v>0</v>
      </c>
      <c r="HV8" s="1">
        <f>IF(HV7=1,Results!D5+1,HU8)</f>
        <v>0</v>
      </c>
      <c r="HW8" s="4">
        <f>IF(HW7=1,Results!E5+1,HV8)</f>
        <v>0</v>
      </c>
      <c r="HX8" s="4">
        <f>IF(HX7=1,Results!F5+1,HW8)</f>
        <v>0</v>
      </c>
      <c r="HY8" s="4">
        <f>IF(HY7=1,Results!G5+1,HX8)</f>
        <v>6</v>
      </c>
      <c r="HZ8" s="4">
        <f>IF(HZ7=1,Results!H5+1,HY8)</f>
        <v>6</v>
      </c>
      <c r="IA8" s="4">
        <f>IF(IA7=1,Results!I5+1,HZ8)</f>
        <v>6</v>
      </c>
      <c r="IB8" s="4">
        <f>IF(IB7=1,Results!J5+1,IA8)</f>
        <v>6</v>
      </c>
      <c r="IC8" s="4"/>
      <c r="ID8" s="4"/>
      <c r="IF8" s="36"/>
      <c r="II8" s="3" t="s">
        <v>491</v>
      </c>
      <c r="IJ8" s="1">
        <v>0</v>
      </c>
      <c r="IK8" s="4">
        <f>IF(IK7=1,Results!$C5+1,IJ8)</f>
        <v>0</v>
      </c>
      <c r="IL8" s="4">
        <f>IF(IL7=1,Results!$D5+1,IK8)</f>
        <v>0</v>
      </c>
      <c r="IM8" s="4">
        <f>IF(IM7=1,Results!$E5+1,IL8)</f>
        <v>0</v>
      </c>
      <c r="IN8" s="4">
        <f>IF(IN7=1,Results!$F5+1,IM8)</f>
        <v>0</v>
      </c>
      <c r="IO8" s="4">
        <f>IF(IO7=1,Results!$G5+1,IN8)</f>
        <v>0</v>
      </c>
      <c r="IP8" s="4">
        <f>IF(IP7=1,Results!$H5+1,IO8)</f>
        <v>7</v>
      </c>
      <c r="IQ8" s="4">
        <f>IF(IQ7=1,Results!$I5+1,IP8)</f>
        <v>7</v>
      </c>
      <c r="IR8" s="4">
        <f>IF(IR7=1,Results!$J5+1,IQ8)</f>
        <v>7</v>
      </c>
      <c r="IS8" s="4"/>
      <c r="IT8" s="4"/>
      <c r="IU8" s="4"/>
      <c r="IV8" s="36"/>
      <c r="IW8" s="4"/>
      <c r="IY8" s="3" t="s">
        <v>492</v>
      </c>
      <c r="IZ8" s="1">
        <v>0</v>
      </c>
      <c r="JA8" s="4">
        <f>IF(JA7=1,Results!$C5+1,IZ8)</f>
        <v>0</v>
      </c>
      <c r="JB8" s="4">
        <f>IF(JB7=1,Results!$D5+1,JA8)</f>
        <v>0</v>
      </c>
      <c r="JC8" s="4">
        <f>IF(JC7=1,Results!$E5+1,JB8)</f>
        <v>0</v>
      </c>
      <c r="JD8" s="4">
        <f>IF(JD7=1,Results!$F5+1,JC8)</f>
        <v>5</v>
      </c>
      <c r="JE8" s="4">
        <f>IF(JE7=1,Results!$G5+1,JD8)</f>
        <v>5</v>
      </c>
      <c r="JF8" s="4">
        <f>IF(JF7=1,Results!$H5+1,JE8)</f>
        <v>5</v>
      </c>
      <c r="JG8" s="4">
        <f>IF(JG7=1,Results!$I5+1,JF8)</f>
        <v>5</v>
      </c>
      <c r="JH8" s="4">
        <f>IF(JH7=1,Results!$J5+1,JG8)</f>
        <v>5</v>
      </c>
      <c r="JI8" s="4"/>
      <c r="JJ8" s="4"/>
      <c r="JK8" s="4"/>
      <c r="JL8" s="36"/>
      <c r="JM8" s="4"/>
      <c r="JO8" s="3" t="s">
        <v>493</v>
      </c>
      <c r="JP8" s="1">
        <v>0</v>
      </c>
      <c r="JQ8" s="4">
        <f>IF(JQ7=1,Results!$C5+1,JP8)</f>
        <v>0</v>
      </c>
      <c r="JR8" s="4">
        <f>IF(JR7=1,Results!$D5+1,JQ8)</f>
        <v>0</v>
      </c>
      <c r="JS8" s="4">
        <f>IF(JS7=1,Results!$E5+1,JR8)</f>
        <v>0</v>
      </c>
      <c r="JT8" s="4">
        <f>IF(JT7=1,Results!$F5+1,JS8)</f>
        <v>5</v>
      </c>
      <c r="JU8" s="4">
        <f>IF(JU7=1,Results!$G5+1,JT8)</f>
        <v>5</v>
      </c>
      <c r="JV8" s="4">
        <f>IF(JV7=1,Results!$H5+1,JU8)</f>
        <v>5</v>
      </c>
      <c r="JW8" s="4">
        <f>IF(JW7=1,Results!$I5+1,JV8)</f>
        <v>5</v>
      </c>
      <c r="JX8" s="4">
        <f>IF(JX7=1,Results!$J5+1,JW8)</f>
        <v>5</v>
      </c>
      <c r="JY8" s="4"/>
      <c r="JZ8" s="4"/>
      <c r="KA8" s="4"/>
      <c r="KB8" s="36"/>
      <c r="KC8" s="4"/>
      <c r="KE8" s="3" t="s">
        <v>494</v>
      </c>
      <c r="KF8" s="1">
        <v>0</v>
      </c>
      <c r="KG8" s="4">
        <f>IF(KG7=1,Results!C5+1,KF8)</f>
        <v>0</v>
      </c>
      <c r="KH8" s="4">
        <f>IF(KH7=1,Results!D5+1,KG8)</f>
        <v>0</v>
      </c>
      <c r="KI8" s="4">
        <f>IF(KI7=1,Results!E5+1,KH8)</f>
        <v>0</v>
      </c>
      <c r="KJ8" s="4">
        <f>IF(KJ7=1,Results!F5+1,KI8)</f>
        <v>0</v>
      </c>
      <c r="KK8" s="4">
        <f>IF(KK7=1,Results!G5+1,KJ8)</f>
        <v>0</v>
      </c>
      <c r="KL8" s="4">
        <f>IF(KL7=1,Results!H5+1,KK8)</f>
        <v>0</v>
      </c>
      <c r="KM8" s="4">
        <f>IF(KM7=1,Results!I5+1,KL8)</f>
        <v>0</v>
      </c>
      <c r="KN8" s="4">
        <f>IF(KN7=1,Results!J5+1,KM8)</f>
        <v>0</v>
      </c>
      <c r="KO8" s="4"/>
      <c r="KP8" s="4"/>
      <c r="KQ8" s="4"/>
      <c r="KR8" s="36"/>
      <c r="KS8" s="4"/>
      <c r="KU8" s="3" t="s">
        <v>495</v>
      </c>
      <c r="KV8" s="1">
        <v>0</v>
      </c>
      <c r="KW8" s="4">
        <f>IF(KW7=1,Results!C5+1,KV8)</f>
        <v>0</v>
      </c>
      <c r="KX8" s="4">
        <f>IF(KX7=1,Results!D5+1,KW8)</f>
        <v>0</v>
      </c>
      <c r="KY8" s="4">
        <f>IF(KY7=1,Results!E5+1,KX8)</f>
        <v>0</v>
      </c>
      <c r="KZ8" s="4">
        <f>IF(KZ7=1,Results!F5+1,KY8)</f>
        <v>0</v>
      </c>
      <c r="LA8" s="4">
        <f>IF(LA7=1,Results!G5+1,KZ8)</f>
        <v>0</v>
      </c>
      <c r="LB8" s="4">
        <f>IF(LB7=1,Results!H5+1,LA8)</f>
        <v>0</v>
      </c>
      <c r="LC8" s="4">
        <f>IF(LC7=1,Results!I5+1,LB8)</f>
        <v>0</v>
      </c>
      <c r="LD8" s="4">
        <f>IF(LD7=1,Results!J5+1,LC8)</f>
        <v>0</v>
      </c>
      <c r="LE8" s="4"/>
      <c r="LF8" s="4"/>
      <c r="LG8" s="4"/>
      <c r="LH8" s="36"/>
      <c r="LI8" s="4"/>
      <c r="LK8" s="3" t="s">
        <v>496</v>
      </c>
      <c r="LL8" s="1">
        <v>0</v>
      </c>
      <c r="LM8" s="4">
        <f>IF(LM7=1,Results!C5+1,LL8)</f>
        <v>0</v>
      </c>
      <c r="LN8" s="4">
        <f>IF(LN7=1,Results!D5+1,LM8)</f>
        <v>0</v>
      </c>
      <c r="LO8" s="4">
        <f>IF(LO7=1,Results!E5+1,LN8)</f>
        <v>0</v>
      </c>
      <c r="LP8" s="4">
        <f>IF(LP7=1,Results!F5+1,LO8)</f>
        <v>0</v>
      </c>
      <c r="LQ8" s="4">
        <f>IF(LQ7=1,Results!G5+1,LP8)</f>
        <v>0</v>
      </c>
      <c r="LR8" s="4">
        <f>IF(LR7=1,Results!H5+1,LQ8)</f>
        <v>0</v>
      </c>
      <c r="LS8" s="4">
        <f>IF(LS7=1,Results!I5+1,LR8)</f>
        <v>0</v>
      </c>
      <c r="LT8" s="4">
        <f>IF(LT7=1,Results!J5+1,LS8)</f>
        <v>0</v>
      </c>
      <c r="LU8" s="4"/>
      <c r="LV8" s="4"/>
      <c r="LW8" s="4"/>
      <c r="LX8" s="36"/>
      <c r="LY8" s="4"/>
      <c r="MA8" s="3" t="s">
        <v>497</v>
      </c>
      <c r="MB8" s="1">
        <v>0</v>
      </c>
      <c r="MC8" s="4">
        <f>IF(MC7=1,Results!C5+1,MB8)</f>
        <v>0</v>
      </c>
      <c r="MD8" s="4">
        <f>IF(MD7=1,Results!D5+1,MC8)</f>
        <v>0</v>
      </c>
      <c r="ME8" s="4">
        <f>IF(ME7=1,Results!E5+1,MD8)</f>
        <v>0</v>
      </c>
      <c r="MF8" s="4">
        <f>IF(MF7=1,Results!F5+1,ME8)</f>
        <v>0</v>
      </c>
      <c r="MG8" s="4">
        <f>IF(MG7=1,Results!G5+1,MF8)</f>
        <v>0</v>
      </c>
      <c r="MH8" s="4">
        <f>IF(MH7=1,Results!H5+1,MG8)</f>
        <v>0</v>
      </c>
      <c r="MI8" s="4">
        <f>IF(MI7=1,Results!I5+1,MH8)</f>
        <v>0</v>
      </c>
      <c r="MJ8" s="4">
        <f>IF(MJ7=1,Results!J5+1,MI8)</f>
        <v>0</v>
      </c>
      <c r="MK8" s="4"/>
      <c r="ML8" s="4"/>
      <c r="MM8" s="4"/>
      <c r="MN8" s="36"/>
      <c r="MO8" s="4"/>
      <c r="MQ8" s="3" t="s">
        <v>498</v>
      </c>
      <c r="MR8" s="1">
        <v>0</v>
      </c>
      <c r="MS8" s="4">
        <f>IF(MS7=1,Results!C5+1,MR8)</f>
        <v>0</v>
      </c>
      <c r="MT8" s="4">
        <f>IF(MT7=1,Results!D5+1,MS8)</f>
        <v>0</v>
      </c>
      <c r="MU8" s="4">
        <f>IF(MU7=1,Results!E5+1,MT8)</f>
        <v>0</v>
      </c>
      <c r="MV8" s="4">
        <f>IF(MV7=1,Results!F5+1,MU8)</f>
        <v>0</v>
      </c>
      <c r="MW8" s="4">
        <f>IF(MW7=1,Results!G5+1,MV8)</f>
        <v>0</v>
      </c>
      <c r="MX8" s="4">
        <f>IF(MX7=1,Results!H5+1,MW8)</f>
        <v>0</v>
      </c>
      <c r="MY8" s="4">
        <f>IF(MY7=1,Results!I5+1,MX8)</f>
        <v>0</v>
      </c>
      <c r="MZ8" s="4">
        <f>IF(MZ7=1,Results!J5+1,MY8)</f>
        <v>0</v>
      </c>
      <c r="NA8" s="4"/>
      <c r="NB8" s="4"/>
      <c r="NC8" s="4"/>
      <c r="ND8" s="36"/>
      <c r="NE8" s="4"/>
      <c r="NG8" s="3" t="s">
        <v>499</v>
      </c>
      <c r="NH8" s="1">
        <v>0</v>
      </c>
      <c r="NI8" s="4">
        <f>IF(NI7=1,Results!C5+1,NH8)</f>
        <v>0</v>
      </c>
      <c r="NJ8" s="4">
        <f>IF(NJ7=1,Results!D5+1,NI8)</f>
        <v>0</v>
      </c>
      <c r="NK8" s="4">
        <f>IF(NK7=1,Results!E5+1,NJ8)</f>
        <v>0</v>
      </c>
      <c r="NL8" s="4">
        <f>IF(NL7=1,Results!F5+1,NK8)</f>
        <v>0</v>
      </c>
      <c r="NM8" s="4">
        <f>IF(NM7=1,Results!G5+1,NL8)</f>
        <v>0</v>
      </c>
      <c r="NN8" s="4">
        <f>IF(NN7=1,Results!H5+1,NM8)</f>
        <v>0</v>
      </c>
      <c r="NO8" s="4">
        <f>IF(NO7=1,Results!I5+1,NN8)</f>
        <v>0</v>
      </c>
      <c r="NP8" s="4">
        <f>IF(NP7=1,Results!J5+1,NO8)</f>
        <v>0</v>
      </c>
      <c r="NQ8" s="4"/>
      <c r="NR8" s="4"/>
      <c r="NS8" s="4"/>
      <c r="NT8" s="36"/>
      <c r="NU8" s="4"/>
      <c r="NW8" s="3" t="s">
        <v>500</v>
      </c>
      <c r="NX8" s="1">
        <v>0</v>
      </c>
      <c r="NY8" s="4">
        <f>IF(NY7=1,Results!C5+1,NX8)</f>
        <v>0</v>
      </c>
      <c r="NZ8" s="4">
        <f>IF(NZ7=1,Results!D5+1,NY8)</f>
        <v>0</v>
      </c>
      <c r="OA8" s="4">
        <f>IF(OA7=1,Results!E5+1,NZ8)</f>
        <v>0</v>
      </c>
      <c r="OB8" s="4">
        <f>IF(OB7=1,Results!F5+1,OA8)</f>
        <v>0</v>
      </c>
      <c r="OC8" s="4">
        <f>IF(OC7=1,Results!G5+1,OB8)</f>
        <v>0</v>
      </c>
      <c r="OD8" s="4">
        <f>IF(OD7=1,Results!H5+1,OC8)</f>
        <v>0</v>
      </c>
      <c r="OE8" s="4">
        <f>IF(OE7=1,Results!I5+1,OD8)</f>
        <v>0</v>
      </c>
      <c r="OF8" s="4">
        <f>IF(OF7=1,Results!J5+1,OE8)</f>
        <v>0</v>
      </c>
      <c r="OG8" s="4"/>
      <c r="OH8" s="4"/>
      <c r="OJ8" s="36"/>
      <c r="OL8" s="4"/>
      <c r="OM8" s="4"/>
      <c r="ON8" s="4"/>
      <c r="OO8" s="4"/>
      <c r="OP8" s="4"/>
      <c r="OQ8" s="4"/>
      <c r="OR8" s="4"/>
      <c r="OS8" s="4"/>
      <c r="OT8" s="4"/>
      <c r="OU8" s="4"/>
      <c r="OX8" s="1"/>
      <c r="OY8" s="4"/>
      <c r="OZ8" s="4"/>
      <c r="PA8" s="4"/>
      <c r="PB8" s="4"/>
      <c r="PC8" s="4"/>
      <c r="PD8" s="4"/>
      <c r="PE8" s="4"/>
      <c r="PF8" s="4"/>
      <c r="PG8" s="4"/>
      <c r="PH8" s="4"/>
      <c r="PK8" s="3"/>
      <c r="PL8" s="1"/>
      <c r="PM8" s="4"/>
      <c r="PN8" s="4"/>
      <c r="PO8" s="4"/>
      <c r="PP8" s="4"/>
      <c r="PQ8" s="4"/>
      <c r="PR8" s="4"/>
      <c r="PS8" s="4"/>
      <c r="PT8" s="4"/>
      <c r="PU8" s="4"/>
      <c r="PV8" s="4"/>
      <c r="PY8" s="1"/>
      <c r="PZ8" s="4"/>
      <c r="QA8" s="4"/>
      <c r="QB8" s="4"/>
      <c r="QC8" s="4"/>
      <c r="QD8" s="4"/>
      <c r="QE8" s="4"/>
      <c r="QF8" s="4"/>
      <c r="QG8" s="4"/>
      <c r="QH8" s="4"/>
      <c r="QI8" s="4"/>
      <c r="QL8" s="3"/>
      <c r="QM8" s="1"/>
      <c r="QN8" s="4"/>
      <c r="QO8" s="4"/>
      <c r="QP8" s="4"/>
      <c r="QQ8" s="4"/>
      <c r="QR8" s="4"/>
      <c r="QS8" s="4"/>
      <c r="QT8" s="4"/>
      <c r="QU8" s="4"/>
      <c r="QV8" s="4"/>
      <c r="QW8" s="4"/>
      <c r="QZ8" s="3"/>
      <c r="RA8" s="1"/>
      <c r="RB8" s="4"/>
      <c r="RC8" s="4"/>
      <c r="RD8" s="4"/>
      <c r="RE8" s="4"/>
      <c r="RF8" s="4"/>
      <c r="RG8" s="4"/>
      <c r="RH8" s="4"/>
      <c r="RI8" s="4"/>
      <c r="RN8" s="3"/>
      <c r="RO8" s="1"/>
      <c r="RP8" s="4"/>
      <c r="RQ8" s="4"/>
      <c r="RR8" s="4"/>
      <c r="RS8" s="4"/>
      <c r="RT8" s="4"/>
      <c r="RU8" s="4"/>
      <c r="RV8" s="4"/>
      <c r="RW8" s="4"/>
      <c r="SB8" s="3"/>
      <c r="SC8" s="1"/>
      <c r="SD8" s="4"/>
      <c r="SE8" s="4"/>
      <c r="SF8" s="4"/>
      <c r="SG8" s="4"/>
      <c r="SH8" s="4"/>
      <c r="SI8" s="4"/>
      <c r="SJ8" s="4"/>
      <c r="SK8" s="4"/>
    </row>
    <row r="9" spans="1:505" x14ac:dyDescent="0.2">
      <c r="A9" s="3" t="s">
        <v>501</v>
      </c>
      <c r="B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G9" s="3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Y9" s="3" t="s">
        <v>502</v>
      </c>
      <c r="AZ9" s="4">
        <v>0</v>
      </c>
      <c r="BA9" s="4">
        <f>+AZ4</f>
        <v>0</v>
      </c>
      <c r="BB9" s="4">
        <f t="shared" ref="BB9:BH9" si="258">+BA4-AZ4</f>
        <v>0</v>
      </c>
      <c r="BC9" s="4">
        <f t="shared" si="258"/>
        <v>0</v>
      </c>
      <c r="BD9" s="4">
        <f t="shared" si="258"/>
        <v>0</v>
      </c>
      <c r="BE9" s="4">
        <f t="shared" si="258"/>
        <v>0</v>
      </c>
      <c r="BF9" s="4">
        <f t="shared" si="258"/>
        <v>0</v>
      </c>
      <c r="BG9" s="4">
        <f t="shared" si="258"/>
        <v>0</v>
      </c>
      <c r="BH9" s="4">
        <f t="shared" si="258"/>
        <v>0</v>
      </c>
      <c r="BI9" s="4"/>
      <c r="BJ9" s="4"/>
      <c r="BL9" s="36"/>
      <c r="BO9" s="3" t="s">
        <v>503</v>
      </c>
      <c r="BP9" s="4">
        <v>0</v>
      </c>
      <c r="BQ9" s="4">
        <f>+BP4</f>
        <v>0</v>
      </c>
      <c r="BR9" s="4">
        <f t="shared" ref="BR9:BX9" si="259">+BQ4-BP4</f>
        <v>0</v>
      </c>
      <c r="BS9" s="4">
        <f t="shared" si="259"/>
        <v>0</v>
      </c>
      <c r="BT9" s="4">
        <f t="shared" si="259"/>
        <v>0</v>
      </c>
      <c r="BU9" s="4">
        <f t="shared" si="259"/>
        <v>0</v>
      </c>
      <c r="BV9" s="4">
        <f t="shared" si="259"/>
        <v>0</v>
      </c>
      <c r="BW9" s="4">
        <f t="shared" si="259"/>
        <v>0</v>
      </c>
      <c r="BX9" s="4">
        <f t="shared" si="259"/>
        <v>0</v>
      </c>
      <c r="BY9" s="4"/>
      <c r="BZ9" s="4"/>
      <c r="CB9" s="36"/>
      <c r="CE9" s="3" t="s">
        <v>504</v>
      </c>
      <c r="CF9" s="4">
        <v>0</v>
      </c>
      <c r="CG9" s="4">
        <f>+CF4</f>
        <v>0</v>
      </c>
      <c r="CH9" s="4">
        <f t="shared" ref="CH9:CN9" si="260">+CG4-CF4</f>
        <v>0</v>
      </c>
      <c r="CI9" s="4">
        <f t="shared" si="260"/>
        <v>0</v>
      </c>
      <c r="CJ9" s="4">
        <f t="shared" si="260"/>
        <v>0</v>
      </c>
      <c r="CK9" s="4">
        <f t="shared" si="260"/>
        <v>0</v>
      </c>
      <c r="CL9" s="4">
        <f t="shared" si="260"/>
        <v>0</v>
      </c>
      <c r="CM9" s="4">
        <f t="shared" si="260"/>
        <v>0</v>
      </c>
      <c r="CN9" s="4">
        <f t="shared" si="260"/>
        <v>0</v>
      </c>
      <c r="CO9" s="4"/>
      <c r="CP9" s="4"/>
      <c r="CR9" s="36"/>
      <c r="CU9" s="3" t="s">
        <v>505</v>
      </c>
      <c r="CV9" s="4">
        <v>0</v>
      </c>
      <c r="CW9" s="4">
        <f>+CV4</f>
        <v>0</v>
      </c>
      <c r="CX9" s="4">
        <f t="shared" ref="CX9:DD9" si="261">+CW4-CV4</f>
        <v>0</v>
      </c>
      <c r="CY9" s="4">
        <f t="shared" si="261"/>
        <v>0</v>
      </c>
      <c r="CZ9" s="4">
        <f t="shared" si="261"/>
        <v>0</v>
      </c>
      <c r="DA9" s="4">
        <f t="shared" si="261"/>
        <v>0</v>
      </c>
      <c r="DB9" s="4">
        <f t="shared" si="261"/>
        <v>0</v>
      </c>
      <c r="DC9" s="4">
        <f t="shared" si="261"/>
        <v>0</v>
      </c>
      <c r="DD9" s="4">
        <f t="shared" si="261"/>
        <v>0</v>
      </c>
      <c r="DE9" s="4"/>
      <c r="DF9" s="4"/>
      <c r="DH9" s="36"/>
      <c r="DK9" s="3" t="s">
        <v>506</v>
      </c>
      <c r="DL9" s="4">
        <v>0</v>
      </c>
      <c r="DM9" s="4">
        <f>+DL4</f>
        <v>0</v>
      </c>
      <c r="DN9" s="4">
        <f t="shared" ref="DN9:DT9" si="262">+DM4-DL4</f>
        <v>0</v>
      </c>
      <c r="DO9" s="4">
        <f t="shared" si="262"/>
        <v>0</v>
      </c>
      <c r="DP9" s="4">
        <f t="shared" si="262"/>
        <v>0</v>
      </c>
      <c r="DQ9" s="4">
        <f t="shared" si="262"/>
        <v>0</v>
      </c>
      <c r="DR9" s="4">
        <f t="shared" si="262"/>
        <v>0</v>
      </c>
      <c r="DS9" s="4">
        <f t="shared" si="262"/>
        <v>0</v>
      </c>
      <c r="DT9" s="4">
        <f t="shared" si="262"/>
        <v>0</v>
      </c>
      <c r="DU9" s="4"/>
      <c r="DV9" s="4"/>
      <c r="DX9" s="36"/>
      <c r="EA9" s="3" t="s">
        <v>507</v>
      </c>
      <c r="EB9" s="4">
        <v>0</v>
      </c>
      <c r="EC9" s="4">
        <f>+EB4</f>
        <v>0</v>
      </c>
      <c r="ED9" s="4">
        <f t="shared" ref="ED9:EJ9" si="263">+EC4-EB4</f>
        <v>0</v>
      </c>
      <c r="EE9" s="4">
        <f t="shared" si="263"/>
        <v>0</v>
      </c>
      <c r="EF9" s="4">
        <f t="shared" si="263"/>
        <v>0</v>
      </c>
      <c r="EG9" s="4">
        <f t="shared" si="263"/>
        <v>0</v>
      </c>
      <c r="EH9" s="4">
        <f t="shared" si="263"/>
        <v>0</v>
      </c>
      <c r="EI9" s="4">
        <f t="shared" si="263"/>
        <v>0</v>
      </c>
      <c r="EJ9" s="4">
        <f t="shared" si="263"/>
        <v>0</v>
      </c>
      <c r="EK9" s="4"/>
      <c r="EL9" s="4"/>
      <c r="EN9" s="36"/>
      <c r="EQ9" s="3" t="s">
        <v>508</v>
      </c>
      <c r="ER9" s="4">
        <v>0</v>
      </c>
      <c r="ES9" s="4">
        <f>+ER4</f>
        <v>0</v>
      </c>
      <c r="ET9" s="4">
        <f t="shared" ref="ET9:EZ9" si="264">+ES4-ER4</f>
        <v>0</v>
      </c>
      <c r="EU9" s="4">
        <f t="shared" si="264"/>
        <v>0</v>
      </c>
      <c r="EV9" s="4">
        <f t="shared" si="264"/>
        <v>0</v>
      </c>
      <c r="EW9" s="4">
        <f t="shared" si="264"/>
        <v>0</v>
      </c>
      <c r="EX9" s="4">
        <f t="shared" si="264"/>
        <v>0</v>
      </c>
      <c r="EY9" s="4">
        <f t="shared" si="264"/>
        <v>0</v>
      </c>
      <c r="EZ9" s="4">
        <f t="shared" si="264"/>
        <v>0</v>
      </c>
      <c r="FA9" s="4"/>
      <c r="FB9" s="4"/>
      <c r="FD9" s="36"/>
      <c r="FG9" s="3" t="s">
        <v>509</v>
      </c>
      <c r="FH9" s="4">
        <v>0</v>
      </c>
      <c r="FI9" s="4">
        <f>+FH4</f>
        <v>0</v>
      </c>
      <c r="FJ9" s="4">
        <f t="shared" ref="FJ9:FP9" si="265">+FI4-FH4</f>
        <v>0</v>
      </c>
      <c r="FK9" s="4">
        <f t="shared" si="265"/>
        <v>0</v>
      </c>
      <c r="FL9" s="4">
        <f t="shared" si="265"/>
        <v>0</v>
      </c>
      <c r="FM9" s="4">
        <f t="shared" si="265"/>
        <v>0</v>
      </c>
      <c r="FN9" s="4">
        <f t="shared" si="265"/>
        <v>0</v>
      </c>
      <c r="FO9" s="4">
        <f t="shared" si="265"/>
        <v>0</v>
      </c>
      <c r="FP9" s="4">
        <f t="shared" si="265"/>
        <v>0</v>
      </c>
      <c r="FQ9" s="4"/>
      <c r="FR9" s="4"/>
      <c r="FT9" s="36"/>
      <c r="FW9" s="3" t="s">
        <v>510</v>
      </c>
      <c r="FX9" s="4">
        <v>0</v>
      </c>
      <c r="FY9" s="4">
        <f>+FX4</f>
        <v>0</v>
      </c>
      <c r="FZ9" s="4">
        <f t="shared" ref="FZ9:GF9" si="266">+FY4-FX4</f>
        <v>0</v>
      </c>
      <c r="GA9" s="4">
        <f t="shared" si="266"/>
        <v>0</v>
      </c>
      <c r="GB9" s="4">
        <f t="shared" si="266"/>
        <v>0</v>
      </c>
      <c r="GC9" s="4">
        <f t="shared" si="266"/>
        <v>0</v>
      </c>
      <c r="GD9" s="4">
        <f t="shared" si="266"/>
        <v>0</v>
      </c>
      <c r="GE9" s="4">
        <f t="shared" si="266"/>
        <v>0</v>
      </c>
      <c r="GF9" s="4">
        <f t="shared" si="266"/>
        <v>0</v>
      </c>
      <c r="GG9" s="4"/>
      <c r="GH9" s="4"/>
      <c r="GJ9" s="36"/>
      <c r="GM9" s="3" t="s">
        <v>511</v>
      </c>
      <c r="GN9" s="4">
        <v>0</v>
      </c>
      <c r="GO9" s="4">
        <f>+GN4</f>
        <v>0</v>
      </c>
      <c r="GP9" s="4">
        <f t="shared" ref="GP9:GV9" si="267">+GO4-GN4</f>
        <v>0</v>
      </c>
      <c r="GQ9" s="4">
        <f t="shared" si="267"/>
        <v>0</v>
      </c>
      <c r="GR9" s="4">
        <f t="shared" si="267"/>
        <v>0</v>
      </c>
      <c r="GS9" s="4">
        <f t="shared" si="267"/>
        <v>0</v>
      </c>
      <c r="GT9" s="4">
        <f t="shared" si="267"/>
        <v>0</v>
      </c>
      <c r="GU9" s="4">
        <f t="shared" si="267"/>
        <v>0</v>
      </c>
      <c r="GV9" s="4">
        <f t="shared" si="267"/>
        <v>0</v>
      </c>
      <c r="GW9" s="4"/>
      <c r="GX9" s="4"/>
      <c r="GY9" s="4"/>
      <c r="GZ9" s="36"/>
      <c r="HA9" s="4"/>
      <c r="HB9" s="4"/>
      <c r="HC9" s="3" t="s">
        <v>512</v>
      </c>
      <c r="HD9" s="4">
        <v>0</v>
      </c>
      <c r="HE9" s="4">
        <f>+HD4</f>
        <v>0</v>
      </c>
      <c r="HF9" s="4">
        <f t="shared" ref="HF9:HL9" si="268">+HE4-HD4</f>
        <v>0</v>
      </c>
      <c r="HG9" s="4">
        <f t="shared" si="268"/>
        <v>0</v>
      </c>
      <c r="HH9" s="4">
        <f t="shared" si="268"/>
        <v>0</v>
      </c>
      <c r="HI9" s="4">
        <f t="shared" si="268"/>
        <v>0</v>
      </c>
      <c r="HJ9" s="4">
        <f t="shared" si="268"/>
        <v>0</v>
      </c>
      <c r="HK9" s="4">
        <f t="shared" si="268"/>
        <v>0</v>
      </c>
      <c r="HL9" s="4">
        <f t="shared" si="268"/>
        <v>0</v>
      </c>
      <c r="HM9" s="4"/>
      <c r="HN9" s="4"/>
      <c r="HO9" s="4"/>
      <c r="HP9" s="36"/>
      <c r="HQ9" s="4"/>
      <c r="HR9" s="4"/>
      <c r="HS9" s="3" t="s">
        <v>513</v>
      </c>
      <c r="HT9" s="4">
        <v>0</v>
      </c>
      <c r="HU9" s="4">
        <f>+HT4</f>
        <v>0</v>
      </c>
      <c r="HV9" s="4">
        <f t="shared" ref="HV9:IB9" si="269">+HU4-HT4</f>
        <v>0</v>
      </c>
      <c r="HW9" s="4">
        <f t="shared" si="269"/>
        <v>0</v>
      </c>
      <c r="HX9" s="4">
        <f t="shared" si="269"/>
        <v>0</v>
      </c>
      <c r="HY9" s="4">
        <f t="shared" si="269"/>
        <v>0</v>
      </c>
      <c r="HZ9" s="4">
        <f t="shared" si="269"/>
        <v>0</v>
      </c>
      <c r="IA9" s="4">
        <f t="shared" si="269"/>
        <v>0</v>
      </c>
      <c r="IB9" s="4">
        <f t="shared" si="269"/>
        <v>0</v>
      </c>
      <c r="IC9" s="4"/>
      <c r="ID9" s="4"/>
      <c r="IF9" s="36"/>
      <c r="II9" s="3" t="s">
        <v>514</v>
      </c>
      <c r="IJ9" s="4">
        <v>0</v>
      </c>
      <c r="IK9" s="4">
        <f>+IJ4</f>
        <v>0</v>
      </c>
      <c r="IL9" s="4">
        <f t="shared" ref="IL9:IR9" si="270">+IK4-IJ4</f>
        <v>0</v>
      </c>
      <c r="IM9" s="4">
        <f t="shared" si="270"/>
        <v>0</v>
      </c>
      <c r="IN9" s="4">
        <f t="shared" si="270"/>
        <v>0</v>
      </c>
      <c r="IO9" s="4">
        <f t="shared" si="270"/>
        <v>0</v>
      </c>
      <c r="IP9" s="4">
        <f t="shared" si="270"/>
        <v>0</v>
      </c>
      <c r="IQ9" s="4">
        <f t="shared" si="270"/>
        <v>0</v>
      </c>
      <c r="IR9" s="4">
        <f t="shared" si="270"/>
        <v>0</v>
      </c>
      <c r="IS9" s="4"/>
      <c r="IT9" s="4"/>
      <c r="IU9" s="4"/>
      <c r="IV9" s="36"/>
      <c r="IW9" s="4"/>
      <c r="IY9" s="3" t="s">
        <v>515</v>
      </c>
      <c r="IZ9" s="4">
        <v>0</v>
      </c>
      <c r="JA9" s="4">
        <f>+IZ4</f>
        <v>0</v>
      </c>
      <c r="JB9" s="4">
        <f t="shared" ref="JB9:JH9" si="271">+JA4-IZ4</f>
        <v>0</v>
      </c>
      <c r="JC9" s="4">
        <f t="shared" si="271"/>
        <v>0</v>
      </c>
      <c r="JD9" s="4">
        <f t="shared" si="271"/>
        <v>0</v>
      </c>
      <c r="JE9" s="4">
        <f t="shared" si="271"/>
        <v>0</v>
      </c>
      <c r="JF9" s="4">
        <f t="shared" si="271"/>
        <v>0</v>
      </c>
      <c r="JG9" s="4">
        <f t="shared" si="271"/>
        <v>0</v>
      </c>
      <c r="JH9" s="4">
        <f t="shared" si="271"/>
        <v>0</v>
      </c>
      <c r="JI9" s="4"/>
      <c r="JJ9" s="4"/>
      <c r="JK9" s="4"/>
      <c r="JL9" s="36"/>
      <c r="JM9" s="4"/>
      <c r="JO9" s="3" t="s">
        <v>516</v>
      </c>
      <c r="JP9" s="4">
        <v>0</v>
      </c>
      <c r="JQ9" s="4">
        <f>+JP4</f>
        <v>0</v>
      </c>
      <c r="JR9" s="4">
        <f t="shared" ref="JR9:JX9" si="272">+JQ4-JP4</f>
        <v>0</v>
      </c>
      <c r="JS9" s="4">
        <f t="shared" si="272"/>
        <v>0</v>
      </c>
      <c r="JT9" s="4">
        <f t="shared" si="272"/>
        <v>0</v>
      </c>
      <c r="JU9" s="4">
        <f t="shared" si="272"/>
        <v>0</v>
      </c>
      <c r="JV9" s="4">
        <f t="shared" si="272"/>
        <v>0</v>
      </c>
      <c r="JW9" s="4">
        <f t="shared" si="272"/>
        <v>0</v>
      </c>
      <c r="JX9" s="4">
        <f t="shared" si="272"/>
        <v>0</v>
      </c>
      <c r="JY9" s="4"/>
      <c r="JZ9" s="4"/>
      <c r="KA9" s="4"/>
      <c r="KB9" s="36"/>
      <c r="KC9" s="4"/>
      <c r="KE9" s="3" t="s">
        <v>517</v>
      </c>
      <c r="KF9" s="4">
        <v>0</v>
      </c>
      <c r="KG9" s="4">
        <f>+KF4</f>
        <v>0</v>
      </c>
      <c r="KH9" s="4">
        <f t="shared" ref="KH9:KN9" si="273">+KG4-KF4</f>
        <v>0</v>
      </c>
      <c r="KI9" s="4">
        <f t="shared" si="273"/>
        <v>0</v>
      </c>
      <c r="KJ9" s="4">
        <f t="shared" si="273"/>
        <v>0</v>
      </c>
      <c r="KK9" s="4">
        <f t="shared" si="273"/>
        <v>0</v>
      </c>
      <c r="KL9" s="4">
        <f t="shared" si="273"/>
        <v>0</v>
      </c>
      <c r="KM9" s="4">
        <f t="shared" si="273"/>
        <v>0</v>
      </c>
      <c r="KN9" s="4">
        <f t="shared" si="273"/>
        <v>0</v>
      </c>
      <c r="KO9" s="4"/>
      <c r="KP9" s="4"/>
      <c r="KQ9" s="4"/>
      <c r="KR9" s="36"/>
      <c r="KS9" s="4"/>
      <c r="KU9" s="3" t="s">
        <v>518</v>
      </c>
      <c r="KV9" s="4">
        <v>0</v>
      </c>
      <c r="KW9" s="4">
        <f>+KV4</f>
        <v>0</v>
      </c>
      <c r="KX9" s="4">
        <f t="shared" ref="KX9:LD9" si="274">+KW4-KV4</f>
        <v>0</v>
      </c>
      <c r="KY9" s="4">
        <f t="shared" si="274"/>
        <v>0</v>
      </c>
      <c r="KZ9" s="4">
        <f t="shared" si="274"/>
        <v>0</v>
      </c>
      <c r="LA9" s="4">
        <f t="shared" si="274"/>
        <v>0</v>
      </c>
      <c r="LB9" s="4">
        <f t="shared" si="274"/>
        <v>0</v>
      </c>
      <c r="LC9" s="4">
        <f t="shared" si="274"/>
        <v>0</v>
      </c>
      <c r="LD9" s="4">
        <f t="shared" si="274"/>
        <v>0</v>
      </c>
      <c r="LE9" s="4"/>
      <c r="LF9" s="4"/>
      <c r="LG9" s="4"/>
      <c r="LH9" s="36"/>
      <c r="LI9" s="4"/>
      <c r="LK9" s="3" t="s">
        <v>519</v>
      </c>
      <c r="LL9" s="4">
        <v>0</v>
      </c>
      <c r="LM9" s="4">
        <f>+LL4</f>
        <v>0</v>
      </c>
      <c r="LN9" s="4">
        <f t="shared" ref="LN9:LT9" si="275">+LM4-LL4</f>
        <v>0</v>
      </c>
      <c r="LO9" s="4">
        <f t="shared" si="275"/>
        <v>0</v>
      </c>
      <c r="LP9" s="4">
        <f t="shared" si="275"/>
        <v>0</v>
      </c>
      <c r="LQ9" s="4">
        <f t="shared" si="275"/>
        <v>0</v>
      </c>
      <c r="LR9" s="4">
        <f t="shared" si="275"/>
        <v>0</v>
      </c>
      <c r="LS9" s="4">
        <f t="shared" si="275"/>
        <v>0</v>
      </c>
      <c r="LT9" s="4">
        <f t="shared" si="275"/>
        <v>0</v>
      </c>
      <c r="LU9" s="4"/>
      <c r="LV9" s="4"/>
      <c r="LW9" s="4"/>
      <c r="LX9" s="36"/>
      <c r="LY9" s="4"/>
      <c r="MA9" s="3" t="s">
        <v>520</v>
      </c>
      <c r="MB9" s="4">
        <v>0</v>
      </c>
      <c r="MC9" s="4">
        <f>+MB4</f>
        <v>0</v>
      </c>
      <c r="MD9" s="4">
        <f t="shared" ref="MD9:MJ9" si="276">+MC4-MB4</f>
        <v>0</v>
      </c>
      <c r="ME9" s="4">
        <f t="shared" si="276"/>
        <v>0</v>
      </c>
      <c r="MF9" s="4">
        <f t="shared" si="276"/>
        <v>0</v>
      </c>
      <c r="MG9" s="4">
        <f t="shared" si="276"/>
        <v>0</v>
      </c>
      <c r="MH9" s="4">
        <f t="shared" si="276"/>
        <v>0</v>
      </c>
      <c r="MI9" s="4">
        <f t="shared" si="276"/>
        <v>0</v>
      </c>
      <c r="MJ9" s="4">
        <f t="shared" si="276"/>
        <v>0</v>
      </c>
      <c r="MK9" s="4"/>
      <c r="ML9" s="4"/>
      <c r="MM9" s="4"/>
      <c r="MN9" s="36"/>
      <c r="MO9" s="4"/>
      <c r="MQ9" s="3" t="s">
        <v>521</v>
      </c>
      <c r="MR9" s="4">
        <v>0</v>
      </c>
      <c r="MS9" s="4">
        <f>+MR4</f>
        <v>0</v>
      </c>
      <c r="MT9" s="4">
        <f t="shared" ref="MT9:MZ9" si="277">+MS4-MR4</f>
        <v>0</v>
      </c>
      <c r="MU9" s="4">
        <f t="shared" si="277"/>
        <v>0</v>
      </c>
      <c r="MV9" s="4">
        <f t="shared" si="277"/>
        <v>0</v>
      </c>
      <c r="MW9" s="4">
        <f t="shared" si="277"/>
        <v>0</v>
      </c>
      <c r="MX9" s="4">
        <f t="shared" si="277"/>
        <v>0</v>
      </c>
      <c r="MY9" s="4">
        <f t="shared" si="277"/>
        <v>0</v>
      </c>
      <c r="MZ9" s="4">
        <f t="shared" si="277"/>
        <v>0</v>
      </c>
      <c r="NA9" s="4"/>
      <c r="NB9" s="4"/>
      <c r="NC9" s="4"/>
      <c r="ND9" s="36"/>
      <c r="NE9" s="4"/>
      <c r="NG9" s="3" t="s">
        <v>522</v>
      </c>
      <c r="NH9" s="4">
        <v>0</v>
      </c>
      <c r="NI9" s="4">
        <f>+NH4</f>
        <v>0</v>
      </c>
      <c r="NJ9" s="4">
        <f t="shared" ref="NJ9:NP9" si="278">+NI4-NH4</f>
        <v>0</v>
      </c>
      <c r="NK9" s="4">
        <f t="shared" si="278"/>
        <v>0</v>
      </c>
      <c r="NL9" s="4">
        <f t="shared" si="278"/>
        <v>0</v>
      </c>
      <c r="NM9" s="4">
        <f t="shared" si="278"/>
        <v>0</v>
      </c>
      <c r="NN9" s="4">
        <f t="shared" si="278"/>
        <v>0</v>
      </c>
      <c r="NO9" s="4">
        <f t="shared" si="278"/>
        <v>0</v>
      </c>
      <c r="NP9" s="4">
        <f t="shared" si="278"/>
        <v>0</v>
      </c>
      <c r="NQ9" s="4"/>
      <c r="NR9" s="4"/>
      <c r="NS9" s="4"/>
      <c r="NT9" s="36"/>
      <c r="NU9" s="4"/>
      <c r="NW9" s="3" t="s">
        <v>523</v>
      </c>
      <c r="NX9" s="4">
        <v>0</v>
      </c>
      <c r="NY9" s="4">
        <f>+NX4</f>
        <v>0</v>
      </c>
      <c r="NZ9" s="4">
        <f t="shared" ref="NZ9:OF9" si="279">+NY4-NX4</f>
        <v>0</v>
      </c>
      <c r="OA9" s="4">
        <f t="shared" si="279"/>
        <v>0</v>
      </c>
      <c r="OB9" s="4">
        <f t="shared" si="279"/>
        <v>0</v>
      </c>
      <c r="OC9" s="4">
        <f t="shared" si="279"/>
        <v>0</v>
      </c>
      <c r="OD9" s="4">
        <f t="shared" si="279"/>
        <v>0</v>
      </c>
      <c r="OE9" s="4">
        <f t="shared" si="279"/>
        <v>0</v>
      </c>
      <c r="OF9" s="4">
        <f t="shared" si="279"/>
        <v>0</v>
      </c>
      <c r="OG9" s="4"/>
      <c r="OH9" s="4"/>
      <c r="OJ9" s="36"/>
      <c r="OL9" s="4"/>
      <c r="OM9" s="4"/>
      <c r="ON9" s="4"/>
      <c r="OO9" s="4"/>
      <c r="OP9" s="4"/>
      <c r="OQ9" s="4"/>
      <c r="OR9" s="4"/>
      <c r="OS9" s="4"/>
      <c r="OT9" s="4"/>
      <c r="OU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K9" s="3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L9" s="3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Z9" s="3"/>
      <c r="RA9" s="4"/>
      <c r="RB9" s="4"/>
      <c r="RC9" s="4"/>
      <c r="RD9" s="4"/>
      <c r="RE9" s="4"/>
      <c r="RF9" s="4"/>
      <c r="RG9" s="4"/>
      <c r="RH9" s="4"/>
      <c r="RI9" s="4"/>
      <c r="RN9" s="3"/>
      <c r="RO9" s="4"/>
      <c r="RP9" s="4"/>
      <c r="RQ9" s="4"/>
      <c r="RR9" s="4"/>
      <c r="RS9" s="4"/>
      <c r="RT9" s="4"/>
      <c r="RU9" s="4"/>
      <c r="RV9" s="4"/>
      <c r="RW9" s="4"/>
      <c r="SB9" s="3"/>
      <c r="SC9" s="4"/>
      <c r="SD9" s="4"/>
      <c r="SE9" s="4"/>
      <c r="SF9" s="4"/>
      <c r="SG9" s="4"/>
      <c r="SH9" s="4"/>
      <c r="SI9" s="4"/>
      <c r="SJ9" s="4"/>
      <c r="SK9" s="4"/>
    </row>
    <row r="10" spans="1:505" x14ac:dyDescent="0.2">
      <c r="A10" s="3" t="s">
        <v>524</v>
      </c>
      <c r="B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G10" s="3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Y10" s="3" t="s">
        <v>525</v>
      </c>
      <c r="AZ10" s="4">
        <v>0</v>
      </c>
      <c r="BA10" s="4">
        <f>AZ9</f>
        <v>0</v>
      </c>
      <c r="BB10" s="4">
        <f t="shared" ref="BB10:BH10" si="280">BA9</f>
        <v>0</v>
      </c>
      <c r="BC10" s="4">
        <f t="shared" si="280"/>
        <v>0</v>
      </c>
      <c r="BD10" s="4">
        <f t="shared" si="280"/>
        <v>0</v>
      </c>
      <c r="BE10" s="4">
        <f t="shared" si="280"/>
        <v>0</v>
      </c>
      <c r="BF10" s="4">
        <f t="shared" si="280"/>
        <v>0</v>
      </c>
      <c r="BG10" s="4">
        <f t="shared" si="280"/>
        <v>0</v>
      </c>
      <c r="BH10" s="4">
        <f t="shared" si="280"/>
        <v>0</v>
      </c>
      <c r="BI10" s="4"/>
      <c r="BJ10" s="4"/>
      <c r="BL10" s="36"/>
      <c r="BO10" s="3" t="s">
        <v>526</v>
      </c>
      <c r="BP10" s="4">
        <v>0</v>
      </c>
      <c r="BQ10" s="4">
        <f>BP9</f>
        <v>0</v>
      </c>
      <c r="BR10" s="4">
        <f t="shared" ref="BR10:BX10" si="281">BQ9</f>
        <v>0</v>
      </c>
      <c r="BS10" s="4">
        <f t="shared" si="281"/>
        <v>0</v>
      </c>
      <c r="BT10" s="4">
        <f t="shared" si="281"/>
        <v>0</v>
      </c>
      <c r="BU10" s="4">
        <f t="shared" si="281"/>
        <v>0</v>
      </c>
      <c r="BV10" s="4">
        <f t="shared" si="281"/>
        <v>0</v>
      </c>
      <c r="BW10" s="4">
        <f t="shared" si="281"/>
        <v>0</v>
      </c>
      <c r="BX10" s="4">
        <f t="shared" si="281"/>
        <v>0</v>
      </c>
      <c r="BY10" s="4"/>
      <c r="BZ10" s="4"/>
      <c r="CB10" s="36"/>
      <c r="CE10" s="3" t="s">
        <v>527</v>
      </c>
      <c r="CF10" s="4">
        <v>0</v>
      </c>
      <c r="CG10" s="4">
        <f>CF9</f>
        <v>0</v>
      </c>
      <c r="CH10" s="4">
        <f t="shared" ref="CH10:CN10" si="282">CG9</f>
        <v>0</v>
      </c>
      <c r="CI10" s="4">
        <f t="shared" si="282"/>
        <v>0</v>
      </c>
      <c r="CJ10" s="4">
        <f t="shared" si="282"/>
        <v>0</v>
      </c>
      <c r="CK10" s="4">
        <f t="shared" si="282"/>
        <v>0</v>
      </c>
      <c r="CL10" s="4">
        <f t="shared" si="282"/>
        <v>0</v>
      </c>
      <c r="CM10" s="4">
        <f t="shared" si="282"/>
        <v>0</v>
      </c>
      <c r="CN10" s="4">
        <f t="shared" si="282"/>
        <v>0</v>
      </c>
      <c r="CO10" s="4"/>
      <c r="CP10" s="4"/>
      <c r="CR10" s="36"/>
      <c r="CU10" s="3" t="s">
        <v>528</v>
      </c>
      <c r="CV10" s="4">
        <v>0</v>
      </c>
      <c r="CW10" s="4">
        <f>CV9</f>
        <v>0</v>
      </c>
      <c r="CX10" s="4">
        <f t="shared" ref="CX10:DD10" si="283">CW9</f>
        <v>0</v>
      </c>
      <c r="CY10" s="4">
        <f t="shared" si="283"/>
        <v>0</v>
      </c>
      <c r="CZ10" s="4">
        <f t="shared" si="283"/>
        <v>0</v>
      </c>
      <c r="DA10" s="4">
        <f t="shared" si="283"/>
        <v>0</v>
      </c>
      <c r="DB10" s="4">
        <f t="shared" si="283"/>
        <v>0</v>
      </c>
      <c r="DC10" s="4">
        <f t="shared" si="283"/>
        <v>0</v>
      </c>
      <c r="DD10" s="4">
        <f t="shared" si="283"/>
        <v>0</v>
      </c>
      <c r="DE10" s="4"/>
      <c r="DF10" s="4"/>
      <c r="DH10" s="36"/>
      <c r="DK10" s="3" t="s">
        <v>529</v>
      </c>
      <c r="DL10" s="4">
        <v>0</v>
      </c>
      <c r="DM10" s="4">
        <f>DL9</f>
        <v>0</v>
      </c>
      <c r="DN10" s="4">
        <f t="shared" ref="DN10:DT10" si="284">DM9</f>
        <v>0</v>
      </c>
      <c r="DO10" s="4">
        <f t="shared" si="284"/>
        <v>0</v>
      </c>
      <c r="DP10" s="4">
        <f t="shared" si="284"/>
        <v>0</v>
      </c>
      <c r="DQ10" s="4">
        <f t="shared" si="284"/>
        <v>0</v>
      </c>
      <c r="DR10" s="4">
        <f t="shared" si="284"/>
        <v>0</v>
      </c>
      <c r="DS10" s="4">
        <f t="shared" si="284"/>
        <v>0</v>
      </c>
      <c r="DT10" s="4">
        <f t="shared" si="284"/>
        <v>0</v>
      </c>
      <c r="DU10" s="4"/>
      <c r="DV10" s="4"/>
      <c r="DX10" s="36"/>
      <c r="EA10" s="3" t="s">
        <v>530</v>
      </c>
      <c r="EB10" s="4">
        <v>0</v>
      </c>
      <c r="EC10" s="4">
        <f>EB9</f>
        <v>0</v>
      </c>
      <c r="ED10" s="4">
        <f t="shared" ref="ED10:EJ10" si="285">EC9</f>
        <v>0</v>
      </c>
      <c r="EE10" s="4">
        <f t="shared" si="285"/>
        <v>0</v>
      </c>
      <c r="EF10" s="4">
        <f t="shared" si="285"/>
        <v>0</v>
      </c>
      <c r="EG10" s="4">
        <f t="shared" si="285"/>
        <v>0</v>
      </c>
      <c r="EH10" s="4">
        <f t="shared" si="285"/>
        <v>0</v>
      </c>
      <c r="EI10" s="4">
        <f t="shared" si="285"/>
        <v>0</v>
      </c>
      <c r="EJ10" s="4">
        <f t="shared" si="285"/>
        <v>0</v>
      </c>
      <c r="EK10" s="4"/>
      <c r="EL10" s="4"/>
      <c r="EN10" s="36"/>
      <c r="EQ10" s="3" t="s">
        <v>531</v>
      </c>
      <c r="ER10" s="4">
        <v>0</v>
      </c>
      <c r="ES10" s="4">
        <f>ER9</f>
        <v>0</v>
      </c>
      <c r="ET10" s="4">
        <f t="shared" ref="ET10:EZ10" si="286">ES9</f>
        <v>0</v>
      </c>
      <c r="EU10" s="4">
        <f t="shared" si="286"/>
        <v>0</v>
      </c>
      <c r="EV10" s="4">
        <f t="shared" si="286"/>
        <v>0</v>
      </c>
      <c r="EW10" s="4">
        <f t="shared" si="286"/>
        <v>0</v>
      </c>
      <c r="EX10" s="4">
        <f t="shared" si="286"/>
        <v>0</v>
      </c>
      <c r="EY10" s="4">
        <f t="shared" si="286"/>
        <v>0</v>
      </c>
      <c r="EZ10" s="4">
        <f t="shared" si="286"/>
        <v>0</v>
      </c>
      <c r="FA10" s="4"/>
      <c r="FB10" s="4"/>
      <c r="FD10" s="36"/>
      <c r="FG10" s="3" t="s">
        <v>532</v>
      </c>
      <c r="FH10" s="4">
        <v>0</v>
      </c>
      <c r="FI10" s="4">
        <f>FH9</f>
        <v>0</v>
      </c>
      <c r="FJ10" s="4">
        <f t="shared" ref="FJ10:FP10" si="287">FI9</f>
        <v>0</v>
      </c>
      <c r="FK10" s="4">
        <f t="shared" si="287"/>
        <v>0</v>
      </c>
      <c r="FL10" s="4">
        <f t="shared" si="287"/>
        <v>0</v>
      </c>
      <c r="FM10" s="4">
        <f t="shared" si="287"/>
        <v>0</v>
      </c>
      <c r="FN10" s="4">
        <f t="shared" si="287"/>
        <v>0</v>
      </c>
      <c r="FO10" s="4">
        <f t="shared" si="287"/>
        <v>0</v>
      </c>
      <c r="FP10" s="4">
        <f t="shared" si="287"/>
        <v>0</v>
      </c>
      <c r="FQ10" s="4"/>
      <c r="FR10" s="4"/>
      <c r="FT10" s="36"/>
      <c r="FW10" s="3" t="s">
        <v>533</v>
      </c>
      <c r="FX10" s="4">
        <v>0</v>
      </c>
      <c r="FY10" s="4">
        <f>FX9</f>
        <v>0</v>
      </c>
      <c r="FZ10" s="4">
        <f t="shared" ref="FZ10:GF10" si="288">FY9</f>
        <v>0</v>
      </c>
      <c r="GA10" s="4">
        <f t="shared" si="288"/>
        <v>0</v>
      </c>
      <c r="GB10" s="4">
        <f t="shared" si="288"/>
        <v>0</v>
      </c>
      <c r="GC10" s="4">
        <f t="shared" si="288"/>
        <v>0</v>
      </c>
      <c r="GD10" s="4">
        <f t="shared" si="288"/>
        <v>0</v>
      </c>
      <c r="GE10" s="4">
        <f t="shared" si="288"/>
        <v>0</v>
      </c>
      <c r="GF10" s="4">
        <f t="shared" si="288"/>
        <v>0</v>
      </c>
      <c r="GG10" s="4"/>
      <c r="GH10" s="4"/>
      <c r="GJ10" s="36"/>
      <c r="GM10" s="3" t="s">
        <v>534</v>
      </c>
      <c r="GN10" s="4">
        <v>0</v>
      </c>
      <c r="GO10" s="4">
        <f>GN9</f>
        <v>0</v>
      </c>
      <c r="GP10" s="4">
        <f t="shared" ref="GP10:GV10" si="289">GO9</f>
        <v>0</v>
      </c>
      <c r="GQ10" s="4">
        <f t="shared" si="289"/>
        <v>0</v>
      </c>
      <c r="GR10" s="4">
        <f t="shared" si="289"/>
        <v>0</v>
      </c>
      <c r="GS10" s="4">
        <f t="shared" si="289"/>
        <v>0</v>
      </c>
      <c r="GT10" s="4">
        <f t="shared" si="289"/>
        <v>0</v>
      </c>
      <c r="GU10" s="4">
        <f t="shared" si="289"/>
        <v>0</v>
      </c>
      <c r="GV10" s="4">
        <f t="shared" si="289"/>
        <v>0</v>
      </c>
      <c r="GW10" s="4"/>
      <c r="GX10" s="4"/>
      <c r="GY10" s="4"/>
      <c r="GZ10" s="36"/>
      <c r="HA10" s="4"/>
      <c r="HB10" s="4"/>
      <c r="HC10" s="3" t="s">
        <v>535</v>
      </c>
      <c r="HD10" s="4">
        <v>0</v>
      </c>
      <c r="HE10" s="4">
        <f>HD9</f>
        <v>0</v>
      </c>
      <c r="HF10" s="4">
        <f t="shared" ref="HF10:HL10" si="290">HE9</f>
        <v>0</v>
      </c>
      <c r="HG10" s="4">
        <f t="shared" si="290"/>
        <v>0</v>
      </c>
      <c r="HH10" s="4">
        <f t="shared" si="290"/>
        <v>0</v>
      </c>
      <c r="HI10" s="4">
        <f t="shared" si="290"/>
        <v>0</v>
      </c>
      <c r="HJ10" s="4">
        <f t="shared" si="290"/>
        <v>0</v>
      </c>
      <c r="HK10" s="4">
        <f t="shared" si="290"/>
        <v>0</v>
      </c>
      <c r="HL10" s="4">
        <f t="shared" si="290"/>
        <v>0</v>
      </c>
      <c r="HM10" s="4"/>
      <c r="HN10" s="4"/>
      <c r="HO10" s="4"/>
      <c r="HP10" s="36"/>
      <c r="HQ10" s="4"/>
      <c r="HR10" s="4"/>
      <c r="HS10" s="3" t="s">
        <v>536</v>
      </c>
      <c r="HT10" s="4">
        <v>0</v>
      </c>
      <c r="HU10" s="4">
        <f>HT9</f>
        <v>0</v>
      </c>
      <c r="HV10" s="4">
        <f t="shared" ref="HV10:IB10" si="291">HU9</f>
        <v>0</v>
      </c>
      <c r="HW10" s="4">
        <f t="shared" si="291"/>
        <v>0</v>
      </c>
      <c r="HX10" s="4">
        <f t="shared" si="291"/>
        <v>0</v>
      </c>
      <c r="HY10" s="4">
        <f t="shared" si="291"/>
        <v>0</v>
      </c>
      <c r="HZ10" s="4">
        <f t="shared" si="291"/>
        <v>0</v>
      </c>
      <c r="IA10" s="4">
        <f t="shared" si="291"/>
        <v>0</v>
      </c>
      <c r="IB10" s="4">
        <f t="shared" si="291"/>
        <v>0</v>
      </c>
      <c r="IC10" s="4"/>
      <c r="ID10" s="4"/>
      <c r="IF10" s="36"/>
      <c r="II10" s="3" t="s">
        <v>537</v>
      </c>
      <c r="IJ10" s="4">
        <v>0</v>
      </c>
      <c r="IK10" s="4">
        <f>IJ9</f>
        <v>0</v>
      </c>
      <c r="IL10" s="4">
        <f t="shared" ref="IL10:IR10" si="292">IK9</f>
        <v>0</v>
      </c>
      <c r="IM10" s="4">
        <f t="shared" si="292"/>
        <v>0</v>
      </c>
      <c r="IN10" s="4">
        <f t="shared" si="292"/>
        <v>0</v>
      </c>
      <c r="IO10" s="4">
        <f t="shared" si="292"/>
        <v>0</v>
      </c>
      <c r="IP10" s="4">
        <f t="shared" si="292"/>
        <v>0</v>
      </c>
      <c r="IQ10" s="4">
        <f t="shared" si="292"/>
        <v>0</v>
      </c>
      <c r="IR10" s="4">
        <f t="shared" si="292"/>
        <v>0</v>
      </c>
      <c r="IS10" s="4"/>
      <c r="IT10" s="4"/>
      <c r="IU10" s="4"/>
      <c r="IV10" s="36"/>
      <c r="IW10" s="4"/>
      <c r="IY10" s="3" t="s">
        <v>538</v>
      </c>
      <c r="IZ10" s="4">
        <v>0</v>
      </c>
      <c r="JA10" s="4">
        <f>IZ9</f>
        <v>0</v>
      </c>
      <c r="JB10" s="4">
        <f t="shared" ref="JB10:JH10" si="293">JA9</f>
        <v>0</v>
      </c>
      <c r="JC10" s="4">
        <f t="shared" si="293"/>
        <v>0</v>
      </c>
      <c r="JD10" s="4">
        <f t="shared" si="293"/>
        <v>0</v>
      </c>
      <c r="JE10" s="4">
        <f t="shared" si="293"/>
        <v>0</v>
      </c>
      <c r="JF10" s="4">
        <f t="shared" si="293"/>
        <v>0</v>
      </c>
      <c r="JG10" s="4">
        <f t="shared" si="293"/>
        <v>0</v>
      </c>
      <c r="JH10" s="4">
        <f t="shared" si="293"/>
        <v>0</v>
      </c>
      <c r="JI10" s="4"/>
      <c r="JJ10" s="4"/>
      <c r="JK10" s="4"/>
      <c r="JL10" s="36"/>
      <c r="JM10" s="4"/>
      <c r="JO10" s="3" t="s">
        <v>539</v>
      </c>
      <c r="JP10" s="4">
        <v>0</v>
      </c>
      <c r="JQ10" s="4">
        <f>JP9</f>
        <v>0</v>
      </c>
      <c r="JR10" s="4">
        <f t="shared" ref="JR10:JX10" si="294">JQ9</f>
        <v>0</v>
      </c>
      <c r="JS10" s="4">
        <f t="shared" si="294"/>
        <v>0</v>
      </c>
      <c r="JT10" s="4">
        <f t="shared" si="294"/>
        <v>0</v>
      </c>
      <c r="JU10" s="4">
        <f t="shared" si="294"/>
        <v>0</v>
      </c>
      <c r="JV10" s="4">
        <f t="shared" si="294"/>
        <v>0</v>
      </c>
      <c r="JW10" s="4">
        <f t="shared" si="294"/>
        <v>0</v>
      </c>
      <c r="JX10" s="4">
        <f t="shared" si="294"/>
        <v>0</v>
      </c>
      <c r="JY10" s="4"/>
      <c r="JZ10" s="4"/>
      <c r="KA10" s="4"/>
      <c r="KB10" s="36"/>
      <c r="KC10" s="4"/>
      <c r="KE10" s="3" t="s">
        <v>540</v>
      </c>
      <c r="KF10" s="4">
        <v>0</v>
      </c>
      <c r="KG10" s="4">
        <f>KF9</f>
        <v>0</v>
      </c>
      <c r="KH10" s="4">
        <f t="shared" ref="KH10:KN10" si="295">KG9</f>
        <v>0</v>
      </c>
      <c r="KI10" s="4">
        <f t="shared" si="295"/>
        <v>0</v>
      </c>
      <c r="KJ10" s="4">
        <f t="shared" si="295"/>
        <v>0</v>
      </c>
      <c r="KK10" s="4">
        <f t="shared" si="295"/>
        <v>0</v>
      </c>
      <c r="KL10" s="4">
        <f t="shared" si="295"/>
        <v>0</v>
      </c>
      <c r="KM10" s="4">
        <f t="shared" si="295"/>
        <v>0</v>
      </c>
      <c r="KN10" s="4">
        <f t="shared" si="295"/>
        <v>0</v>
      </c>
      <c r="KO10" s="4"/>
      <c r="KP10" s="4"/>
      <c r="KQ10" s="4"/>
      <c r="KR10" s="36"/>
      <c r="KS10" s="4"/>
      <c r="KU10" s="3" t="s">
        <v>541</v>
      </c>
      <c r="KV10" s="4">
        <v>0</v>
      </c>
      <c r="KW10" s="4">
        <f>KV9</f>
        <v>0</v>
      </c>
      <c r="KX10" s="4">
        <f t="shared" ref="KX10:LD10" si="296">KW9</f>
        <v>0</v>
      </c>
      <c r="KY10" s="4">
        <f t="shared" si="296"/>
        <v>0</v>
      </c>
      <c r="KZ10" s="4">
        <f t="shared" si="296"/>
        <v>0</v>
      </c>
      <c r="LA10" s="4">
        <f t="shared" si="296"/>
        <v>0</v>
      </c>
      <c r="LB10" s="4">
        <f t="shared" si="296"/>
        <v>0</v>
      </c>
      <c r="LC10" s="4">
        <f t="shared" si="296"/>
        <v>0</v>
      </c>
      <c r="LD10" s="4">
        <f t="shared" si="296"/>
        <v>0</v>
      </c>
      <c r="LE10" s="4"/>
      <c r="LF10" s="4"/>
      <c r="LG10" s="4"/>
      <c r="LH10" s="36"/>
      <c r="LI10" s="4"/>
      <c r="LK10" s="3" t="s">
        <v>542</v>
      </c>
      <c r="LL10" s="4">
        <v>0</v>
      </c>
      <c r="LM10" s="4">
        <f>LL9</f>
        <v>0</v>
      </c>
      <c r="LN10" s="4">
        <f t="shared" ref="LN10:LT10" si="297">LM9</f>
        <v>0</v>
      </c>
      <c r="LO10" s="4">
        <f t="shared" si="297"/>
        <v>0</v>
      </c>
      <c r="LP10" s="4">
        <f t="shared" si="297"/>
        <v>0</v>
      </c>
      <c r="LQ10" s="4">
        <f t="shared" si="297"/>
        <v>0</v>
      </c>
      <c r="LR10" s="4">
        <f t="shared" si="297"/>
        <v>0</v>
      </c>
      <c r="LS10" s="4">
        <f t="shared" si="297"/>
        <v>0</v>
      </c>
      <c r="LT10" s="4">
        <f t="shared" si="297"/>
        <v>0</v>
      </c>
      <c r="LU10" s="4"/>
      <c r="LV10" s="4"/>
      <c r="LW10" s="4"/>
      <c r="LX10" s="36"/>
      <c r="LY10" s="4"/>
      <c r="MA10" s="3" t="s">
        <v>543</v>
      </c>
      <c r="MB10" s="4">
        <v>0</v>
      </c>
      <c r="MC10" s="4">
        <f>MB9</f>
        <v>0</v>
      </c>
      <c r="MD10" s="4">
        <f t="shared" ref="MD10:MJ10" si="298">MC9</f>
        <v>0</v>
      </c>
      <c r="ME10" s="4">
        <f t="shared" si="298"/>
        <v>0</v>
      </c>
      <c r="MF10" s="4">
        <f t="shared" si="298"/>
        <v>0</v>
      </c>
      <c r="MG10" s="4">
        <f t="shared" si="298"/>
        <v>0</v>
      </c>
      <c r="MH10" s="4">
        <f t="shared" si="298"/>
        <v>0</v>
      </c>
      <c r="MI10" s="4">
        <f t="shared" si="298"/>
        <v>0</v>
      </c>
      <c r="MJ10" s="4">
        <f t="shared" si="298"/>
        <v>0</v>
      </c>
      <c r="MK10" s="4"/>
      <c r="ML10" s="4"/>
      <c r="MM10" s="4"/>
      <c r="MN10" s="36"/>
      <c r="MO10" s="4"/>
      <c r="MQ10" s="3" t="s">
        <v>544</v>
      </c>
      <c r="MR10" s="4">
        <v>0</v>
      </c>
      <c r="MS10" s="4">
        <f>MR9</f>
        <v>0</v>
      </c>
      <c r="MT10" s="4">
        <f t="shared" ref="MT10:MZ10" si="299">MS9</f>
        <v>0</v>
      </c>
      <c r="MU10" s="4">
        <f t="shared" si="299"/>
        <v>0</v>
      </c>
      <c r="MV10" s="4">
        <f t="shared" si="299"/>
        <v>0</v>
      </c>
      <c r="MW10" s="4">
        <f t="shared" si="299"/>
        <v>0</v>
      </c>
      <c r="MX10" s="4">
        <f t="shared" si="299"/>
        <v>0</v>
      </c>
      <c r="MY10" s="4">
        <f t="shared" si="299"/>
        <v>0</v>
      </c>
      <c r="MZ10" s="4">
        <f t="shared" si="299"/>
        <v>0</v>
      </c>
      <c r="NA10" s="4"/>
      <c r="NB10" s="4"/>
      <c r="NC10" s="4"/>
      <c r="ND10" s="36"/>
      <c r="NE10" s="4"/>
      <c r="NG10" s="3" t="s">
        <v>545</v>
      </c>
      <c r="NH10" s="4">
        <v>0</v>
      </c>
      <c r="NI10" s="4">
        <f>NH9</f>
        <v>0</v>
      </c>
      <c r="NJ10" s="4">
        <f t="shared" ref="NJ10:NP10" si="300">NI9</f>
        <v>0</v>
      </c>
      <c r="NK10" s="4">
        <f t="shared" si="300"/>
        <v>0</v>
      </c>
      <c r="NL10" s="4">
        <f t="shared" si="300"/>
        <v>0</v>
      </c>
      <c r="NM10" s="4">
        <f t="shared" si="300"/>
        <v>0</v>
      </c>
      <c r="NN10" s="4">
        <f t="shared" si="300"/>
        <v>0</v>
      </c>
      <c r="NO10" s="4">
        <f t="shared" si="300"/>
        <v>0</v>
      </c>
      <c r="NP10" s="4">
        <f t="shared" si="300"/>
        <v>0</v>
      </c>
      <c r="NQ10" s="4"/>
      <c r="NR10" s="4"/>
      <c r="NS10" s="4"/>
      <c r="NT10" s="36"/>
      <c r="NU10" s="4"/>
      <c r="NW10" s="3" t="s">
        <v>546</v>
      </c>
      <c r="NX10" s="4">
        <v>0</v>
      </c>
      <c r="NY10" s="4">
        <f>NX9</f>
        <v>0</v>
      </c>
      <c r="NZ10" s="4">
        <f t="shared" ref="NZ10:OF10" si="301">NY9</f>
        <v>0</v>
      </c>
      <c r="OA10" s="4">
        <f t="shared" si="301"/>
        <v>0</v>
      </c>
      <c r="OB10" s="4">
        <f t="shared" si="301"/>
        <v>0</v>
      </c>
      <c r="OC10" s="4">
        <f t="shared" si="301"/>
        <v>0</v>
      </c>
      <c r="OD10" s="4">
        <f t="shared" si="301"/>
        <v>0</v>
      </c>
      <c r="OE10" s="4">
        <f t="shared" si="301"/>
        <v>0</v>
      </c>
      <c r="OF10" s="4">
        <f t="shared" si="301"/>
        <v>0</v>
      </c>
      <c r="OG10" s="4"/>
      <c r="OH10" s="4"/>
      <c r="OJ10" s="36"/>
      <c r="OL10" s="4"/>
      <c r="OM10" s="4"/>
      <c r="ON10" s="4"/>
      <c r="OO10" s="4"/>
      <c r="OP10" s="4"/>
      <c r="OQ10" s="4"/>
      <c r="OR10" s="4"/>
      <c r="OS10" s="4"/>
      <c r="OT10" s="4"/>
      <c r="OU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K10" s="3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L10" s="3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Z10" s="3"/>
      <c r="RA10" s="4"/>
      <c r="RB10" s="4"/>
      <c r="RC10" s="4"/>
      <c r="RD10" s="4"/>
      <c r="RE10" s="4"/>
      <c r="RF10" s="4"/>
      <c r="RG10" s="4"/>
      <c r="RH10" s="4"/>
      <c r="RI10" s="4"/>
      <c r="RN10" s="3"/>
      <c r="RO10" s="4"/>
      <c r="RP10" s="4"/>
      <c r="RQ10" s="4"/>
      <c r="RR10" s="4"/>
      <c r="RS10" s="4"/>
      <c r="RT10" s="4"/>
      <c r="RU10" s="4"/>
      <c r="RV10" s="4"/>
      <c r="RW10" s="4"/>
      <c r="SB10" s="3"/>
      <c r="SC10" s="4"/>
      <c r="SD10" s="4"/>
      <c r="SE10" s="4"/>
      <c r="SF10" s="4"/>
      <c r="SG10" s="4"/>
      <c r="SH10" s="4"/>
      <c r="SI10" s="4"/>
      <c r="SJ10" s="4"/>
      <c r="SK10" s="4"/>
    </row>
    <row r="11" spans="1:505" x14ac:dyDescent="0.2">
      <c r="A11" s="3" t="s">
        <v>1450</v>
      </c>
      <c r="B11" s="3"/>
      <c r="O11" s="3"/>
      <c r="P11" s="6"/>
      <c r="Q11" s="6"/>
      <c r="R11" s="6"/>
      <c r="S11" s="6"/>
      <c r="T11" s="6"/>
      <c r="U11" s="6"/>
      <c r="V11" s="6"/>
      <c r="W11" s="6"/>
      <c r="X11" s="6"/>
      <c r="AG11" s="3"/>
      <c r="AH11" s="6"/>
      <c r="AI11" s="6"/>
      <c r="AJ11" s="6"/>
      <c r="AK11" s="6"/>
      <c r="AL11" s="6"/>
      <c r="AM11" s="6"/>
      <c r="AN11" s="6"/>
      <c r="AO11" s="6"/>
      <c r="AP11" s="6"/>
      <c r="AY11" s="3" t="s">
        <v>547</v>
      </c>
      <c r="AZ11" s="6">
        <f>IF(AZ18=1,MAX((AZ4-AZ6)*AZ12,0),MAX((AZ4-AZ6),0))</f>
        <v>0</v>
      </c>
      <c r="BA11" s="6">
        <f>IF(AZ18=1,MAX((BA4-BA6)*AZ12,0),MAX((BA4-BA6),0))</f>
        <v>0</v>
      </c>
      <c r="BB11" s="6">
        <f>IF(AZ18=1,MAX((BB4-BB6)*AZ12,0),MAX((BB4-BB6),0))</f>
        <v>0</v>
      </c>
      <c r="BC11" s="6">
        <f>IF(AZ18=1,MAX((BC4-BC6)*AZ12,0),MAX((BC4-BC6),0))</f>
        <v>0</v>
      </c>
      <c r="BD11" s="6">
        <f>IF(AZ18=1,MAX((BD4-BD6)*AZ12,0),MAX((BD4-BD6),0))</f>
        <v>0</v>
      </c>
      <c r="BE11" s="6">
        <f>IF(AZ18=1,MAX((BE4-BE6)*AZ12,0),MAX((BE4-BE6),0))</f>
        <v>0</v>
      </c>
      <c r="BF11" s="6">
        <f>IF(AZ18=1,MAX((BF4-BF6)*AZ12,0),MAX((BF4-BF6),0))</f>
        <v>0</v>
      </c>
      <c r="BG11" s="6">
        <f>IF(AZ18=1,MAX((BG4-BG6)*AZ12,0),MAX((BG4-BG6),0))</f>
        <v>0</v>
      </c>
      <c r="BH11" s="6">
        <f>IF(AZ18=1,MAX((BH4-BH6)*AZ12,0),MAX((BH4-BH6),0))</f>
        <v>0</v>
      </c>
      <c r="BL11" s="9"/>
      <c r="BO11" s="3" t="s">
        <v>548</v>
      </c>
      <c r="BP11" s="6">
        <f>IF(BP18=1,MAX((BP4-BP6)*BP12,0),MAX((BP4-BP6),0))</f>
        <v>0</v>
      </c>
      <c r="BQ11" s="6">
        <f>IF(BP18=1,MAX((BQ4-BQ6)*BP12,0),MAX((BQ4-BQ6),0))</f>
        <v>0</v>
      </c>
      <c r="BR11" s="6">
        <f>IF(BP18=1,MAX((BR4-BR6)*BP12,0),MAX((BR4-BR6),0))</f>
        <v>0</v>
      </c>
      <c r="BS11" s="6">
        <f>IF(BP18=1,MAX((BS4-BS6)*BP12,0),MAX((BS4-BS6),0))</f>
        <v>0</v>
      </c>
      <c r="BT11" s="6">
        <f>IF(BP18=1,MAX((BT4-BT6)*BP12,0),MAX((BT4-BT6),0))</f>
        <v>0</v>
      </c>
      <c r="BU11" s="6">
        <f>IF(BP18=1,MAX((BU4-BU6)*BP12,0),MAX((BU4-BU6),0))</f>
        <v>0</v>
      </c>
      <c r="BV11" s="6">
        <f>IF(BP18=1,MAX((BV4-BV6)*BP12,0),MAX((BV4-BV6),0))</f>
        <v>0</v>
      </c>
      <c r="BW11" s="6">
        <f>IF(BP18=1,MAX((BW4-BW6)*BP12,0),MAX((BW4-BW6),0))</f>
        <v>0</v>
      </c>
      <c r="BX11" s="6">
        <f>IF(BP18=1,MAX((BX4-BX6)*BP12,0),MAX((BX4-BX6),0))</f>
        <v>0</v>
      </c>
      <c r="CB11" s="9"/>
      <c r="CE11" s="3" t="s">
        <v>549</v>
      </c>
      <c r="CF11" s="6">
        <f>IF(CF18=1,MAX((CF4-CF6)*CF12,0),MAX((CF4-CF6),0))</f>
        <v>0</v>
      </c>
      <c r="CG11" s="6">
        <f>IF(CF18=1,MAX((CG4-CG6)*CF12,0),MAX((CG4-CG6),0))</f>
        <v>0</v>
      </c>
      <c r="CH11" s="6">
        <f>IF(CF18=1,MAX((CH4-CH6)*CF12,0),MAX((CH4-CH6),0))</f>
        <v>0</v>
      </c>
      <c r="CI11" s="6">
        <f>IF(CF18=1,MAX((CI4-CI6)*CF12,0),MAX((CI4-CI6),0))</f>
        <v>0</v>
      </c>
      <c r="CJ11" s="6">
        <f>IF(CF18=1,MAX((CJ4-CJ6)*CF12,0),MAX((CJ4-CJ6),0))</f>
        <v>0</v>
      </c>
      <c r="CK11" s="6">
        <f>IF(CF18=1,MAX((CK4-CK6)*CF12,0),MAX((CK4-CK6),0))</f>
        <v>0</v>
      </c>
      <c r="CL11" s="6">
        <f>IF(CF18=1,MAX((CL4-CL6)*CF12,0),MAX((CL4-CL6),0))</f>
        <v>0</v>
      </c>
      <c r="CM11" s="6">
        <f>IF(CF18=1,MAX((CM4-CM6)*CF12,0),MAX((CM4-CM6),0))</f>
        <v>0</v>
      </c>
      <c r="CN11" s="6">
        <f>IF(CF18=1,MAX((CN4-CN6)*CF12,0),MAX((CN4-CN6),0))</f>
        <v>0</v>
      </c>
      <c r="CR11" s="9"/>
      <c r="CU11" s="3" t="s">
        <v>550</v>
      </c>
      <c r="CV11" s="6">
        <f>IF(CV18=1,MAX((CV4-CV6)*CV12,0),MAX((CV4-CV6),0))</f>
        <v>0</v>
      </c>
      <c r="CW11" s="6">
        <f>IF(CV18=1,MAX((CW4-CW6)*CV12,0),MAX((CW4-CW6),0))</f>
        <v>0</v>
      </c>
      <c r="CX11" s="6">
        <f>IF(CV18=1,MAX((CX4-CX6)*CV12,0),MAX((CX4-CX6),0))</f>
        <v>0</v>
      </c>
      <c r="CY11" s="6">
        <f>IF(CV18=1,MAX((CY4-CY6)*CV12,0),MAX((CY4-CY6),0))</f>
        <v>0</v>
      </c>
      <c r="CZ11" s="6">
        <f>IF(CV18=1,MAX((CZ4-CZ6)*CV12,0),MAX((CZ4-CZ6),0))</f>
        <v>0</v>
      </c>
      <c r="DA11" s="6">
        <f>IF(CV18=1,MAX((DA4-DA6)*CV12,0),MAX((DA4-DA6),0))</f>
        <v>0</v>
      </c>
      <c r="DB11" s="6">
        <f>IF(CV18=1,MAX((DB4-DB6)*CV12,0),MAX((DB4-DB6),0))</f>
        <v>0</v>
      </c>
      <c r="DC11" s="6">
        <f>IF(CV18=1,MAX((DC4-DC6)*CV12,0),MAX((DC4-DC6),0))</f>
        <v>0</v>
      </c>
      <c r="DD11" s="6">
        <f>IF(CV18=1,MAX((DD4-DD6)*CV12,0),MAX((DD4-DD6),0))</f>
        <v>0</v>
      </c>
      <c r="DH11" s="9"/>
      <c r="DK11" s="3" t="s">
        <v>551</v>
      </c>
      <c r="DL11" s="6">
        <f>IF(DL18=1,MAX((DL4-DL6)*DL12,0),MAX((DL4-DL6),0))</f>
        <v>0</v>
      </c>
      <c r="DM11" s="6">
        <f>IF(DL18=1,MAX((DM4-DM6)*DL12,0),MAX((DM4-DM6),0))</f>
        <v>0</v>
      </c>
      <c r="DN11" s="6">
        <f>IF(DL18=1,MAX((DN4-DN6)*DL12,0),MAX((DN4-DN6),0))</f>
        <v>0</v>
      </c>
      <c r="DO11" s="6">
        <f>IF(DL18=1,MAX((DO4-DO6)*DL12,0),MAX((DO4-DO6),0))</f>
        <v>0</v>
      </c>
      <c r="DP11" s="6">
        <f>IF(DL18=1,MAX((DP4-DP6)*DL12,0),MAX((DP4-DP6),0))</f>
        <v>0</v>
      </c>
      <c r="DQ11" s="6">
        <f>IF(DL18=1,MAX((DQ4-DQ6)*DL12,0),MAX((DQ4-DQ6),0))</f>
        <v>0</v>
      </c>
      <c r="DR11" s="6">
        <f>IF(DL18=1,MAX((DR4-DR6)*DL12,0),MAX((DR4-DR6),0))</f>
        <v>0</v>
      </c>
      <c r="DS11" s="6">
        <f>IF(DL18=1,MAX((DS4-DS6)*DL12,0),MAX((DS4-DS6),0))</f>
        <v>0</v>
      </c>
      <c r="DT11" s="6">
        <f>IF(DL18=1,MAX((DT4-DT6)*DL12,0),MAX((DT4-DT6),0))</f>
        <v>0</v>
      </c>
      <c r="DX11" s="9"/>
      <c r="EA11" s="3" t="s">
        <v>552</v>
      </c>
      <c r="EB11" s="6">
        <f>IF(EB18=1,MAX((EB4-EB6)*EB12,0),MAX((EB4-EB6),0))</f>
        <v>0</v>
      </c>
      <c r="EC11" s="6">
        <f>IF(EB18=1,MAX((EC4-EC6)*EB12,0),MAX((EC4-EC6),0))</f>
        <v>0</v>
      </c>
      <c r="ED11" s="6">
        <f>IF(EB18=1,MAX((ED4-ED6)*EB12,0),MAX((ED4-ED6),0))</f>
        <v>0</v>
      </c>
      <c r="EE11" s="6">
        <f>IF(EB18=1,MAX((EE4-EE6)*EB12,0),MAX((EE4-EE6),0))</f>
        <v>0</v>
      </c>
      <c r="EF11" s="6">
        <f>IF(EB18=1,MAX((EF4-EF6)*EB12,0),MAX((EF4-EF6),0))</f>
        <v>0</v>
      </c>
      <c r="EG11" s="6">
        <f>IF(EB18=1,MAX((EG4-EG6)*EB12,0),MAX((EG4-EG6),0))</f>
        <v>0</v>
      </c>
      <c r="EH11" s="6">
        <f>IF(EB18=1,MAX((EH4-EH6)*EB12,0),MAX((EH4-EH6),0))</f>
        <v>0</v>
      </c>
      <c r="EI11" s="6">
        <f>IF(EB18=1,MAX((EI4-EI6)*EB12,0),MAX((EI4-EI6),0))</f>
        <v>0</v>
      </c>
      <c r="EJ11" s="6">
        <f>IF(EB18=1,MAX((EJ4-EJ6)*EB12,0),MAX((EJ4-EJ6),0))</f>
        <v>0</v>
      </c>
      <c r="EN11" s="9"/>
      <c r="EQ11" s="3" t="s">
        <v>553</v>
      </c>
      <c r="ER11" s="6">
        <f>IF(ER18=1,MAX((ER4-ER6)*ER12,0),MAX((ER4-ER6),0))</f>
        <v>0</v>
      </c>
      <c r="ES11" s="6">
        <f>IF(ER18=1,MAX((ES4-ES6)*ER12,0),MAX((ES4-ES6),0))</f>
        <v>0</v>
      </c>
      <c r="ET11" s="6">
        <f>IF(ER18=1,MAX((ET4-ET6)*ER12,0),MAX((ET4-ET6),0))</f>
        <v>0</v>
      </c>
      <c r="EU11" s="6">
        <f>IF(ER18=1,MAX((EU4-EU6)*ER12,0),MAX((EU4-EU6),0))</f>
        <v>0</v>
      </c>
      <c r="EV11" s="6">
        <f>IF(ER18=1,MAX((EV4-EV6)*ER12,0),MAX((EV4-EV6),0))</f>
        <v>0</v>
      </c>
      <c r="EW11" s="6">
        <f>IF(ER18=1,MAX((EW4-EW6)*ER12,0),MAX((EW4-EW6),0))</f>
        <v>0</v>
      </c>
      <c r="EX11" s="6">
        <f>IF(ER18=1,MAX((EX4-EX6)*ER12,0),MAX((EX4-EX6),0))</f>
        <v>0</v>
      </c>
      <c r="EY11" s="6">
        <f>IF(ER18=1,MAX((EY4-EY6)*ER12,0),MAX((EY4-EY6),0))</f>
        <v>0</v>
      </c>
      <c r="EZ11" s="6">
        <f>IF(ER18=1,MAX((EZ4-EZ6)*ER12,0),MAX((EZ4-EZ6),0))</f>
        <v>0</v>
      </c>
      <c r="FD11" s="9"/>
      <c r="FG11" s="3" t="s">
        <v>554</v>
      </c>
      <c r="FH11" s="6">
        <f>IF(FH18=1,MAX((FH4-FH6)*FH12,0),MAX((FH4-FH6),0))</f>
        <v>0</v>
      </c>
      <c r="FI11" s="6">
        <f>IF(FH18=1,MAX((FI4-FI6)*FH12,0),MAX((FI4-FI6),0))</f>
        <v>0</v>
      </c>
      <c r="FJ11" s="6">
        <f>IF(FH18=1,MAX((FJ4-FJ6)*FH12,0),MAX((FJ4-FJ6),0))</f>
        <v>0</v>
      </c>
      <c r="FK11" s="6">
        <f>IF(FH18=1,MAX((FK4-FK6)*FH12,0),MAX((FK4-FK6),0))</f>
        <v>0</v>
      </c>
      <c r="FL11" s="6">
        <f>IF(FH18=1,MAX((FL4-FL6)*FH12,0),MAX((FL4-FL6),0))</f>
        <v>0</v>
      </c>
      <c r="FM11" s="6">
        <f>IF(FH18=1,MAX((FM4-FM6)*FH12,0),MAX((FM4-FM6),0))</f>
        <v>0</v>
      </c>
      <c r="FN11" s="6">
        <f>IF(FH18=1,MAX((FN4-FN6)*FH12,0),MAX((FN4-FN6),0))</f>
        <v>0</v>
      </c>
      <c r="FO11" s="6">
        <f>IF(FH18=1,MAX((FO4-FO6)*FH12,0),MAX((FO4-FO6),0))</f>
        <v>0</v>
      </c>
      <c r="FP11" s="6">
        <f>IF(FH18=1,MAX((FP4-FP6)*FH12,0),MAX((FP4-FP6),0))</f>
        <v>0</v>
      </c>
      <c r="FT11" s="9"/>
      <c r="FW11" s="3" t="s">
        <v>555</v>
      </c>
      <c r="FX11" s="6">
        <f>IF(FX18=1,MAX((FX4-FX6)*FX12,0),MAX((FX4-FX6),0))</f>
        <v>0</v>
      </c>
      <c r="FY11" s="6">
        <f>IF(FX18=1,MAX((FY4-FY6)*FX12,0),MAX((FY4-FY6),0))</f>
        <v>0</v>
      </c>
      <c r="FZ11" s="6">
        <f>IF(FX18=1,MAX((FZ4-FZ6)*FX12,0),MAX((FZ4-FZ6),0))</f>
        <v>0</v>
      </c>
      <c r="GA11" s="6">
        <f>IF(FX18=1,MAX((GA4-GA6)*FX12,0),MAX((GA4-GA6),0))</f>
        <v>0</v>
      </c>
      <c r="GB11" s="6">
        <f>IF(FX18=1,MAX((GB4-GB6)*FX12,0),MAX((GB4-GB6),0))</f>
        <v>0</v>
      </c>
      <c r="GC11" s="6">
        <f>IF(FX18=1,MAX((GC4-GC6)*FX12,0),MAX((GC4-GC6),0))</f>
        <v>0</v>
      </c>
      <c r="GD11" s="6">
        <f>IF(FX18=1,MAX((GD4-GD6)*FX12,0),MAX((GD4-GD6),0))</f>
        <v>0</v>
      </c>
      <c r="GE11" s="6">
        <f>IF(FX18=1,MAX((GE4-GE6)*FX12,0),MAX((GE4-GE6),0))</f>
        <v>0</v>
      </c>
      <c r="GF11" s="6">
        <f>IF(FX18=1,MAX((GF4-GF6)*FX12,0),MAX((GF4-GF6),0))</f>
        <v>0</v>
      </c>
      <c r="GJ11" s="9"/>
      <c r="GM11" s="3" t="s">
        <v>556</v>
      </c>
      <c r="GN11" s="6">
        <f>IF(GN18=1,MAX((GN4-GN6)*GN12,0),MAX((GN4-GN6),0))</f>
        <v>0</v>
      </c>
      <c r="GO11" s="6">
        <f>IF(GN18=1,MAX((GO4-GO6)*GN12,0),MAX((GO4-GO6),0))</f>
        <v>0</v>
      </c>
      <c r="GP11" s="6">
        <f>IF(GN18=1,MAX((GP4-GP6)*GN12,0),MAX((GP4-GP6),0))</f>
        <v>0</v>
      </c>
      <c r="GQ11" s="6">
        <f>IF(GN18=1,MAX((GQ4-GQ6)*GN12,0),MAX((GQ4-GQ6),0))</f>
        <v>0</v>
      </c>
      <c r="GR11" s="6">
        <f>IF(GN18=1,MAX((GR4-GR6)*GN12,0),MAX((GR4-GR6),0))</f>
        <v>0</v>
      </c>
      <c r="GS11" s="6">
        <f>IF(GN18=1,MAX((GS4-GS6)*GN12,0),MAX((GS4-GS6),0))</f>
        <v>0</v>
      </c>
      <c r="GT11" s="6">
        <f>IF(GN18=1,MAX((GT4-GT6)*GN12,0),MAX((GT4-GT6),0))</f>
        <v>0</v>
      </c>
      <c r="GU11" s="6">
        <f>IF(GN18=1,MAX((GU4-GU6)*GN12,0),MAX((GU4-GU6),0))</f>
        <v>0</v>
      </c>
      <c r="GV11" s="6">
        <f>IF(GN18=1,MAX((GV4-GV6)*GN12,0),MAX((GV4-GV6),0))</f>
        <v>0</v>
      </c>
      <c r="GZ11" s="9"/>
      <c r="HC11" s="3" t="s">
        <v>557</v>
      </c>
      <c r="HD11" s="6">
        <f>IF(HD18=1,MAX((HD4-HD6)*HD12,0),MAX((HD4-HD6),0))</f>
        <v>0</v>
      </c>
      <c r="HE11" s="6">
        <f>IF(HD18=1,MAX((HE4-HE6)*HD12,0),MAX((HE4-HE6),0))</f>
        <v>0</v>
      </c>
      <c r="HF11" s="6">
        <f>IF(HD18=1,MAX((HF4-HF6)*HD12,0),MAX((HF4-HF6),0))</f>
        <v>0</v>
      </c>
      <c r="HG11" s="6">
        <f>IF(HD18=1,MAX((HG4-HG6)*HD12,0),MAX((HG4-HG6),0))</f>
        <v>0</v>
      </c>
      <c r="HH11" s="6">
        <f>IF(HD18=1,MAX((HH4-HH6)*HD12,0),MAX((HH4-HH6),0))</f>
        <v>0</v>
      </c>
      <c r="HI11" s="6">
        <f>IF(HD18=1,MAX((HI4-HI6)*HD12,0),MAX((HI4-HI6),0))</f>
        <v>0</v>
      </c>
      <c r="HJ11" s="6">
        <f>IF(HD18=1,MAX((HJ4-HJ6)*HD12,0),MAX((HJ4-HJ6),0))</f>
        <v>0</v>
      </c>
      <c r="HK11" s="6">
        <f>IF(HD18=1,MAX((HK4-HK6)*HD12,0),MAX((HK4-HK6),0))</f>
        <v>0</v>
      </c>
      <c r="HL11" s="6">
        <f>IF(HD18=1,MAX((HL4-HL6)*HD12,0),MAX((HL4-HL6),0))</f>
        <v>0</v>
      </c>
      <c r="HP11" s="9"/>
      <c r="HS11" s="3" t="s">
        <v>558</v>
      </c>
      <c r="HT11" s="6">
        <f>IF(HT18=1,MAX((HT4-HT6)*HT12,0),MAX((HT4-HT6),0))</f>
        <v>0</v>
      </c>
      <c r="HU11" s="6">
        <f>IF(HT18=1,MAX((HU4-HU6)*HT12,0),MAX((HU4-HU6),0))</f>
        <v>0</v>
      </c>
      <c r="HV11" s="6">
        <f>IF(HT18=1,MAX((HV4-HV6)*HT12,0),MAX((HV4-HV6),0))</f>
        <v>0</v>
      </c>
      <c r="HW11" s="6">
        <f>IF(HT18=1,MAX((HW4-HW6)*HT12,0),MAX((HW4-HW6),0))</f>
        <v>0</v>
      </c>
      <c r="HX11" s="6">
        <f>IF(HT18=1,MAX((HX4-HX6)*HT12,0),MAX((HX4-HX6),0))</f>
        <v>0</v>
      </c>
      <c r="HY11" s="6">
        <f>IF(HT18=1,MAX((HY4-HY6)*HT12,0),MAX((HY4-HY6),0))</f>
        <v>0</v>
      </c>
      <c r="HZ11" s="6">
        <f>IF(HT18=1,MAX((HZ4-HZ6)*HT12,0),MAX((HZ4-HZ6),0))</f>
        <v>0</v>
      </c>
      <c r="IA11" s="6">
        <f>IF(HT18=1,MAX((IA4-IA6)*HT12,0),MAX((IA4-IA6),0))</f>
        <v>0</v>
      </c>
      <c r="IB11" s="6">
        <f>IF(HT18=1,MAX((IB4-IB6)*HT12,0),MAX((IB4-IB6),0))</f>
        <v>0</v>
      </c>
      <c r="IF11" s="9"/>
      <c r="II11" s="3" t="s">
        <v>559</v>
      </c>
      <c r="IJ11" s="6">
        <f>IF(IJ18=1,MAX((IJ4-IJ6)*IJ12,0),MAX((IJ4-IJ6),0))</f>
        <v>0</v>
      </c>
      <c r="IK11" s="6">
        <f>IF(IJ18=1,MAX((IK4-IK6)*IJ12,0),MAX((IK4-IK6),0))</f>
        <v>0</v>
      </c>
      <c r="IL11" s="6">
        <f>IF(IJ18=1,MAX((IL4-IL6)*IJ12,0),MAX((IL4-IL6),0))</f>
        <v>0</v>
      </c>
      <c r="IM11" s="6">
        <f>IF(IJ18=1,MAX((IM4-IM6)*IJ12,0),MAX((IM4-IM6),0))</f>
        <v>0</v>
      </c>
      <c r="IN11" s="6">
        <f>IF(IJ18=1,MAX((IN4-IN6)*IJ12,0),MAX((IN4-IN6),0))</f>
        <v>0</v>
      </c>
      <c r="IO11" s="6">
        <f>IF(IJ18=1,MAX((IO4-IO6)*IJ12,0),MAX((IO4-IO6),0))</f>
        <v>0</v>
      </c>
      <c r="IP11" s="6">
        <f>IF(IJ18=1,MAX((IP4-IP6)*IJ12,0),MAX((IP4-IP6),0))</f>
        <v>0</v>
      </c>
      <c r="IQ11" s="6">
        <f>IF(IJ18=1,MAX((IQ4-IQ6)*IJ12,0),MAX((IQ4-IQ6),0))</f>
        <v>0</v>
      </c>
      <c r="IR11" s="6">
        <f>IF(IJ18=1,MAX((IR4-IR6)*IJ12,0),MAX((IR4-IR6),0))</f>
        <v>0</v>
      </c>
      <c r="IV11" s="9"/>
      <c r="IY11" s="3" t="s">
        <v>560</v>
      </c>
      <c r="IZ11" s="6">
        <f>IF(IZ18=1,MAX((IZ4-IZ6)*IZ12,0),MAX((IZ4-IZ6),0))</f>
        <v>0</v>
      </c>
      <c r="JA11" s="6">
        <f>IF(IZ18=1,MAX((JA4-JA6)*IZ12,0),MAX((JA4-JA6),0))</f>
        <v>0</v>
      </c>
      <c r="JB11" s="6">
        <f>IF(IZ18=1,MAX((JB4-JB6)*IZ12,0),MAX((JB4-JB6),0))</f>
        <v>0</v>
      </c>
      <c r="JC11" s="6">
        <f>IF(IZ18=1,MAX((JC4-JC6)*IZ12,0),MAX((JC4-JC6),0))</f>
        <v>0</v>
      </c>
      <c r="JD11" s="6">
        <f>IF(IZ18=1,MAX((JD4-JD6)*IZ12,0),MAX((JD4-JD6),0))</f>
        <v>0</v>
      </c>
      <c r="JE11" s="6">
        <f>IF(IZ18=1,MAX((JE4-JE6)*IZ12,0),MAX((JE4-JE6),0))</f>
        <v>0</v>
      </c>
      <c r="JF11" s="6">
        <f>IF(IZ18=1,MAX((JF4-JF6)*IZ12,0),MAX((JF4-JF6),0))</f>
        <v>0</v>
      </c>
      <c r="JG11" s="6">
        <f>IF(IZ18=1,MAX((JG4-JG6)*IZ12,0),MAX((JG4-JG6),0))</f>
        <v>0</v>
      </c>
      <c r="JH11" s="6">
        <f>IF(IZ18=1,MAX((JH4-JH6)*IZ12,0),MAX((JH4-JH6),0))</f>
        <v>0</v>
      </c>
      <c r="JL11" s="9"/>
      <c r="JO11" s="3" t="s">
        <v>561</v>
      </c>
      <c r="JP11" s="6">
        <f>IF(JP18=1,MAX((JP4-JP6)*JP12,0),MAX((JP4-JP6),0))</f>
        <v>0</v>
      </c>
      <c r="JQ11" s="6">
        <f>IF(JP18=1,MAX((JQ4-JQ6)*JP12,0),MAX((JQ4-JQ6),0))</f>
        <v>0</v>
      </c>
      <c r="JR11" s="6">
        <f>IF(JP18=1,MAX((JR4-JR6)*JP12,0),MAX((JR4-JR6),0))</f>
        <v>0</v>
      </c>
      <c r="JS11" s="6">
        <f>IF(JP18=1,MAX((JS4-JS6)*JP12,0),MAX((JS4-JS6),0))</f>
        <v>0</v>
      </c>
      <c r="JT11" s="6">
        <f>IF(JP18=1,MAX((JT4-JT6)*JP12,0),MAX((JT4-JT6),0))</f>
        <v>0</v>
      </c>
      <c r="JU11" s="6">
        <f>IF(JP18=1,MAX((JU4-JU6)*JP12,0),MAX((JU4-JU6),0))</f>
        <v>0</v>
      </c>
      <c r="JV11" s="6">
        <f>IF(JP18=1,MAX((JV4-JV6)*JP12,0),MAX((JV4-JV6),0))</f>
        <v>0</v>
      </c>
      <c r="JW11" s="6">
        <f>IF(JP18=1,MAX((JW4-JW6)*JP12,0),MAX((JW4-JW6),0))</f>
        <v>0</v>
      </c>
      <c r="JX11" s="6">
        <f>IF(JP18=1,MAX((JX4-JX6)*JP12,0),MAX((JX4-JX6),0))</f>
        <v>0</v>
      </c>
      <c r="KB11" s="9"/>
      <c r="KE11" s="3" t="s">
        <v>562</v>
      </c>
      <c r="KF11">
        <f t="shared" ref="KF11:KN11" si="302">+MAX((KF4-KF6)*$KF12,0)</f>
        <v>0</v>
      </c>
      <c r="KG11">
        <f t="shared" si="302"/>
        <v>0</v>
      </c>
      <c r="KH11">
        <f t="shared" si="302"/>
        <v>0</v>
      </c>
      <c r="KI11">
        <f t="shared" si="302"/>
        <v>0</v>
      </c>
      <c r="KJ11">
        <f t="shared" si="302"/>
        <v>0</v>
      </c>
      <c r="KK11">
        <f t="shared" si="302"/>
        <v>0</v>
      </c>
      <c r="KL11">
        <f t="shared" si="302"/>
        <v>0</v>
      </c>
      <c r="KM11">
        <f t="shared" si="302"/>
        <v>0</v>
      </c>
      <c r="KN11">
        <f t="shared" si="302"/>
        <v>0</v>
      </c>
      <c r="KR11" s="9"/>
      <c r="KU11" s="3" t="s">
        <v>563</v>
      </c>
      <c r="KV11">
        <f t="shared" ref="KV11:LD11" si="303">+MAX((KV4-KV6)*$KV12,0)</f>
        <v>0</v>
      </c>
      <c r="KW11">
        <f t="shared" si="303"/>
        <v>0</v>
      </c>
      <c r="KX11">
        <f t="shared" si="303"/>
        <v>0</v>
      </c>
      <c r="KY11">
        <f t="shared" si="303"/>
        <v>0</v>
      </c>
      <c r="KZ11">
        <f t="shared" si="303"/>
        <v>0</v>
      </c>
      <c r="LA11">
        <f t="shared" si="303"/>
        <v>0</v>
      </c>
      <c r="LB11">
        <f t="shared" si="303"/>
        <v>0</v>
      </c>
      <c r="LC11">
        <f t="shared" si="303"/>
        <v>0</v>
      </c>
      <c r="LD11">
        <f t="shared" si="303"/>
        <v>0</v>
      </c>
      <c r="LH11" s="9"/>
      <c r="LK11" s="3" t="s">
        <v>564</v>
      </c>
      <c r="LL11">
        <f t="shared" ref="LL11:LT11" si="304">+MAX((LL4-LL6)*$LL12,0)</f>
        <v>0</v>
      </c>
      <c r="LM11">
        <f t="shared" si="304"/>
        <v>0</v>
      </c>
      <c r="LN11">
        <f t="shared" si="304"/>
        <v>0</v>
      </c>
      <c r="LO11">
        <f t="shared" si="304"/>
        <v>0</v>
      </c>
      <c r="LP11">
        <f t="shared" si="304"/>
        <v>0</v>
      </c>
      <c r="LQ11">
        <f t="shared" si="304"/>
        <v>0</v>
      </c>
      <c r="LR11">
        <f t="shared" si="304"/>
        <v>0</v>
      </c>
      <c r="LS11">
        <f t="shared" si="304"/>
        <v>0</v>
      </c>
      <c r="LT11">
        <f t="shared" si="304"/>
        <v>0</v>
      </c>
      <c r="LX11" s="9"/>
      <c r="MA11" s="3" t="s">
        <v>565</v>
      </c>
      <c r="MB11">
        <f t="shared" ref="MB11:MJ11" si="305">+MAX((MB4-MB6)*$MB12,0)</f>
        <v>0</v>
      </c>
      <c r="MC11">
        <f t="shared" si="305"/>
        <v>0</v>
      </c>
      <c r="MD11">
        <f t="shared" si="305"/>
        <v>0</v>
      </c>
      <c r="ME11">
        <f t="shared" si="305"/>
        <v>0</v>
      </c>
      <c r="MF11">
        <f t="shared" si="305"/>
        <v>0</v>
      </c>
      <c r="MG11">
        <f t="shared" si="305"/>
        <v>0</v>
      </c>
      <c r="MH11">
        <f t="shared" si="305"/>
        <v>0</v>
      </c>
      <c r="MI11">
        <f t="shared" si="305"/>
        <v>0</v>
      </c>
      <c r="MJ11">
        <f t="shared" si="305"/>
        <v>0</v>
      </c>
      <c r="MN11" s="9"/>
      <c r="MQ11" s="3" t="s">
        <v>566</v>
      </c>
      <c r="MR11">
        <f t="shared" ref="MR11:MZ11" si="306">+MAX((MR4-MR6)*$MR12,0)</f>
        <v>0</v>
      </c>
      <c r="MS11">
        <f t="shared" si="306"/>
        <v>0</v>
      </c>
      <c r="MT11">
        <f t="shared" si="306"/>
        <v>0</v>
      </c>
      <c r="MU11">
        <f t="shared" si="306"/>
        <v>0</v>
      </c>
      <c r="MV11">
        <f t="shared" si="306"/>
        <v>0</v>
      </c>
      <c r="MW11">
        <f t="shared" si="306"/>
        <v>0</v>
      </c>
      <c r="MX11">
        <f t="shared" si="306"/>
        <v>0</v>
      </c>
      <c r="MY11">
        <f t="shared" si="306"/>
        <v>0</v>
      </c>
      <c r="MZ11">
        <f t="shared" si="306"/>
        <v>0</v>
      </c>
      <c r="ND11" s="9"/>
      <c r="NG11" s="3" t="s">
        <v>567</v>
      </c>
      <c r="NH11">
        <f t="shared" ref="NH11:NP11" si="307">+MAX((NH4-NH6)*$NH12,0)</f>
        <v>0</v>
      </c>
      <c r="NI11">
        <f t="shared" si="307"/>
        <v>0</v>
      </c>
      <c r="NJ11">
        <f t="shared" si="307"/>
        <v>0</v>
      </c>
      <c r="NK11">
        <f t="shared" si="307"/>
        <v>0</v>
      </c>
      <c r="NL11">
        <f t="shared" si="307"/>
        <v>0</v>
      </c>
      <c r="NM11">
        <f t="shared" si="307"/>
        <v>0</v>
      </c>
      <c r="NN11">
        <f t="shared" si="307"/>
        <v>0</v>
      </c>
      <c r="NO11">
        <f t="shared" si="307"/>
        <v>0</v>
      </c>
      <c r="NP11">
        <f t="shared" si="307"/>
        <v>0</v>
      </c>
      <c r="NT11" s="9"/>
      <c r="NW11" s="3" t="s">
        <v>568</v>
      </c>
      <c r="NX11">
        <f t="shared" ref="NX11:OF11" si="308">+MAX((NX4-NX6)*$NX12,0)</f>
        <v>0</v>
      </c>
      <c r="NY11">
        <f t="shared" si="308"/>
        <v>0</v>
      </c>
      <c r="NZ11">
        <f t="shared" si="308"/>
        <v>0</v>
      </c>
      <c r="OA11">
        <f t="shared" si="308"/>
        <v>0</v>
      </c>
      <c r="OB11">
        <f t="shared" si="308"/>
        <v>0</v>
      </c>
      <c r="OC11">
        <f t="shared" si="308"/>
        <v>0</v>
      </c>
      <c r="OD11">
        <f t="shared" si="308"/>
        <v>0</v>
      </c>
      <c r="OE11">
        <f t="shared" si="308"/>
        <v>0</v>
      </c>
      <c r="OF11">
        <f t="shared" si="308"/>
        <v>0</v>
      </c>
      <c r="OJ11" s="9"/>
      <c r="PK11" s="3"/>
      <c r="QL11" s="3"/>
      <c r="QZ11" s="3"/>
      <c r="RN11" s="3"/>
      <c r="SB11" s="3"/>
    </row>
    <row r="12" spans="1:505" x14ac:dyDescent="0.2">
      <c r="A12" s="3" t="s">
        <v>1447</v>
      </c>
      <c r="B12" s="3"/>
      <c r="O12" s="3"/>
      <c r="P12" s="6"/>
      <c r="Q12" s="4"/>
      <c r="R12" s="4"/>
      <c r="S12" s="4"/>
      <c r="T12" s="4"/>
      <c r="U12" s="4"/>
      <c r="V12" s="4"/>
      <c r="W12" s="4"/>
      <c r="X12" s="4"/>
      <c r="Y12" s="4"/>
      <c r="Z12" s="4"/>
      <c r="AG12" s="3"/>
      <c r="AH12" s="6"/>
      <c r="AI12" s="6"/>
      <c r="AJ12" s="6"/>
      <c r="AK12" s="6"/>
      <c r="AL12" s="6"/>
      <c r="AM12" s="6"/>
      <c r="AN12" s="6"/>
      <c r="AO12" s="6"/>
      <c r="AP12" s="6"/>
      <c r="AQ12" s="4"/>
      <c r="AR12" s="4"/>
      <c r="AY12" s="3" t="s">
        <v>569</v>
      </c>
      <c r="AZ12" s="31">
        <v>20000000</v>
      </c>
      <c r="BA12" s="6"/>
      <c r="BB12" s="6"/>
      <c r="BC12" s="6"/>
      <c r="BD12" s="6"/>
      <c r="BE12" s="6"/>
      <c r="BF12" s="6"/>
      <c r="BG12" s="6"/>
      <c r="BH12" s="6"/>
      <c r="BI12" s="4"/>
      <c r="BJ12" s="4"/>
      <c r="BL12" s="36"/>
      <c r="BO12" s="3" t="s">
        <v>570</v>
      </c>
      <c r="BP12" s="31">
        <v>20000000</v>
      </c>
      <c r="BQ12" s="4"/>
      <c r="BR12" s="4"/>
      <c r="BS12" s="4"/>
      <c r="BT12" s="4"/>
      <c r="BU12" s="4"/>
      <c r="BV12" s="4"/>
      <c r="BW12" s="4"/>
      <c r="BX12" s="4"/>
      <c r="BY12" s="4"/>
      <c r="BZ12" s="4"/>
      <c r="CB12" s="36"/>
      <c r="CE12" s="3" t="s">
        <v>571</v>
      </c>
      <c r="CF12" s="31">
        <v>20000000</v>
      </c>
      <c r="CG12" s="4"/>
      <c r="CH12" s="4"/>
      <c r="CI12" s="4"/>
      <c r="CJ12" s="4"/>
      <c r="CK12" s="4"/>
      <c r="CL12" s="4"/>
      <c r="CM12" s="4"/>
      <c r="CN12" s="4"/>
      <c r="CO12" s="4"/>
      <c r="CP12" s="4"/>
      <c r="CR12" s="36"/>
      <c r="CU12" s="3" t="s">
        <v>572</v>
      </c>
      <c r="CV12" s="6">
        <v>20000000</v>
      </c>
      <c r="CW12" s="4"/>
      <c r="CX12" s="4"/>
      <c r="CY12" s="4"/>
      <c r="CZ12" s="4"/>
      <c r="DA12" s="4"/>
      <c r="DB12" s="4"/>
      <c r="DC12" s="4"/>
      <c r="DD12" s="4"/>
      <c r="DE12" s="4"/>
      <c r="DF12" s="4"/>
      <c r="DH12" s="36"/>
      <c r="DK12" s="3" t="s">
        <v>573</v>
      </c>
      <c r="DL12" s="31">
        <v>40000000</v>
      </c>
      <c r="DM12" s="4"/>
      <c r="DN12" s="4"/>
      <c r="DO12" s="4"/>
      <c r="DP12" s="4"/>
      <c r="DQ12" s="4"/>
      <c r="DR12" s="4"/>
      <c r="DS12" s="4"/>
      <c r="DT12" s="4"/>
      <c r="DU12" s="4"/>
      <c r="DV12" s="4"/>
      <c r="DX12" s="36"/>
      <c r="EA12" s="3" t="s">
        <v>574</v>
      </c>
      <c r="EB12" s="31">
        <v>40000000</v>
      </c>
      <c r="EC12" s="4"/>
      <c r="ED12" s="4"/>
      <c r="EE12" s="4"/>
      <c r="EF12" s="4"/>
      <c r="EG12" s="4"/>
      <c r="EH12" s="4"/>
      <c r="EI12" s="4"/>
      <c r="EJ12" s="4"/>
      <c r="EK12" s="4"/>
      <c r="EL12" s="4"/>
      <c r="EN12" s="36"/>
      <c r="EQ12" s="3" t="s">
        <v>575</v>
      </c>
      <c r="ER12" s="31">
        <v>10000000</v>
      </c>
      <c r="ES12" s="4"/>
      <c r="ET12" s="4"/>
      <c r="EU12" s="4"/>
      <c r="EV12" s="4"/>
      <c r="EW12" s="4"/>
      <c r="EX12" s="4"/>
      <c r="EY12" s="4"/>
      <c r="EZ12" s="6"/>
      <c r="FA12" s="4"/>
      <c r="FB12" s="6"/>
      <c r="FD12" s="37"/>
      <c r="FG12" s="3" t="s">
        <v>576</v>
      </c>
      <c r="FH12" s="31">
        <v>40000000</v>
      </c>
      <c r="FI12" s="4"/>
      <c r="FJ12" s="4"/>
      <c r="FK12" s="4"/>
      <c r="FL12" s="4"/>
      <c r="FM12" s="4"/>
      <c r="FN12" s="4"/>
      <c r="FO12" s="4"/>
      <c r="FP12" s="6"/>
      <c r="FQ12" s="4"/>
      <c r="FR12" s="6"/>
      <c r="FT12" s="37"/>
      <c r="FW12" s="3" t="s">
        <v>577</v>
      </c>
      <c r="FX12" s="31">
        <v>20000000</v>
      </c>
      <c r="FY12" s="4"/>
      <c r="FZ12" s="4"/>
      <c r="GA12" s="4"/>
      <c r="GB12" s="4"/>
      <c r="GC12" s="4"/>
      <c r="GD12" s="4"/>
      <c r="GE12" s="4"/>
      <c r="GF12" s="6"/>
      <c r="GG12" s="4"/>
      <c r="GH12" s="4"/>
      <c r="GJ12" s="36"/>
      <c r="GM12" s="3" t="s">
        <v>578</v>
      </c>
      <c r="GN12" s="31">
        <v>20000000</v>
      </c>
      <c r="GO12" s="4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37"/>
      <c r="HA12" s="6"/>
      <c r="HB12" s="6"/>
      <c r="HC12" s="3" t="s">
        <v>579</v>
      </c>
      <c r="HD12" s="31">
        <v>20000000</v>
      </c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37"/>
      <c r="HQ12" s="6"/>
      <c r="HR12" s="6"/>
      <c r="HS12" s="3" t="s">
        <v>580</v>
      </c>
      <c r="HT12" s="31">
        <v>40000000</v>
      </c>
      <c r="HU12" s="6"/>
      <c r="HV12" s="6"/>
      <c r="HW12" s="4"/>
      <c r="HX12" s="4"/>
      <c r="HY12" s="4"/>
      <c r="HZ12" s="4"/>
      <c r="IA12" s="4"/>
      <c r="IB12" s="4"/>
      <c r="IC12" s="4"/>
      <c r="ID12" s="4"/>
      <c r="IF12" s="36"/>
      <c r="II12" s="3" t="s">
        <v>581</v>
      </c>
      <c r="IJ12" s="31">
        <v>10000000</v>
      </c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36"/>
      <c r="IW12" s="4"/>
      <c r="IY12" s="3" t="s">
        <v>582</v>
      </c>
      <c r="IZ12" s="6">
        <v>20000000</v>
      </c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36"/>
      <c r="JM12" s="4"/>
      <c r="JO12" s="3" t="s">
        <v>583</v>
      </c>
      <c r="JP12" s="6">
        <v>20000000</v>
      </c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36"/>
      <c r="KC12" s="4"/>
      <c r="KE12" s="3" t="s">
        <v>584</v>
      </c>
      <c r="KF12" s="6">
        <v>20000000</v>
      </c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36"/>
      <c r="KS12" s="4"/>
      <c r="KU12" s="3" t="s">
        <v>585</v>
      </c>
      <c r="KV12" s="6">
        <v>20000000</v>
      </c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36"/>
      <c r="LI12" s="4"/>
      <c r="LK12" s="3" t="s">
        <v>586</v>
      </c>
      <c r="LL12" s="6">
        <v>20000000</v>
      </c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36"/>
      <c r="LY12" s="4"/>
      <c r="MA12" s="3" t="s">
        <v>587</v>
      </c>
      <c r="MB12" s="6">
        <v>20000000</v>
      </c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36"/>
      <c r="MO12" s="4"/>
      <c r="MQ12" s="3" t="s">
        <v>588</v>
      </c>
      <c r="MR12" s="6">
        <v>20000000</v>
      </c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36"/>
      <c r="NE12" s="4"/>
      <c r="NG12" s="3" t="s">
        <v>589</v>
      </c>
      <c r="NH12" s="6">
        <v>20000000</v>
      </c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36"/>
      <c r="NU12" s="4"/>
      <c r="NW12" s="3" t="s">
        <v>590</v>
      </c>
      <c r="NX12" s="6">
        <v>20000000</v>
      </c>
      <c r="NY12" s="4"/>
      <c r="NZ12" s="4"/>
      <c r="OA12" s="4"/>
      <c r="OB12" s="4"/>
      <c r="OC12" s="4"/>
      <c r="OD12" s="4"/>
      <c r="OE12" s="4"/>
      <c r="OF12" s="4"/>
      <c r="OG12" s="4"/>
      <c r="OH12" s="4"/>
      <c r="OJ12" s="36"/>
      <c r="OL12" s="4"/>
      <c r="OM12" s="4"/>
      <c r="ON12" s="4"/>
      <c r="OO12" s="4"/>
      <c r="OP12" s="4"/>
      <c r="OQ12" s="4"/>
      <c r="OR12" s="4"/>
      <c r="OS12" s="4"/>
      <c r="OT12" s="4"/>
      <c r="OU12" s="4"/>
      <c r="OX12" s="8"/>
      <c r="OY12" s="4"/>
      <c r="OZ12" s="4"/>
      <c r="PA12" s="4"/>
      <c r="PB12" s="4"/>
      <c r="PC12" s="4"/>
      <c r="PD12" s="4"/>
      <c r="PE12" s="4"/>
      <c r="PF12" s="4"/>
      <c r="PG12" s="4"/>
      <c r="PH12" s="4"/>
      <c r="PK12" s="3"/>
      <c r="PL12" s="8"/>
      <c r="PM12" s="4"/>
      <c r="PN12" s="4"/>
      <c r="PO12" s="4"/>
      <c r="PP12" s="4"/>
      <c r="PQ12" s="4"/>
      <c r="PR12" s="4"/>
      <c r="PS12" s="4"/>
      <c r="PT12" s="4"/>
      <c r="PU12" s="4"/>
      <c r="PV12" s="4"/>
      <c r="PY12" s="8"/>
      <c r="PZ12" s="4"/>
      <c r="QA12" s="4"/>
      <c r="QB12" s="4"/>
      <c r="QC12" s="4"/>
      <c r="QD12" s="4"/>
      <c r="QE12" s="4"/>
      <c r="QF12" s="4"/>
      <c r="QG12" s="4"/>
      <c r="QH12" s="4"/>
      <c r="QI12" s="4"/>
      <c r="QL12" s="3"/>
      <c r="QM12" s="8"/>
      <c r="QN12" s="4"/>
      <c r="QO12" s="4"/>
      <c r="QP12" s="4"/>
      <c r="QQ12" s="4"/>
      <c r="QR12" s="4"/>
      <c r="QS12" s="4"/>
      <c r="QT12" s="4"/>
      <c r="QU12" s="4"/>
      <c r="QV12" s="4"/>
      <c r="QW12" s="4"/>
      <c r="QZ12" s="3"/>
      <c r="RA12" s="8"/>
      <c r="RB12" s="4"/>
      <c r="RC12" s="4"/>
      <c r="RD12" s="4"/>
      <c r="RE12" s="4"/>
      <c r="RF12" s="4"/>
      <c r="RG12" s="4"/>
      <c r="RH12" s="4"/>
      <c r="RI12" s="4"/>
      <c r="RN12" s="3"/>
      <c r="RO12" s="8"/>
      <c r="RP12" s="4"/>
      <c r="RQ12" s="4"/>
      <c r="RR12" s="4"/>
      <c r="RS12" s="4"/>
      <c r="RT12" s="4"/>
      <c r="RU12" s="4"/>
      <c r="RV12" s="4"/>
      <c r="RW12" s="4"/>
      <c r="SB12" s="3"/>
      <c r="SC12" s="8"/>
      <c r="SD12" s="4"/>
      <c r="SE12" s="4"/>
      <c r="SF12" s="4"/>
      <c r="SG12" s="4"/>
      <c r="SH12" s="4"/>
      <c r="SI12" s="4"/>
      <c r="SJ12" s="4"/>
      <c r="SK12" s="4"/>
    </row>
    <row r="13" spans="1:505" x14ac:dyDescent="0.2">
      <c r="A13" s="3" t="s">
        <v>1448</v>
      </c>
      <c r="B13" s="3"/>
      <c r="O13" s="3"/>
      <c r="P13" s="6"/>
      <c r="Q13" s="4"/>
      <c r="R13" s="4"/>
      <c r="S13" s="4"/>
      <c r="T13" s="4"/>
      <c r="U13" s="4"/>
      <c r="V13" s="4"/>
      <c r="W13" s="4"/>
      <c r="X13" s="4"/>
      <c r="Y13" s="4"/>
      <c r="Z13" s="4"/>
      <c r="AG13" s="3"/>
      <c r="AH13" s="6"/>
      <c r="AI13" s="6"/>
      <c r="AJ13" s="6"/>
      <c r="AK13" s="6"/>
      <c r="AL13" s="6"/>
      <c r="AM13" s="6"/>
      <c r="AN13" s="6"/>
      <c r="AO13" s="6"/>
      <c r="AP13" s="6"/>
      <c r="AQ13" s="4"/>
      <c r="AR13" s="4"/>
      <c r="AY13" s="3" t="s">
        <v>1452</v>
      </c>
      <c r="AZ13" s="6">
        <f>IF(AND(AZ6=1,AZ4=1),AZ14,0)</f>
        <v>0</v>
      </c>
      <c r="BA13" s="6">
        <f>IF(AND(BA6=1,BA4=1),AZ14,0)</f>
        <v>0</v>
      </c>
      <c r="BB13" s="6">
        <f>IF(AND(BB6=1,BB4=1),AZ14,0)</f>
        <v>0</v>
      </c>
      <c r="BC13" s="6">
        <f>IF(AND(BC6=1,BC4=1),AZ14,0)</f>
        <v>0</v>
      </c>
      <c r="BD13" s="6">
        <f>IF(AND(BD6=1,BD4=1),AZ14,0)</f>
        <v>0</v>
      </c>
      <c r="BE13" s="6">
        <f>IF(AND(BE6=1,BE4=1),AZ14,0)</f>
        <v>0</v>
      </c>
      <c r="BF13" s="6">
        <f>IF(AND(BF6=1,BF4=1),AZ14,0)</f>
        <v>0</v>
      </c>
      <c r="BG13" s="6">
        <f>IF(AND(BG6=1,BG4=1),AZ14,0)</f>
        <v>0</v>
      </c>
      <c r="BH13" s="6">
        <f>IF(AND(BH6=1,BH4=1),AZ14,0)</f>
        <v>0</v>
      </c>
      <c r="BI13" s="4"/>
      <c r="BJ13" s="4"/>
      <c r="BL13" s="36"/>
      <c r="BO13" s="3" t="s">
        <v>1454</v>
      </c>
      <c r="BP13" s="6">
        <f>IF(AND(BP6=1,BP4=1),BP14,0)</f>
        <v>0</v>
      </c>
      <c r="BQ13" s="6">
        <f>IF(AND(BQ6=1,BQ4=1),BP14,0)</f>
        <v>0</v>
      </c>
      <c r="BR13" s="6">
        <f>IF(AND(BR6=1,BR4=1),BP14,0)</f>
        <v>0</v>
      </c>
      <c r="BS13" s="6">
        <f>IF(AND(BS6=1,BS4=1),BP14,0)</f>
        <v>0</v>
      </c>
      <c r="BT13" s="6">
        <f>IF(AND(BT6=1,BT4=1),BP14,0)</f>
        <v>0</v>
      </c>
      <c r="BU13" s="6">
        <f>IF(AND(BU6=1,BU4=1),BP14,0)</f>
        <v>0</v>
      </c>
      <c r="BV13" s="6">
        <f>IF(AND(BV6=1,BV4=1),BP14,0)</f>
        <v>0</v>
      </c>
      <c r="BW13" s="6">
        <f>IF(AND(BW6=1,BW4=1),BP14,0)</f>
        <v>0</v>
      </c>
      <c r="BX13" s="6">
        <f>IF(AND(BX6=1,BX4=1),BP14,0)</f>
        <v>0</v>
      </c>
      <c r="BY13" s="4"/>
      <c r="BZ13" s="4"/>
      <c r="CB13" s="36"/>
      <c r="CE13" s="3" t="s">
        <v>1456</v>
      </c>
      <c r="CF13" s="6">
        <f>IF(AND(CF6=1,CF4=1),CF14,0)</f>
        <v>0</v>
      </c>
      <c r="CG13" s="6">
        <f>IF(AND(CG6=1,CG4=1),CF14,0)</f>
        <v>0</v>
      </c>
      <c r="CH13" s="6">
        <f>IF(AND(CH6=1,CH4=1),CF14,0)</f>
        <v>0</v>
      </c>
      <c r="CI13" s="6">
        <f>IF(AND(CI6=1,CI4=1),CF14,0)</f>
        <v>0</v>
      </c>
      <c r="CJ13" s="6">
        <f>IF(AND(CJ6=1,CJ4=1),CF14,0)</f>
        <v>0</v>
      </c>
      <c r="CK13" s="6">
        <f>IF(AND(CK6=1,CK4=1),CF14,0)</f>
        <v>0</v>
      </c>
      <c r="CL13" s="6">
        <f>IF(AND(CL6=1,CL4=1),CF14,0)</f>
        <v>0</v>
      </c>
      <c r="CM13" s="6">
        <f>IF(AND(CM6=1,CM4=1),CF14,0)</f>
        <v>0</v>
      </c>
      <c r="CN13" s="6">
        <f>IF(AND(CN6=1,CN4=1),CF14,0)</f>
        <v>0</v>
      </c>
      <c r="CO13" s="4"/>
      <c r="CP13" s="4"/>
      <c r="CR13" s="36"/>
      <c r="CU13" s="3" t="s">
        <v>1458</v>
      </c>
      <c r="CV13" s="6">
        <f>IF(AND(CV6=1,CV4=1),CV14,0)</f>
        <v>0</v>
      </c>
      <c r="CW13" s="6">
        <f>IF(AND(CW6=1,CW4=1),CV14,0)</f>
        <v>0</v>
      </c>
      <c r="CX13" s="6">
        <f>IF(AND(CX6=1,CX4=1),CV14,0)</f>
        <v>0</v>
      </c>
      <c r="CY13" s="6">
        <f>IF(AND(CY6=1,CY4=1),CV14,0)</f>
        <v>0</v>
      </c>
      <c r="CZ13" s="6">
        <f>IF(AND(CZ6=1,CZ4=1),CV14,0)</f>
        <v>0</v>
      </c>
      <c r="DA13" s="6">
        <f>IF(AND(DA6=1,DA4=1),CV14,0)</f>
        <v>0</v>
      </c>
      <c r="DB13" s="6">
        <f>IF(AND(DB6=1,DB4=1),CV14,0)</f>
        <v>0</v>
      </c>
      <c r="DC13" s="6">
        <f>IF(AND(DC6=1,DC4=1),CV14,0)</f>
        <v>0</v>
      </c>
      <c r="DD13" s="6">
        <f>IF(AND(DD6=1,DD4=1),CV14,0)</f>
        <v>0</v>
      </c>
      <c r="DE13" s="4"/>
      <c r="DF13" s="4"/>
      <c r="DH13" s="36"/>
      <c r="DK13" s="3" t="s">
        <v>1460</v>
      </c>
      <c r="DL13" s="6">
        <f>IF(AND(DL6=1,DL4=1),DL14,0)</f>
        <v>0</v>
      </c>
      <c r="DM13" s="6">
        <f>IF(AND(DM6=1,DM4=1),DL14,0)</f>
        <v>0</v>
      </c>
      <c r="DN13" s="6">
        <f>IF(AND(DN6=1,DN4=1),DL14,0)</f>
        <v>0</v>
      </c>
      <c r="DO13" s="6">
        <f>IF(AND(DO6=1,DO4=1),DL14,0)</f>
        <v>0</v>
      </c>
      <c r="DP13" s="6">
        <f>IF(AND(DP6=1,DP4=1),DL14,0)</f>
        <v>0</v>
      </c>
      <c r="DQ13" s="6">
        <f>IF(AND(DQ6=1,DQ4=1),DL14,0)</f>
        <v>0</v>
      </c>
      <c r="DR13" s="6">
        <f>IF(AND(DR6=1,DR4=1),DL14,0)</f>
        <v>0</v>
      </c>
      <c r="DS13" s="6">
        <f>IF(AND(DS6=1,DS4=1),DL14,0)</f>
        <v>0</v>
      </c>
      <c r="DT13" s="6">
        <f>IF(AND(DT6=1,DT4=1),DL14,0)</f>
        <v>0</v>
      </c>
      <c r="DU13" s="4"/>
      <c r="DV13" s="4"/>
      <c r="DX13" s="36"/>
      <c r="EA13" s="3" t="s">
        <v>1462</v>
      </c>
      <c r="EB13" s="6">
        <f>IF(AND(EB6=1,EB4=1),EB14,0)</f>
        <v>0</v>
      </c>
      <c r="EC13" s="6">
        <f>IF(AND(EC6=1,EC4=1),EB14,0)</f>
        <v>0</v>
      </c>
      <c r="ED13" s="6">
        <f>IF(AND(ED6=1,ED4=1),EB14,0)</f>
        <v>0</v>
      </c>
      <c r="EE13" s="6">
        <f>IF(AND(EE6=1,EE4=1),EB14,0)</f>
        <v>0</v>
      </c>
      <c r="EF13" s="6">
        <f>IF(AND(EF6=1,EF4=1),EB14,0)</f>
        <v>0</v>
      </c>
      <c r="EG13" s="6">
        <f>IF(AND(EG6=1,EG4=1),EB14,0)</f>
        <v>0</v>
      </c>
      <c r="EH13" s="6">
        <f>IF(AND(EH6=1,EH4=1),EB14,0)</f>
        <v>0</v>
      </c>
      <c r="EI13" s="6">
        <f>IF(AND(EI6=1,EI4=1),EB14,0)</f>
        <v>0</v>
      </c>
      <c r="EJ13" s="6">
        <f>IF(AND(EJ6=1,EJ4=1),EB14,0)</f>
        <v>0</v>
      </c>
      <c r="EK13" s="4"/>
      <c r="EL13" s="4"/>
      <c r="EN13" s="36"/>
      <c r="EQ13" s="3" t="s">
        <v>1464</v>
      </c>
      <c r="ER13" s="6">
        <f>IF(AND(ER6=1,ER4=1),ER14,0)</f>
        <v>0</v>
      </c>
      <c r="ES13" s="6">
        <f>IF(AND(ES6=1,ES4=1),ER14,0)</f>
        <v>0</v>
      </c>
      <c r="ET13" s="6">
        <f>IF(AND(ET6=1,ET4=1),ER14,0)</f>
        <v>0</v>
      </c>
      <c r="EU13" s="6">
        <f>IF(AND(EU6=1,EU4=1),ER14,0)</f>
        <v>0</v>
      </c>
      <c r="EV13" s="6">
        <f>IF(AND(EV6=1,EV4=1),ER14,0)</f>
        <v>0</v>
      </c>
      <c r="EW13" s="6">
        <f>IF(AND(EW6=1,EW4=1),ER14,0)</f>
        <v>0</v>
      </c>
      <c r="EX13" s="6">
        <f>IF(AND(EX6=1,EX4=1),ER14,0)</f>
        <v>0</v>
      </c>
      <c r="EY13" s="6">
        <f>IF(AND(EY6=1,EY4=1),ER14,0)</f>
        <v>0</v>
      </c>
      <c r="EZ13" s="6">
        <f>IF(AND(EZ6=1,EZ4=1),ER14,0)</f>
        <v>0</v>
      </c>
      <c r="FA13" s="4"/>
      <c r="FB13" s="6"/>
      <c r="FD13" s="37"/>
      <c r="FG13" s="3" t="s">
        <v>1466</v>
      </c>
      <c r="FH13" s="6">
        <f>IF(AND(FH6=1,FH4=1),FH14,0)</f>
        <v>0</v>
      </c>
      <c r="FI13" s="6">
        <f>IF(AND(FI6=1,FI4=1),FH14,0)</f>
        <v>0</v>
      </c>
      <c r="FJ13" s="6">
        <f>IF(AND(FJ6=1,FJ4=1),FH14,0)</f>
        <v>0</v>
      </c>
      <c r="FK13" s="6">
        <f>IF(AND(FK6=1,FK4=1),FH14,0)</f>
        <v>0</v>
      </c>
      <c r="FL13" s="6">
        <f>IF(AND(FL6=1,FL4=1),FH14,0)</f>
        <v>0</v>
      </c>
      <c r="FM13" s="6">
        <f>IF(AND(FM6=1,FM4=1),FH14,0)</f>
        <v>0</v>
      </c>
      <c r="FN13" s="6">
        <f>IF(AND(FN6=1,FN4=1),FH14,0)</f>
        <v>0</v>
      </c>
      <c r="FO13" s="6">
        <f>IF(AND(FO6=1,FO4=1),FH14,0)</f>
        <v>0</v>
      </c>
      <c r="FP13" s="6">
        <f>IF(AND(FP6=1,FP4=1),FH14,0)</f>
        <v>0</v>
      </c>
      <c r="FQ13" s="4"/>
      <c r="FR13" s="6"/>
      <c r="FT13" s="37"/>
      <c r="FW13" s="3" t="s">
        <v>1469</v>
      </c>
      <c r="FX13" s="6">
        <f>IF(AND(FX6=1,FX4=1),FX14,0)</f>
        <v>0</v>
      </c>
      <c r="FY13" s="6">
        <f>IF(AND(FY6=1,FY4=1),FX14,0)</f>
        <v>0</v>
      </c>
      <c r="FZ13" s="6">
        <f>IF(AND(FZ6=1,FZ4=1),FX14,0)</f>
        <v>0</v>
      </c>
      <c r="GA13" s="6">
        <f>IF(AND(GA6=1,GA4=1),FX14,0)</f>
        <v>0</v>
      </c>
      <c r="GB13" s="6">
        <f>IF(AND(GB6=1,GB4=1),FX14,0)</f>
        <v>0</v>
      </c>
      <c r="GC13" s="6">
        <f>IF(AND(GC6=1,GC4=1),FX14,0)</f>
        <v>0</v>
      </c>
      <c r="GD13" s="6">
        <f>IF(AND(GD6=1,GD4=1),FX14,0)</f>
        <v>0</v>
      </c>
      <c r="GE13" s="6">
        <f>IF(AND(GE6=1,GE4=1),FX14,0)</f>
        <v>0</v>
      </c>
      <c r="GF13" s="6">
        <f>IF(AND(GF6=1,GF4=1),FX14,0)</f>
        <v>0</v>
      </c>
      <c r="GG13" s="4"/>
      <c r="GH13" s="4"/>
      <c r="GJ13" s="36"/>
      <c r="GM13" s="3" t="s">
        <v>1470</v>
      </c>
      <c r="GN13" s="6">
        <f>IF(AND(GN6=1,GN4=1),GN14,0)</f>
        <v>0</v>
      </c>
      <c r="GO13" s="6">
        <f>IF(AND(GO6=1,GO4=1),GN14,0)</f>
        <v>0</v>
      </c>
      <c r="GP13" s="6">
        <f>IF(AND(GP6=1,GP4=1),GN14,0)</f>
        <v>0</v>
      </c>
      <c r="GQ13" s="6">
        <f>IF(AND(GQ6=1,GQ4=1),GN14,0)</f>
        <v>0</v>
      </c>
      <c r="GR13" s="6">
        <f>IF(AND(GR6=1,GR4=1),GN14,0)</f>
        <v>0</v>
      </c>
      <c r="GS13" s="6">
        <f>IF(AND(GS6=1,GS4=1),GN14,0)</f>
        <v>0</v>
      </c>
      <c r="GT13" s="6">
        <f>IF(AND(GT6=1,GT4=1),GN14,0)</f>
        <v>0</v>
      </c>
      <c r="GU13" s="6">
        <f>IF(AND(GU6=1,GU4=1),GN14,0)</f>
        <v>0</v>
      </c>
      <c r="GV13" s="6">
        <f>IF(AND(GV6=1,GV4=1),GN14,0)</f>
        <v>0</v>
      </c>
      <c r="GW13" s="6"/>
      <c r="GX13" s="6"/>
      <c r="GY13" s="6"/>
      <c r="GZ13" s="37"/>
      <c r="HA13" s="6"/>
      <c r="HB13" s="6"/>
      <c r="HC13" s="3" t="s">
        <v>1472</v>
      </c>
      <c r="HD13" s="6">
        <f>IF(AND(HD6=1,HD4=1),HD14,0)</f>
        <v>0</v>
      </c>
      <c r="HE13" s="6">
        <f>IF(AND(HE6=1,HE4=1),HD14,0)</f>
        <v>0</v>
      </c>
      <c r="HF13" s="6">
        <f>IF(AND(HF6=1,HF4=1),HD14,0)</f>
        <v>0</v>
      </c>
      <c r="HG13" s="6">
        <f>IF(AND(HG6=1,HG4=1),HD14,0)</f>
        <v>0</v>
      </c>
      <c r="HH13" s="6">
        <f>IF(AND(HH6=1,HH4=1),HD14,0)</f>
        <v>0</v>
      </c>
      <c r="HI13" s="6">
        <f>IF(AND(HI6=1,HI4=1),HD14,0)</f>
        <v>0</v>
      </c>
      <c r="HJ13" s="6">
        <f>IF(AND(HJ6=1,HJ4=1),HD14,0)</f>
        <v>0</v>
      </c>
      <c r="HK13" s="6">
        <f>IF(AND(HK6=1,HK4=1),HD14,0)</f>
        <v>0</v>
      </c>
      <c r="HL13" s="6">
        <f>IF(AND(HL6=1,HL4=1),HD14,0)</f>
        <v>0</v>
      </c>
      <c r="HM13" s="6"/>
      <c r="HN13" s="6"/>
      <c r="HO13" s="6"/>
      <c r="HP13" s="37"/>
      <c r="HQ13" s="6"/>
      <c r="HR13" s="6"/>
      <c r="HS13" s="3" t="s">
        <v>1474</v>
      </c>
      <c r="HT13" s="6">
        <f>IF(AND(HT6=1,HT4=1),HT14,0)</f>
        <v>0</v>
      </c>
      <c r="HU13" s="6">
        <f>IF(AND(HU6=1,HU4=1),HT14,0)</f>
        <v>0</v>
      </c>
      <c r="HV13" s="6">
        <f>IF(AND(HV6=1,HV4=1),HT14,0)</f>
        <v>0</v>
      </c>
      <c r="HW13" s="6">
        <f>IF(AND(HW6=1,HW4=1),HT14,0)</f>
        <v>0</v>
      </c>
      <c r="HX13" s="6">
        <f>IF(AND(HX6=1,HX4=1),HT14,0)</f>
        <v>0</v>
      </c>
      <c r="HY13" s="6">
        <f>IF(AND(HY6=1,HY4=1),HT14,0)</f>
        <v>0</v>
      </c>
      <c r="HZ13" s="6">
        <f>IF(AND(HZ6=1,HZ4=1),HT14,0)</f>
        <v>0</v>
      </c>
      <c r="IA13" s="6">
        <f>IF(AND(IA6=1,IA4=1),HT14,0)</f>
        <v>0</v>
      </c>
      <c r="IB13" s="6">
        <f>IF(AND(IB6=1,IB4=1),HT14,0)</f>
        <v>0</v>
      </c>
      <c r="IC13" s="4"/>
      <c r="ID13" s="4"/>
      <c r="IF13" s="36"/>
      <c r="II13" s="3" t="s">
        <v>1476</v>
      </c>
      <c r="IJ13" s="6">
        <f>IF(AND(IJ6=1,IJ4=1),IJ14,0)</f>
        <v>0</v>
      </c>
      <c r="IK13" s="6">
        <f>IF(AND(IK6=1,IK4=1),IJ14,0)</f>
        <v>0</v>
      </c>
      <c r="IL13" s="6">
        <f>IF(AND(IL6=1,IL4=1),IJ14,0)</f>
        <v>0</v>
      </c>
      <c r="IM13" s="6">
        <f>IF(AND(IM6=1,IM4=1),IJ14,0)</f>
        <v>0</v>
      </c>
      <c r="IN13" s="6">
        <f>IF(AND(IN6=1,IN4=1),IJ14,0)</f>
        <v>0</v>
      </c>
      <c r="IO13" s="6">
        <f>IF(AND(IO6=1,IO4=1),IJ14,0)</f>
        <v>0</v>
      </c>
      <c r="IP13" s="6">
        <f>IF(AND(IP6=1,IP4=1),IJ14,0)</f>
        <v>0</v>
      </c>
      <c r="IQ13" s="6">
        <f>IF(AND(IQ6=1,IQ4=1),IJ14,0)</f>
        <v>0</v>
      </c>
      <c r="IR13" s="6">
        <f>IF(AND(IR6=1,IR4=1),IJ14,0)</f>
        <v>0</v>
      </c>
      <c r="IS13" s="4"/>
      <c r="IT13" s="4"/>
      <c r="IU13" s="4"/>
      <c r="IV13" s="36"/>
      <c r="IW13" s="4"/>
      <c r="IY13" s="3" t="s">
        <v>1478</v>
      </c>
      <c r="IZ13" s="6">
        <f>IF(AND(IZ6=1,IZ4=1),IZ14,0)</f>
        <v>0</v>
      </c>
      <c r="JA13" s="6">
        <f>IF(AND(JA6=1,JA4=1),IZ14,0)</f>
        <v>0</v>
      </c>
      <c r="JB13" s="6">
        <f>IF(AND(JB6=1,JB4=1),IZ14,0)</f>
        <v>0</v>
      </c>
      <c r="JC13" s="6">
        <f>IF(AND(JC6=1,JC4=1),IZ14,0)</f>
        <v>0</v>
      </c>
      <c r="JD13" s="6">
        <f>IF(AND(JD6=1,JD4=1),IZ14,0)</f>
        <v>0</v>
      </c>
      <c r="JE13" s="6">
        <f>IF(AND(JE6=1,JE4=1),IZ14,0)</f>
        <v>0</v>
      </c>
      <c r="JF13" s="6">
        <f>IF(AND(JF6=1,JF4=1),IZ14,0)</f>
        <v>0</v>
      </c>
      <c r="JG13" s="6">
        <f>IF(AND(JG6=1,JG4=1),IZ14,0)</f>
        <v>0</v>
      </c>
      <c r="JH13" s="6">
        <f>IF(AND(JH6=1,JH4=1),IZ14,0)</f>
        <v>0</v>
      </c>
      <c r="JI13" s="4"/>
      <c r="JJ13" s="4"/>
      <c r="JK13" s="4"/>
      <c r="JL13" s="36"/>
      <c r="JM13" s="4"/>
      <c r="JO13" s="3" t="s">
        <v>1480</v>
      </c>
      <c r="JP13" s="6">
        <f>IF(AND(JP6=1,JP4=1),JP14,0)</f>
        <v>0</v>
      </c>
      <c r="JQ13" s="6">
        <f>IF(AND(JQ6=1,JQ4=1),JP14,0)</f>
        <v>0</v>
      </c>
      <c r="JR13" s="6">
        <f>IF(AND(JR6=1,JR4=1),JP14,0)</f>
        <v>0</v>
      </c>
      <c r="JS13" s="6">
        <f>IF(AND(JS6=1,JS4=1),JP14,0)</f>
        <v>0</v>
      </c>
      <c r="JT13" s="6">
        <f>IF(AND(JT6=1,JT4=1),JP14,0)</f>
        <v>0</v>
      </c>
      <c r="JU13" s="6">
        <f>IF(AND(JU6=1,JU4=1),JP14,0)</f>
        <v>0</v>
      </c>
      <c r="JV13" s="6">
        <f>IF(AND(JV6=1,JV4=1),JP14,0)</f>
        <v>0</v>
      </c>
      <c r="JW13" s="6">
        <f>IF(AND(JW6=1,JW4=1),JP14,0)</f>
        <v>0</v>
      </c>
      <c r="JX13" s="6">
        <f>IF(AND(JX6=1,JX4=1),JP14,0)</f>
        <v>0</v>
      </c>
      <c r="JY13" s="4"/>
      <c r="JZ13" s="4"/>
      <c r="KA13" s="4"/>
      <c r="KB13" s="36"/>
      <c r="KC13" s="4"/>
      <c r="KE13" s="3" t="s">
        <v>1482</v>
      </c>
      <c r="KF13" s="6">
        <f>IF(AND(KF6=1,KF4=1),KF14,0)</f>
        <v>0</v>
      </c>
      <c r="KG13" s="6">
        <f>IF(AND(KG6=1,KG4=1),KF14,0)</f>
        <v>0</v>
      </c>
      <c r="KH13" s="6">
        <f>IF(AND(KH6=1,KH4=1),KF14,0)</f>
        <v>0</v>
      </c>
      <c r="KI13" s="6">
        <f>IF(AND(KI6=1,KI4=1),KF14,0)</f>
        <v>0</v>
      </c>
      <c r="KJ13" s="6">
        <f>IF(AND(KJ6=1,KJ4=1),KF14,0)</f>
        <v>0</v>
      </c>
      <c r="KK13" s="6">
        <f>IF(AND(KK6=1,KK4=1),KF14,0)</f>
        <v>0</v>
      </c>
      <c r="KL13" s="6">
        <f>IF(AND(KL6=1,KL4=1),KF14,0)</f>
        <v>0</v>
      </c>
      <c r="KM13" s="6">
        <f>IF(AND(KM6=1,KM4=1),KF14,0)</f>
        <v>0</v>
      </c>
      <c r="KN13" s="6">
        <f>IF(AND(KN6=1,KN4=1),KF14,0)</f>
        <v>0</v>
      </c>
      <c r="KO13" s="4"/>
      <c r="KP13" s="4"/>
      <c r="KQ13" s="4"/>
      <c r="KR13" s="36"/>
      <c r="KS13" s="4"/>
      <c r="KU13" s="3" t="s">
        <v>1485</v>
      </c>
      <c r="KV13" s="6">
        <f>IF(AND(KV6=1,KV4=1),KV14,0)</f>
        <v>0</v>
      </c>
      <c r="KW13" s="6">
        <f>IF(AND(KW6=1,KW4=1),KV14,0)</f>
        <v>0</v>
      </c>
      <c r="KX13" s="6">
        <f>IF(AND(KX6=1,KX4=1),KV14,0)</f>
        <v>0</v>
      </c>
      <c r="KY13" s="6">
        <f>IF(AND(KY6=1,KY4=1),KV14,0)</f>
        <v>0</v>
      </c>
      <c r="KZ13" s="6">
        <f>IF(AND(KZ6=1,KZ4=1),KV14,0)</f>
        <v>0</v>
      </c>
      <c r="LA13" s="6">
        <f>IF(AND(LA6=1,LA4=1),KV14,0)</f>
        <v>0</v>
      </c>
      <c r="LB13" s="6">
        <f>IF(AND(LB6=1,LB4=1),KV14,0)</f>
        <v>0</v>
      </c>
      <c r="LC13" s="6">
        <f>IF(AND(LC6=1,LC4=1),KV14,0)</f>
        <v>0</v>
      </c>
      <c r="LD13" s="6">
        <f>IF(AND(LD6=1,LD4=1),KV14,0)</f>
        <v>0</v>
      </c>
      <c r="LE13" s="4"/>
      <c r="LF13" s="4"/>
      <c r="LG13" s="4"/>
      <c r="LH13" s="36"/>
      <c r="LI13" s="4"/>
      <c r="LK13" s="3" t="s">
        <v>1486</v>
      </c>
      <c r="LL13" s="6">
        <f>IF(AND(LL6=1,LL4=1),LL14,0)</f>
        <v>0</v>
      </c>
      <c r="LM13" s="6">
        <f>IF(AND(LM6=1,LM4=1),LL14,0)</f>
        <v>0</v>
      </c>
      <c r="LN13" s="6">
        <f>IF(AND(LN6=1,LN4=1),LL14,0)</f>
        <v>0</v>
      </c>
      <c r="LO13" s="6">
        <f>IF(AND(LO6=1,LO4=1),LL14,0)</f>
        <v>0</v>
      </c>
      <c r="LP13" s="6">
        <f>IF(AND(LP6=1,LP4=1),LL14,0)</f>
        <v>0</v>
      </c>
      <c r="LQ13" s="6">
        <f>IF(AND(LQ6=1,LQ4=1),LL14,0)</f>
        <v>0</v>
      </c>
      <c r="LR13" s="6">
        <f>IF(AND(LR6=1,LR4=1),LL14,0)</f>
        <v>0</v>
      </c>
      <c r="LS13" s="6">
        <f>IF(AND(LS6=1,LS4=1),LL14,0)</f>
        <v>0</v>
      </c>
      <c r="LT13" s="6">
        <f>IF(AND(LT6=1,LT4=1),LL14,0)</f>
        <v>0</v>
      </c>
      <c r="LU13" s="4"/>
      <c r="LV13" s="4"/>
      <c r="LW13" s="4"/>
      <c r="LX13" s="36"/>
      <c r="LY13" s="4"/>
      <c r="MA13" s="3" t="s">
        <v>1488</v>
      </c>
      <c r="MB13" s="6">
        <f>IF(AND(MB6=1,MB4=1),MB14,0)</f>
        <v>0</v>
      </c>
      <c r="MC13" s="6">
        <f>IF(AND(MC6=1,MC4=1),MB14,0)</f>
        <v>0</v>
      </c>
      <c r="MD13" s="6">
        <f>IF(AND(MD6=1,MD4=1),MB14,0)</f>
        <v>0</v>
      </c>
      <c r="ME13" s="6">
        <f>IF(AND(ME6=1,ME4=1),MB14,0)</f>
        <v>0</v>
      </c>
      <c r="MF13" s="6">
        <f>IF(AND(MF6=1,MF4=1),MB14,0)</f>
        <v>0</v>
      </c>
      <c r="MG13" s="6">
        <f>IF(AND(MG6=1,MG4=1),MB14,0)</f>
        <v>0</v>
      </c>
      <c r="MH13" s="6">
        <f>IF(AND(MH6=1,MH4=1),MB14,0)</f>
        <v>0</v>
      </c>
      <c r="MI13" s="6">
        <f>IF(AND(MI6=1,MI4=1),MB14,0)</f>
        <v>0</v>
      </c>
      <c r="MJ13" s="6">
        <f>IF(AND(MJ6=1,MJ4=1),MB14,0)</f>
        <v>0</v>
      </c>
      <c r="MK13" s="4"/>
      <c r="ML13" s="4"/>
      <c r="MM13" s="4"/>
      <c r="MN13" s="36"/>
      <c r="MO13" s="4"/>
      <c r="MQ13" s="3" t="s">
        <v>1490</v>
      </c>
      <c r="MR13" s="6">
        <f>IF(AND(MR6=1,MR4=1),MR14,0)</f>
        <v>0</v>
      </c>
      <c r="MS13" s="6">
        <f>IF(AND(MS6=1,MS4=1),MR14,0)</f>
        <v>0</v>
      </c>
      <c r="MT13" s="6">
        <f>IF(AND(MT6=1,MT4=1),MR14,0)</f>
        <v>0</v>
      </c>
      <c r="MU13" s="6">
        <f>IF(AND(MU6=1,MU4=1),MR14,0)</f>
        <v>0</v>
      </c>
      <c r="MV13" s="6">
        <f>IF(AND(MV6=1,MV4=1),MR14,0)</f>
        <v>0</v>
      </c>
      <c r="MW13" s="6">
        <f>IF(AND(MW6=1,MW4=1),MR14,0)</f>
        <v>0</v>
      </c>
      <c r="MX13" s="6">
        <f>IF(AND(MX6=1,MX4=1),MR14,0)</f>
        <v>0</v>
      </c>
      <c r="MY13" s="6">
        <f>IF(AND(MY6=1,MY4=1),MR14,0)</f>
        <v>0</v>
      </c>
      <c r="MZ13" s="6">
        <f>IF(AND(MZ6=1,MZ4=1),MR14,0)</f>
        <v>0</v>
      </c>
      <c r="NA13" s="4"/>
      <c r="NB13" s="4"/>
      <c r="NC13" s="4"/>
      <c r="ND13" s="36"/>
      <c r="NE13" s="4"/>
      <c r="NG13" s="3" t="s">
        <v>1492</v>
      </c>
      <c r="NH13" s="6">
        <f>IF(AND(NH6=1,NH4=1),NH14,0)</f>
        <v>0</v>
      </c>
      <c r="NI13" s="6">
        <f>IF(AND(NI6=1,NI4=1),NH14,0)</f>
        <v>0</v>
      </c>
      <c r="NJ13" s="6">
        <f>IF(AND(NJ6=1,NJ4=1),NH14,0)</f>
        <v>0</v>
      </c>
      <c r="NK13" s="6">
        <f>IF(AND(NK6=1,NK4=1),NH14,0)</f>
        <v>0</v>
      </c>
      <c r="NL13" s="6">
        <f>IF(AND(NL6=1,NL4=1),NH14,0)</f>
        <v>0</v>
      </c>
      <c r="NM13" s="6">
        <f>IF(AND(NM6=1,NM4=1),NH14,0)</f>
        <v>0</v>
      </c>
      <c r="NN13" s="6">
        <f>IF(AND(NN6=1,NN4=1),NH14,0)</f>
        <v>0</v>
      </c>
      <c r="NO13" s="6">
        <f>IF(AND(NO6=1,NO4=1),NH14,0)</f>
        <v>0</v>
      </c>
      <c r="NP13" s="6">
        <f>IF(AND(NP6=1,NP4=1),NH14,0)</f>
        <v>0</v>
      </c>
      <c r="NQ13" s="4"/>
      <c r="NR13" s="4"/>
      <c r="NS13" s="4"/>
      <c r="NT13" s="36"/>
      <c r="NU13" s="4"/>
      <c r="NW13" s="3" t="s">
        <v>1494</v>
      </c>
      <c r="NX13" s="6">
        <f>IF(AND(NX6=1,NX4=1),NX14,0)</f>
        <v>0</v>
      </c>
      <c r="NY13" s="6">
        <f>IF(AND(NY6=1,NY4=1),NX14,0)</f>
        <v>0</v>
      </c>
      <c r="NZ13" s="6">
        <f>IF(AND(NZ6=1,NZ4=1),NX14,0)</f>
        <v>0</v>
      </c>
      <c r="OA13" s="6">
        <f>IF(AND(OA6=1,OA4=1),NX14,0)</f>
        <v>0</v>
      </c>
      <c r="OB13" s="6">
        <f>IF(AND(OB6=1,OB4=1),NX14,0)</f>
        <v>0</v>
      </c>
      <c r="OC13" s="6">
        <f>IF(AND(OC6=1,OC4=1),NX14,0)</f>
        <v>0</v>
      </c>
      <c r="OD13" s="6">
        <f>IF(AND(OD6=1,OD4=1),NX14,0)</f>
        <v>0</v>
      </c>
      <c r="OE13" s="6">
        <f>IF(AND(OE6=1,OE4=1),NX14,0)</f>
        <v>0</v>
      </c>
      <c r="OF13" s="6">
        <f>IF(AND(OF6=1,OF4=1),NX14,0)</f>
        <v>0</v>
      </c>
      <c r="OG13" s="4"/>
      <c r="OH13" s="4"/>
      <c r="OJ13" s="36"/>
      <c r="OL13" s="4"/>
      <c r="OM13" s="4"/>
      <c r="ON13" s="4"/>
      <c r="OO13" s="4"/>
      <c r="OP13" s="4"/>
      <c r="OQ13" s="4"/>
      <c r="OR13" s="4"/>
      <c r="OS13" s="4"/>
      <c r="OT13" s="4"/>
      <c r="OU13" s="4"/>
      <c r="OX13" s="6"/>
      <c r="OY13" s="4"/>
      <c r="OZ13" s="4"/>
      <c r="PA13" s="4"/>
      <c r="PB13" s="4"/>
      <c r="PC13" s="4"/>
      <c r="PD13" s="4"/>
      <c r="PE13" s="4"/>
      <c r="PF13" s="4"/>
      <c r="PG13" s="4"/>
      <c r="PH13" s="4"/>
      <c r="PK13" s="3"/>
      <c r="PL13" s="6"/>
      <c r="PM13" s="4"/>
      <c r="PN13" s="4"/>
      <c r="PO13" s="4"/>
      <c r="PP13" s="4"/>
      <c r="PQ13" s="4"/>
      <c r="PR13" s="4"/>
      <c r="PS13" s="4"/>
      <c r="PT13" s="4"/>
      <c r="PU13" s="4"/>
      <c r="PV13" s="4"/>
      <c r="PY13" s="6"/>
      <c r="PZ13" s="4"/>
      <c r="QA13" s="4"/>
      <c r="QB13" s="4"/>
      <c r="QC13" s="4"/>
      <c r="QD13" s="4"/>
      <c r="QE13" s="4"/>
      <c r="QF13" s="4"/>
      <c r="QG13" s="4"/>
      <c r="QH13" s="4"/>
      <c r="QI13" s="4"/>
      <c r="QL13" s="3"/>
      <c r="QM13" s="6"/>
      <c r="QN13" s="4"/>
      <c r="QO13" s="4"/>
      <c r="QP13" s="4"/>
      <c r="QQ13" s="4"/>
      <c r="QR13" s="4"/>
      <c r="QS13" s="4"/>
      <c r="QT13" s="4"/>
      <c r="QU13" s="4"/>
      <c r="QV13" s="4"/>
      <c r="QW13" s="4"/>
      <c r="QZ13" s="3"/>
      <c r="RA13" s="6"/>
      <c r="RB13" s="4"/>
      <c r="RC13" s="4"/>
      <c r="RD13" s="4"/>
      <c r="RE13" s="4"/>
      <c r="RF13" s="4"/>
      <c r="RG13" s="4"/>
      <c r="RH13" s="4"/>
      <c r="RI13" s="4"/>
      <c r="RN13" s="3"/>
      <c r="RO13" s="8"/>
      <c r="RP13" s="4"/>
      <c r="RQ13" s="4"/>
      <c r="RR13" s="4"/>
      <c r="RS13" s="4"/>
      <c r="RT13" s="4"/>
      <c r="RU13" s="4"/>
      <c r="RV13" s="4"/>
      <c r="RW13" s="4"/>
      <c r="SB13" s="3"/>
      <c r="SC13" s="8"/>
      <c r="SD13" s="4"/>
      <c r="SE13" s="4"/>
      <c r="SF13" s="4"/>
      <c r="SG13" s="4"/>
      <c r="SH13" s="4"/>
      <c r="SI13" s="4"/>
      <c r="SJ13" s="4"/>
      <c r="SK13" s="4"/>
    </row>
    <row r="14" spans="1:505" x14ac:dyDescent="0.2">
      <c r="A14" s="3" t="s">
        <v>1449</v>
      </c>
      <c r="B14" s="3"/>
      <c r="O14" s="3"/>
      <c r="P14" s="6"/>
      <c r="Q14" s="4"/>
      <c r="R14" s="4"/>
      <c r="S14" s="4"/>
      <c r="T14" s="4"/>
      <c r="U14" s="4"/>
      <c r="V14" s="4"/>
      <c r="W14" s="4"/>
      <c r="X14" s="4"/>
      <c r="Y14" s="4"/>
      <c r="Z14" s="4"/>
      <c r="AG14" s="3"/>
      <c r="AH14" s="6"/>
      <c r="AI14" s="6"/>
      <c r="AJ14" s="6"/>
      <c r="AK14" s="6"/>
      <c r="AL14" s="6"/>
      <c r="AM14" s="6"/>
      <c r="AN14" s="6"/>
      <c r="AO14" s="6"/>
      <c r="AP14" s="6"/>
      <c r="AQ14" s="4"/>
      <c r="AR14" s="4"/>
      <c r="AY14" s="3" t="s">
        <v>1453</v>
      </c>
      <c r="AZ14" s="6">
        <f>AZ12/5</f>
        <v>4000000</v>
      </c>
      <c r="BA14" s="6"/>
      <c r="BB14" s="6"/>
      <c r="BC14" s="6"/>
      <c r="BD14" s="6"/>
      <c r="BE14" s="6"/>
      <c r="BF14" s="6"/>
      <c r="BG14" s="6"/>
      <c r="BH14" s="6"/>
      <c r="BI14" s="4"/>
      <c r="BJ14" s="4"/>
      <c r="BL14" s="36"/>
      <c r="BO14" s="3" t="s">
        <v>1455</v>
      </c>
      <c r="BP14" s="6">
        <f>BP12/5</f>
        <v>4000000</v>
      </c>
      <c r="BQ14" s="4"/>
      <c r="BR14" s="4"/>
      <c r="BS14" s="4"/>
      <c r="BT14" s="4"/>
      <c r="BU14" s="4"/>
      <c r="BV14" s="4"/>
      <c r="BW14" s="4"/>
      <c r="BX14" s="4"/>
      <c r="BY14" s="4"/>
      <c r="BZ14" s="4"/>
      <c r="CB14" s="36"/>
      <c r="CE14" s="3" t="s">
        <v>1457</v>
      </c>
      <c r="CF14" s="6">
        <f>CF12/5</f>
        <v>4000000</v>
      </c>
      <c r="CG14" s="4"/>
      <c r="CH14" s="4"/>
      <c r="CI14" s="4"/>
      <c r="CJ14" s="4"/>
      <c r="CK14" s="4"/>
      <c r="CL14" s="4"/>
      <c r="CM14" s="4"/>
      <c r="CN14" s="4"/>
      <c r="CO14" s="4"/>
      <c r="CP14" s="4"/>
      <c r="CR14" s="36"/>
      <c r="CU14" s="3" t="s">
        <v>1459</v>
      </c>
      <c r="CV14" s="6">
        <f>CV12/5</f>
        <v>4000000</v>
      </c>
      <c r="CW14" s="4"/>
      <c r="CX14" s="4"/>
      <c r="CY14" s="4"/>
      <c r="CZ14" s="4"/>
      <c r="DA14" s="4"/>
      <c r="DB14" s="4"/>
      <c r="DC14" s="4"/>
      <c r="DD14" s="4"/>
      <c r="DE14" s="4"/>
      <c r="DF14" s="4"/>
      <c r="DH14" s="36"/>
      <c r="DK14" s="3" t="s">
        <v>1461</v>
      </c>
      <c r="DL14" s="6">
        <f>DL12/5</f>
        <v>8000000</v>
      </c>
      <c r="DM14" s="4"/>
      <c r="DN14" s="4"/>
      <c r="DO14" s="4"/>
      <c r="DP14" s="4"/>
      <c r="DQ14" s="4"/>
      <c r="DR14" s="4"/>
      <c r="DS14" s="4"/>
      <c r="DT14" s="4"/>
      <c r="DU14" s="4"/>
      <c r="DV14" s="4"/>
      <c r="DX14" s="36"/>
      <c r="EA14" s="3" t="s">
        <v>1463</v>
      </c>
      <c r="EB14" s="6">
        <f>EB12/5</f>
        <v>8000000</v>
      </c>
      <c r="EC14" s="4"/>
      <c r="ED14" s="4"/>
      <c r="EE14" s="4"/>
      <c r="EF14" s="4"/>
      <c r="EG14" s="4"/>
      <c r="EH14" s="4"/>
      <c r="EI14" s="4"/>
      <c r="EJ14" s="4"/>
      <c r="EK14" s="4"/>
      <c r="EL14" s="4"/>
      <c r="EN14" s="36"/>
      <c r="EQ14" s="3" t="s">
        <v>1465</v>
      </c>
      <c r="ER14" s="6">
        <f>ER12/5</f>
        <v>2000000</v>
      </c>
      <c r="ES14" s="4"/>
      <c r="ET14" s="4"/>
      <c r="EU14" s="4"/>
      <c r="EV14" s="4"/>
      <c r="EW14" s="4"/>
      <c r="EX14" s="4"/>
      <c r="EY14" s="4"/>
      <c r="EZ14" s="6"/>
      <c r="FA14" s="4"/>
      <c r="FB14" s="6"/>
      <c r="FD14" s="37"/>
      <c r="FG14" s="3" t="s">
        <v>1467</v>
      </c>
      <c r="FH14" s="6">
        <f>FH12/5</f>
        <v>8000000</v>
      </c>
      <c r="FI14" s="4"/>
      <c r="FJ14" s="4"/>
      <c r="FK14" s="4"/>
      <c r="FL14" s="4"/>
      <c r="FM14" s="4"/>
      <c r="FN14" s="4"/>
      <c r="FO14" s="4"/>
      <c r="FP14" s="6"/>
      <c r="FQ14" s="4"/>
      <c r="FR14" s="6"/>
      <c r="FT14" s="37"/>
      <c r="FW14" s="3" t="s">
        <v>1468</v>
      </c>
      <c r="FX14" s="6">
        <f>FX12/5</f>
        <v>4000000</v>
      </c>
      <c r="FY14" s="4"/>
      <c r="FZ14" s="4"/>
      <c r="GA14" s="4"/>
      <c r="GB14" s="4"/>
      <c r="GC14" s="4"/>
      <c r="GD14" s="4"/>
      <c r="GE14" s="4"/>
      <c r="GF14" s="6"/>
      <c r="GG14" s="4"/>
      <c r="GH14" s="4"/>
      <c r="GJ14" s="36"/>
      <c r="GM14" s="3" t="s">
        <v>1471</v>
      </c>
      <c r="GN14" s="6">
        <f>GN12/5</f>
        <v>4000000</v>
      </c>
      <c r="GO14" s="4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37"/>
      <c r="HA14" s="6"/>
      <c r="HB14" s="6"/>
      <c r="HC14" s="3" t="s">
        <v>1473</v>
      </c>
      <c r="HD14" s="6">
        <f>HD12/5</f>
        <v>4000000</v>
      </c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37"/>
      <c r="HQ14" s="6"/>
      <c r="HR14" s="6"/>
      <c r="HS14" s="3" t="s">
        <v>1475</v>
      </c>
      <c r="HT14" s="6">
        <f>HT12/5</f>
        <v>8000000</v>
      </c>
      <c r="HU14" s="6"/>
      <c r="HV14" s="6"/>
      <c r="HW14" s="4"/>
      <c r="HX14" s="4"/>
      <c r="HY14" s="4"/>
      <c r="HZ14" s="4"/>
      <c r="IA14" s="4"/>
      <c r="IB14" s="4"/>
      <c r="IC14" s="4"/>
      <c r="ID14" s="4"/>
      <c r="IF14" s="36"/>
      <c r="II14" s="3" t="s">
        <v>1477</v>
      </c>
      <c r="IJ14" s="6">
        <f>IJ12/5</f>
        <v>2000000</v>
      </c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36"/>
      <c r="IW14" s="4"/>
      <c r="IY14" s="3" t="s">
        <v>1479</v>
      </c>
      <c r="IZ14" s="6">
        <f>IZ12/5</f>
        <v>4000000</v>
      </c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36"/>
      <c r="JM14" s="4"/>
      <c r="JO14" s="3" t="s">
        <v>1481</v>
      </c>
      <c r="JP14" s="6">
        <f>JP12/5</f>
        <v>4000000</v>
      </c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36"/>
      <c r="KC14" s="4"/>
      <c r="KE14" s="3" t="s">
        <v>1483</v>
      </c>
      <c r="KF14" s="6">
        <f>KF12/5</f>
        <v>4000000</v>
      </c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36"/>
      <c r="KS14" s="4"/>
      <c r="KU14" s="3" t="s">
        <v>1484</v>
      </c>
      <c r="KV14" s="6">
        <f>KV12/5</f>
        <v>4000000</v>
      </c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36"/>
      <c r="LI14" s="4"/>
      <c r="LK14" s="3" t="s">
        <v>1487</v>
      </c>
      <c r="LL14" s="6">
        <f>LL12/5</f>
        <v>4000000</v>
      </c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36"/>
      <c r="LY14" s="4"/>
      <c r="MA14" s="3" t="s">
        <v>1489</v>
      </c>
      <c r="MB14" s="6">
        <f>MB12/5</f>
        <v>4000000</v>
      </c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36"/>
      <c r="MO14" s="4"/>
      <c r="MQ14" s="3" t="s">
        <v>1491</v>
      </c>
      <c r="MR14" s="6">
        <f>MR12/5</f>
        <v>4000000</v>
      </c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36"/>
      <c r="NE14" s="4"/>
      <c r="NG14" s="3" t="s">
        <v>1493</v>
      </c>
      <c r="NH14" s="6">
        <f>NH12/5</f>
        <v>4000000</v>
      </c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36"/>
      <c r="NU14" s="4"/>
      <c r="NW14" s="3" t="s">
        <v>1495</v>
      </c>
      <c r="NX14" s="6">
        <f>NX12/5</f>
        <v>4000000</v>
      </c>
      <c r="NY14" s="4"/>
      <c r="NZ14" s="4"/>
      <c r="OA14" s="4"/>
      <c r="OB14" s="4"/>
      <c r="OC14" s="4"/>
      <c r="OD14" s="4"/>
      <c r="OE14" s="4"/>
      <c r="OF14" s="4"/>
      <c r="OG14" s="4"/>
      <c r="OH14" s="4"/>
      <c r="OJ14" s="36"/>
      <c r="OL14" s="4"/>
      <c r="OM14" s="4"/>
      <c r="ON14" s="4"/>
      <c r="OO14" s="4"/>
      <c r="OP14" s="4"/>
      <c r="OQ14" s="4"/>
      <c r="OR14" s="4"/>
      <c r="OS14" s="4"/>
      <c r="OT14" s="4"/>
      <c r="OU14" s="4"/>
      <c r="OX14" s="6"/>
      <c r="OY14" s="4"/>
      <c r="OZ14" s="4"/>
      <c r="PA14" s="4"/>
      <c r="PB14" s="4"/>
      <c r="PC14" s="4"/>
      <c r="PD14" s="4"/>
      <c r="PE14" s="4"/>
      <c r="PF14" s="4"/>
      <c r="PG14" s="4"/>
      <c r="PH14" s="4"/>
      <c r="PK14" s="3"/>
      <c r="PL14" s="6"/>
      <c r="PM14" s="4"/>
      <c r="PN14" s="4"/>
      <c r="PO14" s="4"/>
      <c r="PP14" s="4"/>
      <c r="PQ14" s="4"/>
      <c r="PR14" s="4"/>
      <c r="PS14" s="4"/>
      <c r="PT14" s="4"/>
      <c r="PU14" s="4"/>
      <c r="PV14" s="4"/>
      <c r="PY14" s="6"/>
      <c r="PZ14" s="4"/>
      <c r="QA14" s="4"/>
      <c r="QB14" s="4"/>
      <c r="QC14" s="4"/>
      <c r="QD14" s="4"/>
      <c r="QE14" s="4"/>
      <c r="QF14" s="4"/>
      <c r="QG14" s="4"/>
      <c r="QH14" s="4"/>
      <c r="QI14" s="4"/>
      <c r="QL14" s="3"/>
      <c r="QM14" s="6"/>
      <c r="QN14" s="4"/>
      <c r="QO14" s="4"/>
      <c r="QP14" s="4"/>
      <c r="QQ14" s="4"/>
      <c r="QR14" s="4"/>
      <c r="QS14" s="4"/>
      <c r="QT14" s="4"/>
      <c r="QU14" s="4"/>
      <c r="QV14" s="4"/>
      <c r="QW14" s="4"/>
      <c r="QZ14" s="3"/>
      <c r="RA14" s="6"/>
      <c r="RB14" s="4"/>
      <c r="RC14" s="4"/>
      <c r="RD14" s="4"/>
      <c r="RE14" s="4"/>
      <c r="RF14" s="4"/>
      <c r="RG14" s="4"/>
      <c r="RH14" s="4"/>
      <c r="RI14" s="4"/>
      <c r="RN14" s="3"/>
      <c r="RO14" s="8"/>
      <c r="RP14" s="4"/>
      <c r="RQ14" s="4"/>
      <c r="RR14" s="4"/>
      <c r="RS14" s="4"/>
      <c r="RT14" s="4"/>
      <c r="RU14" s="4"/>
      <c r="RV14" s="4"/>
      <c r="RW14" s="4"/>
      <c r="SB14" s="3"/>
      <c r="SC14" s="8"/>
      <c r="SD14" s="4"/>
      <c r="SE14" s="4"/>
      <c r="SF14" s="4"/>
      <c r="SG14" s="4"/>
      <c r="SH14" s="4"/>
      <c r="SI14" s="4"/>
      <c r="SJ14" s="4"/>
      <c r="SK14" s="4"/>
    </row>
    <row r="15" spans="1:505" x14ac:dyDescent="0.2">
      <c r="A15" s="3" t="s">
        <v>591</v>
      </c>
      <c r="B15" s="3"/>
      <c r="O15" s="3"/>
      <c r="P15" s="7"/>
      <c r="AG15" s="3"/>
      <c r="AH15" s="7"/>
      <c r="AI15" s="7"/>
      <c r="AJ15" s="7"/>
      <c r="AK15" s="7"/>
      <c r="AL15" s="7"/>
      <c r="AM15" s="7"/>
      <c r="AN15" s="7"/>
      <c r="AO15" s="7"/>
      <c r="AP15" s="7"/>
      <c r="AY15" s="3" t="s">
        <v>592</v>
      </c>
      <c r="AZ15" s="7" t="s">
        <v>6</v>
      </c>
      <c r="BA15" s="7"/>
      <c r="BB15" s="7"/>
      <c r="BC15" s="7"/>
      <c r="BD15" s="7"/>
      <c r="BE15" s="7"/>
      <c r="BF15" s="7"/>
      <c r="BG15" s="7"/>
      <c r="BH15" s="7"/>
      <c r="BL15" s="9"/>
      <c r="BO15" s="3" t="s">
        <v>593</v>
      </c>
      <c r="BP15" s="7" t="s">
        <v>6</v>
      </c>
      <c r="CB15" s="9"/>
      <c r="CE15" s="3" t="s">
        <v>594</v>
      </c>
      <c r="CF15" s="7" t="s">
        <v>6</v>
      </c>
      <c r="CR15" s="9"/>
      <c r="CU15" s="3" t="s">
        <v>595</v>
      </c>
      <c r="CV15" s="7" t="s">
        <v>6</v>
      </c>
      <c r="DH15" s="9"/>
      <c r="DK15" s="3" t="s">
        <v>596</v>
      </c>
      <c r="DL15" s="7" t="s">
        <v>6</v>
      </c>
      <c r="DX15" s="9"/>
      <c r="EA15" s="3" t="s">
        <v>597</v>
      </c>
      <c r="EB15" s="7" t="s">
        <v>6</v>
      </c>
      <c r="EN15" s="9"/>
      <c r="EQ15" s="3" t="s">
        <v>598</v>
      </c>
      <c r="ER15" s="7" t="s">
        <v>6</v>
      </c>
      <c r="EZ15" s="7"/>
      <c r="FB15" s="7"/>
      <c r="FD15" s="38"/>
      <c r="FG15" s="3" t="s">
        <v>599</v>
      </c>
      <c r="FH15" s="7" t="s">
        <v>6</v>
      </c>
      <c r="FP15" s="7"/>
      <c r="FR15" s="7"/>
      <c r="FT15" s="38"/>
      <c r="FW15" s="3" t="s">
        <v>600</v>
      </c>
      <c r="FX15" s="7" t="s">
        <v>6</v>
      </c>
      <c r="GF15" s="7"/>
      <c r="GJ15" s="9"/>
      <c r="GM15" s="3" t="s">
        <v>601</v>
      </c>
      <c r="GN15" s="7" t="s">
        <v>6</v>
      </c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38"/>
      <c r="HA15" s="7"/>
      <c r="HB15" s="7"/>
      <c r="HC15" s="3" t="s">
        <v>602</v>
      </c>
      <c r="HD15" s="7" t="s">
        <v>6</v>
      </c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38"/>
      <c r="HQ15" s="7"/>
      <c r="HR15" s="7"/>
      <c r="HS15" s="3" t="s">
        <v>603</v>
      </c>
      <c r="HT15" s="7" t="s">
        <v>6</v>
      </c>
      <c r="HU15" s="7"/>
      <c r="HV15" s="7"/>
      <c r="IF15" s="9"/>
      <c r="II15" s="3" t="s">
        <v>604</v>
      </c>
      <c r="IJ15" s="7" t="s">
        <v>6</v>
      </c>
      <c r="IV15" s="9"/>
      <c r="IY15" s="3" t="s">
        <v>605</v>
      </c>
      <c r="IZ15" s="7" t="s">
        <v>6</v>
      </c>
      <c r="JL15" s="9"/>
      <c r="JO15" s="3" t="s">
        <v>606</v>
      </c>
      <c r="JP15" s="7" t="s">
        <v>6</v>
      </c>
      <c r="KB15" s="9"/>
      <c r="KE15" s="3" t="s">
        <v>607</v>
      </c>
      <c r="KF15" s="7" t="s">
        <v>6</v>
      </c>
      <c r="KR15" s="9"/>
      <c r="KU15" s="3" t="s">
        <v>608</v>
      </c>
      <c r="KV15" s="7" t="s">
        <v>6</v>
      </c>
      <c r="LH15" s="9"/>
      <c r="LK15" s="3" t="s">
        <v>609</v>
      </c>
      <c r="LL15" s="7" t="s">
        <v>6</v>
      </c>
      <c r="LX15" s="9"/>
      <c r="MA15" s="3" t="s">
        <v>610</v>
      </c>
      <c r="MB15" s="7" t="s">
        <v>6</v>
      </c>
      <c r="MN15" s="9"/>
      <c r="MQ15" s="3" t="s">
        <v>611</v>
      </c>
      <c r="MR15" s="7" t="s">
        <v>6</v>
      </c>
      <c r="ND15" s="9"/>
      <c r="NG15" s="3" t="s">
        <v>612</v>
      </c>
      <c r="NH15" s="7" t="s">
        <v>6</v>
      </c>
      <c r="NT15" s="9"/>
      <c r="NW15" s="3" t="s">
        <v>613</v>
      </c>
      <c r="NX15" s="7" t="s">
        <v>6</v>
      </c>
      <c r="OJ15" s="9"/>
      <c r="OX15" s="7"/>
      <c r="PK15" s="3"/>
      <c r="PL15" s="7"/>
      <c r="PY15" s="7"/>
      <c r="QL15" s="3"/>
      <c r="QM15" s="7"/>
      <c r="QZ15" s="3"/>
      <c r="RA15" s="7"/>
      <c r="RN15" s="3"/>
      <c r="RO15" s="7"/>
      <c r="SB15" s="3"/>
      <c r="SC15" s="7"/>
    </row>
    <row r="16" spans="1:505" x14ac:dyDescent="0.2">
      <c r="A16" s="3" t="s">
        <v>614</v>
      </c>
      <c r="B16" s="3"/>
      <c r="O16" s="3"/>
      <c r="P16" s="7"/>
      <c r="AG16" s="3"/>
      <c r="AH16" s="7"/>
      <c r="AI16" s="7"/>
      <c r="AJ16" s="7"/>
      <c r="AK16" s="7"/>
      <c r="AL16" s="7"/>
      <c r="AM16" s="7"/>
      <c r="AN16" s="7"/>
      <c r="AO16" s="7"/>
      <c r="AP16" s="7"/>
      <c r="AY16" s="3" t="s">
        <v>615</v>
      </c>
      <c r="AZ16" s="7" t="s">
        <v>6</v>
      </c>
      <c r="BA16" s="7"/>
      <c r="BB16" s="7"/>
      <c r="BC16" s="7"/>
      <c r="BD16" s="7"/>
      <c r="BE16" s="7"/>
      <c r="BF16" s="7"/>
      <c r="BG16" s="7"/>
      <c r="BH16" s="7"/>
      <c r="BL16" s="9"/>
      <c r="BO16" s="3" t="s">
        <v>616</v>
      </c>
      <c r="BP16" s="7" t="s">
        <v>6</v>
      </c>
      <c r="CB16" s="9"/>
      <c r="CE16" s="3" t="s">
        <v>617</v>
      </c>
      <c r="CF16" s="7" t="s">
        <v>6</v>
      </c>
      <c r="CR16" s="9"/>
      <c r="CU16" s="3" t="s">
        <v>618</v>
      </c>
      <c r="CV16" s="7" t="s">
        <v>6</v>
      </c>
      <c r="DH16" s="9"/>
      <c r="DK16" s="3" t="s">
        <v>619</v>
      </c>
      <c r="DL16" s="7" t="s">
        <v>6</v>
      </c>
      <c r="DX16" s="9"/>
      <c r="EA16" s="3" t="s">
        <v>620</v>
      </c>
      <c r="EB16" s="7" t="s">
        <v>6</v>
      </c>
      <c r="EN16" s="9"/>
      <c r="EQ16" s="3" t="s">
        <v>621</v>
      </c>
      <c r="ER16" s="7" t="s">
        <v>6</v>
      </c>
      <c r="EZ16" s="7"/>
      <c r="FB16" s="7"/>
      <c r="FD16" s="38"/>
      <c r="FG16" s="3" t="s">
        <v>622</v>
      </c>
      <c r="FH16" s="7" t="s">
        <v>6</v>
      </c>
      <c r="FP16" s="7"/>
      <c r="FR16" s="7"/>
      <c r="FT16" s="38"/>
      <c r="FW16" s="3" t="s">
        <v>623</v>
      </c>
      <c r="FX16" s="7" t="s">
        <v>6</v>
      </c>
      <c r="GF16" s="7"/>
      <c r="GJ16" s="9"/>
      <c r="GM16" s="3" t="s">
        <v>624</v>
      </c>
      <c r="GN16" s="7" t="s">
        <v>6</v>
      </c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38"/>
      <c r="HA16" s="7"/>
      <c r="HB16" s="7"/>
      <c r="HC16" s="3" t="s">
        <v>625</v>
      </c>
      <c r="HD16" s="7" t="s">
        <v>6</v>
      </c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38"/>
      <c r="HQ16" s="7"/>
      <c r="HR16" s="7"/>
      <c r="HS16" s="3" t="s">
        <v>626</v>
      </c>
      <c r="HT16" s="7" t="s">
        <v>6</v>
      </c>
      <c r="HU16" s="7"/>
      <c r="HV16" s="7"/>
      <c r="IF16" s="9"/>
      <c r="II16" s="3" t="s">
        <v>627</v>
      </c>
      <c r="IJ16" s="7" t="s">
        <v>6</v>
      </c>
      <c r="IV16" s="9"/>
      <c r="IY16" s="3" t="s">
        <v>628</v>
      </c>
      <c r="IZ16" s="7" t="s">
        <v>6</v>
      </c>
      <c r="JL16" s="9"/>
      <c r="JO16" s="3" t="s">
        <v>629</v>
      </c>
      <c r="JP16" s="7" t="s">
        <v>6</v>
      </c>
      <c r="KB16" s="9"/>
      <c r="KE16" s="3" t="s">
        <v>630</v>
      </c>
      <c r="KF16" s="7" t="s">
        <v>6</v>
      </c>
      <c r="KR16" s="9"/>
      <c r="KU16" s="3" t="s">
        <v>631</v>
      </c>
      <c r="KV16" s="7" t="s">
        <v>6</v>
      </c>
      <c r="LH16" s="9"/>
      <c r="LK16" s="3" t="s">
        <v>632</v>
      </c>
      <c r="LL16" s="7" t="s">
        <v>6</v>
      </c>
      <c r="LX16" s="9"/>
      <c r="MA16" s="3" t="s">
        <v>633</v>
      </c>
      <c r="MB16" s="7" t="s">
        <v>6</v>
      </c>
      <c r="MN16" s="9"/>
      <c r="MQ16" s="3" t="s">
        <v>634</v>
      </c>
      <c r="MR16" s="7" t="s">
        <v>6</v>
      </c>
      <c r="ND16" s="9"/>
      <c r="NG16" s="3" t="s">
        <v>635</v>
      </c>
      <c r="NH16" s="7" t="s">
        <v>6</v>
      </c>
      <c r="NT16" s="9"/>
      <c r="NW16" s="3" t="s">
        <v>636</v>
      </c>
      <c r="NX16" s="7" t="s">
        <v>6</v>
      </c>
      <c r="OJ16" s="9"/>
      <c r="OX16" s="7"/>
      <c r="PK16" s="3"/>
      <c r="PL16" s="7"/>
      <c r="PY16" s="7"/>
      <c r="QL16" s="3"/>
      <c r="QM16" s="7"/>
      <c r="QZ16" s="3"/>
      <c r="RA16" s="7"/>
      <c r="RN16" s="3"/>
      <c r="RO16" s="7"/>
      <c r="SB16" s="3"/>
      <c r="SC16" s="7"/>
    </row>
    <row r="17" spans="1:496" x14ac:dyDescent="0.2">
      <c r="A17" s="3" t="s">
        <v>637</v>
      </c>
      <c r="B17" s="3"/>
      <c r="O17" s="3"/>
      <c r="AG17" s="3"/>
      <c r="AY17" s="3" t="s">
        <v>638</v>
      </c>
      <c r="AZ17">
        <f>IF(AZ4=1,1,IF(AND(AZ4=0,BA4=1),2,IF(AND(BA4=0,BB4=1),3,IF(AND(BB4=0,BC4=1),4,IF(AND(BC4=0,BD4=1),5,IF(AND(BD4=0,BE4=1),6,IF(AND(BE4=0,BF4=1),7,IF(AND(BF4=0,BG4=1),8,-1))))))))</f>
        <v>-1</v>
      </c>
      <c r="BL17" s="9"/>
      <c r="BO17" s="3" t="s">
        <v>639</v>
      </c>
      <c r="BP17">
        <f>IF(BP4=1,1,IF(AND(BP4=0,BQ4=1),2,IF(AND(BQ4=0,BR4=1),3,IF(AND(BR4=0,BS4=1),4,IF(AND(BS4=0,BT4=1),5,IF(AND(BT4=0,BU4=1),6,IF(AND(BU4=0,BV4=1),7,IF(AND(BV4=0,BW4=1),8,-1))))))))</f>
        <v>-1</v>
      </c>
      <c r="CB17" s="9"/>
      <c r="CE17" s="3" t="s">
        <v>640</v>
      </c>
      <c r="CF17">
        <f>IF(CF4=1,1,IF(AND(CF4=0,CG4=1),2,IF(AND(CG4=0,CH4=1),3,IF(AND(CH4=0,CI4=1),4,IF(AND(CI4=0,CJ4=1),5,IF(AND(CJ4=0,CK4=1),6,IF(AND(CK4=0,CL4=1),7,IF(AND(CL4=0,CM4=1),8,-1))))))))</f>
        <v>-1</v>
      </c>
      <c r="CR17" s="9"/>
      <c r="CU17" s="3" t="s">
        <v>641</v>
      </c>
      <c r="CV17">
        <f>IF(CV4=1,1,IF(AND(CV4=0,CW4=1),2,IF(AND(CW4=0,CX4=1),3,IF(AND(CX4=0,CY4=1),4,IF(AND(CY4=0,CZ4=1),5,IF(AND(CZ4=0,DA4=1),6,IF(AND(DA4=0,DB4=1),7,IF(AND(DB4=0,DC4=1),8,-1))))))))</f>
        <v>-1</v>
      </c>
      <c r="DH17" s="9"/>
      <c r="DK17" s="3" t="s">
        <v>642</v>
      </c>
      <c r="DL17">
        <f>IF(DL4=1,1,IF(AND(DL4=0,DM4=1),2,IF(AND(DM4=0,DN4=1),3,IF(AND(DN4=0,DO4=1),4,IF(AND(DO4=0,DP4=1),5,IF(AND(DP4=0,DQ4=1),6,IF(AND(DQ4=0,DR4=1),7,IF(AND(DR4=0,DS4=1),8,-1))))))))</f>
        <v>-1</v>
      </c>
      <c r="DX17" s="9"/>
      <c r="EA17" s="3" t="s">
        <v>643</v>
      </c>
      <c r="EB17">
        <f>IF(EB4=1,1,IF(AND(EB4=0,EC4=1),2,IF(AND(EC4=0,ED4=1),3,IF(AND(ED4=0,EE4=1),4,IF(AND(EE4=0,EF4=1),5,IF(AND(EF4=0,EG4=1),6,IF(AND(EG4=0,EH4=1),7,IF(AND(EH4=0,EI4=1),8,-1))))))))</f>
        <v>-1</v>
      </c>
      <c r="EN17" s="9"/>
      <c r="EQ17" s="3" t="s">
        <v>644</v>
      </c>
      <c r="ER17">
        <f>IF(ER4=1,1,IF(AND(ER4=0,ES4=1),2,IF(AND(ES4=0,ET4=1),3,IF(AND(ET4=0,EU4=1),4,IF(AND(EU4=0,EV4=1),5,IF(AND(EV4=0,EW4=1),6,IF(AND(EW4=0,EX4=1),7,IF(AND(EX4=0,EY4=1),8,-1))))))))</f>
        <v>-1</v>
      </c>
      <c r="FD17" s="9"/>
      <c r="FG17" s="3" t="s">
        <v>645</v>
      </c>
      <c r="FH17">
        <f>IF(FH4=1,1,IF(AND(FH4=0,FI4=1),2,IF(AND(FI4=0,FJ4=1),3,IF(AND(FJ4=0,FK4=1),4,IF(AND(FK4=0,FL4=1),5,IF(AND(FL4=0,FM4=1),6,IF(AND(FM4=0,FN4=1),7,IF(AND(FN4=0,FO4=1),8,-1))))))))</f>
        <v>-1</v>
      </c>
      <c r="FT17" s="9"/>
      <c r="FW17" s="3" t="s">
        <v>646</v>
      </c>
      <c r="FX17">
        <f>IF(FX4=1,1,IF(AND(FX4=0,FY4=1),2,IF(AND(FY4=0,FZ4=1),3,IF(AND(FZ4=0,GA4=1),4,IF(AND(GA4=0,GB4=1),5,IF(AND(GB4=0,GC4=1),6,IF(AND(GC4=0,GD4=1),7,IF(AND(GD4=0,GE4=1),8,-1))))))))</f>
        <v>-1</v>
      </c>
      <c r="GJ17" s="9"/>
      <c r="GM17" s="3" t="s">
        <v>647</v>
      </c>
      <c r="GN17">
        <f>IF(GN4=1,1,IF(AND(GN4=0,GO4=1),2,IF(AND(GO4=0,GP4=1),3,IF(AND(GP4=0,GQ4=1),4,IF(AND(GQ4=0,GR4=1),5,IF(AND(GR4=0,GS4=1),6,IF(AND(GS4=0,GT4=1),7,IF(AND(GT4=0,GU4=1),8,-1))))))))</f>
        <v>-1</v>
      </c>
      <c r="GZ17" s="9"/>
      <c r="HC17" s="3" t="s">
        <v>648</v>
      </c>
      <c r="HD17">
        <f>IF(HD4=1,1,IF(AND(HD4=0,HE4=1),2,IF(AND(HE4=0,HF4=1),3,IF(AND(HF4=0,HG4=1),4,IF(AND(HG4=0,HH4=1),5,IF(AND(HH4=0,HI4=1),6,IF(AND(HI4=0,HJ4=1),7,IF(AND(HJ4=0,HK4=1),8,-1))))))))</f>
        <v>-1</v>
      </c>
      <c r="HP17" s="9"/>
      <c r="HS17" s="3" t="s">
        <v>649</v>
      </c>
      <c r="HT17">
        <f>IF(HT4=1,1,IF(AND(HT4=0,HU4=1),2,IF(AND(HU4=0,HV4=1),3,IF(AND(HV4=0,HW4=1),4,IF(AND(HW4=0,HX4=1),5,IF(AND(HX4=0,HY4=1),6,IF(AND(HY4=0,HZ4=1),7,IF(AND(HZ4=0,IA4=1),8,-1))))))))</f>
        <v>-1</v>
      </c>
      <c r="IF17" s="9"/>
      <c r="II17" s="3" t="s">
        <v>650</v>
      </c>
      <c r="IJ17">
        <f>IF(IJ4=1,1,IF(AND(IJ4=0,IK4=1),2,IF(AND(IK4=0,IL4=1),3,IF(AND(IL4=0,IM4=1),4,IF(AND(IM4=0,IN4=1),5,IF(AND(IN4=0,IO4=1),6,IF(AND(IO4=0,IP4=1),7,IF(AND(IP4=0,IQ4=1),8,-1))))))))</f>
        <v>-1</v>
      </c>
      <c r="IV17" s="9"/>
      <c r="IY17" s="3" t="s">
        <v>651</v>
      </c>
      <c r="IZ17">
        <f>IF(IZ4=1,1,IF(AND(IZ4=0,JA4=1),2,IF(AND(JA4=0,JB4=1),3,IF(AND(JB4=0,JC4=1),4,IF(AND(JC4=0,JD4=1),5,IF(AND(JD4=0,JE4=1),6,IF(AND(JE4=0,JF4=1),7,IF(AND(JF4=0,JG4=1),8,-1))))))))</f>
        <v>-1</v>
      </c>
      <c r="JL17" s="9"/>
      <c r="JO17" s="3" t="s">
        <v>652</v>
      </c>
      <c r="JP17">
        <f>IF(JP4=1,1,IF(AND(JP4=0,JQ4=1),2,IF(AND(JQ4=0,JR4=1),3,IF(AND(JR4=0,JS4=1),4,IF(AND(JS4=0,JT4=1),5,IF(AND(JT4=0,JU4=1),6,IF(AND(JU4=0,JV4=1),7,IF(AND(JV4=0,JW4=1),8,-1))))))))</f>
        <v>-1</v>
      </c>
      <c r="KB17" s="9"/>
      <c r="KE17" s="3" t="s">
        <v>653</v>
      </c>
      <c r="KF17">
        <f>IF(KF4=1,1,IF(AND(KF4=0,KG4=1),2,IF(AND(KG4=0,KH4=1),3,IF(AND(KH4=0,KI4=1),4,IF(AND(KI4=0,KJ4=1),5,IF(AND(KJ4=0,KK4=1),6,IF(AND(KK4=0,KL4=1),7,IF(AND(KL4=0,KM4=1),8,-1))))))))</f>
        <v>-1</v>
      </c>
      <c r="KR17" s="9"/>
      <c r="KU17" s="3" t="s">
        <v>654</v>
      </c>
      <c r="KV17">
        <f>IF(KV4=1,1,IF(AND(KV4=0,KW4=1),2,IF(AND(KW4=0,KX4=1),3,IF(AND(KX4=0,KY4=1),4,IF(AND(KY4=0,KZ4=1),5,IF(AND(KZ4=0,LA4=1),6,IF(AND(LA4=0,LB4=1),7,IF(AND(LB4=0,LC4=1),8,-1))))))))</f>
        <v>-1</v>
      </c>
      <c r="LH17" s="9"/>
      <c r="LK17" s="3" t="s">
        <v>655</v>
      </c>
      <c r="LL17">
        <f>IF(LL4=1,1,IF(AND(LL4=0,LM4=1),2,IF(AND(LM4=0,LN4=1),3,IF(AND(LN4=0,LO4=1),4,IF(AND(LO4=0,LP4=1),5,IF(AND(LP4=0,LQ4=1),6,IF(AND(LQ4=0,LR4=1),7,IF(AND(LR4=0,LS4=1),8,-1))))))))</f>
        <v>-1</v>
      </c>
      <c r="LX17" s="9"/>
      <c r="MA17" s="3" t="s">
        <v>656</v>
      </c>
      <c r="MB17">
        <f>IF(MB4=1,1,IF(AND(MB4=0,MC4=1),2,IF(AND(MC4=0,MD4=1),3,IF(AND(MD4=0,ME4=1),4,IF(AND(ME4=0,MF4=1),5,IF(AND(MF4=0,MG4=1),6,IF(AND(MG4=0,MH4=1),7,IF(AND(MH4=0,MI4=1),8,-1))))))))</f>
        <v>-1</v>
      </c>
      <c r="MN17" s="9"/>
      <c r="MQ17" s="3" t="s">
        <v>657</v>
      </c>
      <c r="MR17">
        <f>IF(MR4=1,1,IF(AND(MR4=0,MS4=1),2,IF(AND(MS4=0,MT4=1),3,IF(AND(MT4=0,MU4=1),4,IF(AND(MU4=0,MV4=1),5,IF(AND(MV4=0,MW4=1),6,IF(AND(MW4=0,MX4=1),7,IF(AND(MX4=0,MY4=1),8,-1))))))))</f>
        <v>-1</v>
      </c>
      <c r="ND17" s="9"/>
      <c r="NG17" s="3" t="s">
        <v>658</v>
      </c>
      <c r="NH17">
        <f>IF(NH4=1,1,IF(AND(NH4=0,NI4=1),2,IF(AND(NI4=0,NJ4=1),3,IF(AND(NJ4=0,NK4=1),4,IF(AND(NK4=0,NL4=1),5,IF(AND(NL4=0,NM4=1),6,IF(AND(NM4=0,NN4=1),7,IF(AND(NN4=0,NO4=1),8,-1))))))))</f>
        <v>-1</v>
      </c>
      <c r="NT17" s="9"/>
      <c r="NW17" s="3" t="s">
        <v>659</v>
      </c>
      <c r="NX17">
        <f>IF(NX4=1,1,IF(AND(NX4=0,NY4=1),2,IF(AND(NY4=0,NZ4=1),3,IF(AND(NZ4=0,OA4=1),4,IF(AND(OA4=0,OB4=1),5,IF(AND(OB4=0,OC4=1),6,IF(AND(OC4=0,OD4=1),7,IF(AND(OD4=0,OE4=1),8,-1))))))))</f>
        <v>-1</v>
      </c>
      <c r="OJ17" s="9"/>
      <c r="PK17" s="3"/>
      <c r="QL17" s="3"/>
      <c r="QZ17" s="3"/>
      <c r="RN17" s="3"/>
      <c r="SB17" s="3"/>
    </row>
    <row r="18" spans="1:496" x14ac:dyDescent="0.2">
      <c r="A18" s="3" t="s">
        <v>660</v>
      </c>
      <c r="B18" s="3"/>
      <c r="K18" t="s">
        <v>320</v>
      </c>
      <c r="O18" s="3"/>
      <c r="AG18" s="3"/>
      <c r="AY18" s="3" t="s">
        <v>661</v>
      </c>
      <c r="AZ18">
        <v>1</v>
      </c>
      <c r="BL18" s="9"/>
      <c r="BO18" s="3" t="s">
        <v>662</v>
      </c>
      <c r="BP18">
        <v>1</v>
      </c>
      <c r="CB18" s="9"/>
      <c r="CE18" s="3" t="s">
        <v>663</v>
      </c>
      <c r="CF18">
        <v>1</v>
      </c>
      <c r="CR18" s="9"/>
      <c r="CU18" s="3" t="s">
        <v>664</v>
      </c>
      <c r="CV18">
        <v>1</v>
      </c>
      <c r="DH18" s="9"/>
      <c r="DK18" s="3" t="s">
        <v>665</v>
      </c>
      <c r="DL18">
        <v>1</v>
      </c>
      <c r="DX18" s="9"/>
      <c r="EA18" s="3" t="s">
        <v>666</v>
      </c>
      <c r="EB18">
        <v>1</v>
      </c>
      <c r="EN18" s="9"/>
      <c r="EQ18" s="3" t="s">
        <v>667</v>
      </c>
      <c r="ER18">
        <v>1</v>
      </c>
      <c r="FD18" s="9"/>
      <c r="FG18" s="3" t="s">
        <v>668</v>
      </c>
      <c r="FH18">
        <v>1</v>
      </c>
      <c r="FT18" s="9"/>
      <c r="FW18" s="3" t="s">
        <v>669</v>
      </c>
      <c r="FX18">
        <v>1</v>
      </c>
      <c r="GJ18" s="9"/>
      <c r="GM18" s="3" t="s">
        <v>670</v>
      </c>
      <c r="GN18">
        <v>1</v>
      </c>
      <c r="GZ18" s="9"/>
      <c r="HC18" s="3" t="s">
        <v>671</v>
      </c>
      <c r="HD18">
        <v>1</v>
      </c>
      <c r="HP18" s="9"/>
      <c r="HS18" s="3" t="s">
        <v>672</v>
      </c>
      <c r="HT18">
        <v>1</v>
      </c>
      <c r="IF18" s="9"/>
      <c r="II18" s="3" t="s">
        <v>673</v>
      </c>
      <c r="IJ18">
        <v>1</v>
      </c>
      <c r="IV18" s="9"/>
      <c r="IY18" s="3" t="s">
        <v>674</v>
      </c>
      <c r="IZ18">
        <v>1</v>
      </c>
      <c r="JL18" s="9"/>
      <c r="JO18" s="3" t="s">
        <v>675</v>
      </c>
      <c r="JP18">
        <v>1</v>
      </c>
      <c r="KB18" s="9"/>
      <c r="KE18" s="3"/>
      <c r="KR18" s="9"/>
      <c r="KU18" s="3"/>
      <c r="LH18" s="9"/>
      <c r="LK18" s="3"/>
      <c r="LX18" s="9"/>
      <c r="MA18" s="3"/>
      <c r="MN18" s="9"/>
      <c r="MQ18" s="3"/>
      <c r="ND18" s="9"/>
      <c r="NG18" s="3"/>
      <c r="NT18" s="9"/>
      <c r="NW18" s="3" t="s">
        <v>1496</v>
      </c>
      <c r="NX18">
        <v>1</v>
      </c>
      <c r="OJ18" s="9"/>
      <c r="PK18" s="3"/>
      <c r="QL18" s="3"/>
      <c r="QZ18" s="3"/>
      <c r="SB18" s="3"/>
    </row>
    <row r="19" spans="1:496" x14ac:dyDescent="0.2">
      <c r="A19" s="3" t="s">
        <v>676</v>
      </c>
      <c r="B19" s="3"/>
      <c r="O19" s="3"/>
      <c r="AG19" s="3"/>
      <c r="AY19" s="3" t="s">
        <v>677</v>
      </c>
      <c r="AZ19">
        <v>1</v>
      </c>
      <c r="BL19" s="9"/>
      <c r="BO19" s="3" t="s">
        <v>678</v>
      </c>
      <c r="BP19">
        <v>1</v>
      </c>
      <c r="CB19" s="9"/>
      <c r="CE19" s="3" t="s">
        <v>679</v>
      </c>
      <c r="CF19">
        <v>1</v>
      </c>
      <c r="CR19" s="9"/>
      <c r="CU19" s="3" t="s">
        <v>680</v>
      </c>
      <c r="CV19">
        <v>1</v>
      </c>
      <c r="DH19" s="9"/>
      <c r="DK19" s="3" t="s">
        <v>681</v>
      </c>
      <c r="DL19">
        <v>1</v>
      </c>
      <c r="DX19" s="9"/>
      <c r="EA19" s="3" t="s">
        <v>682</v>
      </c>
      <c r="EB19">
        <v>1</v>
      </c>
      <c r="EN19" s="9"/>
      <c r="EQ19" s="3" t="s">
        <v>683</v>
      </c>
      <c r="ER19">
        <v>1</v>
      </c>
      <c r="FD19" s="9"/>
      <c r="FG19" s="3" t="s">
        <v>684</v>
      </c>
      <c r="FH19">
        <v>0</v>
      </c>
      <c r="FT19" s="9"/>
      <c r="FW19" s="3" t="s">
        <v>685</v>
      </c>
      <c r="FX19">
        <v>1</v>
      </c>
      <c r="GJ19" s="9"/>
      <c r="GM19" s="3" t="s">
        <v>686</v>
      </c>
      <c r="GN19">
        <v>1</v>
      </c>
      <c r="GZ19" s="9"/>
      <c r="HC19" s="3" t="s">
        <v>687</v>
      </c>
      <c r="HD19">
        <v>1</v>
      </c>
      <c r="HP19" s="9"/>
      <c r="HS19" s="3" t="s">
        <v>688</v>
      </c>
      <c r="HT19">
        <v>1</v>
      </c>
      <c r="IF19" s="9"/>
      <c r="II19" s="3" t="s">
        <v>689</v>
      </c>
      <c r="IJ19">
        <v>1</v>
      </c>
      <c r="IV19" s="9"/>
      <c r="IY19" s="3" t="s">
        <v>690</v>
      </c>
      <c r="IZ19">
        <v>1</v>
      </c>
      <c r="JL19" s="9"/>
      <c r="JO19" s="3" t="s">
        <v>691</v>
      </c>
      <c r="JP19">
        <v>1</v>
      </c>
      <c r="KB19" s="9"/>
      <c r="KE19" s="3" t="s">
        <v>1499</v>
      </c>
      <c r="KF19">
        <v>1</v>
      </c>
      <c r="KR19" s="9"/>
      <c r="KU19" s="3" t="s">
        <v>1503</v>
      </c>
      <c r="KV19">
        <v>1</v>
      </c>
      <c r="LH19" s="9"/>
      <c r="LK19" s="3" t="s">
        <v>1502</v>
      </c>
      <c r="LL19">
        <v>1</v>
      </c>
      <c r="LX19" s="9"/>
      <c r="MA19" s="3" t="s">
        <v>1501</v>
      </c>
      <c r="MB19">
        <v>1</v>
      </c>
      <c r="MN19" s="9"/>
      <c r="MQ19" s="3" t="s">
        <v>1500</v>
      </c>
      <c r="MR19">
        <v>1</v>
      </c>
      <c r="ND19" s="9"/>
      <c r="NG19" s="3" t="s">
        <v>1498</v>
      </c>
      <c r="NH19">
        <v>1</v>
      </c>
      <c r="NT19" s="9"/>
      <c r="NW19" s="3" t="s">
        <v>1497</v>
      </c>
      <c r="NX19">
        <v>1</v>
      </c>
      <c r="OJ19" s="9"/>
      <c r="PK19" s="3"/>
      <c r="QL19" s="3"/>
      <c r="QZ19" s="3"/>
      <c r="SB19" s="3"/>
    </row>
    <row r="20" spans="1:496" x14ac:dyDescent="0.2">
      <c r="A20" s="3" t="s">
        <v>1961</v>
      </c>
      <c r="B20" s="3"/>
      <c r="AY20" s="3" t="s">
        <v>1895</v>
      </c>
      <c r="AZ20">
        <v>0</v>
      </c>
      <c r="BL20" s="9"/>
      <c r="BO20" s="3" t="s">
        <v>1896</v>
      </c>
      <c r="BP20">
        <v>0</v>
      </c>
      <c r="CB20" s="9"/>
      <c r="CE20" s="3" t="s">
        <v>1897</v>
      </c>
      <c r="CF20">
        <v>0</v>
      </c>
      <c r="CR20" s="9"/>
      <c r="CU20" s="3" t="s">
        <v>1898</v>
      </c>
      <c r="CV20">
        <v>0</v>
      </c>
      <c r="DH20" s="9"/>
      <c r="DK20" s="3" t="s">
        <v>1899</v>
      </c>
      <c r="DL20">
        <v>0</v>
      </c>
      <c r="DX20" s="9"/>
      <c r="EA20" s="3" t="s">
        <v>1900</v>
      </c>
      <c r="EB20">
        <v>0</v>
      </c>
      <c r="EN20" s="9"/>
      <c r="EQ20" s="3" t="s">
        <v>1901</v>
      </c>
      <c r="ER20">
        <v>0</v>
      </c>
      <c r="FD20" s="9"/>
      <c r="FG20" s="3" t="s">
        <v>1902</v>
      </c>
      <c r="FH20">
        <v>0</v>
      </c>
      <c r="FT20" s="9"/>
      <c r="FW20" s="3" t="s">
        <v>1903</v>
      </c>
      <c r="FX20">
        <v>0</v>
      </c>
      <c r="GJ20" s="9"/>
      <c r="GM20" s="3" t="s">
        <v>1904</v>
      </c>
      <c r="GN20">
        <v>0</v>
      </c>
      <c r="GZ20" s="9"/>
      <c r="HC20" s="3" t="s">
        <v>1905</v>
      </c>
      <c r="HD20">
        <v>0</v>
      </c>
      <c r="HP20" s="9"/>
      <c r="HS20" s="3" t="s">
        <v>1906</v>
      </c>
      <c r="HT20">
        <v>0</v>
      </c>
      <c r="IF20" s="9"/>
      <c r="II20" s="3" t="s">
        <v>1907</v>
      </c>
      <c r="IJ20">
        <v>0</v>
      </c>
      <c r="IV20" s="9"/>
      <c r="IY20" s="3" t="s">
        <v>1908</v>
      </c>
      <c r="IZ20">
        <v>0</v>
      </c>
      <c r="JL20" s="9"/>
      <c r="JO20" s="3" t="s">
        <v>1909</v>
      </c>
      <c r="JP20">
        <v>0</v>
      </c>
      <c r="KB20" s="9"/>
      <c r="KE20" s="3" t="s">
        <v>1910</v>
      </c>
      <c r="KF20">
        <v>0</v>
      </c>
      <c r="KR20" s="9"/>
      <c r="KU20" s="3" t="s">
        <v>1911</v>
      </c>
      <c r="KV20">
        <v>0</v>
      </c>
      <c r="LH20" s="9"/>
      <c r="LK20" s="3" t="s">
        <v>1912</v>
      </c>
      <c r="LL20">
        <v>0</v>
      </c>
      <c r="LX20" s="9"/>
      <c r="MA20" s="3" t="s">
        <v>1913</v>
      </c>
      <c r="MB20">
        <v>0</v>
      </c>
      <c r="MN20" s="9"/>
      <c r="MQ20" s="3" t="s">
        <v>1914</v>
      </c>
      <c r="MR20">
        <v>0</v>
      </c>
      <c r="ND20" s="9"/>
      <c r="NG20" s="3" t="s">
        <v>1915</v>
      </c>
      <c r="NH20">
        <v>0</v>
      </c>
      <c r="NT20" s="9"/>
      <c r="NW20" s="3" t="s">
        <v>1916</v>
      </c>
      <c r="NX20">
        <v>0</v>
      </c>
      <c r="OJ20" s="9"/>
    </row>
    <row r="21" spans="1:496" x14ac:dyDescent="0.2">
      <c r="B21" s="3"/>
      <c r="BL21" s="9"/>
      <c r="CB21" s="9"/>
      <c r="CR21" s="9"/>
      <c r="DH21" s="9"/>
      <c r="DX21" s="9"/>
      <c r="EN21" s="9"/>
      <c r="FD21" s="9"/>
      <c r="FT21" s="9"/>
      <c r="GJ21" s="9"/>
      <c r="GZ21" s="9"/>
      <c r="HP21" s="9"/>
      <c r="IF21" s="9"/>
      <c r="IV21" s="9"/>
      <c r="JL21" s="9"/>
      <c r="KB21" s="9"/>
      <c r="KR21" s="9"/>
      <c r="LH21" s="9"/>
      <c r="LX21" s="9"/>
      <c r="MN21" s="9"/>
      <c r="ND21" s="9"/>
      <c r="NT21" s="9"/>
      <c r="OJ21" s="9"/>
    </row>
    <row r="22" spans="1:496" hidden="1" x14ac:dyDescent="0.2">
      <c r="BL22" s="9"/>
      <c r="CB22" s="9"/>
      <c r="CR22" s="9"/>
      <c r="DH22" s="9"/>
      <c r="DX22" s="9"/>
      <c r="EN22" s="9"/>
      <c r="FD22" s="9"/>
      <c r="FT22" s="9"/>
      <c r="GJ22" s="9"/>
      <c r="GZ22" s="9"/>
      <c r="HP22" s="9"/>
      <c r="IF22" s="9"/>
      <c r="IV22" s="9"/>
      <c r="JL22" s="9"/>
      <c r="KB22" s="9"/>
      <c r="KR22" s="9"/>
      <c r="LH22" s="9"/>
      <c r="LX22" s="9"/>
      <c r="MN22" s="9"/>
      <c r="ND22" s="9"/>
      <c r="NT22" s="9"/>
      <c r="OJ22" s="9"/>
    </row>
    <row r="23" spans="1:496" hidden="1" x14ac:dyDescent="0.2">
      <c r="BL23" s="9"/>
      <c r="CB23" s="9"/>
      <c r="CR23" s="9"/>
      <c r="DH23" s="9"/>
      <c r="DX23" s="9"/>
      <c r="EN23" s="9"/>
      <c r="FD23" s="9"/>
      <c r="FT23" s="9"/>
      <c r="GJ23" s="9"/>
      <c r="GZ23" s="9"/>
      <c r="HP23" s="9"/>
      <c r="IF23" s="9"/>
      <c r="IV23" s="9"/>
      <c r="JL23" s="9"/>
      <c r="KB23" s="9"/>
      <c r="KR23" s="9"/>
      <c r="LH23" s="9"/>
      <c r="LX23" s="9"/>
      <c r="MN23" s="9"/>
      <c r="ND23" s="9"/>
      <c r="NT23" s="9"/>
      <c r="OJ23" s="9"/>
    </row>
    <row r="24" spans="1:496" hidden="1" x14ac:dyDescent="0.2">
      <c r="BL24" s="9"/>
      <c r="CB24" s="9"/>
      <c r="CR24" s="9"/>
      <c r="DH24" s="9"/>
      <c r="DX24" s="9"/>
      <c r="EN24" s="9"/>
      <c r="FD24" s="9"/>
      <c r="FT24" s="9"/>
      <c r="GJ24" s="9"/>
      <c r="GZ24" s="9"/>
      <c r="HP24" s="9"/>
      <c r="IF24" s="9"/>
      <c r="IV24" s="9"/>
      <c r="JL24" s="9"/>
      <c r="KB24" s="9"/>
      <c r="KR24" s="9"/>
      <c r="LH24" s="9"/>
      <c r="LX24" s="9"/>
      <c r="MN24" s="9"/>
      <c r="ND24" s="9"/>
      <c r="NT24" s="9"/>
      <c r="OJ24" s="9"/>
    </row>
    <row r="25" spans="1:496" hidden="1" x14ac:dyDescent="0.2">
      <c r="BL25" s="9"/>
      <c r="CB25" s="9"/>
      <c r="CR25" s="9"/>
      <c r="DH25" s="9"/>
      <c r="DX25" s="9"/>
      <c r="EN25" s="9"/>
      <c r="FD25" s="9"/>
      <c r="FT25" s="9"/>
      <c r="GJ25" s="9"/>
      <c r="GZ25" s="9"/>
      <c r="HP25" s="9"/>
      <c r="IF25" s="9"/>
      <c r="IV25" s="9"/>
      <c r="JL25" s="9"/>
      <c r="KB25" s="9"/>
      <c r="KR25" s="9"/>
      <c r="LH25" s="9"/>
      <c r="LX25" s="9"/>
      <c r="MN25" s="9"/>
      <c r="ND25" s="9"/>
      <c r="NT25" s="9"/>
      <c r="OJ25" s="9"/>
    </row>
    <row r="26" spans="1:496" hidden="1" x14ac:dyDescent="0.2">
      <c r="BL26" s="9"/>
      <c r="CB26" s="9"/>
      <c r="CR26" s="9"/>
      <c r="DH26" s="9"/>
      <c r="DX26" s="9"/>
      <c r="EN26" s="9"/>
      <c r="FD26" s="9"/>
      <c r="FT26" s="9"/>
      <c r="GJ26" s="9"/>
      <c r="GZ26" s="9"/>
      <c r="HP26" s="9"/>
      <c r="IF26" s="9"/>
      <c r="IV26" s="9"/>
      <c r="JL26" s="9"/>
      <c r="KB26" s="9"/>
      <c r="KR26" s="9"/>
      <c r="LH26" s="9"/>
      <c r="LX26" s="9"/>
      <c r="MN26" s="9"/>
      <c r="ND26" s="9"/>
      <c r="NT26" s="9"/>
      <c r="OJ26" s="9"/>
    </row>
    <row r="27" spans="1:496" hidden="1" x14ac:dyDescent="0.2">
      <c r="BL27" s="9"/>
      <c r="CB27" s="9"/>
      <c r="CR27" s="9"/>
      <c r="DH27" s="9"/>
      <c r="DX27" s="9"/>
      <c r="EN27" s="9"/>
      <c r="FD27" s="9"/>
      <c r="FT27" s="9"/>
      <c r="GJ27" s="9"/>
      <c r="GZ27" s="9"/>
      <c r="HP27" s="9"/>
      <c r="IF27" s="9"/>
      <c r="IV27" s="9"/>
      <c r="JL27" s="9"/>
      <c r="KB27" s="9"/>
      <c r="KR27" s="9"/>
      <c r="LH27" s="9"/>
      <c r="LX27" s="9"/>
      <c r="MN27" s="9"/>
      <c r="ND27" s="9"/>
      <c r="NT27" s="9"/>
      <c r="OJ27" s="9"/>
    </row>
    <row r="28" spans="1:496" hidden="1" x14ac:dyDescent="0.2">
      <c r="BL28" s="9"/>
      <c r="CB28" s="9"/>
      <c r="CR28" s="9"/>
      <c r="DH28" s="9"/>
      <c r="DX28" s="9"/>
      <c r="EN28" s="9"/>
      <c r="FD28" s="9"/>
      <c r="FT28" s="9"/>
      <c r="GJ28" s="9"/>
      <c r="GZ28" s="9"/>
      <c r="HP28" s="9"/>
      <c r="IF28" s="9"/>
      <c r="IV28" s="9"/>
      <c r="JL28" s="9"/>
      <c r="KB28" s="9"/>
      <c r="KR28" s="9"/>
      <c r="LH28" s="9"/>
      <c r="LX28" s="9"/>
      <c r="MN28" s="9"/>
      <c r="ND28" s="9"/>
      <c r="NT28" s="9"/>
      <c r="OJ28" s="9"/>
    </row>
    <row r="29" spans="1:496" hidden="1" x14ac:dyDescent="0.2">
      <c r="BL29" s="9"/>
      <c r="CB29" s="9"/>
      <c r="CR29" s="9"/>
      <c r="DH29" s="9"/>
      <c r="DX29" s="9"/>
      <c r="EN29" s="9"/>
      <c r="FD29" s="9"/>
      <c r="FT29" s="9"/>
      <c r="GJ29" s="9"/>
      <c r="GZ29" s="9"/>
      <c r="HP29" s="9"/>
      <c r="IF29" s="9"/>
      <c r="IV29" s="9"/>
      <c r="JL29" s="9"/>
      <c r="KB29" s="9"/>
      <c r="KR29" s="9"/>
      <c r="LH29" s="9"/>
      <c r="LX29" s="9"/>
      <c r="MN29" s="9"/>
      <c r="ND29" s="9"/>
      <c r="NT29" s="9"/>
      <c r="OJ29" s="9"/>
    </row>
    <row r="30" spans="1:496" hidden="1" x14ac:dyDescent="0.2">
      <c r="BL30" s="9"/>
      <c r="CB30" s="9"/>
      <c r="CR30" s="9"/>
      <c r="DH30" s="9"/>
      <c r="DX30" s="9"/>
      <c r="EN30" s="9"/>
      <c r="FD30" s="9"/>
      <c r="FT30" s="9"/>
      <c r="GJ30" s="9"/>
      <c r="GZ30" s="9"/>
      <c r="HP30" s="9"/>
      <c r="IF30" s="9"/>
      <c r="IV30" s="9"/>
      <c r="JL30" s="9"/>
      <c r="KB30" s="9"/>
      <c r="KR30" s="9"/>
      <c r="LH30" s="9"/>
      <c r="LX30" s="9"/>
      <c r="MN30" s="9"/>
      <c r="ND30" s="9"/>
      <c r="NT30" s="9"/>
      <c r="OJ30" s="9"/>
    </row>
    <row r="31" spans="1:496" hidden="1" x14ac:dyDescent="0.2">
      <c r="BL31" s="9"/>
      <c r="CB31" s="9"/>
      <c r="CR31" s="9"/>
      <c r="DH31" s="9"/>
      <c r="DX31" s="9"/>
      <c r="EN31" s="9"/>
      <c r="FD31" s="9"/>
      <c r="FT31" s="9"/>
      <c r="GJ31" s="9"/>
      <c r="GZ31" s="9"/>
      <c r="HP31" s="9"/>
      <c r="IF31" s="9"/>
      <c r="IV31" s="9"/>
      <c r="JL31" s="9"/>
      <c r="KB31" s="9"/>
      <c r="KR31" s="9"/>
      <c r="LH31" s="9"/>
      <c r="LX31" s="9"/>
      <c r="MN31" s="9"/>
      <c r="ND31" s="9"/>
      <c r="NT31" s="9"/>
      <c r="OJ31" s="9"/>
    </row>
    <row r="32" spans="1:496" hidden="1" x14ac:dyDescent="0.2">
      <c r="BL32" s="9"/>
      <c r="CB32" s="9"/>
      <c r="CR32" s="9"/>
      <c r="DH32" s="9"/>
      <c r="DX32" s="9"/>
      <c r="EN32" s="9"/>
      <c r="FD32" s="9"/>
      <c r="FT32" s="9"/>
      <c r="GJ32" s="9"/>
      <c r="GZ32" s="9"/>
      <c r="HP32" s="9"/>
      <c r="IF32" s="9"/>
      <c r="IV32" s="9"/>
      <c r="JL32" s="9"/>
      <c r="KB32" s="9"/>
      <c r="KR32" s="9"/>
      <c r="LH32" s="9"/>
      <c r="LX32" s="9"/>
      <c r="MN32" s="9"/>
      <c r="ND32" s="9"/>
      <c r="NT32" s="9"/>
      <c r="OJ32" s="9"/>
    </row>
    <row r="33" spans="64:400" hidden="1" x14ac:dyDescent="0.2">
      <c r="BL33" s="9"/>
      <c r="CB33" s="9"/>
      <c r="CR33" s="9"/>
      <c r="DH33" s="9"/>
      <c r="DX33" s="9"/>
      <c r="EN33" s="9"/>
      <c r="FD33" s="9"/>
      <c r="FT33" s="9"/>
      <c r="GJ33" s="9"/>
      <c r="GZ33" s="9"/>
      <c r="HP33" s="9"/>
      <c r="IF33" s="9"/>
      <c r="IV33" s="9"/>
      <c r="JL33" s="9"/>
      <c r="KB33" s="9"/>
      <c r="KR33" s="9"/>
      <c r="LH33" s="9"/>
      <c r="LX33" s="9"/>
      <c r="MN33" s="9"/>
      <c r="ND33" s="9"/>
      <c r="NT33" s="9"/>
      <c r="OJ33" s="9"/>
    </row>
    <row r="34" spans="64:400" hidden="1" x14ac:dyDescent="0.2">
      <c r="BL34" s="9"/>
      <c r="CB34" s="9"/>
      <c r="CR34" s="9"/>
      <c r="DH34" s="9"/>
      <c r="DX34" s="9"/>
      <c r="EN34" s="9"/>
      <c r="FD34" s="9"/>
      <c r="FT34" s="9"/>
      <c r="GJ34" s="9"/>
      <c r="GZ34" s="9"/>
      <c r="HP34" s="9"/>
      <c r="IF34" s="9"/>
      <c r="IV34" s="9"/>
      <c r="JL34" s="9"/>
      <c r="KB34" s="9"/>
      <c r="KR34" s="9"/>
      <c r="LH34" s="9"/>
      <c r="LX34" s="9"/>
      <c r="MN34" s="9"/>
      <c r="ND34" s="9"/>
      <c r="NT34" s="9"/>
      <c r="OJ34" s="9"/>
    </row>
    <row r="35" spans="64:400" hidden="1" x14ac:dyDescent="0.2">
      <c r="BL35" s="9"/>
      <c r="CB35" s="9"/>
      <c r="CR35" s="9"/>
      <c r="DH35" s="9"/>
      <c r="DX35" s="9"/>
      <c r="EN35" s="9"/>
      <c r="FD35" s="9"/>
      <c r="FT35" s="9"/>
      <c r="GJ35" s="9"/>
      <c r="GZ35" s="9"/>
      <c r="HP35" s="9"/>
      <c r="IF35" s="9"/>
      <c r="IV35" s="9"/>
      <c r="JL35" s="9"/>
      <c r="KB35" s="9"/>
      <c r="KR35" s="9"/>
      <c r="LH35" s="9"/>
      <c r="LX35" s="9"/>
      <c r="MN35" s="9"/>
      <c r="ND35" s="9"/>
      <c r="NT35" s="9"/>
      <c r="OJ35" s="9"/>
    </row>
    <row r="36" spans="64:400" hidden="1" x14ac:dyDescent="0.2">
      <c r="BL36" s="9"/>
      <c r="CB36" s="9"/>
      <c r="CR36" s="9"/>
      <c r="DH36" s="9"/>
      <c r="DX36" s="9"/>
      <c r="EN36" s="9"/>
      <c r="FD36" s="9"/>
      <c r="FT36" s="9"/>
      <c r="GJ36" s="9"/>
      <c r="GZ36" s="9"/>
      <c r="HP36" s="9"/>
      <c r="IF36" s="9"/>
      <c r="IV36" s="9"/>
      <c r="JL36" s="9"/>
      <c r="KB36" s="9"/>
      <c r="KR36" s="9"/>
      <c r="LH36" s="9"/>
      <c r="LX36" s="9"/>
      <c r="MN36" s="9"/>
      <c r="ND36" s="9"/>
      <c r="NT36" s="9"/>
      <c r="OJ36" s="9"/>
    </row>
    <row r="37" spans="64:400" hidden="1" x14ac:dyDescent="0.2">
      <c r="BL37" s="9"/>
      <c r="CB37" s="9"/>
      <c r="CR37" s="9"/>
      <c r="DH37" s="9"/>
      <c r="DX37" s="9"/>
      <c r="EN37" s="9"/>
      <c r="FD37" s="9"/>
      <c r="FT37" s="9"/>
      <c r="GJ37" s="9"/>
      <c r="GZ37" s="9"/>
      <c r="HP37" s="9"/>
      <c r="IF37" s="9"/>
      <c r="IV37" s="9"/>
      <c r="JL37" s="9"/>
      <c r="KB37" s="9"/>
      <c r="KR37" s="9"/>
      <c r="LH37" s="9"/>
      <c r="LX37" s="9"/>
      <c r="MN37" s="9"/>
      <c r="ND37" s="9"/>
      <c r="NT37" s="9"/>
      <c r="OJ37" s="9"/>
    </row>
    <row r="38" spans="64:400" hidden="1" x14ac:dyDescent="0.2">
      <c r="BL38" s="9"/>
      <c r="CB38" s="9"/>
      <c r="CR38" s="9"/>
      <c r="DH38" s="9"/>
      <c r="DX38" s="9"/>
      <c r="EN38" s="9"/>
      <c r="FD38" s="9"/>
      <c r="FT38" s="9"/>
      <c r="GJ38" s="9"/>
      <c r="GZ38" s="9"/>
      <c r="HP38" s="9"/>
      <c r="IF38" s="9"/>
      <c r="IV38" s="9"/>
      <c r="JL38" s="9"/>
      <c r="KB38" s="9"/>
      <c r="KR38" s="9"/>
      <c r="LH38" s="9"/>
      <c r="LX38" s="9"/>
      <c r="MN38" s="9"/>
      <c r="ND38" s="9"/>
      <c r="NT38" s="9"/>
      <c r="OJ38" s="9"/>
    </row>
    <row r="39" spans="64:400" hidden="1" x14ac:dyDescent="0.2">
      <c r="BL39" s="9"/>
      <c r="CB39" s="9"/>
      <c r="CR39" s="9"/>
      <c r="DH39" s="9"/>
      <c r="DX39" s="9"/>
      <c r="EN39" s="9"/>
      <c r="FD39" s="9"/>
      <c r="FT39" s="9"/>
      <c r="GJ39" s="9"/>
      <c r="GZ39" s="9"/>
      <c r="HP39" s="9"/>
      <c r="IF39" s="9"/>
      <c r="IV39" s="9"/>
      <c r="JL39" s="9"/>
      <c r="KB39" s="9"/>
      <c r="KR39" s="9"/>
      <c r="LH39" s="9"/>
      <c r="LX39" s="9"/>
      <c r="MN39" s="9"/>
      <c r="ND39" s="9"/>
      <c r="NT39" s="9"/>
      <c r="OJ39" s="9"/>
    </row>
    <row r="40" spans="64:400" hidden="1" x14ac:dyDescent="0.2">
      <c r="BL40" s="9"/>
      <c r="CB40" s="9"/>
      <c r="CR40" s="9"/>
      <c r="DH40" s="9"/>
      <c r="DX40" s="9"/>
      <c r="EN40" s="9"/>
      <c r="FD40" s="9"/>
      <c r="FT40" s="9"/>
      <c r="GJ40" s="9"/>
      <c r="GZ40" s="9"/>
      <c r="HP40" s="9"/>
      <c r="IF40" s="9"/>
      <c r="IV40" s="9"/>
      <c r="JL40" s="9"/>
      <c r="KB40" s="9"/>
      <c r="KR40" s="9"/>
      <c r="LH40" s="9"/>
      <c r="LX40" s="9"/>
      <c r="MN40" s="9"/>
      <c r="ND40" s="9"/>
      <c r="NT40" s="9"/>
      <c r="OJ40" s="9"/>
    </row>
    <row r="41" spans="64:400" hidden="1" x14ac:dyDescent="0.2">
      <c r="BL41" s="9"/>
      <c r="CB41" s="9"/>
      <c r="CR41" s="9"/>
      <c r="DH41" s="9"/>
      <c r="DX41" s="9"/>
      <c r="EN41" s="9"/>
      <c r="FD41" s="9"/>
      <c r="FT41" s="9"/>
      <c r="GJ41" s="9"/>
      <c r="GZ41" s="9"/>
      <c r="HP41" s="9"/>
      <c r="IF41" s="9"/>
      <c r="IV41" s="9"/>
      <c r="JL41" s="9"/>
      <c r="KB41" s="9"/>
      <c r="KR41" s="9"/>
      <c r="LH41" s="9"/>
      <c r="LX41" s="9"/>
      <c r="MN41" s="9"/>
      <c r="ND41" s="9"/>
      <c r="NT41" s="9"/>
      <c r="OJ41" s="9"/>
    </row>
    <row r="42" spans="64:400" hidden="1" x14ac:dyDescent="0.2">
      <c r="BL42" s="9"/>
      <c r="CB42" s="9"/>
      <c r="CR42" s="9"/>
      <c r="DH42" s="9"/>
      <c r="DX42" s="9"/>
      <c r="EN42" s="9"/>
      <c r="FD42" s="9"/>
      <c r="FT42" s="9"/>
      <c r="GJ42" s="9"/>
      <c r="GZ42" s="9"/>
      <c r="HP42" s="9"/>
      <c r="IF42" s="9"/>
      <c r="IV42" s="9"/>
      <c r="JL42" s="9"/>
      <c r="KB42" s="9"/>
      <c r="KR42" s="9"/>
      <c r="LH42" s="9"/>
      <c r="LX42" s="9"/>
      <c r="MN42" s="9"/>
      <c r="ND42" s="9"/>
      <c r="NT42" s="9"/>
      <c r="OJ42" s="9"/>
    </row>
    <row r="43" spans="64:400" hidden="1" x14ac:dyDescent="0.2">
      <c r="BL43" s="9"/>
      <c r="CB43" s="9"/>
      <c r="CR43" s="9"/>
      <c r="DH43" s="9"/>
      <c r="DX43" s="9"/>
      <c r="EN43" s="9"/>
      <c r="FD43" s="9"/>
      <c r="FT43" s="9"/>
      <c r="GJ43" s="9"/>
      <c r="GZ43" s="9"/>
      <c r="HP43" s="9"/>
      <c r="IF43" s="9"/>
      <c r="IV43" s="9"/>
      <c r="JL43" s="9"/>
      <c r="KB43" s="9"/>
      <c r="KR43" s="9"/>
      <c r="LH43" s="9"/>
      <c r="LX43" s="9"/>
      <c r="MN43" s="9"/>
      <c r="ND43" s="9"/>
      <c r="NT43" s="9"/>
      <c r="OJ43" s="9"/>
    </row>
    <row r="44" spans="64:400" hidden="1" x14ac:dyDescent="0.2">
      <c r="BL44" s="9"/>
      <c r="CB44" s="9"/>
      <c r="CR44" s="9"/>
      <c r="DH44" s="9"/>
      <c r="DX44" s="9"/>
      <c r="EN44" s="9"/>
      <c r="FD44" s="9"/>
      <c r="FT44" s="9"/>
      <c r="GJ44" s="9"/>
      <c r="GZ44" s="9"/>
      <c r="HP44" s="9"/>
      <c r="IF44" s="9"/>
      <c r="IV44" s="9"/>
      <c r="JL44" s="9"/>
      <c r="KB44" s="9"/>
      <c r="KR44" s="9"/>
      <c r="LH44" s="9"/>
      <c r="LX44" s="9"/>
      <c r="MN44" s="9"/>
      <c r="ND44" s="9"/>
      <c r="NT44" s="9"/>
      <c r="OJ44" s="9"/>
    </row>
    <row r="45" spans="64:400" hidden="1" x14ac:dyDescent="0.2">
      <c r="BL45" s="9"/>
      <c r="CB45" s="9"/>
      <c r="CR45" s="9"/>
      <c r="DH45" s="9"/>
      <c r="DX45" s="9"/>
      <c r="EN45" s="9"/>
      <c r="FD45" s="9"/>
      <c r="FT45" s="9"/>
      <c r="GJ45" s="9"/>
      <c r="GZ45" s="9"/>
      <c r="HP45" s="9"/>
      <c r="IF45" s="9"/>
      <c r="IV45" s="9"/>
      <c r="JL45" s="9"/>
      <c r="KB45" s="9"/>
      <c r="KR45" s="9"/>
      <c r="LH45" s="9"/>
      <c r="LX45" s="9"/>
      <c r="MN45" s="9"/>
      <c r="ND45" s="9"/>
      <c r="NT45" s="9"/>
      <c r="OJ45" s="9"/>
    </row>
    <row r="46" spans="64:400" hidden="1" x14ac:dyDescent="0.2">
      <c r="BL46" s="9"/>
      <c r="CB46" s="9"/>
      <c r="CR46" s="9"/>
      <c r="DH46" s="9"/>
      <c r="DX46" s="9"/>
      <c r="EN46" s="9"/>
      <c r="FD46" s="9"/>
      <c r="FT46" s="9"/>
      <c r="GJ46" s="9"/>
      <c r="GZ46" s="9"/>
      <c r="HP46" s="9"/>
      <c r="IF46" s="9"/>
      <c r="IV46" s="9"/>
      <c r="JL46" s="9"/>
      <c r="KB46" s="9"/>
      <c r="KR46" s="9"/>
      <c r="LH46" s="9"/>
      <c r="LX46" s="9"/>
      <c r="MN46" s="9"/>
      <c r="ND46" s="9"/>
      <c r="NT46" s="9"/>
      <c r="OJ46" s="9"/>
    </row>
    <row r="47" spans="64:400" hidden="1" x14ac:dyDescent="0.2">
      <c r="BL47" s="9"/>
      <c r="CB47" s="9"/>
      <c r="CR47" s="9"/>
      <c r="DH47" s="9"/>
      <c r="DX47" s="9"/>
      <c r="EN47" s="9"/>
      <c r="FD47" s="9"/>
      <c r="FT47" s="9"/>
      <c r="GJ47" s="9"/>
      <c r="GZ47" s="9"/>
      <c r="HP47" s="9"/>
      <c r="IF47" s="9"/>
      <c r="IV47" s="9"/>
      <c r="JL47" s="9"/>
      <c r="KB47" s="9"/>
      <c r="KR47" s="9"/>
      <c r="LH47" s="9"/>
      <c r="LX47" s="9"/>
      <c r="MN47" s="9"/>
      <c r="ND47" s="9"/>
      <c r="NT47" s="9"/>
      <c r="OJ47" s="9"/>
    </row>
    <row r="48" spans="64:400" hidden="1" x14ac:dyDescent="0.2">
      <c r="BL48" s="9"/>
      <c r="CB48" s="9"/>
      <c r="CR48" s="9"/>
      <c r="DH48" s="9"/>
      <c r="DX48" s="9"/>
      <c r="EN48" s="9"/>
      <c r="FD48" s="9"/>
      <c r="FT48" s="9"/>
      <c r="GJ48" s="9"/>
      <c r="GZ48" s="9"/>
      <c r="HP48" s="9"/>
      <c r="IF48" s="9"/>
      <c r="IV48" s="9"/>
      <c r="JL48" s="9"/>
      <c r="KB48" s="9"/>
      <c r="KR48" s="9"/>
      <c r="LH48" s="9"/>
      <c r="LX48" s="9"/>
      <c r="MN48" s="9"/>
      <c r="ND48" s="9"/>
      <c r="NT48" s="9"/>
      <c r="OJ48" s="9"/>
    </row>
    <row r="49" spans="1:401" hidden="1" x14ac:dyDescent="0.2">
      <c r="BL49" s="9"/>
      <c r="CB49" s="9"/>
      <c r="CR49" s="9"/>
      <c r="DH49" s="9"/>
      <c r="DX49" s="9"/>
      <c r="EN49" s="9"/>
      <c r="FD49" s="9"/>
      <c r="FT49" s="9"/>
      <c r="GJ49" s="9"/>
      <c r="GZ49" s="9"/>
      <c r="HP49" s="9"/>
      <c r="IF49" s="9"/>
      <c r="IV49" s="9"/>
      <c r="JL49" s="9"/>
      <c r="KB49" s="9"/>
      <c r="KR49" s="9"/>
      <c r="LH49" s="9"/>
      <c r="LX49" s="9"/>
      <c r="MN49" s="9"/>
      <c r="ND49" s="9"/>
      <c r="NT49" s="9"/>
      <c r="OJ49" s="9"/>
    </row>
    <row r="50" spans="1:401" hidden="1" x14ac:dyDescent="0.2">
      <c r="BL50" s="9"/>
      <c r="CB50" s="9"/>
      <c r="CR50" s="9"/>
      <c r="DH50" s="9"/>
      <c r="DX50" s="9"/>
      <c r="EN50" s="9"/>
      <c r="FD50" s="9"/>
      <c r="FT50" s="9"/>
      <c r="GJ50" s="9"/>
      <c r="GZ50" s="9"/>
      <c r="HP50" s="9"/>
      <c r="IF50" s="9"/>
      <c r="IV50" s="9"/>
      <c r="JL50" s="9"/>
      <c r="KB50" s="9"/>
      <c r="KR50" s="9"/>
      <c r="LH50" s="9"/>
      <c r="LX50" s="9"/>
      <c r="MN50" s="9"/>
      <c r="ND50" s="9"/>
      <c r="NT50" s="9"/>
      <c r="OJ50" s="9"/>
    </row>
    <row r="51" spans="1:401" hidden="1" x14ac:dyDescent="0.2">
      <c r="BL51" s="9"/>
      <c r="CB51" s="9"/>
      <c r="CR51" s="9"/>
      <c r="DH51" s="9"/>
      <c r="DX51" s="9"/>
      <c r="EN51" s="9"/>
      <c r="FD51" s="9"/>
      <c r="FT51" s="9"/>
      <c r="GJ51" s="9"/>
      <c r="GZ51" s="9"/>
      <c r="HP51" s="9"/>
      <c r="IF51" s="9"/>
      <c r="IV51" s="9"/>
      <c r="JL51" s="9"/>
      <c r="KB51" s="9"/>
      <c r="KR51" s="9"/>
      <c r="LH51" s="9"/>
      <c r="LX51" s="9"/>
      <c r="MN51" s="9"/>
      <c r="ND51" s="9"/>
      <c r="NT51" s="9"/>
      <c r="OJ51" s="9"/>
    </row>
    <row r="52" spans="1:401" hidden="1" x14ac:dyDescent="0.2">
      <c r="BL52" s="9"/>
      <c r="CB52" s="9"/>
      <c r="CR52" s="9"/>
      <c r="DH52" s="9"/>
      <c r="DX52" s="9"/>
      <c r="EN52" s="9"/>
      <c r="FD52" s="9"/>
      <c r="FT52" s="9"/>
      <c r="GJ52" s="9"/>
      <c r="GZ52" s="9"/>
      <c r="HP52" s="9"/>
      <c r="IF52" s="9"/>
      <c r="IV52" s="9"/>
      <c r="JL52" s="9"/>
      <c r="KB52" s="9"/>
      <c r="KR52" s="9"/>
      <c r="LH52" s="9"/>
      <c r="LX52" s="9"/>
      <c r="MN52" s="9"/>
      <c r="ND52" s="9"/>
      <c r="NT52" s="9"/>
      <c r="OJ52" s="9"/>
    </row>
    <row r="53" spans="1:401" hidden="1" x14ac:dyDescent="0.2">
      <c r="BL53" s="9"/>
      <c r="CB53" s="9"/>
      <c r="CR53" s="9"/>
      <c r="DH53" s="9"/>
      <c r="DX53" s="9"/>
      <c r="EN53" s="9"/>
      <c r="FD53" s="9"/>
      <c r="FT53" s="9"/>
      <c r="GJ53" s="9"/>
      <c r="GZ53" s="9"/>
      <c r="HP53" s="9"/>
      <c r="IF53" s="9"/>
      <c r="IV53" s="9"/>
      <c r="JL53" s="9"/>
      <c r="KB53" s="9"/>
      <c r="KR53" s="9"/>
      <c r="LH53" s="9"/>
      <c r="LX53" s="9"/>
      <c r="MN53" s="9"/>
      <c r="ND53" s="9"/>
      <c r="NT53" s="9"/>
      <c r="OJ53" s="9"/>
    </row>
    <row r="54" spans="1:401" hidden="1" x14ac:dyDescent="0.2">
      <c r="BL54" s="9"/>
      <c r="CB54" s="9"/>
      <c r="CR54" s="9"/>
      <c r="DH54" s="9"/>
      <c r="DX54" s="9"/>
      <c r="EN54" s="9"/>
      <c r="FD54" s="9"/>
      <c r="FT54" s="9"/>
      <c r="GJ54" s="9"/>
      <c r="GZ54" s="9"/>
      <c r="HP54" s="9"/>
      <c r="IF54" s="9"/>
      <c r="IV54" s="9"/>
      <c r="JL54" s="9"/>
      <c r="KB54" s="9"/>
      <c r="KR54" s="9"/>
      <c r="LH54" s="9"/>
      <c r="LX54" s="9"/>
      <c r="MN54" s="9"/>
      <c r="ND54" s="9"/>
      <c r="NT54" s="9"/>
      <c r="OJ54" s="9"/>
    </row>
    <row r="55" spans="1:401" hidden="1" x14ac:dyDescent="0.2">
      <c r="BL55" s="9"/>
      <c r="CB55" s="9"/>
      <c r="CR55" s="9"/>
      <c r="DH55" s="9"/>
      <c r="DX55" s="9"/>
      <c r="EN55" s="9"/>
      <c r="FD55" s="9"/>
      <c r="FT55" s="9"/>
      <c r="GJ55" s="9"/>
      <c r="GZ55" s="9"/>
      <c r="HP55" s="9"/>
      <c r="IF55" s="9"/>
      <c r="IV55" s="9"/>
      <c r="JL55" s="9"/>
      <c r="KB55" s="9"/>
      <c r="KR55" s="9"/>
      <c r="LH55" s="9"/>
      <c r="LX55" s="9"/>
      <c r="MN55" s="9"/>
      <c r="ND55" s="9"/>
      <c r="NT55" s="9"/>
      <c r="OJ55" s="9"/>
    </row>
    <row r="56" spans="1:401" hidden="1" x14ac:dyDescent="0.2">
      <c r="BL56" s="9"/>
      <c r="CB56" s="9"/>
      <c r="CR56" s="9"/>
      <c r="DH56" s="9"/>
      <c r="DX56" s="9"/>
      <c r="EN56" s="9"/>
      <c r="FD56" s="9"/>
      <c r="FT56" s="9"/>
      <c r="GJ56" s="9"/>
      <c r="GZ56" s="9"/>
      <c r="HP56" s="9"/>
      <c r="IF56" s="9"/>
      <c r="IV56" s="9"/>
      <c r="JL56" s="9"/>
      <c r="KB56" s="9"/>
      <c r="KR56" s="9"/>
      <c r="LH56" s="9"/>
      <c r="LX56" s="9"/>
      <c r="MN56" s="9"/>
      <c r="ND56" s="9"/>
      <c r="NT56" s="9"/>
      <c r="OJ56" s="9"/>
    </row>
    <row r="57" spans="1:401" hidden="1" x14ac:dyDescent="0.2">
      <c r="BL57" s="9"/>
      <c r="CB57" s="9"/>
      <c r="CR57" s="9"/>
      <c r="DH57" s="9"/>
      <c r="DX57" s="9"/>
      <c r="EN57" s="9"/>
      <c r="FD57" s="9"/>
      <c r="FT57" s="9"/>
      <c r="GJ57" s="9"/>
      <c r="GZ57" s="9"/>
      <c r="HP57" s="9"/>
      <c r="IF57" s="9"/>
      <c r="IV57" s="9"/>
      <c r="JL57" s="9"/>
      <c r="KB57" s="9"/>
      <c r="KR57" s="9"/>
      <c r="LH57" s="9"/>
      <c r="LX57" s="9"/>
      <c r="MN57" s="9"/>
      <c r="ND57" s="9"/>
      <c r="NT57" s="9"/>
      <c r="OJ57" s="9"/>
    </row>
    <row r="58" spans="1:401" hidden="1" x14ac:dyDescent="0.2">
      <c r="BL58" s="9"/>
      <c r="CB58" s="9"/>
      <c r="CR58" s="9"/>
      <c r="DH58" s="9"/>
      <c r="DX58" s="9"/>
      <c r="EN58" s="9"/>
      <c r="FD58" s="9"/>
      <c r="FT58" s="9"/>
      <c r="GJ58" s="9"/>
      <c r="GZ58" s="9"/>
      <c r="HP58" s="9"/>
      <c r="IF58" s="9"/>
      <c r="IV58" s="9"/>
      <c r="JL58" s="9"/>
      <c r="KB58" s="9"/>
      <c r="KR58" s="9"/>
      <c r="LH58" s="9"/>
      <c r="LX58" s="9"/>
      <c r="MN58" s="9"/>
      <c r="ND58" s="9"/>
      <c r="NT58" s="9"/>
      <c r="OJ58" s="9"/>
    </row>
    <row r="59" spans="1:401" hidden="1" x14ac:dyDescent="0.2">
      <c r="BL59" s="9"/>
      <c r="CB59" s="9"/>
      <c r="CR59" s="9"/>
      <c r="DH59" s="9"/>
      <c r="DX59" s="9"/>
      <c r="EN59" s="9"/>
      <c r="FD59" s="9"/>
      <c r="FT59" s="9"/>
      <c r="GJ59" s="9"/>
      <c r="GZ59" s="9"/>
      <c r="HP59" s="9"/>
      <c r="IF59" s="9"/>
      <c r="IV59" s="9"/>
      <c r="JL59" s="9"/>
      <c r="KB59" s="9"/>
      <c r="KR59" s="9"/>
      <c r="LH59" s="9"/>
      <c r="LX59" s="9"/>
      <c r="MN59" s="9"/>
      <c r="ND59" s="9"/>
      <c r="NT59" s="9"/>
      <c r="OJ59" s="9"/>
    </row>
    <row r="60" spans="1:401" hidden="1" x14ac:dyDescent="0.2">
      <c r="BL60" s="9"/>
      <c r="CB60" s="9"/>
      <c r="CR60" s="9"/>
      <c r="DH60" s="9"/>
      <c r="DX60" s="9"/>
      <c r="EN60" s="9"/>
      <c r="FD60" s="9"/>
      <c r="FT60" s="9"/>
      <c r="GJ60" s="9"/>
      <c r="GZ60" s="9"/>
      <c r="HP60" s="9"/>
      <c r="IF60" s="9"/>
      <c r="IV60" s="9"/>
      <c r="JL60" s="9"/>
      <c r="KB60" s="9"/>
      <c r="KR60" s="9"/>
      <c r="LH60" s="9"/>
      <c r="LX60" s="9"/>
      <c r="MN60" s="9"/>
      <c r="ND60" s="9"/>
      <c r="NT60" s="9"/>
      <c r="OJ60" s="9"/>
    </row>
    <row r="61" spans="1:401" hidden="1" x14ac:dyDescent="0.2">
      <c r="BL61" s="9"/>
      <c r="CB61" s="9"/>
      <c r="CR61" s="9"/>
      <c r="DH61" s="9"/>
      <c r="DX61" s="9"/>
      <c r="EN61" s="9"/>
      <c r="FD61" s="9"/>
      <c r="FT61" s="9"/>
      <c r="GJ61" s="9"/>
      <c r="GZ61" s="9"/>
      <c r="HP61" s="9"/>
      <c r="IF61" s="9"/>
      <c r="IV61" s="9"/>
      <c r="JL61" s="9"/>
      <c r="KB61" s="9"/>
      <c r="KR61" s="9"/>
      <c r="LH61" s="9"/>
      <c r="LX61" s="9"/>
      <c r="MN61" s="9"/>
      <c r="ND61" s="9"/>
      <c r="NT61" s="9"/>
      <c r="OJ61" s="9"/>
    </row>
    <row r="62" spans="1:401" x14ac:dyDescent="0.2">
      <c r="AZ62" s="16"/>
      <c r="BA62" s="16"/>
      <c r="BB62" s="30"/>
      <c r="BC62" s="16"/>
      <c r="BD62" s="30"/>
      <c r="BE62" s="30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30"/>
      <c r="BS62" s="16"/>
      <c r="BT62" s="30"/>
      <c r="BU62" s="30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30"/>
      <c r="CG62" s="16"/>
      <c r="CH62" s="16"/>
      <c r="CI62" s="16"/>
      <c r="CJ62" s="16"/>
      <c r="CK62" s="30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30"/>
      <c r="CZ62" s="16"/>
      <c r="DA62" s="30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30"/>
      <c r="DM62" s="16"/>
      <c r="DN62" s="16"/>
      <c r="DO62" s="16"/>
      <c r="DP62" s="29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29"/>
      <c r="EE62" s="30"/>
      <c r="EF62" s="16"/>
      <c r="EG62" s="30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30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30"/>
      <c r="FI62" s="16"/>
      <c r="FJ62" s="16"/>
      <c r="FK62" s="16"/>
      <c r="FL62" s="30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29"/>
      <c r="GA62" s="30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30"/>
      <c r="GR62" s="16"/>
      <c r="GS62" s="30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30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30"/>
      <c r="HU62" s="16"/>
      <c r="HV62" s="16"/>
      <c r="HW62" s="29"/>
      <c r="HX62" s="29"/>
      <c r="HY62" s="29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29"/>
      <c r="IN62" s="16"/>
      <c r="IO62" s="29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29"/>
      <c r="JL62" s="9"/>
      <c r="KB62" s="9"/>
      <c r="KR62" s="9"/>
      <c r="LH62" s="9"/>
      <c r="LX62" s="9"/>
      <c r="MN62" s="9"/>
      <c r="ND62" s="9"/>
      <c r="NT62" s="9"/>
      <c r="OJ62" s="9"/>
    </row>
    <row r="63" spans="1:401" x14ac:dyDescent="0.2">
      <c r="A63" s="5" t="s">
        <v>45</v>
      </c>
      <c r="AH63" s="12"/>
      <c r="AI63" s="12"/>
      <c r="AJ63" s="12"/>
      <c r="AK63" s="12"/>
      <c r="AL63" s="12"/>
      <c r="AM63" s="12"/>
      <c r="AN63" s="12"/>
      <c r="AO63" s="12"/>
      <c r="AP63" s="12"/>
      <c r="BL63" s="9"/>
      <c r="CB63" s="9"/>
      <c r="CR63" s="9"/>
      <c r="DH63" s="9"/>
      <c r="DX63" s="9"/>
      <c r="EN63" s="9"/>
      <c r="FD63" s="9"/>
      <c r="FT63" s="9"/>
      <c r="GJ63" s="9"/>
      <c r="GZ63" s="9"/>
      <c r="HP63" s="9"/>
      <c r="IF63" s="9"/>
      <c r="IV63" s="9"/>
      <c r="JL63" s="9"/>
      <c r="KB63" s="9"/>
      <c r="KR63" s="9"/>
      <c r="LH63" s="9"/>
      <c r="LX63" s="9"/>
      <c r="MN63" s="9"/>
      <c r="ND63" s="9"/>
      <c r="NT63" s="9"/>
      <c r="OJ63" s="9"/>
    </row>
    <row r="64" spans="1:401" x14ac:dyDescent="0.2">
      <c r="A64" t="s">
        <v>1292</v>
      </c>
      <c r="B64" s="12">
        <f>P64+AH64+AZ64+BP64+CF64+CV64+DL64+EB64+ER64+FH64+FX64+GN64+HD64+HT64+IJ64+IZ64+JP64+KF64+KV64+LL64+MB64+MR64+NH64+NX64</f>
        <v>0</v>
      </c>
      <c r="C64" s="12">
        <f t="shared" ref="C64:J69" si="309">Q64+AI64+BA64+BQ64+CG64+CW64+DM64+EC64+ES64+FI64+FY64+GO64+HE64+HU64+IK64+JA64+JQ64+KG64+KW64+LM64+MC64+MS64+NI64+NY64</f>
        <v>0</v>
      </c>
      <c r="D64" s="12">
        <f t="shared" si="309"/>
        <v>0</v>
      </c>
      <c r="E64" s="12">
        <f t="shared" si="309"/>
        <v>0</v>
      </c>
      <c r="F64" s="12">
        <f t="shared" si="309"/>
        <v>0</v>
      </c>
      <c r="G64" s="12">
        <f t="shared" si="309"/>
        <v>0</v>
      </c>
      <c r="H64" s="12">
        <f t="shared" si="309"/>
        <v>0</v>
      </c>
      <c r="I64" s="12">
        <f t="shared" si="309"/>
        <v>0</v>
      </c>
      <c r="J64" s="12">
        <f t="shared" si="309"/>
        <v>0</v>
      </c>
      <c r="P64" s="12" cm="1">
        <f t="array" ref="P64">_xlfn.SWITCH(P$4, 0,0, 1, AA64,2,AC64,3,AE64,0)</f>
        <v>0</v>
      </c>
      <c r="Q64" s="12" cm="1">
        <f t="array" ref="Q64">_xlfn.SWITCH(Q$4, 0,0, 1, AA64,2,AC64,3,AE64,0)+P64</f>
        <v>0</v>
      </c>
      <c r="R64" s="12" cm="1">
        <f t="array" ref="R64">_xlfn.SWITCH(R$4, 0,0, 1, AA64,2,AC64,3,AE64,0)+Q64</f>
        <v>0</v>
      </c>
      <c r="S64" s="12" cm="1">
        <f t="array" ref="S64">_xlfn.SWITCH(S$4, 0,0, 1, AA64,2,AC64,3,AE64,0)+R64</f>
        <v>0</v>
      </c>
      <c r="T64" s="12" cm="1">
        <f t="array" ref="T64">_xlfn.SWITCH(T$4, 0,0, 1, AA64,2,AC64,3,AE64,0)+S64</f>
        <v>0</v>
      </c>
      <c r="U64" s="12" cm="1">
        <f t="array" ref="U64">_xlfn.SWITCH(U$4, 0,0, 1, AA64,2,AC64,3,AE64,0)+T64</f>
        <v>0</v>
      </c>
      <c r="V64" s="12" cm="1">
        <f t="array" ref="V64">_xlfn.SWITCH(V$4, 0,0, 1, AA64,2,AC64,3,AE64,0)+U64</f>
        <v>0</v>
      </c>
      <c r="W64" s="12" cm="1">
        <f t="array" ref="W64">_xlfn.SWITCH(W$4, 0,0, 1, AA64,2,AC64,3,AE64,0)+V64</f>
        <v>0</v>
      </c>
      <c r="X64" s="12" cm="1">
        <f t="array" ref="X64">_xlfn.SWITCH(X$4, 0,0, 1, AA64,2,AC64,3,AE64,0)+W64</f>
        <v>0</v>
      </c>
      <c r="Z64" t="s">
        <v>1304</v>
      </c>
      <c r="AA64">
        <f>_xlfn.XLOOKUP(Z64,'KPI Impacts'!$K$2:$Q$2,'KPI Impacts'!$K64:$Q64)</f>
        <v>0</v>
      </c>
      <c r="AB64" t="s">
        <v>1304</v>
      </c>
      <c r="AC64">
        <f>_xlfn.XLOOKUP(AB64,'KPI Impacts'!$K$2:$Q$2,'KPI Impacts'!$K64:$Q64)</f>
        <v>0</v>
      </c>
      <c r="AD64" t="s">
        <v>1304</v>
      </c>
      <c r="AE64">
        <f>_xlfn.XLOOKUP(AD64,'KPI Impacts'!$K$2:$Q$2,'KPI Impacts'!$K64:$Q64)</f>
        <v>0</v>
      </c>
      <c r="AH64" s="12" cm="1">
        <f t="array" ref="AH64">_xlfn.SWITCH(AH$4, 0,0, 1, AS64,2,AU64,3,AW64,0)</f>
        <v>0</v>
      </c>
      <c r="AI64" s="12" cm="1">
        <f t="array" ref="AI64">_xlfn.SWITCH(AI$4, 0,0, 1, AS64,2,AU64,3,AW64,0)+AH64</f>
        <v>0</v>
      </c>
      <c r="AJ64" s="12" cm="1">
        <f t="array" ref="AJ64">_xlfn.SWITCH(AJ$4, 0,0, 1, AS64,2,AU64,3,AW64,0)+AI64</f>
        <v>0</v>
      </c>
      <c r="AK64" s="12" cm="1">
        <f t="array" ref="AK64">_xlfn.SWITCH(AK$4, 0,0, 1, AS64,2,AU64,3,AW64,0)+AJ64</f>
        <v>0</v>
      </c>
      <c r="AL64" s="12" cm="1">
        <f t="array" ref="AL64">_xlfn.SWITCH(AL$4, 0,0, 1, AS64,2,AU64,3,AW64,0)+AK64</f>
        <v>0</v>
      </c>
      <c r="AM64" s="12" cm="1">
        <f t="array" ref="AM64">_xlfn.SWITCH(AM$4, 0,0, 1, AS64,2,AU64,3,AW64,0)+AL64</f>
        <v>0</v>
      </c>
      <c r="AN64" s="12" cm="1">
        <f t="array" ref="AN64">_xlfn.SWITCH(AN$4, 0,0, 1, AS64,2,AU64,3,AW64,0)+AM64</f>
        <v>0</v>
      </c>
      <c r="AO64" s="12" cm="1">
        <f t="array" ref="AO64">_xlfn.SWITCH(AO$4, 0,0, 1, AS64,2,AU64,3,AW64,0)+AN64</f>
        <v>0</v>
      </c>
      <c r="AP64" s="12" cm="1">
        <f t="array" ref="AP64">_xlfn.SWITCH(AP$4, 0,0, 1, AS64,2,AU64,3,AW64,0)+AO64</f>
        <v>0</v>
      </c>
      <c r="AR64" t="s">
        <v>1308</v>
      </c>
      <c r="AS64">
        <f>_xlfn.XLOOKUP(AR64,'KPI Impacts'!$K$2:$Q$2,'KPI Impacts'!$K64:$Q64)</f>
        <v>0.3</v>
      </c>
      <c r="AT64" t="s">
        <v>1310</v>
      </c>
      <c r="AU64">
        <f>_xlfn.XLOOKUP(AT64,'KPI Impacts'!$K$2:$Q$2,'KPI Impacts'!$K64:$Q64)</f>
        <v>0.44999999999999996</v>
      </c>
      <c r="AV64" t="s">
        <v>1309</v>
      </c>
      <c r="AW64">
        <f>_xlfn.XLOOKUP(AV64,'KPI Impacts'!$K$2:$Q$2,'KPI Impacts'!$K64:$Q64)</f>
        <v>0.6</v>
      </c>
      <c r="AZ64" s="12">
        <f t="shared" ref="AZ64:AZ69" si="310">AZ$4*BK64</f>
        <v>0</v>
      </c>
      <c r="BA64" s="12">
        <f t="shared" ref="BA64:BA69" si="311">BA$4 * IF(AND(AZ$4=1,AZ$20=1), BM64, BK64)</f>
        <v>0</v>
      </c>
      <c r="BB64" s="12">
        <f t="shared" ref="BB64:BB69" si="312">BB$4 * IF(AND(BA$4=1,AZ$20=1), BM64, BK64)</f>
        <v>0</v>
      </c>
      <c r="BC64" s="12">
        <f t="shared" ref="BC64:BC69" si="313">BC$4 * IF(AND(BB$4=1,AZ$20=1), BM64, BK64)</f>
        <v>0</v>
      </c>
      <c r="BD64" s="12">
        <f t="shared" ref="BD64:BD69" si="314">BD$4 * IF(AND(BC$4=1,AZ$20=1), BM64, BK64)</f>
        <v>0</v>
      </c>
      <c r="BE64" s="12">
        <f t="shared" ref="BE64:BE69" si="315">BE$4 * IF(AND(BD$4=1,AZ$20=1), BM64, BK64)</f>
        <v>0</v>
      </c>
      <c r="BF64" s="12">
        <f t="shared" ref="BF64:BF69" si="316">BF$4 * IF(AND(BE$4=1,AZ$20=1), BM64, BK64)</f>
        <v>0</v>
      </c>
      <c r="BG64" s="12">
        <f t="shared" ref="BG64:BG69" si="317">BG$4 * IF(AND(BF$4=1,AZ$20=1), BM64, BK64)</f>
        <v>0</v>
      </c>
      <c r="BH64" s="12">
        <f t="shared" ref="BH64:BH69" si="318">BH$4 * IF(AND(BG$4=1,AZ$20=1), BM64, BK64)</f>
        <v>0</v>
      </c>
      <c r="BJ64" s="16" t="s">
        <v>1304</v>
      </c>
      <c r="BK64">
        <f>_xlfn.XLOOKUP(BJ64,'KPI Impacts'!$B$2:$H$2,'KPI Impacts'!$B64:$H64)</f>
        <v>0</v>
      </c>
      <c r="BL64" s="35" t="s">
        <v>1304</v>
      </c>
      <c r="BM64">
        <f>_xlfn.XLOOKUP(BL64,'KPI Impacts'!$B$2:$H$2,'KPI Impacts'!$B64:$H64)</f>
        <v>0</v>
      </c>
      <c r="BP64" s="12">
        <f t="shared" ref="BP64:BP69" si="319">BP$4*CA64</f>
        <v>0</v>
      </c>
      <c r="BQ64" s="12">
        <f t="shared" ref="BQ64:BQ69" si="320">BQ$4 * IF(AND(BP$4=1,BP$20=1), CC64, CA64)</f>
        <v>0</v>
      </c>
      <c r="BR64" s="12">
        <f t="shared" ref="BR64:BR69" si="321">BR$4 * IF(AND(BQ$4=1,BP$20=1), CC64, CA64)</f>
        <v>0</v>
      </c>
      <c r="BS64" s="12">
        <f t="shared" ref="BS64:BS69" si="322">BS$4 * IF(AND(BR$4=1,BP$20=1), CC64, CA64)</f>
        <v>0</v>
      </c>
      <c r="BT64" s="12">
        <f t="shared" ref="BT64:BT69" si="323">BT$4 * IF(AND(BS$4=1,BP$20=1), CC64, CA64)</f>
        <v>0</v>
      </c>
      <c r="BU64" s="12">
        <f t="shared" ref="BU64:BU69" si="324">BU$4 * IF(AND(BT$4=1,BP$20=1), CC64, CA64)</f>
        <v>0</v>
      </c>
      <c r="BV64" s="12">
        <f t="shared" ref="BV64:BV69" si="325">BV$4 * IF(AND(BU$4=1,BP$20=1), CC64, CA64)</f>
        <v>0</v>
      </c>
      <c r="BW64" s="12">
        <f t="shared" ref="BW64:BW69" si="326">BW$4 * IF(AND(BV$4=1,BP$20=1), CC64, CA64)</f>
        <v>0</v>
      </c>
      <c r="BX64" s="12">
        <f t="shared" ref="BX64:BX69" si="327">BX$4 * IF(AND(BW$4=1,BP$20=1), CC64, CA64)</f>
        <v>0</v>
      </c>
      <c r="BZ64" s="16" t="s">
        <v>1304</v>
      </c>
      <c r="CA64">
        <f>_xlfn.XLOOKUP(BZ64,'KPI Impacts'!$B$2:$H$2,'KPI Impacts'!$B64:$H64)</f>
        <v>0</v>
      </c>
      <c r="CB64" s="35" t="s">
        <v>1304</v>
      </c>
      <c r="CC64">
        <f>_xlfn.XLOOKUP(CB64,'KPI Impacts'!$B$2:$H$2,'KPI Impacts'!$B64:$H64)</f>
        <v>0</v>
      </c>
      <c r="CF64" s="12">
        <f t="shared" ref="CF64:CF69" si="328">CF$4*CQ64</f>
        <v>0</v>
      </c>
      <c r="CG64" s="12">
        <f t="shared" ref="CG64:CG69" si="329">CG$4 * IF(AND(CF$4=1,CF$20=1), CS64, CQ64)</f>
        <v>0</v>
      </c>
      <c r="CH64" s="12">
        <f t="shared" ref="CH64:CH69" si="330">CH$4 * IF(AND(CG$4=1,CF$20=1), CS64, CQ64)</f>
        <v>0</v>
      </c>
      <c r="CI64" s="12">
        <f t="shared" ref="CI64:CI69" si="331">CI$4 * IF(AND(CH$4=1,CF$20=1), CS64, CQ64)</f>
        <v>0</v>
      </c>
      <c r="CJ64" s="12">
        <f t="shared" ref="CJ64:CJ69" si="332">CJ$4 * IF(AND(CI$4=1,CF$20=1), CS64, CQ64)</f>
        <v>0</v>
      </c>
      <c r="CK64" s="12">
        <f t="shared" ref="CK64:CK69" si="333">CK$4 * IF(AND(CJ$4=1,CF$20=1), CS64, CQ64)</f>
        <v>0</v>
      </c>
      <c r="CL64" s="12">
        <f t="shared" ref="CL64:CL69" si="334">CL$4 * IF(AND(CK$4=1,CF$20=1), CS64, CQ64)</f>
        <v>0</v>
      </c>
      <c r="CM64" s="12">
        <f t="shared" ref="CM64:CM69" si="335">CM$4 * IF(AND(CL$4=1,CF$20=1), CS64, CQ64)</f>
        <v>0</v>
      </c>
      <c r="CN64" s="12">
        <f t="shared" ref="CN64:CN69" si="336">CN$4 * IF(AND(CM$4=1,CF$20=1), CS64, CQ64)</f>
        <v>0</v>
      </c>
      <c r="CP64" s="30" t="s">
        <v>1308</v>
      </c>
      <c r="CQ64">
        <f>_xlfn.XLOOKUP(CP64,'KPI Impacts'!$B$2:$H$2,'KPI Impacts'!$B64:$H64)</f>
        <v>1</v>
      </c>
      <c r="CR64" s="35" t="s">
        <v>1304</v>
      </c>
      <c r="CS64">
        <f>_xlfn.XLOOKUP(CR64,'KPI Impacts'!$B$2:$H$2,'KPI Impacts'!$B64:$H64)</f>
        <v>0</v>
      </c>
      <c r="CV64" s="12">
        <f t="shared" ref="CV64:CV69" si="337">CV$4*DG64</f>
        <v>0</v>
      </c>
      <c r="CW64" s="12">
        <f t="shared" ref="CW64:CW69" si="338">CW$4 * IF(AND(CV$4=1,CV$20=1), DI64, DG64)</f>
        <v>0</v>
      </c>
      <c r="CX64" s="12">
        <f t="shared" ref="CX64:CX69" si="339">CX$4 * IF(AND(CW$4=1,CV$20=1), DI64, DG64)</f>
        <v>0</v>
      </c>
      <c r="CY64" s="12">
        <f t="shared" ref="CY64:CY69" si="340">CY$4 * IF(AND(CX$4=1,CV$20=1), DI64, DG64)</f>
        <v>0</v>
      </c>
      <c r="CZ64" s="12">
        <f t="shared" ref="CZ64:CZ69" si="341">CZ$4 * IF(AND(CY$4=1,CV$20=1), DI64, DG64)</f>
        <v>0</v>
      </c>
      <c r="DA64" s="12">
        <f t="shared" ref="DA64:DA69" si="342">DA$4 * IF(AND(CZ$4=1,CV$20=1), DI64, DG64)</f>
        <v>0</v>
      </c>
      <c r="DB64" s="12">
        <f t="shared" ref="DB64:DB69" si="343">DB$4 * IF(AND(DA$4=1,CV$20=1), DI64, DG64)</f>
        <v>0</v>
      </c>
      <c r="DC64" s="12">
        <f t="shared" ref="DC64:DC69" si="344">DC$4 * IF(AND(DB$4=1,CV$20=1), DI64, DG64)</f>
        <v>0</v>
      </c>
      <c r="DD64" s="12">
        <f t="shared" ref="DD64:DD69" si="345">DD$4 * IF(AND(DC$4=1,CV$20=1), DI64, DG64)</f>
        <v>0</v>
      </c>
      <c r="DF64" s="16" t="s">
        <v>1304</v>
      </c>
      <c r="DG64">
        <f>_xlfn.XLOOKUP(DF64,'KPI Impacts'!$B$2:$H$2,'KPI Impacts'!$B64:$H64)</f>
        <v>0</v>
      </c>
      <c r="DH64" s="35" t="s">
        <v>1304</v>
      </c>
      <c r="DI64">
        <f>_xlfn.XLOOKUP(DH64,'KPI Impacts'!$B$2:$H$2,'KPI Impacts'!$B64:$H64)</f>
        <v>0</v>
      </c>
      <c r="DL64" s="12">
        <f t="shared" ref="DL64:DL69" si="346">DL$4*DW64</f>
        <v>0</v>
      </c>
      <c r="DM64" s="12">
        <f t="shared" ref="DM64:DM69" si="347">DM$4 * IF(AND(DL$4=1,DL$20=1), DY64, DW64)</f>
        <v>0</v>
      </c>
      <c r="DN64" s="12">
        <f t="shared" ref="DN64:DN69" si="348">DN$4 * IF(AND(DM$4=1,DL$20=1), DY64, DW64)</f>
        <v>0</v>
      </c>
      <c r="DO64" s="12">
        <f t="shared" ref="DO64:DO69" si="349">DO$4 * IF(AND(DN$4=1,DL$20=1), DY64, DW64)</f>
        <v>0</v>
      </c>
      <c r="DP64" s="12">
        <f t="shared" ref="DP64:DP69" si="350">DP$4 * IF(AND(DO$4=1,DL$20=1), DY64, DW64)</f>
        <v>0</v>
      </c>
      <c r="DQ64" s="12">
        <f t="shared" ref="DQ64:DQ69" si="351">DQ$4 * IF(AND(DP$4=1,DL$20=1), DY64, DW64)</f>
        <v>0</v>
      </c>
      <c r="DR64" s="12">
        <f t="shared" ref="DR64:DR69" si="352">DR$4 * IF(AND(DQ$4=1,DL$20=1), DY64, DW64)</f>
        <v>0</v>
      </c>
      <c r="DS64" s="12">
        <f t="shared" ref="DS64:DS69" si="353">DS$4 * IF(AND(DR$4=1,DL$20=1), DY64, DW64)</f>
        <v>0</v>
      </c>
      <c r="DT64" s="12">
        <f t="shared" ref="DT64:DT69" si="354">DT$4 * IF(AND(DS$4=1,DL$20=1), DY64, DW64)</f>
        <v>0</v>
      </c>
      <c r="DV64" s="30" t="s">
        <v>1310</v>
      </c>
      <c r="DW64">
        <f>_xlfn.XLOOKUP(DV64,'KPI Impacts'!$B$2:$H$2,'KPI Impacts'!$B64:$H64)</f>
        <v>2</v>
      </c>
      <c r="DX64" s="35" t="s">
        <v>1304</v>
      </c>
      <c r="DY64">
        <f>_xlfn.XLOOKUP(DX64,'KPI Impacts'!$B$2:$H$2,'KPI Impacts'!$B64:$H64)</f>
        <v>0</v>
      </c>
      <c r="EB64" s="12">
        <f t="shared" ref="EB64:EB69" si="355">EB$4*EM64</f>
        <v>0</v>
      </c>
      <c r="EC64" s="12">
        <f t="shared" ref="EC64:EC69" si="356">EC$4 * IF(AND(EB$4=1,EB$20=1), EO64, EM64)</f>
        <v>0</v>
      </c>
      <c r="ED64" s="12">
        <f t="shared" ref="ED64:ED69" si="357">ED$4 * IF(AND(EC$4=1,EB$20=1), EO64, EM64)</f>
        <v>0</v>
      </c>
      <c r="EE64" s="12">
        <f t="shared" ref="EE64:EE69" si="358">EE$4 * IF(AND(ED$4=1,EB$20=1), EO64, EM64)</f>
        <v>0</v>
      </c>
      <c r="EF64" s="12">
        <f t="shared" ref="EF64:EF69" si="359">EF$4 * IF(AND(EE$4=1,EB$20=1), EO64, EM64)</f>
        <v>0</v>
      </c>
      <c r="EG64" s="12">
        <f t="shared" ref="EG64:EG69" si="360">EG$4 * IF(AND(EF$4=1,EB$20=1), EO64, EM64)</f>
        <v>0</v>
      </c>
      <c r="EH64" s="12">
        <f t="shared" ref="EH64:EH69" si="361">EH$4 * IF(AND(EG$4=1,EB$20=1), EO64, EM64)</f>
        <v>0</v>
      </c>
      <c r="EI64" s="12">
        <f t="shared" ref="EI64:EI69" si="362">EI$4 * IF(AND(EH$4=1,EB$20=1), EO64, EM64)</f>
        <v>0</v>
      </c>
      <c r="EJ64" s="12">
        <f t="shared" ref="EJ64:EJ69" si="363">EJ$4 * IF(AND(EI$4=1,EB$20=1), EO64, EM64)</f>
        <v>0</v>
      </c>
      <c r="EL64" s="16" t="s">
        <v>1304</v>
      </c>
      <c r="EM64">
        <f>_xlfn.XLOOKUP(EL64,'KPI Impacts'!$B$2:$H$2,'KPI Impacts'!$B64:$H64)</f>
        <v>0</v>
      </c>
      <c r="EN64" s="35" t="s">
        <v>1304</v>
      </c>
      <c r="EO64">
        <f>_xlfn.XLOOKUP(EN64,'KPI Impacts'!$B$2:$H$2,'KPI Impacts'!$B64:$H64)</f>
        <v>0</v>
      </c>
      <c r="ER64" s="12">
        <f t="shared" ref="ER64:ER69" si="364">ER$4*FC64</f>
        <v>0</v>
      </c>
      <c r="ES64" s="12">
        <f t="shared" ref="ES64:ES69" si="365">ES$4 * IF(AND(ER$4=1,ER$20=1), FE64, FC64)</f>
        <v>0</v>
      </c>
      <c r="ET64" s="12">
        <f t="shared" ref="ET64:ET69" si="366">ET$4 * IF(AND(ES$4=1,ER$20=1), FE64, FC64)</f>
        <v>0</v>
      </c>
      <c r="EU64" s="12">
        <f t="shared" ref="EU64:EU69" si="367">EU$4 * IF(AND(ET$4=1,ER$20=1), FE64, FC64)</f>
        <v>0</v>
      </c>
      <c r="EV64" s="12">
        <f t="shared" ref="EV64:EV69" si="368">EV$4 * IF(AND(EU$4=1,ER$20=1), FE64, FC64)</f>
        <v>0</v>
      </c>
      <c r="EW64" s="12">
        <f t="shared" ref="EW64:EW69" si="369">EW$4 * IF(AND(EV$4=1,ER$20=1), FE64, FC64)</f>
        <v>0</v>
      </c>
      <c r="EX64" s="12">
        <f t="shared" ref="EX64:EX69" si="370">EX$4 * IF(AND(EW$4=1,ER$20=1), FE64, FC64)</f>
        <v>0</v>
      </c>
      <c r="EY64" s="12">
        <f t="shared" ref="EY64:EY69" si="371">EY$4 * IF(AND(EX$4=1,ER$20=1), FE64, FC64)</f>
        <v>0</v>
      </c>
      <c r="EZ64" s="12">
        <f t="shared" ref="EZ64:EZ69" si="372">EZ$4 * IF(AND(EY$4=1,ER$20=1), FE64, FC64)</f>
        <v>0</v>
      </c>
      <c r="FB64" s="16" t="s">
        <v>1304</v>
      </c>
      <c r="FC64">
        <f>_xlfn.XLOOKUP(FB64,'KPI Impacts'!$B$2:$H$2,'KPI Impacts'!$B64:$H64)</f>
        <v>0</v>
      </c>
      <c r="FD64" s="35" t="s">
        <v>1304</v>
      </c>
      <c r="FE64">
        <f>_xlfn.XLOOKUP(FD64,'KPI Impacts'!$B$2:$H$2,'KPI Impacts'!$B64:$H64)</f>
        <v>0</v>
      </c>
      <c r="FH64" s="12">
        <f t="shared" ref="FH64:FH69" si="373">FH$4*FS64</f>
        <v>0</v>
      </c>
      <c r="FI64" s="12">
        <f t="shared" ref="FI64:FI69" si="374">FI$4 * IF(AND(FH$4=1,FH$20=1), FU64, FS64)</f>
        <v>0</v>
      </c>
      <c r="FJ64" s="12">
        <f t="shared" ref="FJ64:FJ69" si="375">FJ$4 * IF(AND(FI$4=1,FH$20=1), FU64, FS64)</f>
        <v>0</v>
      </c>
      <c r="FK64" s="12">
        <f t="shared" ref="FK64:FK69" si="376">FK$4 * IF(AND(FJ$4=1,FH$20=1), FU64, FS64)</f>
        <v>0</v>
      </c>
      <c r="FL64" s="12">
        <f t="shared" ref="FL64:FL69" si="377">FL$4 * IF(AND(FK$4=1,FH$20=1), FU64, FS64)</f>
        <v>0</v>
      </c>
      <c r="FM64" s="12">
        <f t="shared" ref="FM64:FM69" si="378">FM$4 * IF(AND(FL$4=1,FH$20=1), FU64, FS64)</f>
        <v>0</v>
      </c>
      <c r="FN64" s="12">
        <f t="shared" ref="FN64:FN69" si="379">FN$4 * IF(AND(FM$4=1,FH$20=1), FU64, FS64)</f>
        <v>0</v>
      </c>
      <c r="FO64" s="12">
        <f t="shared" ref="FO64:FO69" si="380">FO$4 * IF(AND(FN$4=1,FH$20=1), FU64, FS64)</f>
        <v>0</v>
      </c>
      <c r="FP64" s="12">
        <f t="shared" ref="FP64:FP69" si="381">FP$4 * IF(AND(FO$4=1,FH$20=1), FU64, FS64)</f>
        <v>0</v>
      </c>
      <c r="FR64" s="30" t="s">
        <v>1308</v>
      </c>
      <c r="FS64">
        <f>_xlfn.XLOOKUP(FR64,'KPI Impacts'!$B$2:$H$2,'KPI Impacts'!$B64:$H64)</f>
        <v>1</v>
      </c>
      <c r="FT64" s="35" t="s">
        <v>1304</v>
      </c>
      <c r="FU64">
        <f>_xlfn.XLOOKUP(FT64,'KPI Impacts'!$B$2:$H$2,'KPI Impacts'!$B64:$H64)</f>
        <v>0</v>
      </c>
      <c r="FX64" s="12">
        <f t="shared" ref="FX64:FX69" si="382">FX$4*GI64</f>
        <v>0</v>
      </c>
      <c r="FY64" s="12">
        <f t="shared" ref="FY64:FY69" si="383">FY$4 * IF(AND(FX$4=1,FX$20=1), GK64, GI64)</f>
        <v>0</v>
      </c>
      <c r="FZ64" s="12">
        <f t="shared" ref="FZ64:FZ69" si="384">FZ$4 * IF(AND(FY$4=1,FX$20=1), GK64, GI64)</f>
        <v>0</v>
      </c>
      <c r="GA64" s="12">
        <f t="shared" ref="GA64:GA69" si="385">GA$4 * IF(AND(FZ$4=1,FX$20=1), GK64, GI64)</f>
        <v>0</v>
      </c>
      <c r="GB64" s="12">
        <f t="shared" ref="GB64:GB69" si="386">GB$4 * IF(AND(GA$4=1,FX$20=1), GK64, GI64)</f>
        <v>0</v>
      </c>
      <c r="GC64" s="12">
        <f t="shared" ref="GC64:GC69" si="387">GC$4 * IF(AND(GB$4=1,FX$20=1), GK64, GI64)</f>
        <v>0</v>
      </c>
      <c r="GD64" s="12">
        <f t="shared" ref="GD64:GD69" si="388">GD$4 * IF(AND(GC$4=1,FX$20=1), GK64, GI64)</f>
        <v>0</v>
      </c>
      <c r="GE64" s="12">
        <f t="shared" ref="GE64:GE69" si="389">GE$4 * IF(AND(GD$4=1,FX$20=1), GK64, GI64)</f>
        <v>0</v>
      </c>
      <c r="GF64" s="12">
        <f t="shared" ref="GF64:GF69" si="390">GF$4 * IF(AND(GE$4=1,FX$20=1), GK64, GI64)</f>
        <v>0</v>
      </c>
      <c r="GH64" s="16" t="s">
        <v>1304</v>
      </c>
      <c r="GI64">
        <f>_xlfn.XLOOKUP(GH64,'KPI Impacts'!$B$2:$H$2,'KPI Impacts'!$B64:$H64)</f>
        <v>0</v>
      </c>
      <c r="GJ64" s="35" t="s">
        <v>1304</v>
      </c>
      <c r="GK64">
        <f>_xlfn.XLOOKUP(GJ64,'KPI Impacts'!$B$2:$H$2,'KPI Impacts'!$B64:$H64)</f>
        <v>0</v>
      </c>
      <c r="GN64" s="12">
        <f t="shared" ref="GN64:GN69" si="391">GN$4*GY64</f>
        <v>0</v>
      </c>
      <c r="GO64" s="12">
        <f t="shared" ref="GO64:GO69" si="392">GO$4 * IF(AND(GN$4=1,GN$20=1), HA64, GY64)</f>
        <v>0</v>
      </c>
      <c r="GP64" s="12">
        <f t="shared" ref="GP64:GP69" si="393">GP$4 * IF(AND(GO$4=1,GN$20=1), HA64, GY64)</f>
        <v>0</v>
      </c>
      <c r="GQ64" s="12">
        <f t="shared" ref="GQ64:GQ69" si="394">GQ$4 * IF(AND(GP$4=1,GN$20=1), HA64, GY64)</f>
        <v>0</v>
      </c>
      <c r="GR64" s="12">
        <f t="shared" ref="GR64:GR69" si="395">GR$4 * IF(AND(GQ$4=1,GN$20=1), HA64, GY64)</f>
        <v>0</v>
      </c>
      <c r="GS64" s="12">
        <f t="shared" ref="GS64:GS69" si="396">GS$4 * IF(AND(GR$4=1,GN$20=1), HA64, GY64)</f>
        <v>0</v>
      </c>
      <c r="GT64" s="12">
        <f t="shared" ref="GT64:GT69" si="397">GT$4 * IF(AND(GS$4=1,GN$20=1), HA64, GY64)</f>
        <v>0</v>
      </c>
      <c r="GU64" s="12">
        <f t="shared" ref="GU64:GU69" si="398">GU$4 * IF(AND(GT$4=1,GN$20=1), HA64, GY64)</f>
        <v>0</v>
      </c>
      <c r="GV64" s="12">
        <f t="shared" ref="GV64:GV69" si="399">GV$4 * IF(AND(GU$4=1,GN$20=1), HA64, GY64)</f>
        <v>0</v>
      </c>
      <c r="GX64" s="16" t="s">
        <v>1304</v>
      </c>
      <c r="GY64">
        <f>_xlfn.XLOOKUP(GX64,'KPI Impacts'!$B$2:$H$2,'KPI Impacts'!$B64:$H64)</f>
        <v>0</v>
      </c>
      <c r="GZ64" s="35" t="s">
        <v>1304</v>
      </c>
      <c r="HA64">
        <f>_xlfn.XLOOKUP(GZ64,'KPI Impacts'!$B$2:$H$2,'KPI Impacts'!$B64:$H64)</f>
        <v>0</v>
      </c>
      <c r="HD64" s="12">
        <f t="shared" ref="HD64:HD69" si="400">HD$4*HO64</f>
        <v>0</v>
      </c>
      <c r="HE64" s="12">
        <f t="shared" ref="HE64:HE69" si="401">HE$4 * IF(AND(HD$4=1,HD$20=1), HQ64, HO64)</f>
        <v>0</v>
      </c>
      <c r="HF64" s="12">
        <f t="shared" ref="HF64:HF69" si="402">HF$4 * IF(AND(HE$4=1,HD$20=1), HQ64, HO64)</f>
        <v>0</v>
      </c>
      <c r="HG64" s="12">
        <f t="shared" ref="HG64:HG69" si="403">HG$4 * IF(AND(HF$4=1,HD$20=1), HQ64, HO64)</f>
        <v>0</v>
      </c>
      <c r="HH64" s="12">
        <f t="shared" ref="HH64:HH69" si="404">HH$4 * IF(AND(HG$4=1,HD$20=1), HQ64, HO64)</f>
        <v>0</v>
      </c>
      <c r="HI64" s="12">
        <f t="shared" ref="HI64:HI69" si="405">HI$4 * IF(AND(HH$4=1,HD$20=1), HQ64, HO64)</f>
        <v>0</v>
      </c>
      <c r="HJ64" s="12">
        <f t="shared" ref="HJ64:HJ69" si="406">HJ$4 * IF(AND(HI$4=1,HD$20=1), HQ64, HO64)</f>
        <v>0</v>
      </c>
      <c r="HK64" s="12">
        <f t="shared" ref="HK64:HK69" si="407">HK$4 * IF(AND(HJ$4=1,HD$20=1), HQ64, HO64)</f>
        <v>0</v>
      </c>
      <c r="HL64" s="12">
        <f t="shared" ref="HL64:HL69" si="408">HL$4 * IF(AND(HK$4=1,HD$20=1), HQ64, HO64)</f>
        <v>0</v>
      </c>
      <c r="HN64" s="16" t="s">
        <v>1304</v>
      </c>
      <c r="HO64">
        <f>_xlfn.XLOOKUP(HN64,'KPI Impacts'!$B$2:$H$2,'KPI Impacts'!$B64:$H64)</f>
        <v>0</v>
      </c>
      <c r="HP64" s="35" t="s">
        <v>1304</v>
      </c>
      <c r="HQ64">
        <f>_xlfn.XLOOKUP(HP64,'KPI Impacts'!$B$2:$H$2,'KPI Impacts'!$B64:$H64)</f>
        <v>0</v>
      </c>
      <c r="HT64" s="12">
        <f t="shared" ref="HT64:HT69" si="409">HT$4*IE64</f>
        <v>0</v>
      </c>
      <c r="HU64" s="12">
        <f t="shared" ref="HU64:HU69" si="410">HU$4 * IF(AND(HT$4=1,HT$20=1), IG64, IE64)</f>
        <v>0</v>
      </c>
      <c r="HV64" s="12">
        <f t="shared" ref="HV64:HV69" si="411">HV$4 * IF(AND(HU$4=1,HT$20=1), IG64, IE64)</f>
        <v>0</v>
      </c>
      <c r="HW64" s="12">
        <f t="shared" ref="HW64:HW69" si="412">HW$4 * IF(AND(HV$4=1,HT$20=1), IG64, IE64)</f>
        <v>0</v>
      </c>
      <c r="HX64" s="12">
        <f t="shared" ref="HX64:HX69" si="413">HX$4 * IF(AND(HW$4=1,HT$20=1), IG64, IE64)</f>
        <v>0</v>
      </c>
      <c r="HY64" s="12">
        <f t="shared" ref="HY64:HY69" si="414">HY$4 * IF(AND(HX$4=1,HT$20=1), IG64, IE64)</f>
        <v>0</v>
      </c>
      <c r="HZ64" s="12">
        <f t="shared" ref="HZ64:HZ69" si="415">HZ$4 * IF(AND(HY$4=1,HT$20=1), IG64, IE64)</f>
        <v>0</v>
      </c>
      <c r="IA64" s="12">
        <f t="shared" ref="IA64:IA69" si="416">IA$4 * IF(AND(HZ$4=1,HT$20=1), IG64, IE64)</f>
        <v>0</v>
      </c>
      <c r="IB64" s="12">
        <f t="shared" ref="IB64:IB69" si="417">IB$4 * IF(AND(IA$4=1,HT$20=1), IG64, IE64)</f>
        <v>0</v>
      </c>
      <c r="ID64" s="30" t="s">
        <v>1308</v>
      </c>
      <c r="IE64">
        <f>_xlfn.XLOOKUP(ID64,'KPI Impacts'!$B$2:$H$2,'KPI Impacts'!$B64:$H64)</f>
        <v>1</v>
      </c>
      <c r="IF64" s="9" t="s">
        <v>1304</v>
      </c>
      <c r="IG64">
        <f>_xlfn.XLOOKUP(IF64,'KPI Impacts'!$B$2:$H$2,'KPI Impacts'!$B64:$H64)</f>
        <v>0</v>
      </c>
      <c r="IJ64" s="12">
        <f t="shared" ref="IJ64:IJ69" si="418">IJ$4*IU64</f>
        <v>0</v>
      </c>
      <c r="IK64" s="12">
        <f t="shared" ref="IK64:IK69" si="419">IK$4 * IF(AND(IJ$4=1,IJ$20=1), IW64, IU64)</f>
        <v>0</v>
      </c>
      <c r="IL64" s="12">
        <f t="shared" ref="IL64:IL69" si="420">IL$4 * IF(AND(IK$4=1,IJ$20=1), IW64, IU64)</f>
        <v>0</v>
      </c>
      <c r="IM64" s="12">
        <f t="shared" ref="IM64:IM69" si="421">IM$4 * IF(AND(IL$4=1,IJ$20=1), IW64, IU64)</f>
        <v>0</v>
      </c>
      <c r="IN64" s="12">
        <f t="shared" ref="IN64:IN69" si="422">IN$4 * IF(AND(IM$4=1,IJ$20=1), IW64, IU64)</f>
        <v>0</v>
      </c>
      <c r="IO64" s="12">
        <f t="shared" ref="IO64:IO69" si="423">IO$4 * IF(AND(IN$4=1,IJ$20=1), IW64, IU64)</f>
        <v>0</v>
      </c>
      <c r="IP64" s="12">
        <f t="shared" ref="IP64:IP69" si="424">IP$4 * IF(AND(IO$4=1,IJ$20=1), IW64, IU64)</f>
        <v>0</v>
      </c>
      <c r="IQ64" s="12">
        <f t="shared" ref="IQ64:IQ69" si="425">IQ$4 * IF(AND(IP$4=1,IJ$20=1), IW64, IU64)</f>
        <v>0</v>
      </c>
      <c r="IR64" s="12">
        <f t="shared" ref="IR64:IR69" si="426">IR$4 * IF(AND(IQ$4=1,IJ$20=1), IW64, IU64)</f>
        <v>0</v>
      </c>
      <c r="IT64" s="16" t="s">
        <v>1304</v>
      </c>
      <c r="IU64">
        <f>_xlfn.XLOOKUP(IT64,'KPI Impacts'!$B$2:$H$2,'KPI Impacts'!$B64:$H64)</f>
        <v>0</v>
      </c>
      <c r="IV64" s="9" t="s">
        <v>1304</v>
      </c>
      <c r="IW64">
        <f>_xlfn.XLOOKUP(IV64,'KPI Impacts'!$B$2:$H$2,'KPI Impacts'!$B64:$H64)</f>
        <v>0</v>
      </c>
      <c r="IZ64" s="12">
        <f t="shared" ref="IZ64:IZ69" si="427">IZ$4*JK64</f>
        <v>0</v>
      </c>
      <c r="JA64" s="12">
        <f t="shared" ref="JA64:JA69" si="428">JA$4 * IF(AND(IZ$4=1,IZ$20=1), JM64, JK64)</f>
        <v>0</v>
      </c>
      <c r="JB64" s="12">
        <f t="shared" ref="JB64:JB69" si="429">JB$4 * IF(AND(JA$4=1,IZ$20=1), JM64, JK64)</f>
        <v>0</v>
      </c>
      <c r="JC64" s="12">
        <f t="shared" ref="JC64:JC69" si="430">JC$4 * IF(AND(JB$4=1,IZ$20=1), JM64, JK64)</f>
        <v>0</v>
      </c>
      <c r="JD64" s="12">
        <f t="shared" ref="JD64:JD69" si="431">JD$4 * IF(AND(JC$4=1,IZ$20=1), JM64, JK64)</f>
        <v>0</v>
      </c>
      <c r="JE64" s="12">
        <f t="shared" ref="JE64:JE69" si="432">JE$4 * IF(AND(JD$4=1,IZ$20=1), JM64, JK64)</f>
        <v>0</v>
      </c>
      <c r="JF64" s="12">
        <f t="shared" ref="JF64:JF69" si="433">JF$4 * IF(AND(JE$4=1,IZ$20=1), JM64, JK64)</f>
        <v>0</v>
      </c>
      <c r="JG64" s="12">
        <f t="shared" ref="JG64:JG69" si="434">JG$4 * IF(AND(JF$4=1,IZ$20=1), JM64, JK64)</f>
        <v>0</v>
      </c>
      <c r="JH64" s="12">
        <f t="shared" ref="JH64:JH69" si="435">JH$4 * IF(AND(JG$4=1,IZ$20=1), JM64, JK64)</f>
        <v>0</v>
      </c>
      <c r="JJ64" t="s">
        <v>1304</v>
      </c>
      <c r="JK64">
        <f>_xlfn.XLOOKUP(JJ64,'KPI Impacts'!$B$2:$H$2,'KPI Impacts'!$B64:$H64)</f>
        <v>0</v>
      </c>
      <c r="JL64" s="9" t="s">
        <v>1304</v>
      </c>
      <c r="JM64">
        <f>_xlfn.XLOOKUP(JL64,'KPI Impacts'!$B$2:$H$2,'KPI Impacts'!$B64:$H64)</f>
        <v>0</v>
      </c>
      <c r="JP64" s="12">
        <f t="shared" ref="JP64:JP69" si="436">JP$4*KA64</f>
        <v>0</v>
      </c>
      <c r="JQ64" s="12">
        <f t="shared" ref="JQ64:JQ69" si="437">JQ$4 * IF(AND(JP$4=1,JP$20=1), KC64, KA64)</f>
        <v>0</v>
      </c>
      <c r="JR64" s="12">
        <f t="shared" ref="JR64:JR69" si="438">JR$4 * IF(AND(JQ$4=1,JP$20=1), KC64, KA64)</f>
        <v>0</v>
      </c>
      <c r="JS64" s="12">
        <f t="shared" ref="JS64:JS69" si="439">JS$4 * IF(AND(JR$4=1,JP$20=1), KC64, KA64)</f>
        <v>0</v>
      </c>
      <c r="JT64" s="12">
        <f t="shared" ref="JT64:JT69" si="440">JT$4 * IF(AND(JS$4=1,JP$20=1), KC64, KA64)</f>
        <v>0</v>
      </c>
      <c r="JU64" s="12">
        <f t="shared" ref="JU64:JU69" si="441">JU$4 * IF(AND(JT$4=1,JP$20=1), KC64, KA64)</f>
        <v>0</v>
      </c>
      <c r="JV64" s="12">
        <f t="shared" ref="JV64:JV69" si="442">JV$4 * IF(AND(JU$4=1,JP$20=1), KC64, KA64)</f>
        <v>0</v>
      </c>
      <c r="JW64" s="12">
        <f t="shared" ref="JW64:JW69" si="443">JW$4 * IF(AND(JV$4=1,JP$20=1), KC64, KA64)</f>
        <v>0</v>
      </c>
      <c r="JX64" s="12">
        <f t="shared" ref="JX64:JX69" si="444">JX$4 * IF(AND(JW$4=1,JP$20=1), KC64, KA64)</f>
        <v>0</v>
      </c>
      <c r="JZ64" t="s">
        <v>1304</v>
      </c>
      <c r="KA64">
        <f>_xlfn.XLOOKUP(JZ64,'KPI Impacts'!$B$2:$H$2,'KPI Impacts'!$B64:$H64)</f>
        <v>0</v>
      </c>
      <c r="KB64" s="9" t="s">
        <v>1304</v>
      </c>
      <c r="KC64">
        <f>_xlfn.XLOOKUP(KB64,'KPI Impacts'!$B$2:$H$2,'KPI Impacts'!$B64:$H64)</f>
        <v>0</v>
      </c>
      <c r="KF64" s="12">
        <f t="shared" ref="KF64:KF69" si="445">KF$4*KQ64</f>
        <v>0</v>
      </c>
      <c r="KG64" s="12">
        <f t="shared" ref="KG64:KG69" si="446">KG$4 * IF(AND(KF$4=1,KF$20=1), KS64, KQ64)</f>
        <v>0</v>
      </c>
      <c r="KH64" s="12">
        <f t="shared" ref="KH64:KH69" si="447">KH$4 * IF(AND(KG$4=1,KF$20=1), KS64, KQ64)</f>
        <v>0</v>
      </c>
      <c r="KI64" s="12">
        <f t="shared" ref="KI64:KI69" si="448">KI$4 * IF(AND(KH$4=1,KF$20=1), KS64, KQ64)</f>
        <v>0</v>
      </c>
      <c r="KJ64" s="12">
        <f t="shared" ref="KJ64:KJ69" si="449">KJ$4 * IF(AND(KI$4=1,KF$20=1), KS64, KQ64)</f>
        <v>0</v>
      </c>
      <c r="KK64" s="12">
        <f t="shared" ref="KK64:KK69" si="450">KK$4 * IF(AND(KJ$4=1,KF$20=1), KS64, KQ64)</f>
        <v>0</v>
      </c>
      <c r="KL64" s="12">
        <f t="shared" ref="KL64:KL69" si="451">KL$4 * IF(AND(KK$4=1,KF$20=1), KS64, KQ64)</f>
        <v>0</v>
      </c>
      <c r="KM64" s="12">
        <f t="shared" ref="KM64:KM69" si="452">KM$4 * IF(AND(KL$4=1,KF$20=1), KS64, KQ64)</f>
        <v>0</v>
      </c>
      <c r="KN64" s="12">
        <f t="shared" ref="KN64:KN69" si="453">KN$4 * IF(AND(KM$4=1,KF$20=1), KS64, KQ64)</f>
        <v>0</v>
      </c>
      <c r="KP64" t="s">
        <v>1304</v>
      </c>
      <c r="KQ64">
        <f>_xlfn.XLOOKUP(KP64,'KPI Impacts'!$B$2:$H$2,'KPI Impacts'!$B64:$H64)</f>
        <v>0</v>
      </c>
      <c r="KR64" s="9" t="s">
        <v>1304</v>
      </c>
      <c r="KS64">
        <f>_xlfn.XLOOKUP(KR64,'KPI Impacts'!$B$2:$H$2,'KPI Impacts'!$B64:$H64)</f>
        <v>0</v>
      </c>
      <c r="KV64" s="12">
        <f t="shared" ref="KV64:KV69" si="454">KV$4*LG64</f>
        <v>0</v>
      </c>
      <c r="KW64" s="12">
        <f t="shared" ref="KW64:KW69" si="455">KW$4 * IF(AND(KV$4=1,KV$20=1), LI64, LG64)</f>
        <v>0</v>
      </c>
      <c r="KX64" s="12">
        <f t="shared" ref="KX64:KX69" si="456">KX$4 * IF(AND(KW$4=1,KV$20=1), LI64, LG64)</f>
        <v>0</v>
      </c>
      <c r="KY64" s="12">
        <f t="shared" ref="KY64:KY69" si="457">KY$4 * IF(AND(KX$4=1,KV$20=1), LI64, LG64)</f>
        <v>0</v>
      </c>
      <c r="KZ64" s="12">
        <f t="shared" ref="KZ64:KZ69" si="458">KZ$4 * IF(AND(KY$4=1,KV$20=1), LI64, LG64)</f>
        <v>0</v>
      </c>
      <c r="LA64" s="12">
        <f t="shared" ref="LA64:LA69" si="459">LA$4 * IF(AND(KZ$4=1,KV$20=1), LI64, LG64)</f>
        <v>0</v>
      </c>
      <c r="LB64" s="12">
        <f t="shared" ref="LB64:LB69" si="460">LB$4 * IF(AND(LA$4=1,KV$20=1), LI64, LG64)</f>
        <v>0</v>
      </c>
      <c r="LC64" s="12">
        <f t="shared" ref="LC64:LC69" si="461">LC$4 * IF(AND(LB$4=1,KV$20=1), LI64, LG64)</f>
        <v>0</v>
      </c>
      <c r="LD64" s="12">
        <f t="shared" ref="LD64:LD69" si="462">LD$4 * IF(AND(LC$4=1,KV$20=1), LI64, LG64)</f>
        <v>0</v>
      </c>
      <c r="LF64" t="s">
        <v>1304</v>
      </c>
      <c r="LG64">
        <f>_xlfn.XLOOKUP(LF64,'KPI Impacts'!$B$2:$H$2,'KPI Impacts'!$B64:$H64)</f>
        <v>0</v>
      </c>
      <c r="LH64" s="9" t="s">
        <v>1304</v>
      </c>
      <c r="LI64">
        <f>_xlfn.XLOOKUP(LH64,'KPI Impacts'!$B$2:$H$2,'KPI Impacts'!$B64:$H64)</f>
        <v>0</v>
      </c>
      <c r="LL64" s="12">
        <f t="shared" ref="LL64:LL69" si="463">LL$4*LW64</f>
        <v>0</v>
      </c>
      <c r="LM64" s="12">
        <f t="shared" ref="LM64:LM69" si="464">LM$4 * IF(AND(LL$4=1,LL$20=1), LY64, LW64)</f>
        <v>0</v>
      </c>
      <c r="LN64" s="12">
        <f t="shared" ref="LN64:LN69" si="465">LN$4 * IF(AND(LM$4=1,LL$20=1), LY64, LW64)</f>
        <v>0</v>
      </c>
      <c r="LO64" s="12">
        <f t="shared" ref="LO64:LO69" si="466">LO$4 * IF(AND(LN$4=1,LL$20=1), LY64, LW64)</f>
        <v>0</v>
      </c>
      <c r="LP64" s="12">
        <f t="shared" ref="LP64:LP69" si="467">LP$4 * IF(AND(LO$4=1,LL$20=1), LY64, LW64)</f>
        <v>0</v>
      </c>
      <c r="LQ64" s="12">
        <f t="shared" ref="LQ64:LQ69" si="468">LQ$4 * IF(AND(LP$4=1,LL$20=1), LY64, LW64)</f>
        <v>0</v>
      </c>
      <c r="LR64" s="12">
        <f t="shared" ref="LR64:LR69" si="469">LR$4 * IF(AND(LQ$4=1,LL$20=1), LY64, LW64)</f>
        <v>0</v>
      </c>
      <c r="LS64" s="12">
        <f t="shared" ref="LS64:LS69" si="470">LS$4 * IF(AND(LR$4=1,LL$20=1), LY64, LW64)</f>
        <v>0</v>
      </c>
      <c r="LT64" s="12">
        <f t="shared" ref="LT64:LT69" si="471">LT$4 * IF(AND(LS$4=1,LL$20=1), LY64, LW64)</f>
        <v>0</v>
      </c>
      <c r="LV64" t="s">
        <v>1304</v>
      </c>
      <c r="LW64">
        <f>_xlfn.XLOOKUP(LV64,'KPI Impacts'!$B$2:$H$2,'KPI Impacts'!$B64:$H64)</f>
        <v>0</v>
      </c>
      <c r="LX64" s="9" t="s">
        <v>1304</v>
      </c>
      <c r="LY64">
        <f>_xlfn.XLOOKUP(LX64,'KPI Impacts'!$B$2:$H$2,'KPI Impacts'!$B64:$H64)</f>
        <v>0</v>
      </c>
      <c r="MB64" s="12">
        <f t="shared" ref="MB64:MB69" si="472">MB$4*MM64</f>
        <v>0</v>
      </c>
      <c r="MC64" s="12">
        <f t="shared" ref="MC64:MC69" si="473">MC$4 * IF(AND(MB$4=1,MB$20=1), MO64, MM64)</f>
        <v>0</v>
      </c>
      <c r="MD64" s="12">
        <f t="shared" ref="MD64:MD69" si="474">MD$4 * IF(AND(MC$4=1,MB$20=1), MO64, MM64)</f>
        <v>0</v>
      </c>
      <c r="ME64" s="12">
        <f t="shared" ref="ME64:ME69" si="475">ME$4 * IF(AND(MD$4=1,MB$20=1), MO64, MM64)</f>
        <v>0</v>
      </c>
      <c r="MF64" s="12">
        <f t="shared" ref="MF64:MF69" si="476">MF$4 * IF(AND(ME$4=1,MB$20=1), MO64, MM64)</f>
        <v>0</v>
      </c>
      <c r="MG64" s="12">
        <f t="shared" ref="MG64:MG69" si="477">MG$4 * IF(AND(MF$4=1,MB$20=1), MO64, MM64)</f>
        <v>0</v>
      </c>
      <c r="MH64" s="12">
        <f t="shared" ref="MH64:MH69" si="478">MH$4 * IF(AND(MG$4=1,MB$20=1), MO64, MM64)</f>
        <v>0</v>
      </c>
      <c r="MI64" s="12">
        <f t="shared" ref="MI64:MI69" si="479">MI$4 * IF(AND(MH$4=1,MB$20=1), MO64, MM64)</f>
        <v>0</v>
      </c>
      <c r="MJ64" s="12">
        <f t="shared" ref="MJ64:MJ69" si="480">MJ$4 * IF(AND(MI$4=1,MB$20=1), MO64, MM64)</f>
        <v>0</v>
      </c>
      <c r="ML64" t="s">
        <v>1304</v>
      </c>
      <c r="MM64">
        <f>_xlfn.XLOOKUP(ML64,'KPI Impacts'!$B$2:$H$2,'KPI Impacts'!$B64:$H64)</f>
        <v>0</v>
      </c>
      <c r="MN64" s="9" t="s">
        <v>1304</v>
      </c>
      <c r="MO64">
        <f>_xlfn.XLOOKUP(MN64,'KPI Impacts'!$B$2:$H$2,'KPI Impacts'!$B64:$H64)</f>
        <v>0</v>
      </c>
      <c r="MR64" s="12">
        <f t="shared" ref="MR64:MR69" si="481">MR$4*NC64</f>
        <v>0</v>
      </c>
      <c r="MS64" s="12">
        <f t="shared" ref="MS64:MS69" si="482">MS$4 * IF(AND(MR$4=1,MR$20=1), NE64, NC64)</f>
        <v>0</v>
      </c>
      <c r="MT64" s="12">
        <f t="shared" ref="MT64:MT69" si="483">MT$4 * IF(AND(MS$4=1,MR$20=1), NE64, NC64)</f>
        <v>0</v>
      </c>
      <c r="MU64" s="12">
        <f t="shared" ref="MU64:MU69" si="484">MU$4 * IF(AND(MT$4=1,MR$20=1), NE64, NC64)</f>
        <v>0</v>
      </c>
      <c r="MV64" s="12">
        <f t="shared" ref="MV64:MV69" si="485">MV$4 * IF(AND(MU$4=1,MR$20=1), NE64, NC64)</f>
        <v>0</v>
      </c>
      <c r="MW64" s="12">
        <f t="shared" ref="MW64:MW69" si="486">MW$4 * IF(AND(MV$4=1,MR$20=1), NE64, NC64)</f>
        <v>0</v>
      </c>
      <c r="MX64" s="12">
        <f t="shared" ref="MX64:MX69" si="487">MX$4 * IF(AND(MW$4=1,MR$20=1), NE64, NC64)</f>
        <v>0</v>
      </c>
      <c r="MY64" s="12">
        <f t="shared" ref="MY64:MY69" si="488">MY$4 * IF(AND(MX$4=1,MR$20=1), NE64, NC64)</f>
        <v>0</v>
      </c>
      <c r="MZ64" s="12">
        <f t="shared" ref="MZ64:MZ69" si="489">MZ$4 * IF(AND(MY$4=1,MR$20=1), NE64, NC64)</f>
        <v>0</v>
      </c>
      <c r="NB64" t="s">
        <v>1304</v>
      </c>
      <c r="NC64">
        <f>_xlfn.XLOOKUP(NB64,'KPI Impacts'!$B$2:$H$2,'KPI Impacts'!$B64:$H64)</f>
        <v>0</v>
      </c>
      <c r="ND64" s="9" t="s">
        <v>1304</v>
      </c>
      <c r="NE64">
        <f>_xlfn.XLOOKUP(ND64,'KPI Impacts'!$B$2:$H$2,'KPI Impacts'!$B64:$H64)</f>
        <v>0</v>
      </c>
      <c r="NH64" s="12">
        <f t="shared" ref="NH64:NH69" si="490">NH$4*NS64</f>
        <v>0</v>
      </c>
      <c r="NI64" s="12">
        <f t="shared" ref="NI64:NI69" si="491">NI$4 * IF(AND(NH$4=1,NH$20=1), NU64, NS64)</f>
        <v>0</v>
      </c>
      <c r="NJ64" s="12">
        <f t="shared" ref="NJ64:NJ69" si="492">NJ$4 * IF(AND(NI$4=1,NH$20=1), NU64, NS64)</f>
        <v>0</v>
      </c>
      <c r="NK64" s="12">
        <f t="shared" ref="NK64:NK69" si="493">NK$4 * IF(AND(NJ$4=1,NH$20=1), NU64, NS64)</f>
        <v>0</v>
      </c>
      <c r="NL64" s="12">
        <f t="shared" ref="NL64:NL69" si="494">NL$4 * IF(AND(NK$4=1,NH$20=1), NU64, NS64)</f>
        <v>0</v>
      </c>
      <c r="NM64" s="12">
        <f t="shared" ref="NM64:NM69" si="495">NM$4 * IF(AND(NL$4=1,NH$20=1), NU64, NS64)</f>
        <v>0</v>
      </c>
      <c r="NN64" s="12">
        <f t="shared" ref="NN64:NN69" si="496">NN$4 * IF(AND(NM$4=1,NH$20=1), NU64, NS64)</f>
        <v>0</v>
      </c>
      <c r="NO64" s="12">
        <f t="shared" ref="NO64:NO69" si="497">NO$4 * IF(AND(NN$4=1,NH$20=1), NU64, NS64)</f>
        <v>0</v>
      </c>
      <c r="NP64" s="12">
        <f t="shared" ref="NP64:NP69" si="498">NP$4 * IF(AND(NO$4=1,NH$20=1), NU64, NS64)</f>
        <v>0</v>
      </c>
      <c r="NR64" t="s">
        <v>1304</v>
      </c>
      <c r="NS64">
        <f>_xlfn.XLOOKUP(NR64,'KPI Impacts'!$B$2:$H$2,'KPI Impacts'!$B64:$H64)</f>
        <v>0</v>
      </c>
      <c r="NT64" s="9" t="s">
        <v>1304</v>
      </c>
      <c r="NU64">
        <f>_xlfn.XLOOKUP(NT64,'KPI Impacts'!$B$2:$H$2,'KPI Impacts'!$B64:$H64)</f>
        <v>0</v>
      </c>
      <c r="NX64" s="12">
        <f t="shared" ref="NX64:NX69" si="499">NX$4*OI64</f>
        <v>0</v>
      </c>
      <c r="NY64" s="12">
        <f t="shared" ref="NY64:NY69" si="500">NY$4 * IF(AND(NX$4=1,NX$20=1), OK64, OI64)</f>
        <v>0</v>
      </c>
      <c r="NZ64" s="12">
        <f t="shared" ref="NZ64:NZ69" si="501">NZ$4 * IF(AND(NY$4=1,NX$20=1), OK64, OI64)</f>
        <v>0</v>
      </c>
      <c r="OA64" s="12">
        <f t="shared" ref="OA64:OA69" si="502">OA$4 * IF(AND(NZ$4=1,NX$20=1), OK64, OI64)</f>
        <v>0</v>
      </c>
      <c r="OB64" s="12">
        <f t="shared" ref="OB64:OB69" si="503">OB$4 * IF(AND(OA$4=1,NX$20=1), OK64, OI64)</f>
        <v>0</v>
      </c>
      <c r="OC64" s="12">
        <f t="shared" ref="OC64:OC69" si="504">OC$4 * IF(AND(OB$4=1,NX$20=1), OK64, OI64)</f>
        <v>0</v>
      </c>
      <c r="OD64" s="12">
        <f t="shared" ref="OD64:OD69" si="505">OD$4 * IF(AND(OC$4=1,NX$20=1), OK64, OI64)</f>
        <v>0</v>
      </c>
      <c r="OE64" s="12">
        <f t="shared" ref="OE64:OE69" si="506">OE$4 * IF(AND(OD$4=1,NX$20=1), OK64, OI64)</f>
        <v>0</v>
      </c>
      <c r="OF64" s="12">
        <f t="shared" ref="OF64:OF69" si="507">OF$4 * IF(AND(OE$4=1,NX$20=1), OK64, OI64)</f>
        <v>0</v>
      </c>
      <c r="OH64" t="s">
        <v>1304</v>
      </c>
      <c r="OI64">
        <f>_xlfn.XLOOKUP(OH64,'KPI Impacts'!$B$2:$H$2,'KPI Impacts'!$B64:$H64)</f>
        <v>0</v>
      </c>
      <c r="OJ64" s="9" t="s">
        <v>1304</v>
      </c>
      <c r="OK64">
        <f>_xlfn.XLOOKUP(OJ64,'KPI Impacts'!$B$2:$H$2,'KPI Impacts'!$B64:$H64)</f>
        <v>0</v>
      </c>
    </row>
    <row r="65" spans="1:401" x14ac:dyDescent="0.2">
      <c r="A65" t="s">
        <v>47</v>
      </c>
      <c r="B65" s="12">
        <f t="shared" ref="B65:B69" si="508">P65+AH65+AZ65+BP65+CF65+CV65+DL65+EB65+ER65+FH65+FX65+GN65+HD65+HT65+IJ65+IZ65+JP65+KF65+KV65+LL65+MB65+MR65+NH65+NX65</f>
        <v>0</v>
      </c>
      <c r="C65" s="12">
        <f t="shared" si="309"/>
        <v>0</v>
      </c>
      <c r="D65" s="12">
        <f t="shared" si="309"/>
        <v>0</v>
      </c>
      <c r="E65" s="12">
        <f t="shared" si="309"/>
        <v>0</v>
      </c>
      <c r="F65" s="12">
        <f t="shared" si="309"/>
        <v>0</v>
      </c>
      <c r="G65" s="12">
        <f t="shared" si="309"/>
        <v>0</v>
      </c>
      <c r="H65" s="12">
        <f t="shared" si="309"/>
        <v>0</v>
      </c>
      <c r="I65" s="12">
        <f t="shared" si="309"/>
        <v>0</v>
      </c>
      <c r="J65" s="12">
        <f t="shared" si="309"/>
        <v>0</v>
      </c>
      <c r="P65" s="12" cm="1">
        <f t="array" ref="P65">_xlfn.SWITCH(P$4, 0,0, 1, AA65,2,AC65,3,AE65,0)</f>
        <v>0</v>
      </c>
      <c r="Q65" s="12" cm="1">
        <f t="array" ref="Q65">_xlfn.SWITCH(Q$4, 0,0, 1, AA65,2,AC65,3,AE65,0)+P65</f>
        <v>0</v>
      </c>
      <c r="R65" s="12" cm="1">
        <f t="array" ref="R65">_xlfn.SWITCH(R$4, 0,0, 1, AA65,2,AC65,3,AE65,0)+Q65</f>
        <v>0</v>
      </c>
      <c r="S65" s="12" cm="1">
        <f t="array" ref="S65">_xlfn.SWITCH(S$4, 0,0, 1, AA65,2,AC65,3,AE65,0)+R65</f>
        <v>0</v>
      </c>
      <c r="T65" s="12" cm="1">
        <f t="array" ref="T65">_xlfn.SWITCH(T$4, 0,0, 1, AA65,2,AC65,3,AE65,0)+S65</f>
        <v>0</v>
      </c>
      <c r="U65" s="12" cm="1">
        <f t="array" ref="U65">_xlfn.SWITCH(U$4, 0,0, 1, AA65,2,AC65,3,AE65,0)+T65</f>
        <v>0</v>
      </c>
      <c r="V65" s="12" cm="1">
        <f t="array" ref="V65">_xlfn.SWITCH(V$4, 0,0, 1, AA65,2,AC65,3,AE65,0)+U65</f>
        <v>0</v>
      </c>
      <c r="W65" s="12" cm="1">
        <f t="array" ref="W65">_xlfn.SWITCH(W$4, 0,0, 1, AA65,2,AC65,3,AE65,0)+V65</f>
        <v>0</v>
      </c>
      <c r="X65" s="12" cm="1">
        <f t="array" ref="X65">_xlfn.SWITCH(X$4, 0,0, 1, AA65,2,AC65,3,AE65,0)+W65</f>
        <v>0</v>
      </c>
      <c r="Z65" t="s">
        <v>1304</v>
      </c>
      <c r="AA65">
        <f>_xlfn.XLOOKUP(Z65,'KPI Impacts'!$K$2:$Q$2,'KPI Impacts'!$K65:$Q65)</f>
        <v>0</v>
      </c>
      <c r="AB65" t="s">
        <v>1304</v>
      </c>
      <c r="AC65">
        <f>_xlfn.XLOOKUP(AB65,'KPI Impacts'!$K$2:$Q$2,'KPI Impacts'!$K65:$Q65)</f>
        <v>0</v>
      </c>
      <c r="AD65" t="s">
        <v>1304</v>
      </c>
      <c r="AE65">
        <f>_xlfn.XLOOKUP(AD65,'KPI Impacts'!$K$2:$Q$2,'KPI Impacts'!$K65:$Q65)</f>
        <v>0</v>
      </c>
      <c r="AH65" s="12" cm="1">
        <f t="array" ref="AH65">_xlfn.SWITCH(AH$4, 0,0, 1, AS65,2,AU65,3,AW65,0)</f>
        <v>0</v>
      </c>
      <c r="AI65" s="12" cm="1">
        <f t="array" ref="AI65">_xlfn.SWITCH(AI$4, 0,0, 1, AS65,2,AU65,3,AW65,0)+AH65</f>
        <v>0</v>
      </c>
      <c r="AJ65" s="12" cm="1">
        <f t="array" ref="AJ65">_xlfn.SWITCH(AJ$4, 0,0, 1, AS65,2,AU65,3,AW65,0)+AI65</f>
        <v>0</v>
      </c>
      <c r="AK65" s="12" cm="1">
        <f t="array" ref="AK65">_xlfn.SWITCH(AK$4, 0,0, 1, AS65,2,AU65,3,AW65,0)+AJ65</f>
        <v>0</v>
      </c>
      <c r="AL65" s="12" cm="1">
        <f t="array" ref="AL65">_xlfn.SWITCH(AL$4, 0,0, 1, AS65,2,AU65,3,AW65,0)+AK65</f>
        <v>0</v>
      </c>
      <c r="AM65" s="12" cm="1">
        <f t="array" ref="AM65">_xlfn.SWITCH(AM$4, 0,0, 1, AS65,2,AU65,3,AW65,0)+AL65</f>
        <v>0</v>
      </c>
      <c r="AN65" s="12" cm="1">
        <f t="array" ref="AN65">_xlfn.SWITCH(AN$4, 0,0, 1, AS65,2,AU65,3,AW65,0)+AM65</f>
        <v>0</v>
      </c>
      <c r="AO65" s="12" cm="1">
        <f t="array" ref="AO65">_xlfn.SWITCH(AO$4, 0,0, 1, AS65,2,AU65,3,AW65,0)+AN65</f>
        <v>0</v>
      </c>
      <c r="AP65" s="12" cm="1">
        <f t="array" ref="AP65">_xlfn.SWITCH(AP$4, 0,0, 1, AS65,2,AU65,3,AW65,0)+AO65</f>
        <v>0</v>
      </c>
      <c r="AR65" t="s">
        <v>1304</v>
      </c>
      <c r="AS65">
        <f>_xlfn.XLOOKUP(AR65,'KPI Impacts'!$K$2:$Q$2,'KPI Impacts'!$K65:$Q65)</f>
        <v>0</v>
      </c>
      <c r="AT65" t="s">
        <v>1304</v>
      </c>
      <c r="AU65">
        <f>_xlfn.XLOOKUP(AT65,'KPI Impacts'!$K$2:$Q$2,'KPI Impacts'!$K65:$Q65)</f>
        <v>0</v>
      </c>
      <c r="AV65" t="s">
        <v>1304</v>
      </c>
      <c r="AW65">
        <f>_xlfn.XLOOKUP(AV65,'KPI Impacts'!$K$2:$Q$2,'KPI Impacts'!$K65:$Q65)</f>
        <v>0</v>
      </c>
      <c r="AZ65" s="12">
        <f t="shared" si="310"/>
        <v>0</v>
      </c>
      <c r="BA65" s="12">
        <f t="shared" si="311"/>
        <v>0</v>
      </c>
      <c r="BB65" s="12">
        <f t="shared" si="312"/>
        <v>0</v>
      </c>
      <c r="BC65" s="12">
        <f t="shared" si="313"/>
        <v>0</v>
      </c>
      <c r="BD65" s="12">
        <f t="shared" si="314"/>
        <v>0</v>
      </c>
      <c r="BE65" s="12">
        <f t="shared" si="315"/>
        <v>0</v>
      </c>
      <c r="BF65" s="12">
        <f t="shared" si="316"/>
        <v>0</v>
      </c>
      <c r="BG65" s="12">
        <f t="shared" si="317"/>
        <v>0</v>
      </c>
      <c r="BH65" s="12">
        <f t="shared" si="318"/>
        <v>0</v>
      </c>
      <c r="BJ65" s="16" t="s">
        <v>1304</v>
      </c>
      <c r="BK65">
        <f>_xlfn.XLOOKUP(BJ65,'KPI Impacts'!$B$2:$H$2,'KPI Impacts'!$B65:$H65)</f>
        <v>0</v>
      </c>
      <c r="BL65" s="35" t="s">
        <v>1304</v>
      </c>
      <c r="BM65">
        <f>_xlfn.XLOOKUP(BL65,'KPI Impacts'!$B$2:$H$2,'KPI Impacts'!$B65:$H65)</f>
        <v>0</v>
      </c>
      <c r="BP65" s="12">
        <f t="shared" si="319"/>
        <v>0</v>
      </c>
      <c r="BQ65" s="12">
        <f t="shared" si="320"/>
        <v>0</v>
      </c>
      <c r="BR65" s="12">
        <f t="shared" si="321"/>
        <v>0</v>
      </c>
      <c r="BS65" s="12">
        <f t="shared" si="322"/>
        <v>0</v>
      </c>
      <c r="BT65" s="12">
        <f t="shared" si="323"/>
        <v>0</v>
      </c>
      <c r="BU65" s="12">
        <f t="shared" si="324"/>
        <v>0</v>
      </c>
      <c r="BV65" s="12">
        <f t="shared" si="325"/>
        <v>0</v>
      </c>
      <c r="BW65" s="12">
        <f t="shared" si="326"/>
        <v>0</v>
      </c>
      <c r="BX65" s="12">
        <f t="shared" si="327"/>
        <v>0</v>
      </c>
      <c r="BZ65" s="16" t="s">
        <v>1304</v>
      </c>
      <c r="CA65">
        <f>_xlfn.XLOOKUP(BZ65,'KPI Impacts'!$B$2:$H$2,'KPI Impacts'!$B65:$H65)</f>
        <v>0</v>
      </c>
      <c r="CB65" s="35" t="s">
        <v>1304</v>
      </c>
      <c r="CC65">
        <f>_xlfn.XLOOKUP(CB65,'KPI Impacts'!$B$2:$H$2,'KPI Impacts'!$B65:$H65)</f>
        <v>0</v>
      </c>
      <c r="CF65" s="12">
        <f t="shared" si="328"/>
        <v>0</v>
      </c>
      <c r="CG65" s="12">
        <f t="shared" si="329"/>
        <v>0</v>
      </c>
      <c r="CH65" s="12">
        <f t="shared" si="330"/>
        <v>0</v>
      </c>
      <c r="CI65" s="12">
        <f t="shared" si="331"/>
        <v>0</v>
      </c>
      <c r="CJ65" s="12">
        <f t="shared" si="332"/>
        <v>0</v>
      </c>
      <c r="CK65" s="12">
        <f t="shared" si="333"/>
        <v>0</v>
      </c>
      <c r="CL65" s="12">
        <f t="shared" si="334"/>
        <v>0</v>
      </c>
      <c r="CM65" s="12">
        <f t="shared" si="335"/>
        <v>0</v>
      </c>
      <c r="CN65" s="12">
        <f t="shared" si="336"/>
        <v>0</v>
      </c>
      <c r="CP65" s="16" t="s">
        <v>1304</v>
      </c>
      <c r="CQ65">
        <f>_xlfn.XLOOKUP(CP65,'KPI Impacts'!$B$2:$H$2,'KPI Impacts'!$B65:$H65)</f>
        <v>0</v>
      </c>
      <c r="CR65" s="35" t="s">
        <v>1304</v>
      </c>
      <c r="CS65">
        <f>_xlfn.XLOOKUP(CR65,'KPI Impacts'!$B$2:$H$2,'KPI Impacts'!$B65:$H65)</f>
        <v>0</v>
      </c>
      <c r="CV65" s="12">
        <f t="shared" si="337"/>
        <v>0</v>
      </c>
      <c r="CW65" s="12">
        <f t="shared" si="338"/>
        <v>0</v>
      </c>
      <c r="CX65" s="12">
        <f t="shared" si="339"/>
        <v>0</v>
      </c>
      <c r="CY65" s="12">
        <f t="shared" si="340"/>
        <v>0</v>
      </c>
      <c r="CZ65" s="12">
        <f t="shared" si="341"/>
        <v>0</v>
      </c>
      <c r="DA65" s="12">
        <f t="shared" si="342"/>
        <v>0</v>
      </c>
      <c r="DB65" s="12">
        <f t="shared" si="343"/>
        <v>0</v>
      </c>
      <c r="DC65" s="12">
        <f t="shared" si="344"/>
        <v>0</v>
      </c>
      <c r="DD65" s="12">
        <f t="shared" si="345"/>
        <v>0</v>
      </c>
      <c r="DF65" s="16" t="s">
        <v>1304</v>
      </c>
      <c r="DG65">
        <f>_xlfn.XLOOKUP(DF65,'KPI Impacts'!$B$2:$H$2,'KPI Impacts'!$B65:$H65)</f>
        <v>0</v>
      </c>
      <c r="DH65" s="35" t="s">
        <v>1304</v>
      </c>
      <c r="DI65">
        <f>_xlfn.XLOOKUP(DH65,'KPI Impacts'!$B$2:$H$2,'KPI Impacts'!$B65:$H65)</f>
        <v>0</v>
      </c>
      <c r="DL65" s="12">
        <f t="shared" si="346"/>
        <v>0</v>
      </c>
      <c r="DM65" s="12">
        <f t="shared" si="347"/>
        <v>0</v>
      </c>
      <c r="DN65" s="12">
        <f t="shared" si="348"/>
        <v>0</v>
      </c>
      <c r="DO65" s="12">
        <f t="shared" si="349"/>
        <v>0</v>
      </c>
      <c r="DP65" s="12">
        <f t="shared" si="350"/>
        <v>0</v>
      </c>
      <c r="DQ65" s="12">
        <f t="shared" si="351"/>
        <v>0</v>
      </c>
      <c r="DR65" s="12">
        <f t="shared" si="352"/>
        <v>0</v>
      </c>
      <c r="DS65" s="12">
        <f t="shared" si="353"/>
        <v>0</v>
      </c>
      <c r="DT65" s="12">
        <f t="shared" si="354"/>
        <v>0</v>
      </c>
      <c r="DV65" s="16" t="s">
        <v>1304</v>
      </c>
      <c r="DW65">
        <f>_xlfn.XLOOKUP(DV65,'KPI Impacts'!$B$2:$H$2,'KPI Impacts'!$B65:$H65)</f>
        <v>0</v>
      </c>
      <c r="DX65" s="35" t="s">
        <v>1304</v>
      </c>
      <c r="DY65">
        <f>_xlfn.XLOOKUP(DX65,'KPI Impacts'!$B$2:$H$2,'KPI Impacts'!$B65:$H65)</f>
        <v>0</v>
      </c>
      <c r="EB65" s="12">
        <f t="shared" si="355"/>
        <v>0</v>
      </c>
      <c r="EC65" s="12">
        <f t="shared" si="356"/>
        <v>0</v>
      </c>
      <c r="ED65" s="12">
        <f t="shared" si="357"/>
        <v>0</v>
      </c>
      <c r="EE65" s="12">
        <f t="shared" si="358"/>
        <v>0</v>
      </c>
      <c r="EF65" s="12">
        <f t="shared" si="359"/>
        <v>0</v>
      </c>
      <c r="EG65" s="12">
        <f t="shared" si="360"/>
        <v>0</v>
      </c>
      <c r="EH65" s="12">
        <f t="shared" si="361"/>
        <v>0</v>
      </c>
      <c r="EI65" s="12">
        <f t="shared" si="362"/>
        <v>0</v>
      </c>
      <c r="EJ65" s="12">
        <f t="shared" si="363"/>
        <v>0</v>
      </c>
      <c r="EL65" s="16" t="s">
        <v>1304</v>
      </c>
      <c r="EM65">
        <f>_xlfn.XLOOKUP(EL65,'KPI Impacts'!$B$2:$H$2,'KPI Impacts'!$B65:$H65)</f>
        <v>0</v>
      </c>
      <c r="EN65" s="35" t="s">
        <v>1304</v>
      </c>
      <c r="EO65">
        <f>_xlfn.XLOOKUP(EN65,'KPI Impacts'!$B$2:$H$2,'KPI Impacts'!$B65:$H65)</f>
        <v>0</v>
      </c>
      <c r="ER65" s="12">
        <f t="shared" si="364"/>
        <v>0</v>
      </c>
      <c r="ES65" s="12">
        <f t="shared" si="365"/>
        <v>0</v>
      </c>
      <c r="ET65" s="12">
        <f t="shared" si="366"/>
        <v>0</v>
      </c>
      <c r="EU65" s="12">
        <f t="shared" si="367"/>
        <v>0</v>
      </c>
      <c r="EV65" s="12">
        <f t="shared" si="368"/>
        <v>0</v>
      </c>
      <c r="EW65" s="12">
        <f t="shared" si="369"/>
        <v>0</v>
      </c>
      <c r="EX65" s="12">
        <f t="shared" si="370"/>
        <v>0</v>
      </c>
      <c r="EY65" s="12">
        <f t="shared" si="371"/>
        <v>0</v>
      </c>
      <c r="EZ65" s="12">
        <f t="shared" si="372"/>
        <v>0</v>
      </c>
      <c r="FB65" s="16" t="s">
        <v>1304</v>
      </c>
      <c r="FC65">
        <f>_xlfn.XLOOKUP(FB65,'KPI Impacts'!$B$2:$H$2,'KPI Impacts'!$B65:$H65)</f>
        <v>0</v>
      </c>
      <c r="FD65" s="35" t="s">
        <v>1304</v>
      </c>
      <c r="FE65">
        <f>_xlfn.XLOOKUP(FD65,'KPI Impacts'!$B$2:$H$2,'KPI Impacts'!$B65:$H65)</f>
        <v>0</v>
      </c>
      <c r="FH65" s="12">
        <f t="shared" si="373"/>
        <v>0</v>
      </c>
      <c r="FI65" s="12">
        <f t="shared" si="374"/>
        <v>0</v>
      </c>
      <c r="FJ65" s="12">
        <f t="shared" si="375"/>
        <v>0</v>
      </c>
      <c r="FK65" s="12">
        <f t="shared" si="376"/>
        <v>0</v>
      </c>
      <c r="FL65" s="12">
        <f t="shared" si="377"/>
        <v>0</v>
      </c>
      <c r="FM65" s="12">
        <f t="shared" si="378"/>
        <v>0</v>
      </c>
      <c r="FN65" s="12">
        <f t="shared" si="379"/>
        <v>0</v>
      </c>
      <c r="FO65" s="12">
        <f t="shared" si="380"/>
        <v>0</v>
      </c>
      <c r="FP65" s="12">
        <f t="shared" si="381"/>
        <v>0</v>
      </c>
      <c r="FR65" s="16" t="s">
        <v>1304</v>
      </c>
      <c r="FS65">
        <f>_xlfn.XLOOKUP(FR65,'KPI Impacts'!$B$2:$H$2,'KPI Impacts'!$B65:$H65)</f>
        <v>0</v>
      </c>
      <c r="FT65" s="35" t="s">
        <v>1304</v>
      </c>
      <c r="FU65">
        <f>_xlfn.XLOOKUP(FT65,'KPI Impacts'!$B$2:$H$2,'KPI Impacts'!$B65:$H65)</f>
        <v>0</v>
      </c>
      <c r="FX65" s="12">
        <f t="shared" si="382"/>
        <v>0</v>
      </c>
      <c r="FY65" s="12">
        <f t="shared" si="383"/>
        <v>0</v>
      </c>
      <c r="FZ65" s="12">
        <f t="shared" si="384"/>
        <v>0</v>
      </c>
      <c r="GA65" s="12">
        <f t="shared" si="385"/>
        <v>0</v>
      </c>
      <c r="GB65" s="12">
        <f t="shared" si="386"/>
        <v>0</v>
      </c>
      <c r="GC65" s="12">
        <f t="shared" si="387"/>
        <v>0</v>
      </c>
      <c r="GD65" s="12">
        <f t="shared" si="388"/>
        <v>0</v>
      </c>
      <c r="GE65" s="12">
        <f t="shared" si="389"/>
        <v>0</v>
      </c>
      <c r="GF65" s="12">
        <f t="shared" si="390"/>
        <v>0</v>
      </c>
      <c r="GH65" s="16" t="s">
        <v>1304</v>
      </c>
      <c r="GI65">
        <f>_xlfn.XLOOKUP(GH65,'KPI Impacts'!$B$2:$H$2,'KPI Impacts'!$B65:$H65)</f>
        <v>0</v>
      </c>
      <c r="GJ65" s="35" t="s">
        <v>1304</v>
      </c>
      <c r="GK65">
        <f>_xlfn.XLOOKUP(GJ65,'KPI Impacts'!$B$2:$H$2,'KPI Impacts'!$B65:$H65)</f>
        <v>0</v>
      </c>
      <c r="GN65" s="12">
        <f t="shared" si="391"/>
        <v>0</v>
      </c>
      <c r="GO65" s="12">
        <f t="shared" si="392"/>
        <v>0</v>
      </c>
      <c r="GP65" s="12">
        <f t="shared" si="393"/>
        <v>0</v>
      </c>
      <c r="GQ65" s="12">
        <f t="shared" si="394"/>
        <v>0</v>
      </c>
      <c r="GR65" s="12">
        <f t="shared" si="395"/>
        <v>0</v>
      </c>
      <c r="GS65" s="12">
        <f t="shared" si="396"/>
        <v>0</v>
      </c>
      <c r="GT65" s="12">
        <f t="shared" si="397"/>
        <v>0</v>
      </c>
      <c r="GU65" s="12">
        <f t="shared" si="398"/>
        <v>0</v>
      </c>
      <c r="GV65" s="12">
        <f t="shared" si="399"/>
        <v>0</v>
      </c>
      <c r="GX65" s="16" t="s">
        <v>1304</v>
      </c>
      <c r="GY65">
        <f>_xlfn.XLOOKUP(GX65,'KPI Impacts'!$B$2:$H$2,'KPI Impacts'!$B65:$H65)</f>
        <v>0</v>
      </c>
      <c r="GZ65" s="35" t="s">
        <v>1304</v>
      </c>
      <c r="HA65">
        <f>_xlfn.XLOOKUP(GZ65,'KPI Impacts'!$B$2:$H$2,'KPI Impacts'!$B65:$H65)</f>
        <v>0</v>
      </c>
      <c r="HD65" s="12">
        <f t="shared" si="400"/>
        <v>0</v>
      </c>
      <c r="HE65" s="12">
        <f t="shared" si="401"/>
        <v>0</v>
      </c>
      <c r="HF65" s="12">
        <f t="shared" si="402"/>
        <v>0</v>
      </c>
      <c r="HG65" s="12">
        <f t="shared" si="403"/>
        <v>0</v>
      </c>
      <c r="HH65" s="12">
        <f t="shared" si="404"/>
        <v>0</v>
      </c>
      <c r="HI65" s="12">
        <f t="shared" si="405"/>
        <v>0</v>
      </c>
      <c r="HJ65" s="12">
        <f t="shared" si="406"/>
        <v>0</v>
      </c>
      <c r="HK65" s="12">
        <f t="shared" si="407"/>
        <v>0</v>
      </c>
      <c r="HL65" s="12">
        <f t="shared" si="408"/>
        <v>0</v>
      </c>
      <c r="HN65" s="16" t="s">
        <v>1304</v>
      </c>
      <c r="HO65">
        <f>_xlfn.XLOOKUP(HN65,'KPI Impacts'!$B$2:$H$2,'KPI Impacts'!$B65:$H65)</f>
        <v>0</v>
      </c>
      <c r="HP65" s="35" t="s">
        <v>1304</v>
      </c>
      <c r="HQ65">
        <f>_xlfn.XLOOKUP(HP65,'KPI Impacts'!$B$2:$H$2,'KPI Impacts'!$B65:$H65)</f>
        <v>0</v>
      </c>
      <c r="HT65" s="12">
        <f t="shared" si="409"/>
        <v>0</v>
      </c>
      <c r="HU65" s="12">
        <f t="shared" si="410"/>
        <v>0</v>
      </c>
      <c r="HV65" s="12">
        <f t="shared" si="411"/>
        <v>0</v>
      </c>
      <c r="HW65" s="12">
        <f t="shared" si="412"/>
        <v>0</v>
      </c>
      <c r="HX65" s="12">
        <f t="shared" si="413"/>
        <v>0</v>
      </c>
      <c r="HY65" s="12">
        <f t="shared" si="414"/>
        <v>0</v>
      </c>
      <c r="HZ65" s="12">
        <f t="shared" si="415"/>
        <v>0</v>
      </c>
      <c r="IA65" s="12">
        <f t="shared" si="416"/>
        <v>0</v>
      </c>
      <c r="IB65" s="12">
        <f t="shared" si="417"/>
        <v>0</v>
      </c>
      <c r="ID65" s="16" t="s">
        <v>1304</v>
      </c>
      <c r="IE65">
        <f>_xlfn.XLOOKUP(ID65,'KPI Impacts'!$B$2:$H$2,'KPI Impacts'!$B65:$H65)</f>
        <v>0</v>
      </c>
      <c r="IF65" s="9" t="s">
        <v>1304</v>
      </c>
      <c r="IG65">
        <f>_xlfn.XLOOKUP(IF65,'KPI Impacts'!$B$2:$H$2,'KPI Impacts'!$B65:$H65)</f>
        <v>0</v>
      </c>
      <c r="IJ65" s="12">
        <f t="shared" si="418"/>
        <v>0</v>
      </c>
      <c r="IK65" s="12">
        <f t="shared" si="419"/>
        <v>0</v>
      </c>
      <c r="IL65" s="12">
        <f t="shared" si="420"/>
        <v>0</v>
      </c>
      <c r="IM65" s="12">
        <f t="shared" si="421"/>
        <v>0</v>
      </c>
      <c r="IN65" s="12">
        <f t="shared" si="422"/>
        <v>0</v>
      </c>
      <c r="IO65" s="12">
        <f t="shared" si="423"/>
        <v>0</v>
      </c>
      <c r="IP65" s="12">
        <f t="shared" si="424"/>
        <v>0</v>
      </c>
      <c r="IQ65" s="12">
        <f t="shared" si="425"/>
        <v>0</v>
      </c>
      <c r="IR65" s="12">
        <f t="shared" si="426"/>
        <v>0</v>
      </c>
      <c r="IT65" s="16" t="s">
        <v>1304</v>
      </c>
      <c r="IU65">
        <f>_xlfn.XLOOKUP(IT65,'KPI Impacts'!$B$2:$H$2,'KPI Impacts'!$B65:$H65)</f>
        <v>0</v>
      </c>
      <c r="IV65" s="9" t="s">
        <v>1304</v>
      </c>
      <c r="IW65">
        <f>_xlfn.XLOOKUP(IV65,'KPI Impacts'!$B$2:$H$2,'KPI Impacts'!$B65:$H65)</f>
        <v>0</v>
      </c>
      <c r="IZ65" s="12">
        <f t="shared" si="427"/>
        <v>0</v>
      </c>
      <c r="JA65" s="12">
        <f t="shared" si="428"/>
        <v>0</v>
      </c>
      <c r="JB65" s="12">
        <f t="shared" si="429"/>
        <v>0</v>
      </c>
      <c r="JC65" s="12">
        <f t="shared" si="430"/>
        <v>0</v>
      </c>
      <c r="JD65" s="12">
        <f t="shared" si="431"/>
        <v>0</v>
      </c>
      <c r="JE65" s="12">
        <f t="shared" si="432"/>
        <v>0</v>
      </c>
      <c r="JF65" s="12">
        <f t="shared" si="433"/>
        <v>0</v>
      </c>
      <c r="JG65" s="12">
        <f t="shared" si="434"/>
        <v>0</v>
      </c>
      <c r="JH65" s="12">
        <f t="shared" si="435"/>
        <v>0</v>
      </c>
      <c r="JJ65" t="s">
        <v>1304</v>
      </c>
      <c r="JK65">
        <f>_xlfn.XLOOKUP(JJ65,'KPI Impacts'!$B$2:$H$2,'KPI Impacts'!$B65:$H65)</f>
        <v>0</v>
      </c>
      <c r="JL65" s="9" t="s">
        <v>1304</v>
      </c>
      <c r="JM65">
        <f>_xlfn.XLOOKUP(JL65,'KPI Impacts'!$B$2:$H$2,'KPI Impacts'!$B65:$H65)</f>
        <v>0</v>
      </c>
      <c r="JP65" s="12">
        <f t="shared" si="436"/>
        <v>0</v>
      </c>
      <c r="JQ65" s="12">
        <f t="shared" si="437"/>
        <v>0</v>
      </c>
      <c r="JR65" s="12">
        <f t="shared" si="438"/>
        <v>0</v>
      </c>
      <c r="JS65" s="12">
        <f t="shared" si="439"/>
        <v>0</v>
      </c>
      <c r="JT65" s="12">
        <f t="shared" si="440"/>
        <v>0</v>
      </c>
      <c r="JU65" s="12">
        <f t="shared" si="441"/>
        <v>0</v>
      </c>
      <c r="JV65" s="12">
        <f t="shared" si="442"/>
        <v>0</v>
      </c>
      <c r="JW65" s="12">
        <f t="shared" si="443"/>
        <v>0</v>
      </c>
      <c r="JX65" s="12">
        <f t="shared" si="444"/>
        <v>0</v>
      </c>
      <c r="JZ65" t="s">
        <v>1304</v>
      </c>
      <c r="KA65">
        <f>_xlfn.XLOOKUP(JZ65,'KPI Impacts'!$B$2:$H$2,'KPI Impacts'!$B65:$H65)</f>
        <v>0</v>
      </c>
      <c r="KB65" s="9" t="s">
        <v>1304</v>
      </c>
      <c r="KC65">
        <f>_xlfn.XLOOKUP(KB65,'KPI Impacts'!$B$2:$H$2,'KPI Impacts'!$B65:$H65)</f>
        <v>0</v>
      </c>
      <c r="KF65" s="12">
        <f t="shared" si="445"/>
        <v>0</v>
      </c>
      <c r="KG65" s="12">
        <f t="shared" si="446"/>
        <v>0</v>
      </c>
      <c r="KH65" s="12">
        <f t="shared" si="447"/>
        <v>0</v>
      </c>
      <c r="KI65" s="12">
        <f t="shared" si="448"/>
        <v>0</v>
      </c>
      <c r="KJ65" s="12">
        <f t="shared" si="449"/>
        <v>0</v>
      </c>
      <c r="KK65" s="12">
        <f t="shared" si="450"/>
        <v>0</v>
      </c>
      <c r="KL65" s="12">
        <f t="shared" si="451"/>
        <v>0</v>
      </c>
      <c r="KM65" s="12">
        <f t="shared" si="452"/>
        <v>0</v>
      </c>
      <c r="KN65" s="12">
        <f t="shared" si="453"/>
        <v>0</v>
      </c>
      <c r="KP65" t="s">
        <v>1304</v>
      </c>
      <c r="KQ65">
        <f>_xlfn.XLOOKUP(KP65,'KPI Impacts'!$B$2:$H$2,'KPI Impacts'!$B65:$H65)</f>
        <v>0</v>
      </c>
      <c r="KR65" s="9" t="s">
        <v>1304</v>
      </c>
      <c r="KS65">
        <f>_xlfn.XLOOKUP(KR65,'KPI Impacts'!$B$2:$H$2,'KPI Impacts'!$B65:$H65)</f>
        <v>0</v>
      </c>
      <c r="KV65" s="12">
        <f t="shared" si="454"/>
        <v>0</v>
      </c>
      <c r="KW65" s="12">
        <f t="shared" si="455"/>
        <v>0</v>
      </c>
      <c r="KX65" s="12">
        <f t="shared" si="456"/>
        <v>0</v>
      </c>
      <c r="KY65" s="12">
        <f t="shared" si="457"/>
        <v>0</v>
      </c>
      <c r="KZ65" s="12">
        <f t="shared" si="458"/>
        <v>0</v>
      </c>
      <c r="LA65" s="12">
        <f t="shared" si="459"/>
        <v>0</v>
      </c>
      <c r="LB65" s="12">
        <f t="shared" si="460"/>
        <v>0</v>
      </c>
      <c r="LC65" s="12">
        <f t="shared" si="461"/>
        <v>0</v>
      </c>
      <c r="LD65" s="12">
        <f t="shared" si="462"/>
        <v>0</v>
      </c>
      <c r="LF65" t="s">
        <v>1304</v>
      </c>
      <c r="LG65">
        <f>_xlfn.XLOOKUP(LF65,'KPI Impacts'!$B$2:$H$2,'KPI Impacts'!$B65:$H65)</f>
        <v>0</v>
      </c>
      <c r="LH65" s="9" t="s">
        <v>1304</v>
      </c>
      <c r="LI65">
        <f>_xlfn.XLOOKUP(LH65,'KPI Impacts'!$B$2:$H$2,'KPI Impacts'!$B65:$H65)</f>
        <v>0</v>
      </c>
      <c r="LL65" s="12">
        <f t="shared" si="463"/>
        <v>0</v>
      </c>
      <c r="LM65" s="12">
        <f t="shared" si="464"/>
        <v>0</v>
      </c>
      <c r="LN65" s="12">
        <f t="shared" si="465"/>
        <v>0</v>
      </c>
      <c r="LO65" s="12">
        <f t="shared" si="466"/>
        <v>0</v>
      </c>
      <c r="LP65" s="12">
        <f t="shared" si="467"/>
        <v>0</v>
      </c>
      <c r="LQ65" s="12">
        <f t="shared" si="468"/>
        <v>0</v>
      </c>
      <c r="LR65" s="12">
        <f t="shared" si="469"/>
        <v>0</v>
      </c>
      <c r="LS65" s="12">
        <f t="shared" si="470"/>
        <v>0</v>
      </c>
      <c r="LT65" s="12">
        <f t="shared" si="471"/>
        <v>0</v>
      </c>
      <c r="LV65" t="s">
        <v>1304</v>
      </c>
      <c r="LW65">
        <f>_xlfn.XLOOKUP(LV65,'KPI Impacts'!$B$2:$H$2,'KPI Impacts'!$B65:$H65)</f>
        <v>0</v>
      </c>
      <c r="LX65" s="9" t="s">
        <v>1304</v>
      </c>
      <c r="LY65">
        <f>_xlfn.XLOOKUP(LX65,'KPI Impacts'!$B$2:$H$2,'KPI Impacts'!$B65:$H65)</f>
        <v>0</v>
      </c>
      <c r="MB65" s="12">
        <f t="shared" si="472"/>
        <v>0</v>
      </c>
      <c r="MC65" s="12">
        <f t="shared" si="473"/>
        <v>0</v>
      </c>
      <c r="MD65" s="12">
        <f t="shared" si="474"/>
        <v>0</v>
      </c>
      <c r="ME65" s="12">
        <f t="shared" si="475"/>
        <v>0</v>
      </c>
      <c r="MF65" s="12">
        <f t="shared" si="476"/>
        <v>0</v>
      </c>
      <c r="MG65" s="12">
        <f t="shared" si="477"/>
        <v>0</v>
      </c>
      <c r="MH65" s="12">
        <f t="shared" si="478"/>
        <v>0</v>
      </c>
      <c r="MI65" s="12">
        <f t="shared" si="479"/>
        <v>0</v>
      </c>
      <c r="MJ65" s="12">
        <f t="shared" si="480"/>
        <v>0</v>
      </c>
      <c r="ML65" t="s">
        <v>1304</v>
      </c>
      <c r="MM65">
        <f>_xlfn.XLOOKUP(ML65,'KPI Impacts'!$B$2:$H$2,'KPI Impacts'!$B65:$H65)</f>
        <v>0</v>
      </c>
      <c r="MN65" s="9" t="s">
        <v>1304</v>
      </c>
      <c r="MO65">
        <f>_xlfn.XLOOKUP(MN65,'KPI Impacts'!$B$2:$H$2,'KPI Impacts'!$B65:$H65)</f>
        <v>0</v>
      </c>
      <c r="MR65" s="12">
        <f t="shared" si="481"/>
        <v>0</v>
      </c>
      <c r="MS65" s="12">
        <f t="shared" si="482"/>
        <v>0</v>
      </c>
      <c r="MT65" s="12">
        <f t="shared" si="483"/>
        <v>0</v>
      </c>
      <c r="MU65" s="12">
        <f t="shared" si="484"/>
        <v>0</v>
      </c>
      <c r="MV65" s="12">
        <f t="shared" si="485"/>
        <v>0</v>
      </c>
      <c r="MW65" s="12">
        <f t="shared" si="486"/>
        <v>0</v>
      </c>
      <c r="MX65" s="12">
        <f t="shared" si="487"/>
        <v>0</v>
      </c>
      <c r="MY65" s="12">
        <f t="shared" si="488"/>
        <v>0</v>
      </c>
      <c r="MZ65" s="12">
        <f t="shared" si="489"/>
        <v>0</v>
      </c>
      <c r="NB65" t="s">
        <v>1304</v>
      </c>
      <c r="NC65">
        <f>_xlfn.XLOOKUP(NB65,'KPI Impacts'!$B$2:$H$2,'KPI Impacts'!$B65:$H65)</f>
        <v>0</v>
      </c>
      <c r="ND65" s="9" t="s">
        <v>1304</v>
      </c>
      <c r="NE65">
        <f>_xlfn.XLOOKUP(ND65,'KPI Impacts'!$B$2:$H$2,'KPI Impacts'!$B65:$H65)</f>
        <v>0</v>
      </c>
      <c r="NH65" s="12">
        <f t="shared" si="490"/>
        <v>0</v>
      </c>
      <c r="NI65" s="12">
        <f t="shared" si="491"/>
        <v>0</v>
      </c>
      <c r="NJ65" s="12">
        <f t="shared" si="492"/>
        <v>0</v>
      </c>
      <c r="NK65" s="12">
        <f t="shared" si="493"/>
        <v>0</v>
      </c>
      <c r="NL65" s="12">
        <f t="shared" si="494"/>
        <v>0</v>
      </c>
      <c r="NM65" s="12">
        <f t="shared" si="495"/>
        <v>0</v>
      </c>
      <c r="NN65" s="12">
        <f t="shared" si="496"/>
        <v>0</v>
      </c>
      <c r="NO65" s="12">
        <f t="shared" si="497"/>
        <v>0</v>
      </c>
      <c r="NP65" s="12">
        <f t="shared" si="498"/>
        <v>0</v>
      </c>
      <c r="NR65" t="s">
        <v>1304</v>
      </c>
      <c r="NS65">
        <f>_xlfn.XLOOKUP(NR65,'KPI Impacts'!$B$2:$H$2,'KPI Impacts'!$B65:$H65)</f>
        <v>0</v>
      </c>
      <c r="NT65" s="9" t="s">
        <v>1304</v>
      </c>
      <c r="NU65">
        <f>_xlfn.XLOOKUP(NT65,'KPI Impacts'!$B$2:$H$2,'KPI Impacts'!$B65:$H65)</f>
        <v>0</v>
      </c>
      <c r="NX65" s="12">
        <f t="shared" si="499"/>
        <v>0</v>
      </c>
      <c r="NY65" s="12">
        <f t="shared" si="500"/>
        <v>0</v>
      </c>
      <c r="NZ65" s="12">
        <f t="shared" si="501"/>
        <v>0</v>
      </c>
      <c r="OA65" s="12">
        <f t="shared" si="502"/>
        <v>0</v>
      </c>
      <c r="OB65" s="12">
        <f t="shared" si="503"/>
        <v>0</v>
      </c>
      <c r="OC65" s="12">
        <f t="shared" si="504"/>
        <v>0</v>
      </c>
      <c r="OD65" s="12">
        <f t="shared" si="505"/>
        <v>0</v>
      </c>
      <c r="OE65" s="12">
        <f t="shared" si="506"/>
        <v>0</v>
      </c>
      <c r="OF65" s="12">
        <f t="shared" si="507"/>
        <v>0</v>
      </c>
      <c r="OH65" t="s">
        <v>1304</v>
      </c>
      <c r="OI65">
        <f>_xlfn.XLOOKUP(OH65,'KPI Impacts'!$B$2:$H$2,'KPI Impacts'!$B65:$H65)</f>
        <v>0</v>
      </c>
      <c r="OJ65" s="9" t="s">
        <v>1304</v>
      </c>
      <c r="OK65">
        <f>_xlfn.XLOOKUP(OJ65,'KPI Impacts'!$B$2:$H$2,'KPI Impacts'!$B65:$H65)</f>
        <v>0</v>
      </c>
    </row>
    <row r="66" spans="1:401" x14ac:dyDescent="0.2">
      <c r="A66" t="s">
        <v>1293</v>
      </c>
      <c r="B66" s="12">
        <f t="shared" si="508"/>
        <v>0</v>
      </c>
      <c r="C66" s="12">
        <f t="shared" si="309"/>
        <v>0</v>
      </c>
      <c r="D66" s="12">
        <f t="shared" si="309"/>
        <v>0</v>
      </c>
      <c r="E66" s="12">
        <f t="shared" si="309"/>
        <v>0</v>
      </c>
      <c r="F66" s="12">
        <f t="shared" si="309"/>
        <v>0</v>
      </c>
      <c r="G66" s="12">
        <f t="shared" si="309"/>
        <v>0</v>
      </c>
      <c r="H66" s="12">
        <f t="shared" si="309"/>
        <v>0</v>
      </c>
      <c r="I66" s="12">
        <f t="shared" si="309"/>
        <v>0</v>
      </c>
      <c r="J66" s="12">
        <f t="shared" si="309"/>
        <v>0</v>
      </c>
      <c r="P66" s="12" cm="1">
        <f t="array" ref="P66">_xlfn.SWITCH(P$4, 0,0, 1, AA66,2,AC66,3,AE66,0)</f>
        <v>0</v>
      </c>
      <c r="Q66" s="12" cm="1">
        <f t="array" ref="Q66">_xlfn.SWITCH(Q$4, 0,0, 1, AA66,2,AC66,3,AE66,0)+P66</f>
        <v>0</v>
      </c>
      <c r="R66" s="12" cm="1">
        <f t="array" ref="R66">_xlfn.SWITCH(R$4, 0,0, 1, AA66,2,AC66,3,AE66,0)+Q66</f>
        <v>0</v>
      </c>
      <c r="S66" s="12" cm="1">
        <f t="array" ref="S66">_xlfn.SWITCH(S$4, 0,0, 1, AA66,2,AC66,3,AE66,0)+R66</f>
        <v>0</v>
      </c>
      <c r="T66" s="12" cm="1">
        <f t="array" ref="T66">_xlfn.SWITCH(T$4, 0,0, 1, AA66,2,AC66,3,AE66,0)+S66</f>
        <v>0</v>
      </c>
      <c r="U66" s="12" cm="1">
        <f t="array" ref="U66">_xlfn.SWITCH(U$4, 0,0, 1, AA66,2,AC66,3,AE66,0)+T66</f>
        <v>0</v>
      </c>
      <c r="V66" s="12" cm="1">
        <f t="array" ref="V66">_xlfn.SWITCH(V$4, 0,0, 1, AA66,2,AC66,3,AE66,0)+U66</f>
        <v>0</v>
      </c>
      <c r="W66" s="12" cm="1">
        <f t="array" ref="W66">_xlfn.SWITCH(W$4, 0,0, 1, AA66,2,AC66,3,AE66,0)+V66</f>
        <v>0</v>
      </c>
      <c r="X66" s="12" cm="1">
        <f t="array" ref="X66">_xlfn.SWITCH(X$4, 0,0, 1, AA66,2,AC66,3,AE66,0)+W66</f>
        <v>0</v>
      </c>
      <c r="Z66" t="s">
        <v>1304</v>
      </c>
      <c r="AA66">
        <f>_xlfn.XLOOKUP(Z66,'KPI Impacts'!$K$2:$Q$2,'KPI Impacts'!$K66:$Q66)</f>
        <v>0</v>
      </c>
      <c r="AB66" t="s">
        <v>1304</v>
      </c>
      <c r="AC66">
        <f>_xlfn.XLOOKUP(AB66,'KPI Impacts'!$K$2:$Q$2,'KPI Impacts'!$K66:$Q66)</f>
        <v>0</v>
      </c>
      <c r="AD66" t="s">
        <v>1304</v>
      </c>
      <c r="AE66">
        <f>_xlfn.XLOOKUP(AD66,'KPI Impacts'!$K$2:$Q$2,'KPI Impacts'!$K66:$Q66)</f>
        <v>0</v>
      </c>
      <c r="AH66" s="12" cm="1">
        <f t="array" ref="AH66">_xlfn.SWITCH(AH$4, 0,0, 1, AS66,2,AU66,3,AW66,0)</f>
        <v>0</v>
      </c>
      <c r="AI66" s="12" cm="1">
        <f t="array" ref="AI66">_xlfn.SWITCH(AI$4, 0,0, 1, AS66,2,AU66,3,AW66,0)+AH66</f>
        <v>0</v>
      </c>
      <c r="AJ66" s="12" cm="1">
        <f t="array" ref="AJ66">_xlfn.SWITCH(AJ$4, 0,0, 1, AS66,2,AU66,3,AW66,0)+AI66</f>
        <v>0</v>
      </c>
      <c r="AK66" s="12" cm="1">
        <f t="array" ref="AK66">_xlfn.SWITCH(AK$4, 0,0, 1, AS66,2,AU66,3,AW66,0)+AJ66</f>
        <v>0</v>
      </c>
      <c r="AL66" s="12" cm="1">
        <f t="array" ref="AL66">_xlfn.SWITCH(AL$4, 0,0, 1, AS66,2,AU66,3,AW66,0)+AK66</f>
        <v>0</v>
      </c>
      <c r="AM66" s="12" cm="1">
        <f t="array" ref="AM66">_xlfn.SWITCH(AM$4, 0,0, 1, AS66,2,AU66,3,AW66,0)+AL66</f>
        <v>0</v>
      </c>
      <c r="AN66" s="12" cm="1">
        <f t="array" ref="AN66">_xlfn.SWITCH(AN$4, 0,0, 1, AS66,2,AU66,3,AW66,0)+AM66</f>
        <v>0</v>
      </c>
      <c r="AO66" s="12" cm="1">
        <f t="array" ref="AO66">_xlfn.SWITCH(AO$4, 0,0, 1, AS66,2,AU66,3,AW66,0)+AN66</f>
        <v>0</v>
      </c>
      <c r="AP66" s="12" cm="1">
        <f t="array" ref="AP66">_xlfn.SWITCH(AP$4, 0,0, 1, AS66,2,AU66,3,AW66,0)+AO66</f>
        <v>0</v>
      </c>
      <c r="AR66" t="s">
        <v>1304</v>
      </c>
      <c r="AS66">
        <f>_xlfn.XLOOKUP(AR66,'KPI Impacts'!$K$2:$Q$2,'KPI Impacts'!$K66:$Q66)</f>
        <v>0</v>
      </c>
      <c r="AT66" t="s">
        <v>1304</v>
      </c>
      <c r="AU66">
        <f>_xlfn.XLOOKUP(AT66,'KPI Impacts'!$K$2:$Q$2,'KPI Impacts'!$K66:$Q66)</f>
        <v>0</v>
      </c>
      <c r="AV66" t="s">
        <v>1304</v>
      </c>
      <c r="AW66">
        <f>_xlfn.XLOOKUP(AV66,'KPI Impacts'!$K$2:$Q$2,'KPI Impacts'!$K66:$Q66)</f>
        <v>0</v>
      </c>
      <c r="AZ66" s="12">
        <f t="shared" si="310"/>
        <v>0</v>
      </c>
      <c r="BA66" s="12">
        <f t="shared" si="311"/>
        <v>0</v>
      </c>
      <c r="BB66" s="12">
        <f t="shared" si="312"/>
        <v>0</v>
      </c>
      <c r="BC66" s="12">
        <f t="shared" si="313"/>
        <v>0</v>
      </c>
      <c r="BD66" s="12">
        <f t="shared" si="314"/>
        <v>0</v>
      </c>
      <c r="BE66" s="12">
        <f t="shared" si="315"/>
        <v>0</v>
      </c>
      <c r="BF66" s="12">
        <f t="shared" si="316"/>
        <v>0</v>
      </c>
      <c r="BG66" s="12">
        <f t="shared" si="317"/>
        <v>0</v>
      </c>
      <c r="BH66" s="12">
        <f t="shared" si="318"/>
        <v>0</v>
      </c>
      <c r="BJ66" s="30" t="s">
        <v>1308</v>
      </c>
      <c r="BK66">
        <f>_xlfn.XLOOKUP(BJ66,'KPI Impacts'!$B$2:$H$2,'KPI Impacts'!$B66:$H66)</f>
        <v>2</v>
      </c>
      <c r="BL66" s="35" t="s">
        <v>1304</v>
      </c>
      <c r="BM66">
        <f>_xlfn.XLOOKUP(BL66,'KPI Impacts'!$B$2:$H$2,'KPI Impacts'!$B66:$H66)</f>
        <v>0</v>
      </c>
      <c r="BP66" s="12">
        <f t="shared" si="319"/>
        <v>0</v>
      </c>
      <c r="BQ66" s="12">
        <f t="shared" si="320"/>
        <v>0</v>
      </c>
      <c r="BR66" s="12">
        <f t="shared" si="321"/>
        <v>0</v>
      </c>
      <c r="BS66" s="12">
        <f t="shared" si="322"/>
        <v>0</v>
      </c>
      <c r="BT66" s="12">
        <f t="shared" si="323"/>
        <v>0</v>
      </c>
      <c r="BU66" s="12">
        <f t="shared" si="324"/>
        <v>0</v>
      </c>
      <c r="BV66" s="12">
        <f t="shared" si="325"/>
        <v>0</v>
      </c>
      <c r="BW66" s="12">
        <f t="shared" si="326"/>
        <v>0</v>
      </c>
      <c r="BX66" s="12">
        <f t="shared" si="327"/>
        <v>0</v>
      </c>
      <c r="BZ66" s="30" t="s">
        <v>1308</v>
      </c>
      <c r="CA66">
        <f>_xlfn.XLOOKUP(BZ66,'KPI Impacts'!$B$2:$H$2,'KPI Impacts'!$B66:$H66)</f>
        <v>2</v>
      </c>
      <c r="CB66" s="35" t="s">
        <v>1304</v>
      </c>
      <c r="CC66">
        <f>_xlfn.XLOOKUP(CB66,'KPI Impacts'!$B$2:$H$2,'KPI Impacts'!$B66:$H66)</f>
        <v>0</v>
      </c>
      <c r="CF66" s="12">
        <f t="shared" si="328"/>
        <v>0</v>
      </c>
      <c r="CG66" s="12">
        <f t="shared" si="329"/>
        <v>0</v>
      </c>
      <c r="CH66" s="12">
        <f t="shared" si="330"/>
        <v>0</v>
      </c>
      <c r="CI66" s="12">
        <f t="shared" si="331"/>
        <v>0</v>
      </c>
      <c r="CJ66" s="12">
        <f t="shared" si="332"/>
        <v>0</v>
      </c>
      <c r="CK66" s="12">
        <f t="shared" si="333"/>
        <v>0</v>
      </c>
      <c r="CL66" s="12">
        <f t="shared" si="334"/>
        <v>0</v>
      </c>
      <c r="CM66" s="12">
        <f t="shared" si="335"/>
        <v>0</v>
      </c>
      <c r="CN66" s="12">
        <f t="shared" si="336"/>
        <v>0</v>
      </c>
      <c r="CP66" s="16" t="s">
        <v>1304</v>
      </c>
      <c r="CQ66">
        <f>_xlfn.XLOOKUP(CP66,'KPI Impacts'!$B$2:$H$2,'KPI Impacts'!$B66:$H66)</f>
        <v>0</v>
      </c>
      <c r="CR66" s="35" t="s">
        <v>1304</v>
      </c>
      <c r="CS66">
        <f>_xlfn.XLOOKUP(CR66,'KPI Impacts'!$B$2:$H$2,'KPI Impacts'!$B66:$H66)</f>
        <v>0</v>
      </c>
      <c r="CV66" s="12">
        <f t="shared" si="337"/>
        <v>0</v>
      </c>
      <c r="CW66" s="12">
        <f t="shared" si="338"/>
        <v>0</v>
      </c>
      <c r="CX66" s="12">
        <f t="shared" si="339"/>
        <v>0</v>
      </c>
      <c r="CY66" s="12">
        <f t="shared" si="340"/>
        <v>0</v>
      </c>
      <c r="CZ66" s="12">
        <f t="shared" si="341"/>
        <v>0</v>
      </c>
      <c r="DA66" s="12">
        <f t="shared" si="342"/>
        <v>0</v>
      </c>
      <c r="DB66" s="12">
        <f t="shared" si="343"/>
        <v>0</v>
      </c>
      <c r="DC66" s="12">
        <f t="shared" si="344"/>
        <v>0</v>
      </c>
      <c r="DD66" s="12">
        <f t="shared" si="345"/>
        <v>0</v>
      </c>
      <c r="DF66" s="16" t="s">
        <v>1304</v>
      </c>
      <c r="DG66">
        <f>_xlfn.XLOOKUP(DF66,'KPI Impacts'!$B$2:$H$2,'KPI Impacts'!$B66:$H66)</f>
        <v>0</v>
      </c>
      <c r="DH66" s="35" t="s">
        <v>1304</v>
      </c>
      <c r="DI66">
        <f>_xlfn.XLOOKUP(DH66,'KPI Impacts'!$B$2:$H$2,'KPI Impacts'!$B66:$H66)</f>
        <v>0</v>
      </c>
      <c r="DL66" s="12">
        <f t="shared" si="346"/>
        <v>0</v>
      </c>
      <c r="DM66" s="12">
        <f t="shared" si="347"/>
        <v>0</v>
      </c>
      <c r="DN66" s="12">
        <f t="shared" si="348"/>
        <v>0</v>
      </c>
      <c r="DO66" s="12">
        <f t="shared" si="349"/>
        <v>0</v>
      </c>
      <c r="DP66" s="12">
        <f t="shared" si="350"/>
        <v>0</v>
      </c>
      <c r="DQ66" s="12">
        <f t="shared" si="351"/>
        <v>0</v>
      </c>
      <c r="DR66" s="12">
        <f t="shared" si="352"/>
        <v>0</v>
      </c>
      <c r="DS66" s="12">
        <f t="shared" si="353"/>
        <v>0</v>
      </c>
      <c r="DT66" s="12">
        <f t="shared" si="354"/>
        <v>0</v>
      </c>
      <c r="DV66" s="16" t="s">
        <v>1304</v>
      </c>
      <c r="DW66">
        <f>_xlfn.XLOOKUP(DV66,'KPI Impacts'!$B$2:$H$2,'KPI Impacts'!$B66:$H66)</f>
        <v>0</v>
      </c>
      <c r="DX66" s="35" t="s">
        <v>1304</v>
      </c>
      <c r="DY66">
        <f>_xlfn.XLOOKUP(DX66,'KPI Impacts'!$B$2:$H$2,'KPI Impacts'!$B66:$H66)</f>
        <v>0</v>
      </c>
      <c r="EB66" s="12">
        <f t="shared" si="355"/>
        <v>0</v>
      </c>
      <c r="EC66" s="12">
        <f t="shared" si="356"/>
        <v>0</v>
      </c>
      <c r="ED66" s="12">
        <f t="shared" si="357"/>
        <v>0</v>
      </c>
      <c r="EE66" s="12">
        <f t="shared" si="358"/>
        <v>0</v>
      </c>
      <c r="EF66" s="12">
        <f t="shared" si="359"/>
        <v>0</v>
      </c>
      <c r="EG66" s="12">
        <f t="shared" si="360"/>
        <v>0</v>
      </c>
      <c r="EH66" s="12">
        <f t="shared" si="361"/>
        <v>0</v>
      </c>
      <c r="EI66" s="12">
        <f t="shared" si="362"/>
        <v>0</v>
      </c>
      <c r="EJ66" s="12">
        <f t="shared" si="363"/>
        <v>0</v>
      </c>
      <c r="EL66" s="29" t="s">
        <v>1305</v>
      </c>
      <c r="EM66">
        <f>_xlfn.XLOOKUP(EL66,'KPI Impacts'!$B$2:$H$2,'KPI Impacts'!$B66:$H66)</f>
        <v>-1.6</v>
      </c>
      <c r="EN66" s="35" t="s">
        <v>1304</v>
      </c>
      <c r="EO66">
        <f>_xlfn.XLOOKUP(EN66,'KPI Impacts'!$B$2:$H$2,'KPI Impacts'!$B66:$H66)</f>
        <v>0</v>
      </c>
      <c r="ER66" s="12">
        <f t="shared" si="364"/>
        <v>0</v>
      </c>
      <c r="ES66" s="12">
        <f t="shared" si="365"/>
        <v>0</v>
      </c>
      <c r="ET66" s="12">
        <f t="shared" si="366"/>
        <v>0</v>
      </c>
      <c r="EU66" s="12">
        <f t="shared" si="367"/>
        <v>0</v>
      </c>
      <c r="EV66" s="12">
        <f t="shared" si="368"/>
        <v>0</v>
      </c>
      <c r="EW66" s="12">
        <f t="shared" si="369"/>
        <v>0</v>
      </c>
      <c r="EX66" s="12">
        <f t="shared" si="370"/>
        <v>0</v>
      </c>
      <c r="EY66" s="12">
        <f t="shared" si="371"/>
        <v>0</v>
      </c>
      <c r="EZ66" s="12">
        <f t="shared" si="372"/>
        <v>0</v>
      </c>
      <c r="FB66" s="16" t="s">
        <v>1304</v>
      </c>
      <c r="FC66">
        <f>_xlfn.XLOOKUP(FB66,'KPI Impacts'!$B$2:$H$2,'KPI Impacts'!$B66:$H66)</f>
        <v>0</v>
      </c>
      <c r="FD66" s="35" t="s">
        <v>1304</v>
      </c>
      <c r="FE66">
        <f>_xlfn.XLOOKUP(FD66,'KPI Impacts'!$B$2:$H$2,'KPI Impacts'!$B66:$H66)</f>
        <v>0</v>
      </c>
      <c r="FH66" s="12">
        <f t="shared" si="373"/>
        <v>0</v>
      </c>
      <c r="FI66" s="12">
        <f t="shared" si="374"/>
        <v>0</v>
      </c>
      <c r="FJ66" s="12">
        <f t="shared" si="375"/>
        <v>0</v>
      </c>
      <c r="FK66" s="12">
        <f t="shared" si="376"/>
        <v>0</v>
      </c>
      <c r="FL66" s="12">
        <f t="shared" si="377"/>
        <v>0</v>
      </c>
      <c r="FM66" s="12">
        <f t="shared" si="378"/>
        <v>0</v>
      </c>
      <c r="FN66" s="12">
        <f t="shared" si="379"/>
        <v>0</v>
      </c>
      <c r="FO66" s="12">
        <f t="shared" si="380"/>
        <v>0</v>
      </c>
      <c r="FP66" s="12">
        <f t="shared" si="381"/>
        <v>0</v>
      </c>
      <c r="FR66" s="16" t="s">
        <v>1304</v>
      </c>
      <c r="FS66">
        <f>_xlfn.XLOOKUP(FR66,'KPI Impacts'!$B$2:$H$2,'KPI Impacts'!$B66:$H66)</f>
        <v>0</v>
      </c>
      <c r="FT66" s="35" t="s">
        <v>1304</v>
      </c>
      <c r="FU66">
        <f>_xlfn.XLOOKUP(FT66,'KPI Impacts'!$B$2:$H$2,'KPI Impacts'!$B66:$H66)</f>
        <v>0</v>
      </c>
      <c r="FX66" s="12">
        <f t="shared" si="382"/>
        <v>0</v>
      </c>
      <c r="FY66" s="12">
        <f t="shared" si="383"/>
        <v>0</v>
      </c>
      <c r="FZ66" s="12">
        <f t="shared" si="384"/>
        <v>0</v>
      </c>
      <c r="GA66" s="12">
        <f t="shared" si="385"/>
        <v>0</v>
      </c>
      <c r="GB66" s="12">
        <f t="shared" si="386"/>
        <v>0</v>
      </c>
      <c r="GC66" s="12">
        <f t="shared" si="387"/>
        <v>0</v>
      </c>
      <c r="GD66" s="12">
        <f t="shared" si="388"/>
        <v>0</v>
      </c>
      <c r="GE66" s="12">
        <f t="shared" si="389"/>
        <v>0</v>
      </c>
      <c r="GF66" s="12">
        <f t="shared" si="390"/>
        <v>0</v>
      </c>
      <c r="GH66" s="29" t="s">
        <v>1307</v>
      </c>
      <c r="GI66">
        <f>_xlfn.XLOOKUP(GH66,'KPI Impacts'!$B$2:$H$2,'KPI Impacts'!$B66:$H66)</f>
        <v>-3.2</v>
      </c>
      <c r="GJ66" s="35" t="s">
        <v>1304</v>
      </c>
      <c r="GK66">
        <f>_xlfn.XLOOKUP(GJ66,'KPI Impacts'!$B$2:$H$2,'KPI Impacts'!$B66:$H66)</f>
        <v>0</v>
      </c>
      <c r="GN66" s="12">
        <f t="shared" si="391"/>
        <v>0</v>
      </c>
      <c r="GO66" s="12">
        <f t="shared" si="392"/>
        <v>0</v>
      </c>
      <c r="GP66" s="12">
        <f t="shared" si="393"/>
        <v>0</v>
      </c>
      <c r="GQ66" s="12">
        <f t="shared" si="394"/>
        <v>0</v>
      </c>
      <c r="GR66" s="12">
        <f t="shared" si="395"/>
        <v>0</v>
      </c>
      <c r="GS66" s="12">
        <f t="shared" si="396"/>
        <v>0</v>
      </c>
      <c r="GT66" s="12">
        <f t="shared" si="397"/>
        <v>0</v>
      </c>
      <c r="GU66" s="12">
        <f t="shared" si="398"/>
        <v>0</v>
      </c>
      <c r="GV66" s="12">
        <f t="shared" si="399"/>
        <v>0</v>
      </c>
      <c r="GX66" s="16" t="s">
        <v>1304</v>
      </c>
      <c r="GY66">
        <f>_xlfn.XLOOKUP(GX66,'KPI Impacts'!$B$2:$H$2,'KPI Impacts'!$B66:$H66)</f>
        <v>0</v>
      </c>
      <c r="GZ66" s="35" t="s">
        <v>1304</v>
      </c>
      <c r="HA66">
        <f>_xlfn.XLOOKUP(GZ66,'KPI Impacts'!$B$2:$H$2,'KPI Impacts'!$B66:$H66)</f>
        <v>0</v>
      </c>
      <c r="HD66" s="12">
        <f t="shared" si="400"/>
        <v>0</v>
      </c>
      <c r="HE66" s="12">
        <f t="shared" si="401"/>
        <v>0</v>
      </c>
      <c r="HF66" s="12">
        <f t="shared" si="402"/>
        <v>0</v>
      </c>
      <c r="HG66" s="12">
        <f t="shared" si="403"/>
        <v>0</v>
      </c>
      <c r="HH66" s="12">
        <f t="shared" si="404"/>
        <v>0</v>
      </c>
      <c r="HI66" s="12">
        <f t="shared" si="405"/>
        <v>0</v>
      </c>
      <c r="HJ66" s="12">
        <f t="shared" si="406"/>
        <v>0</v>
      </c>
      <c r="HK66" s="12">
        <f t="shared" si="407"/>
        <v>0</v>
      </c>
      <c r="HL66" s="12">
        <f t="shared" si="408"/>
        <v>0</v>
      </c>
      <c r="HN66" s="16" t="s">
        <v>1304</v>
      </c>
      <c r="HO66">
        <f>_xlfn.XLOOKUP(HN66,'KPI Impacts'!$B$2:$H$2,'KPI Impacts'!$B66:$H66)</f>
        <v>0</v>
      </c>
      <c r="HP66" s="35" t="s">
        <v>1304</v>
      </c>
      <c r="HQ66">
        <f>_xlfn.XLOOKUP(HP66,'KPI Impacts'!$B$2:$H$2,'KPI Impacts'!$B66:$H66)</f>
        <v>0</v>
      </c>
      <c r="HT66" s="12">
        <f t="shared" si="409"/>
        <v>0</v>
      </c>
      <c r="HU66" s="12">
        <f t="shared" si="410"/>
        <v>0</v>
      </c>
      <c r="HV66" s="12">
        <f t="shared" si="411"/>
        <v>0</v>
      </c>
      <c r="HW66" s="12">
        <f t="shared" si="412"/>
        <v>0</v>
      </c>
      <c r="HX66" s="12">
        <f t="shared" si="413"/>
        <v>0</v>
      </c>
      <c r="HY66" s="12">
        <f t="shared" si="414"/>
        <v>0</v>
      </c>
      <c r="HZ66" s="12">
        <f t="shared" si="415"/>
        <v>0</v>
      </c>
      <c r="IA66" s="12">
        <f t="shared" si="416"/>
        <v>0</v>
      </c>
      <c r="IB66" s="12">
        <f t="shared" si="417"/>
        <v>0</v>
      </c>
      <c r="ID66" s="16" t="s">
        <v>1304</v>
      </c>
      <c r="IE66">
        <f>_xlfn.XLOOKUP(ID66,'KPI Impacts'!$B$2:$H$2,'KPI Impacts'!$B66:$H66)</f>
        <v>0</v>
      </c>
      <c r="IF66" s="9" t="s">
        <v>1304</v>
      </c>
      <c r="IG66">
        <f>_xlfn.XLOOKUP(IF66,'KPI Impacts'!$B$2:$H$2,'KPI Impacts'!$B66:$H66)</f>
        <v>0</v>
      </c>
      <c r="IJ66" s="12">
        <f t="shared" si="418"/>
        <v>0</v>
      </c>
      <c r="IK66" s="12">
        <f t="shared" si="419"/>
        <v>0</v>
      </c>
      <c r="IL66" s="12">
        <f t="shared" si="420"/>
        <v>0</v>
      </c>
      <c r="IM66" s="12">
        <f t="shared" si="421"/>
        <v>0</v>
      </c>
      <c r="IN66" s="12">
        <f t="shared" si="422"/>
        <v>0</v>
      </c>
      <c r="IO66" s="12">
        <f t="shared" si="423"/>
        <v>0</v>
      </c>
      <c r="IP66" s="12">
        <f t="shared" si="424"/>
        <v>0</v>
      </c>
      <c r="IQ66" s="12">
        <f t="shared" si="425"/>
        <v>0</v>
      </c>
      <c r="IR66" s="12">
        <f t="shared" si="426"/>
        <v>0</v>
      </c>
      <c r="IT66" s="16" t="s">
        <v>1304</v>
      </c>
      <c r="IU66">
        <f>_xlfn.XLOOKUP(IT66,'KPI Impacts'!$B$2:$H$2,'KPI Impacts'!$B66:$H66)</f>
        <v>0</v>
      </c>
      <c r="IV66" s="9" t="s">
        <v>1304</v>
      </c>
      <c r="IW66">
        <f>_xlfn.XLOOKUP(IV66,'KPI Impacts'!$B$2:$H$2,'KPI Impacts'!$B66:$H66)</f>
        <v>0</v>
      </c>
      <c r="IZ66" s="12">
        <f t="shared" si="427"/>
        <v>0</v>
      </c>
      <c r="JA66" s="12">
        <f t="shared" si="428"/>
        <v>0</v>
      </c>
      <c r="JB66" s="12">
        <f t="shared" si="429"/>
        <v>0</v>
      </c>
      <c r="JC66" s="12">
        <f t="shared" si="430"/>
        <v>0</v>
      </c>
      <c r="JD66" s="12">
        <f t="shared" si="431"/>
        <v>0</v>
      </c>
      <c r="JE66" s="12">
        <f t="shared" si="432"/>
        <v>0</v>
      </c>
      <c r="JF66" s="12">
        <f t="shared" si="433"/>
        <v>0</v>
      </c>
      <c r="JG66" s="12">
        <f t="shared" si="434"/>
        <v>0</v>
      </c>
      <c r="JH66" s="12">
        <f t="shared" si="435"/>
        <v>0</v>
      </c>
      <c r="JJ66" t="s">
        <v>1304</v>
      </c>
      <c r="JK66">
        <f>_xlfn.XLOOKUP(JJ66,'KPI Impacts'!$B$2:$H$2,'KPI Impacts'!$B66:$H66)</f>
        <v>0</v>
      </c>
      <c r="JL66" s="9" t="s">
        <v>1304</v>
      </c>
      <c r="JM66">
        <f>_xlfn.XLOOKUP(JL66,'KPI Impacts'!$B$2:$H$2,'KPI Impacts'!$B66:$H66)</f>
        <v>0</v>
      </c>
      <c r="JP66" s="12">
        <f t="shared" si="436"/>
        <v>0</v>
      </c>
      <c r="JQ66" s="12">
        <f t="shared" si="437"/>
        <v>0</v>
      </c>
      <c r="JR66" s="12">
        <f t="shared" si="438"/>
        <v>0</v>
      </c>
      <c r="JS66" s="12">
        <f t="shared" si="439"/>
        <v>0</v>
      </c>
      <c r="JT66" s="12">
        <f t="shared" si="440"/>
        <v>0</v>
      </c>
      <c r="JU66" s="12">
        <f t="shared" si="441"/>
        <v>0</v>
      </c>
      <c r="JV66" s="12">
        <f t="shared" si="442"/>
        <v>0</v>
      </c>
      <c r="JW66" s="12">
        <f t="shared" si="443"/>
        <v>0</v>
      </c>
      <c r="JX66" s="12">
        <f t="shared" si="444"/>
        <v>0</v>
      </c>
      <c r="JZ66" t="s">
        <v>1304</v>
      </c>
      <c r="KA66">
        <f>_xlfn.XLOOKUP(JZ66,'KPI Impacts'!$B$2:$H$2,'KPI Impacts'!$B66:$H66)</f>
        <v>0</v>
      </c>
      <c r="KB66" s="9" t="s">
        <v>1304</v>
      </c>
      <c r="KC66">
        <f>_xlfn.XLOOKUP(KB66,'KPI Impacts'!$B$2:$H$2,'KPI Impacts'!$B66:$H66)</f>
        <v>0</v>
      </c>
      <c r="KF66" s="12">
        <f t="shared" si="445"/>
        <v>0</v>
      </c>
      <c r="KG66" s="12">
        <f t="shared" si="446"/>
        <v>0</v>
      </c>
      <c r="KH66" s="12">
        <f t="shared" si="447"/>
        <v>0</v>
      </c>
      <c r="KI66" s="12">
        <f t="shared" si="448"/>
        <v>0</v>
      </c>
      <c r="KJ66" s="12">
        <f t="shared" si="449"/>
        <v>0</v>
      </c>
      <c r="KK66" s="12">
        <f t="shared" si="450"/>
        <v>0</v>
      </c>
      <c r="KL66" s="12">
        <f t="shared" si="451"/>
        <v>0</v>
      </c>
      <c r="KM66" s="12">
        <f t="shared" si="452"/>
        <v>0</v>
      </c>
      <c r="KN66" s="12">
        <f t="shared" si="453"/>
        <v>0</v>
      </c>
      <c r="KP66" t="s">
        <v>1304</v>
      </c>
      <c r="KQ66">
        <f>_xlfn.XLOOKUP(KP66,'KPI Impacts'!$B$2:$H$2,'KPI Impacts'!$B66:$H66)</f>
        <v>0</v>
      </c>
      <c r="KR66" s="9" t="s">
        <v>1304</v>
      </c>
      <c r="KS66">
        <f>_xlfn.XLOOKUP(KR66,'KPI Impacts'!$B$2:$H$2,'KPI Impacts'!$B66:$H66)</f>
        <v>0</v>
      </c>
      <c r="KV66" s="12">
        <f t="shared" si="454"/>
        <v>0</v>
      </c>
      <c r="KW66" s="12">
        <f t="shared" si="455"/>
        <v>0</v>
      </c>
      <c r="KX66" s="12">
        <f t="shared" si="456"/>
        <v>0</v>
      </c>
      <c r="KY66" s="12">
        <f t="shared" si="457"/>
        <v>0</v>
      </c>
      <c r="KZ66" s="12">
        <f t="shared" si="458"/>
        <v>0</v>
      </c>
      <c r="LA66" s="12">
        <f t="shared" si="459"/>
        <v>0</v>
      </c>
      <c r="LB66" s="12">
        <f t="shared" si="460"/>
        <v>0</v>
      </c>
      <c r="LC66" s="12">
        <f t="shared" si="461"/>
        <v>0</v>
      </c>
      <c r="LD66" s="12">
        <f t="shared" si="462"/>
        <v>0</v>
      </c>
      <c r="LF66" t="s">
        <v>1304</v>
      </c>
      <c r="LG66">
        <f>_xlfn.XLOOKUP(LF66,'KPI Impacts'!$B$2:$H$2,'KPI Impacts'!$B66:$H66)</f>
        <v>0</v>
      </c>
      <c r="LH66" s="9" t="s">
        <v>1304</v>
      </c>
      <c r="LI66">
        <f>_xlfn.XLOOKUP(LH66,'KPI Impacts'!$B$2:$H$2,'KPI Impacts'!$B66:$H66)</f>
        <v>0</v>
      </c>
      <c r="LL66" s="12">
        <f t="shared" si="463"/>
        <v>0</v>
      </c>
      <c r="LM66" s="12">
        <f t="shared" si="464"/>
        <v>0</v>
      </c>
      <c r="LN66" s="12">
        <f t="shared" si="465"/>
        <v>0</v>
      </c>
      <c r="LO66" s="12">
        <f t="shared" si="466"/>
        <v>0</v>
      </c>
      <c r="LP66" s="12">
        <f t="shared" si="467"/>
        <v>0</v>
      </c>
      <c r="LQ66" s="12">
        <f t="shared" si="468"/>
        <v>0</v>
      </c>
      <c r="LR66" s="12">
        <f t="shared" si="469"/>
        <v>0</v>
      </c>
      <c r="LS66" s="12">
        <f t="shared" si="470"/>
        <v>0</v>
      </c>
      <c r="LT66" s="12">
        <f t="shared" si="471"/>
        <v>0</v>
      </c>
      <c r="LV66" t="s">
        <v>1304</v>
      </c>
      <c r="LW66">
        <f>_xlfn.XLOOKUP(LV66,'KPI Impacts'!$B$2:$H$2,'KPI Impacts'!$B66:$H66)</f>
        <v>0</v>
      </c>
      <c r="LX66" s="9" t="s">
        <v>1304</v>
      </c>
      <c r="LY66">
        <f>_xlfn.XLOOKUP(LX66,'KPI Impacts'!$B$2:$H$2,'KPI Impacts'!$B66:$H66)</f>
        <v>0</v>
      </c>
      <c r="MB66" s="12">
        <f t="shared" si="472"/>
        <v>0</v>
      </c>
      <c r="MC66" s="12">
        <f t="shared" si="473"/>
        <v>0</v>
      </c>
      <c r="MD66" s="12">
        <f t="shared" si="474"/>
        <v>0</v>
      </c>
      <c r="ME66" s="12">
        <f t="shared" si="475"/>
        <v>0</v>
      </c>
      <c r="MF66" s="12">
        <f t="shared" si="476"/>
        <v>0</v>
      </c>
      <c r="MG66" s="12">
        <f t="shared" si="477"/>
        <v>0</v>
      </c>
      <c r="MH66" s="12">
        <f t="shared" si="478"/>
        <v>0</v>
      </c>
      <c r="MI66" s="12">
        <f t="shared" si="479"/>
        <v>0</v>
      </c>
      <c r="MJ66" s="12">
        <f t="shared" si="480"/>
        <v>0</v>
      </c>
      <c r="ML66" t="s">
        <v>1304</v>
      </c>
      <c r="MM66">
        <f>_xlfn.XLOOKUP(ML66,'KPI Impacts'!$B$2:$H$2,'KPI Impacts'!$B66:$H66)</f>
        <v>0</v>
      </c>
      <c r="MN66" s="9" t="s">
        <v>1304</v>
      </c>
      <c r="MO66">
        <f>_xlfn.XLOOKUP(MN66,'KPI Impacts'!$B$2:$H$2,'KPI Impacts'!$B66:$H66)</f>
        <v>0</v>
      </c>
      <c r="MR66" s="12">
        <f t="shared" si="481"/>
        <v>0</v>
      </c>
      <c r="MS66" s="12">
        <f t="shared" si="482"/>
        <v>0</v>
      </c>
      <c r="MT66" s="12">
        <f t="shared" si="483"/>
        <v>0</v>
      </c>
      <c r="MU66" s="12">
        <f t="shared" si="484"/>
        <v>0</v>
      </c>
      <c r="MV66" s="12">
        <f t="shared" si="485"/>
        <v>0</v>
      </c>
      <c r="MW66" s="12">
        <f t="shared" si="486"/>
        <v>0</v>
      </c>
      <c r="MX66" s="12">
        <f t="shared" si="487"/>
        <v>0</v>
      </c>
      <c r="MY66" s="12">
        <f t="shared" si="488"/>
        <v>0</v>
      </c>
      <c r="MZ66" s="12">
        <f t="shared" si="489"/>
        <v>0</v>
      </c>
      <c r="NB66" t="s">
        <v>1304</v>
      </c>
      <c r="NC66">
        <f>_xlfn.XLOOKUP(NB66,'KPI Impacts'!$B$2:$H$2,'KPI Impacts'!$B66:$H66)</f>
        <v>0</v>
      </c>
      <c r="ND66" s="9" t="s">
        <v>1304</v>
      </c>
      <c r="NE66">
        <f>_xlfn.XLOOKUP(ND66,'KPI Impacts'!$B$2:$H$2,'KPI Impacts'!$B66:$H66)</f>
        <v>0</v>
      </c>
      <c r="NH66" s="12">
        <f t="shared" si="490"/>
        <v>0</v>
      </c>
      <c r="NI66" s="12">
        <f t="shared" si="491"/>
        <v>0</v>
      </c>
      <c r="NJ66" s="12">
        <f t="shared" si="492"/>
        <v>0</v>
      </c>
      <c r="NK66" s="12">
        <f t="shared" si="493"/>
        <v>0</v>
      </c>
      <c r="NL66" s="12">
        <f t="shared" si="494"/>
        <v>0</v>
      </c>
      <c r="NM66" s="12">
        <f t="shared" si="495"/>
        <v>0</v>
      </c>
      <c r="NN66" s="12">
        <f t="shared" si="496"/>
        <v>0</v>
      </c>
      <c r="NO66" s="12">
        <f t="shared" si="497"/>
        <v>0</v>
      </c>
      <c r="NP66" s="12">
        <f t="shared" si="498"/>
        <v>0</v>
      </c>
      <c r="NR66" t="s">
        <v>1304</v>
      </c>
      <c r="NS66">
        <f>_xlfn.XLOOKUP(NR66,'KPI Impacts'!$B$2:$H$2,'KPI Impacts'!$B66:$H66)</f>
        <v>0</v>
      </c>
      <c r="NT66" s="9" t="s">
        <v>1304</v>
      </c>
      <c r="NU66">
        <f>_xlfn.XLOOKUP(NT66,'KPI Impacts'!$B$2:$H$2,'KPI Impacts'!$B66:$H66)</f>
        <v>0</v>
      </c>
      <c r="NX66" s="12">
        <f t="shared" si="499"/>
        <v>0</v>
      </c>
      <c r="NY66" s="12">
        <f t="shared" si="500"/>
        <v>0</v>
      </c>
      <c r="NZ66" s="12">
        <f t="shared" si="501"/>
        <v>0</v>
      </c>
      <c r="OA66" s="12">
        <f t="shared" si="502"/>
        <v>0</v>
      </c>
      <c r="OB66" s="12">
        <f t="shared" si="503"/>
        <v>0</v>
      </c>
      <c r="OC66" s="12">
        <f t="shared" si="504"/>
        <v>0</v>
      </c>
      <c r="OD66" s="12">
        <f t="shared" si="505"/>
        <v>0</v>
      </c>
      <c r="OE66" s="12">
        <f t="shared" si="506"/>
        <v>0</v>
      </c>
      <c r="OF66" s="12">
        <f t="shared" si="507"/>
        <v>0</v>
      </c>
      <c r="OH66" t="s">
        <v>1304</v>
      </c>
      <c r="OI66">
        <f>_xlfn.XLOOKUP(OH66,'KPI Impacts'!$B$2:$H$2,'KPI Impacts'!$B66:$H66)</f>
        <v>0</v>
      </c>
      <c r="OJ66" s="9" t="s">
        <v>1304</v>
      </c>
      <c r="OK66">
        <f>_xlfn.XLOOKUP(OJ66,'KPI Impacts'!$B$2:$H$2,'KPI Impacts'!$B66:$H66)</f>
        <v>0</v>
      </c>
    </row>
    <row r="67" spans="1:401" x14ac:dyDescent="0.2">
      <c r="A67" t="s">
        <v>48</v>
      </c>
      <c r="B67" s="12">
        <f t="shared" si="508"/>
        <v>0</v>
      </c>
      <c r="C67" s="12">
        <f t="shared" si="309"/>
        <v>0</v>
      </c>
      <c r="D67" s="12">
        <f t="shared" si="309"/>
        <v>0</v>
      </c>
      <c r="E67" s="12">
        <f t="shared" si="309"/>
        <v>0</v>
      </c>
      <c r="F67" s="12">
        <f t="shared" si="309"/>
        <v>0</v>
      </c>
      <c r="G67" s="12">
        <f t="shared" si="309"/>
        <v>0</v>
      </c>
      <c r="H67" s="12">
        <f t="shared" si="309"/>
        <v>0</v>
      </c>
      <c r="I67" s="12">
        <f t="shared" si="309"/>
        <v>0</v>
      </c>
      <c r="J67" s="12">
        <f t="shared" si="309"/>
        <v>0</v>
      </c>
      <c r="P67" s="12" cm="1">
        <f t="array" ref="P67">_xlfn.SWITCH(P$4, 0,0, 1, AA67,2,AC67,3,AE67,0)</f>
        <v>0</v>
      </c>
      <c r="Q67" s="12" cm="1">
        <f t="array" ref="Q67">_xlfn.SWITCH(Q$4, 0,0, 1, AA67,2,AC67,3,AE67,0)+P67</f>
        <v>0</v>
      </c>
      <c r="R67" s="12" cm="1">
        <f t="array" ref="R67">_xlfn.SWITCH(R$4, 0,0, 1, AA67,2,AC67,3,AE67,0)+Q67</f>
        <v>0</v>
      </c>
      <c r="S67" s="12" cm="1">
        <f t="array" ref="S67">_xlfn.SWITCH(S$4, 0,0, 1, AA67,2,AC67,3,AE67,0)+R67</f>
        <v>0</v>
      </c>
      <c r="T67" s="12" cm="1">
        <f t="array" ref="T67">_xlfn.SWITCH(T$4, 0,0, 1, AA67,2,AC67,3,AE67,0)+S67</f>
        <v>0</v>
      </c>
      <c r="U67" s="12" cm="1">
        <f t="array" ref="U67">_xlfn.SWITCH(U$4, 0,0, 1, AA67,2,AC67,3,AE67,0)+T67</f>
        <v>0</v>
      </c>
      <c r="V67" s="12" cm="1">
        <f t="array" ref="V67">_xlfn.SWITCH(V$4, 0,0, 1, AA67,2,AC67,3,AE67,0)+U67</f>
        <v>0</v>
      </c>
      <c r="W67" s="12" cm="1">
        <f t="array" ref="W67">_xlfn.SWITCH(W$4, 0,0, 1, AA67,2,AC67,3,AE67,0)+V67</f>
        <v>0</v>
      </c>
      <c r="X67" s="12" cm="1">
        <f t="array" ref="X67">_xlfn.SWITCH(X$4, 0,0, 1, AA67,2,AC67,3,AE67,0)+W67</f>
        <v>0</v>
      </c>
      <c r="Z67" t="s">
        <v>1304</v>
      </c>
      <c r="AA67">
        <f>_xlfn.XLOOKUP(Z67,'KPI Impacts'!$K$2:$Q$2,'KPI Impacts'!$K67:$Q67)</f>
        <v>0</v>
      </c>
      <c r="AB67" t="s">
        <v>1304</v>
      </c>
      <c r="AC67">
        <f>_xlfn.XLOOKUP(AB67,'KPI Impacts'!$K$2:$Q$2,'KPI Impacts'!$K67:$Q67)</f>
        <v>0</v>
      </c>
      <c r="AD67" t="s">
        <v>1304</v>
      </c>
      <c r="AE67">
        <f>_xlfn.XLOOKUP(AD67,'KPI Impacts'!$K$2:$Q$2,'KPI Impacts'!$K67:$Q67)</f>
        <v>0</v>
      </c>
      <c r="AH67" s="12" cm="1">
        <f t="array" ref="AH67">_xlfn.SWITCH(AH$4, 0,0, 1, AS67,2,AU67,3,AW67,0)</f>
        <v>0</v>
      </c>
      <c r="AI67" s="12" cm="1">
        <f t="array" ref="AI67">_xlfn.SWITCH(AI$4, 0,0, 1, AS67,2,AU67,3,AW67,0)+AH67</f>
        <v>0</v>
      </c>
      <c r="AJ67" s="12" cm="1">
        <f t="array" ref="AJ67">_xlfn.SWITCH(AJ$4, 0,0, 1, AS67,2,AU67,3,AW67,0)+AI67</f>
        <v>0</v>
      </c>
      <c r="AK67" s="12" cm="1">
        <f t="array" ref="AK67">_xlfn.SWITCH(AK$4, 0,0, 1, AS67,2,AU67,3,AW67,0)+AJ67</f>
        <v>0</v>
      </c>
      <c r="AL67" s="12" cm="1">
        <f t="array" ref="AL67">_xlfn.SWITCH(AL$4, 0,0, 1, AS67,2,AU67,3,AW67,0)+AK67</f>
        <v>0</v>
      </c>
      <c r="AM67" s="12" cm="1">
        <f t="array" ref="AM67">_xlfn.SWITCH(AM$4, 0,0, 1, AS67,2,AU67,3,AW67,0)+AL67</f>
        <v>0</v>
      </c>
      <c r="AN67" s="12" cm="1">
        <f t="array" ref="AN67">_xlfn.SWITCH(AN$4, 0,0, 1, AS67,2,AU67,3,AW67,0)+AM67</f>
        <v>0</v>
      </c>
      <c r="AO67" s="12" cm="1">
        <f t="array" ref="AO67">_xlfn.SWITCH(AO$4, 0,0, 1, AS67,2,AU67,3,AW67,0)+AN67</f>
        <v>0</v>
      </c>
      <c r="AP67" s="12" cm="1">
        <f t="array" ref="AP67">_xlfn.SWITCH(AP$4, 0,0, 1, AS67,2,AU67,3,AW67,0)+AO67</f>
        <v>0</v>
      </c>
      <c r="AR67" t="s">
        <v>1304</v>
      </c>
      <c r="AS67">
        <f>_xlfn.XLOOKUP(AR67,'KPI Impacts'!$K$2:$Q$2,'KPI Impacts'!$K67:$Q67)</f>
        <v>0</v>
      </c>
      <c r="AT67" t="s">
        <v>1304</v>
      </c>
      <c r="AU67">
        <f>_xlfn.XLOOKUP(AT67,'KPI Impacts'!$K$2:$Q$2,'KPI Impacts'!$K67:$Q67)</f>
        <v>0</v>
      </c>
      <c r="AV67" t="s">
        <v>1304</v>
      </c>
      <c r="AW67">
        <f>_xlfn.XLOOKUP(AV67,'KPI Impacts'!$K$2:$Q$2,'KPI Impacts'!$K67:$Q67)</f>
        <v>0</v>
      </c>
      <c r="AZ67" s="12">
        <f t="shared" si="310"/>
        <v>0</v>
      </c>
      <c r="BA67" s="12">
        <f t="shared" si="311"/>
        <v>0</v>
      </c>
      <c r="BB67" s="12">
        <f t="shared" si="312"/>
        <v>0</v>
      </c>
      <c r="BC67" s="12">
        <f t="shared" si="313"/>
        <v>0</v>
      </c>
      <c r="BD67" s="12">
        <f t="shared" si="314"/>
        <v>0</v>
      </c>
      <c r="BE67" s="12">
        <f t="shared" si="315"/>
        <v>0</v>
      </c>
      <c r="BF67" s="12">
        <f t="shared" si="316"/>
        <v>0</v>
      </c>
      <c r="BG67" s="12">
        <f t="shared" si="317"/>
        <v>0</v>
      </c>
      <c r="BH67" s="12">
        <f t="shared" si="318"/>
        <v>0</v>
      </c>
      <c r="BJ67" s="16" t="s">
        <v>1304</v>
      </c>
      <c r="BK67">
        <f>_xlfn.XLOOKUP(BJ67,'KPI Impacts'!$B$2:$H$2,'KPI Impacts'!$B67:$H67)</f>
        <v>0</v>
      </c>
      <c r="BL67" s="35" t="s">
        <v>1304</v>
      </c>
      <c r="BM67">
        <f>_xlfn.XLOOKUP(BL67,'KPI Impacts'!$B$2:$H$2,'KPI Impacts'!$B67:$H67)</f>
        <v>0</v>
      </c>
      <c r="BP67" s="12">
        <f t="shared" si="319"/>
        <v>0</v>
      </c>
      <c r="BQ67" s="12">
        <f t="shared" si="320"/>
        <v>0</v>
      </c>
      <c r="BR67" s="12">
        <f t="shared" si="321"/>
        <v>0</v>
      </c>
      <c r="BS67" s="12">
        <f t="shared" si="322"/>
        <v>0</v>
      </c>
      <c r="BT67" s="12">
        <f t="shared" si="323"/>
        <v>0</v>
      </c>
      <c r="BU67" s="12">
        <f t="shared" si="324"/>
        <v>0</v>
      </c>
      <c r="BV67" s="12">
        <f t="shared" si="325"/>
        <v>0</v>
      </c>
      <c r="BW67" s="12">
        <f t="shared" si="326"/>
        <v>0</v>
      </c>
      <c r="BX67" s="12">
        <f t="shared" si="327"/>
        <v>0</v>
      </c>
      <c r="BZ67" s="16" t="s">
        <v>1304</v>
      </c>
      <c r="CA67">
        <f>_xlfn.XLOOKUP(BZ67,'KPI Impacts'!$B$2:$H$2,'KPI Impacts'!$B67:$H67)</f>
        <v>0</v>
      </c>
      <c r="CB67" s="35" t="s">
        <v>1304</v>
      </c>
      <c r="CC67">
        <f>_xlfn.XLOOKUP(CB67,'KPI Impacts'!$B$2:$H$2,'KPI Impacts'!$B67:$H67)</f>
        <v>0</v>
      </c>
      <c r="CF67" s="12">
        <f t="shared" si="328"/>
        <v>0</v>
      </c>
      <c r="CG67" s="12">
        <f t="shared" si="329"/>
        <v>0</v>
      </c>
      <c r="CH67" s="12">
        <f t="shared" si="330"/>
        <v>0</v>
      </c>
      <c r="CI67" s="12">
        <f t="shared" si="331"/>
        <v>0</v>
      </c>
      <c r="CJ67" s="12">
        <f t="shared" si="332"/>
        <v>0</v>
      </c>
      <c r="CK67" s="12">
        <f t="shared" si="333"/>
        <v>0</v>
      </c>
      <c r="CL67" s="12">
        <f t="shared" si="334"/>
        <v>0</v>
      </c>
      <c r="CM67" s="12">
        <f t="shared" si="335"/>
        <v>0</v>
      </c>
      <c r="CN67" s="12">
        <f t="shared" si="336"/>
        <v>0</v>
      </c>
      <c r="CP67" s="16" t="s">
        <v>1304</v>
      </c>
      <c r="CQ67">
        <f>_xlfn.XLOOKUP(CP67,'KPI Impacts'!$B$2:$H$2,'KPI Impacts'!$B67:$H67)</f>
        <v>0</v>
      </c>
      <c r="CR67" s="35" t="s">
        <v>1304</v>
      </c>
      <c r="CS67">
        <f>_xlfn.XLOOKUP(CR67,'KPI Impacts'!$B$2:$H$2,'KPI Impacts'!$B67:$H67)</f>
        <v>0</v>
      </c>
      <c r="CV67" s="12">
        <f t="shared" si="337"/>
        <v>0</v>
      </c>
      <c r="CW67" s="12">
        <f t="shared" si="338"/>
        <v>0</v>
      </c>
      <c r="CX67" s="12">
        <f t="shared" si="339"/>
        <v>0</v>
      </c>
      <c r="CY67" s="12">
        <f t="shared" si="340"/>
        <v>0</v>
      </c>
      <c r="CZ67" s="12">
        <f t="shared" si="341"/>
        <v>0</v>
      </c>
      <c r="DA67" s="12">
        <f t="shared" si="342"/>
        <v>0</v>
      </c>
      <c r="DB67" s="12">
        <f t="shared" si="343"/>
        <v>0</v>
      </c>
      <c r="DC67" s="12">
        <f t="shared" si="344"/>
        <v>0</v>
      </c>
      <c r="DD67" s="12">
        <f t="shared" si="345"/>
        <v>0</v>
      </c>
      <c r="DF67" s="30" t="s">
        <v>1309</v>
      </c>
      <c r="DG67">
        <f>_xlfn.XLOOKUP(DF67,'KPI Impacts'!$B$2:$H$2,'KPI Impacts'!$B67:$H67)</f>
        <v>6</v>
      </c>
      <c r="DH67" s="35" t="s">
        <v>1304</v>
      </c>
      <c r="DI67">
        <f>_xlfn.XLOOKUP(DH67,'KPI Impacts'!$B$2:$H$2,'KPI Impacts'!$B67:$H67)</f>
        <v>0</v>
      </c>
      <c r="DL67" s="12">
        <f t="shared" si="346"/>
        <v>0</v>
      </c>
      <c r="DM67" s="12">
        <f t="shared" si="347"/>
        <v>0</v>
      </c>
      <c r="DN67" s="12">
        <f t="shared" si="348"/>
        <v>0</v>
      </c>
      <c r="DO67" s="12">
        <f t="shared" si="349"/>
        <v>0</v>
      </c>
      <c r="DP67" s="12">
        <f t="shared" si="350"/>
        <v>0</v>
      </c>
      <c r="DQ67" s="12">
        <f t="shared" si="351"/>
        <v>0</v>
      </c>
      <c r="DR67" s="12">
        <f t="shared" si="352"/>
        <v>0</v>
      </c>
      <c r="DS67" s="12">
        <f t="shared" si="353"/>
        <v>0</v>
      </c>
      <c r="DT67" s="12">
        <f t="shared" si="354"/>
        <v>0</v>
      </c>
      <c r="DV67" s="16" t="s">
        <v>1304</v>
      </c>
      <c r="DW67">
        <f>_xlfn.XLOOKUP(DV67,'KPI Impacts'!$B$2:$H$2,'KPI Impacts'!$B67:$H67)</f>
        <v>0</v>
      </c>
      <c r="DX67" s="35" t="s">
        <v>1304</v>
      </c>
      <c r="DY67">
        <f>_xlfn.XLOOKUP(DX67,'KPI Impacts'!$B$2:$H$2,'KPI Impacts'!$B67:$H67)</f>
        <v>0</v>
      </c>
      <c r="EB67" s="12">
        <f t="shared" si="355"/>
        <v>0</v>
      </c>
      <c r="EC67" s="12">
        <f t="shared" si="356"/>
        <v>0</v>
      </c>
      <c r="ED67" s="12">
        <f t="shared" si="357"/>
        <v>0</v>
      </c>
      <c r="EE67" s="12">
        <f t="shared" si="358"/>
        <v>0</v>
      </c>
      <c r="EF67" s="12">
        <f t="shared" si="359"/>
        <v>0</v>
      </c>
      <c r="EG67" s="12">
        <f t="shared" si="360"/>
        <v>0</v>
      </c>
      <c r="EH67" s="12">
        <f t="shared" si="361"/>
        <v>0</v>
      </c>
      <c r="EI67" s="12">
        <f t="shared" si="362"/>
        <v>0</v>
      </c>
      <c r="EJ67" s="12">
        <f t="shared" si="363"/>
        <v>0</v>
      </c>
      <c r="EL67" s="30" t="s">
        <v>1308</v>
      </c>
      <c r="EM67">
        <f>_xlfn.XLOOKUP(EL67,'KPI Impacts'!$B$2:$H$2,'KPI Impacts'!$B67:$H67)</f>
        <v>2</v>
      </c>
      <c r="EN67" s="35" t="s">
        <v>1304</v>
      </c>
      <c r="EO67">
        <f>_xlfn.XLOOKUP(EN67,'KPI Impacts'!$B$2:$H$2,'KPI Impacts'!$B67:$H67)</f>
        <v>0</v>
      </c>
      <c r="ER67" s="12">
        <f t="shared" si="364"/>
        <v>0</v>
      </c>
      <c r="ES67" s="12">
        <f t="shared" si="365"/>
        <v>0</v>
      </c>
      <c r="ET67" s="12">
        <f t="shared" si="366"/>
        <v>0</v>
      </c>
      <c r="EU67" s="12">
        <f t="shared" si="367"/>
        <v>0</v>
      </c>
      <c r="EV67" s="12">
        <f t="shared" si="368"/>
        <v>0</v>
      </c>
      <c r="EW67" s="12">
        <f t="shared" si="369"/>
        <v>0</v>
      </c>
      <c r="EX67" s="12">
        <f t="shared" si="370"/>
        <v>0</v>
      </c>
      <c r="EY67" s="12">
        <f t="shared" si="371"/>
        <v>0</v>
      </c>
      <c r="EZ67" s="12">
        <f t="shared" si="372"/>
        <v>0</v>
      </c>
      <c r="FB67" s="16" t="s">
        <v>1304</v>
      </c>
      <c r="FC67">
        <f>_xlfn.XLOOKUP(FB67,'KPI Impacts'!$B$2:$H$2,'KPI Impacts'!$B67:$H67)</f>
        <v>0</v>
      </c>
      <c r="FD67" s="35" t="s">
        <v>1304</v>
      </c>
      <c r="FE67">
        <f>_xlfn.XLOOKUP(FD67,'KPI Impacts'!$B$2:$H$2,'KPI Impacts'!$B67:$H67)</f>
        <v>0</v>
      </c>
      <c r="FH67" s="12">
        <f t="shared" si="373"/>
        <v>0</v>
      </c>
      <c r="FI67" s="12">
        <f t="shared" si="374"/>
        <v>0</v>
      </c>
      <c r="FJ67" s="12">
        <f t="shared" si="375"/>
        <v>0</v>
      </c>
      <c r="FK67" s="12">
        <f t="shared" si="376"/>
        <v>0</v>
      </c>
      <c r="FL67" s="12">
        <f t="shared" si="377"/>
        <v>0</v>
      </c>
      <c r="FM67" s="12">
        <f t="shared" si="378"/>
        <v>0</v>
      </c>
      <c r="FN67" s="12">
        <f t="shared" si="379"/>
        <v>0</v>
      </c>
      <c r="FO67" s="12">
        <f t="shared" si="380"/>
        <v>0</v>
      </c>
      <c r="FP67" s="12">
        <f t="shared" si="381"/>
        <v>0</v>
      </c>
      <c r="FR67" s="16" t="s">
        <v>1304</v>
      </c>
      <c r="FS67">
        <f>_xlfn.XLOOKUP(FR67,'KPI Impacts'!$B$2:$H$2,'KPI Impacts'!$B67:$H67)</f>
        <v>0</v>
      </c>
      <c r="FT67" s="35" t="s">
        <v>1304</v>
      </c>
      <c r="FU67">
        <f>_xlfn.XLOOKUP(FT67,'KPI Impacts'!$B$2:$H$2,'KPI Impacts'!$B67:$H67)</f>
        <v>0</v>
      </c>
      <c r="FX67" s="12">
        <f t="shared" si="382"/>
        <v>0</v>
      </c>
      <c r="FY67" s="12">
        <f t="shared" si="383"/>
        <v>0</v>
      </c>
      <c r="FZ67" s="12">
        <f t="shared" si="384"/>
        <v>0</v>
      </c>
      <c r="GA67" s="12">
        <f t="shared" si="385"/>
        <v>0</v>
      </c>
      <c r="GB67" s="12">
        <f t="shared" si="386"/>
        <v>0</v>
      </c>
      <c r="GC67" s="12">
        <f t="shared" si="387"/>
        <v>0</v>
      </c>
      <c r="GD67" s="12">
        <f t="shared" si="388"/>
        <v>0</v>
      </c>
      <c r="GE67" s="12">
        <f t="shared" si="389"/>
        <v>0</v>
      </c>
      <c r="GF67" s="12">
        <f t="shared" si="390"/>
        <v>0</v>
      </c>
      <c r="GH67" s="30" t="s">
        <v>1310</v>
      </c>
      <c r="GI67">
        <f>_xlfn.XLOOKUP(GH67,'KPI Impacts'!$B$2:$H$2,'KPI Impacts'!$B67:$H67)</f>
        <v>4</v>
      </c>
      <c r="GJ67" s="35" t="s">
        <v>1304</v>
      </c>
      <c r="GK67">
        <f>_xlfn.XLOOKUP(GJ67,'KPI Impacts'!$B$2:$H$2,'KPI Impacts'!$B67:$H67)</f>
        <v>0</v>
      </c>
      <c r="GN67" s="12">
        <f t="shared" si="391"/>
        <v>0</v>
      </c>
      <c r="GO67" s="12">
        <f t="shared" si="392"/>
        <v>0</v>
      </c>
      <c r="GP67" s="12">
        <f t="shared" si="393"/>
        <v>0</v>
      </c>
      <c r="GQ67" s="12">
        <f t="shared" si="394"/>
        <v>0</v>
      </c>
      <c r="GR67" s="12">
        <f t="shared" si="395"/>
        <v>0</v>
      </c>
      <c r="GS67" s="12">
        <f t="shared" si="396"/>
        <v>0</v>
      </c>
      <c r="GT67" s="12">
        <f t="shared" si="397"/>
        <v>0</v>
      </c>
      <c r="GU67" s="12">
        <f t="shared" si="398"/>
        <v>0</v>
      </c>
      <c r="GV67" s="12">
        <f t="shared" si="399"/>
        <v>0</v>
      </c>
      <c r="GX67" s="30" t="s">
        <v>1308</v>
      </c>
      <c r="GY67">
        <f>_xlfn.XLOOKUP(GX67,'KPI Impacts'!$B$2:$H$2,'KPI Impacts'!$B67:$H67)</f>
        <v>2</v>
      </c>
      <c r="GZ67" s="35" t="s">
        <v>1304</v>
      </c>
      <c r="HA67">
        <f>_xlfn.XLOOKUP(GZ67,'KPI Impacts'!$B$2:$H$2,'KPI Impacts'!$B67:$H67)</f>
        <v>0</v>
      </c>
      <c r="HD67" s="12">
        <f t="shared" si="400"/>
        <v>0</v>
      </c>
      <c r="HE67" s="12">
        <f t="shared" si="401"/>
        <v>0</v>
      </c>
      <c r="HF67" s="12">
        <f t="shared" si="402"/>
        <v>0</v>
      </c>
      <c r="HG67" s="12">
        <f t="shared" si="403"/>
        <v>0</v>
      </c>
      <c r="HH67" s="12">
        <f t="shared" si="404"/>
        <v>0</v>
      </c>
      <c r="HI67" s="12">
        <f t="shared" si="405"/>
        <v>0</v>
      </c>
      <c r="HJ67" s="12">
        <f t="shared" si="406"/>
        <v>0</v>
      </c>
      <c r="HK67" s="12">
        <f t="shared" si="407"/>
        <v>0</v>
      </c>
      <c r="HL67" s="12">
        <f t="shared" si="408"/>
        <v>0</v>
      </c>
      <c r="HN67" s="16" t="s">
        <v>1304</v>
      </c>
      <c r="HO67">
        <f>_xlfn.XLOOKUP(HN67,'KPI Impacts'!$B$2:$H$2,'KPI Impacts'!$B67:$H67)</f>
        <v>0</v>
      </c>
      <c r="HP67" s="35" t="s">
        <v>1304</v>
      </c>
      <c r="HQ67">
        <f>_xlfn.XLOOKUP(HP67,'KPI Impacts'!$B$2:$H$2,'KPI Impacts'!$B67:$H67)</f>
        <v>0</v>
      </c>
      <c r="HT67" s="12">
        <f t="shared" si="409"/>
        <v>0</v>
      </c>
      <c r="HU67" s="12">
        <f t="shared" si="410"/>
        <v>0</v>
      </c>
      <c r="HV67" s="12">
        <f t="shared" si="411"/>
        <v>0</v>
      </c>
      <c r="HW67" s="12">
        <f t="shared" si="412"/>
        <v>0</v>
      </c>
      <c r="HX67" s="12">
        <f t="shared" si="413"/>
        <v>0</v>
      </c>
      <c r="HY67" s="12">
        <f t="shared" si="414"/>
        <v>0</v>
      </c>
      <c r="HZ67" s="12">
        <f t="shared" si="415"/>
        <v>0</v>
      </c>
      <c r="IA67" s="12">
        <f t="shared" si="416"/>
        <v>0</v>
      </c>
      <c r="IB67" s="12">
        <f t="shared" si="417"/>
        <v>0</v>
      </c>
      <c r="ID67" s="29" t="s">
        <v>1305</v>
      </c>
      <c r="IE67">
        <f>_xlfn.XLOOKUP(ID67,'KPI Impacts'!$B$2:$H$2,'KPI Impacts'!$B67:$H67)</f>
        <v>-1.6</v>
      </c>
      <c r="IF67" s="9" t="s">
        <v>1304</v>
      </c>
      <c r="IG67">
        <f>_xlfn.XLOOKUP(IF67,'KPI Impacts'!$B$2:$H$2,'KPI Impacts'!$B67:$H67)</f>
        <v>0</v>
      </c>
      <c r="IJ67" s="12">
        <f t="shared" si="418"/>
        <v>0</v>
      </c>
      <c r="IK67" s="12">
        <f t="shared" si="419"/>
        <v>0</v>
      </c>
      <c r="IL67" s="12">
        <f t="shared" si="420"/>
        <v>0</v>
      </c>
      <c r="IM67" s="12">
        <f t="shared" si="421"/>
        <v>0</v>
      </c>
      <c r="IN67" s="12">
        <f t="shared" si="422"/>
        <v>0</v>
      </c>
      <c r="IO67" s="12">
        <f t="shared" si="423"/>
        <v>0</v>
      </c>
      <c r="IP67" s="12">
        <f t="shared" si="424"/>
        <v>0</v>
      </c>
      <c r="IQ67" s="12">
        <f t="shared" si="425"/>
        <v>0</v>
      </c>
      <c r="IR67" s="12">
        <f t="shared" si="426"/>
        <v>0</v>
      </c>
      <c r="IT67" s="29" t="s">
        <v>1307</v>
      </c>
      <c r="IU67">
        <f>_xlfn.XLOOKUP(IT67,'KPI Impacts'!$B$2:$H$2,'KPI Impacts'!$B67:$H67)</f>
        <v>-3.2</v>
      </c>
      <c r="IV67" s="9" t="s">
        <v>1304</v>
      </c>
      <c r="IW67">
        <f>_xlfn.XLOOKUP(IV67,'KPI Impacts'!$B$2:$H$2,'KPI Impacts'!$B67:$H67)</f>
        <v>0</v>
      </c>
      <c r="IZ67" s="12">
        <f t="shared" si="427"/>
        <v>0</v>
      </c>
      <c r="JA67" s="12">
        <f t="shared" si="428"/>
        <v>0</v>
      </c>
      <c r="JB67" s="12">
        <f t="shared" si="429"/>
        <v>0</v>
      </c>
      <c r="JC67" s="12">
        <f t="shared" si="430"/>
        <v>0</v>
      </c>
      <c r="JD67" s="12">
        <f t="shared" si="431"/>
        <v>0</v>
      </c>
      <c r="JE67" s="12">
        <f t="shared" si="432"/>
        <v>0</v>
      </c>
      <c r="JF67" s="12">
        <f t="shared" si="433"/>
        <v>0</v>
      </c>
      <c r="JG67" s="12">
        <f t="shared" si="434"/>
        <v>0</v>
      </c>
      <c r="JH67" s="12">
        <f t="shared" si="435"/>
        <v>0</v>
      </c>
      <c r="JJ67" t="s">
        <v>1304</v>
      </c>
      <c r="JK67">
        <f>_xlfn.XLOOKUP(JJ67,'KPI Impacts'!$B$2:$H$2,'KPI Impacts'!$B67:$H67)</f>
        <v>0</v>
      </c>
      <c r="JL67" s="9" t="s">
        <v>1304</v>
      </c>
      <c r="JM67">
        <f>_xlfn.XLOOKUP(JL67,'KPI Impacts'!$B$2:$H$2,'KPI Impacts'!$B67:$H67)</f>
        <v>0</v>
      </c>
      <c r="JP67" s="12">
        <f t="shared" si="436"/>
        <v>0</v>
      </c>
      <c r="JQ67" s="12">
        <f t="shared" si="437"/>
        <v>0</v>
      </c>
      <c r="JR67" s="12">
        <f t="shared" si="438"/>
        <v>0</v>
      </c>
      <c r="JS67" s="12">
        <f t="shared" si="439"/>
        <v>0</v>
      </c>
      <c r="JT67" s="12">
        <f t="shared" si="440"/>
        <v>0</v>
      </c>
      <c r="JU67" s="12">
        <f t="shared" si="441"/>
        <v>0</v>
      </c>
      <c r="JV67" s="12">
        <f t="shared" si="442"/>
        <v>0</v>
      </c>
      <c r="JW67" s="12">
        <f t="shared" si="443"/>
        <v>0</v>
      </c>
      <c r="JX67" s="12">
        <f t="shared" si="444"/>
        <v>0</v>
      </c>
      <c r="JZ67" t="s">
        <v>1304</v>
      </c>
      <c r="KA67">
        <f>_xlfn.XLOOKUP(JZ67,'KPI Impacts'!$B$2:$H$2,'KPI Impacts'!$B67:$H67)</f>
        <v>0</v>
      </c>
      <c r="KB67" s="9" t="s">
        <v>1304</v>
      </c>
      <c r="KC67">
        <f>_xlfn.XLOOKUP(KB67,'KPI Impacts'!$B$2:$H$2,'KPI Impacts'!$B67:$H67)</f>
        <v>0</v>
      </c>
      <c r="KF67" s="12">
        <f t="shared" si="445"/>
        <v>0</v>
      </c>
      <c r="KG67" s="12">
        <f t="shared" si="446"/>
        <v>0</v>
      </c>
      <c r="KH67" s="12">
        <f t="shared" si="447"/>
        <v>0</v>
      </c>
      <c r="KI67" s="12">
        <f t="shared" si="448"/>
        <v>0</v>
      </c>
      <c r="KJ67" s="12">
        <f t="shared" si="449"/>
        <v>0</v>
      </c>
      <c r="KK67" s="12">
        <f t="shared" si="450"/>
        <v>0</v>
      </c>
      <c r="KL67" s="12">
        <f t="shared" si="451"/>
        <v>0</v>
      </c>
      <c r="KM67" s="12">
        <f t="shared" si="452"/>
        <v>0</v>
      </c>
      <c r="KN67" s="12">
        <f t="shared" si="453"/>
        <v>0</v>
      </c>
      <c r="KP67" t="s">
        <v>1304</v>
      </c>
      <c r="KQ67">
        <f>_xlfn.XLOOKUP(KP67,'KPI Impacts'!$B$2:$H$2,'KPI Impacts'!$B67:$H67)</f>
        <v>0</v>
      </c>
      <c r="KR67" s="9" t="s">
        <v>1304</v>
      </c>
      <c r="KS67">
        <f>_xlfn.XLOOKUP(KR67,'KPI Impacts'!$B$2:$H$2,'KPI Impacts'!$B67:$H67)</f>
        <v>0</v>
      </c>
      <c r="KV67" s="12">
        <f t="shared" si="454"/>
        <v>0</v>
      </c>
      <c r="KW67" s="12">
        <f t="shared" si="455"/>
        <v>0</v>
      </c>
      <c r="KX67" s="12">
        <f t="shared" si="456"/>
        <v>0</v>
      </c>
      <c r="KY67" s="12">
        <f t="shared" si="457"/>
        <v>0</v>
      </c>
      <c r="KZ67" s="12">
        <f t="shared" si="458"/>
        <v>0</v>
      </c>
      <c r="LA67" s="12">
        <f t="shared" si="459"/>
        <v>0</v>
      </c>
      <c r="LB67" s="12">
        <f t="shared" si="460"/>
        <v>0</v>
      </c>
      <c r="LC67" s="12">
        <f t="shared" si="461"/>
        <v>0</v>
      </c>
      <c r="LD67" s="12">
        <f t="shared" si="462"/>
        <v>0</v>
      </c>
      <c r="LF67" t="s">
        <v>1304</v>
      </c>
      <c r="LG67">
        <f>_xlfn.XLOOKUP(LF67,'KPI Impacts'!$B$2:$H$2,'KPI Impacts'!$B67:$H67)</f>
        <v>0</v>
      </c>
      <c r="LH67" s="9" t="s">
        <v>1304</v>
      </c>
      <c r="LI67">
        <f>_xlfn.XLOOKUP(LH67,'KPI Impacts'!$B$2:$H$2,'KPI Impacts'!$B67:$H67)</f>
        <v>0</v>
      </c>
      <c r="LL67" s="12">
        <f t="shared" si="463"/>
        <v>0</v>
      </c>
      <c r="LM67" s="12">
        <f t="shared" si="464"/>
        <v>0</v>
      </c>
      <c r="LN67" s="12">
        <f t="shared" si="465"/>
        <v>0</v>
      </c>
      <c r="LO67" s="12">
        <f t="shared" si="466"/>
        <v>0</v>
      </c>
      <c r="LP67" s="12">
        <f t="shared" si="467"/>
        <v>0</v>
      </c>
      <c r="LQ67" s="12">
        <f t="shared" si="468"/>
        <v>0</v>
      </c>
      <c r="LR67" s="12">
        <f t="shared" si="469"/>
        <v>0</v>
      </c>
      <c r="LS67" s="12">
        <f t="shared" si="470"/>
        <v>0</v>
      </c>
      <c r="LT67" s="12">
        <f t="shared" si="471"/>
        <v>0</v>
      </c>
      <c r="LV67" t="s">
        <v>1304</v>
      </c>
      <c r="LW67">
        <f>_xlfn.XLOOKUP(LV67,'KPI Impacts'!$B$2:$H$2,'KPI Impacts'!$B67:$H67)</f>
        <v>0</v>
      </c>
      <c r="LX67" s="9" t="s">
        <v>1304</v>
      </c>
      <c r="LY67">
        <f>_xlfn.XLOOKUP(LX67,'KPI Impacts'!$B$2:$H$2,'KPI Impacts'!$B67:$H67)</f>
        <v>0</v>
      </c>
      <c r="MB67" s="12">
        <f t="shared" si="472"/>
        <v>0</v>
      </c>
      <c r="MC67" s="12">
        <f t="shared" si="473"/>
        <v>0</v>
      </c>
      <c r="MD67" s="12">
        <f t="shared" si="474"/>
        <v>0</v>
      </c>
      <c r="ME67" s="12">
        <f t="shared" si="475"/>
        <v>0</v>
      </c>
      <c r="MF67" s="12">
        <f t="shared" si="476"/>
        <v>0</v>
      </c>
      <c r="MG67" s="12">
        <f t="shared" si="477"/>
        <v>0</v>
      </c>
      <c r="MH67" s="12">
        <f t="shared" si="478"/>
        <v>0</v>
      </c>
      <c r="MI67" s="12">
        <f t="shared" si="479"/>
        <v>0</v>
      </c>
      <c r="MJ67" s="12">
        <f t="shared" si="480"/>
        <v>0</v>
      </c>
      <c r="ML67" t="s">
        <v>1304</v>
      </c>
      <c r="MM67">
        <f>_xlfn.XLOOKUP(ML67,'KPI Impacts'!$B$2:$H$2,'KPI Impacts'!$B67:$H67)</f>
        <v>0</v>
      </c>
      <c r="MN67" s="9" t="s">
        <v>1304</v>
      </c>
      <c r="MO67">
        <f>_xlfn.XLOOKUP(MN67,'KPI Impacts'!$B$2:$H$2,'KPI Impacts'!$B67:$H67)</f>
        <v>0</v>
      </c>
      <c r="MR67" s="12">
        <f t="shared" si="481"/>
        <v>0</v>
      </c>
      <c r="MS67" s="12">
        <f t="shared" si="482"/>
        <v>0</v>
      </c>
      <c r="MT67" s="12">
        <f t="shared" si="483"/>
        <v>0</v>
      </c>
      <c r="MU67" s="12">
        <f t="shared" si="484"/>
        <v>0</v>
      </c>
      <c r="MV67" s="12">
        <f t="shared" si="485"/>
        <v>0</v>
      </c>
      <c r="MW67" s="12">
        <f t="shared" si="486"/>
        <v>0</v>
      </c>
      <c r="MX67" s="12">
        <f t="shared" si="487"/>
        <v>0</v>
      </c>
      <c r="MY67" s="12">
        <f t="shared" si="488"/>
        <v>0</v>
      </c>
      <c r="MZ67" s="12">
        <f t="shared" si="489"/>
        <v>0</v>
      </c>
      <c r="NB67" t="s">
        <v>1304</v>
      </c>
      <c r="NC67">
        <f>_xlfn.XLOOKUP(NB67,'KPI Impacts'!$B$2:$H$2,'KPI Impacts'!$B67:$H67)</f>
        <v>0</v>
      </c>
      <c r="ND67" s="9" t="s">
        <v>1304</v>
      </c>
      <c r="NE67">
        <f>_xlfn.XLOOKUP(ND67,'KPI Impacts'!$B$2:$H$2,'KPI Impacts'!$B67:$H67)</f>
        <v>0</v>
      </c>
      <c r="NH67" s="12">
        <f t="shared" si="490"/>
        <v>0</v>
      </c>
      <c r="NI67" s="12">
        <f t="shared" si="491"/>
        <v>0</v>
      </c>
      <c r="NJ67" s="12">
        <f t="shared" si="492"/>
        <v>0</v>
      </c>
      <c r="NK67" s="12">
        <f t="shared" si="493"/>
        <v>0</v>
      </c>
      <c r="NL67" s="12">
        <f t="shared" si="494"/>
        <v>0</v>
      </c>
      <c r="NM67" s="12">
        <f t="shared" si="495"/>
        <v>0</v>
      </c>
      <c r="NN67" s="12">
        <f t="shared" si="496"/>
        <v>0</v>
      </c>
      <c r="NO67" s="12">
        <f t="shared" si="497"/>
        <v>0</v>
      </c>
      <c r="NP67" s="12">
        <f t="shared" si="498"/>
        <v>0</v>
      </c>
      <c r="NR67" t="s">
        <v>1304</v>
      </c>
      <c r="NS67">
        <f>_xlfn.XLOOKUP(NR67,'KPI Impacts'!$B$2:$H$2,'KPI Impacts'!$B67:$H67)</f>
        <v>0</v>
      </c>
      <c r="NT67" s="9" t="s">
        <v>1304</v>
      </c>
      <c r="NU67">
        <f>_xlfn.XLOOKUP(NT67,'KPI Impacts'!$B$2:$H$2,'KPI Impacts'!$B67:$H67)</f>
        <v>0</v>
      </c>
      <c r="NX67" s="12">
        <f t="shared" si="499"/>
        <v>0</v>
      </c>
      <c r="NY67" s="12">
        <f t="shared" si="500"/>
        <v>0</v>
      </c>
      <c r="NZ67" s="12">
        <f t="shared" si="501"/>
        <v>0</v>
      </c>
      <c r="OA67" s="12">
        <f t="shared" si="502"/>
        <v>0</v>
      </c>
      <c r="OB67" s="12">
        <f t="shared" si="503"/>
        <v>0</v>
      </c>
      <c r="OC67" s="12">
        <f t="shared" si="504"/>
        <v>0</v>
      </c>
      <c r="OD67" s="12">
        <f t="shared" si="505"/>
        <v>0</v>
      </c>
      <c r="OE67" s="12">
        <f t="shared" si="506"/>
        <v>0</v>
      </c>
      <c r="OF67" s="12">
        <f t="shared" si="507"/>
        <v>0</v>
      </c>
      <c r="OH67" t="s">
        <v>1304</v>
      </c>
      <c r="OI67">
        <f>_xlfn.XLOOKUP(OH67,'KPI Impacts'!$B$2:$H$2,'KPI Impacts'!$B67:$H67)</f>
        <v>0</v>
      </c>
      <c r="OJ67" s="9" t="s">
        <v>1304</v>
      </c>
      <c r="OK67">
        <f>_xlfn.XLOOKUP(OJ67,'KPI Impacts'!$B$2:$H$2,'KPI Impacts'!$B67:$H67)</f>
        <v>0</v>
      </c>
    </row>
    <row r="68" spans="1:401" x14ac:dyDescent="0.2">
      <c r="A68" t="s">
        <v>49</v>
      </c>
      <c r="B68" s="12">
        <f t="shared" si="508"/>
        <v>0</v>
      </c>
      <c r="C68" s="12">
        <f t="shared" si="309"/>
        <v>0</v>
      </c>
      <c r="D68" s="12">
        <f t="shared" si="309"/>
        <v>0</v>
      </c>
      <c r="E68" s="12">
        <f t="shared" si="309"/>
        <v>0</v>
      </c>
      <c r="F68" s="12">
        <f t="shared" si="309"/>
        <v>0</v>
      </c>
      <c r="G68" s="12">
        <f t="shared" si="309"/>
        <v>0</v>
      </c>
      <c r="H68" s="12">
        <f t="shared" si="309"/>
        <v>0</v>
      </c>
      <c r="I68" s="12">
        <f t="shared" si="309"/>
        <v>0</v>
      </c>
      <c r="J68" s="12">
        <f t="shared" si="309"/>
        <v>0</v>
      </c>
      <c r="P68" s="12" cm="1">
        <f t="array" ref="P68">_xlfn.SWITCH(P$4, 0,0, 1, AA68,2,AC68,3,AE68,0)</f>
        <v>0</v>
      </c>
      <c r="Q68" s="12" cm="1">
        <f t="array" ref="Q68">_xlfn.SWITCH(Q$4, 0,0, 1, AA68,2,AC68,3,AE68,0)+P68</f>
        <v>0</v>
      </c>
      <c r="R68" s="12" cm="1">
        <f t="array" ref="R68">_xlfn.SWITCH(R$4, 0,0, 1, AA68,2,AC68,3,AE68,0)+Q68</f>
        <v>0</v>
      </c>
      <c r="S68" s="12" cm="1">
        <f t="array" ref="S68">_xlfn.SWITCH(S$4, 0,0, 1, AA68,2,AC68,3,AE68,0)+R68</f>
        <v>0</v>
      </c>
      <c r="T68" s="12" cm="1">
        <f t="array" ref="T68">_xlfn.SWITCH(T$4, 0,0, 1, AA68,2,AC68,3,AE68,0)+S68</f>
        <v>0</v>
      </c>
      <c r="U68" s="12" cm="1">
        <f t="array" ref="U68">_xlfn.SWITCH(U$4, 0,0, 1, AA68,2,AC68,3,AE68,0)+T68</f>
        <v>0</v>
      </c>
      <c r="V68" s="12" cm="1">
        <f t="array" ref="V68">_xlfn.SWITCH(V$4, 0,0, 1, AA68,2,AC68,3,AE68,0)+U68</f>
        <v>0</v>
      </c>
      <c r="W68" s="12" cm="1">
        <f t="array" ref="W68">_xlfn.SWITCH(W$4, 0,0, 1, AA68,2,AC68,3,AE68,0)+V68</f>
        <v>0</v>
      </c>
      <c r="X68" s="12" cm="1">
        <f t="array" ref="X68">_xlfn.SWITCH(X$4, 0,0, 1, AA68,2,AC68,3,AE68,0)+W68</f>
        <v>0</v>
      </c>
      <c r="Z68" t="s">
        <v>1304</v>
      </c>
      <c r="AA68">
        <f>_xlfn.XLOOKUP(Z68,'KPI Impacts'!$K$2:$Q$2,'KPI Impacts'!$K68:$Q68)</f>
        <v>0</v>
      </c>
      <c r="AB68" t="s">
        <v>1304</v>
      </c>
      <c r="AC68">
        <f>_xlfn.XLOOKUP(AB68,'KPI Impacts'!$K$2:$Q$2,'KPI Impacts'!$K68:$Q68)</f>
        <v>0</v>
      </c>
      <c r="AD68" t="s">
        <v>1304</v>
      </c>
      <c r="AE68">
        <f>_xlfn.XLOOKUP(AD68,'KPI Impacts'!$K$2:$Q$2,'KPI Impacts'!$K68:$Q68)</f>
        <v>0</v>
      </c>
      <c r="AH68" s="12" cm="1">
        <f t="array" ref="AH68">_xlfn.SWITCH(AH$4, 0,0, 1, AS68,2,AU68,3,AW68,0)</f>
        <v>0</v>
      </c>
      <c r="AI68" s="12" cm="1">
        <f t="array" ref="AI68">_xlfn.SWITCH(AI$4, 0,0, 1, AS68,2,AU68,3,AW68,0)+AH68</f>
        <v>0</v>
      </c>
      <c r="AJ68" s="12" cm="1">
        <f t="array" ref="AJ68">_xlfn.SWITCH(AJ$4, 0,0, 1, AS68,2,AU68,3,AW68,0)+AI68</f>
        <v>0</v>
      </c>
      <c r="AK68" s="12" cm="1">
        <f t="array" ref="AK68">_xlfn.SWITCH(AK$4, 0,0, 1, AS68,2,AU68,3,AW68,0)+AJ68</f>
        <v>0</v>
      </c>
      <c r="AL68" s="12" cm="1">
        <f t="array" ref="AL68">_xlfn.SWITCH(AL$4, 0,0, 1, AS68,2,AU68,3,AW68,0)+AK68</f>
        <v>0</v>
      </c>
      <c r="AM68" s="12" cm="1">
        <f t="array" ref="AM68">_xlfn.SWITCH(AM$4, 0,0, 1, AS68,2,AU68,3,AW68,0)+AL68</f>
        <v>0</v>
      </c>
      <c r="AN68" s="12" cm="1">
        <f t="array" ref="AN68">_xlfn.SWITCH(AN$4, 0,0, 1, AS68,2,AU68,3,AW68,0)+AM68</f>
        <v>0</v>
      </c>
      <c r="AO68" s="12" cm="1">
        <f t="array" ref="AO68">_xlfn.SWITCH(AO$4, 0,0, 1, AS68,2,AU68,3,AW68,0)+AN68</f>
        <v>0</v>
      </c>
      <c r="AP68" s="12" cm="1">
        <f t="array" ref="AP68">_xlfn.SWITCH(AP$4, 0,0, 1, AS68,2,AU68,3,AW68,0)+AO68</f>
        <v>0</v>
      </c>
      <c r="AR68" t="s">
        <v>1304</v>
      </c>
      <c r="AS68">
        <f>_xlfn.XLOOKUP(AR68,'KPI Impacts'!$K$2:$Q$2,'KPI Impacts'!$K68:$Q68)</f>
        <v>0</v>
      </c>
      <c r="AT68" t="s">
        <v>1304</v>
      </c>
      <c r="AU68">
        <f>_xlfn.XLOOKUP(AT68,'KPI Impacts'!$K$2:$Q$2,'KPI Impacts'!$K68:$Q68)</f>
        <v>0</v>
      </c>
      <c r="AV68" t="s">
        <v>1304</v>
      </c>
      <c r="AW68">
        <f>_xlfn.XLOOKUP(AV68,'KPI Impacts'!$K$2:$Q$2,'KPI Impacts'!$K68:$Q68)</f>
        <v>0</v>
      </c>
      <c r="AZ68" s="12">
        <f t="shared" si="310"/>
        <v>0</v>
      </c>
      <c r="BA68" s="12">
        <f t="shared" si="311"/>
        <v>0</v>
      </c>
      <c r="BB68" s="12">
        <f t="shared" si="312"/>
        <v>0</v>
      </c>
      <c r="BC68" s="12">
        <f t="shared" si="313"/>
        <v>0</v>
      </c>
      <c r="BD68" s="12">
        <f t="shared" si="314"/>
        <v>0</v>
      </c>
      <c r="BE68" s="12">
        <f t="shared" si="315"/>
        <v>0</v>
      </c>
      <c r="BF68" s="12">
        <f t="shared" si="316"/>
        <v>0</v>
      </c>
      <c r="BG68" s="12">
        <f t="shared" si="317"/>
        <v>0</v>
      </c>
      <c r="BH68" s="12">
        <f t="shared" si="318"/>
        <v>0</v>
      </c>
      <c r="BJ68" s="30" t="s">
        <v>1308</v>
      </c>
      <c r="BK68">
        <f>_xlfn.XLOOKUP(BJ68,'KPI Impacts'!$B$2:$H$2,'KPI Impacts'!$B68:$H68)</f>
        <v>2</v>
      </c>
      <c r="BL68" s="35" t="s">
        <v>1304</v>
      </c>
      <c r="BM68">
        <f>_xlfn.XLOOKUP(BL68,'KPI Impacts'!$B$2:$H$2,'KPI Impacts'!$B68:$H68)</f>
        <v>0</v>
      </c>
      <c r="BP68" s="12">
        <f t="shared" si="319"/>
        <v>0</v>
      </c>
      <c r="BQ68" s="12">
        <f t="shared" si="320"/>
        <v>0</v>
      </c>
      <c r="BR68" s="12">
        <f t="shared" si="321"/>
        <v>0</v>
      </c>
      <c r="BS68" s="12">
        <f t="shared" si="322"/>
        <v>0</v>
      </c>
      <c r="BT68" s="12">
        <f t="shared" si="323"/>
        <v>0</v>
      </c>
      <c r="BU68" s="12">
        <f t="shared" si="324"/>
        <v>0</v>
      </c>
      <c r="BV68" s="12">
        <f t="shared" si="325"/>
        <v>0</v>
      </c>
      <c r="BW68" s="12">
        <f t="shared" si="326"/>
        <v>0</v>
      </c>
      <c r="BX68" s="12">
        <f t="shared" si="327"/>
        <v>0</v>
      </c>
      <c r="BZ68" s="30" t="s">
        <v>1308</v>
      </c>
      <c r="CA68">
        <f>_xlfn.XLOOKUP(BZ68,'KPI Impacts'!$B$2:$H$2,'KPI Impacts'!$B68:$H68)</f>
        <v>2</v>
      </c>
      <c r="CB68" s="35" t="s">
        <v>1304</v>
      </c>
      <c r="CC68">
        <f>_xlfn.XLOOKUP(CB68,'KPI Impacts'!$B$2:$H$2,'KPI Impacts'!$B68:$H68)</f>
        <v>0</v>
      </c>
      <c r="CF68" s="12">
        <f t="shared" si="328"/>
        <v>0</v>
      </c>
      <c r="CG68" s="12">
        <f t="shared" si="329"/>
        <v>0</v>
      </c>
      <c r="CH68" s="12">
        <f t="shared" si="330"/>
        <v>0</v>
      </c>
      <c r="CI68" s="12">
        <f t="shared" si="331"/>
        <v>0</v>
      </c>
      <c r="CJ68" s="12">
        <f t="shared" si="332"/>
        <v>0</v>
      </c>
      <c r="CK68" s="12">
        <f t="shared" si="333"/>
        <v>0</v>
      </c>
      <c r="CL68" s="12">
        <f t="shared" si="334"/>
        <v>0</v>
      </c>
      <c r="CM68" s="12">
        <f t="shared" si="335"/>
        <v>0</v>
      </c>
      <c r="CN68" s="12">
        <f t="shared" si="336"/>
        <v>0</v>
      </c>
      <c r="CP68" s="16" t="s">
        <v>1304</v>
      </c>
      <c r="CQ68">
        <f>_xlfn.XLOOKUP(CP68,'KPI Impacts'!$B$2:$H$2,'KPI Impacts'!$B68:$H68)</f>
        <v>0</v>
      </c>
      <c r="CR68" s="35" t="s">
        <v>1304</v>
      </c>
      <c r="CS68">
        <f>_xlfn.XLOOKUP(CR68,'KPI Impacts'!$B$2:$H$2,'KPI Impacts'!$B68:$H68)</f>
        <v>0</v>
      </c>
      <c r="CV68" s="12">
        <f t="shared" si="337"/>
        <v>0</v>
      </c>
      <c r="CW68" s="12">
        <f t="shared" si="338"/>
        <v>0</v>
      </c>
      <c r="CX68" s="12">
        <f t="shared" si="339"/>
        <v>0</v>
      </c>
      <c r="CY68" s="12">
        <f t="shared" si="340"/>
        <v>0</v>
      </c>
      <c r="CZ68" s="12">
        <f t="shared" si="341"/>
        <v>0</v>
      </c>
      <c r="DA68" s="12">
        <f t="shared" si="342"/>
        <v>0</v>
      </c>
      <c r="DB68" s="12">
        <f t="shared" si="343"/>
        <v>0</v>
      </c>
      <c r="DC68" s="12">
        <f t="shared" si="344"/>
        <v>0</v>
      </c>
      <c r="DD68" s="12">
        <f t="shared" si="345"/>
        <v>0</v>
      </c>
      <c r="DF68" s="16" t="s">
        <v>1304</v>
      </c>
      <c r="DG68">
        <f>_xlfn.XLOOKUP(DF68,'KPI Impacts'!$B$2:$H$2,'KPI Impacts'!$B68:$H68)</f>
        <v>0</v>
      </c>
      <c r="DH68" s="35" t="s">
        <v>1304</v>
      </c>
      <c r="DI68">
        <f>_xlfn.XLOOKUP(DH68,'KPI Impacts'!$B$2:$H$2,'KPI Impacts'!$B68:$H68)</f>
        <v>0</v>
      </c>
      <c r="DL68" s="12">
        <f t="shared" si="346"/>
        <v>0</v>
      </c>
      <c r="DM68" s="12">
        <f t="shared" si="347"/>
        <v>0</v>
      </c>
      <c r="DN68" s="12">
        <f t="shared" si="348"/>
        <v>0</v>
      </c>
      <c r="DO68" s="12">
        <f t="shared" si="349"/>
        <v>0</v>
      </c>
      <c r="DP68" s="12">
        <f t="shared" si="350"/>
        <v>0</v>
      </c>
      <c r="DQ68" s="12">
        <f t="shared" si="351"/>
        <v>0</v>
      </c>
      <c r="DR68" s="12">
        <f t="shared" si="352"/>
        <v>0</v>
      </c>
      <c r="DS68" s="12">
        <f t="shared" si="353"/>
        <v>0</v>
      </c>
      <c r="DT68" s="12">
        <f t="shared" si="354"/>
        <v>0</v>
      </c>
      <c r="DV68" s="29" t="s">
        <v>1307</v>
      </c>
      <c r="DW68">
        <f>_xlfn.XLOOKUP(DV68,'KPI Impacts'!$B$2:$H$2,'KPI Impacts'!$B68:$H68)</f>
        <v>-3.2</v>
      </c>
      <c r="DX68" s="35" t="s">
        <v>1304</v>
      </c>
      <c r="DY68">
        <f>_xlfn.XLOOKUP(DX68,'KPI Impacts'!$B$2:$H$2,'KPI Impacts'!$B68:$H68)</f>
        <v>0</v>
      </c>
      <c r="EB68" s="12">
        <f t="shared" si="355"/>
        <v>0</v>
      </c>
      <c r="EC68" s="12">
        <f t="shared" si="356"/>
        <v>0</v>
      </c>
      <c r="ED68" s="12">
        <f t="shared" si="357"/>
        <v>0</v>
      </c>
      <c r="EE68" s="12">
        <f t="shared" si="358"/>
        <v>0</v>
      </c>
      <c r="EF68" s="12">
        <f t="shared" si="359"/>
        <v>0</v>
      </c>
      <c r="EG68" s="12">
        <f t="shared" si="360"/>
        <v>0</v>
      </c>
      <c r="EH68" s="12">
        <f t="shared" si="361"/>
        <v>0</v>
      </c>
      <c r="EI68" s="12">
        <f t="shared" si="362"/>
        <v>0</v>
      </c>
      <c r="EJ68" s="12">
        <f t="shared" si="363"/>
        <v>0</v>
      </c>
      <c r="EL68" s="16" t="s">
        <v>1304</v>
      </c>
      <c r="EM68">
        <f>_xlfn.XLOOKUP(EL68,'KPI Impacts'!$B$2:$H$2,'KPI Impacts'!$B68:$H68)</f>
        <v>0</v>
      </c>
      <c r="EN68" s="35" t="s">
        <v>1304</v>
      </c>
      <c r="EO68">
        <f>_xlfn.XLOOKUP(EN68,'KPI Impacts'!$B$2:$H$2,'KPI Impacts'!$B68:$H68)</f>
        <v>0</v>
      </c>
      <c r="ER68" s="12">
        <f t="shared" si="364"/>
        <v>0</v>
      </c>
      <c r="ES68" s="12">
        <f t="shared" si="365"/>
        <v>0</v>
      </c>
      <c r="ET68" s="12">
        <f t="shared" si="366"/>
        <v>0</v>
      </c>
      <c r="EU68" s="12">
        <f t="shared" si="367"/>
        <v>0</v>
      </c>
      <c r="EV68" s="12">
        <f t="shared" si="368"/>
        <v>0</v>
      </c>
      <c r="EW68" s="12">
        <f t="shared" si="369"/>
        <v>0</v>
      </c>
      <c r="EX68" s="12">
        <f t="shared" si="370"/>
        <v>0</v>
      </c>
      <c r="EY68" s="12">
        <f t="shared" si="371"/>
        <v>0</v>
      </c>
      <c r="EZ68" s="12">
        <f t="shared" si="372"/>
        <v>0</v>
      </c>
      <c r="FB68" s="16" t="s">
        <v>1304</v>
      </c>
      <c r="FC68">
        <f>_xlfn.XLOOKUP(FB68,'KPI Impacts'!$B$2:$H$2,'KPI Impacts'!$B68:$H68)</f>
        <v>0</v>
      </c>
      <c r="FD68" s="35" t="s">
        <v>1304</v>
      </c>
      <c r="FE68">
        <f>_xlfn.XLOOKUP(FD68,'KPI Impacts'!$B$2:$H$2,'KPI Impacts'!$B68:$H68)</f>
        <v>0</v>
      </c>
      <c r="FH68" s="12">
        <f t="shared" si="373"/>
        <v>0</v>
      </c>
      <c r="FI68" s="12">
        <f t="shared" si="374"/>
        <v>0</v>
      </c>
      <c r="FJ68" s="12">
        <f t="shared" si="375"/>
        <v>0</v>
      </c>
      <c r="FK68" s="12">
        <f t="shared" si="376"/>
        <v>0</v>
      </c>
      <c r="FL68" s="12">
        <f t="shared" si="377"/>
        <v>0</v>
      </c>
      <c r="FM68" s="12">
        <f t="shared" si="378"/>
        <v>0</v>
      </c>
      <c r="FN68" s="12">
        <f t="shared" si="379"/>
        <v>0</v>
      </c>
      <c r="FO68" s="12">
        <f t="shared" si="380"/>
        <v>0</v>
      </c>
      <c r="FP68" s="12">
        <f t="shared" si="381"/>
        <v>0</v>
      </c>
      <c r="FR68" s="30" t="s">
        <v>1308</v>
      </c>
      <c r="FS68">
        <f>_xlfn.XLOOKUP(FR68,'KPI Impacts'!$B$2:$H$2,'KPI Impacts'!$B68:$H68)</f>
        <v>2</v>
      </c>
      <c r="FT68" s="35" t="s">
        <v>1304</v>
      </c>
      <c r="FU68">
        <f>_xlfn.XLOOKUP(FT68,'KPI Impacts'!$B$2:$H$2,'KPI Impacts'!$B68:$H68)</f>
        <v>0</v>
      </c>
      <c r="FX68" s="12">
        <f t="shared" si="382"/>
        <v>0</v>
      </c>
      <c r="FY68" s="12">
        <f t="shared" si="383"/>
        <v>0</v>
      </c>
      <c r="FZ68" s="12">
        <f t="shared" si="384"/>
        <v>0</v>
      </c>
      <c r="GA68" s="12">
        <f t="shared" si="385"/>
        <v>0</v>
      </c>
      <c r="GB68" s="12">
        <f t="shared" si="386"/>
        <v>0</v>
      </c>
      <c r="GC68" s="12">
        <f t="shared" si="387"/>
        <v>0</v>
      </c>
      <c r="GD68" s="12">
        <f t="shared" si="388"/>
        <v>0</v>
      </c>
      <c r="GE68" s="12">
        <f t="shared" si="389"/>
        <v>0</v>
      </c>
      <c r="GF68" s="12">
        <f t="shared" si="390"/>
        <v>0</v>
      </c>
      <c r="GH68" s="16" t="s">
        <v>1304</v>
      </c>
      <c r="GI68">
        <f>_xlfn.XLOOKUP(GH68,'KPI Impacts'!$B$2:$H$2,'KPI Impacts'!$B68:$H68)</f>
        <v>0</v>
      </c>
      <c r="GJ68" s="35" t="s">
        <v>1304</v>
      </c>
      <c r="GK68">
        <f>_xlfn.XLOOKUP(GJ68,'KPI Impacts'!$B$2:$H$2,'KPI Impacts'!$B68:$H68)</f>
        <v>0</v>
      </c>
      <c r="GN68" s="12">
        <f t="shared" si="391"/>
        <v>0</v>
      </c>
      <c r="GO68" s="12">
        <f t="shared" si="392"/>
        <v>0</v>
      </c>
      <c r="GP68" s="12">
        <f t="shared" si="393"/>
        <v>0</v>
      </c>
      <c r="GQ68" s="12">
        <f t="shared" si="394"/>
        <v>0</v>
      </c>
      <c r="GR68" s="12">
        <f t="shared" si="395"/>
        <v>0</v>
      </c>
      <c r="GS68" s="12">
        <f t="shared" si="396"/>
        <v>0</v>
      </c>
      <c r="GT68" s="12">
        <f t="shared" si="397"/>
        <v>0</v>
      </c>
      <c r="GU68" s="12">
        <f t="shared" si="398"/>
        <v>0</v>
      </c>
      <c r="GV68" s="12">
        <f t="shared" si="399"/>
        <v>0</v>
      </c>
      <c r="GX68" s="16" t="s">
        <v>1304</v>
      </c>
      <c r="GY68">
        <f>_xlfn.XLOOKUP(GX68,'KPI Impacts'!$B$2:$H$2,'KPI Impacts'!$B68:$H68)</f>
        <v>0</v>
      </c>
      <c r="GZ68" s="35" t="s">
        <v>1304</v>
      </c>
      <c r="HA68">
        <f>_xlfn.XLOOKUP(GZ68,'KPI Impacts'!$B$2:$H$2,'KPI Impacts'!$B68:$H68)</f>
        <v>0</v>
      </c>
      <c r="HD68" s="12">
        <f t="shared" si="400"/>
        <v>0</v>
      </c>
      <c r="HE68" s="12">
        <f t="shared" si="401"/>
        <v>0</v>
      </c>
      <c r="HF68" s="12">
        <f t="shared" si="402"/>
        <v>0</v>
      </c>
      <c r="HG68" s="12">
        <f t="shared" si="403"/>
        <v>0</v>
      </c>
      <c r="HH68" s="12">
        <f t="shared" si="404"/>
        <v>0</v>
      </c>
      <c r="HI68" s="12">
        <f t="shared" si="405"/>
        <v>0</v>
      </c>
      <c r="HJ68" s="12">
        <f t="shared" si="406"/>
        <v>0</v>
      </c>
      <c r="HK68" s="12">
        <f t="shared" si="407"/>
        <v>0</v>
      </c>
      <c r="HL68" s="12">
        <f t="shared" si="408"/>
        <v>0</v>
      </c>
      <c r="HN68" s="16" t="s">
        <v>1304</v>
      </c>
      <c r="HO68">
        <f>_xlfn.XLOOKUP(HN68,'KPI Impacts'!$B$2:$H$2,'KPI Impacts'!$B68:$H68)</f>
        <v>0</v>
      </c>
      <c r="HP68" s="35" t="s">
        <v>1304</v>
      </c>
      <c r="HQ68">
        <f>_xlfn.XLOOKUP(HP68,'KPI Impacts'!$B$2:$H$2,'KPI Impacts'!$B68:$H68)</f>
        <v>0</v>
      </c>
      <c r="HT68" s="12">
        <f t="shared" si="409"/>
        <v>0</v>
      </c>
      <c r="HU68" s="12">
        <f t="shared" si="410"/>
        <v>0</v>
      </c>
      <c r="HV68" s="12">
        <f t="shared" si="411"/>
        <v>0</v>
      </c>
      <c r="HW68" s="12">
        <f t="shared" si="412"/>
        <v>0</v>
      </c>
      <c r="HX68" s="12">
        <f t="shared" si="413"/>
        <v>0</v>
      </c>
      <c r="HY68" s="12">
        <f t="shared" si="414"/>
        <v>0</v>
      </c>
      <c r="HZ68" s="12">
        <f t="shared" si="415"/>
        <v>0</v>
      </c>
      <c r="IA68" s="12">
        <f t="shared" si="416"/>
        <v>0</v>
      </c>
      <c r="IB68" s="12">
        <f t="shared" si="417"/>
        <v>0</v>
      </c>
      <c r="ID68" s="29" t="s">
        <v>1305</v>
      </c>
      <c r="IE68">
        <f>_xlfn.XLOOKUP(ID68,'KPI Impacts'!$B$2:$H$2,'KPI Impacts'!$B68:$H68)</f>
        <v>-1.6</v>
      </c>
      <c r="IF68" s="9" t="s">
        <v>1304</v>
      </c>
      <c r="IG68">
        <f>_xlfn.XLOOKUP(IF68,'KPI Impacts'!$B$2:$H$2,'KPI Impacts'!$B68:$H68)</f>
        <v>0</v>
      </c>
      <c r="IJ68" s="12">
        <f t="shared" si="418"/>
        <v>0</v>
      </c>
      <c r="IK68" s="12">
        <f t="shared" si="419"/>
        <v>0</v>
      </c>
      <c r="IL68" s="12">
        <f t="shared" si="420"/>
        <v>0</v>
      </c>
      <c r="IM68" s="12">
        <f t="shared" si="421"/>
        <v>0</v>
      </c>
      <c r="IN68" s="12">
        <f t="shared" si="422"/>
        <v>0</v>
      </c>
      <c r="IO68" s="12">
        <f t="shared" si="423"/>
        <v>0</v>
      </c>
      <c r="IP68" s="12">
        <f t="shared" si="424"/>
        <v>0</v>
      </c>
      <c r="IQ68" s="12">
        <f t="shared" si="425"/>
        <v>0</v>
      </c>
      <c r="IR68" s="12">
        <f t="shared" si="426"/>
        <v>0</v>
      </c>
      <c r="IT68" s="16" t="s">
        <v>1304</v>
      </c>
      <c r="IU68">
        <f>_xlfn.XLOOKUP(IT68,'KPI Impacts'!$B$2:$H$2,'KPI Impacts'!$B68:$H68)</f>
        <v>0</v>
      </c>
      <c r="IV68" s="9" t="s">
        <v>1304</v>
      </c>
      <c r="IW68">
        <f>_xlfn.XLOOKUP(IV68,'KPI Impacts'!$B$2:$H$2,'KPI Impacts'!$B68:$H68)</f>
        <v>0</v>
      </c>
      <c r="IZ68" s="12">
        <f t="shared" si="427"/>
        <v>0</v>
      </c>
      <c r="JA68" s="12">
        <f t="shared" si="428"/>
        <v>0</v>
      </c>
      <c r="JB68" s="12">
        <f t="shared" si="429"/>
        <v>0</v>
      </c>
      <c r="JC68" s="12">
        <f t="shared" si="430"/>
        <v>0</v>
      </c>
      <c r="JD68" s="12">
        <f t="shared" si="431"/>
        <v>0</v>
      </c>
      <c r="JE68" s="12">
        <f t="shared" si="432"/>
        <v>0</v>
      </c>
      <c r="JF68" s="12">
        <f t="shared" si="433"/>
        <v>0</v>
      </c>
      <c r="JG68" s="12">
        <f t="shared" si="434"/>
        <v>0</v>
      </c>
      <c r="JH68" s="12">
        <f t="shared" si="435"/>
        <v>0</v>
      </c>
      <c r="JJ68" t="s">
        <v>1304</v>
      </c>
      <c r="JK68">
        <f>_xlfn.XLOOKUP(JJ68,'KPI Impacts'!$B$2:$H$2,'KPI Impacts'!$B68:$H68)</f>
        <v>0</v>
      </c>
      <c r="JL68" s="9" t="s">
        <v>1304</v>
      </c>
      <c r="JM68">
        <f>_xlfn.XLOOKUP(JL68,'KPI Impacts'!$B$2:$H$2,'KPI Impacts'!$B68:$H68)</f>
        <v>0</v>
      </c>
      <c r="JP68" s="12">
        <f t="shared" si="436"/>
        <v>0</v>
      </c>
      <c r="JQ68" s="12">
        <f t="shared" si="437"/>
        <v>0</v>
      </c>
      <c r="JR68" s="12">
        <f t="shared" si="438"/>
        <v>0</v>
      </c>
      <c r="JS68" s="12">
        <f t="shared" si="439"/>
        <v>0</v>
      </c>
      <c r="JT68" s="12">
        <f t="shared" si="440"/>
        <v>0</v>
      </c>
      <c r="JU68" s="12">
        <f t="shared" si="441"/>
        <v>0</v>
      </c>
      <c r="JV68" s="12">
        <f t="shared" si="442"/>
        <v>0</v>
      </c>
      <c r="JW68" s="12">
        <f t="shared" si="443"/>
        <v>0</v>
      </c>
      <c r="JX68" s="12">
        <f t="shared" si="444"/>
        <v>0</v>
      </c>
      <c r="JZ68" t="s">
        <v>1304</v>
      </c>
      <c r="KA68">
        <f>_xlfn.XLOOKUP(JZ68,'KPI Impacts'!$B$2:$H$2,'KPI Impacts'!$B68:$H68)</f>
        <v>0</v>
      </c>
      <c r="KB68" s="9" t="s">
        <v>1304</v>
      </c>
      <c r="KC68">
        <f>_xlfn.XLOOKUP(KB68,'KPI Impacts'!$B$2:$H$2,'KPI Impacts'!$B68:$H68)</f>
        <v>0</v>
      </c>
      <c r="KF68" s="12">
        <f t="shared" si="445"/>
        <v>0</v>
      </c>
      <c r="KG68" s="12">
        <f t="shared" si="446"/>
        <v>0</v>
      </c>
      <c r="KH68" s="12">
        <f t="shared" si="447"/>
        <v>0</v>
      </c>
      <c r="KI68" s="12">
        <f t="shared" si="448"/>
        <v>0</v>
      </c>
      <c r="KJ68" s="12">
        <f t="shared" si="449"/>
        <v>0</v>
      </c>
      <c r="KK68" s="12">
        <f t="shared" si="450"/>
        <v>0</v>
      </c>
      <c r="KL68" s="12">
        <f t="shared" si="451"/>
        <v>0</v>
      </c>
      <c r="KM68" s="12">
        <f t="shared" si="452"/>
        <v>0</v>
      </c>
      <c r="KN68" s="12">
        <f t="shared" si="453"/>
        <v>0</v>
      </c>
      <c r="KP68" t="s">
        <v>1304</v>
      </c>
      <c r="KQ68">
        <f>_xlfn.XLOOKUP(KP68,'KPI Impacts'!$B$2:$H$2,'KPI Impacts'!$B68:$H68)</f>
        <v>0</v>
      </c>
      <c r="KR68" s="9" t="s">
        <v>1304</v>
      </c>
      <c r="KS68">
        <f>_xlfn.XLOOKUP(KR68,'KPI Impacts'!$B$2:$H$2,'KPI Impacts'!$B68:$H68)</f>
        <v>0</v>
      </c>
      <c r="KV68" s="12">
        <f t="shared" si="454"/>
        <v>0</v>
      </c>
      <c r="KW68" s="12">
        <f t="shared" si="455"/>
        <v>0</v>
      </c>
      <c r="KX68" s="12">
        <f t="shared" si="456"/>
        <v>0</v>
      </c>
      <c r="KY68" s="12">
        <f t="shared" si="457"/>
        <v>0</v>
      </c>
      <c r="KZ68" s="12">
        <f t="shared" si="458"/>
        <v>0</v>
      </c>
      <c r="LA68" s="12">
        <f t="shared" si="459"/>
        <v>0</v>
      </c>
      <c r="LB68" s="12">
        <f t="shared" si="460"/>
        <v>0</v>
      </c>
      <c r="LC68" s="12">
        <f t="shared" si="461"/>
        <v>0</v>
      </c>
      <c r="LD68" s="12">
        <f t="shared" si="462"/>
        <v>0</v>
      </c>
      <c r="LF68" t="s">
        <v>1304</v>
      </c>
      <c r="LG68">
        <f>_xlfn.XLOOKUP(LF68,'KPI Impacts'!$B$2:$H$2,'KPI Impacts'!$B68:$H68)</f>
        <v>0</v>
      </c>
      <c r="LH68" s="9" t="s">
        <v>1304</v>
      </c>
      <c r="LI68">
        <f>_xlfn.XLOOKUP(LH68,'KPI Impacts'!$B$2:$H$2,'KPI Impacts'!$B68:$H68)</f>
        <v>0</v>
      </c>
      <c r="LL68" s="12">
        <f t="shared" si="463"/>
        <v>0</v>
      </c>
      <c r="LM68" s="12">
        <f t="shared" si="464"/>
        <v>0</v>
      </c>
      <c r="LN68" s="12">
        <f t="shared" si="465"/>
        <v>0</v>
      </c>
      <c r="LO68" s="12">
        <f t="shared" si="466"/>
        <v>0</v>
      </c>
      <c r="LP68" s="12">
        <f t="shared" si="467"/>
        <v>0</v>
      </c>
      <c r="LQ68" s="12">
        <f t="shared" si="468"/>
        <v>0</v>
      </c>
      <c r="LR68" s="12">
        <f t="shared" si="469"/>
        <v>0</v>
      </c>
      <c r="LS68" s="12">
        <f t="shared" si="470"/>
        <v>0</v>
      </c>
      <c r="LT68" s="12">
        <f t="shared" si="471"/>
        <v>0</v>
      </c>
      <c r="LV68" t="s">
        <v>1304</v>
      </c>
      <c r="LW68">
        <f>_xlfn.XLOOKUP(LV68,'KPI Impacts'!$B$2:$H$2,'KPI Impacts'!$B68:$H68)</f>
        <v>0</v>
      </c>
      <c r="LX68" s="9" t="s">
        <v>1304</v>
      </c>
      <c r="LY68">
        <f>_xlfn.XLOOKUP(LX68,'KPI Impacts'!$B$2:$H$2,'KPI Impacts'!$B68:$H68)</f>
        <v>0</v>
      </c>
      <c r="MB68" s="12">
        <f t="shared" si="472"/>
        <v>0</v>
      </c>
      <c r="MC68" s="12">
        <f t="shared" si="473"/>
        <v>0</v>
      </c>
      <c r="MD68" s="12">
        <f t="shared" si="474"/>
        <v>0</v>
      </c>
      <c r="ME68" s="12">
        <f t="shared" si="475"/>
        <v>0</v>
      </c>
      <c r="MF68" s="12">
        <f t="shared" si="476"/>
        <v>0</v>
      </c>
      <c r="MG68" s="12">
        <f t="shared" si="477"/>
        <v>0</v>
      </c>
      <c r="MH68" s="12">
        <f t="shared" si="478"/>
        <v>0</v>
      </c>
      <c r="MI68" s="12">
        <f t="shared" si="479"/>
        <v>0</v>
      </c>
      <c r="MJ68" s="12">
        <f t="shared" si="480"/>
        <v>0</v>
      </c>
      <c r="ML68" t="s">
        <v>1304</v>
      </c>
      <c r="MM68">
        <f>_xlfn.XLOOKUP(ML68,'KPI Impacts'!$B$2:$H$2,'KPI Impacts'!$B68:$H68)</f>
        <v>0</v>
      </c>
      <c r="MN68" s="9" t="s">
        <v>1304</v>
      </c>
      <c r="MO68">
        <f>_xlfn.XLOOKUP(MN68,'KPI Impacts'!$B$2:$H$2,'KPI Impacts'!$B68:$H68)</f>
        <v>0</v>
      </c>
      <c r="MR68" s="12">
        <f t="shared" si="481"/>
        <v>0</v>
      </c>
      <c r="MS68" s="12">
        <f t="shared" si="482"/>
        <v>0</v>
      </c>
      <c r="MT68" s="12">
        <f t="shared" si="483"/>
        <v>0</v>
      </c>
      <c r="MU68" s="12">
        <f t="shared" si="484"/>
        <v>0</v>
      </c>
      <c r="MV68" s="12">
        <f t="shared" si="485"/>
        <v>0</v>
      </c>
      <c r="MW68" s="12">
        <f t="shared" si="486"/>
        <v>0</v>
      </c>
      <c r="MX68" s="12">
        <f t="shared" si="487"/>
        <v>0</v>
      </c>
      <c r="MY68" s="12">
        <f t="shared" si="488"/>
        <v>0</v>
      </c>
      <c r="MZ68" s="12">
        <f t="shared" si="489"/>
        <v>0</v>
      </c>
      <c r="NB68" t="s">
        <v>1304</v>
      </c>
      <c r="NC68">
        <f>_xlfn.XLOOKUP(NB68,'KPI Impacts'!$B$2:$H$2,'KPI Impacts'!$B68:$H68)</f>
        <v>0</v>
      </c>
      <c r="ND68" s="9" t="s">
        <v>1304</v>
      </c>
      <c r="NE68">
        <f>_xlfn.XLOOKUP(ND68,'KPI Impacts'!$B$2:$H$2,'KPI Impacts'!$B68:$H68)</f>
        <v>0</v>
      </c>
      <c r="NH68" s="12">
        <f t="shared" si="490"/>
        <v>0</v>
      </c>
      <c r="NI68" s="12">
        <f t="shared" si="491"/>
        <v>0</v>
      </c>
      <c r="NJ68" s="12">
        <f t="shared" si="492"/>
        <v>0</v>
      </c>
      <c r="NK68" s="12">
        <f t="shared" si="493"/>
        <v>0</v>
      </c>
      <c r="NL68" s="12">
        <f t="shared" si="494"/>
        <v>0</v>
      </c>
      <c r="NM68" s="12">
        <f t="shared" si="495"/>
        <v>0</v>
      </c>
      <c r="NN68" s="12">
        <f t="shared" si="496"/>
        <v>0</v>
      </c>
      <c r="NO68" s="12">
        <f t="shared" si="497"/>
        <v>0</v>
      </c>
      <c r="NP68" s="12">
        <f t="shared" si="498"/>
        <v>0</v>
      </c>
      <c r="NR68" t="s">
        <v>1304</v>
      </c>
      <c r="NS68">
        <f>_xlfn.XLOOKUP(NR68,'KPI Impacts'!$B$2:$H$2,'KPI Impacts'!$B68:$H68)</f>
        <v>0</v>
      </c>
      <c r="NT68" s="9" t="s">
        <v>1304</v>
      </c>
      <c r="NU68">
        <f>_xlfn.XLOOKUP(NT68,'KPI Impacts'!$B$2:$H$2,'KPI Impacts'!$B68:$H68)</f>
        <v>0</v>
      </c>
      <c r="NX68" s="12">
        <f t="shared" si="499"/>
        <v>0</v>
      </c>
      <c r="NY68" s="12">
        <f t="shared" si="500"/>
        <v>0</v>
      </c>
      <c r="NZ68" s="12">
        <f t="shared" si="501"/>
        <v>0</v>
      </c>
      <c r="OA68" s="12">
        <f t="shared" si="502"/>
        <v>0</v>
      </c>
      <c r="OB68" s="12">
        <f t="shared" si="503"/>
        <v>0</v>
      </c>
      <c r="OC68" s="12">
        <f t="shared" si="504"/>
        <v>0</v>
      </c>
      <c r="OD68" s="12">
        <f t="shared" si="505"/>
        <v>0</v>
      </c>
      <c r="OE68" s="12">
        <f t="shared" si="506"/>
        <v>0</v>
      </c>
      <c r="OF68" s="12">
        <f t="shared" si="507"/>
        <v>0</v>
      </c>
      <c r="OH68" t="s">
        <v>1304</v>
      </c>
      <c r="OI68">
        <f>_xlfn.XLOOKUP(OH68,'KPI Impacts'!$B$2:$H$2,'KPI Impacts'!$B68:$H68)</f>
        <v>0</v>
      </c>
      <c r="OJ68" s="9" t="s">
        <v>1304</v>
      </c>
      <c r="OK68">
        <f>_xlfn.XLOOKUP(OJ68,'KPI Impacts'!$B$2:$H$2,'KPI Impacts'!$B68:$H68)</f>
        <v>0</v>
      </c>
    </row>
    <row r="69" spans="1:401" x14ac:dyDescent="0.2">
      <c r="A69" t="s">
        <v>50</v>
      </c>
      <c r="B69" s="12">
        <f t="shared" si="508"/>
        <v>0</v>
      </c>
      <c r="C69" s="12">
        <f t="shared" si="309"/>
        <v>0</v>
      </c>
      <c r="D69" s="12">
        <f t="shared" si="309"/>
        <v>0</v>
      </c>
      <c r="E69" s="12">
        <f t="shared" si="309"/>
        <v>0</v>
      </c>
      <c r="F69" s="12">
        <f t="shared" si="309"/>
        <v>0</v>
      </c>
      <c r="G69" s="12">
        <f t="shared" si="309"/>
        <v>0</v>
      </c>
      <c r="H69" s="12">
        <f t="shared" si="309"/>
        <v>0</v>
      </c>
      <c r="I69" s="12">
        <f t="shared" si="309"/>
        <v>0</v>
      </c>
      <c r="J69" s="12">
        <f t="shared" si="309"/>
        <v>0</v>
      </c>
      <c r="P69" s="12" cm="1">
        <f t="array" ref="P69">_xlfn.SWITCH(P$4, 0,0, 1, AA69,2,AC69,3,AE69,0)</f>
        <v>0</v>
      </c>
      <c r="Q69" s="12" cm="1">
        <f t="array" ref="Q69">_xlfn.SWITCH(Q$4, 0,0, 1, AA69,2,AC69,3,AE69,0)+P69</f>
        <v>0</v>
      </c>
      <c r="R69" s="12" cm="1">
        <f t="array" ref="R69">_xlfn.SWITCH(R$4, 0,0, 1, AA69,2,AC69,3,AE69,0)+Q69</f>
        <v>0</v>
      </c>
      <c r="S69" s="12" cm="1">
        <f t="array" ref="S69">_xlfn.SWITCH(S$4, 0,0, 1, AA69,2,AC69,3,AE69,0)+R69</f>
        <v>0</v>
      </c>
      <c r="T69" s="12" cm="1">
        <f t="array" ref="T69">_xlfn.SWITCH(T$4, 0,0, 1, AA69,2,AC69,3,AE69,0)+S69</f>
        <v>0</v>
      </c>
      <c r="U69" s="12" cm="1">
        <f t="array" ref="U69">_xlfn.SWITCH(U$4, 0,0, 1, AA69,2,AC69,3,AE69,0)+T69</f>
        <v>0</v>
      </c>
      <c r="V69" s="12" cm="1">
        <f t="array" ref="V69">_xlfn.SWITCH(V$4, 0,0, 1, AA69,2,AC69,3,AE69,0)+U69</f>
        <v>0</v>
      </c>
      <c r="W69" s="12" cm="1">
        <f t="array" ref="W69">_xlfn.SWITCH(W$4, 0,0, 1, AA69,2,AC69,3,AE69,0)+V69</f>
        <v>0</v>
      </c>
      <c r="X69" s="12" cm="1">
        <f t="array" ref="X69">_xlfn.SWITCH(X$4, 0,0, 1, AA69,2,AC69,3,AE69,0)+W69</f>
        <v>0</v>
      </c>
      <c r="Z69" t="s">
        <v>1304</v>
      </c>
      <c r="AA69">
        <f>_xlfn.XLOOKUP(Z69,'KPI Impacts'!$K$2:$Q$2,'KPI Impacts'!$K69:$Q69)</f>
        <v>0</v>
      </c>
      <c r="AB69" t="s">
        <v>1304</v>
      </c>
      <c r="AC69">
        <f>_xlfn.XLOOKUP(AB69,'KPI Impacts'!$K$2:$Q$2,'KPI Impacts'!$K69:$Q69)</f>
        <v>0</v>
      </c>
      <c r="AD69" t="s">
        <v>1304</v>
      </c>
      <c r="AE69">
        <f>_xlfn.XLOOKUP(AD69,'KPI Impacts'!$K$2:$Q$2,'KPI Impacts'!$K69:$Q69)</f>
        <v>0</v>
      </c>
      <c r="AH69" s="12" cm="1">
        <f t="array" ref="AH69">_xlfn.SWITCH(AH$4, 0,0, 1, AS69,2,AU69,3,AW69,0)</f>
        <v>0</v>
      </c>
      <c r="AI69" s="12" cm="1">
        <f t="array" ref="AI69">_xlfn.SWITCH(AI$4, 0,0, 1, AS69,2,AU69,3,AW69,0)+AH69</f>
        <v>0</v>
      </c>
      <c r="AJ69" s="12" cm="1">
        <f t="array" ref="AJ69">_xlfn.SWITCH(AJ$4, 0,0, 1, AS69,2,AU69,3,AW69,0)+AI69</f>
        <v>0</v>
      </c>
      <c r="AK69" s="12" cm="1">
        <f t="array" ref="AK69">_xlfn.SWITCH(AK$4, 0,0, 1, AS69,2,AU69,3,AW69,0)+AJ69</f>
        <v>0</v>
      </c>
      <c r="AL69" s="12" cm="1">
        <f t="array" ref="AL69">_xlfn.SWITCH(AL$4, 0,0, 1, AS69,2,AU69,3,AW69,0)+AK69</f>
        <v>0</v>
      </c>
      <c r="AM69" s="12" cm="1">
        <f t="array" ref="AM69">_xlfn.SWITCH(AM$4, 0,0, 1, AS69,2,AU69,3,AW69,0)+AL69</f>
        <v>0</v>
      </c>
      <c r="AN69" s="12" cm="1">
        <f t="array" ref="AN69">_xlfn.SWITCH(AN$4, 0,0, 1, AS69,2,AU69,3,AW69,0)+AM69</f>
        <v>0</v>
      </c>
      <c r="AO69" s="12" cm="1">
        <f t="array" ref="AO69">_xlfn.SWITCH(AO$4, 0,0, 1, AS69,2,AU69,3,AW69,0)+AN69</f>
        <v>0</v>
      </c>
      <c r="AP69" s="12" cm="1">
        <f t="array" ref="AP69">_xlfn.SWITCH(AP$4, 0,0, 1, AS69,2,AU69,3,AW69,0)+AO69</f>
        <v>0</v>
      </c>
      <c r="AR69" t="s">
        <v>1304</v>
      </c>
      <c r="AS69">
        <f>_xlfn.XLOOKUP(AR69,'KPI Impacts'!$K$2:$Q$2,'KPI Impacts'!$K69:$Q69)</f>
        <v>0</v>
      </c>
      <c r="AT69" t="s">
        <v>1304</v>
      </c>
      <c r="AU69">
        <f>_xlfn.XLOOKUP(AT69,'KPI Impacts'!$K$2:$Q$2,'KPI Impacts'!$K69:$Q69)</f>
        <v>0</v>
      </c>
      <c r="AV69" t="s">
        <v>1304</v>
      </c>
      <c r="AW69">
        <f>_xlfn.XLOOKUP(AV69,'KPI Impacts'!$K$2:$Q$2,'KPI Impacts'!$K69:$Q69)</f>
        <v>0</v>
      </c>
      <c r="AZ69" s="12">
        <f t="shared" si="310"/>
        <v>0</v>
      </c>
      <c r="BA69" s="12">
        <f t="shared" si="311"/>
        <v>0</v>
      </c>
      <c r="BB69" s="12">
        <f t="shared" si="312"/>
        <v>0</v>
      </c>
      <c r="BC69" s="12">
        <f t="shared" si="313"/>
        <v>0</v>
      </c>
      <c r="BD69" s="12">
        <f t="shared" si="314"/>
        <v>0</v>
      </c>
      <c r="BE69" s="12">
        <f t="shared" si="315"/>
        <v>0</v>
      </c>
      <c r="BF69" s="12">
        <f t="shared" si="316"/>
        <v>0</v>
      </c>
      <c r="BG69" s="12">
        <f t="shared" si="317"/>
        <v>0</v>
      </c>
      <c r="BH69" s="12">
        <f t="shared" si="318"/>
        <v>0</v>
      </c>
      <c r="BJ69" s="30" t="s">
        <v>1310</v>
      </c>
      <c r="BK69">
        <f>_xlfn.XLOOKUP(BJ69,'KPI Impacts'!$B$2:$H$2,'KPI Impacts'!$B69:$H69)</f>
        <v>4</v>
      </c>
      <c r="BL69" s="35" t="s">
        <v>1304</v>
      </c>
      <c r="BM69">
        <f>_xlfn.XLOOKUP(BL69,'KPI Impacts'!$B$2:$H$2,'KPI Impacts'!$B69:$H69)</f>
        <v>0</v>
      </c>
      <c r="BP69" s="12">
        <f t="shared" si="319"/>
        <v>0</v>
      </c>
      <c r="BQ69" s="12">
        <f t="shared" si="320"/>
        <v>0</v>
      </c>
      <c r="BR69" s="12">
        <f t="shared" si="321"/>
        <v>0</v>
      </c>
      <c r="BS69" s="12">
        <f t="shared" si="322"/>
        <v>0</v>
      </c>
      <c r="BT69" s="12">
        <f t="shared" si="323"/>
        <v>0</v>
      </c>
      <c r="BU69" s="12">
        <f t="shared" si="324"/>
        <v>0</v>
      </c>
      <c r="BV69" s="12">
        <f t="shared" si="325"/>
        <v>0</v>
      </c>
      <c r="BW69" s="12">
        <f t="shared" si="326"/>
        <v>0</v>
      </c>
      <c r="BX69" s="12">
        <f t="shared" si="327"/>
        <v>0</v>
      </c>
      <c r="BZ69" s="30" t="s">
        <v>1310</v>
      </c>
      <c r="CA69">
        <f>_xlfn.XLOOKUP(BZ69,'KPI Impacts'!$B$2:$H$2,'KPI Impacts'!$B69:$H69)</f>
        <v>4</v>
      </c>
      <c r="CB69" s="35" t="s">
        <v>1304</v>
      </c>
      <c r="CC69">
        <f>_xlfn.XLOOKUP(CB69,'KPI Impacts'!$B$2:$H$2,'KPI Impacts'!$B69:$H69)</f>
        <v>0</v>
      </c>
      <c r="CF69" s="12">
        <f t="shared" si="328"/>
        <v>0</v>
      </c>
      <c r="CG69" s="12">
        <f t="shared" si="329"/>
        <v>0</v>
      </c>
      <c r="CH69" s="12">
        <f t="shared" si="330"/>
        <v>0</v>
      </c>
      <c r="CI69" s="12">
        <f t="shared" si="331"/>
        <v>0</v>
      </c>
      <c r="CJ69" s="12">
        <f t="shared" si="332"/>
        <v>0</v>
      </c>
      <c r="CK69" s="12">
        <f t="shared" si="333"/>
        <v>0</v>
      </c>
      <c r="CL69" s="12">
        <f t="shared" si="334"/>
        <v>0</v>
      </c>
      <c r="CM69" s="12">
        <f t="shared" si="335"/>
        <v>0</v>
      </c>
      <c r="CN69" s="12">
        <f t="shared" si="336"/>
        <v>0</v>
      </c>
      <c r="CP69" s="30" t="s">
        <v>1310</v>
      </c>
      <c r="CQ69">
        <f>_xlfn.XLOOKUP(CP69,'KPI Impacts'!$B$2:$H$2,'KPI Impacts'!$B69:$H69)</f>
        <v>4</v>
      </c>
      <c r="CR69" s="35" t="s">
        <v>1304</v>
      </c>
      <c r="CS69">
        <f>_xlfn.XLOOKUP(CR69,'KPI Impacts'!$B$2:$H$2,'KPI Impacts'!$B69:$H69)</f>
        <v>0</v>
      </c>
      <c r="CV69" s="12">
        <f t="shared" si="337"/>
        <v>0</v>
      </c>
      <c r="CW69" s="12">
        <f t="shared" si="338"/>
        <v>0</v>
      </c>
      <c r="CX69" s="12">
        <f t="shared" si="339"/>
        <v>0</v>
      </c>
      <c r="CY69" s="12">
        <f t="shared" si="340"/>
        <v>0</v>
      </c>
      <c r="CZ69" s="12">
        <f t="shared" si="341"/>
        <v>0</v>
      </c>
      <c r="DA69" s="12">
        <f t="shared" si="342"/>
        <v>0</v>
      </c>
      <c r="DB69" s="12">
        <f t="shared" si="343"/>
        <v>0</v>
      </c>
      <c r="DC69" s="12">
        <f t="shared" si="344"/>
        <v>0</v>
      </c>
      <c r="DD69" s="12">
        <f t="shared" si="345"/>
        <v>0</v>
      </c>
      <c r="DF69" s="30" t="s">
        <v>1310</v>
      </c>
      <c r="DG69">
        <f>_xlfn.XLOOKUP(DF69,'KPI Impacts'!$B$2:$H$2,'KPI Impacts'!$B69:$H69)</f>
        <v>4</v>
      </c>
      <c r="DH69" s="35" t="s">
        <v>1304</v>
      </c>
      <c r="DI69">
        <f>_xlfn.XLOOKUP(DH69,'KPI Impacts'!$B$2:$H$2,'KPI Impacts'!$B69:$H69)</f>
        <v>0</v>
      </c>
      <c r="DL69" s="12">
        <f t="shared" si="346"/>
        <v>0</v>
      </c>
      <c r="DM69" s="12">
        <f t="shared" si="347"/>
        <v>0</v>
      </c>
      <c r="DN69" s="12">
        <f t="shared" si="348"/>
        <v>0</v>
      </c>
      <c r="DO69" s="12">
        <f t="shared" si="349"/>
        <v>0</v>
      </c>
      <c r="DP69" s="12">
        <f t="shared" si="350"/>
        <v>0</v>
      </c>
      <c r="DQ69" s="12">
        <f t="shared" si="351"/>
        <v>0</v>
      </c>
      <c r="DR69" s="12">
        <f t="shared" si="352"/>
        <v>0</v>
      </c>
      <c r="DS69" s="12">
        <f t="shared" si="353"/>
        <v>0</v>
      </c>
      <c r="DT69" s="12">
        <f t="shared" si="354"/>
        <v>0</v>
      </c>
      <c r="DV69" s="16" t="s">
        <v>1304</v>
      </c>
      <c r="DW69">
        <f>_xlfn.XLOOKUP(DV69,'KPI Impacts'!$B$2:$H$2,'KPI Impacts'!$B69:$H69)</f>
        <v>0</v>
      </c>
      <c r="DX69" s="35" t="s">
        <v>1304</v>
      </c>
      <c r="DY69">
        <f>_xlfn.XLOOKUP(DX69,'KPI Impacts'!$B$2:$H$2,'KPI Impacts'!$B69:$H69)</f>
        <v>0</v>
      </c>
      <c r="EB69" s="12">
        <f t="shared" si="355"/>
        <v>0</v>
      </c>
      <c r="EC69" s="12">
        <f t="shared" si="356"/>
        <v>0</v>
      </c>
      <c r="ED69" s="12">
        <f t="shared" si="357"/>
        <v>0</v>
      </c>
      <c r="EE69" s="12">
        <f t="shared" si="358"/>
        <v>0</v>
      </c>
      <c r="EF69" s="12">
        <f t="shared" si="359"/>
        <v>0</v>
      </c>
      <c r="EG69" s="12">
        <f t="shared" si="360"/>
        <v>0</v>
      </c>
      <c r="EH69" s="12">
        <f t="shared" si="361"/>
        <v>0</v>
      </c>
      <c r="EI69" s="12">
        <f t="shared" si="362"/>
        <v>0</v>
      </c>
      <c r="EJ69" s="12">
        <f t="shared" si="363"/>
        <v>0</v>
      </c>
      <c r="EL69" s="30" t="s">
        <v>1310</v>
      </c>
      <c r="EM69">
        <f>_xlfn.XLOOKUP(EL69,'KPI Impacts'!$B$2:$H$2,'KPI Impacts'!$B69:$H69)</f>
        <v>4</v>
      </c>
      <c r="EN69" s="35" t="s">
        <v>1304</v>
      </c>
      <c r="EO69">
        <f>_xlfn.XLOOKUP(EN69,'KPI Impacts'!$B$2:$H$2,'KPI Impacts'!$B69:$H69)</f>
        <v>0</v>
      </c>
      <c r="ER69" s="12">
        <f t="shared" si="364"/>
        <v>0</v>
      </c>
      <c r="ES69" s="12">
        <f t="shared" si="365"/>
        <v>0</v>
      </c>
      <c r="ET69" s="12">
        <f t="shared" si="366"/>
        <v>0</v>
      </c>
      <c r="EU69" s="12">
        <f t="shared" si="367"/>
        <v>0</v>
      </c>
      <c r="EV69" s="12">
        <f t="shared" si="368"/>
        <v>0</v>
      </c>
      <c r="EW69" s="12">
        <f t="shared" si="369"/>
        <v>0</v>
      </c>
      <c r="EX69" s="12">
        <f t="shared" si="370"/>
        <v>0</v>
      </c>
      <c r="EY69" s="12">
        <f t="shared" si="371"/>
        <v>0</v>
      </c>
      <c r="EZ69" s="12">
        <f t="shared" si="372"/>
        <v>0</v>
      </c>
      <c r="FB69" s="30" t="s">
        <v>1308</v>
      </c>
      <c r="FC69">
        <f>_xlfn.XLOOKUP(FB69,'KPI Impacts'!$B$2:$H$2,'KPI Impacts'!$B69:$H69)</f>
        <v>2</v>
      </c>
      <c r="FD69" s="35" t="s">
        <v>1304</v>
      </c>
      <c r="FE69">
        <f>_xlfn.XLOOKUP(FD69,'KPI Impacts'!$B$2:$H$2,'KPI Impacts'!$B69:$H69)</f>
        <v>0</v>
      </c>
      <c r="FH69" s="12">
        <f t="shared" si="373"/>
        <v>0</v>
      </c>
      <c r="FI69" s="12">
        <f t="shared" si="374"/>
        <v>0</v>
      </c>
      <c r="FJ69" s="12">
        <f t="shared" si="375"/>
        <v>0</v>
      </c>
      <c r="FK69" s="12">
        <f t="shared" si="376"/>
        <v>0</v>
      </c>
      <c r="FL69" s="12">
        <f t="shared" si="377"/>
        <v>0</v>
      </c>
      <c r="FM69" s="12">
        <f t="shared" si="378"/>
        <v>0</v>
      </c>
      <c r="FN69" s="12">
        <f t="shared" si="379"/>
        <v>0</v>
      </c>
      <c r="FO69" s="12">
        <f t="shared" si="380"/>
        <v>0</v>
      </c>
      <c r="FP69" s="12">
        <f t="shared" si="381"/>
        <v>0</v>
      </c>
      <c r="FR69" s="16" t="s">
        <v>1304</v>
      </c>
      <c r="FS69">
        <f>_xlfn.XLOOKUP(FR69,'KPI Impacts'!$B$2:$H$2,'KPI Impacts'!$B69:$H69)</f>
        <v>0</v>
      </c>
      <c r="FT69" s="35" t="s">
        <v>1304</v>
      </c>
      <c r="FU69">
        <f>_xlfn.XLOOKUP(FT69,'KPI Impacts'!$B$2:$H$2,'KPI Impacts'!$B69:$H69)</f>
        <v>0</v>
      </c>
      <c r="FX69" s="12">
        <f t="shared" si="382"/>
        <v>0</v>
      </c>
      <c r="FY69" s="12">
        <f t="shared" si="383"/>
        <v>0</v>
      </c>
      <c r="FZ69" s="12">
        <f t="shared" si="384"/>
        <v>0</v>
      </c>
      <c r="GA69" s="12">
        <f t="shared" si="385"/>
        <v>0</v>
      </c>
      <c r="GB69" s="12">
        <f t="shared" si="386"/>
        <v>0</v>
      </c>
      <c r="GC69" s="12">
        <f t="shared" si="387"/>
        <v>0</v>
      </c>
      <c r="GD69" s="12">
        <f t="shared" si="388"/>
        <v>0</v>
      </c>
      <c r="GE69" s="12">
        <f t="shared" si="389"/>
        <v>0</v>
      </c>
      <c r="GF69" s="12">
        <f t="shared" si="390"/>
        <v>0</v>
      </c>
      <c r="GH69" s="16" t="s">
        <v>1304</v>
      </c>
      <c r="GI69">
        <f>_xlfn.XLOOKUP(GH69,'KPI Impacts'!$B$2:$H$2,'KPI Impacts'!$B69:$H69)</f>
        <v>0</v>
      </c>
      <c r="GJ69" s="35" t="s">
        <v>1304</v>
      </c>
      <c r="GK69">
        <f>_xlfn.XLOOKUP(GJ69,'KPI Impacts'!$B$2:$H$2,'KPI Impacts'!$B69:$H69)</f>
        <v>0</v>
      </c>
      <c r="GN69" s="12">
        <f t="shared" si="391"/>
        <v>0</v>
      </c>
      <c r="GO69" s="12">
        <f t="shared" si="392"/>
        <v>0</v>
      </c>
      <c r="GP69" s="12">
        <f t="shared" si="393"/>
        <v>0</v>
      </c>
      <c r="GQ69" s="12">
        <f t="shared" si="394"/>
        <v>0</v>
      </c>
      <c r="GR69" s="12">
        <f t="shared" si="395"/>
        <v>0</v>
      </c>
      <c r="GS69" s="12">
        <f t="shared" si="396"/>
        <v>0</v>
      </c>
      <c r="GT69" s="12">
        <f t="shared" si="397"/>
        <v>0</v>
      </c>
      <c r="GU69" s="12">
        <f t="shared" si="398"/>
        <v>0</v>
      </c>
      <c r="GV69" s="12">
        <f t="shared" si="399"/>
        <v>0</v>
      </c>
      <c r="GX69" s="30" t="s">
        <v>1308</v>
      </c>
      <c r="GY69">
        <f>_xlfn.XLOOKUP(GX69,'KPI Impacts'!$B$2:$H$2,'KPI Impacts'!$B69:$H69)</f>
        <v>2</v>
      </c>
      <c r="GZ69" s="35" t="s">
        <v>1304</v>
      </c>
      <c r="HA69">
        <f>_xlfn.XLOOKUP(GZ69,'KPI Impacts'!$B$2:$H$2,'KPI Impacts'!$B69:$H69)</f>
        <v>0</v>
      </c>
      <c r="HD69" s="12">
        <f t="shared" si="400"/>
        <v>0</v>
      </c>
      <c r="HE69" s="12">
        <f t="shared" si="401"/>
        <v>0</v>
      </c>
      <c r="HF69" s="12">
        <f t="shared" si="402"/>
        <v>0</v>
      </c>
      <c r="HG69" s="12">
        <f t="shared" si="403"/>
        <v>0</v>
      </c>
      <c r="HH69" s="12">
        <f t="shared" si="404"/>
        <v>0</v>
      </c>
      <c r="HI69" s="12">
        <f t="shared" si="405"/>
        <v>0</v>
      </c>
      <c r="HJ69" s="12">
        <f t="shared" si="406"/>
        <v>0</v>
      </c>
      <c r="HK69" s="12">
        <f t="shared" si="407"/>
        <v>0</v>
      </c>
      <c r="HL69" s="12">
        <f t="shared" si="408"/>
        <v>0</v>
      </c>
      <c r="HN69" s="30" t="s">
        <v>1308</v>
      </c>
      <c r="HO69">
        <f>_xlfn.XLOOKUP(HN69,'KPI Impacts'!$B$2:$H$2,'KPI Impacts'!$B69:$H69)</f>
        <v>2</v>
      </c>
      <c r="HP69" s="35" t="s">
        <v>1304</v>
      </c>
      <c r="HQ69">
        <f>_xlfn.XLOOKUP(HP69,'KPI Impacts'!$B$2:$H$2,'KPI Impacts'!$B69:$H69)</f>
        <v>0</v>
      </c>
      <c r="HT69" s="12">
        <f t="shared" si="409"/>
        <v>0</v>
      </c>
      <c r="HU69" s="12">
        <f t="shared" si="410"/>
        <v>0</v>
      </c>
      <c r="HV69" s="12">
        <f t="shared" si="411"/>
        <v>0</v>
      </c>
      <c r="HW69" s="12">
        <f t="shared" si="412"/>
        <v>0</v>
      </c>
      <c r="HX69" s="12">
        <f t="shared" si="413"/>
        <v>0</v>
      </c>
      <c r="HY69" s="12">
        <f t="shared" si="414"/>
        <v>0</v>
      </c>
      <c r="HZ69" s="12">
        <f t="shared" si="415"/>
        <v>0</v>
      </c>
      <c r="IA69" s="12">
        <f t="shared" si="416"/>
        <v>0</v>
      </c>
      <c r="IB69" s="12">
        <f t="shared" si="417"/>
        <v>0</v>
      </c>
      <c r="ID69" s="29" t="s">
        <v>1305</v>
      </c>
      <c r="IE69">
        <f>_xlfn.XLOOKUP(ID69,'KPI Impacts'!$B$2:$H$2,'KPI Impacts'!$B69:$H69)</f>
        <v>-1.6</v>
      </c>
      <c r="IF69" s="9" t="s">
        <v>1304</v>
      </c>
      <c r="IG69">
        <f>_xlfn.XLOOKUP(IF69,'KPI Impacts'!$B$2:$H$2,'KPI Impacts'!$B69:$H69)</f>
        <v>0</v>
      </c>
      <c r="IJ69" s="12">
        <f t="shared" si="418"/>
        <v>0</v>
      </c>
      <c r="IK69" s="12">
        <f t="shared" si="419"/>
        <v>0</v>
      </c>
      <c r="IL69" s="12">
        <f t="shared" si="420"/>
        <v>0</v>
      </c>
      <c r="IM69" s="12">
        <f t="shared" si="421"/>
        <v>0</v>
      </c>
      <c r="IN69" s="12">
        <f t="shared" si="422"/>
        <v>0</v>
      </c>
      <c r="IO69" s="12">
        <f t="shared" si="423"/>
        <v>0</v>
      </c>
      <c r="IP69" s="12">
        <f t="shared" si="424"/>
        <v>0</v>
      </c>
      <c r="IQ69" s="12">
        <f t="shared" si="425"/>
        <v>0</v>
      </c>
      <c r="IR69" s="12">
        <f t="shared" si="426"/>
        <v>0</v>
      </c>
      <c r="IT69" s="29" t="s">
        <v>1305</v>
      </c>
      <c r="IU69">
        <f>_xlfn.XLOOKUP(IT69,'KPI Impacts'!$B$2:$H$2,'KPI Impacts'!$B69:$H69)</f>
        <v>-1.6</v>
      </c>
      <c r="IV69" s="9" t="s">
        <v>1304</v>
      </c>
      <c r="IW69">
        <f>_xlfn.XLOOKUP(IV69,'KPI Impacts'!$B$2:$H$2,'KPI Impacts'!$B69:$H69)</f>
        <v>0</v>
      </c>
      <c r="IZ69" s="12">
        <f t="shared" si="427"/>
        <v>0</v>
      </c>
      <c r="JA69" s="12">
        <f t="shared" si="428"/>
        <v>0</v>
      </c>
      <c r="JB69" s="12">
        <f t="shared" si="429"/>
        <v>0</v>
      </c>
      <c r="JC69" s="12">
        <f t="shared" si="430"/>
        <v>0</v>
      </c>
      <c r="JD69" s="12">
        <f t="shared" si="431"/>
        <v>0</v>
      </c>
      <c r="JE69" s="12">
        <f t="shared" si="432"/>
        <v>0</v>
      </c>
      <c r="JF69" s="12">
        <f t="shared" si="433"/>
        <v>0</v>
      </c>
      <c r="JG69" s="12">
        <f t="shared" si="434"/>
        <v>0</v>
      </c>
      <c r="JH69" s="12">
        <f t="shared" si="435"/>
        <v>0</v>
      </c>
      <c r="JJ69" t="s">
        <v>1304</v>
      </c>
      <c r="JK69">
        <f>_xlfn.XLOOKUP(JJ69,'KPI Impacts'!$B$2:$H$2,'KPI Impacts'!$B69:$H69)</f>
        <v>0</v>
      </c>
      <c r="JL69" s="9" t="s">
        <v>1304</v>
      </c>
      <c r="JM69">
        <f>_xlfn.XLOOKUP(JL69,'KPI Impacts'!$B$2:$H$2,'KPI Impacts'!$B69:$H69)</f>
        <v>0</v>
      </c>
      <c r="JP69" s="12">
        <f t="shared" si="436"/>
        <v>0</v>
      </c>
      <c r="JQ69" s="12">
        <f t="shared" si="437"/>
        <v>0</v>
      </c>
      <c r="JR69" s="12">
        <f t="shared" si="438"/>
        <v>0</v>
      </c>
      <c r="JS69" s="12">
        <f t="shared" si="439"/>
        <v>0</v>
      </c>
      <c r="JT69" s="12">
        <f t="shared" si="440"/>
        <v>0</v>
      </c>
      <c r="JU69" s="12">
        <f t="shared" si="441"/>
        <v>0</v>
      </c>
      <c r="JV69" s="12">
        <f t="shared" si="442"/>
        <v>0</v>
      </c>
      <c r="JW69" s="12">
        <f t="shared" si="443"/>
        <v>0</v>
      </c>
      <c r="JX69" s="12">
        <f t="shared" si="444"/>
        <v>0</v>
      </c>
      <c r="JZ69" t="s">
        <v>1304</v>
      </c>
      <c r="KA69">
        <f>_xlfn.XLOOKUP(JZ69,'KPI Impacts'!$B$2:$H$2,'KPI Impacts'!$B69:$H69)</f>
        <v>0</v>
      </c>
      <c r="KB69" s="9" t="s">
        <v>1304</v>
      </c>
      <c r="KC69">
        <f>_xlfn.XLOOKUP(KB69,'KPI Impacts'!$B$2:$H$2,'KPI Impacts'!$B69:$H69)</f>
        <v>0</v>
      </c>
      <c r="KF69" s="12">
        <f t="shared" si="445"/>
        <v>0</v>
      </c>
      <c r="KG69" s="12">
        <f t="shared" si="446"/>
        <v>0</v>
      </c>
      <c r="KH69" s="12">
        <f t="shared" si="447"/>
        <v>0</v>
      </c>
      <c r="KI69" s="12">
        <f t="shared" si="448"/>
        <v>0</v>
      </c>
      <c r="KJ69" s="12">
        <f t="shared" si="449"/>
        <v>0</v>
      </c>
      <c r="KK69" s="12">
        <f t="shared" si="450"/>
        <v>0</v>
      </c>
      <c r="KL69" s="12">
        <f t="shared" si="451"/>
        <v>0</v>
      </c>
      <c r="KM69" s="12">
        <f t="shared" si="452"/>
        <v>0</v>
      </c>
      <c r="KN69" s="12">
        <f t="shared" si="453"/>
        <v>0</v>
      </c>
      <c r="KP69" t="s">
        <v>1304</v>
      </c>
      <c r="KQ69">
        <f>_xlfn.XLOOKUP(KP69,'KPI Impacts'!$B$2:$H$2,'KPI Impacts'!$B69:$H69)</f>
        <v>0</v>
      </c>
      <c r="KR69" s="9" t="s">
        <v>1304</v>
      </c>
      <c r="KS69">
        <f>_xlfn.XLOOKUP(KR69,'KPI Impacts'!$B$2:$H$2,'KPI Impacts'!$B69:$H69)</f>
        <v>0</v>
      </c>
      <c r="KV69" s="12">
        <f t="shared" si="454"/>
        <v>0</v>
      </c>
      <c r="KW69" s="12">
        <f t="shared" si="455"/>
        <v>0</v>
      </c>
      <c r="KX69" s="12">
        <f t="shared" si="456"/>
        <v>0</v>
      </c>
      <c r="KY69" s="12">
        <f t="shared" si="457"/>
        <v>0</v>
      </c>
      <c r="KZ69" s="12">
        <f t="shared" si="458"/>
        <v>0</v>
      </c>
      <c r="LA69" s="12">
        <f t="shared" si="459"/>
        <v>0</v>
      </c>
      <c r="LB69" s="12">
        <f t="shared" si="460"/>
        <v>0</v>
      </c>
      <c r="LC69" s="12">
        <f t="shared" si="461"/>
        <v>0</v>
      </c>
      <c r="LD69" s="12">
        <f t="shared" si="462"/>
        <v>0</v>
      </c>
      <c r="LF69" t="s">
        <v>1304</v>
      </c>
      <c r="LG69">
        <f>_xlfn.XLOOKUP(LF69,'KPI Impacts'!$B$2:$H$2,'KPI Impacts'!$B69:$H69)</f>
        <v>0</v>
      </c>
      <c r="LH69" s="9" t="s">
        <v>1304</v>
      </c>
      <c r="LI69">
        <f>_xlfn.XLOOKUP(LH69,'KPI Impacts'!$B$2:$H$2,'KPI Impacts'!$B69:$H69)</f>
        <v>0</v>
      </c>
      <c r="LL69" s="12">
        <f t="shared" si="463"/>
        <v>0</v>
      </c>
      <c r="LM69" s="12">
        <f t="shared" si="464"/>
        <v>0</v>
      </c>
      <c r="LN69" s="12">
        <f t="shared" si="465"/>
        <v>0</v>
      </c>
      <c r="LO69" s="12">
        <f t="shared" si="466"/>
        <v>0</v>
      </c>
      <c r="LP69" s="12">
        <f t="shared" si="467"/>
        <v>0</v>
      </c>
      <c r="LQ69" s="12">
        <f t="shared" si="468"/>
        <v>0</v>
      </c>
      <c r="LR69" s="12">
        <f t="shared" si="469"/>
        <v>0</v>
      </c>
      <c r="LS69" s="12">
        <f t="shared" si="470"/>
        <v>0</v>
      </c>
      <c r="LT69" s="12">
        <f t="shared" si="471"/>
        <v>0</v>
      </c>
      <c r="LV69" t="s">
        <v>1304</v>
      </c>
      <c r="LW69">
        <f>_xlfn.XLOOKUP(LV69,'KPI Impacts'!$B$2:$H$2,'KPI Impacts'!$B69:$H69)</f>
        <v>0</v>
      </c>
      <c r="LX69" s="9" t="s">
        <v>1304</v>
      </c>
      <c r="LY69">
        <f>_xlfn.XLOOKUP(LX69,'KPI Impacts'!$B$2:$H$2,'KPI Impacts'!$B69:$H69)</f>
        <v>0</v>
      </c>
      <c r="MB69" s="12">
        <f t="shared" si="472"/>
        <v>0</v>
      </c>
      <c r="MC69" s="12">
        <f t="shared" si="473"/>
        <v>0</v>
      </c>
      <c r="MD69" s="12">
        <f t="shared" si="474"/>
        <v>0</v>
      </c>
      <c r="ME69" s="12">
        <f t="shared" si="475"/>
        <v>0</v>
      </c>
      <c r="MF69" s="12">
        <f t="shared" si="476"/>
        <v>0</v>
      </c>
      <c r="MG69" s="12">
        <f t="shared" si="477"/>
        <v>0</v>
      </c>
      <c r="MH69" s="12">
        <f t="shared" si="478"/>
        <v>0</v>
      </c>
      <c r="MI69" s="12">
        <f t="shared" si="479"/>
        <v>0</v>
      </c>
      <c r="MJ69" s="12">
        <f t="shared" si="480"/>
        <v>0</v>
      </c>
      <c r="ML69" t="s">
        <v>1304</v>
      </c>
      <c r="MM69">
        <f>_xlfn.XLOOKUP(ML69,'KPI Impacts'!$B$2:$H$2,'KPI Impacts'!$B69:$H69)</f>
        <v>0</v>
      </c>
      <c r="MN69" s="9" t="s">
        <v>1304</v>
      </c>
      <c r="MO69">
        <f>_xlfn.XLOOKUP(MN69,'KPI Impacts'!$B$2:$H$2,'KPI Impacts'!$B69:$H69)</f>
        <v>0</v>
      </c>
      <c r="MR69" s="12">
        <f t="shared" si="481"/>
        <v>0</v>
      </c>
      <c r="MS69" s="12">
        <f t="shared" si="482"/>
        <v>0</v>
      </c>
      <c r="MT69" s="12">
        <f t="shared" si="483"/>
        <v>0</v>
      </c>
      <c r="MU69" s="12">
        <f t="shared" si="484"/>
        <v>0</v>
      </c>
      <c r="MV69" s="12">
        <f t="shared" si="485"/>
        <v>0</v>
      </c>
      <c r="MW69" s="12">
        <f t="shared" si="486"/>
        <v>0</v>
      </c>
      <c r="MX69" s="12">
        <f t="shared" si="487"/>
        <v>0</v>
      </c>
      <c r="MY69" s="12">
        <f t="shared" si="488"/>
        <v>0</v>
      </c>
      <c r="MZ69" s="12">
        <f t="shared" si="489"/>
        <v>0</v>
      </c>
      <c r="NB69" t="s">
        <v>1304</v>
      </c>
      <c r="NC69">
        <f>_xlfn.XLOOKUP(NB69,'KPI Impacts'!$B$2:$H$2,'KPI Impacts'!$B69:$H69)</f>
        <v>0</v>
      </c>
      <c r="ND69" s="9" t="s">
        <v>1304</v>
      </c>
      <c r="NE69">
        <f>_xlfn.XLOOKUP(ND69,'KPI Impacts'!$B$2:$H$2,'KPI Impacts'!$B69:$H69)</f>
        <v>0</v>
      </c>
      <c r="NH69" s="12">
        <f t="shared" si="490"/>
        <v>0</v>
      </c>
      <c r="NI69" s="12">
        <f t="shared" si="491"/>
        <v>0</v>
      </c>
      <c r="NJ69" s="12">
        <f t="shared" si="492"/>
        <v>0</v>
      </c>
      <c r="NK69" s="12">
        <f t="shared" si="493"/>
        <v>0</v>
      </c>
      <c r="NL69" s="12">
        <f t="shared" si="494"/>
        <v>0</v>
      </c>
      <c r="NM69" s="12">
        <f t="shared" si="495"/>
        <v>0</v>
      </c>
      <c r="NN69" s="12">
        <f t="shared" si="496"/>
        <v>0</v>
      </c>
      <c r="NO69" s="12">
        <f t="shared" si="497"/>
        <v>0</v>
      </c>
      <c r="NP69" s="12">
        <f t="shared" si="498"/>
        <v>0</v>
      </c>
      <c r="NR69" t="s">
        <v>1304</v>
      </c>
      <c r="NS69">
        <f>_xlfn.XLOOKUP(NR69,'KPI Impacts'!$B$2:$H$2,'KPI Impacts'!$B69:$H69)</f>
        <v>0</v>
      </c>
      <c r="NT69" s="9" t="s">
        <v>1304</v>
      </c>
      <c r="NU69">
        <f>_xlfn.XLOOKUP(NT69,'KPI Impacts'!$B$2:$H$2,'KPI Impacts'!$B69:$H69)</f>
        <v>0</v>
      </c>
      <c r="NX69" s="12">
        <f t="shared" si="499"/>
        <v>0</v>
      </c>
      <c r="NY69" s="12">
        <f t="shared" si="500"/>
        <v>0</v>
      </c>
      <c r="NZ69" s="12">
        <f t="shared" si="501"/>
        <v>0</v>
      </c>
      <c r="OA69" s="12">
        <f t="shared" si="502"/>
        <v>0</v>
      </c>
      <c r="OB69" s="12">
        <f t="shared" si="503"/>
        <v>0</v>
      </c>
      <c r="OC69" s="12">
        <f t="shared" si="504"/>
        <v>0</v>
      </c>
      <c r="OD69" s="12">
        <f t="shared" si="505"/>
        <v>0</v>
      </c>
      <c r="OE69" s="12">
        <f t="shared" si="506"/>
        <v>0</v>
      </c>
      <c r="OF69" s="12">
        <f t="shared" si="507"/>
        <v>0</v>
      </c>
      <c r="OH69" t="s">
        <v>1304</v>
      </c>
      <c r="OI69">
        <f>_xlfn.XLOOKUP(OH69,'KPI Impacts'!$B$2:$H$2,'KPI Impacts'!$B69:$H69)</f>
        <v>0</v>
      </c>
      <c r="OJ69" s="9" t="s">
        <v>1304</v>
      </c>
      <c r="OK69">
        <f>_xlfn.XLOOKUP(OJ69,'KPI Impacts'!$B$2:$H$2,'KPI Impacts'!$B69:$H69)</f>
        <v>0</v>
      </c>
    </row>
    <row r="70" spans="1:401" x14ac:dyDescent="0.2">
      <c r="B70" s="12"/>
      <c r="C70" s="12"/>
      <c r="D70" s="12"/>
      <c r="E70" s="12"/>
      <c r="F70" s="12"/>
      <c r="G70" s="12"/>
      <c r="H70" s="12"/>
      <c r="I70" s="12"/>
      <c r="J70" s="12"/>
      <c r="P70" s="12"/>
      <c r="Q70" s="12"/>
      <c r="R70" s="12"/>
      <c r="S70" s="12"/>
      <c r="T70" s="12"/>
      <c r="U70" s="12"/>
      <c r="V70" s="12"/>
      <c r="W70" s="12"/>
      <c r="X70" s="12"/>
      <c r="AH70" s="12"/>
      <c r="AI70" s="12"/>
      <c r="AJ70" s="12"/>
      <c r="AK70" s="12"/>
      <c r="AL70" s="12"/>
      <c r="AM70" s="12"/>
      <c r="AN70" s="12"/>
      <c r="AO70" s="12"/>
      <c r="AP70" s="12"/>
      <c r="AZ70" s="12"/>
      <c r="BA70" s="12"/>
      <c r="BB70" s="12"/>
      <c r="BC70" s="12"/>
      <c r="BD70" s="12"/>
      <c r="BE70" s="12"/>
      <c r="BF70" s="12"/>
      <c r="BG70" s="12"/>
      <c r="BH70" s="12"/>
      <c r="BJ70" s="16"/>
      <c r="BL70" s="35"/>
      <c r="BP70" s="12"/>
      <c r="BQ70" s="12"/>
      <c r="BR70" s="12"/>
      <c r="BS70" s="12"/>
      <c r="BT70" s="12"/>
      <c r="BU70" s="12"/>
      <c r="BV70" s="12"/>
      <c r="BW70" s="12"/>
      <c r="BX70" s="12"/>
      <c r="BZ70" s="16"/>
      <c r="CB70" s="35"/>
      <c r="CF70" s="12"/>
      <c r="CG70" s="12"/>
      <c r="CH70" s="12"/>
      <c r="CI70" s="12"/>
      <c r="CJ70" s="12"/>
      <c r="CK70" s="12"/>
      <c r="CL70" s="12"/>
      <c r="CM70" s="12"/>
      <c r="CN70" s="12"/>
      <c r="CP70" s="16"/>
      <c r="CR70" s="35"/>
      <c r="CV70" s="12"/>
      <c r="CW70" s="12"/>
      <c r="CX70" s="12"/>
      <c r="CY70" s="12"/>
      <c r="CZ70" s="12"/>
      <c r="DA70" s="12"/>
      <c r="DB70" s="12"/>
      <c r="DC70" s="12"/>
      <c r="DD70" s="12"/>
      <c r="DF70" s="16"/>
      <c r="DH70" s="35"/>
      <c r="DL70" s="12"/>
      <c r="DM70" s="12"/>
      <c r="DN70" s="12"/>
      <c r="DO70" s="12"/>
      <c r="DP70" s="12"/>
      <c r="DQ70" s="12"/>
      <c r="DR70" s="12"/>
      <c r="DS70" s="12"/>
      <c r="DT70" s="12"/>
      <c r="DV70" s="16"/>
      <c r="DX70" s="35"/>
      <c r="EB70" s="12"/>
      <c r="EC70" s="12"/>
      <c r="ED70" s="12"/>
      <c r="EE70" s="12"/>
      <c r="EF70" s="12"/>
      <c r="EG70" s="12"/>
      <c r="EH70" s="12"/>
      <c r="EI70" s="12"/>
      <c r="EJ70" s="12"/>
      <c r="EL70" s="16"/>
      <c r="EN70" s="35"/>
      <c r="ER70" s="12"/>
      <c r="ES70" s="12"/>
      <c r="ET70" s="12"/>
      <c r="EU70" s="12"/>
      <c r="EV70" s="12"/>
      <c r="EW70" s="12"/>
      <c r="EX70" s="12"/>
      <c r="EY70" s="12"/>
      <c r="EZ70" s="12"/>
      <c r="FB70" s="16"/>
      <c r="FD70" s="35"/>
      <c r="FH70" s="12"/>
      <c r="FI70" s="12"/>
      <c r="FJ70" s="12"/>
      <c r="FK70" s="12"/>
      <c r="FL70" s="12"/>
      <c r="FM70" s="12"/>
      <c r="FN70" s="12"/>
      <c r="FO70" s="12"/>
      <c r="FP70" s="12"/>
      <c r="FR70" s="16"/>
      <c r="FT70" s="35"/>
      <c r="FX70" s="12"/>
      <c r="FY70" s="12"/>
      <c r="FZ70" s="12"/>
      <c r="GA70" s="12"/>
      <c r="GB70" s="12"/>
      <c r="GC70" s="12"/>
      <c r="GD70" s="12"/>
      <c r="GE70" s="12"/>
      <c r="GF70" s="12"/>
      <c r="GH70" s="16"/>
      <c r="GJ70" s="35"/>
      <c r="GN70" s="12"/>
      <c r="GO70" s="12"/>
      <c r="GP70" s="12"/>
      <c r="GQ70" s="12"/>
      <c r="GR70" s="12"/>
      <c r="GS70" s="12"/>
      <c r="GT70" s="12"/>
      <c r="GU70" s="12"/>
      <c r="GV70" s="12"/>
      <c r="GX70" s="16"/>
      <c r="GZ70" s="35"/>
      <c r="HD70" s="12"/>
      <c r="HE70" s="12"/>
      <c r="HF70" s="12"/>
      <c r="HG70" s="12"/>
      <c r="HH70" s="12"/>
      <c r="HI70" s="12"/>
      <c r="HJ70" s="12"/>
      <c r="HK70" s="12"/>
      <c r="HL70" s="12"/>
      <c r="HN70" s="16"/>
      <c r="HP70" s="35"/>
      <c r="HT70" s="12"/>
      <c r="HU70" s="12"/>
      <c r="HV70" s="12"/>
      <c r="HW70" s="12"/>
      <c r="HX70" s="12"/>
      <c r="HY70" s="12"/>
      <c r="HZ70" s="12"/>
      <c r="IA70" s="12"/>
      <c r="IB70" s="12"/>
      <c r="ID70" s="16"/>
      <c r="IF70" s="9"/>
      <c r="IJ70" s="12"/>
      <c r="IK70" s="12"/>
      <c r="IL70" s="12"/>
      <c r="IM70" s="12"/>
      <c r="IN70" s="12"/>
      <c r="IO70" s="12"/>
      <c r="IP70" s="12"/>
      <c r="IQ70" s="12"/>
      <c r="IR70" s="12"/>
      <c r="IT70" s="16"/>
      <c r="IV70" s="9"/>
      <c r="IZ70" s="12"/>
      <c r="JA70" s="12"/>
      <c r="JB70" s="12"/>
      <c r="JC70" s="12"/>
      <c r="JD70" s="12"/>
      <c r="JE70" s="12"/>
      <c r="JF70" s="12"/>
      <c r="JG70" s="12"/>
      <c r="JH70" s="12"/>
      <c r="JL70" s="9"/>
      <c r="JP70" s="12"/>
      <c r="JQ70" s="12"/>
      <c r="JR70" s="12"/>
      <c r="JS70" s="12"/>
      <c r="JT70" s="12"/>
      <c r="JU70" s="12"/>
      <c r="JV70" s="12"/>
      <c r="JW70" s="12"/>
      <c r="JX70" s="12"/>
      <c r="KB70" s="9"/>
      <c r="KF70" s="12"/>
      <c r="KG70" s="12"/>
      <c r="KH70" s="12"/>
      <c r="KI70" s="12"/>
      <c r="KJ70" s="12"/>
      <c r="KK70" s="12"/>
      <c r="KL70" s="12"/>
      <c r="KM70" s="12"/>
      <c r="KN70" s="12"/>
      <c r="KR70" s="9"/>
      <c r="KV70" s="12"/>
      <c r="KW70" s="12"/>
      <c r="KX70" s="12"/>
      <c r="KY70" s="12"/>
      <c r="KZ70" s="12"/>
      <c r="LA70" s="12"/>
      <c r="LB70" s="12"/>
      <c r="LC70" s="12"/>
      <c r="LD70" s="12"/>
      <c r="LH70" s="9"/>
      <c r="LL70" s="12"/>
      <c r="LM70" s="12"/>
      <c r="LN70" s="12"/>
      <c r="LO70" s="12"/>
      <c r="LP70" s="12"/>
      <c r="LQ70" s="12"/>
      <c r="LR70" s="12"/>
      <c r="LS70" s="12"/>
      <c r="LT70" s="12"/>
      <c r="LX70" s="9"/>
      <c r="MB70" s="12"/>
      <c r="MC70" s="12"/>
      <c r="MD70" s="12"/>
      <c r="ME70" s="12"/>
      <c r="MF70" s="12"/>
      <c r="MG70" s="12"/>
      <c r="MH70" s="12"/>
      <c r="MI70" s="12"/>
      <c r="MJ70" s="12"/>
      <c r="MN70" s="9"/>
      <c r="MR70" s="12"/>
      <c r="MS70" s="12"/>
      <c r="MT70" s="12"/>
      <c r="MU70" s="12"/>
      <c r="MV70" s="12"/>
      <c r="MW70" s="12"/>
      <c r="MX70" s="12"/>
      <c r="MY70" s="12"/>
      <c r="MZ70" s="12"/>
      <c r="ND70" s="9"/>
      <c r="NH70" s="12"/>
      <c r="NI70" s="12"/>
      <c r="NJ70" s="12"/>
      <c r="NK70" s="12"/>
      <c r="NL70" s="12"/>
      <c r="NM70" s="12"/>
      <c r="NN70" s="12"/>
      <c r="NO70" s="12"/>
      <c r="NP70" s="12"/>
      <c r="NT70" s="9"/>
      <c r="NX70" s="12"/>
      <c r="NY70" s="12"/>
      <c r="NZ70" s="12"/>
      <c r="OA70" s="12"/>
      <c r="OB70" s="12"/>
      <c r="OC70" s="12"/>
      <c r="OD70" s="12"/>
      <c r="OE70" s="12"/>
      <c r="OF70" s="12"/>
      <c r="OJ70" s="9"/>
    </row>
    <row r="71" spans="1:401" x14ac:dyDescent="0.2">
      <c r="B71" s="12"/>
      <c r="C71" s="12"/>
      <c r="D71" s="12"/>
      <c r="E71" s="12"/>
      <c r="F71" s="12"/>
      <c r="G71" s="12"/>
      <c r="H71" s="12"/>
      <c r="I71" s="12"/>
      <c r="J71" s="12"/>
      <c r="O71" s="5"/>
      <c r="P71" s="12"/>
      <c r="Q71" s="12"/>
      <c r="R71" s="12"/>
      <c r="S71" s="12"/>
      <c r="T71" s="12"/>
      <c r="U71" s="12"/>
      <c r="V71" s="12"/>
      <c r="W71" s="12"/>
      <c r="X71" s="12"/>
      <c r="AG71" s="5"/>
      <c r="AH71" s="12"/>
      <c r="AI71" s="12"/>
      <c r="AJ71" s="12"/>
      <c r="AK71" s="12"/>
      <c r="AL71" s="12"/>
      <c r="AM71" s="12"/>
      <c r="AN71" s="12"/>
      <c r="AO71" s="12"/>
      <c r="AP71" s="12"/>
      <c r="AZ71" s="12"/>
      <c r="BA71" s="12"/>
      <c r="BB71" s="12"/>
      <c r="BC71" s="12"/>
      <c r="BD71" s="12"/>
      <c r="BE71" s="12"/>
      <c r="BF71" s="12"/>
      <c r="BG71" s="12"/>
      <c r="BH71" s="12"/>
      <c r="BJ71" s="16"/>
      <c r="BL71" s="35"/>
      <c r="BP71" s="12"/>
      <c r="BQ71" s="12"/>
      <c r="BR71" s="12"/>
      <c r="BS71" s="12"/>
      <c r="BT71" s="12"/>
      <c r="BU71" s="12"/>
      <c r="BV71" s="12"/>
      <c r="BW71" s="12"/>
      <c r="BX71" s="12"/>
      <c r="BZ71" s="16"/>
      <c r="CB71" s="35"/>
      <c r="CF71" s="12"/>
      <c r="CG71" s="12"/>
      <c r="CH71" s="12"/>
      <c r="CI71" s="12"/>
      <c r="CJ71" s="12"/>
      <c r="CK71" s="12"/>
      <c r="CL71" s="12"/>
      <c r="CM71" s="12"/>
      <c r="CN71" s="12"/>
      <c r="CP71" s="16"/>
      <c r="CR71" s="35"/>
      <c r="CV71" s="12"/>
      <c r="CW71" s="12"/>
      <c r="CX71" s="12"/>
      <c r="CY71" s="12"/>
      <c r="CZ71" s="12"/>
      <c r="DA71" s="12"/>
      <c r="DB71" s="12"/>
      <c r="DC71" s="12"/>
      <c r="DD71" s="12"/>
      <c r="DF71" s="16"/>
      <c r="DH71" s="35"/>
      <c r="DL71" s="12"/>
      <c r="DM71" s="12"/>
      <c r="DN71" s="12"/>
      <c r="DO71" s="12"/>
      <c r="DP71" s="12"/>
      <c r="DQ71" s="12"/>
      <c r="DR71" s="12"/>
      <c r="DS71" s="12"/>
      <c r="DT71" s="12"/>
      <c r="DV71" s="16"/>
      <c r="DX71" s="35"/>
      <c r="EB71" s="12"/>
      <c r="EC71" s="12"/>
      <c r="ED71" s="12"/>
      <c r="EE71" s="12"/>
      <c r="EF71" s="12"/>
      <c r="EG71" s="12"/>
      <c r="EH71" s="12"/>
      <c r="EI71" s="12"/>
      <c r="EJ71" s="12"/>
      <c r="EL71" s="16"/>
      <c r="EN71" s="35"/>
      <c r="ER71" s="12"/>
      <c r="ES71" s="12"/>
      <c r="ET71" s="12"/>
      <c r="EU71" s="12"/>
      <c r="EV71" s="12"/>
      <c r="EW71" s="12"/>
      <c r="EX71" s="12"/>
      <c r="EY71" s="12"/>
      <c r="EZ71" s="12"/>
      <c r="FB71" s="16"/>
      <c r="FD71" s="35"/>
      <c r="FH71" s="12"/>
      <c r="FI71" s="12"/>
      <c r="FJ71" s="12"/>
      <c r="FK71" s="12"/>
      <c r="FL71" s="12"/>
      <c r="FM71" s="12"/>
      <c r="FN71" s="12"/>
      <c r="FO71" s="12"/>
      <c r="FP71" s="12"/>
      <c r="FR71" s="16"/>
      <c r="FT71" s="35"/>
      <c r="FX71" s="12"/>
      <c r="FY71" s="12"/>
      <c r="FZ71" s="12"/>
      <c r="GA71" s="12"/>
      <c r="GB71" s="12"/>
      <c r="GC71" s="12"/>
      <c r="GD71" s="12"/>
      <c r="GE71" s="12"/>
      <c r="GF71" s="12"/>
      <c r="GH71" s="16"/>
      <c r="GJ71" s="35"/>
      <c r="GN71" s="12"/>
      <c r="GO71" s="12"/>
      <c r="GP71" s="12"/>
      <c r="GQ71" s="12"/>
      <c r="GR71" s="12"/>
      <c r="GS71" s="12"/>
      <c r="GT71" s="12"/>
      <c r="GU71" s="12"/>
      <c r="GV71" s="12"/>
      <c r="GX71" s="16"/>
      <c r="GZ71" s="35"/>
      <c r="HD71" s="12"/>
      <c r="HE71" s="12"/>
      <c r="HF71" s="12"/>
      <c r="HG71" s="12"/>
      <c r="HH71" s="12"/>
      <c r="HI71" s="12"/>
      <c r="HJ71" s="12"/>
      <c r="HK71" s="12"/>
      <c r="HL71" s="12"/>
      <c r="HN71" s="16"/>
      <c r="HP71" s="35"/>
      <c r="HT71" s="12"/>
      <c r="HU71" s="12"/>
      <c r="HV71" s="12"/>
      <c r="HW71" s="12"/>
      <c r="HX71" s="12"/>
      <c r="HY71" s="12"/>
      <c r="HZ71" s="12"/>
      <c r="IA71" s="12"/>
      <c r="IB71" s="12"/>
      <c r="ID71" s="16"/>
      <c r="IF71" s="9"/>
      <c r="IJ71" s="12"/>
      <c r="IK71" s="12"/>
      <c r="IL71" s="12"/>
      <c r="IM71" s="12"/>
      <c r="IN71" s="12"/>
      <c r="IO71" s="12"/>
      <c r="IP71" s="12"/>
      <c r="IQ71" s="12"/>
      <c r="IR71" s="12"/>
      <c r="IT71" s="16"/>
      <c r="IV71" s="9"/>
      <c r="IZ71" s="12"/>
      <c r="JA71" s="12"/>
      <c r="JB71" s="12"/>
      <c r="JC71" s="12"/>
      <c r="JD71" s="12"/>
      <c r="JE71" s="12"/>
      <c r="JF71" s="12"/>
      <c r="JG71" s="12"/>
      <c r="JH71" s="12"/>
      <c r="JL71" s="9"/>
      <c r="JP71" s="12"/>
      <c r="JQ71" s="12"/>
      <c r="JR71" s="12"/>
      <c r="JS71" s="12"/>
      <c r="JT71" s="12"/>
      <c r="JU71" s="12"/>
      <c r="JV71" s="12"/>
      <c r="JW71" s="12"/>
      <c r="JX71" s="12"/>
      <c r="KB71" s="9"/>
      <c r="KF71" s="12"/>
      <c r="KG71" s="12"/>
      <c r="KH71" s="12"/>
      <c r="KI71" s="12"/>
      <c r="KJ71" s="12"/>
      <c r="KK71" s="12"/>
      <c r="KL71" s="12"/>
      <c r="KM71" s="12"/>
      <c r="KN71" s="12"/>
      <c r="KR71" s="9"/>
      <c r="KV71" s="12"/>
      <c r="KW71" s="12"/>
      <c r="KX71" s="12"/>
      <c r="KY71" s="12"/>
      <c r="KZ71" s="12"/>
      <c r="LA71" s="12"/>
      <c r="LB71" s="12"/>
      <c r="LC71" s="12"/>
      <c r="LD71" s="12"/>
      <c r="LH71" s="9"/>
      <c r="LL71" s="12"/>
      <c r="LM71" s="12"/>
      <c r="LN71" s="12"/>
      <c r="LO71" s="12"/>
      <c r="LP71" s="12"/>
      <c r="LQ71" s="12"/>
      <c r="LR71" s="12"/>
      <c r="LS71" s="12"/>
      <c r="LT71" s="12"/>
      <c r="LX71" s="9"/>
      <c r="MB71" s="12"/>
      <c r="MC71" s="12"/>
      <c r="MD71" s="12"/>
      <c r="ME71" s="12"/>
      <c r="MF71" s="12"/>
      <c r="MG71" s="12"/>
      <c r="MH71" s="12"/>
      <c r="MI71" s="12"/>
      <c r="MJ71" s="12"/>
      <c r="MN71" s="9"/>
      <c r="MR71" s="12"/>
      <c r="MS71" s="12"/>
      <c r="MT71" s="12"/>
      <c r="MU71" s="12"/>
      <c r="MV71" s="12"/>
      <c r="MW71" s="12"/>
      <c r="MX71" s="12"/>
      <c r="MY71" s="12"/>
      <c r="MZ71" s="12"/>
      <c r="ND71" s="9"/>
      <c r="NH71" s="12"/>
      <c r="NI71" s="12"/>
      <c r="NJ71" s="12"/>
      <c r="NK71" s="12"/>
      <c r="NL71" s="12"/>
      <c r="NM71" s="12"/>
      <c r="NN71" s="12"/>
      <c r="NO71" s="12"/>
      <c r="NP71" s="12"/>
      <c r="NT71" s="9"/>
      <c r="NX71" s="12"/>
      <c r="NY71" s="12"/>
      <c r="NZ71" s="12"/>
      <c r="OA71" s="12"/>
      <c r="OB71" s="12"/>
      <c r="OC71" s="12"/>
      <c r="OD71" s="12"/>
      <c r="OE71" s="12"/>
      <c r="OF71" s="12"/>
      <c r="OJ71" s="9"/>
    </row>
    <row r="72" spans="1:401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P72" s="12"/>
      <c r="Q72" s="12"/>
      <c r="R72" s="12"/>
      <c r="S72" s="12"/>
      <c r="T72" s="12"/>
      <c r="U72" s="12"/>
      <c r="V72" s="12"/>
      <c r="W72" s="12"/>
      <c r="X72" s="12"/>
      <c r="AH72" s="12"/>
      <c r="AI72" s="12"/>
      <c r="AJ72" s="12"/>
      <c r="AK72" s="12"/>
      <c r="AL72" s="12"/>
      <c r="AM72" s="12"/>
      <c r="AN72" s="12"/>
      <c r="AO72" s="12"/>
      <c r="AP72" s="12"/>
      <c r="AY72" s="5"/>
      <c r="AZ72" s="12"/>
      <c r="BA72" s="12"/>
      <c r="BB72" s="12"/>
      <c r="BC72" s="12"/>
      <c r="BD72" s="12"/>
      <c r="BE72" s="12"/>
      <c r="BF72" s="12"/>
      <c r="BG72" s="12"/>
      <c r="BH72" s="12"/>
      <c r="BJ72" s="16"/>
      <c r="BL72" s="35"/>
      <c r="BO72" s="5"/>
      <c r="BP72" s="12"/>
      <c r="BQ72" s="12"/>
      <c r="BR72" s="12"/>
      <c r="BS72" s="12"/>
      <c r="BT72" s="12"/>
      <c r="BU72" s="12"/>
      <c r="BV72" s="12"/>
      <c r="BW72" s="12"/>
      <c r="BX72" s="12"/>
      <c r="BZ72" s="16"/>
      <c r="CB72" s="35"/>
      <c r="CE72" s="5"/>
      <c r="CF72" s="12"/>
      <c r="CG72" s="12"/>
      <c r="CH72" s="12"/>
      <c r="CI72" s="12"/>
      <c r="CJ72" s="12"/>
      <c r="CK72" s="12"/>
      <c r="CL72" s="12"/>
      <c r="CM72" s="12"/>
      <c r="CN72" s="12"/>
      <c r="CP72" s="16"/>
      <c r="CR72" s="35"/>
      <c r="CU72" s="5"/>
      <c r="CV72" s="12"/>
      <c r="CW72" s="12"/>
      <c r="CX72" s="12"/>
      <c r="CY72" s="12"/>
      <c r="CZ72" s="12"/>
      <c r="DA72" s="12"/>
      <c r="DB72" s="12"/>
      <c r="DC72" s="12"/>
      <c r="DD72" s="12"/>
      <c r="DF72" s="16"/>
      <c r="DH72" s="35"/>
      <c r="DK72" s="5"/>
      <c r="DL72" s="12"/>
      <c r="DM72" s="12"/>
      <c r="DN72" s="12"/>
      <c r="DO72" s="12"/>
      <c r="DP72" s="12"/>
      <c r="DQ72" s="12"/>
      <c r="DR72" s="12"/>
      <c r="DS72" s="12"/>
      <c r="DT72" s="12"/>
      <c r="DV72" s="16"/>
      <c r="DX72" s="35"/>
      <c r="EA72" s="5"/>
      <c r="EB72" s="12"/>
      <c r="EC72" s="12"/>
      <c r="ED72" s="12"/>
      <c r="EE72" s="12"/>
      <c r="EF72" s="12"/>
      <c r="EG72" s="12"/>
      <c r="EH72" s="12"/>
      <c r="EI72" s="12"/>
      <c r="EJ72" s="12"/>
      <c r="EL72" s="16"/>
      <c r="EN72" s="35"/>
      <c r="EQ72" s="5"/>
      <c r="ER72" s="12"/>
      <c r="ES72" s="12"/>
      <c r="ET72" s="12"/>
      <c r="EU72" s="12"/>
      <c r="EV72" s="12"/>
      <c r="EW72" s="12"/>
      <c r="EX72" s="12"/>
      <c r="EY72" s="12"/>
      <c r="EZ72" s="12"/>
      <c r="FB72" s="16"/>
      <c r="FD72" s="35"/>
      <c r="FG72" s="5"/>
      <c r="FH72" s="12"/>
      <c r="FI72" s="12"/>
      <c r="FJ72" s="12"/>
      <c r="FK72" s="12"/>
      <c r="FL72" s="12"/>
      <c r="FM72" s="12"/>
      <c r="FN72" s="12"/>
      <c r="FO72" s="12"/>
      <c r="FP72" s="12"/>
      <c r="FR72" s="16"/>
      <c r="FT72" s="35"/>
      <c r="FW72" s="5"/>
      <c r="FX72" s="12"/>
      <c r="FY72" s="12"/>
      <c r="FZ72" s="12"/>
      <c r="GA72" s="12"/>
      <c r="GB72" s="12"/>
      <c r="GC72" s="12"/>
      <c r="GD72" s="12"/>
      <c r="GE72" s="12"/>
      <c r="GF72" s="12"/>
      <c r="GH72" s="16"/>
      <c r="GJ72" s="35"/>
      <c r="GN72" s="12"/>
      <c r="GO72" s="12"/>
      <c r="GP72" s="12"/>
      <c r="GQ72" s="12"/>
      <c r="GR72" s="12"/>
      <c r="GS72" s="12"/>
      <c r="GT72" s="12"/>
      <c r="GU72" s="12"/>
      <c r="GV72" s="12"/>
      <c r="GX72" s="16"/>
      <c r="GZ72" s="35"/>
      <c r="HD72" s="12"/>
      <c r="HE72" s="12"/>
      <c r="HF72" s="12"/>
      <c r="HG72" s="12"/>
      <c r="HH72" s="12"/>
      <c r="HI72" s="12"/>
      <c r="HJ72" s="12"/>
      <c r="HK72" s="12"/>
      <c r="HL72" s="12"/>
      <c r="HN72" s="16"/>
      <c r="HP72" s="35"/>
      <c r="HT72" s="12"/>
      <c r="HU72" s="12"/>
      <c r="HV72" s="12"/>
      <c r="HW72" s="12"/>
      <c r="HX72" s="12"/>
      <c r="HY72" s="12"/>
      <c r="HZ72" s="12"/>
      <c r="IA72" s="12"/>
      <c r="IB72" s="12"/>
      <c r="ID72" s="16"/>
      <c r="IF72" s="9"/>
      <c r="IJ72" s="12"/>
      <c r="IK72" s="12"/>
      <c r="IL72" s="12"/>
      <c r="IM72" s="12"/>
      <c r="IN72" s="12"/>
      <c r="IO72" s="12"/>
      <c r="IP72" s="12"/>
      <c r="IQ72" s="12"/>
      <c r="IR72" s="12"/>
      <c r="IT72" s="16"/>
      <c r="IV72" s="9"/>
      <c r="IZ72" s="12"/>
      <c r="JA72" s="12"/>
      <c r="JB72" s="12"/>
      <c r="JC72" s="12"/>
      <c r="JD72" s="12"/>
      <c r="JE72" s="12"/>
      <c r="JF72" s="12"/>
      <c r="JG72" s="12"/>
      <c r="JH72" s="12"/>
      <c r="JL72" s="9"/>
      <c r="JP72" s="12"/>
      <c r="JQ72" s="12"/>
      <c r="JR72" s="12"/>
      <c r="JS72" s="12"/>
      <c r="JT72" s="12"/>
      <c r="JU72" s="12"/>
      <c r="JV72" s="12"/>
      <c r="JW72" s="12"/>
      <c r="JX72" s="12"/>
      <c r="KB72" s="9"/>
      <c r="KF72" s="12"/>
      <c r="KG72" s="12"/>
      <c r="KH72" s="12"/>
      <c r="KI72" s="12"/>
      <c r="KJ72" s="12"/>
      <c r="KK72" s="12"/>
      <c r="KL72" s="12"/>
      <c r="KM72" s="12"/>
      <c r="KN72" s="12"/>
      <c r="KR72" s="9"/>
      <c r="KV72" s="12"/>
      <c r="KW72" s="12"/>
      <c r="KX72" s="12"/>
      <c r="KY72" s="12"/>
      <c r="KZ72" s="12"/>
      <c r="LA72" s="12"/>
      <c r="LB72" s="12"/>
      <c r="LC72" s="12"/>
      <c r="LD72" s="12"/>
      <c r="LH72" s="9"/>
      <c r="LL72" s="12"/>
      <c r="LM72" s="12"/>
      <c r="LN72" s="12"/>
      <c r="LO72" s="12"/>
      <c r="LP72" s="12"/>
      <c r="LQ72" s="12"/>
      <c r="LR72" s="12"/>
      <c r="LS72" s="12"/>
      <c r="LT72" s="12"/>
      <c r="LX72" s="9"/>
      <c r="MB72" s="12"/>
      <c r="MC72" s="12"/>
      <c r="MD72" s="12"/>
      <c r="ME72" s="12"/>
      <c r="MF72" s="12"/>
      <c r="MG72" s="12"/>
      <c r="MH72" s="12"/>
      <c r="MI72" s="12"/>
      <c r="MJ72" s="12"/>
      <c r="MN72" s="9"/>
      <c r="MR72" s="12"/>
      <c r="MS72" s="12"/>
      <c r="MT72" s="12"/>
      <c r="MU72" s="12"/>
      <c r="MV72" s="12"/>
      <c r="MW72" s="12"/>
      <c r="MX72" s="12"/>
      <c r="MY72" s="12"/>
      <c r="MZ72" s="12"/>
      <c r="ND72" s="9"/>
      <c r="NH72" s="12"/>
      <c r="NI72" s="12"/>
      <c r="NJ72" s="12"/>
      <c r="NK72" s="12"/>
      <c r="NL72" s="12"/>
      <c r="NM72" s="12"/>
      <c r="NN72" s="12"/>
      <c r="NO72" s="12"/>
      <c r="NP72" s="12"/>
      <c r="NT72" s="9"/>
      <c r="NX72" s="12"/>
      <c r="NY72" s="12"/>
      <c r="NZ72" s="12"/>
      <c r="OA72" s="12"/>
      <c r="OB72" s="12"/>
      <c r="OC72" s="12"/>
      <c r="OD72" s="12"/>
      <c r="OE72" s="12"/>
      <c r="OF72" s="12"/>
      <c r="OJ72" s="9"/>
    </row>
    <row r="73" spans="1:401" x14ac:dyDescent="0.2">
      <c r="A73" t="s">
        <v>55</v>
      </c>
      <c r="B73" s="12">
        <f t="shared" ref="B73:J76" si="509">P73+AH73+AZ73+BP73+CF73+CV73+DL73+EB73+ER73+FH73+FX73+GN73+HD73+HT73+IJ73+IZ73+JP73+KF73+KV73+LL73+MB73+MR73+NH73+NX73</f>
        <v>0</v>
      </c>
      <c r="C73" s="12">
        <f t="shared" si="509"/>
        <v>0</v>
      </c>
      <c r="D73" s="12">
        <f t="shared" si="509"/>
        <v>0</v>
      </c>
      <c r="E73" s="12">
        <f t="shared" si="509"/>
        <v>0</v>
      </c>
      <c r="F73" s="12">
        <f t="shared" si="509"/>
        <v>0</v>
      </c>
      <c r="G73" s="12">
        <f t="shared" si="509"/>
        <v>0</v>
      </c>
      <c r="H73" s="12">
        <f t="shared" si="509"/>
        <v>0</v>
      </c>
      <c r="I73" s="12">
        <f t="shared" si="509"/>
        <v>0</v>
      </c>
      <c r="J73" s="12">
        <f t="shared" si="509"/>
        <v>0</v>
      </c>
      <c r="P73" s="12" cm="1">
        <f t="array" ref="P73">_xlfn.SWITCH(P$4, 0,0, 1, AA73,2,AC73,3,AE73,0)</f>
        <v>0</v>
      </c>
      <c r="Q73" s="12" cm="1">
        <f t="array" ref="Q73">_xlfn.SWITCH(Q$4, 0,0, 1, AA73,2,AC73,3,AE73,0)+P73</f>
        <v>0</v>
      </c>
      <c r="R73" s="12" cm="1">
        <f t="array" ref="R73">_xlfn.SWITCH(R$4, 0,0, 1, AA73,2,AC73,3,AE73,0)+Q73</f>
        <v>0</v>
      </c>
      <c r="S73" s="12" cm="1">
        <f t="array" ref="S73">_xlfn.SWITCH(S$4, 0,0, 1, AA73,2,AC73,3,AE73,0)+R73</f>
        <v>0</v>
      </c>
      <c r="T73" s="12" cm="1">
        <f t="array" ref="T73">_xlfn.SWITCH(T$4, 0,0, 1, AA73,2,AC73,3,AE73,0)+S73</f>
        <v>0</v>
      </c>
      <c r="U73" s="12" cm="1">
        <f t="array" ref="U73">_xlfn.SWITCH(U$4, 0,0, 1, AA73,2,AC73,3,AE73,0)+T73</f>
        <v>0</v>
      </c>
      <c r="V73" s="12" cm="1">
        <f t="array" ref="V73">_xlfn.SWITCH(V$4, 0,0, 1, AA73,2,AC73,3,AE73,0)+U73</f>
        <v>0</v>
      </c>
      <c r="W73" s="12" cm="1">
        <f t="array" ref="W73">_xlfn.SWITCH(W$4, 0,0, 1, AA73,2,AC73,3,AE73,0)+V73</f>
        <v>0</v>
      </c>
      <c r="X73" s="12" cm="1">
        <f t="array" ref="X73">_xlfn.SWITCH(X$4, 0,0, 1, AA73,2,AC73,3,AE73,0)+W73</f>
        <v>0</v>
      </c>
      <c r="Z73" t="s">
        <v>1304</v>
      </c>
      <c r="AA73">
        <f>_xlfn.XLOOKUP(Z73,'KPI Impacts'!$K$2:$Q$2,'KPI Impacts'!$K73:$Q73)</f>
        <v>0</v>
      </c>
      <c r="AB73" t="s">
        <v>1304</v>
      </c>
      <c r="AC73">
        <f>_xlfn.XLOOKUP(AB73,'KPI Impacts'!$K$2:$Q$2,'KPI Impacts'!$K73:$Q73)</f>
        <v>0</v>
      </c>
      <c r="AD73" t="s">
        <v>1304</v>
      </c>
      <c r="AE73">
        <f>_xlfn.XLOOKUP(AD73,'KPI Impacts'!$K$2:$Q$2,'KPI Impacts'!$K73:$Q73)</f>
        <v>0</v>
      </c>
      <c r="AH73" s="12" cm="1">
        <f t="array" ref="AH73">_xlfn.SWITCH(AH$4, 0,0, 1, AS73,2,AU73,3,AW73,0)</f>
        <v>0</v>
      </c>
      <c r="AI73" s="12" cm="1">
        <f t="array" ref="AI73">_xlfn.SWITCH(AI$4, 0,0, 1, AS73,2,AU73,3,AW73,0)+AH73</f>
        <v>0</v>
      </c>
      <c r="AJ73" s="12" cm="1">
        <f t="array" ref="AJ73">_xlfn.SWITCH(AJ$4, 0,0, 1, AS73,2,AU73,3,AW73,0)+AI73</f>
        <v>0</v>
      </c>
      <c r="AK73" s="12" cm="1">
        <f t="array" ref="AK73">_xlfn.SWITCH(AK$4, 0,0, 1, AS73,2,AU73,3,AW73,0)+AJ73</f>
        <v>0</v>
      </c>
      <c r="AL73" s="12" cm="1">
        <f t="array" ref="AL73">_xlfn.SWITCH(AL$4, 0,0, 1, AS73,2,AU73,3,AW73,0)+AK73</f>
        <v>0</v>
      </c>
      <c r="AM73" s="12" cm="1">
        <f t="array" ref="AM73">_xlfn.SWITCH(AM$4, 0,0, 1, AS73,2,AU73,3,AW73,0)+AL73</f>
        <v>0</v>
      </c>
      <c r="AN73" s="12" cm="1">
        <f t="array" ref="AN73">_xlfn.SWITCH(AN$4, 0,0, 1, AS73,2,AU73,3,AW73,0)+AM73</f>
        <v>0</v>
      </c>
      <c r="AO73" s="12" cm="1">
        <f t="array" ref="AO73">_xlfn.SWITCH(AO$4, 0,0, 1, AS73,2,AU73,3,AW73,0)+AN73</f>
        <v>0</v>
      </c>
      <c r="AP73" s="12" cm="1">
        <f t="array" ref="AP73">_xlfn.SWITCH(AP$4, 0,0, 1, AS73,2,AU73,3,AW73,0)+AO73</f>
        <v>0</v>
      </c>
      <c r="AR73" t="s">
        <v>1304</v>
      </c>
      <c r="AS73">
        <f>_xlfn.XLOOKUP(AR73,'KPI Impacts'!$K$2:$Q$2,'KPI Impacts'!$K73:$Q73)</f>
        <v>0</v>
      </c>
      <c r="AT73" t="s">
        <v>1304</v>
      </c>
      <c r="AU73">
        <f>_xlfn.XLOOKUP(AT73,'KPI Impacts'!$K$2:$Q$2,'KPI Impacts'!$K73:$Q73)</f>
        <v>0</v>
      </c>
      <c r="AV73" t="s">
        <v>1304</v>
      </c>
      <c r="AW73">
        <f>_xlfn.XLOOKUP(AV73,'KPI Impacts'!$K$2:$Q$2,'KPI Impacts'!$K73:$Q73)</f>
        <v>0</v>
      </c>
      <c r="AZ73" s="12">
        <f>AZ$4*BK73</f>
        <v>0</v>
      </c>
      <c r="BA73" s="12">
        <f>BA$4 * IF(AND(AZ$4=1,AZ$20=1), BM73, BK73)</f>
        <v>0</v>
      </c>
      <c r="BB73" s="12">
        <f>BB$4 * IF(AND(BA$4=1,AZ$20=1), BM73, BK73)</f>
        <v>0</v>
      </c>
      <c r="BC73" s="12">
        <f>BC$4 * IF(AND(BB$4=1,AZ$20=1), BM73, BK73)</f>
        <v>0</v>
      </c>
      <c r="BD73" s="12">
        <f>BD$4 * IF(AND(BC$4=1,AZ$20=1), BM73, BK73)</f>
        <v>0</v>
      </c>
      <c r="BE73" s="12">
        <f>BE$4 * IF(AND(BD$4=1,AZ$20=1), BM73, BK73)</f>
        <v>0</v>
      </c>
      <c r="BF73" s="12">
        <f>BF$4 * IF(AND(BE$4=1,AZ$20=1), BM73, BK73)</f>
        <v>0</v>
      </c>
      <c r="BG73" s="12">
        <f>BG$4 * IF(AND(BF$4=1,AZ$20=1), BM73, BK73)</f>
        <v>0</v>
      </c>
      <c r="BH73" s="12">
        <f>BH$4 * IF(AND(BG$4=1,AZ$20=1), BM73, BK73)</f>
        <v>0</v>
      </c>
      <c r="BJ73" s="16" t="s">
        <v>1304</v>
      </c>
      <c r="BK73">
        <f>_xlfn.XLOOKUP(BJ73,'KPI Impacts'!$B$2:$H$2,'KPI Impacts'!$B73:$H73)</f>
        <v>0</v>
      </c>
      <c r="BL73" s="35" t="s">
        <v>1304</v>
      </c>
      <c r="BM73">
        <f>_xlfn.XLOOKUP(BL73,'KPI Impacts'!$B$2:$H$2,'KPI Impacts'!$B73:$H73)</f>
        <v>0</v>
      </c>
      <c r="BP73" s="12">
        <f>BP$4*CA73</f>
        <v>0</v>
      </c>
      <c r="BQ73" s="12">
        <f>BQ$4 * IF(AND(BP$4=1,BP$20=1), CC73, CA73)</f>
        <v>0</v>
      </c>
      <c r="BR73" s="12">
        <f>BR$4 * IF(AND(BQ$4=1,BP$20=1), CC73, CA73)</f>
        <v>0</v>
      </c>
      <c r="BS73" s="12">
        <f>BS$4 * IF(AND(BR$4=1,BP$20=1), CC73, CA73)</f>
        <v>0</v>
      </c>
      <c r="BT73" s="12">
        <f>BT$4 * IF(AND(BS$4=1,BP$20=1), CC73, CA73)</f>
        <v>0</v>
      </c>
      <c r="BU73" s="12">
        <f>BU$4 * IF(AND(BT$4=1,BP$20=1), CC73, CA73)</f>
        <v>0</v>
      </c>
      <c r="BV73" s="12">
        <f>BV$4 * IF(AND(BU$4=1,BP$20=1), CC73, CA73)</f>
        <v>0</v>
      </c>
      <c r="BW73" s="12">
        <f>BW$4 * IF(AND(BV$4=1,BP$20=1), CC73, CA73)</f>
        <v>0</v>
      </c>
      <c r="BX73" s="12">
        <f>BX$4 * IF(AND(BW$4=1,BP$20=1), CC73, CA73)</f>
        <v>0</v>
      </c>
      <c r="BZ73" s="16" t="s">
        <v>1304</v>
      </c>
      <c r="CA73">
        <f>_xlfn.XLOOKUP(BZ73,'KPI Impacts'!$B$2:$H$2,'KPI Impacts'!$B73:$H73)</f>
        <v>0</v>
      </c>
      <c r="CB73" s="35" t="s">
        <v>1304</v>
      </c>
      <c r="CC73">
        <f>_xlfn.XLOOKUP(CB73,'KPI Impacts'!$B$2:$H$2,'KPI Impacts'!$B73:$H73)</f>
        <v>0</v>
      </c>
      <c r="CF73" s="12">
        <f>CF$4*CQ73</f>
        <v>0</v>
      </c>
      <c r="CG73" s="12">
        <f>CG$4 * IF(AND(CF$4=1,CF$20=1), CS73, CQ73)</f>
        <v>0</v>
      </c>
      <c r="CH73" s="12">
        <f>CH$4 * IF(AND(CG$4=1,CF$20=1), CS73, CQ73)</f>
        <v>0</v>
      </c>
      <c r="CI73" s="12">
        <f>CI$4 * IF(AND(CH$4=1,CF$20=1), CS73, CQ73)</f>
        <v>0</v>
      </c>
      <c r="CJ73" s="12">
        <f>CJ$4 * IF(AND(CI$4=1,CF$20=1), CS73, CQ73)</f>
        <v>0</v>
      </c>
      <c r="CK73" s="12">
        <f>CK$4 * IF(AND(CJ$4=1,CF$20=1), CS73, CQ73)</f>
        <v>0</v>
      </c>
      <c r="CL73" s="12">
        <f>CL$4 * IF(AND(CK$4=1,CF$20=1), CS73, CQ73)</f>
        <v>0</v>
      </c>
      <c r="CM73" s="12">
        <f>CM$4 * IF(AND(CL$4=1,CF$20=1), CS73, CQ73)</f>
        <v>0</v>
      </c>
      <c r="CN73" s="12">
        <f>CN$4 * IF(AND(CM$4=1,CF$20=1), CS73, CQ73)</f>
        <v>0</v>
      </c>
      <c r="CP73" s="16" t="s">
        <v>1304</v>
      </c>
      <c r="CQ73">
        <f>_xlfn.XLOOKUP(CP73,'KPI Impacts'!$B$2:$H$2,'KPI Impacts'!$B73:$H73)</f>
        <v>0</v>
      </c>
      <c r="CR73" s="35" t="s">
        <v>1304</v>
      </c>
      <c r="CS73">
        <f>_xlfn.XLOOKUP(CR73,'KPI Impacts'!$B$2:$H$2,'KPI Impacts'!$B73:$H73)</f>
        <v>0</v>
      </c>
      <c r="CV73" s="12">
        <f>CV$4*DG73</f>
        <v>0</v>
      </c>
      <c r="CW73" s="12">
        <f>CW$4 * IF(AND(CV$4=1,CV$20=1), DI73, DG73)</f>
        <v>0</v>
      </c>
      <c r="CX73" s="12">
        <f>CX$4 * IF(AND(CW$4=1,CV$20=1), DI73, DG73)</f>
        <v>0</v>
      </c>
      <c r="CY73" s="12">
        <f>CY$4 * IF(AND(CX$4=1,CV$20=1), DI73, DG73)</f>
        <v>0</v>
      </c>
      <c r="CZ73" s="12">
        <f>CZ$4 * IF(AND(CY$4=1,CV$20=1), DI73, DG73)</f>
        <v>0</v>
      </c>
      <c r="DA73" s="12">
        <f>DA$4 * IF(AND(CZ$4=1,CV$20=1), DI73, DG73)</f>
        <v>0</v>
      </c>
      <c r="DB73" s="12">
        <f>DB$4 * IF(AND(DA$4=1,CV$20=1), DI73, DG73)</f>
        <v>0</v>
      </c>
      <c r="DC73" s="12">
        <f>DC$4 * IF(AND(DB$4=1,CV$20=1), DI73, DG73)</f>
        <v>0</v>
      </c>
      <c r="DD73" s="12">
        <f>DD$4 * IF(AND(DC$4=1,CV$20=1), DI73, DG73)</f>
        <v>0</v>
      </c>
      <c r="DF73" s="16" t="s">
        <v>1304</v>
      </c>
      <c r="DG73">
        <f>_xlfn.XLOOKUP(DF73,'KPI Impacts'!$B$2:$H$2,'KPI Impacts'!$B73:$H73)</f>
        <v>0</v>
      </c>
      <c r="DH73" s="35" t="s">
        <v>1304</v>
      </c>
      <c r="DI73">
        <f>_xlfn.XLOOKUP(DH73,'KPI Impacts'!$B$2:$H$2,'KPI Impacts'!$B73:$H73)</f>
        <v>0</v>
      </c>
      <c r="DL73" s="12">
        <f>DL$4*DW73</f>
        <v>0</v>
      </c>
      <c r="DM73" s="12">
        <f>DM$4 * IF(AND(DL$4=1,DL$20=1), DY73, DW73)</f>
        <v>0</v>
      </c>
      <c r="DN73" s="12">
        <f>DN$4 * IF(AND(DM$4=1,DL$20=1), DY73, DW73)</f>
        <v>0</v>
      </c>
      <c r="DO73" s="12">
        <f>DO$4 * IF(AND(DN$4=1,DL$20=1), DY73, DW73)</f>
        <v>0</v>
      </c>
      <c r="DP73" s="12">
        <f>DP$4 * IF(AND(DO$4=1,DL$20=1), DY73, DW73)</f>
        <v>0</v>
      </c>
      <c r="DQ73" s="12">
        <f>DQ$4 * IF(AND(DP$4=1,DL$20=1), DY73, DW73)</f>
        <v>0</v>
      </c>
      <c r="DR73" s="12">
        <f>DR$4 * IF(AND(DQ$4=1,DL$20=1), DY73, DW73)</f>
        <v>0</v>
      </c>
      <c r="DS73" s="12">
        <f>DS$4 * IF(AND(DR$4=1,DL$20=1), DY73, DW73)</f>
        <v>0</v>
      </c>
      <c r="DT73" s="12">
        <f>DT$4 * IF(AND(DS$4=1,DL$20=1), DY73, DW73)</f>
        <v>0</v>
      </c>
      <c r="DV73" s="16" t="s">
        <v>1304</v>
      </c>
      <c r="DW73">
        <f>_xlfn.XLOOKUP(DV73,'KPI Impacts'!$B$2:$H$2,'KPI Impacts'!$B73:$H73)</f>
        <v>0</v>
      </c>
      <c r="DX73" s="35" t="s">
        <v>1304</v>
      </c>
      <c r="DY73">
        <f>_xlfn.XLOOKUP(DX73,'KPI Impacts'!$B$2:$H$2,'KPI Impacts'!$B73:$H73)</f>
        <v>0</v>
      </c>
      <c r="EB73" s="12">
        <f>EB$4*EM73</f>
        <v>0</v>
      </c>
      <c r="EC73" s="12">
        <f>EC$4 * IF(AND(EB$4=1,EB$20=1), EO73, EM73)</f>
        <v>0</v>
      </c>
      <c r="ED73" s="12">
        <f>ED$4 * IF(AND(EC$4=1,EB$20=1), EO73, EM73)</f>
        <v>0</v>
      </c>
      <c r="EE73" s="12">
        <f>EE$4 * IF(AND(ED$4=1,EB$20=1), EO73, EM73)</f>
        <v>0</v>
      </c>
      <c r="EF73" s="12">
        <f>EF$4 * IF(AND(EE$4=1,EB$20=1), EO73, EM73)</f>
        <v>0</v>
      </c>
      <c r="EG73" s="12">
        <f>EG$4 * IF(AND(EF$4=1,EB$20=1), EO73, EM73)</f>
        <v>0</v>
      </c>
      <c r="EH73" s="12">
        <f>EH$4 * IF(AND(EG$4=1,EB$20=1), EO73, EM73)</f>
        <v>0</v>
      </c>
      <c r="EI73" s="12">
        <f>EI$4 * IF(AND(EH$4=1,EB$20=1), EO73, EM73)</f>
        <v>0</v>
      </c>
      <c r="EJ73" s="12">
        <f>EJ$4 * IF(AND(EI$4=1,EB$20=1), EO73, EM73)</f>
        <v>0</v>
      </c>
      <c r="EL73" s="16" t="s">
        <v>1304</v>
      </c>
      <c r="EM73">
        <f>_xlfn.XLOOKUP(EL73,'KPI Impacts'!$B$2:$H$2,'KPI Impacts'!$B73:$H73)</f>
        <v>0</v>
      </c>
      <c r="EN73" s="35" t="s">
        <v>1304</v>
      </c>
      <c r="EO73">
        <f>_xlfn.XLOOKUP(EN73,'KPI Impacts'!$B$2:$H$2,'KPI Impacts'!$B73:$H73)</f>
        <v>0</v>
      </c>
      <c r="ER73" s="12">
        <f>ER$4*FC73</f>
        <v>0</v>
      </c>
      <c r="ES73" s="12">
        <f>ES$4 * IF(AND(ER$4=1,ER$20=1), FE73, FC73)</f>
        <v>0</v>
      </c>
      <c r="ET73" s="12">
        <f>ET$4 * IF(AND(ES$4=1,ER$20=1), FE73, FC73)</f>
        <v>0</v>
      </c>
      <c r="EU73" s="12">
        <f>EU$4 * IF(AND(ET$4=1,ER$20=1), FE73, FC73)</f>
        <v>0</v>
      </c>
      <c r="EV73" s="12">
        <f>EV$4 * IF(AND(EU$4=1,ER$20=1), FE73, FC73)</f>
        <v>0</v>
      </c>
      <c r="EW73" s="12">
        <f>EW$4 * IF(AND(EV$4=1,ER$20=1), FE73, FC73)</f>
        <v>0</v>
      </c>
      <c r="EX73" s="12">
        <f>EX$4 * IF(AND(EW$4=1,ER$20=1), FE73, FC73)</f>
        <v>0</v>
      </c>
      <c r="EY73" s="12">
        <f>EY$4 * IF(AND(EX$4=1,ER$20=1), FE73, FC73)</f>
        <v>0</v>
      </c>
      <c r="EZ73" s="12">
        <f>EZ$4 * IF(AND(EY$4=1,ER$20=1), FE73, FC73)</f>
        <v>0</v>
      </c>
      <c r="FB73" s="16" t="s">
        <v>1304</v>
      </c>
      <c r="FC73">
        <f>_xlfn.XLOOKUP(FB73,'KPI Impacts'!$B$2:$H$2,'KPI Impacts'!$B73:$H73)</f>
        <v>0</v>
      </c>
      <c r="FD73" s="35" t="s">
        <v>1304</v>
      </c>
      <c r="FE73">
        <f>_xlfn.XLOOKUP(FD73,'KPI Impacts'!$B$2:$H$2,'KPI Impacts'!$B73:$H73)</f>
        <v>0</v>
      </c>
      <c r="FH73" s="12">
        <f>FH$4*FS73</f>
        <v>0</v>
      </c>
      <c r="FI73" s="12">
        <f>FI$4 * IF(AND(FH$4=1,FH$20=1), FU73, FS73)</f>
        <v>0</v>
      </c>
      <c r="FJ73" s="12">
        <f>FJ$4 * IF(AND(FI$4=1,FH$20=1), FU73, FS73)</f>
        <v>0</v>
      </c>
      <c r="FK73" s="12">
        <f>FK$4 * IF(AND(FJ$4=1,FH$20=1), FU73, FS73)</f>
        <v>0</v>
      </c>
      <c r="FL73" s="12">
        <f>FL$4 * IF(AND(FK$4=1,FH$20=1), FU73, FS73)</f>
        <v>0</v>
      </c>
      <c r="FM73" s="12">
        <f>FM$4 * IF(AND(FL$4=1,FH$20=1), FU73, FS73)</f>
        <v>0</v>
      </c>
      <c r="FN73" s="12">
        <f>FN$4 * IF(AND(FM$4=1,FH$20=1), FU73, FS73)</f>
        <v>0</v>
      </c>
      <c r="FO73" s="12">
        <f>FO$4 * IF(AND(FN$4=1,FH$20=1), FU73, FS73)</f>
        <v>0</v>
      </c>
      <c r="FP73" s="12">
        <f>FP$4 * IF(AND(FO$4=1,FH$20=1), FU73, FS73)</f>
        <v>0</v>
      </c>
      <c r="FR73" s="16" t="s">
        <v>1304</v>
      </c>
      <c r="FS73">
        <f>_xlfn.XLOOKUP(FR73,'KPI Impacts'!$B$2:$H$2,'KPI Impacts'!$B73:$H73)</f>
        <v>0</v>
      </c>
      <c r="FT73" s="35" t="s">
        <v>1304</v>
      </c>
      <c r="FU73">
        <f>_xlfn.XLOOKUP(FT73,'KPI Impacts'!$B$2:$H$2,'KPI Impacts'!$B73:$H73)</f>
        <v>0</v>
      </c>
      <c r="FX73" s="12">
        <f>FX$4*GI73</f>
        <v>0</v>
      </c>
      <c r="FY73" s="12">
        <f>FY$4 * IF(AND(FX$4=1,FX$20=1), GK73, GI73)</f>
        <v>0</v>
      </c>
      <c r="FZ73" s="12">
        <f>FZ$4 * IF(AND(FY$4=1,FX$20=1), GK73, GI73)</f>
        <v>0</v>
      </c>
      <c r="GA73" s="12">
        <f>GA$4 * IF(AND(FZ$4=1,FX$20=1), GK73, GI73)</f>
        <v>0</v>
      </c>
      <c r="GB73" s="12">
        <f>GB$4 * IF(AND(GA$4=1,FX$20=1), GK73, GI73)</f>
        <v>0</v>
      </c>
      <c r="GC73" s="12">
        <f>GC$4 * IF(AND(GB$4=1,FX$20=1), GK73, GI73)</f>
        <v>0</v>
      </c>
      <c r="GD73" s="12">
        <f>GD$4 * IF(AND(GC$4=1,FX$20=1), GK73, GI73)</f>
        <v>0</v>
      </c>
      <c r="GE73" s="12">
        <f>GE$4 * IF(AND(GD$4=1,FX$20=1), GK73, GI73)</f>
        <v>0</v>
      </c>
      <c r="GF73" s="12">
        <f>GF$4 * IF(AND(GE$4=1,FX$20=1), GK73, GI73)</f>
        <v>0</v>
      </c>
      <c r="GH73" s="16" t="s">
        <v>1304</v>
      </c>
      <c r="GI73">
        <f>_xlfn.XLOOKUP(GH73,'KPI Impacts'!$B$2:$H$2,'KPI Impacts'!$B73:$H73)</f>
        <v>0</v>
      </c>
      <c r="GJ73" s="35" t="s">
        <v>1304</v>
      </c>
      <c r="GK73">
        <f>_xlfn.XLOOKUP(GJ73,'KPI Impacts'!$B$2:$H$2,'KPI Impacts'!$B73:$H73)</f>
        <v>0</v>
      </c>
      <c r="GN73" s="12">
        <f>GN$4*GY73</f>
        <v>0</v>
      </c>
      <c r="GO73" s="12">
        <f>GO$4 * IF(AND(GN$4=1,GN$20=1), HA73, GY73)</f>
        <v>0</v>
      </c>
      <c r="GP73" s="12">
        <f>GP$4 * IF(AND(GO$4=1,GN$20=1), HA73, GY73)</f>
        <v>0</v>
      </c>
      <c r="GQ73" s="12">
        <f>GQ$4 * IF(AND(GP$4=1,GN$20=1), HA73, GY73)</f>
        <v>0</v>
      </c>
      <c r="GR73" s="12">
        <f>GR$4 * IF(AND(GQ$4=1,GN$20=1), HA73, GY73)</f>
        <v>0</v>
      </c>
      <c r="GS73" s="12">
        <f>GS$4 * IF(AND(GR$4=1,GN$20=1), HA73, GY73)</f>
        <v>0</v>
      </c>
      <c r="GT73" s="12">
        <f>GT$4 * IF(AND(GS$4=1,GN$20=1), HA73, GY73)</f>
        <v>0</v>
      </c>
      <c r="GU73" s="12">
        <f>GU$4 * IF(AND(GT$4=1,GN$20=1), HA73, GY73)</f>
        <v>0</v>
      </c>
      <c r="GV73" s="12">
        <f>GV$4 * IF(AND(GU$4=1,GN$20=1), HA73, GY73)</f>
        <v>0</v>
      </c>
      <c r="GX73" s="16" t="s">
        <v>1304</v>
      </c>
      <c r="GY73">
        <f>_xlfn.XLOOKUP(GX73,'KPI Impacts'!$B$2:$H$2,'KPI Impacts'!$B73:$H73)</f>
        <v>0</v>
      </c>
      <c r="GZ73" s="35" t="s">
        <v>1304</v>
      </c>
      <c r="HA73">
        <f>_xlfn.XLOOKUP(GZ73,'KPI Impacts'!$B$2:$H$2,'KPI Impacts'!$B73:$H73)</f>
        <v>0</v>
      </c>
      <c r="HD73" s="12">
        <f>HD$4*HO73</f>
        <v>0</v>
      </c>
      <c r="HE73" s="12">
        <f>HE$4 * IF(AND(HD$4=1,HD$20=1), HQ73, HO73)</f>
        <v>0</v>
      </c>
      <c r="HF73" s="12">
        <f>HF$4 * IF(AND(HE$4=1,HD$20=1), HQ73, HO73)</f>
        <v>0</v>
      </c>
      <c r="HG73" s="12">
        <f>HG$4 * IF(AND(HF$4=1,HD$20=1), HQ73, HO73)</f>
        <v>0</v>
      </c>
      <c r="HH73" s="12">
        <f>HH$4 * IF(AND(HG$4=1,HD$20=1), HQ73, HO73)</f>
        <v>0</v>
      </c>
      <c r="HI73" s="12">
        <f>HI$4 * IF(AND(HH$4=1,HD$20=1), HQ73, HO73)</f>
        <v>0</v>
      </c>
      <c r="HJ73" s="12">
        <f>HJ$4 * IF(AND(HI$4=1,HD$20=1), HQ73, HO73)</f>
        <v>0</v>
      </c>
      <c r="HK73" s="12">
        <f>HK$4 * IF(AND(HJ$4=1,HD$20=1), HQ73, HO73)</f>
        <v>0</v>
      </c>
      <c r="HL73" s="12">
        <f>HL$4 * IF(AND(HK$4=1,HD$20=1), HQ73, HO73)</f>
        <v>0</v>
      </c>
      <c r="HN73" s="16" t="s">
        <v>1304</v>
      </c>
      <c r="HO73">
        <f>_xlfn.XLOOKUP(HN73,'KPI Impacts'!$B$2:$H$2,'KPI Impacts'!$B73:$H73)</f>
        <v>0</v>
      </c>
      <c r="HP73" s="35" t="s">
        <v>1304</v>
      </c>
      <c r="HQ73">
        <f>_xlfn.XLOOKUP(HP73,'KPI Impacts'!$B$2:$H$2,'KPI Impacts'!$B73:$H73)</f>
        <v>0</v>
      </c>
      <c r="HT73" s="12">
        <f>HT$4*IE73</f>
        <v>0</v>
      </c>
      <c r="HU73" s="12">
        <f>HU$4 * IF(AND(HT$4=1,HT$20=1), IG73, IE73)</f>
        <v>0</v>
      </c>
      <c r="HV73" s="12">
        <f>HV$4 * IF(AND(HU$4=1,HT$20=1), IG73, IE73)</f>
        <v>0</v>
      </c>
      <c r="HW73" s="12">
        <f>HW$4 * IF(AND(HV$4=1,HT$20=1), IG73, IE73)</f>
        <v>0</v>
      </c>
      <c r="HX73" s="12">
        <f>HX$4 * IF(AND(HW$4=1,HT$20=1), IG73, IE73)</f>
        <v>0</v>
      </c>
      <c r="HY73" s="12">
        <f>HY$4 * IF(AND(HX$4=1,HT$20=1), IG73, IE73)</f>
        <v>0</v>
      </c>
      <c r="HZ73" s="12">
        <f>HZ$4 * IF(AND(HY$4=1,HT$20=1), IG73, IE73)</f>
        <v>0</v>
      </c>
      <c r="IA73" s="12">
        <f>IA$4 * IF(AND(HZ$4=1,HT$20=1), IG73, IE73)</f>
        <v>0</v>
      </c>
      <c r="IB73" s="12">
        <f>IB$4 * IF(AND(IA$4=1,HT$20=1), IG73, IE73)</f>
        <v>0</v>
      </c>
      <c r="ID73" s="16" t="s">
        <v>1304</v>
      </c>
      <c r="IE73">
        <f>_xlfn.XLOOKUP(ID73,'KPI Impacts'!$B$2:$H$2,'KPI Impacts'!$B73:$H73)</f>
        <v>0</v>
      </c>
      <c r="IF73" s="9" t="s">
        <v>1304</v>
      </c>
      <c r="IG73">
        <f>_xlfn.XLOOKUP(IF73,'KPI Impacts'!$B$2:$H$2,'KPI Impacts'!$B73:$H73)</f>
        <v>0</v>
      </c>
      <c r="IJ73" s="12">
        <f>IJ$4*IU73</f>
        <v>0</v>
      </c>
      <c r="IK73" s="12">
        <f>IK$4 * IF(AND(IJ$4=1,IJ$20=1), IW73, IU73)</f>
        <v>0</v>
      </c>
      <c r="IL73" s="12">
        <f>IL$4 * IF(AND(IK$4=1,IJ$20=1), IW73, IU73)</f>
        <v>0</v>
      </c>
      <c r="IM73" s="12">
        <f>IM$4 * IF(AND(IL$4=1,IJ$20=1), IW73, IU73)</f>
        <v>0</v>
      </c>
      <c r="IN73" s="12">
        <f>IN$4 * IF(AND(IM$4=1,IJ$20=1), IW73, IU73)</f>
        <v>0</v>
      </c>
      <c r="IO73" s="12">
        <f>IO$4 * IF(AND(IN$4=1,IJ$20=1), IW73, IU73)</f>
        <v>0</v>
      </c>
      <c r="IP73" s="12">
        <f>IP$4 * IF(AND(IO$4=1,IJ$20=1), IW73, IU73)</f>
        <v>0</v>
      </c>
      <c r="IQ73" s="12">
        <f>IQ$4 * IF(AND(IP$4=1,IJ$20=1), IW73, IU73)</f>
        <v>0</v>
      </c>
      <c r="IR73" s="12">
        <f>IR$4 * IF(AND(IQ$4=1,IJ$20=1), IW73, IU73)</f>
        <v>0</v>
      </c>
      <c r="IT73" s="16" t="s">
        <v>1304</v>
      </c>
      <c r="IU73">
        <f>_xlfn.XLOOKUP(IT73,'KPI Impacts'!$B$2:$H$2,'KPI Impacts'!$B73:$H73)</f>
        <v>0</v>
      </c>
      <c r="IV73" s="9" t="s">
        <v>1304</v>
      </c>
      <c r="IW73">
        <f>_xlfn.XLOOKUP(IV73,'KPI Impacts'!$B$2:$H$2,'KPI Impacts'!$B73:$H73)</f>
        <v>0</v>
      </c>
      <c r="IZ73" s="12">
        <f>IZ$4*JK73</f>
        <v>0</v>
      </c>
      <c r="JA73" s="12">
        <f>JA$4 * IF(AND(IZ$4=1,IZ$20=1), JM73, JK73)</f>
        <v>0</v>
      </c>
      <c r="JB73" s="12">
        <f>JB$4 * IF(AND(JA$4=1,IZ$20=1), JM73, JK73)</f>
        <v>0</v>
      </c>
      <c r="JC73" s="12">
        <f>JC$4 * IF(AND(JB$4=1,IZ$20=1), JM73, JK73)</f>
        <v>0</v>
      </c>
      <c r="JD73" s="12">
        <f>JD$4 * IF(AND(JC$4=1,IZ$20=1), JM73, JK73)</f>
        <v>0</v>
      </c>
      <c r="JE73" s="12">
        <f>JE$4 * IF(AND(JD$4=1,IZ$20=1), JM73, JK73)</f>
        <v>0</v>
      </c>
      <c r="JF73" s="12">
        <f>JF$4 * IF(AND(JE$4=1,IZ$20=1), JM73, JK73)</f>
        <v>0</v>
      </c>
      <c r="JG73" s="12">
        <f>JG$4 * IF(AND(JF$4=1,IZ$20=1), JM73, JK73)</f>
        <v>0</v>
      </c>
      <c r="JH73" s="12">
        <f>JH$4 * IF(AND(JG$4=1,IZ$20=1), JM73, JK73)</f>
        <v>0</v>
      </c>
      <c r="JJ73" t="s">
        <v>1304</v>
      </c>
      <c r="JK73">
        <f>_xlfn.XLOOKUP(JJ73,'KPI Impacts'!$B$2:$H$2,'KPI Impacts'!$B73:$H73)</f>
        <v>0</v>
      </c>
      <c r="JL73" s="9" t="s">
        <v>1304</v>
      </c>
      <c r="JM73">
        <f>_xlfn.XLOOKUP(JL73,'KPI Impacts'!$B$2:$H$2,'KPI Impacts'!$B73:$H73)</f>
        <v>0</v>
      </c>
      <c r="JP73" s="12">
        <f>JP$4*KA73</f>
        <v>0</v>
      </c>
      <c r="JQ73" s="12">
        <f>JQ$4 * IF(AND(JP$4=1,JP$20=1), KC73, KA73)</f>
        <v>0</v>
      </c>
      <c r="JR73" s="12">
        <f>JR$4 * IF(AND(JQ$4=1,JP$20=1), KC73, KA73)</f>
        <v>0</v>
      </c>
      <c r="JS73" s="12">
        <f>JS$4 * IF(AND(JR$4=1,JP$20=1), KC73, KA73)</f>
        <v>0</v>
      </c>
      <c r="JT73" s="12">
        <f>JT$4 * IF(AND(JS$4=1,JP$20=1), KC73, KA73)</f>
        <v>0</v>
      </c>
      <c r="JU73" s="12">
        <f>JU$4 * IF(AND(JT$4=1,JP$20=1), KC73, KA73)</f>
        <v>0</v>
      </c>
      <c r="JV73" s="12">
        <f>JV$4 * IF(AND(JU$4=1,JP$20=1), KC73, KA73)</f>
        <v>0</v>
      </c>
      <c r="JW73" s="12">
        <f>JW$4 * IF(AND(JV$4=1,JP$20=1), KC73, KA73)</f>
        <v>0</v>
      </c>
      <c r="JX73" s="12">
        <f>JX$4 * IF(AND(JW$4=1,JP$20=1), KC73, KA73)</f>
        <v>0</v>
      </c>
      <c r="JZ73" t="s">
        <v>1304</v>
      </c>
      <c r="KA73">
        <f>_xlfn.XLOOKUP(JZ73,'KPI Impacts'!$B$2:$H$2,'KPI Impacts'!$B73:$H73)</f>
        <v>0</v>
      </c>
      <c r="KB73" s="9" t="s">
        <v>1304</v>
      </c>
      <c r="KC73">
        <f>_xlfn.XLOOKUP(KB73,'KPI Impacts'!$B$2:$H$2,'KPI Impacts'!$B73:$H73)</f>
        <v>0</v>
      </c>
      <c r="KF73" s="12">
        <f>KF$4*KQ73</f>
        <v>0</v>
      </c>
      <c r="KG73" s="12">
        <f>KG$4 * IF(AND(KF$4=1,KF$20=1), KS73, KQ73)</f>
        <v>0</v>
      </c>
      <c r="KH73" s="12">
        <f>KH$4 * IF(AND(KG$4=1,KF$20=1), KS73, KQ73)</f>
        <v>0</v>
      </c>
      <c r="KI73" s="12">
        <f>KI$4 * IF(AND(KH$4=1,KF$20=1), KS73, KQ73)</f>
        <v>0</v>
      </c>
      <c r="KJ73" s="12">
        <f>KJ$4 * IF(AND(KI$4=1,KF$20=1), KS73, KQ73)</f>
        <v>0</v>
      </c>
      <c r="KK73" s="12">
        <f>KK$4 * IF(AND(KJ$4=1,KF$20=1), KS73, KQ73)</f>
        <v>0</v>
      </c>
      <c r="KL73" s="12">
        <f>KL$4 * IF(AND(KK$4=1,KF$20=1), KS73, KQ73)</f>
        <v>0</v>
      </c>
      <c r="KM73" s="12">
        <f>KM$4 * IF(AND(KL$4=1,KF$20=1), KS73, KQ73)</f>
        <v>0</v>
      </c>
      <c r="KN73" s="12">
        <f>KN$4 * IF(AND(KM$4=1,KF$20=1), KS73, KQ73)</f>
        <v>0</v>
      </c>
      <c r="KP73" t="s">
        <v>1304</v>
      </c>
      <c r="KQ73">
        <f>_xlfn.XLOOKUP(KP73,'KPI Impacts'!$B$2:$H$2,'KPI Impacts'!$B73:$H73)</f>
        <v>0</v>
      </c>
      <c r="KR73" s="9" t="s">
        <v>1304</v>
      </c>
      <c r="KS73">
        <f>_xlfn.XLOOKUP(KR73,'KPI Impacts'!$B$2:$H$2,'KPI Impacts'!$B73:$H73)</f>
        <v>0</v>
      </c>
      <c r="KV73" s="12">
        <f>KV$4*LG73</f>
        <v>0</v>
      </c>
      <c r="KW73" s="12">
        <f>KW$4 * IF(AND(KV$4=1,KV$20=1), LI73, LG73)</f>
        <v>0</v>
      </c>
      <c r="KX73" s="12">
        <f>KX$4 * IF(AND(KW$4=1,KV$20=1), LI73, LG73)</f>
        <v>0</v>
      </c>
      <c r="KY73" s="12">
        <f>KY$4 * IF(AND(KX$4=1,KV$20=1), LI73, LG73)</f>
        <v>0</v>
      </c>
      <c r="KZ73" s="12">
        <f>KZ$4 * IF(AND(KY$4=1,KV$20=1), LI73, LG73)</f>
        <v>0</v>
      </c>
      <c r="LA73" s="12">
        <f>LA$4 * IF(AND(KZ$4=1,KV$20=1), LI73, LG73)</f>
        <v>0</v>
      </c>
      <c r="LB73" s="12">
        <f>LB$4 * IF(AND(LA$4=1,KV$20=1), LI73, LG73)</f>
        <v>0</v>
      </c>
      <c r="LC73" s="12">
        <f>LC$4 * IF(AND(LB$4=1,KV$20=1), LI73, LG73)</f>
        <v>0</v>
      </c>
      <c r="LD73" s="12">
        <f>LD$4 * IF(AND(LC$4=1,KV$20=1), LI73, LG73)</f>
        <v>0</v>
      </c>
      <c r="LF73" t="s">
        <v>1304</v>
      </c>
      <c r="LG73">
        <f>_xlfn.XLOOKUP(LF73,'KPI Impacts'!$B$2:$H$2,'KPI Impacts'!$B73:$H73)</f>
        <v>0</v>
      </c>
      <c r="LH73" s="9" t="s">
        <v>1304</v>
      </c>
      <c r="LI73">
        <f>_xlfn.XLOOKUP(LH73,'KPI Impacts'!$B$2:$H$2,'KPI Impacts'!$B73:$H73)</f>
        <v>0</v>
      </c>
      <c r="LL73" s="12">
        <f>LL$4*LW73</f>
        <v>0</v>
      </c>
      <c r="LM73" s="12">
        <f>LM$4 * IF(AND(LL$4=1,LL$20=1), LY73, LW73)</f>
        <v>0</v>
      </c>
      <c r="LN73" s="12">
        <f>LN$4 * IF(AND(LM$4=1,LL$20=1), LY73, LW73)</f>
        <v>0</v>
      </c>
      <c r="LO73" s="12">
        <f>LO$4 * IF(AND(LN$4=1,LL$20=1), LY73, LW73)</f>
        <v>0</v>
      </c>
      <c r="LP73" s="12">
        <f>LP$4 * IF(AND(LO$4=1,LL$20=1), LY73, LW73)</f>
        <v>0</v>
      </c>
      <c r="LQ73" s="12">
        <f>LQ$4 * IF(AND(LP$4=1,LL$20=1), LY73, LW73)</f>
        <v>0</v>
      </c>
      <c r="LR73" s="12">
        <f>LR$4 * IF(AND(LQ$4=1,LL$20=1), LY73, LW73)</f>
        <v>0</v>
      </c>
      <c r="LS73" s="12">
        <f>LS$4 * IF(AND(LR$4=1,LL$20=1), LY73, LW73)</f>
        <v>0</v>
      </c>
      <c r="LT73" s="12">
        <f>LT$4 * IF(AND(LS$4=1,LL$20=1), LY73, LW73)</f>
        <v>0</v>
      </c>
      <c r="LV73" t="s">
        <v>1304</v>
      </c>
      <c r="LW73">
        <f>_xlfn.XLOOKUP(LV73,'KPI Impacts'!$B$2:$H$2,'KPI Impacts'!$B73:$H73)</f>
        <v>0</v>
      </c>
      <c r="LX73" s="9" t="s">
        <v>1304</v>
      </c>
      <c r="LY73">
        <f>_xlfn.XLOOKUP(LX73,'KPI Impacts'!$B$2:$H$2,'KPI Impacts'!$B73:$H73)</f>
        <v>0</v>
      </c>
      <c r="MB73" s="12">
        <f>MB$4*MM73</f>
        <v>0</v>
      </c>
      <c r="MC73" s="12">
        <f>MC$4 * IF(AND(MB$4=1,MB$20=1), MO73, MM73)</f>
        <v>0</v>
      </c>
      <c r="MD73" s="12">
        <f>MD$4 * IF(AND(MC$4=1,MB$20=1), MO73, MM73)</f>
        <v>0</v>
      </c>
      <c r="ME73" s="12">
        <f>ME$4 * IF(AND(MD$4=1,MB$20=1), MO73, MM73)</f>
        <v>0</v>
      </c>
      <c r="MF73" s="12">
        <f>MF$4 * IF(AND(ME$4=1,MB$20=1), MO73, MM73)</f>
        <v>0</v>
      </c>
      <c r="MG73" s="12">
        <f>MG$4 * IF(AND(MF$4=1,MB$20=1), MO73, MM73)</f>
        <v>0</v>
      </c>
      <c r="MH73" s="12">
        <f>MH$4 * IF(AND(MG$4=1,MB$20=1), MO73, MM73)</f>
        <v>0</v>
      </c>
      <c r="MI73" s="12">
        <f>MI$4 * IF(AND(MH$4=1,MB$20=1), MO73, MM73)</f>
        <v>0</v>
      </c>
      <c r="MJ73" s="12">
        <f>MJ$4 * IF(AND(MI$4=1,MB$20=1), MO73, MM73)</f>
        <v>0</v>
      </c>
      <c r="ML73" t="s">
        <v>1304</v>
      </c>
      <c r="MM73">
        <f>_xlfn.XLOOKUP(ML73,'KPI Impacts'!$B$2:$H$2,'KPI Impacts'!$B73:$H73)</f>
        <v>0</v>
      </c>
      <c r="MN73" s="9" t="s">
        <v>1304</v>
      </c>
      <c r="MO73">
        <f>_xlfn.XLOOKUP(MN73,'KPI Impacts'!$B$2:$H$2,'KPI Impacts'!$B73:$H73)</f>
        <v>0</v>
      </c>
      <c r="MR73" s="12">
        <f>MR$4*NC73</f>
        <v>0</v>
      </c>
      <c r="MS73" s="12">
        <f>MS$4 * IF(AND(MR$4=1,MR$20=1), NE73, NC73)</f>
        <v>0</v>
      </c>
      <c r="MT73" s="12">
        <f>MT$4 * IF(AND(MS$4=1,MR$20=1), NE73, NC73)</f>
        <v>0</v>
      </c>
      <c r="MU73" s="12">
        <f>MU$4 * IF(AND(MT$4=1,MR$20=1), NE73, NC73)</f>
        <v>0</v>
      </c>
      <c r="MV73" s="12">
        <f>MV$4 * IF(AND(MU$4=1,MR$20=1), NE73, NC73)</f>
        <v>0</v>
      </c>
      <c r="MW73" s="12">
        <f>MW$4 * IF(AND(MV$4=1,MR$20=1), NE73, NC73)</f>
        <v>0</v>
      </c>
      <c r="MX73" s="12">
        <f>MX$4 * IF(AND(MW$4=1,MR$20=1), NE73, NC73)</f>
        <v>0</v>
      </c>
      <c r="MY73" s="12">
        <f>MY$4 * IF(AND(MX$4=1,MR$20=1), NE73, NC73)</f>
        <v>0</v>
      </c>
      <c r="MZ73" s="12">
        <f>MZ$4 * IF(AND(MY$4=1,MR$20=1), NE73, NC73)</f>
        <v>0</v>
      </c>
      <c r="NB73" t="s">
        <v>1304</v>
      </c>
      <c r="NC73">
        <f>_xlfn.XLOOKUP(NB73,'KPI Impacts'!$B$2:$H$2,'KPI Impacts'!$B73:$H73)</f>
        <v>0</v>
      </c>
      <c r="ND73" s="9" t="s">
        <v>1304</v>
      </c>
      <c r="NE73">
        <f>_xlfn.XLOOKUP(ND73,'KPI Impacts'!$B$2:$H$2,'KPI Impacts'!$B73:$H73)</f>
        <v>0</v>
      </c>
      <c r="NH73" s="12">
        <f>NH$4*NS73</f>
        <v>0</v>
      </c>
      <c r="NI73" s="12">
        <f>NI$4 * IF(AND(NH$4=1,NH$20=1), NU73, NS73)</f>
        <v>0</v>
      </c>
      <c r="NJ73" s="12">
        <f>NJ$4 * IF(AND(NI$4=1,NH$20=1), NU73, NS73)</f>
        <v>0</v>
      </c>
      <c r="NK73" s="12">
        <f>NK$4 * IF(AND(NJ$4=1,NH$20=1), NU73, NS73)</f>
        <v>0</v>
      </c>
      <c r="NL73" s="12">
        <f>NL$4 * IF(AND(NK$4=1,NH$20=1), NU73, NS73)</f>
        <v>0</v>
      </c>
      <c r="NM73" s="12">
        <f>NM$4 * IF(AND(NL$4=1,NH$20=1), NU73, NS73)</f>
        <v>0</v>
      </c>
      <c r="NN73" s="12">
        <f>NN$4 * IF(AND(NM$4=1,NH$20=1), NU73, NS73)</f>
        <v>0</v>
      </c>
      <c r="NO73" s="12">
        <f>NO$4 * IF(AND(NN$4=1,NH$20=1), NU73, NS73)</f>
        <v>0</v>
      </c>
      <c r="NP73" s="12">
        <f>NP$4 * IF(AND(NO$4=1,NH$20=1), NU73, NS73)</f>
        <v>0</v>
      </c>
      <c r="NR73" t="s">
        <v>1304</v>
      </c>
      <c r="NS73">
        <f>_xlfn.XLOOKUP(NR73,'KPI Impacts'!$B$2:$H$2,'KPI Impacts'!$B73:$H73)</f>
        <v>0</v>
      </c>
      <c r="NT73" s="9" t="s">
        <v>1304</v>
      </c>
      <c r="NU73">
        <f>_xlfn.XLOOKUP(NT73,'KPI Impacts'!$B$2:$H$2,'KPI Impacts'!$B73:$H73)</f>
        <v>0</v>
      </c>
      <c r="NX73" s="12">
        <f>NX$4*OI73</f>
        <v>0</v>
      </c>
      <c r="NY73" s="12">
        <f>NY$4 * IF(AND(NX$4=1,NX$20=1), OK73, OI73)</f>
        <v>0</v>
      </c>
      <c r="NZ73" s="12">
        <f>NZ$4 * IF(AND(NY$4=1,NX$20=1), OK73, OI73)</f>
        <v>0</v>
      </c>
      <c r="OA73" s="12">
        <f>OA$4 * IF(AND(NZ$4=1,NX$20=1), OK73, OI73)</f>
        <v>0</v>
      </c>
      <c r="OB73" s="12">
        <f>OB$4 * IF(AND(OA$4=1,NX$20=1), OK73, OI73)</f>
        <v>0</v>
      </c>
      <c r="OC73" s="12">
        <f>OC$4 * IF(AND(OB$4=1,NX$20=1), OK73, OI73)</f>
        <v>0</v>
      </c>
      <c r="OD73" s="12">
        <f>OD$4 * IF(AND(OC$4=1,NX$20=1), OK73, OI73)</f>
        <v>0</v>
      </c>
      <c r="OE73" s="12">
        <f>OE$4 * IF(AND(OD$4=1,NX$20=1), OK73, OI73)</f>
        <v>0</v>
      </c>
      <c r="OF73" s="12">
        <f>OF$4 * IF(AND(OE$4=1,NX$20=1), OK73, OI73)</f>
        <v>0</v>
      </c>
      <c r="OH73" t="s">
        <v>1304</v>
      </c>
      <c r="OI73">
        <f>_xlfn.XLOOKUP(OH73,'KPI Impacts'!$B$2:$H$2,'KPI Impacts'!$B73:$H73)</f>
        <v>0</v>
      </c>
      <c r="OJ73" s="9" t="s">
        <v>1304</v>
      </c>
      <c r="OK73">
        <f>_xlfn.XLOOKUP(OJ73,'KPI Impacts'!$B$2:$H$2,'KPI Impacts'!$B73:$H73)</f>
        <v>0</v>
      </c>
    </row>
    <row r="74" spans="1:401" x14ac:dyDescent="0.2">
      <c r="A74" s="9" t="s">
        <v>1964</v>
      </c>
      <c r="B74" s="12">
        <f t="shared" si="509"/>
        <v>0</v>
      </c>
      <c r="C74" s="12">
        <f t="shared" si="509"/>
        <v>0</v>
      </c>
      <c r="D74" s="12">
        <f t="shared" si="509"/>
        <v>0</v>
      </c>
      <c r="E74" s="12">
        <f t="shared" si="509"/>
        <v>0</v>
      </c>
      <c r="F74" s="12">
        <f t="shared" si="509"/>
        <v>0</v>
      </c>
      <c r="G74" s="12">
        <f t="shared" si="509"/>
        <v>0</v>
      </c>
      <c r="H74" s="12">
        <f t="shared" si="509"/>
        <v>0</v>
      </c>
      <c r="I74" s="12">
        <f t="shared" si="509"/>
        <v>0</v>
      </c>
      <c r="J74" s="12">
        <f t="shared" si="509"/>
        <v>0</v>
      </c>
      <c r="P74" s="12" cm="1">
        <f t="array" ref="P74">_xlfn.SWITCH(P$4, 0,0, 1, AA74,2,AC74,3,AE74,0)</f>
        <v>0</v>
      </c>
      <c r="Q74" s="12" cm="1">
        <f t="array" ref="Q74">_xlfn.SWITCH(Q$4, 0,0, 1, AA74,2,AC74,3,AE74,0)+P74</f>
        <v>0</v>
      </c>
      <c r="R74" s="12" cm="1">
        <f t="array" ref="R74">_xlfn.SWITCH(R$4, 0,0, 1, AA74,2,AC74,3,AE74,0)+Q74</f>
        <v>0</v>
      </c>
      <c r="S74" s="12" cm="1">
        <f t="array" ref="S74">_xlfn.SWITCH(S$4, 0,0, 1, AA74,2,AC74,3,AE74,0)+R74</f>
        <v>0</v>
      </c>
      <c r="T74" s="12" cm="1">
        <f t="array" ref="T74">_xlfn.SWITCH(T$4, 0,0, 1, AA74,2,AC74,3,AE74,0)+S74</f>
        <v>0</v>
      </c>
      <c r="U74" s="12" cm="1">
        <f t="array" ref="U74">_xlfn.SWITCH(U$4, 0,0, 1, AA74,2,AC74,3,AE74,0)+T74</f>
        <v>0</v>
      </c>
      <c r="V74" s="12" cm="1">
        <f t="array" ref="V74">_xlfn.SWITCH(V$4, 0,0, 1, AA74,2,AC74,3,AE74,0)+U74</f>
        <v>0</v>
      </c>
      <c r="W74" s="12" cm="1">
        <f t="array" ref="W74">_xlfn.SWITCH(W$4, 0,0, 1, AA74,2,AC74,3,AE74,0)+V74</f>
        <v>0</v>
      </c>
      <c r="X74" s="12" cm="1">
        <f t="array" ref="X74">_xlfn.SWITCH(X$4, 0,0, 1, AA74,2,AC74,3,AE74,0)+W74</f>
        <v>0</v>
      </c>
      <c r="Z74" t="s">
        <v>1304</v>
      </c>
      <c r="AA74">
        <f>_xlfn.XLOOKUP(Z74,'KPI Impacts'!$K$2:$Q$2,'KPI Impacts'!$K74:$Q74)</f>
        <v>0</v>
      </c>
      <c r="AB74" t="s">
        <v>1304</v>
      </c>
      <c r="AC74">
        <f>_xlfn.XLOOKUP(AB74,'KPI Impacts'!$K$2:$Q$2,'KPI Impacts'!$K74:$Q74)</f>
        <v>0</v>
      </c>
      <c r="AD74" t="s">
        <v>1304</v>
      </c>
      <c r="AE74">
        <f>_xlfn.XLOOKUP(AD74,'KPI Impacts'!$K$2:$Q$2,'KPI Impacts'!$K74:$Q74)</f>
        <v>0</v>
      </c>
      <c r="AH74" s="12" cm="1">
        <f t="array" ref="AH74">_xlfn.SWITCH(AH$4, 0,0, 1, AS74,2,AU74,3,AW74,0)</f>
        <v>0</v>
      </c>
      <c r="AI74" s="12" cm="1">
        <f t="array" ref="AI74">_xlfn.SWITCH(AI$4, 0,0, 1, AS74,2,AU74,3,AW74,0)+AH74</f>
        <v>0</v>
      </c>
      <c r="AJ74" s="12" cm="1">
        <f t="array" ref="AJ74">_xlfn.SWITCH(AJ$4, 0,0, 1, AS74,2,AU74,3,AW74,0)+AI74</f>
        <v>0</v>
      </c>
      <c r="AK74" s="12" cm="1">
        <f t="array" ref="AK74">_xlfn.SWITCH(AK$4, 0,0, 1, AS74,2,AU74,3,AW74,0)+AJ74</f>
        <v>0</v>
      </c>
      <c r="AL74" s="12" cm="1">
        <f t="array" ref="AL74">_xlfn.SWITCH(AL$4, 0,0, 1, AS74,2,AU74,3,AW74,0)+AK74</f>
        <v>0</v>
      </c>
      <c r="AM74" s="12" cm="1">
        <f t="array" ref="AM74">_xlfn.SWITCH(AM$4, 0,0, 1, AS74,2,AU74,3,AW74,0)+AL74</f>
        <v>0</v>
      </c>
      <c r="AN74" s="12" cm="1">
        <f t="array" ref="AN74">_xlfn.SWITCH(AN$4, 0,0, 1, AS74,2,AU74,3,AW74,0)+AM74</f>
        <v>0</v>
      </c>
      <c r="AO74" s="12" cm="1">
        <f t="array" ref="AO74">_xlfn.SWITCH(AO$4, 0,0, 1, AS74,2,AU74,3,AW74,0)+AN74</f>
        <v>0</v>
      </c>
      <c r="AP74" s="12" cm="1">
        <f t="array" ref="AP74">_xlfn.SWITCH(AP$4, 0,0, 1, AS74,2,AU74,3,AW74,0)+AO74</f>
        <v>0</v>
      </c>
      <c r="AR74" t="s">
        <v>1304</v>
      </c>
      <c r="AS74">
        <f>_xlfn.XLOOKUP(AR74,'KPI Impacts'!$K$2:$Q$2,'KPI Impacts'!$K74:$Q74)</f>
        <v>0</v>
      </c>
      <c r="AT74" t="s">
        <v>1304</v>
      </c>
      <c r="AU74">
        <f>_xlfn.XLOOKUP(AT74,'KPI Impacts'!$K$2:$Q$2,'KPI Impacts'!$K74:$Q74)</f>
        <v>0</v>
      </c>
      <c r="AV74" t="s">
        <v>1304</v>
      </c>
      <c r="AW74">
        <f>_xlfn.XLOOKUP(AV74,'KPI Impacts'!$K$2:$Q$2,'KPI Impacts'!$K74:$Q74)</f>
        <v>0</v>
      </c>
      <c r="AZ74" s="12">
        <f>AZ$4*BK74</f>
        <v>0</v>
      </c>
      <c r="BA74" s="12">
        <f>BA$4 * IF(AND(AZ$4=1,AZ$20=1), BM74, BK74)</f>
        <v>0</v>
      </c>
      <c r="BB74" s="12">
        <f>BB$4 * IF(AND(BA$4=1,AZ$20=1), BM74, BK74)</f>
        <v>0</v>
      </c>
      <c r="BC74" s="12">
        <f>BC$4 * IF(AND(BB$4=1,AZ$20=1), BM74, BK74)</f>
        <v>0</v>
      </c>
      <c r="BD74" s="12">
        <f>BD$4 * IF(AND(BC$4=1,AZ$20=1), BM74, BK74)</f>
        <v>0</v>
      </c>
      <c r="BE74" s="12">
        <f>BE$4 * IF(AND(BD$4=1,AZ$20=1), BM74, BK74)</f>
        <v>0</v>
      </c>
      <c r="BF74" s="12">
        <f>BF$4 * IF(AND(BE$4=1,AZ$20=1), BM74, BK74)</f>
        <v>0</v>
      </c>
      <c r="BG74" s="12">
        <f>BG$4 * IF(AND(BF$4=1,AZ$20=1), BM74, BK74)</f>
        <v>0</v>
      </c>
      <c r="BH74" s="12">
        <f>BH$4 * IF(AND(BG$4=1,AZ$20=1), BM74, BK74)</f>
        <v>0</v>
      </c>
      <c r="BJ74" s="16" t="s">
        <v>1304</v>
      </c>
      <c r="BK74">
        <f>_xlfn.XLOOKUP(BJ74,'KPI Impacts'!$B$2:$H$2,'KPI Impacts'!$B74:$H74)</f>
        <v>0</v>
      </c>
      <c r="BL74" s="35" t="s">
        <v>1304</v>
      </c>
      <c r="BM74">
        <f>_xlfn.XLOOKUP(BL74,'KPI Impacts'!$B$2:$H$2,'KPI Impacts'!$B74:$H74)</f>
        <v>0</v>
      </c>
      <c r="BP74" s="12">
        <f>BP$4*CA74</f>
        <v>0</v>
      </c>
      <c r="BQ74" s="12">
        <f>BQ$4 * IF(AND(BP$4=1,BP$20=1), CC74, CA74)</f>
        <v>0</v>
      </c>
      <c r="BR74" s="12">
        <f>BR$4 * IF(AND(BQ$4=1,BP$20=1), CC74, CA74)</f>
        <v>0</v>
      </c>
      <c r="BS74" s="12">
        <f>BS$4 * IF(AND(BR$4=1,BP$20=1), CC74, CA74)</f>
        <v>0</v>
      </c>
      <c r="BT74" s="12">
        <f>BT$4 * IF(AND(BS$4=1,BP$20=1), CC74, CA74)</f>
        <v>0</v>
      </c>
      <c r="BU74" s="12">
        <f>BU$4 * IF(AND(BT$4=1,BP$20=1), CC74, CA74)</f>
        <v>0</v>
      </c>
      <c r="BV74" s="12">
        <f>BV$4 * IF(AND(BU$4=1,BP$20=1), CC74, CA74)</f>
        <v>0</v>
      </c>
      <c r="BW74" s="12">
        <f>BW$4 * IF(AND(BV$4=1,BP$20=1), CC74, CA74)</f>
        <v>0</v>
      </c>
      <c r="BX74" s="12">
        <f>BX$4 * IF(AND(BW$4=1,BP$20=1), CC74, CA74)</f>
        <v>0</v>
      </c>
      <c r="BZ74" s="16" t="s">
        <v>1304</v>
      </c>
      <c r="CA74">
        <f>_xlfn.XLOOKUP(BZ74,'KPI Impacts'!$B$2:$H$2,'KPI Impacts'!$B74:$H74)</f>
        <v>0</v>
      </c>
      <c r="CB74" s="35" t="s">
        <v>1304</v>
      </c>
      <c r="CC74">
        <f>_xlfn.XLOOKUP(CB74,'KPI Impacts'!$B$2:$H$2,'KPI Impacts'!$B74:$H74)</f>
        <v>0</v>
      </c>
      <c r="CF74" s="12">
        <f>CF$4*CQ74</f>
        <v>0</v>
      </c>
      <c r="CG74" s="12">
        <f>CG$4 * IF(AND(CF$4=1,CF$20=1), CS74, CQ74)</f>
        <v>0</v>
      </c>
      <c r="CH74" s="12">
        <f>CH$4 * IF(AND(CG$4=1,CF$20=1), CS74, CQ74)</f>
        <v>0</v>
      </c>
      <c r="CI74" s="12">
        <f>CI$4 * IF(AND(CH$4=1,CF$20=1), CS74, CQ74)</f>
        <v>0</v>
      </c>
      <c r="CJ74" s="12">
        <f>CJ$4 * IF(AND(CI$4=1,CF$20=1), CS74, CQ74)</f>
        <v>0</v>
      </c>
      <c r="CK74" s="12">
        <f>CK$4 * IF(AND(CJ$4=1,CF$20=1), CS74, CQ74)</f>
        <v>0</v>
      </c>
      <c r="CL74" s="12">
        <f>CL$4 * IF(AND(CK$4=1,CF$20=1), CS74, CQ74)</f>
        <v>0</v>
      </c>
      <c r="CM74" s="12">
        <f>CM$4 * IF(AND(CL$4=1,CF$20=1), CS74, CQ74)</f>
        <v>0</v>
      </c>
      <c r="CN74" s="12">
        <f>CN$4 * IF(AND(CM$4=1,CF$20=1), CS74, CQ74)</f>
        <v>0</v>
      </c>
      <c r="CP74" s="16" t="s">
        <v>1304</v>
      </c>
      <c r="CQ74">
        <f>_xlfn.XLOOKUP(CP74,'KPI Impacts'!$B$2:$H$2,'KPI Impacts'!$B74:$H74)</f>
        <v>0</v>
      </c>
      <c r="CR74" s="35" t="s">
        <v>1304</v>
      </c>
      <c r="CS74">
        <f>_xlfn.XLOOKUP(CR74,'KPI Impacts'!$B$2:$H$2,'KPI Impacts'!$B74:$H74)</f>
        <v>0</v>
      </c>
      <c r="CV74" s="12">
        <f>CV$4*DG74</f>
        <v>0</v>
      </c>
      <c r="CW74" s="12">
        <f>CW$4 * IF(AND(CV$4=1,CV$20=1), DI74, DG74)</f>
        <v>0</v>
      </c>
      <c r="CX74" s="12">
        <f>CX$4 * IF(AND(CW$4=1,CV$20=1), DI74, DG74)</f>
        <v>0</v>
      </c>
      <c r="CY74" s="12">
        <f>CY$4 * IF(AND(CX$4=1,CV$20=1), DI74, DG74)</f>
        <v>0</v>
      </c>
      <c r="CZ74" s="12">
        <f>CZ$4 * IF(AND(CY$4=1,CV$20=1), DI74, DG74)</f>
        <v>0</v>
      </c>
      <c r="DA74" s="12">
        <f>DA$4 * IF(AND(CZ$4=1,CV$20=1), DI74, DG74)</f>
        <v>0</v>
      </c>
      <c r="DB74" s="12">
        <f>DB$4 * IF(AND(DA$4=1,CV$20=1), DI74, DG74)</f>
        <v>0</v>
      </c>
      <c r="DC74" s="12">
        <f>DC$4 * IF(AND(DB$4=1,CV$20=1), DI74, DG74)</f>
        <v>0</v>
      </c>
      <c r="DD74" s="12">
        <f>DD$4 * IF(AND(DC$4=1,CV$20=1), DI74, DG74)</f>
        <v>0</v>
      </c>
      <c r="DF74" s="16" t="s">
        <v>1304</v>
      </c>
      <c r="DG74">
        <f>_xlfn.XLOOKUP(DF74,'KPI Impacts'!$B$2:$H$2,'KPI Impacts'!$B74:$H74)</f>
        <v>0</v>
      </c>
      <c r="DH74" s="35" t="s">
        <v>1304</v>
      </c>
      <c r="DI74">
        <f>_xlfn.XLOOKUP(DH74,'KPI Impacts'!$B$2:$H$2,'KPI Impacts'!$B74:$H74)</f>
        <v>0</v>
      </c>
      <c r="DL74" s="12">
        <f>DL$4*DW74</f>
        <v>0</v>
      </c>
      <c r="DM74" s="12">
        <f>DM$4 * IF(AND(DL$4=1,DL$20=1), DY74, DW74)</f>
        <v>0</v>
      </c>
      <c r="DN74" s="12">
        <f>DN$4 * IF(AND(DM$4=1,DL$20=1), DY74, DW74)</f>
        <v>0</v>
      </c>
      <c r="DO74" s="12">
        <f>DO$4 * IF(AND(DN$4=1,DL$20=1), DY74, DW74)</f>
        <v>0</v>
      </c>
      <c r="DP74" s="12">
        <f>DP$4 * IF(AND(DO$4=1,DL$20=1), DY74, DW74)</f>
        <v>0</v>
      </c>
      <c r="DQ74" s="12">
        <f>DQ$4 * IF(AND(DP$4=1,DL$20=1), DY74, DW74)</f>
        <v>0</v>
      </c>
      <c r="DR74" s="12">
        <f>DR$4 * IF(AND(DQ$4=1,DL$20=1), DY74, DW74)</f>
        <v>0</v>
      </c>
      <c r="DS74" s="12">
        <f>DS$4 * IF(AND(DR$4=1,DL$20=1), DY74, DW74)</f>
        <v>0</v>
      </c>
      <c r="DT74" s="12">
        <f>DT$4 * IF(AND(DS$4=1,DL$20=1), DY74, DW74)</f>
        <v>0</v>
      </c>
      <c r="DV74" s="16" t="s">
        <v>1304</v>
      </c>
      <c r="DW74">
        <f>_xlfn.XLOOKUP(DV74,'KPI Impacts'!$B$2:$H$2,'KPI Impacts'!$B74:$H74)</f>
        <v>0</v>
      </c>
      <c r="DX74" s="35" t="s">
        <v>1304</v>
      </c>
      <c r="DY74">
        <f>_xlfn.XLOOKUP(DX74,'KPI Impacts'!$B$2:$H$2,'KPI Impacts'!$B74:$H74)</f>
        <v>0</v>
      </c>
      <c r="EB74" s="12">
        <f>EB$4*EM74</f>
        <v>0</v>
      </c>
      <c r="EC74" s="12">
        <f>EC$4 * IF(AND(EB$4=1,EB$20=1), EO74, EM74)</f>
        <v>0</v>
      </c>
      <c r="ED74" s="12">
        <f>ED$4 * IF(AND(EC$4=1,EB$20=1), EO74, EM74)</f>
        <v>0</v>
      </c>
      <c r="EE74" s="12">
        <f>EE$4 * IF(AND(ED$4=1,EB$20=1), EO74, EM74)</f>
        <v>0</v>
      </c>
      <c r="EF74" s="12">
        <f>EF$4 * IF(AND(EE$4=1,EB$20=1), EO74, EM74)</f>
        <v>0</v>
      </c>
      <c r="EG74" s="12">
        <f>EG$4 * IF(AND(EF$4=1,EB$20=1), EO74, EM74)</f>
        <v>0</v>
      </c>
      <c r="EH74" s="12">
        <f>EH$4 * IF(AND(EG$4=1,EB$20=1), EO74, EM74)</f>
        <v>0</v>
      </c>
      <c r="EI74" s="12">
        <f>EI$4 * IF(AND(EH$4=1,EB$20=1), EO74, EM74)</f>
        <v>0</v>
      </c>
      <c r="EJ74" s="12">
        <f>EJ$4 * IF(AND(EI$4=1,EB$20=1), EO74, EM74)</f>
        <v>0</v>
      </c>
      <c r="EL74" s="16" t="s">
        <v>1304</v>
      </c>
      <c r="EM74">
        <f>_xlfn.XLOOKUP(EL74,'KPI Impacts'!$B$2:$H$2,'KPI Impacts'!$B74:$H74)</f>
        <v>0</v>
      </c>
      <c r="EN74" s="35" t="s">
        <v>1304</v>
      </c>
      <c r="EO74">
        <f>_xlfn.XLOOKUP(EN74,'KPI Impacts'!$B$2:$H$2,'KPI Impacts'!$B74:$H74)</f>
        <v>0</v>
      </c>
      <c r="ER74" s="12">
        <f>ER$4*FC74</f>
        <v>0</v>
      </c>
      <c r="ES74" s="12">
        <f>ES$4 * IF(AND(ER$4=1,ER$20=1), FE74, FC74)</f>
        <v>0</v>
      </c>
      <c r="ET74" s="12">
        <f>ET$4 * IF(AND(ES$4=1,ER$20=1), FE74, FC74)</f>
        <v>0</v>
      </c>
      <c r="EU74" s="12">
        <f>EU$4 * IF(AND(ET$4=1,ER$20=1), FE74, FC74)</f>
        <v>0</v>
      </c>
      <c r="EV74" s="12">
        <f>EV$4 * IF(AND(EU$4=1,ER$20=1), FE74, FC74)</f>
        <v>0</v>
      </c>
      <c r="EW74" s="12">
        <f>EW$4 * IF(AND(EV$4=1,ER$20=1), FE74, FC74)</f>
        <v>0</v>
      </c>
      <c r="EX74" s="12">
        <f>EX$4 * IF(AND(EW$4=1,ER$20=1), FE74, FC74)</f>
        <v>0</v>
      </c>
      <c r="EY74" s="12">
        <f>EY$4 * IF(AND(EX$4=1,ER$20=1), FE74, FC74)</f>
        <v>0</v>
      </c>
      <c r="EZ74" s="12">
        <f>EZ$4 * IF(AND(EY$4=1,ER$20=1), FE74, FC74)</f>
        <v>0</v>
      </c>
      <c r="FB74" s="16" t="s">
        <v>1304</v>
      </c>
      <c r="FC74">
        <f>_xlfn.XLOOKUP(FB74,'KPI Impacts'!$B$2:$H$2,'KPI Impacts'!$B74:$H74)</f>
        <v>0</v>
      </c>
      <c r="FD74" s="35" t="s">
        <v>1304</v>
      </c>
      <c r="FE74">
        <f>_xlfn.XLOOKUP(FD74,'KPI Impacts'!$B$2:$H$2,'KPI Impacts'!$B74:$H74)</f>
        <v>0</v>
      </c>
      <c r="FH74" s="12">
        <f>FH$4*FS74</f>
        <v>0</v>
      </c>
      <c r="FI74" s="12">
        <f>FI$4 * IF(AND(FH$4=1,FH$20=1), FU74, FS74)</f>
        <v>0</v>
      </c>
      <c r="FJ74" s="12">
        <f>FJ$4 * IF(AND(FI$4=1,FH$20=1), FU74, FS74)</f>
        <v>0</v>
      </c>
      <c r="FK74" s="12">
        <f>FK$4 * IF(AND(FJ$4=1,FH$20=1), FU74, FS74)</f>
        <v>0</v>
      </c>
      <c r="FL74" s="12">
        <f>FL$4 * IF(AND(FK$4=1,FH$20=1), FU74, FS74)</f>
        <v>0</v>
      </c>
      <c r="FM74" s="12">
        <f>FM$4 * IF(AND(FL$4=1,FH$20=1), FU74, FS74)</f>
        <v>0</v>
      </c>
      <c r="FN74" s="12">
        <f>FN$4 * IF(AND(FM$4=1,FH$20=1), FU74, FS74)</f>
        <v>0</v>
      </c>
      <c r="FO74" s="12">
        <f>FO$4 * IF(AND(FN$4=1,FH$20=1), FU74, FS74)</f>
        <v>0</v>
      </c>
      <c r="FP74" s="12">
        <f>FP$4 * IF(AND(FO$4=1,FH$20=1), FU74, FS74)</f>
        <v>0</v>
      </c>
      <c r="FR74" s="16" t="s">
        <v>1304</v>
      </c>
      <c r="FS74">
        <f>_xlfn.XLOOKUP(FR74,'KPI Impacts'!$B$2:$H$2,'KPI Impacts'!$B74:$H74)</f>
        <v>0</v>
      </c>
      <c r="FT74" s="35" t="s">
        <v>1304</v>
      </c>
      <c r="FU74">
        <f>_xlfn.XLOOKUP(FT74,'KPI Impacts'!$B$2:$H$2,'KPI Impacts'!$B74:$H74)</f>
        <v>0</v>
      </c>
      <c r="FX74" s="12">
        <f>FX$4*GI74</f>
        <v>0</v>
      </c>
      <c r="FY74" s="12">
        <f>FY$4 * IF(AND(FX$4=1,FX$20=1), GK74, GI74)</f>
        <v>0</v>
      </c>
      <c r="FZ74" s="12">
        <f>FZ$4 * IF(AND(FY$4=1,FX$20=1), GK74, GI74)</f>
        <v>0</v>
      </c>
      <c r="GA74" s="12">
        <f>GA$4 * IF(AND(FZ$4=1,FX$20=1), GK74, GI74)</f>
        <v>0</v>
      </c>
      <c r="GB74" s="12">
        <f>GB$4 * IF(AND(GA$4=1,FX$20=1), GK74, GI74)</f>
        <v>0</v>
      </c>
      <c r="GC74" s="12">
        <f>GC$4 * IF(AND(GB$4=1,FX$20=1), GK74, GI74)</f>
        <v>0</v>
      </c>
      <c r="GD74" s="12">
        <f>GD$4 * IF(AND(GC$4=1,FX$20=1), GK74, GI74)</f>
        <v>0</v>
      </c>
      <c r="GE74" s="12">
        <f>GE$4 * IF(AND(GD$4=1,FX$20=1), GK74, GI74)</f>
        <v>0</v>
      </c>
      <c r="GF74" s="12">
        <f>GF$4 * IF(AND(GE$4=1,FX$20=1), GK74, GI74)</f>
        <v>0</v>
      </c>
      <c r="GH74" s="16" t="s">
        <v>1304</v>
      </c>
      <c r="GI74">
        <f>_xlfn.XLOOKUP(GH74,'KPI Impacts'!$B$2:$H$2,'KPI Impacts'!$B74:$H74)</f>
        <v>0</v>
      </c>
      <c r="GJ74" s="35" t="s">
        <v>1304</v>
      </c>
      <c r="GK74">
        <f>_xlfn.XLOOKUP(GJ74,'KPI Impacts'!$B$2:$H$2,'KPI Impacts'!$B74:$H74)</f>
        <v>0</v>
      </c>
      <c r="GN74" s="12">
        <f>GN$4*GY74</f>
        <v>0</v>
      </c>
      <c r="GO74" s="12">
        <f>GO$4 * IF(AND(GN$4=1,GN$20=1), HA74, GY74)</f>
        <v>0</v>
      </c>
      <c r="GP74" s="12">
        <f>GP$4 * IF(AND(GO$4=1,GN$20=1), HA74, GY74)</f>
        <v>0</v>
      </c>
      <c r="GQ74" s="12">
        <f>GQ$4 * IF(AND(GP$4=1,GN$20=1), HA74, GY74)</f>
        <v>0</v>
      </c>
      <c r="GR74" s="12">
        <f>GR$4 * IF(AND(GQ$4=1,GN$20=1), HA74, GY74)</f>
        <v>0</v>
      </c>
      <c r="GS74" s="12">
        <f>GS$4 * IF(AND(GR$4=1,GN$20=1), HA74, GY74)</f>
        <v>0</v>
      </c>
      <c r="GT74" s="12">
        <f>GT$4 * IF(AND(GS$4=1,GN$20=1), HA74, GY74)</f>
        <v>0</v>
      </c>
      <c r="GU74" s="12">
        <f>GU$4 * IF(AND(GT$4=1,GN$20=1), HA74, GY74)</f>
        <v>0</v>
      </c>
      <c r="GV74" s="12">
        <f>GV$4 * IF(AND(GU$4=1,GN$20=1), HA74, GY74)</f>
        <v>0</v>
      </c>
      <c r="GX74" s="16" t="s">
        <v>1304</v>
      </c>
      <c r="GY74">
        <f>_xlfn.XLOOKUP(GX74,'KPI Impacts'!$B$2:$H$2,'KPI Impacts'!$B74:$H74)</f>
        <v>0</v>
      </c>
      <c r="GZ74" s="35" t="s">
        <v>1304</v>
      </c>
      <c r="HA74">
        <f>_xlfn.XLOOKUP(GZ74,'KPI Impacts'!$B$2:$H$2,'KPI Impacts'!$B74:$H74)</f>
        <v>0</v>
      </c>
      <c r="HD74" s="12">
        <f>HD$4*HO74</f>
        <v>0</v>
      </c>
      <c r="HE74" s="12">
        <f>HE$4 * IF(AND(HD$4=1,HD$20=1), HQ74, HO74)</f>
        <v>0</v>
      </c>
      <c r="HF74" s="12">
        <f>HF$4 * IF(AND(HE$4=1,HD$20=1), HQ74, HO74)</f>
        <v>0</v>
      </c>
      <c r="HG74" s="12">
        <f>HG$4 * IF(AND(HF$4=1,HD$20=1), HQ74, HO74)</f>
        <v>0</v>
      </c>
      <c r="HH74" s="12">
        <f>HH$4 * IF(AND(HG$4=1,HD$20=1), HQ74, HO74)</f>
        <v>0</v>
      </c>
      <c r="HI74" s="12">
        <f>HI$4 * IF(AND(HH$4=1,HD$20=1), HQ74, HO74)</f>
        <v>0</v>
      </c>
      <c r="HJ74" s="12">
        <f>HJ$4 * IF(AND(HI$4=1,HD$20=1), HQ74, HO74)</f>
        <v>0</v>
      </c>
      <c r="HK74" s="12">
        <f>HK$4 * IF(AND(HJ$4=1,HD$20=1), HQ74, HO74)</f>
        <v>0</v>
      </c>
      <c r="HL74" s="12">
        <f>HL$4 * IF(AND(HK$4=1,HD$20=1), HQ74, HO74)</f>
        <v>0</v>
      </c>
      <c r="HN74" s="16" t="s">
        <v>1304</v>
      </c>
      <c r="HO74">
        <f>_xlfn.XLOOKUP(HN74,'KPI Impacts'!$B$2:$H$2,'KPI Impacts'!$B74:$H74)</f>
        <v>0</v>
      </c>
      <c r="HP74" s="35" t="s">
        <v>1304</v>
      </c>
      <c r="HQ74">
        <f>_xlfn.XLOOKUP(HP74,'KPI Impacts'!$B$2:$H$2,'KPI Impacts'!$B74:$H74)</f>
        <v>0</v>
      </c>
      <c r="HT74" s="12">
        <f>HT$4*IE74</f>
        <v>0</v>
      </c>
      <c r="HU74" s="12">
        <f>HU$4 * IF(AND(HT$4=1,HT$20=1), IG74, IE74)</f>
        <v>0</v>
      </c>
      <c r="HV74" s="12">
        <f>HV$4 * IF(AND(HU$4=1,HT$20=1), IG74, IE74)</f>
        <v>0</v>
      </c>
      <c r="HW74" s="12">
        <f>HW$4 * IF(AND(HV$4=1,HT$20=1), IG74, IE74)</f>
        <v>0</v>
      </c>
      <c r="HX74" s="12">
        <f>HX$4 * IF(AND(HW$4=1,HT$20=1), IG74, IE74)</f>
        <v>0</v>
      </c>
      <c r="HY74" s="12">
        <f>HY$4 * IF(AND(HX$4=1,HT$20=1), IG74, IE74)</f>
        <v>0</v>
      </c>
      <c r="HZ74" s="12">
        <f>HZ$4 * IF(AND(HY$4=1,HT$20=1), IG74, IE74)</f>
        <v>0</v>
      </c>
      <c r="IA74" s="12">
        <f>IA$4 * IF(AND(HZ$4=1,HT$20=1), IG74, IE74)</f>
        <v>0</v>
      </c>
      <c r="IB74" s="12">
        <f>IB$4 * IF(AND(IA$4=1,HT$20=1), IG74, IE74)</f>
        <v>0</v>
      </c>
      <c r="ID74" s="16" t="s">
        <v>1304</v>
      </c>
      <c r="IE74">
        <f>_xlfn.XLOOKUP(ID74,'KPI Impacts'!$B$2:$H$2,'KPI Impacts'!$B74:$H74)</f>
        <v>0</v>
      </c>
      <c r="IF74" s="9" t="s">
        <v>1304</v>
      </c>
      <c r="IG74">
        <f>_xlfn.XLOOKUP(IF74,'KPI Impacts'!$B$2:$H$2,'KPI Impacts'!$B74:$H74)</f>
        <v>0</v>
      </c>
      <c r="IJ74" s="12">
        <f>IJ$4*IU74</f>
        <v>0</v>
      </c>
      <c r="IK74" s="12">
        <f>IK$4 * IF(AND(IJ$4=1,IJ$20=1), IW74, IU74)</f>
        <v>0</v>
      </c>
      <c r="IL74" s="12">
        <f>IL$4 * IF(AND(IK$4=1,IJ$20=1), IW74, IU74)</f>
        <v>0</v>
      </c>
      <c r="IM74" s="12">
        <f>IM$4 * IF(AND(IL$4=1,IJ$20=1), IW74, IU74)</f>
        <v>0</v>
      </c>
      <c r="IN74" s="12">
        <f>IN$4 * IF(AND(IM$4=1,IJ$20=1), IW74, IU74)</f>
        <v>0</v>
      </c>
      <c r="IO74" s="12">
        <f>IO$4 * IF(AND(IN$4=1,IJ$20=1), IW74, IU74)</f>
        <v>0</v>
      </c>
      <c r="IP74" s="12">
        <f>IP$4 * IF(AND(IO$4=1,IJ$20=1), IW74, IU74)</f>
        <v>0</v>
      </c>
      <c r="IQ74" s="12">
        <f>IQ$4 * IF(AND(IP$4=1,IJ$20=1), IW74, IU74)</f>
        <v>0</v>
      </c>
      <c r="IR74" s="12">
        <f>IR$4 * IF(AND(IQ$4=1,IJ$20=1), IW74, IU74)</f>
        <v>0</v>
      </c>
      <c r="IT74" s="16" t="s">
        <v>1304</v>
      </c>
      <c r="IU74">
        <f>_xlfn.XLOOKUP(IT74,'KPI Impacts'!$B$2:$H$2,'KPI Impacts'!$B74:$H74)</f>
        <v>0</v>
      </c>
      <c r="IV74" s="9" t="s">
        <v>1304</v>
      </c>
      <c r="IW74">
        <f>_xlfn.XLOOKUP(IV74,'KPI Impacts'!$B$2:$H$2,'KPI Impacts'!$B74:$H74)</f>
        <v>0</v>
      </c>
      <c r="IZ74" s="12">
        <f>IZ$4*JK74</f>
        <v>0</v>
      </c>
      <c r="JA74" s="12">
        <f>JA$4 * IF(AND(IZ$4=1,IZ$20=1), JM74, JK74)</f>
        <v>0</v>
      </c>
      <c r="JB74" s="12">
        <f>JB$4 * IF(AND(JA$4=1,IZ$20=1), JM74, JK74)</f>
        <v>0</v>
      </c>
      <c r="JC74" s="12">
        <f>JC$4 * IF(AND(JB$4=1,IZ$20=1), JM74, JK74)</f>
        <v>0</v>
      </c>
      <c r="JD74" s="12">
        <f>JD$4 * IF(AND(JC$4=1,IZ$20=1), JM74, JK74)</f>
        <v>0</v>
      </c>
      <c r="JE74" s="12">
        <f>JE$4 * IF(AND(JD$4=1,IZ$20=1), JM74, JK74)</f>
        <v>0</v>
      </c>
      <c r="JF74" s="12">
        <f>JF$4 * IF(AND(JE$4=1,IZ$20=1), JM74, JK74)</f>
        <v>0</v>
      </c>
      <c r="JG74" s="12">
        <f>JG$4 * IF(AND(JF$4=1,IZ$20=1), JM74, JK74)</f>
        <v>0</v>
      </c>
      <c r="JH74" s="12">
        <f>JH$4 * IF(AND(JG$4=1,IZ$20=1), JM74, JK74)</f>
        <v>0</v>
      </c>
      <c r="JJ74" t="s">
        <v>1304</v>
      </c>
      <c r="JK74">
        <f>_xlfn.XLOOKUP(JJ74,'KPI Impacts'!$B$2:$H$2,'KPI Impacts'!$B74:$H74)</f>
        <v>0</v>
      </c>
      <c r="JL74" s="9" t="s">
        <v>1304</v>
      </c>
      <c r="JM74">
        <f>_xlfn.XLOOKUP(JL74,'KPI Impacts'!$B$2:$H$2,'KPI Impacts'!$B74:$H74)</f>
        <v>0</v>
      </c>
      <c r="JP74" s="12">
        <f>JP$4*KA74</f>
        <v>0</v>
      </c>
      <c r="JQ74" s="12">
        <f>JQ$4 * IF(AND(JP$4=1,JP$20=1), KC74, KA74)</f>
        <v>0</v>
      </c>
      <c r="JR74" s="12">
        <f>JR$4 * IF(AND(JQ$4=1,JP$20=1), KC74, KA74)</f>
        <v>0</v>
      </c>
      <c r="JS74" s="12">
        <f>JS$4 * IF(AND(JR$4=1,JP$20=1), KC74, KA74)</f>
        <v>0</v>
      </c>
      <c r="JT74" s="12">
        <f>JT$4 * IF(AND(JS$4=1,JP$20=1), KC74, KA74)</f>
        <v>0</v>
      </c>
      <c r="JU74" s="12">
        <f>JU$4 * IF(AND(JT$4=1,JP$20=1), KC74, KA74)</f>
        <v>0</v>
      </c>
      <c r="JV74" s="12">
        <f>JV$4 * IF(AND(JU$4=1,JP$20=1), KC74, KA74)</f>
        <v>0</v>
      </c>
      <c r="JW74" s="12">
        <f>JW$4 * IF(AND(JV$4=1,JP$20=1), KC74, KA74)</f>
        <v>0</v>
      </c>
      <c r="JX74" s="12">
        <f>JX$4 * IF(AND(JW$4=1,JP$20=1), KC74, KA74)</f>
        <v>0</v>
      </c>
      <c r="JZ74" t="s">
        <v>1304</v>
      </c>
      <c r="KA74">
        <f>_xlfn.XLOOKUP(JZ74,'KPI Impacts'!$B$2:$H$2,'KPI Impacts'!$B74:$H74)</f>
        <v>0</v>
      </c>
      <c r="KB74" s="9" t="s">
        <v>1304</v>
      </c>
      <c r="KC74">
        <f>_xlfn.XLOOKUP(KB74,'KPI Impacts'!$B$2:$H$2,'KPI Impacts'!$B74:$H74)</f>
        <v>0</v>
      </c>
      <c r="KF74" s="12">
        <f>KF$4*KQ74</f>
        <v>0</v>
      </c>
      <c r="KG74" s="12">
        <f>KG$4 * IF(AND(KF$4=1,KF$20=1), KS74, KQ74)</f>
        <v>0</v>
      </c>
      <c r="KH74" s="12">
        <f>KH$4 * IF(AND(KG$4=1,KF$20=1), KS74, KQ74)</f>
        <v>0</v>
      </c>
      <c r="KI74" s="12">
        <f>KI$4 * IF(AND(KH$4=1,KF$20=1), KS74, KQ74)</f>
        <v>0</v>
      </c>
      <c r="KJ74" s="12">
        <f>KJ$4 * IF(AND(KI$4=1,KF$20=1), KS74, KQ74)</f>
        <v>0</v>
      </c>
      <c r="KK74" s="12">
        <f>KK$4 * IF(AND(KJ$4=1,KF$20=1), KS74, KQ74)</f>
        <v>0</v>
      </c>
      <c r="KL74" s="12">
        <f>KL$4 * IF(AND(KK$4=1,KF$20=1), KS74, KQ74)</f>
        <v>0</v>
      </c>
      <c r="KM74" s="12">
        <f>KM$4 * IF(AND(KL$4=1,KF$20=1), KS74, KQ74)</f>
        <v>0</v>
      </c>
      <c r="KN74" s="12">
        <f>KN$4 * IF(AND(KM$4=1,KF$20=1), KS74, KQ74)</f>
        <v>0</v>
      </c>
      <c r="KP74" t="s">
        <v>1304</v>
      </c>
      <c r="KQ74">
        <f>_xlfn.XLOOKUP(KP74,'KPI Impacts'!$B$2:$H$2,'KPI Impacts'!$B74:$H74)</f>
        <v>0</v>
      </c>
      <c r="KR74" s="9" t="s">
        <v>1304</v>
      </c>
      <c r="KS74">
        <f>_xlfn.XLOOKUP(KR74,'KPI Impacts'!$B$2:$H$2,'KPI Impacts'!$B74:$H74)</f>
        <v>0</v>
      </c>
      <c r="KV74" s="12">
        <f>KV$4*LG74</f>
        <v>0</v>
      </c>
      <c r="KW74" s="12">
        <f>KW$4 * IF(AND(KV$4=1,KV$20=1), LI74, LG74)</f>
        <v>0</v>
      </c>
      <c r="KX74" s="12">
        <f>KX$4 * IF(AND(KW$4=1,KV$20=1), LI74, LG74)</f>
        <v>0</v>
      </c>
      <c r="KY74" s="12">
        <f>KY$4 * IF(AND(KX$4=1,KV$20=1), LI74, LG74)</f>
        <v>0</v>
      </c>
      <c r="KZ74" s="12">
        <f>KZ$4 * IF(AND(KY$4=1,KV$20=1), LI74, LG74)</f>
        <v>0</v>
      </c>
      <c r="LA74" s="12">
        <f>LA$4 * IF(AND(KZ$4=1,KV$20=1), LI74, LG74)</f>
        <v>0</v>
      </c>
      <c r="LB74" s="12">
        <f>LB$4 * IF(AND(LA$4=1,KV$20=1), LI74, LG74)</f>
        <v>0</v>
      </c>
      <c r="LC74" s="12">
        <f>LC$4 * IF(AND(LB$4=1,KV$20=1), LI74, LG74)</f>
        <v>0</v>
      </c>
      <c r="LD74" s="12">
        <f>LD$4 * IF(AND(LC$4=1,KV$20=1), LI74, LG74)</f>
        <v>0</v>
      </c>
      <c r="LF74" t="s">
        <v>1304</v>
      </c>
      <c r="LG74">
        <f>_xlfn.XLOOKUP(LF74,'KPI Impacts'!$B$2:$H$2,'KPI Impacts'!$B74:$H74)</f>
        <v>0</v>
      </c>
      <c r="LH74" s="9" t="s">
        <v>1304</v>
      </c>
      <c r="LI74">
        <f>_xlfn.XLOOKUP(LH74,'KPI Impacts'!$B$2:$H$2,'KPI Impacts'!$B74:$H74)</f>
        <v>0</v>
      </c>
      <c r="LL74" s="12">
        <f>LL$4*LW74</f>
        <v>0</v>
      </c>
      <c r="LM74" s="12">
        <f>LM$4 * IF(AND(LL$4=1,LL$20=1), LY74, LW74)</f>
        <v>0</v>
      </c>
      <c r="LN74" s="12">
        <f>LN$4 * IF(AND(LM$4=1,LL$20=1), LY74, LW74)</f>
        <v>0</v>
      </c>
      <c r="LO74" s="12">
        <f>LO$4 * IF(AND(LN$4=1,LL$20=1), LY74, LW74)</f>
        <v>0</v>
      </c>
      <c r="LP74" s="12">
        <f>LP$4 * IF(AND(LO$4=1,LL$20=1), LY74, LW74)</f>
        <v>0</v>
      </c>
      <c r="LQ74" s="12">
        <f>LQ$4 * IF(AND(LP$4=1,LL$20=1), LY74, LW74)</f>
        <v>0</v>
      </c>
      <c r="LR74" s="12">
        <f>LR$4 * IF(AND(LQ$4=1,LL$20=1), LY74, LW74)</f>
        <v>0</v>
      </c>
      <c r="LS74" s="12">
        <f>LS$4 * IF(AND(LR$4=1,LL$20=1), LY74, LW74)</f>
        <v>0</v>
      </c>
      <c r="LT74" s="12">
        <f>LT$4 * IF(AND(LS$4=1,LL$20=1), LY74, LW74)</f>
        <v>0</v>
      </c>
      <c r="LV74" t="s">
        <v>1304</v>
      </c>
      <c r="LW74">
        <f>_xlfn.XLOOKUP(LV74,'KPI Impacts'!$B$2:$H$2,'KPI Impacts'!$B74:$H74)</f>
        <v>0</v>
      </c>
      <c r="LX74" s="9" t="s">
        <v>1304</v>
      </c>
      <c r="LY74">
        <f>_xlfn.XLOOKUP(LX74,'KPI Impacts'!$B$2:$H$2,'KPI Impacts'!$B74:$H74)</f>
        <v>0</v>
      </c>
      <c r="MB74" s="12">
        <f>MB$4*MM74</f>
        <v>0</v>
      </c>
      <c r="MC74" s="12">
        <f>MC$4 * IF(AND(MB$4=1,MB$20=1), MO74, MM74)</f>
        <v>0</v>
      </c>
      <c r="MD74" s="12">
        <f>MD$4 * IF(AND(MC$4=1,MB$20=1), MO74, MM74)</f>
        <v>0</v>
      </c>
      <c r="ME74" s="12">
        <f>ME$4 * IF(AND(MD$4=1,MB$20=1), MO74, MM74)</f>
        <v>0</v>
      </c>
      <c r="MF74" s="12">
        <f>MF$4 * IF(AND(ME$4=1,MB$20=1), MO74, MM74)</f>
        <v>0</v>
      </c>
      <c r="MG74" s="12">
        <f>MG$4 * IF(AND(MF$4=1,MB$20=1), MO74, MM74)</f>
        <v>0</v>
      </c>
      <c r="MH74" s="12">
        <f>MH$4 * IF(AND(MG$4=1,MB$20=1), MO74, MM74)</f>
        <v>0</v>
      </c>
      <c r="MI74" s="12">
        <f>MI$4 * IF(AND(MH$4=1,MB$20=1), MO74, MM74)</f>
        <v>0</v>
      </c>
      <c r="MJ74" s="12">
        <f>MJ$4 * IF(AND(MI$4=1,MB$20=1), MO74, MM74)</f>
        <v>0</v>
      </c>
      <c r="ML74" t="s">
        <v>1304</v>
      </c>
      <c r="MM74">
        <f>_xlfn.XLOOKUP(ML74,'KPI Impacts'!$B$2:$H$2,'KPI Impacts'!$B74:$H74)</f>
        <v>0</v>
      </c>
      <c r="MN74" s="9" t="s">
        <v>1304</v>
      </c>
      <c r="MO74">
        <f>_xlfn.XLOOKUP(MN74,'KPI Impacts'!$B$2:$H$2,'KPI Impacts'!$B74:$H74)</f>
        <v>0</v>
      </c>
      <c r="MR74" s="12">
        <f>MR$4*NC74</f>
        <v>0</v>
      </c>
      <c r="MS74" s="12">
        <f>MS$4 * IF(AND(MR$4=1,MR$20=1), NE74, NC74)</f>
        <v>0</v>
      </c>
      <c r="MT74" s="12">
        <f>MT$4 * IF(AND(MS$4=1,MR$20=1), NE74, NC74)</f>
        <v>0</v>
      </c>
      <c r="MU74" s="12">
        <f>MU$4 * IF(AND(MT$4=1,MR$20=1), NE74, NC74)</f>
        <v>0</v>
      </c>
      <c r="MV74" s="12">
        <f>MV$4 * IF(AND(MU$4=1,MR$20=1), NE74, NC74)</f>
        <v>0</v>
      </c>
      <c r="MW74" s="12">
        <f>MW$4 * IF(AND(MV$4=1,MR$20=1), NE74, NC74)</f>
        <v>0</v>
      </c>
      <c r="MX74" s="12">
        <f>MX$4 * IF(AND(MW$4=1,MR$20=1), NE74, NC74)</f>
        <v>0</v>
      </c>
      <c r="MY74" s="12">
        <f>MY$4 * IF(AND(MX$4=1,MR$20=1), NE74, NC74)</f>
        <v>0</v>
      </c>
      <c r="MZ74" s="12">
        <f>MZ$4 * IF(AND(MY$4=1,MR$20=1), NE74, NC74)</f>
        <v>0</v>
      </c>
      <c r="NB74" t="s">
        <v>1304</v>
      </c>
      <c r="NC74">
        <f>_xlfn.XLOOKUP(NB74,'KPI Impacts'!$B$2:$H$2,'KPI Impacts'!$B74:$H74)</f>
        <v>0</v>
      </c>
      <c r="ND74" s="9" t="s">
        <v>1304</v>
      </c>
      <c r="NE74">
        <f>_xlfn.XLOOKUP(ND74,'KPI Impacts'!$B$2:$H$2,'KPI Impacts'!$B74:$H74)</f>
        <v>0</v>
      </c>
      <c r="NH74" s="12">
        <f>NH$4*NS74</f>
        <v>0</v>
      </c>
      <c r="NI74" s="12">
        <f>NI$4 * IF(AND(NH$4=1,NH$20=1), NU74, NS74)</f>
        <v>0</v>
      </c>
      <c r="NJ74" s="12">
        <f>NJ$4 * IF(AND(NI$4=1,NH$20=1), NU74, NS74)</f>
        <v>0</v>
      </c>
      <c r="NK74" s="12">
        <f>NK$4 * IF(AND(NJ$4=1,NH$20=1), NU74, NS74)</f>
        <v>0</v>
      </c>
      <c r="NL74" s="12">
        <f>NL$4 * IF(AND(NK$4=1,NH$20=1), NU74, NS74)</f>
        <v>0</v>
      </c>
      <c r="NM74" s="12">
        <f>NM$4 * IF(AND(NL$4=1,NH$20=1), NU74, NS74)</f>
        <v>0</v>
      </c>
      <c r="NN74" s="12">
        <f>NN$4 * IF(AND(NM$4=1,NH$20=1), NU74, NS74)</f>
        <v>0</v>
      </c>
      <c r="NO74" s="12">
        <f>NO$4 * IF(AND(NN$4=1,NH$20=1), NU74, NS74)</f>
        <v>0</v>
      </c>
      <c r="NP74" s="12">
        <f>NP$4 * IF(AND(NO$4=1,NH$20=1), NU74, NS74)</f>
        <v>0</v>
      </c>
      <c r="NR74" t="s">
        <v>1304</v>
      </c>
      <c r="NS74">
        <f>_xlfn.XLOOKUP(NR74,'KPI Impacts'!$B$2:$H$2,'KPI Impacts'!$B74:$H74)</f>
        <v>0</v>
      </c>
      <c r="NT74" s="9" t="s">
        <v>1304</v>
      </c>
      <c r="NU74">
        <f>_xlfn.XLOOKUP(NT74,'KPI Impacts'!$B$2:$H$2,'KPI Impacts'!$B74:$H74)</f>
        <v>0</v>
      </c>
      <c r="NX74" s="12">
        <f>NX$4*OI74</f>
        <v>0</v>
      </c>
      <c r="NY74" s="12">
        <f>NY$4 * IF(AND(NX$4=1,NX$20=1), OK74, OI74)</f>
        <v>0</v>
      </c>
      <c r="NZ74" s="12">
        <f>NZ$4 * IF(AND(NY$4=1,NX$20=1), OK74, OI74)</f>
        <v>0</v>
      </c>
      <c r="OA74" s="12">
        <f>OA$4 * IF(AND(NZ$4=1,NX$20=1), OK74, OI74)</f>
        <v>0</v>
      </c>
      <c r="OB74" s="12">
        <f>OB$4 * IF(AND(OA$4=1,NX$20=1), OK74, OI74)</f>
        <v>0</v>
      </c>
      <c r="OC74" s="12">
        <f>OC$4 * IF(AND(OB$4=1,NX$20=1), OK74, OI74)</f>
        <v>0</v>
      </c>
      <c r="OD74" s="12">
        <f>OD$4 * IF(AND(OC$4=1,NX$20=1), OK74, OI74)</f>
        <v>0</v>
      </c>
      <c r="OE74" s="12">
        <f>OE$4 * IF(AND(OD$4=1,NX$20=1), OK74, OI74)</f>
        <v>0</v>
      </c>
      <c r="OF74" s="12">
        <f>OF$4 * IF(AND(OE$4=1,NX$20=1), OK74, OI74)</f>
        <v>0</v>
      </c>
      <c r="OH74" t="s">
        <v>1304</v>
      </c>
      <c r="OI74">
        <f>_xlfn.XLOOKUP(OH74,'KPI Impacts'!$B$2:$H$2,'KPI Impacts'!$B74:$H74)</f>
        <v>0</v>
      </c>
      <c r="OJ74" s="9" t="s">
        <v>1304</v>
      </c>
      <c r="OK74">
        <f>_xlfn.XLOOKUP(OJ74,'KPI Impacts'!$B$2:$H$2,'KPI Impacts'!$B74:$H74)</f>
        <v>0</v>
      </c>
    </row>
    <row r="75" spans="1:401" x14ac:dyDescent="0.2">
      <c r="A75" t="s">
        <v>1311</v>
      </c>
      <c r="B75" s="12">
        <f t="shared" si="509"/>
        <v>0</v>
      </c>
      <c r="C75" s="12">
        <f t="shared" si="509"/>
        <v>0</v>
      </c>
      <c r="D75" s="12">
        <f t="shared" si="509"/>
        <v>0</v>
      </c>
      <c r="E75" s="12">
        <f t="shared" si="509"/>
        <v>0</v>
      </c>
      <c r="F75" s="12">
        <f t="shared" si="509"/>
        <v>0</v>
      </c>
      <c r="G75" s="12">
        <f t="shared" si="509"/>
        <v>0</v>
      </c>
      <c r="H75" s="12">
        <f t="shared" si="509"/>
        <v>0</v>
      </c>
      <c r="I75" s="12">
        <f t="shared" si="509"/>
        <v>0</v>
      </c>
      <c r="J75" s="12">
        <f t="shared" si="509"/>
        <v>0</v>
      </c>
      <c r="P75" s="12" cm="1">
        <f t="array" ref="P75">_xlfn.SWITCH(P$4, 0,0, 1, AA75,2,AC75,3,AE75,0)</f>
        <v>0</v>
      </c>
      <c r="Q75" s="12" cm="1">
        <f t="array" ref="Q75">_xlfn.SWITCH(Q$4, 0,0, 1, AA75,2,AC75,3,AE75,0)+P75</f>
        <v>0</v>
      </c>
      <c r="R75" s="12" cm="1">
        <f t="array" ref="R75">_xlfn.SWITCH(R$4, 0,0, 1, AA75,2,AC75,3,AE75,0)+Q75</f>
        <v>0</v>
      </c>
      <c r="S75" s="12" cm="1">
        <f t="array" ref="S75">_xlfn.SWITCH(S$4, 0,0, 1, AA75,2,AC75,3,AE75,0)+R75</f>
        <v>0</v>
      </c>
      <c r="T75" s="12" cm="1">
        <f t="array" ref="T75">_xlfn.SWITCH(T$4, 0,0, 1, AA75,2,AC75,3,AE75,0)+S75</f>
        <v>0</v>
      </c>
      <c r="U75" s="12" cm="1">
        <f t="array" ref="U75">_xlfn.SWITCH(U$4, 0,0, 1, AA75,2,AC75,3,AE75,0)+T75</f>
        <v>0</v>
      </c>
      <c r="V75" s="12" cm="1">
        <f t="array" ref="V75">_xlfn.SWITCH(V$4, 0,0, 1, AA75,2,AC75,3,AE75,0)+U75</f>
        <v>0</v>
      </c>
      <c r="W75" s="12" cm="1">
        <f t="array" ref="W75">_xlfn.SWITCH(W$4, 0,0, 1, AA75,2,AC75,3,AE75,0)+V75</f>
        <v>0</v>
      </c>
      <c r="X75" s="12" cm="1">
        <f t="array" ref="X75">_xlfn.SWITCH(X$4, 0,0, 1, AA75,2,AC75,3,AE75,0)+W75</f>
        <v>0</v>
      </c>
      <c r="Z75" t="s">
        <v>1304</v>
      </c>
      <c r="AA75">
        <f>_xlfn.XLOOKUP(Z75,'KPI Impacts'!$K$2:$Q$2,'KPI Impacts'!$K75:$Q75)</f>
        <v>0</v>
      </c>
      <c r="AB75" t="s">
        <v>1304</v>
      </c>
      <c r="AC75">
        <f>_xlfn.XLOOKUP(AB75,'KPI Impacts'!$K$2:$Q$2,'KPI Impacts'!$K75:$Q75)</f>
        <v>0</v>
      </c>
      <c r="AD75" t="s">
        <v>1304</v>
      </c>
      <c r="AE75">
        <f>_xlfn.XLOOKUP(AD75,'KPI Impacts'!$K$2:$Q$2,'KPI Impacts'!$K75:$Q75)</f>
        <v>0</v>
      </c>
      <c r="AH75" s="12" cm="1">
        <f t="array" ref="AH75">_xlfn.SWITCH(AH$4, 0,0, 1, AS75,2,AU75,3,AW75,0)</f>
        <v>0</v>
      </c>
      <c r="AI75" s="12" cm="1">
        <f t="array" ref="AI75">_xlfn.SWITCH(AI$4, 0,0, 1, AS75,2,AU75,3,AW75,0)+AH75</f>
        <v>0</v>
      </c>
      <c r="AJ75" s="12" cm="1">
        <f t="array" ref="AJ75">_xlfn.SWITCH(AJ$4, 0,0, 1, AS75,2,AU75,3,AW75,0)+AI75</f>
        <v>0</v>
      </c>
      <c r="AK75" s="12" cm="1">
        <f t="array" ref="AK75">_xlfn.SWITCH(AK$4, 0,0, 1, AS75,2,AU75,3,AW75,0)+AJ75</f>
        <v>0</v>
      </c>
      <c r="AL75" s="12" cm="1">
        <f t="array" ref="AL75">_xlfn.SWITCH(AL$4, 0,0, 1, AS75,2,AU75,3,AW75,0)+AK75</f>
        <v>0</v>
      </c>
      <c r="AM75" s="12" cm="1">
        <f t="array" ref="AM75">_xlfn.SWITCH(AM$4, 0,0, 1, AS75,2,AU75,3,AW75,0)+AL75</f>
        <v>0</v>
      </c>
      <c r="AN75" s="12" cm="1">
        <f t="array" ref="AN75">_xlfn.SWITCH(AN$4, 0,0, 1, AS75,2,AU75,3,AW75,0)+AM75</f>
        <v>0</v>
      </c>
      <c r="AO75" s="12" cm="1">
        <f t="array" ref="AO75">_xlfn.SWITCH(AO$4, 0,0, 1, AS75,2,AU75,3,AW75,0)+AN75</f>
        <v>0</v>
      </c>
      <c r="AP75" s="12" cm="1">
        <f t="array" ref="AP75">_xlfn.SWITCH(AP$4, 0,0, 1, AS75,2,AU75,3,AW75,0)+AO75</f>
        <v>0</v>
      </c>
      <c r="AR75" t="s">
        <v>1304</v>
      </c>
      <c r="AS75">
        <f>_xlfn.XLOOKUP(AR75,'KPI Impacts'!$K$2:$Q$2,'KPI Impacts'!$K75:$Q75)</f>
        <v>0</v>
      </c>
      <c r="AT75" t="s">
        <v>1304</v>
      </c>
      <c r="AU75">
        <f>_xlfn.XLOOKUP(AT75,'KPI Impacts'!$K$2:$Q$2,'KPI Impacts'!$K75:$Q75)</f>
        <v>0</v>
      </c>
      <c r="AV75" t="s">
        <v>1304</v>
      </c>
      <c r="AW75">
        <f>_xlfn.XLOOKUP(AV75,'KPI Impacts'!$K$2:$Q$2,'KPI Impacts'!$K75:$Q75)</f>
        <v>0</v>
      </c>
      <c r="AZ75" s="12">
        <f>AZ$4*BK75</f>
        <v>0</v>
      </c>
      <c r="BA75" s="12">
        <f>BA$4 * IF(AND(AZ$4=1,AZ$20=1), BM75, BK75)</f>
        <v>0</v>
      </c>
      <c r="BB75" s="12">
        <f>BB$4 * IF(AND(BA$4=1,AZ$20=1), BM75, BK75)</f>
        <v>0</v>
      </c>
      <c r="BC75" s="12">
        <f>BC$4 * IF(AND(BB$4=1,AZ$20=1), BM75, BK75)</f>
        <v>0</v>
      </c>
      <c r="BD75" s="12">
        <f>BD$4 * IF(AND(BC$4=1,AZ$20=1), BM75, BK75)</f>
        <v>0</v>
      </c>
      <c r="BE75" s="12">
        <f>BE$4 * IF(AND(BD$4=1,AZ$20=1), BM75, BK75)</f>
        <v>0</v>
      </c>
      <c r="BF75" s="12">
        <f>BF$4 * IF(AND(BE$4=1,AZ$20=1), BM75, BK75)</f>
        <v>0</v>
      </c>
      <c r="BG75" s="12">
        <f>BG$4 * IF(AND(BF$4=1,AZ$20=1), BM75, BK75)</f>
        <v>0</v>
      </c>
      <c r="BH75" s="12">
        <f>BH$4 * IF(AND(BG$4=1,AZ$20=1), BM75, BK75)</f>
        <v>0</v>
      </c>
      <c r="BJ75" s="16" t="s">
        <v>1304</v>
      </c>
      <c r="BK75">
        <f>_xlfn.XLOOKUP(BJ75,'KPI Impacts'!$B$2:$H$2,'KPI Impacts'!$B75:$H75)</f>
        <v>0</v>
      </c>
      <c r="BL75" s="35" t="s">
        <v>1304</v>
      </c>
      <c r="BM75">
        <f>_xlfn.XLOOKUP(BL75,'KPI Impacts'!$B$2:$H$2,'KPI Impacts'!$B75:$H75)</f>
        <v>0</v>
      </c>
      <c r="BP75" s="12">
        <f>BP$4*CA75</f>
        <v>0</v>
      </c>
      <c r="BQ75" s="12">
        <f>BQ$4 * IF(AND(BP$4=1,BP$20=1), CC75, CA75)</f>
        <v>0</v>
      </c>
      <c r="BR75" s="12">
        <f>BR$4 * IF(AND(BQ$4=1,BP$20=1), CC75, CA75)</f>
        <v>0</v>
      </c>
      <c r="BS75" s="12">
        <f>BS$4 * IF(AND(BR$4=1,BP$20=1), CC75, CA75)</f>
        <v>0</v>
      </c>
      <c r="BT75" s="12">
        <f>BT$4 * IF(AND(BS$4=1,BP$20=1), CC75, CA75)</f>
        <v>0</v>
      </c>
      <c r="BU75" s="12">
        <f>BU$4 * IF(AND(BT$4=1,BP$20=1), CC75, CA75)</f>
        <v>0</v>
      </c>
      <c r="BV75" s="12">
        <f>BV$4 * IF(AND(BU$4=1,BP$20=1), CC75, CA75)</f>
        <v>0</v>
      </c>
      <c r="BW75" s="12">
        <f>BW$4 * IF(AND(BV$4=1,BP$20=1), CC75, CA75)</f>
        <v>0</v>
      </c>
      <c r="BX75" s="12">
        <f>BX$4 * IF(AND(BW$4=1,BP$20=1), CC75, CA75)</f>
        <v>0</v>
      </c>
      <c r="BZ75" s="16" t="s">
        <v>1304</v>
      </c>
      <c r="CA75">
        <f>_xlfn.XLOOKUP(BZ75,'KPI Impacts'!$B$2:$H$2,'KPI Impacts'!$B75:$H75)</f>
        <v>0</v>
      </c>
      <c r="CB75" s="35" t="s">
        <v>1304</v>
      </c>
      <c r="CC75">
        <f>_xlfn.XLOOKUP(CB75,'KPI Impacts'!$B$2:$H$2,'KPI Impacts'!$B75:$H75)</f>
        <v>0</v>
      </c>
      <c r="CF75" s="12">
        <f>CF$4*CQ75</f>
        <v>0</v>
      </c>
      <c r="CG75" s="12">
        <f>CG$4 * IF(AND(CF$4=1,CF$20=1), CS75, CQ75)</f>
        <v>0</v>
      </c>
      <c r="CH75" s="12">
        <f>CH$4 * IF(AND(CG$4=1,CF$20=1), CS75, CQ75)</f>
        <v>0</v>
      </c>
      <c r="CI75" s="12">
        <f>CI$4 * IF(AND(CH$4=1,CF$20=1), CS75, CQ75)</f>
        <v>0</v>
      </c>
      <c r="CJ75" s="12">
        <f>CJ$4 * IF(AND(CI$4=1,CF$20=1), CS75, CQ75)</f>
        <v>0</v>
      </c>
      <c r="CK75" s="12">
        <f>CK$4 * IF(AND(CJ$4=1,CF$20=1), CS75, CQ75)</f>
        <v>0</v>
      </c>
      <c r="CL75" s="12">
        <f>CL$4 * IF(AND(CK$4=1,CF$20=1), CS75, CQ75)</f>
        <v>0</v>
      </c>
      <c r="CM75" s="12">
        <f>CM$4 * IF(AND(CL$4=1,CF$20=1), CS75, CQ75)</f>
        <v>0</v>
      </c>
      <c r="CN75" s="12">
        <f>CN$4 * IF(AND(CM$4=1,CF$20=1), CS75, CQ75)</f>
        <v>0</v>
      </c>
      <c r="CP75" s="16" t="s">
        <v>1304</v>
      </c>
      <c r="CQ75">
        <f>_xlfn.XLOOKUP(CP75,'KPI Impacts'!$B$2:$H$2,'KPI Impacts'!$B75:$H75)</f>
        <v>0</v>
      </c>
      <c r="CR75" s="35" t="s">
        <v>1304</v>
      </c>
      <c r="CS75">
        <f>_xlfn.XLOOKUP(CR75,'KPI Impacts'!$B$2:$H$2,'KPI Impacts'!$B75:$H75)</f>
        <v>0</v>
      </c>
      <c r="CV75" s="12">
        <f>CV$4*DG75</f>
        <v>0</v>
      </c>
      <c r="CW75" s="12">
        <f>CW$4 * IF(AND(CV$4=1,CV$20=1), DI75, DG75)</f>
        <v>0</v>
      </c>
      <c r="CX75" s="12">
        <f>CX$4 * IF(AND(CW$4=1,CV$20=1), DI75, DG75)</f>
        <v>0</v>
      </c>
      <c r="CY75" s="12">
        <f>CY$4 * IF(AND(CX$4=1,CV$20=1), DI75, DG75)</f>
        <v>0</v>
      </c>
      <c r="CZ75" s="12">
        <f>CZ$4 * IF(AND(CY$4=1,CV$20=1), DI75, DG75)</f>
        <v>0</v>
      </c>
      <c r="DA75" s="12">
        <f>DA$4 * IF(AND(CZ$4=1,CV$20=1), DI75, DG75)</f>
        <v>0</v>
      </c>
      <c r="DB75" s="12">
        <f>DB$4 * IF(AND(DA$4=1,CV$20=1), DI75, DG75)</f>
        <v>0</v>
      </c>
      <c r="DC75" s="12">
        <f>DC$4 * IF(AND(DB$4=1,CV$20=1), DI75, DG75)</f>
        <v>0</v>
      </c>
      <c r="DD75" s="12">
        <f>DD$4 * IF(AND(DC$4=1,CV$20=1), DI75, DG75)</f>
        <v>0</v>
      </c>
      <c r="DF75" s="16" t="s">
        <v>1304</v>
      </c>
      <c r="DG75">
        <f>_xlfn.XLOOKUP(DF75,'KPI Impacts'!$B$2:$H$2,'KPI Impacts'!$B75:$H75)</f>
        <v>0</v>
      </c>
      <c r="DH75" s="35" t="s">
        <v>1304</v>
      </c>
      <c r="DI75">
        <f>_xlfn.XLOOKUP(DH75,'KPI Impacts'!$B$2:$H$2,'KPI Impacts'!$B75:$H75)</f>
        <v>0</v>
      </c>
      <c r="DL75" s="12">
        <f>DL$4*DW75</f>
        <v>0</v>
      </c>
      <c r="DM75" s="12">
        <f>DM$4 * IF(AND(DL$4=1,DL$20=1), DY75, DW75)</f>
        <v>0</v>
      </c>
      <c r="DN75" s="12">
        <f>DN$4 * IF(AND(DM$4=1,DL$20=1), DY75, DW75)</f>
        <v>0</v>
      </c>
      <c r="DO75" s="12">
        <f>DO$4 * IF(AND(DN$4=1,DL$20=1), DY75, DW75)</f>
        <v>0</v>
      </c>
      <c r="DP75" s="12">
        <f>DP$4 * IF(AND(DO$4=1,DL$20=1), DY75, DW75)</f>
        <v>0</v>
      </c>
      <c r="DQ75" s="12">
        <f>DQ$4 * IF(AND(DP$4=1,DL$20=1), DY75, DW75)</f>
        <v>0</v>
      </c>
      <c r="DR75" s="12">
        <f>DR$4 * IF(AND(DQ$4=1,DL$20=1), DY75, DW75)</f>
        <v>0</v>
      </c>
      <c r="DS75" s="12">
        <f>DS$4 * IF(AND(DR$4=1,DL$20=1), DY75, DW75)</f>
        <v>0</v>
      </c>
      <c r="DT75" s="12">
        <f>DT$4 * IF(AND(DS$4=1,DL$20=1), DY75, DW75)</f>
        <v>0</v>
      </c>
      <c r="DV75" s="16" t="s">
        <v>1304</v>
      </c>
      <c r="DW75">
        <f>_xlfn.XLOOKUP(DV75,'KPI Impacts'!$B$2:$H$2,'KPI Impacts'!$B75:$H75)</f>
        <v>0</v>
      </c>
      <c r="DX75" s="35" t="s">
        <v>1304</v>
      </c>
      <c r="DY75">
        <f>_xlfn.XLOOKUP(DX75,'KPI Impacts'!$B$2:$H$2,'KPI Impacts'!$B75:$H75)</f>
        <v>0</v>
      </c>
      <c r="EB75" s="12">
        <f>EB$4*EM75</f>
        <v>0</v>
      </c>
      <c r="EC75" s="12">
        <f>EC$4 * IF(AND(EB$4=1,EB$20=1), EO75, EM75)</f>
        <v>0</v>
      </c>
      <c r="ED75" s="12">
        <f>ED$4 * IF(AND(EC$4=1,EB$20=1), EO75, EM75)</f>
        <v>0</v>
      </c>
      <c r="EE75" s="12">
        <f>EE$4 * IF(AND(ED$4=1,EB$20=1), EO75, EM75)</f>
        <v>0</v>
      </c>
      <c r="EF75" s="12">
        <f>EF$4 * IF(AND(EE$4=1,EB$20=1), EO75, EM75)</f>
        <v>0</v>
      </c>
      <c r="EG75" s="12">
        <f>EG$4 * IF(AND(EF$4=1,EB$20=1), EO75, EM75)</f>
        <v>0</v>
      </c>
      <c r="EH75" s="12">
        <f>EH$4 * IF(AND(EG$4=1,EB$20=1), EO75, EM75)</f>
        <v>0</v>
      </c>
      <c r="EI75" s="12">
        <f>EI$4 * IF(AND(EH$4=1,EB$20=1), EO75, EM75)</f>
        <v>0</v>
      </c>
      <c r="EJ75" s="12">
        <f>EJ$4 * IF(AND(EI$4=1,EB$20=1), EO75, EM75)</f>
        <v>0</v>
      </c>
      <c r="EL75" s="16" t="s">
        <v>1304</v>
      </c>
      <c r="EM75">
        <f>_xlfn.XLOOKUP(EL75,'KPI Impacts'!$B$2:$H$2,'KPI Impacts'!$B75:$H75)</f>
        <v>0</v>
      </c>
      <c r="EN75" s="35" t="s">
        <v>1304</v>
      </c>
      <c r="EO75">
        <f>_xlfn.XLOOKUP(EN75,'KPI Impacts'!$B$2:$H$2,'KPI Impacts'!$B75:$H75)</f>
        <v>0</v>
      </c>
      <c r="ER75" s="12">
        <f>ER$4*FC75</f>
        <v>0</v>
      </c>
      <c r="ES75" s="12">
        <f>ES$4 * IF(AND(ER$4=1,ER$20=1), FE75, FC75)</f>
        <v>0</v>
      </c>
      <c r="ET75" s="12">
        <f>ET$4 * IF(AND(ES$4=1,ER$20=1), FE75, FC75)</f>
        <v>0</v>
      </c>
      <c r="EU75" s="12">
        <f>EU$4 * IF(AND(ET$4=1,ER$20=1), FE75, FC75)</f>
        <v>0</v>
      </c>
      <c r="EV75" s="12">
        <f>EV$4 * IF(AND(EU$4=1,ER$20=1), FE75, FC75)</f>
        <v>0</v>
      </c>
      <c r="EW75" s="12">
        <f>EW$4 * IF(AND(EV$4=1,ER$20=1), FE75, FC75)</f>
        <v>0</v>
      </c>
      <c r="EX75" s="12">
        <f>EX$4 * IF(AND(EW$4=1,ER$20=1), FE75, FC75)</f>
        <v>0</v>
      </c>
      <c r="EY75" s="12">
        <f>EY$4 * IF(AND(EX$4=1,ER$20=1), FE75, FC75)</f>
        <v>0</v>
      </c>
      <c r="EZ75" s="12">
        <f>EZ$4 * IF(AND(EY$4=1,ER$20=1), FE75, FC75)</f>
        <v>0</v>
      </c>
      <c r="FB75" s="16" t="s">
        <v>1304</v>
      </c>
      <c r="FC75">
        <f>_xlfn.XLOOKUP(FB75,'KPI Impacts'!$B$2:$H$2,'KPI Impacts'!$B75:$H75)</f>
        <v>0</v>
      </c>
      <c r="FD75" s="35" t="s">
        <v>1304</v>
      </c>
      <c r="FE75">
        <f>_xlfn.XLOOKUP(FD75,'KPI Impacts'!$B$2:$H$2,'KPI Impacts'!$B75:$H75)</f>
        <v>0</v>
      </c>
      <c r="FH75" s="12">
        <f>FH$4*FS75</f>
        <v>0</v>
      </c>
      <c r="FI75" s="12">
        <f>FI$4 * IF(AND(FH$4=1,FH$20=1), FU75, FS75)</f>
        <v>0</v>
      </c>
      <c r="FJ75" s="12">
        <f>FJ$4 * IF(AND(FI$4=1,FH$20=1), FU75, FS75)</f>
        <v>0</v>
      </c>
      <c r="FK75" s="12">
        <f>FK$4 * IF(AND(FJ$4=1,FH$20=1), FU75, FS75)</f>
        <v>0</v>
      </c>
      <c r="FL75" s="12">
        <f>FL$4 * IF(AND(FK$4=1,FH$20=1), FU75, FS75)</f>
        <v>0</v>
      </c>
      <c r="FM75" s="12">
        <f>FM$4 * IF(AND(FL$4=1,FH$20=1), FU75, FS75)</f>
        <v>0</v>
      </c>
      <c r="FN75" s="12">
        <f>FN$4 * IF(AND(FM$4=1,FH$20=1), FU75, FS75)</f>
        <v>0</v>
      </c>
      <c r="FO75" s="12">
        <f>FO$4 * IF(AND(FN$4=1,FH$20=1), FU75, FS75)</f>
        <v>0</v>
      </c>
      <c r="FP75" s="12">
        <f>FP$4 * IF(AND(FO$4=1,FH$20=1), FU75, FS75)</f>
        <v>0</v>
      </c>
      <c r="FR75" s="16" t="s">
        <v>1304</v>
      </c>
      <c r="FS75">
        <f>_xlfn.XLOOKUP(FR75,'KPI Impacts'!$B$2:$H$2,'KPI Impacts'!$B75:$H75)</f>
        <v>0</v>
      </c>
      <c r="FT75" s="35" t="s">
        <v>1304</v>
      </c>
      <c r="FU75">
        <f>_xlfn.XLOOKUP(FT75,'KPI Impacts'!$B$2:$H$2,'KPI Impacts'!$B75:$H75)</f>
        <v>0</v>
      </c>
      <c r="FX75" s="12">
        <f>FX$4*GI75</f>
        <v>0</v>
      </c>
      <c r="FY75" s="12">
        <f>FY$4 * IF(AND(FX$4=1,FX$20=1), GK75, GI75)</f>
        <v>0</v>
      </c>
      <c r="FZ75" s="12">
        <f>FZ$4 * IF(AND(FY$4=1,FX$20=1), GK75, GI75)</f>
        <v>0</v>
      </c>
      <c r="GA75" s="12">
        <f>GA$4 * IF(AND(FZ$4=1,FX$20=1), GK75, GI75)</f>
        <v>0</v>
      </c>
      <c r="GB75" s="12">
        <f>GB$4 * IF(AND(GA$4=1,FX$20=1), GK75, GI75)</f>
        <v>0</v>
      </c>
      <c r="GC75" s="12">
        <f>GC$4 * IF(AND(GB$4=1,FX$20=1), GK75, GI75)</f>
        <v>0</v>
      </c>
      <c r="GD75" s="12">
        <f>GD$4 * IF(AND(GC$4=1,FX$20=1), GK75, GI75)</f>
        <v>0</v>
      </c>
      <c r="GE75" s="12">
        <f>GE$4 * IF(AND(GD$4=1,FX$20=1), GK75, GI75)</f>
        <v>0</v>
      </c>
      <c r="GF75" s="12">
        <f>GF$4 * IF(AND(GE$4=1,FX$20=1), GK75, GI75)</f>
        <v>0</v>
      </c>
      <c r="GH75" s="16" t="s">
        <v>1304</v>
      </c>
      <c r="GI75">
        <f>_xlfn.XLOOKUP(GH75,'KPI Impacts'!$B$2:$H$2,'KPI Impacts'!$B75:$H75)</f>
        <v>0</v>
      </c>
      <c r="GJ75" s="35" t="s">
        <v>1304</v>
      </c>
      <c r="GK75">
        <f>_xlfn.XLOOKUP(GJ75,'KPI Impacts'!$B$2:$H$2,'KPI Impacts'!$B75:$H75)</f>
        <v>0</v>
      </c>
      <c r="GN75" s="12">
        <f>GN$4*GY75</f>
        <v>0</v>
      </c>
      <c r="GO75" s="12">
        <f>GO$4 * IF(AND(GN$4=1,GN$20=1), HA75, GY75)</f>
        <v>0</v>
      </c>
      <c r="GP75" s="12">
        <f>GP$4 * IF(AND(GO$4=1,GN$20=1), HA75, GY75)</f>
        <v>0</v>
      </c>
      <c r="GQ75" s="12">
        <f>GQ$4 * IF(AND(GP$4=1,GN$20=1), HA75, GY75)</f>
        <v>0</v>
      </c>
      <c r="GR75" s="12">
        <f>GR$4 * IF(AND(GQ$4=1,GN$20=1), HA75, GY75)</f>
        <v>0</v>
      </c>
      <c r="GS75" s="12">
        <f>GS$4 * IF(AND(GR$4=1,GN$20=1), HA75, GY75)</f>
        <v>0</v>
      </c>
      <c r="GT75" s="12">
        <f>GT$4 * IF(AND(GS$4=1,GN$20=1), HA75, GY75)</f>
        <v>0</v>
      </c>
      <c r="GU75" s="12">
        <f>GU$4 * IF(AND(GT$4=1,GN$20=1), HA75, GY75)</f>
        <v>0</v>
      </c>
      <c r="GV75" s="12">
        <f>GV$4 * IF(AND(GU$4=1,GN$20=1), HA75, GY75)</f>
        <v>0</v>
      </c>
      <c r="GX75" s="16" t="s">
        <v>1304</v>
      </c>
      <c r="GY75">
        <f>_xlfn.XLOOKUP(GX75,'KPI Impacts'!$B$2:$H$2,'KPI Impacts'!$B75:$H75)</f>
        <v>0</v>
      </c>
      <c r="GZ75" s="35" t="s">
        <v>1304</v>
      </c>
      <c r="HA75">
        <f>_xlfn.XLOOKUP(GZ75,'KPI Impacts'!$B$2:$H$2,'KPI Impacts'!$B75:$H75)</f>
        <v>0</v>
      </c>
      <c r="HD75" s="12">
        <f>HD$4*HO75</f>
        <v>0</v>
      </c>
      <c r="HE75" s="12">
        <f>HE$4 * IF(AND(HD$4=1,HD$20=1), HQ75, HO75)</f>
        <v>0</v>
      </c>
      <c r="HF75" s="12">
        <f>HF$4 * IF(AND(HE$4=1,HD$20=1), HQ75, HO75)</f>
        <v>0</v>
      </c>
      <c r="HG75" s="12">
        <f>HG$4 * IF(AND(HF$4=1,HD$20=1), HQ75, HO75)</f>
        <v>0</v>
      </c>
      <c r="HH75" s="12">
        <f>HH$4 * IF(AND(HG$4=1,HD$20=1), HQ75, HO75)</f>
        <v>0</v>
      </c>
      <c r="HI75" s="12">
        <f>HI$4 * IF(AND(HH$4=1,HD$20=1), HQ75, HO75)</f>
        <v>0</v>
      </c>
      <c r="HJ75" s="12">
        <f>HJ$4 * IF(AND(HI$4=1,HD$20=1), HQ75, HO75)</f>
        <v>0</v>
      </c>
      <c r="HK75" s="12">
        <f>HK$4 * IF(AND(HJ$4=1,HD$20=1), HQ75, HO75)</f>
        <v>0</v>
      </c>
      <c r="HL75" s="12">
        <f>HL$4 * IF(AND(HK$4=1,HD$20=1), HQ75, HO75)</f>
        <v>0</v>
      </c>
      <c r="HN75" s="16" t="s">
        <v>1304</v>
      </c>
      <c r="HO75">
        <f>_xlfn.XLOOKUP(HN75,'KPI Impacts'!$B$2:$H$2,'KPI Impacts'!$B75:$H75)</f>
        <v>0</v>
      </c>
      <c r="HP75" s="35" t="s">
        <v>1304</v>
      </c>
      <c r="HQ75">
        <f>_xlfn.XLOOKUP(HP75,'KPI Impacts'!$B$2:$H$2,'KPI Impacts'!$B75:$H75)</f>
        <v>0</v>
      </c>
      <c r="HT75" s="12">
        <f>HT$4*IE75</f>
        <v>0</v>
      </c>
      <c r="HU75" s="12">
        <f>HU$4 * IF(AND(HT$4=1,HT$20=1), IG75, IE75)</f>
        <v>0</v>
      </c>
      <c r="HV75" s="12">
        <f>HV$4 * IF(AND(HU$4=1,HT$20=1), IG75, IE75)</f>
        <v>0</v>
      </c>
      <c r="HW75" s="12">
        <f>HW$4 * IF(AND(HV$4=1,HT$20=1), IG75, IE75)</f>
        <v>0</v>
      </c>
      <c r="HX75" s="12">
        <f>HX$4 * IF(AND(HW$4=1,HT$20=1), IG75, IE75)</f>
        <v>0</v>
      </c>
      <c r="HY75" s="12">
        <f>HY$4 * IF(AND(HX$4=1,HT$20=1), IG75, IE75)</f>
        <v>0</v>
      </c>
      <c r="HZ75" s="12">
        <f>HZ$4 * IF(AND(HY$4=1,HT$20=1), IG75, IE75)</f>
        <v>0</v>
      </c>
      <c r="IA75" s="12">
        <f>IA$4 * IF(AND(HZ$4=1,HT$20=1), IG75, IE75)</f>
        <v>0</v>
      </c>
      <c r="IB75" s="12">
        <f>IB$4 * IF(AND(IA$4=1,HT$20=1), IG75, IE75)</f>
        <v>0</v>
      </c>
      <c r="ID75" s="16" t="s">
        <v>1304</v>
      </c>
      <c r="IE75">
        <f>_xlfn.XLOOKUP(ID75,'KPI Impacts'!$B$2:$H$2,'KPI Impacts'!$B75:$H75)</f>
        <v>0</v>
      </c>
      <c r="IF75" s="9" t="s">
        <v>1304</v>
      </c>
      <c r="IG75">
        <f>_xlfn.XLOOKUP(IF75,'KPI Impacts'!$B$2:$H$2,'KPI Impacts'!$B75:$H75)</f>
        <v>0</v>
      </c>
      <c r="IJ75" s="12">
        <f>IJ$4*IU75</f>
        <v>0</v>
      </c>
      <c r="IK75" s="12">
        <f>IK$4 * IF(AND(IJ$4=1,IJ$20=1), IW75, IU75)</f>
        <v>0</v>
      </c>
      <c r="IL75" s="12">
        <f>IL$4 * IF(AND(IK$4=1,IJ$20=1), IW75, IU75)</f>
        <v>0</v>
      </c>
      <c r="IM75" s="12">
        <f>IM$4 * IF(AND(IL$4=1,IJ$20=1), IW75, IU75)</f>
        <v>0</v>
      </c>
      <c r="IN75" s="12">
        <f>IN$4 * IF(AND(IM$4=1,IJ$20=1), IW75, IU75)</f>
        <v>0</v>
      </c>
      <c r="IO75" s="12">
        <f>IO$4 * IF(AND(IN$4=1,IJ$20=1), IW75, IU75)</f>
        <v>0</v>
      </c>
      <c r="IP75" s="12">
        <f>IP$4 * IF(AND(IO$4=1,IJ$20=1), IW75, IU75)</f>
        <v>0</v>
      </c>
      <c r="IQ75" s="12">
        <f>IQ$4 * IF(AND(IP$4=1,IJ$20=1), IW75, IU75)</f>
        <v>0</v>
      </c>
      <c r="IR75" s="12">
        <f>IR$4 * IF(AND(IQ$4=1,IJ$20=1), IW75, IU75)</f>
        <v>0</v>
      </c>
      <c r="IT75" s="16" t="s">
        <v>1304</v>
      </c>
      <c r="IU75">
        <f>_xlfn.XLOOKUP(IT75,'KPI Impacts'!$B$2:$H$2,'KPI Impacts'!$B75:$H75)</f>
        <v>0</v>
      </c>
      <c r="IV75" s="9" t="s">
        <v>1304</v>
      </c>
      <c r="IW75">
        <f>_xlfn.XLOOKUP(IV75,'KPI Impacts'!$B$2:$H$2,'KPI Impacts'!$B75:$H75)</f>
        <v>0</v>
      </c>
      <c r="IZ75" s="12">
        <f>IZ$4*JK75</f>
        <v>0</v>
      </c>
      <c r="JA75" s="12">
        <f>JA$4 * IF(AND(IZ$4=1,IZ$20=1), JM75, JK75)</f>
        <v>0</v>
      </c>
      <c r="JB75" s="12">
        <f>JB$4 * IF(AND(JA$4=1,IZ$20=1), JM75, JK75)</f>
        <v>0</v>
      </c>
      <c r="JC75" s="12">
        <f>JC$4 * IF(AND(JB$4=1,IZ$20=1), JM75, JK75)</f>
        <v>0</v>
      </c>
      <c r="JD75" s="12">
        <f>JD$4 * IF(AND(JC$4=1,IZ$20=1), JM75, JK75)</f>
        <v>0</v>
      </c>
      <c r="JE75" s="12">
        <f>JE$4 * IF(AND(JD$4=1,IZ$20=1), JM75, JK75)</f>
        <v>0</v>
      </c>
      <c r="JF75" s="12">
        <f>JF$4 * IF(AND(JE$4=1,IZ$20=1), JM75, JK75)</f>
        <v>0</v>
      </c>
      <c r="JG75" s="12">
        <f>JG$4 * IF(AND(JF$4=1,IZ$20=1), JM75, JK75)</f>
        <v>0</v>
      </c>
      <c r="JH75" s="12">
        <f>JH$4 * IF(AND(JG$4=1,IZ$20=1), JM75, JK75)</f>
        <v>0</v>
      </c>
      <c r="JJ75" t="s">
        <v>1304</v>
      </c>
      <c r="JK75">
        <f>_xlfn.XLOOKUP(JJ75,'KPI Impacts'!$B$2:$H$2,'KPI Impacts'!$B75:$H75)</f>
        <v>0</v>
      </c>
      <c r="JL75" s="9" t="s">
        <v>1304</v>
      </c>
      <c r="JM75">
        <f>_xlfn.XLOOKUP(JL75,'KPI Impacts'!$B$2:$H$2,'KPI Impacts'!$B75:$H75)</f>
        <v>0</v>
      </c>
      <c r="JP75" s="12">
        <f>JP$4*KA75</f>
        <v>0</v>
      </c>
      <c r="JQ75" s="12">
        <f>JQ$4 * IF(AND(JP$4=1,JP$20=1), KC75, KA75)</f>
        <v>0</v>
      </c>
      <c r="JR75" s="12">
        <f>JR$4 * IF(AND(JQ$4=1,JP$20=1), KC75, KA75)</f>
        <v>0</v>
      </c>
      <c r="JS75" s="12">
        <f>JS$4 * IF(AND(JR$4=1,JP$20=1), KC75, KA75)</f>
        <v>0</v>
      </c>
      <c r="JT75" s="12">
        <f>JT$4 * IF(AND(JS$4=1,JP$20=1), KC75, KA75)</f>
        <v>0</v>
      </c>
      <c r="JU75" s="12">
        <f>JU$4 * IF(AND(JT$4=1,JP$20=1), KC75, KA75)</f>
        <v>0</v>
      </c>
      <c r="JV75" s="12">
        <f>JV$4 * IF(AND(JU$4=1,JP$20=1), KC75, KA75)</f>
        <v>0</v>
      </c>
      <c r="JW75" s="12">
        <f>JW$4 * IF(AND(JV$4=1,JP$20=1), KC75, KA75)</f>
        <v>0</v>
      </c>
      <c r="JX75" s="12">
        <f>JX$4 * IF(AND(JW$4=1,JP$20=1), KC75, KA75)</f>
        <v>0</v>
      </c>
      <c r="JZ75" t="s">
        <v>1304</v>
      </c>
      <c r="KA75">
        <f>_xlfn.XLOOKUP(JZ75,'KPI Impacts'!$B$2:$H$2,'KPI Impacts'!$B75:$H75)</f>
        <v>0</v>
      </c>
      <c r="KB75" s="9" t="s">
        <v>1304</v>
      </c>
      <c r="KC75">
        <f>_xlfn.XLOOKUP(KB75,'KPI Impacts'!$B$2:$H$2,'KPI Impacts'!$B75:$H75)</f>
        <v>0</v>
      </c>
      <c r="KF75" s="12">
        <f>KF$4*KQ75</f>
        <v>0</v>
      </c>
      <c r="KG75" s="12">
        <f>KG$4 * IF(AND(KF$4=1,KF$20=1), KS75, KQ75)</f>
        <v>0</v>
      </c>
      <c r="KH75" s="12">
        <f>KH$4 * IF(AND(KG$4=1,KF$20=1), KS75, KQ75)</f>
        <v>0</v>
      </c>
      <c r="KI75" s="12">
        <f>KI$4 * IF(AND(KH$4=1,KF$20=1), KS75, KQ75)</f>
        <v>0</v>
      </c>
      <c r="KJ75" s="12">
        <f>KJ$4 * IF(AND(KI$4=1,KF$20=1), KS75, KQ75)</f>
        <v>0</v>
      </c>
      <c r="KK75" s="12">
        <f>KK$4 * IF(AND(KJ$4=1,KF$20=1), KS75, KQ75)</f>
        <v>0</v>
      </c>
      <c r="KL75" s="12">
        <f>KL$4 * IF(AND(KK$4=1,KF$20=1), KS75, KQ75)</f>
        <v>0</v>
      </c>
      <c r="KM75" s="12">
        <f>KM$4 * IF(AND(KL$4=1,KF$20=1), KS75, KQ75)</f>
        <v>0</v>
      </c>
      <c r="KN75" s="12">
        <f>KN$4 * IF(AND(KM$4=1,KF$20=1), KS75, KQ75)</f>
        <v>0</v>
      </c>
      <c r="KP75" t="s">
        <v>1304</v>
      </c>
      <c r="KQ75">
        <f>_xlfn.XLOOKUP(KP75,'KPI Impacts'!$B$2:$H$2,'KPI Impacts'!$B75:$H75)</f>
        <v>0</v>
      </c>
      <c r="KR75" s="9" t="s">
        <v>1304</v>
      </c>
      <c r="KS75">
        <f>_xlfn.XLOOKUP(KR75,'KPI Impacts'!$B$2:$H$2,'KPI Impacts'!$B75:$H75)</f>
        <v>0</v>
      </c>
      <c r="KV75" s="12">
        <f>KV$4*LG75</f>
        <v>0</v>
      </c>
      <c r="KW75" s="12">
        <f>KW$4 * IF(AND(KV$4=1,KV$20=1), LI75, LG75)</f>
        <v>0</v>
      </c>
      <c r="KX75" s="12">
        <f>KX$4 * IF(AND(KW$4=1,KV$20=1), LI75, LG75)</f>
        <v>0</v>
      </c>
      <c r="KY75" s="12">
        <f>KY$4 * IF(AND(KX$4=1,KV$20=1), LI75, LG75)</f>
        <v>0</v>
      </c>
      <c r="KZ75" s="12">
        <f>KZ$4 * IF(AND(KY$4=1,KV$20=1), LI75, LG75)</f>
        <v>0</v>
      </c>
      <c r="LA75" s="12">
        <f>LA$4 * IF(AND(KZ$4=1,KV$20=1), LI75, LG75)</f>
        <v>0</v>
      </c>
      <c r="LB75" s="12">
        <f>LB$4 * IF(AND(LA$4=1,KV$20=1), LI75, LG75)</f>
        <v>0</v>
      </c>
      <c r="LC75" s="12">
        <f>LC$4 * IF(AND(LB$4=1,KV$20=1), LI75, LG75)</f>
        <v>0</v>
      </c>
      <c r="LD75" s="12">
        <f>LD$4 * IF(AND(LC$4=1,KV$20=1), LI75, LG75)</f>
        <v>0</v>
      </c>
      <c r="LF75" t="s">
        <v>1304</v>
      </c>
      <c r="LG75">
        <f>_xlfn.XLOOKUP(LF75,'KPI Impacts'!$B$2:$H$2,'KPI Impacts'!$B75:$H75)</f>
        <v>0</v>
      </c>
      <c r="LH75" s="9" t="s">
        <v>1304</v>
      </c>
      <c r="LI75">
        <f>_xlfn.XLOOKUP(LH75,'KPI Impacts'!$B$2:$H$2,'KPI Impacts'!$B75:$H75)</f>
        <v>0</v>
      </c>
      <c r="LL75" s="12">
        <f>LL$4*LW75</f>
        <v>0</v>
      </c>
      <c r="LM75" s="12">
        <f>LM$4 * IF(AND(LL$4=1,LL$20=1), LY75, LW75)</f>
        <v>0</v>
      </c>
      <c r="LN75" s="12">
        <f>LN$4 * IF(AND(LM$4=1,LL$20=1), LY75, LW75)</f>
        <v>0</v>
      </c>
      <c r="LO75" s="12">
        <f>LO$4 * IF(AND(LN$4=1,LL$20=1), LY75, LW75)</f>
        <v>0</v>
      </c>
      <c r="LP75" s="12">
        <f>LP$4 * IF(AND(LO$4=1,LL$20=1), LY75, LW75)</f>
        <v>0</v>
      </c>
      <c r="LQ75" s="12">
        <f>LQ$4 * IF(AND(LP$4=1,LL$20=1), LY75, LW75)</f>
        <v>0</v>
      </c>
      <c r="LR75" s="12">
        <f>LR$4 * IF(AND(LQ$4=1,LL$20=1), LY75, LW75)</f>
        <v>0</v>
      </c>
      <c r="LS75" s="12">
        <f>LS$4 * IF(AND(LR$4=1,LL$20=1), LY75, LW75)</f>
        <v>0</v>
      </c>
      <c r="LT75" s="12">
        <f>LT$4 * IF(AND(LS$4=1,LL$20=1), LY75, LW75)</f>
        <v>0</v>
      </c>
      <c r="LV75" t="s">
        <v>1304</v>
      </c>
      <c r="LW75">
        <f>_xlfn.XLOOKUP(LV75,'KPI Impacts'!$B$2:$H$2,'KPI Impacts'!$B75:$H75)</f>
        <v>0</v>
      </c>
      <c r="LX75" s="9" t="s">
        <v>1304</v>
      </c>
      <c r="LY75">
        <f>_xlfn.XLOOKUP(LX75,'KPI Impacts'!$B$2:$H$2,'KPI Impacts'!$B75:$H75)</f>
        <v>0</v>
      </c>
      <c r="MB75" s="12">
        <f>MB$4*MM75</f>
        <v>0</v>
      </c>
      <c r="MC75" s="12">
        <f>MC$4 * IF(AND(MB$4=1,MB$20=1), MO75, MM75)</f>
        <v>0</v>
      </c>
      <c r="MD75" s="12">
        <f>MD$4 * IF(AND(MC$4=1,MB$20=1), MO75, MM75)</f>
        <v>0</v>
      </c>
      <c r="ME75" s="12">
        <f>ME$4 * IF(AND(MD$4=1,MB$20=1), MO75, MM75)</f>
        <v>0</v>
      </c>
      <c r="MF75" s="12">
        <f>MF$4 * IF(AND(ME$4=1,MB$20=1), MO75, MM75)</f>
        <v>0</v>
      </c>
      <c r="MG75" s="12">
        <f>MG$4 * IF(AND(MF$4=1,MB$20=1), MO75, MM75)</f>
        <v>0</v>
      </c>
      <c r="MH75" s="12">
        <f>MH$4 * IF(AND(MG$4=1,MB$20=1), MO75, MM75)</f>
        <v>0</v>
      </c>
      <c r="MI75" s="12">
        <f>MI$4 * IF(AND(MH$4=1,MB$20=1), MO75, MM75)</f>
        <v>0</v>
      </c>
      <c r="MJ75" s="12">
        <f>MJ$4 * IF(AND(MI$4=1,MB$20=1), MO75, MM75)</f>
        <v>0</v>
      </c>
      <c r="ML75" t="s">
        <v>1304</v>
      </c>
      <c r="MM75">
        <f>_xlfn.XLOOKUP(ML75,'KPI Impacts'!$B$2:$H$2,'KPI Impacts'!$B75:$H75)</f>
        <v>0</v>
      </c>
      <c r="MN75" s="9" t="s">
        <v>1304</v>
      </c>
      <c r="MO75">
        <f>_xlfn.XLOOKUP(MN75,'KPI Impacts'!$B$2:$H$2,'KPI Impacts'!$B75:$H75)</f>
        <v>0</v>
      </c>
      <c r="MR75" s="12">
        <f>MR$4*NC75</f>
        <v>0</v>
      </c>
      <c r="MS75" s="12">
        <f>MS$4 * IF(AND(MR$4=1,MR$20=1), NE75, NC75)</f>
        <v>0</v>
      </c>
      <c r="MT75" s="12">
        <f>MT$4 * IF(AND(MS$4=1,MR$20=1), NE75, NC75)</f>
        <v>0</v>
      </c>
      <c r="MU75" s="12">
        <f>MU$4 * IF(AND(MT$4=1,MR$20=1), NE75, NC75)</f>
        <v>0</v>
      </c>
      <c r="MV75" s="12">
        <f>MV$4 * IF(AND(MU$4=1,MR$20=1), NE75, NC75)</f>
        <v>0</v>
      </c>
      <c r="MW75" s="12">
        <f>MW$4 * IF(AND(MV$4=1,MR$20=1), NE75, NC75)</f>
        <v>0</v>
      </c>
      <c r="MX75" s="12">
        <f>MX$4 * IF(AND(MW$4=1,MR$20=1), NE75, NC75)</f>
        <v>0</v>
      </c>
      <c r="MY75" s="12">
        <f>MY$4 * IF(AND(MX$4=1,MR$20=1), NE75, NC75)</f>
        <v>0</v>
      </c>
      <c r="MZ75" s="12">
        <f>MZ$4 * IF(AND(MY$4=1,MR$20=1), NE75, NC75)</f>
        <v>0</v>
      </c>
      <c r="NB75" t="s">
        <v>1304</v>
      </c>
      <c r="NC75">
        <f>_xlfn.XLOOKUP(NB75,'KPI Impacts'!$B$2:$H$2,'KPI Impacts'!$B75:$H75)</f>
        <v>0</v>
      </c>
      <c r="ND75" s="9" t="s">
        <v>1304</v>
      </c>
      <c r="NE75">
        <f>_xlfn.XLOOKUP(ND75,'KPI Impacts'!$B$2:$H$2,'KPI Impacts'!$B75:$H75)</f>
        <v>0</v>
      </c>
      <c r="NH75" s="12">
        <f>NH$4*NS75</f>
        <v>0</v>
      </c>
      <c r="NI75" s="12">
        <f>NI$4 * IF(AND(NH$4=1,NH$20=1), NU75, NS75)</f>
        <v>0</v>
      </c>
      <c r="NJ75" s="12">
        <f>NJ$4 * IF(AND(NI$4=1,NH$20=1), NU75, NS75)</f>
        <v>0</v>
      </c>
      <c r="NK75" s="12">
        <f>NK$4 * IF(AND(NJ$4=1,NH$20=1), NU75, NS75)</f>
        <v>0</v>
      </c>
      <c r="NL75" s="12">
        <f>NL$4 * IF(AND(NK$4=1,NH$20=1), NU75, NS75)</f>
        <v>0</v>
      </c>
      <c r="NM75" s="12">
        <f>NM$4 * IF(AND(NL$4=1,NH$20=1), NU75, NS75)</f>
        <v>0</v>
      </c>
      <c r="NN75" s="12">
        <f>NN$4 * IF(AND(NM$4=1,NH$20=1), NU75, NS75)</f>
        <v>0</v>
      </c>
      <c r="NO75" s="12">
        <f>NO$4 * IF(AND(NN$4=1,NH$20=1), NU75, NS75)</f>
        <v>0</v>
      </c>
      <c r="NP75" s="12">
        <f>NP$4 * IF(AND(NO$4=1,NH$20=1), NU75, NS75)</f>
        <v>0</v>
      </c>
      <c r="NR75" t="s">
        <v>1304</v>
      </c>
      <c r="NS75">
        <f>_xlfn.XLOOKUP(NR75,'KPI Impacts'!$B$2:$H$2,'KPI Impacts'!$B75:$H75)</f>
        <v>0</v>
      </c>
      <c r="NT75" s="9" t="s">
        <v>1304</v>
      </c>
      <c r="NU75">
        <f>_xlfn.XLOOKUP(NT75,'KPI Impacts'!$B$2:$H$2,'KPI Impacts'!$B75:$H75)</f>
        <v>0</v>
      </c>
      <c r="NX75" s="12">
        <f>NX$4*OI75</f>
        <v>0</v>
      </c>
      <c r="NY75" s="12">
        <f>NY$4 * IF(AND(NX$4=1,NX$20=1), OK75, OI75)</f>
        <v>0</v>
      </c>
      <c r="NZ75" s="12">
        <f>NZ$4 * IF(AND(NY$4=1,NX$20=1), OK75, OI75)</f>
        <v>0</v>
      </c>
      <c r="OA75" s="12">
        <f>OA$4 * IF(AND(NZ$4=1,NX$20=1), OK75, OI75)</f>
        <v>0</v>
      </c>
      <c r="OB75" s="12">
        <f>OB$4 * IF(AND(OA$4=1,NX$20=1), OK75, OI75)</f>
        <v>0</v>
      </c>
      <c r="OC75" s="12">
        <f>OC$4 * IF(AND(OB$4=1,NX$20=1), OK75, OI75)</f>
        <v>0</v>
      </c>
      <c r="OD75" s="12">
        <f>OD$4 * IF(AND(OC$4=1,NX$20=1), OK75, OI75)</f>
        <v>0</v>
      </c>
      <c r="OE75" s="12">
        <f>OE$4 * IF(AND(OD$4=1,NX$20=1), OK75, OI75)</f>
        <v>0</v>
      </c>
      <c r="OF75" s="12">
        <f>OF$4 * IF(AND(OE$4=1,NX$20=1), OK75, OI75)</f>
        <v>0</v>
      </c>
      <c r="OH75" t="s">
        <v>1304</v>
      </c>
      <c r="OI75">
        <f>_xlfn.XLOOKUP(OH75,'KPI Impacts'!$B$2:$H$2,'KPI Impacts'!$B75:$H75)</f>
        <v>0</v>
      </c>
      <c r="OJ75" s="9" t="s">
        <v>1304</v>
      </c>
      <c r="OK75">
        <f>_xlfn.XLOOKUP(OJ75,'KPI Impacts'!$B$2:$H$2,'KPI Impacts'!$B75:$H75)</f>
        <v>0</v>
      </c>
    </row>
    <row r="76" spans="1:401" x14ac:dyDescent="0.2">
      <c r="A76" t="s">
        <v>1312</v>
      </c>
      <c r="B76" s="12">
        <f t="shared" si="509"/>
        <v>0</v>
      </c>
      <c r="C76" s="12">
        <f t="shared" si="509"/>
        <v>0</v>
      </c>
      <c r="D76" s="12">
        <f t="shared" si="509"/>
        <v>0</v>
      </c>
      <c r="E76" s="12">
        <f t="shared" si="509"/>
        <v>0</v>
      </c>
      <c r="F76" s="12">
        <f t="shared" si="509"/>
        <v>0</v>
      </c>
      <c r="G76" s="12">
        <f t="shared" si="509"/>
        <v>0</v>
      </c>
      <c r="H76" s="12">
        <f t="shared" si="509"/>
        <v>0</v>
      </c>
      <c r="I76" s="12">
        <f t="shared" si="509"/>
        <v>0</v>
      </c>
      <c r="J76" s="12">
        <f t="shared" si="509"/>
        <v>0</v>
      </c>
      <c r="P76" s="12" cm="1">
        <f t="array" ref="P76">_xlfn.SWITCH(P$4, 0,0, 1, AA76,2,AC76,3,AE76,0)</f>
        <v>0</v>
      </c>
      <c r="Q76" s="12" cm="1">
        <f t="array" ref="Q76">_xlfn.SWITCH(Q$4, 0,0, 1, AA76,2,AC76,3,AE76,0)+P76</f>
        <v>0</v>
      </c>
      <c r="R76" s="12" cm="1">
        <f t="array" ref="R76">_xlfn.SWITCH(R$4, 0,0, 1, AA76,2,AC76,3,AE76,0)+Q76</f>
        <v>0</v>
      </c>
      <c r="S76" s="12" cm="1">
        <f t="array" ref="S76">_xlfn.SWITCH(S$4, 0,0, 1, AA76,2,AC76,3,AE76,0)+R76</f>
        <v>0</v>
      </c>
      <c r="T76" s="12" cm="1">
        <f t="array" ref="T76">_xlfn.SWITCH(T$4, 0,0, 1, AA76,2,AC76,3,AE76,0)+S76</f>
        <v>0</v>
      </c>
      <c r="U76" s="12" cm="1">
        <f t="array" ref="U76">_xlfn.SWITCH(U$4, 0,0, 1, AA76,2,AC76,3,AE76,0)+T76</f>
        <v>0</v>
      </c>
      <c r="V76" s="12" cm="1">
        <f t="array" ref="V76">_xlfn.SWITCH(V$4, 0,0, 1, AA76,2,AC76,3,AE76,0)+U76</f>
        <v>0</v>
      </c>
      <c r="W76" s="12" cm="1">
        <f t="array" ref="W76">_xlfn.SWITCH(W$4, 0,0, 1, AA76,2,AC76,3,AE76,0)+V76</f>
        <v>0</v>
      </c>
      <c r="X76" s="12" cm="1">
        <f t="array" ref="X76">_xlfn.SWITCH(X$4, 0,0, 1, AA76,2,AC76,3,AE76,0)+W76</f>
        <v>0</v>
      </c>
      <c r="Z76" t="s">
        <v>1304</v>
      </c>
      <c r="AA76">
        <f>_xlfn.XLOOKUP(Z76,'KPI Impacts'!$K$2:$Q$2,'KPI Impacts'!$K76:$Q76)</f>
        <v>0</v>
      </c>
      <c r="AB76" t="s">
        <v>1304</v>
      </c>
      <c r="AC76">
        <f>_xlfn.XLOOKUP(AB76,'KPI Impacts'!$K$2:$Q$2,'KPI Impacts'!$K76:$Q76)</f>
        <v>0</v>
      </c>
      <c r="AD76" t="s">
        <v>1304</v>
      </c>
      <c r="AE76">
        <f>_xlfn.XLOOKUP(AD76,'KPI Impacts'!$K$2:$Q$2,'KPI Impacts'!$K76:$Q76)</f>
        <v>0</v>
      </c>
      <c r="AH76" s="12" cm="1">
        <f t="array" ref="AH76">_xlfn.SWITCH(AH$4, 0,0, 1, AS76,2,AU76,3,AW76,0)</f>
        <v>0</v>
      </c>
      <c r="AI76" s="12" cm="1">
        <f t="array" ref="AI76">_xlfn.SWITCH(AI$4, 0,0, 1, AS76,2,AU76,3,AW76,0)+AH76</f>
        <v>0</v>
      </c>
      <c r="AJ76" s="12" cm="1">
        <f t="array" ref="AJ76">_xlfn.SWITCH(AJ$4, 0,0, 1, AS76,2,AU76,3,AW76,0)+AI76</f>
        <v>0</v>
      </c>
      <c r="AK76" s="12" cm="1">
        <f t="array" ref="AK76">_xlfn.SWITCH(AK$4, 0,0, 1, AS76,2,AU76,3,AW76,0)+AJ76</f>
        <v>0</v>
      </c>
      <c r="AL76" s="12" cm="1">
        <f t="array" ref="AL76">_xlfn.SWITCH(AL$4, 0,0, 1, AS76,2,AU76,3,AW76,0)+AK76</f>
        <v>0</v>
      </c>
      <c r="AM76" s="12" cm="1">
        <f t="array" ref="AM76">_xlfn.SWITCH(AM$4, 0,0, 1, AS76,2,AU76,3,AW76,0)+AL76</f>
        <v>0</v>
      </c>
      <c r="AN76" s="12" cm="1">
        <f t="array" ref="AN76">_xlfn.SWITCH(AN$4, 0,0, 1, AS76,2,AU76,3,AW76,0)+AM76</f>
        <v>0</v>
      </c>
      <c r="AO76" s="12" cm="1">
        <f t="array" ref="AO76">_xlfn.SWITCH(AO$4, 0,0, 1, AS76,2,AU76,3,AW76,0)+AN76</f>
        <v>0</v>
      </c>
      <c r="AP76" s="12" cm="1">
        <f t="array" ref="AP76">_xlfn.SWITCH(AP$4, 0,0, 1, AS76,2,AU76,3,AW76,0)+AO76</f>
        <v>0</v>
      </c>
      <c r="AR76" t="s">
        <v>1304</v>
      </c>
      <c r="AS76">
        <f>_xlfn.XLOOKUP(AR76,'KPI Impacts'!$K$2:$Q$2,'KPI Impacts'!$K76:$Q76)</f>
        <v>0</v>
      </c>
      <c r="AT76" t="s">
        <v>1304</v>
      </c>
      <c r="AU76">
        <f>_xlfn.XLOOKUP(AT76,'KPI Impacts'!$K$2:$Q$2,'KPI Impacts'!$K76:$Q76)</f>
        <v>0</v>
      </c>
      <c r="AV76" t="s">
        <v>1304</v>
      </c>
      <c r="AW76">
        <f>_xlfn.XLOOKUP(AV76,'KPI Impacts'!$K$2:$Q$2,'KPI Impacts'!$K76:$Q76)</f>
        <v>0</v>
      </c>
      <c r="AZ76" s="12">
        <f>AZ$4*BK76</f>
        <v>0</v>
      </c>
      <c r="BA76" s="12">
        <f>BA$4 * IF(AND(AZ$4=1,AZ$20=1), BM76, BK76)</f>
        <v>0</v>
      </c>
      <c r="BB76" s="12">
        <f>BB$4 * IF(AND(BA$4=1,AZ$20=1), BM76, BK76)</f>
        <v>0</v>
      </c>
      <c r="BC76" s="12">
        <f>BC$4 * IF(AND(BB$4=1,AZ$20=1), BM76, BK76)</f>
        <v>0</v>
      </c>
      <c r="BD76" s="12">
        <f>BD$4 * IF(AND(BC$4=1,AZ$20=1), BM76, BK76)</f>
        <v>0</v>
      </c>
      <c r="BE76" s="12">
        <f>BE$4 * IF(AND(BD$4=1,AZ$20=1), BM76, BK76)</f>
        <v>0</v>
      </c>
      <c r="BF76" s="12">
        <f>BF$4 * IF(AND(BE$4=1,AZ$20=1), BM76, BK76)</f>
        <v>0</v>
      </c>
      <c r="BG76" s="12">
        <f>BG$4 * IF(AND(BF$4=1,AZ$20=1), BM76, BK76)</f>
        <v>0</v>
      </c>
      <c r="BH76" s="12">
        <f>BH$4 * IF(AND(BG$4=1,AZ$20=1), BM76, BK76)</f>
        <v>0</v>
      </c>
      <c r="BJ76" s="16" t="s">
        <v>1304</v>
      </c>
      <c r="BK76">
        <f>_xlfn.XLOOKUP(BJ76,'KPI Impacts'!$B$2:$H$2,'KPI Impacts'!$B76:$H76)</f>
        <v>0</v>
      </c>
      <c r="BL76" s="35" t="s">
        <v>1304</v>
      </c>
      <c r="BM76">
        <f>_xlfn.XLOOKUP(BL76,'KPI Impacts'!$B$2:$H$2,'KPI Impacts'!$B76:$H76)</f>
        <v>0</v>
      </c>
      <c r="BP76" s="12">
        <f>BP$4*CA76</f>
        <v>0</v>
      </c>
      <c r="BQ76" s="12">
        <f>BQ$4 * IF(AND(BP$4=1,BP$20=1), CC76, CA76)</f>
        <v>0</v>
      </c>
      <c r="BR76" s="12">
        <f>BR$4 * IF(AND(BQ$4=1,BP$20=1), CC76, CA76)</f>
        <v>0</v>
      </c>
      <c r="BS76" s="12">
        <f>BS$4 * IF(AND(BR$4=1,BP$20=1), CC76, CA76)</f>
        <v>0</v>
      </c>
      <c r="BT76" s="12">
        <f>BT$4 * IF(AND(BS$4=1,BP$20=1), CC76, CA76)</f>
        <v>0</v>
      </c>
      <c r="BU76" s="12">
        <f>BU$4 * IF(AND(BT$4=1,BP$20=1), CC76, CA76)</f>
        <v>0</v>
      </c>
      <c r="BV76" s="12">
        <f>BV$4 * IF(AND(BU$4=1,BP$20=1), CC76, CA76)</f>
        <v>0</v>
      </c>
      <c r="BW76" s="12">
        <f>BW$4 * IF(AND(BV$4=1,BP$20=1), CC76, CA76)</f>
        <v>0</v>
      </c>
      <c r="BX76" s="12">
        <f>BX$4 * IF(AND(BW$4=1,BP$20=1), CC76, CA76)</f>
        <v>0</v>
      </c>
      <c r="BZ76" s="16" t="s">
        <v>1304</v>
      </c>
      <c r="CA76">
        <f>_xlfn.XLOOKUP(BZ76,'KPI Impacts'!$B$2:$H$2,'KPI Impacts'!$B76:$H76)</f>
        <v>0</v>
      </c>
      <c r="CB76" s="35" t="s">
        <v>1304</v>
      </c>
      <c r="CC76">
        <f>_xlfn.XLOOKUP(CB76,'KPI Impacts'!$B$2:$H$2,'KPI Impacts'!$B76:$H76)</f>
        <v>0</v>
      </c>
      <c r="CF76" s="12">
        <f>CF$4*CQ76</f>
        <v>0</v>
      </c>
      <c r="CG76" s="12">
        <f>CG$4 * IF(AND(CF$4=1,CF$20=1), CS76, CQ76)</f>
        <v>0</v>
      </c>
      <c r="CH76" s="12">
        <f>CH$4 * IF(AND(CG$4=1,CF$20=1), CS76, CQ76)</f>
        <v>0</v>
      </c>
      <c r="CI76" s="12">
        <f>CI$4 * IF(AND(CH$4=1,CF$20=1), CS76, CQ76)</f>
        <v>0</v>
      </c>
      <c r="CJ76" s="12">
        <f>CJ$4 * IF(AND(CI$4=1,CF$20=1), CS76, CQ76)</f>
        <v>0</v>
      </c>
      <c r="CK76" s="12">
        <f>CK$4 * IF(AND(CJ$4=1,CF$20=1), CS76, CQ76)</f>
        <v>0</v>
      </c>
      <c r="CL76" s="12">
        <f>CL$4 * IF(AND(CK$4=1,CF$20=1), CS76, CQ76)</f>
        <v>0</v>
      </c>
      <c r="CM76" s="12">
        <f>CM$4 * IF(AND(CL$4=1,CF$20=1), CS76, CQ76)</f>
        <v>0</v>
      </c>
      <c r="CN76" s="12">
        <f>CN$4 * IF(AND(CM$4=1,CF$20=1), CS76, CQ76)</f>
        <v>0</v>
      </c>
      <c r="CP76" s="16" t="s">
        <v>1304</v>
      </c>
      <c r="CQ76">
        <f>_xlfn.XLOOKUP(CP76,'KPI Impacts'!$B$2:$H$2,'KPI Impacts'!$B76:$H76)</f>
        <v>0</v>
      </c>
      <c r="CR76" s="35" t="s">
        <v>1304</v>
      </c>
      <c r="CS76">
        <f>_xlfn.XLOOKUP(CR76,'KPI Impacts'!$B$2:$H$2,'KPI Impacts'!$B76:$H76)</f>
        <v>0</v>
      </c>
      <c r="CV76" s="12">
        <f>CV$4*DG76</f>
        <v>0</v>
      </c>
      <c r="CW76" s="12">
        <f>CW$4 * IF(AND(CV$4=1,CV$20=1), DI76, DG76)</f>
        <v>0</v>
      </c>
      <c r="CX76" s="12">
        <f>CX$4 * IF(AND(CW$4=1,CV$20=1), DI76, DG76)</f>
        <v>0</v>
      </c>
      <c r="CY76" s="12">
        <f>CY$4 * IF(AND(CX$4=1,CV$20=1), DI76, DG76)</f>
        <v>0</v>
      </c>
      <c r="CZ76" s="12">
        <f>CZ$4 * IF(AND(CY$4=1,CV$20=1), DI76, DG76)</f>
        <v>0</v>
      </c>
      <c r="DA76" s="12">
        <f>DA$4 * IF(AND(CZ$4=1,CV$20=1), DI76, DG76)</f>
        <v>0</v>
      </c>
      <c r="DB76" s="12">
        <f>DB$4 * IF(AND(DA$4=1,CV$20=1), DI76, DG76)</f>
        <v>0</v>
      </c>
      <c r="DC76" s="12">
        <f>DC$4 * IF(AND(DB$4=1,CV$20=1), DI76, DG76)</f>
        <v>0</v>
      </c>
      <c r="DD76" s="12">
        <f>DD$4 * IF(AND(DC$4=1,CV$20=1), DI76, DG76)</f>
        <v>0</v>
      </c>
      <c r="DF76" s="16" t="s">
        <v>1304</v>
      </c>
      <c r="DG76">
        <f>_xlfn.XLOOKUP(DF76,'KPI Impacts'!$B$2:$H$2,'KPI Impacts'!$B76:$H76)</f>
        <v>0</v>
      </c>
      <c r="DH76" s="35" t="s">
        <v>1304</v>
      </c>
      <c r="DI76">
        <f>_xlfn.XLOOKUP(DH76,'KPI Impacts'!$B$2:$H$2,'KPI Impacts'!$B76:$H76)</f>
        <v>0</v>
      </c>
      <c r="DL76" s="12">
        <f>DL$4*DW76</f>
        <v>0</v>
      </c>
      <c r="DM76" s="12">
        <f>DM$4 * IF(AND(DL$4=1,DL$20=1), DY76, DW76)</f>
        <v>0</v>
      </c>
      <c r="DN76" s="12">
        <f>DN$4 * IF(AND(DM$4=1,DL$20=1), DY76, DW76)</f>
        <v>0</v>
      </c>
      <c r="DO76" s="12">
        <f>DO$4 * IF(AND(DN$4=1,DL$20=1), DY76, DW76)</f>
        <v>0</v>
      </c>
      <c r="DP76" s="12">
        <f>DP$4 * IF(AND(DO$4=1,DL$20=1), DY76, DW76)</f>
        <v>0</v>
      </c>
      <c r="DQ76" s="12">
        <f>DQ$4 * IF(AND(DP$4=1,DL$20=1), DY76, DW76)</f>
        <v>0</v>
      </c>
      <c r="DR76" s="12">
        <f>DR$4 * IF(AND(DQ$4=1,DL$20=1), DY76, DW76)</f>
        <v>0</v>
      </c>
      <c r="DS76" s="12">
        <f>DS$4 * IF(AND(DR$4=1,DL$20=1), DY76, DW76)</f>
        <v>0</v>
      </c>
      <c r="DT76" s="12">
        <f>DT$4 * IF(AND(DS$4=1,DL$20=1), DY76, DW76)</f>
        <v>0</v>
      </c>
      <c r="DV76" s="16" t="s">
        <v>1304</v>
      </c>
      <c r="DW76">
        <f>_xlfn.XLOOKUP(DV76,'KPI Impacts'!$B$2:$H$2,'KPI Impacts'!$B76:$H76)</f>
        <v>0</v>
      </c>
      <c r="DX76" s="35" t="s">
        <v>1304</v>
      </c>
      <c r="DY76">
        <f>_xlfn.XLOOKUP(DX76,'KPI Impacts'!$B$2:$H$2,'KPI Impacts'!$B76:$H76)</f>
        <v>0</v>
      </c>
      <c r="EB76" s="12">
        <f>EB$4*EM76</f>
        <v>0</v>
      </c>
      <c r="EC76" s="12">
        <f>EC$4 * IF(AND(EB$4=1,EB$20=1), EO76, EM76)</f>
        <v>0</v>
      </c>
      <c r="ED76" s="12">
        <f>ED$4 * IF(AND(EC$4=1,EB$20=1), EO76, EM76)</f>
        <v>0</v>
      </c>
      <c r="EE76" s="12">
        <f>EE$4 * IF(AND(ED$4=1,EB$20=1), EO76, EM76)</f>
        <v>0</v>
      </c>
      <c r="EF76" s="12">
        <f>EF$4 * IF(AND(EE$4=1,EB$20=1), EO76, EM76)</f>
        <v>0</v>
      </c>
      <c r="EG76" s="12">
        <f>EG$4 * IF(AND(EF$4=1,EB$20=1), EO76, EM76)</f>
        <v>0</v>
      </c>
      <c r="EH76" s="12">
        <f>EH$4 * IF(AND(EG$4=1,EB$20=1), EO76, EM76)</f>
        <v>0</v>
      </c>
      <c r="EI76" s="12">
        <f>EI$4 * IF(AND(EH$4=1,EB$20=1), EO76, EM76)</f>
        <v>0</v>
      </c>
      <c r="EJ76" s="12">
        <f>EJ$4 * IF(AND(EI$4=1,EB$20=1), EO76, EM76)</f>
        <v>0</v>
      </c>
      <c r="EL76" s="16" t="s">
        <v>1304</v>
      </c>
      <c r="EM76">
        <f>_xlfn.XLOOKUP(EL76,'KPI Impacts'!$B$2:$H$2,'KPI Impacts'!$B76:$H76)</f>
        <v>0</v>
      </c>
      <c r="EN76" s="35" t="s">
        <v>1304</v>
      </c>
      <c r="EO76">
        <f>_xlfn.XLOOKUP(EN76,'KPI Impacts'!$B$2:$H$2,'KPI Impacts'!$B76:$H76)</f>
        <v>0</v>
      </c>
      <c r="ER76" s="12">
        <f>ER$4*FC76</f>
        <v>0</v>
      </c>
      <c r="ES76" s="12">
        <f>ES$4 * IF(AND(ER$4=1,ER$20=1), FE76, FC76)</f>
        <v>0</v>
      </c>
      <c r="ET76" s="12">
        <f>ET$4 * IF(AND(ES$4=1,ER$20=1), FE76, FC76)</f>
        <v>0</v>
      </c>
      <c r="EU76" s="12">
        <f>EU$4 * IF(AND(ET$4=1,ER$20=1), FE76, FC76)</f>
        <v>0</v>
      </c>
      <c r="EV76" s="12">
        <f>EV$4 * IF(AND(EU$4=1,ER$20=1), FE76, FC76)</f>
        <v>0</v>
      </c>
      <c r="EW76" s="12">
        <f>EW$4 * IF(AND(EV$4=1,ER$20=1), FE76, FC76)</f>
        <v>0</v>
      </c>
      <c r="EX76" s="12">
        <f>EX$4 * IF(AND(EW$4=1,ER$20=1), FE76, FC76)</f>
        <v>0</v>
      </c>
      <c r="EY76" s="12">
        <f>EY$4 * IF(AND(EX$4=1,ER$20=1), FE76, FC76)</f>
        <v>0</v>
      </c>
      <c r="EZ76" s="12">
        <f>EZ$4 * IF(AND(EY$4=1,ER$20=1), FE76, FC76)</f>
        <v>0</v>
      </c>
      <c r="FB76" s="16" t="s">
        <v>1304</v>
      </c>
      <c r="FC76">
        <f>_xlfn.XLOOKUP(FB76,'KPI Impacts'!$B$2:$H$2,'KPI Impacts'!$B76:$H76)</f>
        <v>0</v>
      </c>
      <c r="FD76" s="35" t="s">
        <v>1304</v>
      </c>
      <c r="FE76">
        <f>_xlfn.XLOOKUP(FD76,'KPI Impacts'!$B$2:$H$2,'KPI Impacts'!$B76:$H76)</f>
        <v>0</v>
      </c>
      <c r="FH76" s="12">
        <f>FH$4*FS76</f>
        <v>0</v>
      </c>
      <c r="FI76" s="12">
        <f>FI$4 * IF(AND(FH$4=1,FH$20=1), FU76, FS76)</f>
        <v>0</v>
      </c>
      <c r="FJ76" s="12">
        <f>FJ$4 * IF(AND(FI$4=1,FH$20=1), FU76, FS76)</f>
        <v>0</v>
      </c>
      <c r="FK76" s="12">
        <f>FK$4 * IF(AND(FJ$4=1,FH$20=1), FU76, FS76)</f>
        <v>0</v>
      </c>
      <c r="FL76" s="12">
        <f>FL$4 * IF(AND(FK$4=1,FH$20=1), FU76, FS76)</f>
        <v>0</v>
      </c>
      <c r="FM76" s="12">
        <f>FM$4 * IF(AND(FL$4=1,FH$20=1), FU76, FS76)</f>
        <v>0</v>
      </c>
      <c r="FN76" s="12">
        <f>FN$4 * IF(AND(FM$4=1,FH$20=1), FU76, FS76)</f>
        <v>0</v>
      </c>
      <c r="FO76" s="12">
        <f>FO$4 * IF(AND(FN$4=1,FH$20=1), FU76, FS76)</f>
        <v>0</v>
      </c>
      <c r="FP76" s="12">
        <f>FP$4 * IF(AND(FO$4=1,FH$20=1), FU76, FS76)</f>
        <v>0</v>
      </c>
      <c r="FR76" s="16" t="s">
        <v>1304</v>
      </c>
      <c r="FS76">
        <f>_xlfn.XLOOKUP(FR76,'KPI Impacts'!$B$2:$H$2,'KPI Impacts'!$B76:$H76)</f>
        <v>0</v>
      </c>
      <c r="FT76" s="35" t="s">
        <v>1304</v>
      </c>
      <c r="FU76">
        <f>_xlfn.XLOOKUP(FT76,'KPI Impacts'!$B$2:$H$2,'KPI Impacts'!$B76:$H76)</f>
        <v>0</v>
      </c>
      <c r="FX76" s="12">
        <f>FX$4*GI76</f>
        <v>0</v>
      </c>
      <c r="FY76" s="12">
        <f>FY$4 * IF(AND(FX$4=1,FX$20=1), GK76, GI76)</f>
        <v>0</v>
      </c>
      <c r="FZ76" s="12">
        <f>FZ$4 * IF(AND(FY$4=1,FX$20=1), GK76, GI76)</f>
        <v>0</v>
      </c>
      <c r="GA76" s="12">
        <f>GA$4 * IF(AND(FZ$4=1,FX$20=1), GK76, GI76)</f>
        <v>0</v>
      </c>
      <c r="GB76" s="12">
        <f>GB$4 * IF(AND(GA$4=1,FX$20=1), GK76, GI76)</f>
        <v>0</v>
      </c>
      <c r="GC76" s="12">
        <f>GC$4 * IF(AND(GB$4=1,FX$20=1), GK76, GI76)</f>
        <v>0</v>
      </c>
      <c r="GD76" s="12">
        <f>GD$4 * IF(AND(GC$4=1,FX$20=1), GK76, GI76)</f>
        <v>0</v>
      </c>
      <c r="GE76" s="12">
        <f>GE$4 * IF(AND(GD$4=1,FX$20=1), GK76, GI76)</f>
        <v>0</v>
      </c>
      <c r="GF76" s="12">
        <f>GF$4 * IF(AND(GE$4=1,FX$20=1), GK76, GI76)</f>
        <v>0</v>
      </c>
      <c r="GH76" s="16" t="s">
        <v>1304</v>
      </c>
      <c r="GI76">
        <f>_xlfn.XLOOKUP(GH76,'KPI Impacts'!$B$2:$H$2,'KPI Impacts'!$B76:$H76)</f>
        <v>0</v>
      </c>
      <c r="GJ76" s="35" t="s">
        <v>1304</v>
      </c>
      <c r="GK76">
        <f>_xlfn.XLOOKUP(GJ76,'KPI Impacts'!$B$2:$H$2,'KPI Impacts'!$B76:$H76)</f>
        <v>0</v>
      </c>
      <c r="GN76" s="12">
        <f>GN$4*GY76</f>
        <v>0</v>
      </c>
      <c r="GO76" s="12">
        <f>GO$4 * IF(AND(GN$4=1,GN$20=1), HA76, GY76)</f>
        <v>0</v>
      </c>
      <c r="GP76" s="12">
        <f>GP$4 * IF(AND(GO$4=1,GN$20=1), HA76, GY76)</f>
        <v>0</v>
      </c>
      <c r="GQ76" s="12">
        <f>GQ$4 * IF(AND(GP$4=1,GN$20=1), HA76, GY76)</f>
        <v>0</v>
      </c>
      <c r="GR76" s="12">
        <f>GR$4 * IF(AND(GQ$4=1,GN$20=1), HA76, GY76)</f>
        <v>0</v>
      </c>
      <c r="GS76" s="12">
        <f>GS$4 * IF(AND(GR$4=1,GN$20=1), HA76, GY76)</f>
        <v>0</v>
      </c>
      <c r="GT76" s="12">
        <f>GT$4 * IF(AND(GS$4=1,GN$20=1), HA76, GY76)</f>
        <v>0</v>
      </c>
      <c r="GU76" s="12">
        <f>GU$4 * IF(AND(GT$4=1,GN$20=1), HA76, GY76)</f>
        <v>0</v>
      </c>
      <c r="GV76" s="12">
        <f>GV$4 * IF(AND(GU$4=1,GN$20=1), HA76, GY76)</f>
        <v>0</v>
      </c>
      <c r="GX76" s="16" t="s">
        <v>1304</v>
      </c>
      <c r="GY76">
        <f>_xlfn.XLOOKUP(GX76,'KPI Impacts'!$B$2:$H$2,'KPI Impacts'!$B76:$H76)</f>
        <v>0</v>
      </c>
      <c r="GZ76" s="35" t="s">
        <v>1304</v>
      </c>
      <c r="HA76">
        <f>_xlfn.XLOOKUP(GZ76,'KPI Impacts'!$B$2:$H$2,'KPI Impacts'!$B76:$H76)</f>
        <v>0</v>
      </c>
      <c r="HD76" s="12">
        <f>HD$4*HO76</f>
        <v>0</v>
      </c>
      <c r="HE76" s="12">
        <f>HE$4 * IF(AND(HD$4=1,HD$20=1), HQ76, HO76)</f>
        <v>0</v>
      </c>
      <c r="HF76" s="12">
        <f>HF$4 * IF(AND(HE$4=1,HD$20=1), HQ76, HO76)</f>
        <v>0</v>
      </c>
      <c r="HG76" s="12">
        <f>HG$4 * IF(AND(HF$4=1,HD$20=1), HQ76, HO76)</f>
        <v>0</v>
      </c>
      <c r="HH76" s="12">
        <f>HH$4 * IF(AND(HG$4=1,HD$20=1), HQ76, HO76)</f>
        <v>0</v>
      </c>
      <c r="HI76" s="12">
        <f>HI$4 * IF(AND(HH$4=1,HD$20=1), HQ76, HO76)</f>
        <v>0</v>
      </c>
      <c r="HJ76" s="12">
        <f>HJ$4 * IF(AND(HI$4=1,HD$20=1), HQ76, HO76)</f>
        <v>0</v>
      </c>
      <c r="HK76" s="12">
        <f>HK$4 * IF(AND(HJ$4=1,HD$20=1), HQ76, HO76)</f>
        <v>0</v>
      </c>
      <c r="HL76" s="12">
        <f>HL$4 * IF(AND(HK$4=1,HD$20=1), HQ76, HO76)</f>
        <v>0</v>
      </c>
      <c r="HN76" s="16" t="s">
        <v>1304</v>
      </c>
      <c r="HO76">
        <f>_xlfn.XLOOKUP(HN76,'KPI Impacts'!$B$2:$H$2,'KPI Impacts'!$B76:$H76)</f>
        <v>0</v>
      </c>
      <c r="HP76" s="35" t="s">
        <v>1304</v>
      </c>
      <c r="HQ76">
        <f>_xlfn.XLOOKUP(HP76,'KPI Impacts'!$B$2:$H$2,'KPI Impacts'!$B76:$H76)</f>
        <v>0</v>
      </c>
      <c r="HT76" s="12">
        <f>HT$4*IE76</f>
        <v>0</v>
      </c>
      <c r="HU76" s="12">
        <f>HU$4 * IF(AND(HT$4=1,HT$20=1), IG76, IE76)</f>
        <v>0</v>
      </c>
      <c r="HV76" s="12">
        <f>HV$4 * IF(AND(HU$4=1,HT$20=1), IG76, IE76)</f>
        <v>0</v>
      </c>
      <c r="HW76" s="12">
        <f>HW$4 * IF(AND(HV$4=1,HT$20=1), IG76, IE76)</f>
        <v>0</v>
      </c>
      <c r="HX76" s="12">
        <f>HX$4 * IF(AND(HW$4=1,HT$20=1), IG76, IE76)</f>
        <v>0</v>
      </c>
      <c r="HY76" s="12">
        <f>HY$4 * IF(AND(HX$4=1,HT$20=1), IG76, IE76)</f>
        <v>0</v>
      </c>
      <c r="HZ76" s="12">
        <f>HZ$4 * IF(AND(HY$4=1,HT$20=1), IG76, IE76)</f>
        <v>0</v>
      </c>
      <c r="IA76" s="12">
        <f>IA$4 * IF(AND(HZ$4=1,HT$20=1), IG76, IE76)</f>
        <v>0</v>
      </c>
      <c r="IB76" s="12">
        <f>IB$4 * IF(AND(IA$4=1,HT$20=1), IG76, IE76)</f>
        <v>0</v>
      </c>
      <c r="ID76" s="16" t="s">
        <v>1304</v>
      </c>
      <c r="IE76">
        <f>_xlfn.XLOOKUP(ID76,'KPI Impacts'!$B$2:$H$2,'KPI Impacts'!$B76:$H76)</f>
        <v>0</v>
      </c>
      <c r="IF76" s="9" t="s">
        <v>1304</v>
      </c>
      <c r="IG76">
        <f>_xlfn.XLOOKUP(IF76,'KPI Impacts'!$B$2:$H$2,'KPI Impacts'!$B76:$H76)</f>
        <v>0</v>
      </c>
      <c r="IJ76" s="12">
        <f>IJ$4*IU76</f>
        <v>0</v>
      </c>
      <c r="IK76" s="12">
        <f>IK$4 * IF(AND(IJ$4=1,IJ$20=1), IW76, IU76)</f>
        <v>0</v>
      </c>
      <c r="IL76" s="12">
        <f>IL$4 * IF(AND(IK$4=1,IJ$20=1), IW76, IU76)</f>
        <v>0</v>
      </c>
      <c r="IM76" s="12">
        <f>IM$4 * IF(AND(IL$4=1,IJ$20=1), IW76, IU76)</f>
        <v>0</v>
      </c>
      <c r="IN76" s="12">
        <f>IN$4 * IF(AND(IM$4=1,IJ$20=1), IW76, IU76)</f>
        <v>0</v>
      </c>
      <c r="IO76" s="12">
        <f>IO$4 * IF(AND(IN$4=1,IJ$20=1), IW76, IU76)</f>
        <v>0</v>
      </c>
      <c r="IP76" s="12">
        <f>IP$4 * IF(AND(IO$4=1,IJ$20=1), IW76, IU76)</f>
        <v>0</v>
      </c>
      <c r="IQ76" s="12">
        <f>IQ$4 * IF(AND(IP$4=1,IJ$20=1), IW76, IU76)</f>
        <v>0</v>
      </c>
      <c r="IR76" s="12">
        <f>IR$4 * IF(AND(IQ$4=1,IJ$20=1), IW76, IU76)</f>
        <v>0</v>
      </c>
      <c r="IT76" s="16" t="s">
        <v>1304</v>
      </c>
      <c r="IU76">
        <f>_xlfn.XLOOKUP(IT76,'KPI Impacts'!$B$2:$H$2,'KPI Impacts'!$B76:$H76)</f>
        <v>0</v>
      </c>
      <c r="IV76" s="9" t="s">
        <v>1304</v>
      </c>
      <c r="IW76">
        <f>_xlfn.XLOOKUP(IV76,'KPI Impacts'!$B$2:$H$2,'KPI Impacts'!$B76:$H76)</f>
        <v>0</v>
      </c>
      <c r="IZ76" s="12">
        <f>IZ$4*JK76</f>
        <v>0</v>
      </c>
      <c r="JA76" s="12">
        <f>JA$4 * IF(AND(IZ$4=1,IZ$20=1), JM76, JK76)</f>
        <v>0</v>
      </c>
      <c r="JB76" s="12">
        <f>JB$4 * IF(AND(JA$4=1,IZ$20=1), JM76, JK76)</f>
        <v>0</v>
      </c>
      <c r="JC76" s="12">
        <f>JC$4 * IF(AND(JB$4=1,IZ$20=1), JM76, JK76)</f>
        <v>0</v>
      </c>
      <c r="JD76" s="12">
        <f>JD$4 * IF(AND(JC$4=1,IZ$20=1), JM76, JK76)</f>
        <v>0</v>
      </c>
      <c r="JE76" s="12">
        <f>JE$4 * IF(AND(JD$4=1,IZ$20=1), JM76, JK76)</f>
        <v>0</v>
      </c>
      <c r="JF76" s="12">
        <f>JF$4 * IF(AND(JE$4=1,IZ$20=1), JM76, JK76)</f>
        <v>0</v>
      </c>
      <c r="JG76" s="12">
        <f>JG$4 * IF(AND(JF$4=1,IZ$20=1), JM76, JK76)</f>
        <v>0</v>
      </c>
      <c r="JH76" s="12">
        <f>JH$4 * IF(AND(JG$4=1,IZ$20=1), JM76, JK76)</f>
        <v>0</v>
      </c>
      <c r="JJ76" t="s">
        <v>1304</v>
      </c>
      <c r="JK76">
        <f>_xlfn.XLOOKUP(JJ76,'KPI Impacts'!$B$2:$H$2,'KPI Impacts'!$B76:$H76)</f>
        <v>0</v>
      </c>
      <c r="JL76" s="9" t="s">
        <v>1304</v>
      </c>
      <c r="JM76">
        <f>_xlfn.XLOOKUP(JL76,'KPI Impacts'!$B$2:$H$2,'KPI Impacts'!$B76:$H76)</f>
        <v>0</v>
      </c>
      <c r="JP76" s="12">
        <f>JP$4*KA76</f>
        <v>0</v>
      </c>
      <c r="JQ76" s="12">
        <f>JQ$4 * IF(AND(JP$4=1,JP$20=1), KC76, KA76)</f>
        <v>0</v>
      </c>
      <c r="JR76" s="12">
        <f>JR$4 * IF(AND(JQ$4=1,JP$20=1), KC76, KA76)</f>
        <v>0</v>
      </c>
      <c r="JS76" s="12">
        <f>JS$4 * IF(AND(JR$4=1,JP$20=1), KC76, KA76)</f>
        <v>0</v>
      </c>
      <c r="JT76" s="12">
        <f>JT$4 * IF(AND(JS$4=1,JP$20=1), KC76, KA76)</f>
        <v>0</v>
      </c>
      <c r="JU76" s="12">
        <f>JU$4 * IF(AND(JT$4=1,JP$20=1), KC76, KA76)</f>
        <v>0</v>
      </c>
      <c r="JV76" s="12">
        <f>JV$4 * IF(AND(JU$4=1,JP$20=1), KC76, KA76)</f>
        <v>0</v>
      </c>
      <c r="JW76" s="12">
        <f>JW$4 * IF(AND(JV$4=1,JP$20=1), KC76, KA76)</f>
        <v>0</v>
      </c>
      <c r="JX76" s="12">
        <f>JX$4 * IF(AND(JW$4=1,JP$20=1), KC76, KA76)</f>
        <v>0</v>
      </c>
      <c r="JZ76" t="s">
        <v>1304</v>
      </c>
      <c r="KA76">
        <f>_xlfn.XLOOKUP(JZ76,'KPI Impacts'!$B$2:$H$2,'KPI Impacts'!$B76:$H76)</f>
        <v>0</v>
      </c>
      <c r="KB76" s="9" t="s">
        <v>1304</v>
      </c>
      <c r="KC76">
        <f>_xlfn.XLOOKUP(KB76,'KPI Impacts'!$B$2:$H$2,'KPI Impacts'!$B76:$H76)</f>
        <v>0</v>
      </c>
      <c r="KF76" s="12">
        <f>KF$4*KQ76</f>
        <v>0</v>
      </c>
      <c r="KG76" s="12">
        <f>KG$4 * IF(AND(KF$4=1,KF$20=1), KS76, KQ76)</f>
        <v>0</v>
      </c>
      <c r="KH76" s="12">
        <f>KH$4 * IF(AND(KG$4=1,KF$20=1), KS76, KQ76)</f>
        <v>0</v>
      </c>
      <c r="KI76" s="12">
        <f>KI$4 * IF(AND(KH$4=1,KF$20=1), KS76, KQ76)</f>
        <v>0</v>
      </c>
      <c r="KJ76" s="12">
        <f>KJ$4 * IF(AND(KI$4=1,KF$20=1), KS76, KQ76)</f>
        <v>0</v>
      </c>
      <c r="KK76" s="12">
        <f>KK$4 * IF(AND(KJ$4=1,KF$20=1), KS76, KQ76)</f>
        <v>0</v>
      </c>
      <c r="KL76" s="12">
        <f>KL$4 * IF(AND(KK$4=1,KF$20=1), KS76, KQ76)</f>
        <v>0</v>
      </c>
      <c r="KM76" s="12">
        <f>KM$4 * IF(AND(KL$4=1,KF$20=1), KS76, KQ76)</f>
        <v>0</v>
      </c>
      <c r="KN76" s="12">
        <f>KN$4 * IF(AND(KM$4=1,KF$20=1), KS76, KQ76)</f>
        <v>0</v>
      </c>
      <c r="KP76" t="s">
        <v>1304</v>
      </c>
      <c r="KQ76">
        <f>_xlfn.XLOOKUP(KP76,'KPI Impacts'!$B$2:$H$2,'KPI Impacts'!$B76:$H76)</f>
        <v>0</v>
      </c>
      <c r="KR76" s="9" t="s">
        <v>1304</v>
      </c>
      <c r="KS76">
        <f>_xlfn.XLOOKUP(KR76,'KPI Impacts'!$B$2:$H$2,'KPI Impacts'!$B76:$H76)</f>
        <v>0</v>
      </c>
      <c r="KV76" s="12">
        <f>KV$4*LG76</f>
        <v>0</v>
      </c>
      <c r="KW76" s="12">
        <f>KW$4 * IF(AND(KV$4=1,KV$20=1), LI76, LG76)</f>
        <v>0</v>
      </c>
      <c r="KX76" s="12">
        <f>KX$4 * IF(AND(KW$4=1,KV$20=1), LI76, LG76)</f>
        <v>0</v>
      </c>
      <c r="KY76" s="12">
        <f>KY$4 * IF(AND(KX$4=1,KV$20=1), LI76, LG76)</f>
        <v>0</v>
      </c>
      <c r="KZ76" s="12">
        <f>KZ$4 * IF(AND(KY$4=1,KV$20=1), LI76, LG76)</f>
        <v>0</v>
      </c>
      <c r="LA76" s="12">
        <f>LA$4 * IF(AND(KZ$4=1,KV$20=1), LI76, LG76)</f>
        <v>0</v>
      </c>
      <c r="LB76" s="12">
        <f>LB$4 * IF(AND(LA$4=1,KV$20=1), LI76, LG76)</f>
        <v>0</v>
      </c>
      <c r="LC76" s="12">
        <f>LC$4 * IF(AND(LB$4=1,KV$20=1), LI76, LG76)</f>
        <v>0</v>
      </c>
      <c r="LD76" s="12">
        <f>LD$4 * IF(AND(LC$4=1,KV$20=1), LI76, LG76)</f>
        <v>0</v>
      </c>
      <c r="LF76" t="s">
        <v>1304</v>
      </c>
      <c r="LG76">
        <f>_xlfn.XLOOKUP(LF76,'KPI Impacts'!$B$2:$H$2,'KPI Impacts'!$B76:$H76)</f>
        <v>0</v>
      </c>
      <c r="LH76" s="9" t="s">
        <v>1304</v>
      </c>
      <c r="LI76">
        <f>_xlfn.XLOOKUP(LH76,'KPI Impacts'!$B$2:$H$2,'KPI Impacts'!$B76:$H76)</f>
        <v>0</v>
      </c>
      <c r="LL76" s="12">
        <f>LL$4*LW76</f>
        <v>0</v>
      </c>
      <c r="LM76" s="12">
        <f>LM$4 * IF(AND(LL$4=1,LL$20=1), LY76, LW76)</f>
        <v>0</v>
      </c>
      <c r="LN76" s="12">
        <f>LN$4 * IF(AND(LM$4=1,LL$20=1), LY76, LW76)</f>
        <v>0</v>
      </c>
      <c r="LO76" s="12">
        <f>LO$4 * IF(AND(LN$4=1,LL$20=1), LY76, LW76)</f>
        <v>0</v>
      </c>
      <c r="LP76" s="12">
        <f>LP$4 * IF(AND(LO$4=1,LL$20=1), LY76, LW76)</f>
        <v>0</v>
      </c>
      <c r="LQ76" s="12">
        <f>LQ$4 * IF(AND(LP$4=1,LL$20=1), LY76, LW76)</f>
        <v>0</v>
      </c>
      <c r="LR76" s="12">
        <f>LR$4 * IF(AND(LQ$4=1,LL$20=1), LY76, LW76)</f>
        <v>0</v>
      </c>
      <c r="LS76" s="12">
        <f>LS$4 * IF(AND(LR$4=1,LL$20=1), LY76, LW76)</f>
        <v>0</v>
      </c>
      <c r="LT76" s="12">
        <f>LT$4 * IF(AND(LS$4=1,LL$20=1), LY76, LW76)</f>
        <v>0</v>
      </c>
      <c r="LV76" t="s">
        <v>1304</v>
      </c>
      <c r="LW76">
        <f>_xlfn.XLOOKUP(LV76,'KPI Impacts'!$B$2:$H$2,'KPI Impacts'!$B76:$H76)</f>
        <v>0</v>
      </c>
      <c r="LX76" s="9" t="s">
        <v>1304</v>
      </c>
      <c r="LY76">
        <f>_xlfn.XLOOKUP(LX76,'KPI Impacts'!$B$2:$H$2,'KPI Impacts'!$B76:$H76)</f>
        <v>0</v>
      </c>
      <c r="MB76" s="12">
        <f>MB$4*MM76</f>
        <v>0</v>
      </c>
      <c r="MC76" s="12">
        <f>MC$4 * IF(AND(MB$4=1,MB$20=1), MO76, MM76)</f>
        <v>0</v>
      </c>
      <c r="MD76" s="12">
        <f>MD$4 * IF(AND(MC$4=1,MB$20=1), MO76, MM76)</f>
        <v>0</v>
      </c>
      <c r="ME76" s="12">
        <f>ME$4 * IF(AND(MD$4=1,MB$20=1), MO76, MM76)</f>
        <v>0</v>
      </c>
      <c r="MF76" s="12">
        <f>MF$4 * IF(AND(ME$4=1,MB$20=1), MO76, MM76)</f>
        <v>0</v>
      </c>
      <c r="MG76" s="12">
        <f>MG$4 * IF(AND(MF$4=1,MB$20=1), MO76, MM76)</f>
        <v>0</v>
      </c>
      <c r="MH76" s="12">
        <f>MH$4 * IF(AND(MG$4=1,MB$20=1), MO76, MM76)</f>
        <v>0</v>
      </c>
      <c r="MI76" s="12">
        <f>MI$4 * IF(AND(MH$4=1,MB$20=1), MO76, MM76)</f>
        <v>0</v>
      </c>
      <c r="MJ76" s="12">
        <f>MJ$4 * IF(AND(MI$4=1,MB$20=1), MO76, MM76)</f>
        <v>0</v>
      </c>
      <c r="ML76" t="s">
        <v>1304</v>
      </c>
      <c r="MM76">
        <f>_xlfn.XLOOKUP(ML76,'KPI Impacts'!$B$2:$H$2,'KPI Impacts'!$B76:$H76)</f>
        <v>0</v>
      </c>
      <c r="MN76" s="9" t="s">
        <v>1304</v>
      </c>
      <c r="MO76">
        <f>_xlfn.XLOOKUP(MN76,'KPI Impacts'!$B$2:$H$2,'KPI Impacts'!$B76:$H76)</f>
        <v>0</v>
      </c>
      <c r="MR76" s="12">
        <f>MR$4*NC76</f>
        <v>0</v>
      </c>
      <c r="MS76" s="12">
        <f>MS$4 * IF(AND(MR$4=1,MR$20=1), NE76, NC76)</f>
        <v>0</v>
      </c>
      <c r="MT76" s="12">
        <f>MT$4 * IF(AND(MS$4=1,MR$20=1), NE76, NC76)</f>
        <v>0</v>
      </c>
      <c r="MU76" s="12">
        <f>MU$4 * IF(AND(MT$4=1,MR$20=1), NE76, NC76)</f>
        <v>0</v>
      </c>
      <c r="MV76" s="12">
        <f>MV$4 * IF(AND(MU$4=1,MR$20=1), NE76, NC76)</f>
        <v>0</v>
      </c>
      <c r="MW76" s="12">
        <f>MW$4 * IF(AND(MV$4=1,MR$20=1), NE76, NC76)</f>
        <v>0</v>
      </c>
      <c r="MX76" s="12">
        <f>MX$4 * IF(AND(MW$4=1,MR$20=1), NE76, NC76)</f>
        <v>0</v>
      </c>
      <c r="MY76" s="12">
        <f>MY$4 * IF(AND(MX$4=1,MR$20=1), NE76, NC76)</f>
        <v>0</v>
      </c>
      <c r="MZ76" s="12">
        <f>MZ$4 * IF(AND(MY$4=1,MR$20=1), NE76, NC76)</f>
        <v>0</v>
      </c>
      <c r="NB76" t="s">
        <v>1304</v>
      </c>
      <c r="NC76">
        <f>_xlfn.XLOOKUP(NB76,'KPI Impacts'!$B$2:$H$2,'KPI Impacts'!$B76:$H76)</f>
        <v>0</v>
      </c>
      <c r="ND76" s="9" t="s">
        <v>1304</v>
      </c>
      <c r="NE76">
        <f>_xlfn.XLOOKUP(ND76,'KPI Impacts'!$B$2:$H$2,'KPI Impacts'!$B76:$H76)</f>
        <v>0</v>
      </c>
      <c r="NH76" s="12">
        <f>NH$4*NS76</f>
        <v>0</v>
      </c>
      <c r="NI76" s="12">
        <f>NI$4 * IF(AND(NH$4=1,NH$20=1), NU76, NS76)</f>
        <v>0</v>
      </c>
      <c r="NJ76" s="12">
        <f>NJ$4 * IF(AND(NI$4=1,NH$20=1), NU76, NS76)</f>
        <v>0</v>
      </c>
      <c r="NK76" s="12">
        <f>NK$4 * IF(AND(NJ$4=1,NH$20=1), NU76, NS76)</f>
        <v>0</v>
      </c>
      <c r="NL76" s="12">
        <f>NL$4 * IF(AND(NK$4=1,NH$20=1), NU76, NS76)</f>
        <v>0</v>
      </c>
      <c r="NM76" s="12">
        <f>NM$4 * IF(AND(NL$4=1,NH$20=1), NU76, NS76)</f>
        <v>0</v>
      </c>
      <c r="NN76" s="12">
        <f>NN$4 * IF(AND(NM$4=1,NH$20=1), NU76, NS76)</f>
        <v>0</v>
      </c>
      <c r="NO76" s="12">
        <f>NO$4 * IF(AND(NN$4=1,NH$20=1), NU76, NS76)</f>
        <v>0</v>
      </c>
      <c r="NP76" s="12">
        <f>NP$4 * IF(AND(NO$4=1,NH$20=1), NU76, NS76)</f>
        <v>0</v>
      </c>
      <c r="NR76" t="s">
        <v>1304</v>
      </c>
      <c r="NS76">
        <f>_xlfn.XLOOKUP(NR76,'KPI Impacts'!$B$2:$H$2,'KPI Impacts'!$B76:$H76)</f>
        <v>0</v>
      </c>
      <c r="NT76" s="9" t="s">
        <v>1304</v>
      </c>
      <c r="NU76">
        <f>_xlfn.XLOOKUP(NT76,'KPI Impacts'!$B$2:$H$2,'KPI Impacts'!$B76:$H76)</f>
        <v>0</v>
      </c>
      <c r="NX76" s="12">
        <f>NX$4*OI76</f>
        <v>0</v>
      </c>
      <c r="NY76" s="12">
        <f>NY$4 * IF(AND(NX$4=1,NX$20=1), OK76, OI76)</f>
        <v>0</v>
      </c>
      <c r="NZ76" s="12">
        <f>NZ$4 * IF(AND(NY$4=1,NX$20=1), OK76, OI76)</f>
        <v>0</v>
      </c>
      <c r="OA76" s="12">
        <f>OA$4 * IF(AND(NZ$4=1,NX$20=1), OK76, OI76)</f>
        <v>0</v>
      </c>
      <c r="OB76" s="12">
        <f>OB$4 * IF(AND(OA$4=1,NX$20=1), OK76, OI76)</f>
        <v>0</v>
      </c>
      <c r="OC76" s="12">
        <f>OC$4 * IF(AND(OB$4=1,NX$20=1), OK76, OI76)</f>
        <v>0</v>
      </c>
      <c r="OD76" s="12">
        <f>OD$4 * IF(AND(OC$4=1,NX$20=1), OK76, OI76)</f>
        <v>0</v>
      </c>
      <c r="OE76" s="12">
        <f>OE$4 * IF(AND(OD$4=1,NX$20=1), OK76, OI76)</f>
        <v>0</v>
      </c>
      <c r="OF76" s="12">
        <f>OF$4 * IF(AND(OE$4=1,NX$20=1), OK76, OI76)</f>
        <v>0</v>
      </c>
      <c r="OH76" t="s">
        <v>1304</v>
      </c>
      <c r="OI76">
        <f>_xlfn.XLOOKUP(OH76,'KPI Impacts'!$B$2:$H$2,'KPI Impacts'!$B76:$H76)</f>
        <v>0</v>
      </c>
      <c r="OJ76" s="9" t="s">
        <v>1304</v>
      </c>
      <c r="OK76">
        <f>_xlfn.XLOOKUP(OJ76,'KPI Impacts'!$B$2:$H$2,'KPI Impacts'!$B76:$H76)</f>
        <v>0</v>
      </c>
    </row>
    <row r="77" spans="1:401" x14ac:dyDescent="0.2">
      <c r="A77" t="s">
        <v>54</v>
      </c>
      <c r="B77" s="19" t="s">
        <v>1319</v>
      </c>
      <c r="C77" s="19" t="s">
        <v>1319</v>
      </c>
      <c r="D77" s="19" t="s">
        <v>1319</v>
      </c>
      <c r="E77" s="19" t="s">
        <v>1319</v>
      </c>
      <c r="F77" s="19" t="s">
        <v>1319</v>
      </c>
      <c r="G77" s="19" t="s">
        <v>1319</v>
      </c>
      <c r="H77" s="19" t="s">
        <v>1319</v>
      </c>
      <c r="I77" s="19" t="s">
        <v>1319</v>
      </c>
      <c r="J77" s="19" t="s">
        <v>1319</v>
      </c>
      <c r="P77" s="12"/>
      <c r="Q77" s="12"/>
      <c r="R77" s="12"/>
      <c r="S77" s="12"/>
      <c r="T77" s="12"/>
      <c r="U77" s="12"/>
      <c r="V77" s="12"/>
      <c r="W77" s="12"/>
      <c r="X77" s="12"/>
      <c r="AH77" s="12"/>
      <c r="AI77" s="12"/>
      <c r="AJ77" s="12"/>
      <c r="AK77" s="12"/>
      <c r="AL77" s="12"/>
      <c r="AM77" s="12"/>
      <c r="AN77" s="12"/>
      <c r="AO77" s="12"/>
      <c r="AP77" s="12"/>
      <c r="AZ77" s="12"/>
      <c r="BA77" s="12"/>
      <c r="BB77" s="12"/>
      <c r="BC77" s="12"/>
      <c r="BD77" s="12"/>
      <c r="BE77" s="12"/>
      <c r="BF77" s="12"/>
      <c r="BG77" s="12"/>
      <c r="BH77" s="12"/>
      <c r="BJ77" s="16"/>
      <c r="BL77" s="35"/>
      <c r="BP77" s="12"/>
      <c r="BQ77" s="12"/>
      <c r="BR77" s="12"/>
      <c r="BS77" s="12"/>
      <c r="BT77" s="12"/>
      <c r="BU77" s="12"/>
      <c r="BV77" s="12"/>
      <c r="BW77" s="12"/>
      <c r="BX77" s="12"/>
      <c r="BZ77" s="16"/>
      <c r="CB77" s="35"/>
      <c r="CF77" s="12"/>
      <c r="CG77" s="12"/>
      <c r="CH77" s="12"/>
      <c r="CI77" s="12"/>
      <c r="CJ77" s="12"/>
      <c r="CK77" s="12"/>
      <c r="CL77" s="12"/>
      <c r="CM77" s="12"/>
      <c r="CN77" s="12"/>
      <c r="CP77" s="16"/>
      <c r="CR77" s="35"/>
      <c r="CV77" s="12"/>
      <c r="CW77" s="12"/>
      <c r="CX77" s="12"/>
      <c r="CY77" s="12"/>
      <c r="CZ77" s="12"/>
      <c r="DA77" s="12"/>
      <c r="DB77" s="12"/>
      <c r="DC77" s="12"/>
      <c r="DD77" s="12"/>
      <c r="DF77" s="16"/>
      <c r="DH77" s="35"/>
      <c r="DL77" s="12"/>
      <c r="DM77" s="12"/>
      <c r="DN77" s="12"/>
      <c r="DO77" s="12"/>
      <c r="DP77" s="12"/>
      <c r="DQ77" s="12"/>
      <c r="DR77" s="12"/>
      <c r="DS77" s="12"/>
      <c r="DT77" s="12"/>
      <c r="DV77" s="16"/>
      <c r="DX77" s="35"/>
      <c r="EB77" s="12"/>
      <c r="EC77" s="12"/>
      <c r="ED77" s="12"/>
      <c r="EE77" s="12"/>
      <c r="EF77" s="12"/>
      <c r="EG77" s="12"/>
      <c r="EH77" s="12"/>
      <c r="EI77" s="12"/>
      <c r="EJ77" s="12"/>
      <c r="EL77" s="16"/>
      <c r="EN77" s="35"/>
      <c r="ER77" s="12"/>
      <c r="ES77" s="12"/>
      <c r="ET77" s="12"/>
      <c r="EU77" s="12"/>
      <c r="EV77" s="12"/>
      <c r="EW77" s="12"/>
      <c r="EX77" s="12"/>
      <c r="EY77" s="12"/>
      <c r="EZ77" s="12"/>
      <c r="FB77" s="16"/>
      <c r="FD77" s="35"/>
      <c r="FH77" s="12"/>
      <c r="FI77" s="12"/>
      <c r="FJ77" s="12"/>
      <c r="FK77" s="12"/>
      <c r="FL77" s="12"/>
      <c r="FM77" s="12"/>
      <c r="FN77" s="12"/>
      <c r="FO77" s="12"/>
      <c r="FP77" s="12"/>
      <c r="FR77" s="16"/>
      <c r="FT77" s="35"/>
      <c r="FX77" s="12"/>
      <c r="FY77" s="12"/>
      <c r="FZ77" s="12"/>
      <c r="GA77" s="12"/>
      <c r="GB77" s="12"/>
      <c r="GC77" s="12"/>
      <c r="GD77" s="12"/>
      <c r="GE77" s="12"/>
      <c r="GF77" s="12"/>
      <c r="GH77" s="16"/>
      <c r="GJ77" s="35"/>
      <c r="GN77" s="12"/>
      <c r="GO77" s="12"/>
      <c r="GP77" s="12"/>
      <c r="GQ77" s="12"/>
      <c r="GR77" s="12"/>
      <c r="GS77" s="12"/>
      <c r="GT77" s="12"/>
      <c r="GU77" s="12"/>
      <c r="GV77" s="12"/>
      <c r="GX77" s="16"/>
      <c r="GZ77" s="35"/>
      <c r="HD77" s="12"/>
      <c r="HE77" s="12"/>
      <c r="HF77" s="12"/>
      <c r="HG77" s="12"/>
      <c r="HH77" s="12"/>
      <c r="HI77" s="12"/>
      <c r="HJ77" s="12"/>
      <c r="HK77" s="12"/>
      <c r="HL77" s="12"/>
      <c r="HN77" s="16"/>
      <c r="HP77" s="35"/>
      <c r="HT77" s="12"/>
      <c r="HU77" s="12"/>
      <c r="HV77" s="12"/>
      <c r="HW77" s="12"/>
      <c r="HX77" s="12"/>
      <c r="HY77" s="12"/>
      <c r="HZ77" s="12"/>
      <c r="IA77" s="12"/>
      <c r="IB77" s="12"/>
      <c r="ID77" s="16"/>
      <c r="IF77" s="9"/>
      <c r="IJ77" s="12"/>
      <c r="IK77" s="12"/>
      <c r="IL77" s="12"/>
      <c r="IM77" s="12"/>
      <c r="IN77" s="12"/>
      <c r="IO77" s="12"/>
      <c r="IP77" s="12"/>
      <c r="IQ77" s="12"/>
      <c r="IR77" s="12"/>
      <c r="IT77" s="16"/>
      <c r="IV77" s="9"/>
      <c r="IZ77" s="12"/>
      <c r="JA77" s="12"/>
      <c r="JB77" s="12"/>
      <c r="JC77" s="12"/>
      <c r="JD77" s="12"/>
      <c r="JE77" s="12"/>
      <c r="JF77" s="12"/>
      <c r="JG77" s="12"/>
      <c r="JH77" s="12"/>
      <c r="JL77" s="9"/>
      <c r="JP77" s="12"/>
      <c r="JQ77" s="12"/>
      <c r="JR77" s="12"/>
      <c r="JS77" s="12"/>
      <c r="JT77" s="12"/>
      <c r="JU77" s="12"/>
      <c r="JV77" s="12"/>
      <c r="JW77" s="12"/>
      <c r="JX77" s="12"/>
      <c r="KB77" s="9"/>
      <c r="KF77" s="12"/>
      <c r="KG77" s="12"/>
      <c r="KH77" s="12"/>
      <c r="KI77" s="12"/>
      <c r="KJ77" s="12"/>
      <c r="KK77" s="12"/>
      <c r="KL77" s="12"/>
      <c r="KM77" s="12"/>
      <c r="KN77" s="12"/>
      <c r="KR77" s="9"/>
      <c r="KV77" s="12"/>
      <c r="KW77" s="12"/>
      <c r="KX77" s="12"/>
      <c r="KY77" s="12"/>
      <c r="KZ77" s="12"/>
      <c r="LA77" s="12"/>
      <c r="LB77" s="12"/>
      <c r="LC77" s="12"/>
      <c r="LD77" s="12"/>
      <c r="LH77" s="9"/>
      <c r="LL77" s="12"/>
      <c r="LM77" s="12"/>
      <c r="LN77" s="12"/>
      <c r="LO77" s="12"/>
      <c r="LP77" s="12"/>
      <c r="LQ77" s="12"/>
      <c r="LR77" s="12"/>
      <c r="LS77" s="12"/>
      <c r="LT77" s="12"/>
      <c r="LX77" s="9"/>
      <c r="MB77" s="12"/>
      <c r="MC77" s="12"/>
      <c r="MD77" s="12"/>
      <c r="ME77" s="12"/>
      <c r="MF77" s="12"/>
      <c r="MG77" s="12"/>
      <c r="MH77" s="12"/>
      <c r="MI77" s="12"/>
      <c r="MJ77" s="12"/>
      <c r="MN77" s="9"/>
      <c r="MR77" s="12"/>
      <c r="MS77" s="12"/>
      <c r="MT77" s="12"/>
      <c r="MU77" s="12"/>
      <c r="MV77" s="12"/>
      <c r="MW77" s="12"/>
      <c r="MX77" s="12"/>
      <c r="MY77" s="12"/>
      <c r="MZ77" s="12"/>
      <c r="ND77" s="9"/>
      <c r="NH77" s="12"/>
      <c r="NI77" s="12"/>
      <c r="NJ77" s="12"/>
      <c r="NK77" s="12"/>
      <c r="NL77" s="12"/>
      <c r="NM77" s="12"/>
      <c r="NN77" s="12"/>
      <c r="NO77" s="12"/>
      <c r="NP77" s="12"/>
      <c r="NT77" s="9"/>
      <c r="NX77" s="12"/>
      <c r="NY77" s="12"/>
      <c r="NZ77" s="12"/>
      <c r="OA77" s="12"/>
      <c r="OB77" s="12"/>
      <c r="OC77" s="12"/>
      <c r="OD77" s="12"/>
      <c r="OE77" s="12"/>
      <c r="OF77" s="12"/>
      <c r="OJ77" s="9"/>
    </row>
    <row r="78" spans="1:401" hidden="1" x14ac:dyDescent="0.2">
      <c r="B78" s="12"/>
      <c r="C78" s="6"/>
      <c r="D78" s="6"/>
      <c r="E78" s="6"/>
      <c r="F78" s="6"/>
      <c r="G78" s="6"/>
      <c r="H78" s="6"/>
      <c r="I78" s="6"/>
      <c r="J78" s="6"/>
      <c r="P78" s="12"/>
      <c r="Q78" s="12"/>
      <c r="R78" s="12"/>
      <c r="S78" s="12"/>
      <c r="T78" s="12"/>
      <c r="U78" s="12"/>
      <c r="V78" s="12"/>
      <c r="W78" s="12"/>
      <c r="X78" s="12"/>
      <c r="AH78" s="12"/>
      <c r="AI78" s="12"/>
      <c r="AJ78" s="12"/>
      <c r="AK78" s="12"/>
      <c r="AL78" s="12"/>
      <c r="AM78" s="12"/>
      <c r="AN78" s="12"/>
      <c r="AO78" s="12"/>
      <c r="AP78" s="12"/>
      <c r="AZ78" s="12"/>
      <c r="BA78" s="12"/>
      <c r="BB78" s="12"/>
      <c r="BC78" s="12"/>
      <c r="BD78" s="12"/>
      <c r="BE78" s="12"/>
      <c r="BF78" s="12"/>
      <c r="BG78" s="12"/>
      <c r="BH78" s="12"/>
      <c r="BJ78" s="16"/>
      <c r="BL78" s="35"/>
      <c r="BP78" s="12"/>
      <c r="BQ78" s="12"/>
      <c r="BR78" s="12"/>
      <c r="BS78" s="12"/>
      <c r="BT78" s="12"/>
      <c r="BU78" s="12"/>
      <c r="BV78" s="12"/>
      <c r="BW78" s="12"/>
      <c r="BX78" s="12"/>
      <c r="BZ78" s="16"/>
      <c r="CB78" s="35"/>
      <c r="CF78" s="12"/>
      <c r="CG78" s="12"/>
      <c r="CH78" s="12"/>
      <c r="CI78" s="12"/>
      <c r="CJ78" s="12"/>
      <c r="CK78" s="12"/>
      <c r="CL78" s="12"/>
      <c r="CM78" s="12"/>
      <c r="CN78" s="12"/>
      <c r="CP78" s="16"/>
      <c r="CR78" s="35"/>
      <c r="CV78" s="12"/>
      <c r="CW78" s="12"/>
      <c r="CX78" s="12"/>
      <c r="CY78" s="12"/>
      <c r="CZ78" s="12"/>
      <c r="DA78" s="12"/>
      <c r="DB78" s="12"/>
      <c r="DC78" s="12"/>
      <c r="DD78" s="12"/>
      <c r="DF78" s="16"/>
      <c r="DH78" s="35"/>
      <c r="DL78" s="12"/>
      <c r="DM78" s="12"/>
      <c r="DN78" s="12"/>
      <c r="DO78" s="12"/>
      <c r="DP78" s="12"/>
      <c r="DQ78" s="12"/>
      <c r="DR78" s="12"/>
      <c r="DS78" s="12"/>
      <c r="DT78" s="12"/>
      <c r="DV78" s="16"/>
      <c r="DX78" s="35"/>
      <c r="EB78" s="12"/>
      <c r="EC78" s="12"/>
      <c r="ED78" s="12"/>
      <c r="EE78" s="12"/>
      <c r="EF78" s="12"/>
      <c r="EG78" s="12"/>
      <c r="EH78" s="12"/>
      <c r="EI78" s="12"/>
      <c r="EJ78" s="12"/>
      <c r="EL78" s="16"/>
      <c r="EN78" s="35"/>
      <c r="ER78" s="12"/>
      <c r="ES78" s="12"/>
      <c r="ET78" s="12"/>
      <c r="EU78" s="12"/>
      <c r="EV78" s="12"/>
      <c r="EW78" s="12"/>
      <c r="EX78" s="12"/>
      <c r="EY78" s="12"/>
      <c r="EZ78" s="12"/>
      <c r="FB78" s="16"/>
      <c r="FD78" s="35"/>
      <c r="FH78" s="12"/>
      <c r="FI78" s="12"/>
      <c r="FJ78" s="12"/>
      <c r="FK78" s="12"/>
      <c r="FL78" s="12"/>
      <c r="FM78" s="12"/>
      <c r="FN78" s="12"/>
      <c r="FO78" s="12"/>
      <c r="FP78" s="12"/>
      <c r="FR78" s="16"/>
      <c r="FT78" s="35"/>
      <c r="FX78" s="12"/>
      <c r="FY78" s="12"/>
      <c r="FZ78" s="12"/>
      <c r="GA78" s="12"/>
      <c r="GB78" s="12"/>
      <c r="GC78" s="12"/>
      <c r="GD78" s="12"/>
      <c r="GE78" s="12"/>
      <c r="GF78" s="12"/>
      <c r="GH78" s="16"/>
      <c r="GJ78" s="35"/>
      <c r="GN78" s="12"/>
      <c r="GO78" s="12"/>
      <c r="GP78" s="12"/>
      <c r="GQ78" s="12"/>
      <c r="GR78" s="12"/>
      <c r="GS78" s="12"/>
      <c r="GT78" s="12"/>
      <c r="GU78" s="12"/>
      <c r="GV78" s="12"/>
      <c r="GX78" s="16"/>
      <c r="GZ78" s="35"/>
      <c r="HD78" s="12"/>
      <c r="HE78" s="12"/>
      <c r="HF78" s="12"/>
      <c r="HG78" s="12"/>
      <c r="HH78" s="12"/>
      <c r="HI78" s="12"/>
      <c r="HJ78" s="12"/>
      <c r="HK78" s="12"/>
      <c r="HL78" s="12"/>
      <c r="HN78" s="16"/>
      <c r="HP78" s="35"/>
      <c r="HT78" s="12"/>
      <c r="HU78" s="12"/>
      <c r="HV78" s="12"/>
      <c r="HW78" s="12"/>
      <c r="HX78" s="12"/>
      <c r="HY78" s="12"/>
      <c r="HZ78" s="12"/>
      <c r="IA78" s="12"/>
      <c r="IB78" s="12"/>
      <c r="ID78" s="16"/>
      <c r="IF78" s="9"/>
      <c r="IJ78" s="12"/>
      <c r="IK78" s="12"/>
      <c r="IL78" s="12"/>
      <c r="IM78" s="12"/>
      <c r="IN78" s="12"/>
      <c r="IO78" s="12"/>
      <c r="IP78" s="12"/>
      <c r="IQ78" s="12"/>
      <c r="IR78" s="12"/>
      <c r="IT78" s="16"/>
      <c r="IV78" s="9"/>
      <c r="IZ78" s="12"/>
      <c r="JA78" s="12"/>
      <c r="JB78" s="12"/>
      <c r="JC78" s="12"/>
      <c r="JD78" s="12"/>
      <c r="JE78" s="12"/>
      <c r="JF78" s="12"/>
      <c r="JG78" s="12"/>
      <c r="JH78" s="12"/>
      <c r="JL78" s="9"/>
      <c r="JP78" s="12"/>
      <c r="JQ78" s="12"/>
      <c r="JR78" s="12"/>
      <c r="JS78" s="12"/>
      <c r="JT78" s="12"/>
      <c r="JU78" s="12"/>
      <c r="JV78" s="12"/>
      <c r="JW78" s="12"/>
      <c r="JX78" s="12"/>
      <c r="KB78" s="9"/>
      <c r="KF78" s="12"/>
      <c r="KG78" s="12"/>
      <c r="KH78" s="12"/>
      <c r="KI78" s="12"/>
      <c r="KJ78" s="12"/>
      <c r="KK78" s="12"/>
      <c r="KL78" s="12"/>
      <c r="KM78" s="12"/>
      <c r="KN78" s="12"/>
      <c r="KR78" s="9"/>
      <c r="KV78" s="12"/>
      <c r="KW78" s="12"/>
      <c r="KX78" s="12"/>
      <c r="KY78" s="12"/>
      <c r="KZ78" s="12"/>
      <c r="LA78" s="12"/>
      <c r="LB78" s="12"/>
      <c r="LC78" s="12"/>
      <c r="LD78" s="12"/>
      <c r="LH78" s="9"/>
      <c r="LL78" s="12"/>
      <c r="LM78" s="12"/>
      <c r="LN78" s="12"/>
      <c r="LO78" s="12"/>
      <c r="LP78" s="12"/>
      <c r="LQ78" s="12"/>
      <c r="LR78" s="12"/>
      <c r="LS78" s="12"/>
      <c r="LT78" s="12"/>
      <c r="LX78" s="9"/>
      <c r="MB78" s="12"/>
      <c r="MC78" s="12"/>
      <c r="MD78" s="12"/>
      <c r="ME78" s="12"/>
      <c r="MF78" s="12"/>
      <c r="MG78" s="12"/>
      <c r="MH78" s="12"/>
      <c r="MI78" s="12"/>
      <c r="MJ78" s="12"/>
      <c r="MN78" s="9"/>
      <c r="MR78" s="12"/>
      <c r="MS78" s="12"/>
      <c r="MT78" s="12"/>
      <c r="MU78" s="12"/>
      <c r="MV78" s="12"/>
      <c r="MW78" s="12"/>
      <c r="MX78" s="12"/>
      <c r="MY78" s="12"/>
      <c r="MZ78" s="12"/>
      <c r="ND78" s="9"/>
      <c r="NH78" s="12"/>
      <c r="NI78" s="12"/>
      <c r="NJ78" s="12"/>
      <c r="NK78" s="12"/>
      <c r="NL78" s="12"/>
      <c r="NM78" s="12"/>
      <c r="NN78" s="12"/>
      <c r="NO78" s="12"/>
      <c r="NP78" s="12"/>
      <c r="NT78" s="9"/>
      <c r="NX78" s="12"/>
      <c r="NY78" s="12"/>
      <c r="NZ78" s="12"/>
      <c r="OA78" s="12"/>
      <c r="OB78" s="12"/>
      <c r="OC78" s="12"/>
      <c r="OD78" s="12"/>
      <c r="OE78" s="12"/>
      <c r="OF78" s="12"/>
      <c r="OJ78" s="9"/>
    </row>
    <row r="79" spans="1:401" x14ac:dyDescent="0.2">
      <c r="P79" s="12"/>
      <c r="Q79" s="12"/>
      <c r="R79" s="12"/>
      <c r="S79" s="12"/>
      <c r="T79" s="12"/>
      <c r="U79" s="12"/>
      <c r="V79" s="12"/>
      <c r="W79" s="12"/>
      <c r="X79" s="12"/>
      <c r="AH79" s="12"/>
      <c r="AI79" s="12"/>
      <c r="AJ79" s="12"/>
      <c r="AK79" s="12"/>
      <c r="AL79" s="12"/>
      <c r="AM79" s="12"/>
      <c r="AN79" s="12"/>
      <c r="AO79" s="12"/>
      <c r="AP79" s="12"/>
      <c r="AZ79" s="12"/>
      <c r="BA79" s="12"/>
      <c r="BB79" s="12"/>
      <c r="BC79" s="12"/>
      <c r="BD79" s="12"/>
      <c r="BE79" s="12"/>
      <c r="BF79" s="12"/>
      <c r="BG79" s="12"/>
      <c r="BH79" s="12"/>
      <c r="BJ79" s="16"/>
      <c r="BL79" s="35"/>
      <c r="BP79" s="12"/>
      <c r="BQ79" s="12"/>
      <c r="BR79" s="12"/>
      <c r="BS79" s="12"/>
      <c r="BT79" s="12"/>
      <c r="BU79" s="12"/>
      <c r="BV79" s="12"/>
      <c r="BW79" s="12"/>
      <c r="BX79" s="12"/>
      <c r="BZ79" s="16"/>
      <c r="CB79" s="35"/>
      <c r="CF79" s="12"/>
      <c r="CG79" s="12"/>
      <c r="CH79" s="12"/>
      <c r="CI79" s="12"/>
      <c r="CJ79" s="12"/>
      <c r="CK79" s="12"/>
      <c r="CL79" s="12"/>
      <c r="CM79" s="12"/>
      <c r="CN79" s="12"/>
      <c r="CP79" s="16"/>
      <c r="CR79" s="35"/>
      <c r="CV79" s="12"/>
      <c r="CW79" s="12"/>
      <c r="CX79" s="12"/>
      <c r="CY79" s="12"/>
      <c r="CZ79" s="12"/>
      <c r="DA79" s="12"/>
      <c r="DB79" s="12"/>
      <c r="DC79" s="12"/>
      <c r="DD79" s="12"/>
      <c r="DF79" s="16"/>
      <c r="DH79" s="35"/>
      <c r="DL79" s="12"/>
      <c r="DM79" s="12"/>
      <c r="DN79" s="12"/>
      <c r="DO79" s="12"/>
      <c r="DP79" s="12"/>
      <c r="DQ79" s="12"/>
      <c r="DR79" s="12"/>
      <c r="DS79" s="12"/>
      <c r="DT79" s="12"/>
      <c r="DV79" s="16"/>
      <c r="DX79" s="35"/>
      <c r="EB79" s="12"/>
      <c r="EC79" s="12"/>
      <c r="ED79" s="12"/>
      <c r="EE79" s="12"/>
      <c r="EF79" s="12"/>
      <c r="EG79" s="12"/>
      <c r="EH79" s="12"/>
      <c r="EI79" s="12"/>
      <c r="EJ79" s="12"/>
      <c r="EL79" s="16"/>
      <c r="EN79" s="35"/>
      <c r="ER79" s="12"/>
      <c r="ES79" s="12"/>
      <c r="ET79" s="12"/>
      <c r="EU79" s="12"/>
      <c r="EV79" s="12"/>
      <c r="EW79" s="12"/>
      <c r="EX79" s="12"/>
      <c r="EY79" s="12"/>
      <c r="EZ79" s="12"/>
      <c r="FB79" s="16"/>
      <c r="FD79" s="35"/>
      <c r="FH79" s="12"/>
      <c r="FI79" s="12"/>
      <c r="FJ79" s="12"/>
      <c r="FK79" s="12"/>
      <c r="FL79" s="12"/>
      <c r="FM79" s="12"/>
      <c r="FN79" s="12"/>
      <c r="FO79" s="12"/>
      <c r="FP79" s="12"/>
      <c r="FR79" s="16"/>
      <c r="FT79" s="35"/>
      <c r="FX79" s="12"/>
      <c r="FY79" s="12"/>
      <c r="FZ79" s="12"/>
      <c r="GA79" s="12"/>
      <c r="GB79" s="12"/>
      <c r="GC79" s="12"/>
      <c r="GD79" s="12"/>
      <c r="GE79" s="12"/>
      <c r="GF79" s="12"/>
      <c r="GH79" s="16"/>
      <c r="GJ79" s="35"/>
      <c r="GN79" s="12"/>
      <c r="GO79" s="12"/>
      <c r="GP79" s="12"/>
      <c r="GQ79" s="12"/>
      <c r="GR79" s="12"/>
      <c r="GS79" s="12"/>
      <c r="GT79" s="12"/>
      <c r="GU79" s="12"/>
      <c r="GV79" s="12"/>
      <c r="GX79" s="16"/>
      <c r="GZ79" s="35"/>
      <c r="HD79" s="12"/>
      <c r="HE79" s="12"/>
      <c r="HF79" s="12"/>
      <c r="HG79" s="12"/>
      <c r="HH79" s="12"/>
      <c r="HI79" s="12"/>
      <c r="HJ79" s="12"/>
      <c r="HK79" s="12"/>
      <c r="HL79" s="12"/>
      <c r="HN79" s="16"/>
      <c r="HP79" s="35"/>
      <c r="HT79" s="12"/>
      <c r="HU79" s="12"/>
      <c r="HV79" s="12"/>
      <c r="HW79" s="12"/>
      <c r="HX79" s="12"/>
      <c r="HY79" s="12"/>
      <c r="HZ79" s="12"/>
      <c r="IA79" s="12"/>
      <c r="IB79" s="12"/>
      <c r="ID79" s="16"/>
      <c r="IF79" s="9"/>
      <c r="IJ79" s="12"/>
      <c r="IK79" s="12"/>
      <c r="IL79" s="12"/>
      <c r="IM79" s="12"/>
      <c r="IN79" s="12"/>
      <c r="IO79" s="12"/>
      <c r="IP79" s="12"/>
      <c r="IQ79" s="12"/>
      <c r="IR79" s="12"/>
      <c r="IT79" s="16"/>
      <c r="IV79" s="9"/>
      <c r="IZ79" s="12"/>
      <c r="JA79" s="12"/>
      <c r="JB79" s="12"/>
      <c r="JC79" s="12"/>
      <c r="JD79" s="12"/>
      <c r="JE79" s="12"/>
      <c r="JF79" s="12"/>
      <c r="JG79" s="12"/>
      <c r="JH79" s="12"/>
      <c r="JL79" s="9"/>
      <c r="JP79" s="12"/>
      <c r="JQ79" s="12"/>
      <c r="JR79" s="12"/>
      <c r="JS79" s="12"/>
      <c r="JT79" s="12"/>
      <c r="JU79" s="12"/>
      <c r="JV79" s="12"/>
      <c r="JW79" s="12"/>
      <c r="JX79" s="12"/>
      <c r="KB79" s="9"/>
      <c r="KF79" s="12"/>
      <c r="KG79" s="12"/>
      <c r="KH79" s="12"/>
      <c r="KI79" s="12"/>
      <c r="KJ79" s="12"/>
      <c r="KK79" s="12"/>
      <c r="KL79" s="12"/>
      <c r="KM79" s="12"/>
      <c r="KN79" s="12"/>
      <c r="KR79" s="9"/>
      <c r="KV79" s="12"/>
      <c r="KW79" s="12"/>
      <c r="KX79" s="12"/>
      <c r="KY79" s="12"/>
      <c r="KZ79" s="12"/>
      <c r="LA79" s="12"/>
      <c r="LB79" s="12"/>
      <c r="LC79" s="12"/>
      <c r="LD79" s="12"/>
      <c r="LH79" s="9"/>
      <c r="LL79" s="12"/>
      <c r="LM79" s="12"/>
      <c r="LN79" s="12"/>
      <c r="LO79" s="12"/>
      <c r="LP79" s="12"/>
      <c r="LQ79" s="12"/>
      <c r="LR79" s="12"/>
      <c r="LS79" s="12"/>
      <c r="LT79" s="12"/>
      <c r="LX79" s="9"/>
      <c r="MB79" s="12"/>
      <c r="MC79" s="12"/>
      <c r="MD79" s="12"/>
      <c r="ME79" s="12"/>
      <c r="MF79" s="12"/>
      <c r="MG79" s="12"/>
      <c r="MH79" s="12"/>
      <c r="MI79" s="12"/>
      <c r="MJ79" s="12"/>
      <c r="MN79" s="9"/>
      <c r="MR79" s="12"/>
      <c r="MS79" s="12"/>
      <c r="MT79" s="12"/>
      <c r="MU79" s="12"/>
      <c r="MV79" s="12"/>
      <c r="MW79" s="12"/>
      <c r="MX79" s="12"/>
      <c r="MY79" s="12"/>
      <c r="MZ79" s="12"/>
      <c r="ND79" s="9"/>
      <c r="NH79" s="12"/>
      <c r="NI79" s="12"/>
      <c r="NJ79" s="12"/>
      <c r="NK79" s="12"/>
      <c r="NL79" s="12"/>
      <c r="NM79" s="12"/>
      <c r="NN79" s="12"/>
      <c r="NO79" s="12"/>
      <c r="NP79" s="12"/>
      <c r="NT79" s="9"/>
      <c r="NX79" s="12"/>
      <c r="NY79" s="12"/>
      <c r="NZ79" s="12"/>
      <c r="OA79" s="12"/>
      <c r="OB79" s="12"/>
      <c r="OC79" s="12"/>
      <c r="OD79" s="12"/>
      <c r="OE79" s="12"/>
      <c r="OF79" s="12"/>
      <c r="OJ79" s="9"/>
    </row>
    <row r="80" spans="1:401" x14ac:dyDescent="0.2">
      <c r="O80" s="5"/>
      <c r="P80" s="12"/>
      <c r="Q80" s="12"/>
      <c r="R80" s="12"/>
      <c r="S80" s="12"/>
      <c r="T80" s="12"/>
      <c r="U80" s="12"/>
      <c r="V80" s="12"/>
      <c r="W80" s="12"/>
      <c r="X80" s="12"/>
      <c r="AG80" s="5"/>
      <c r="AH80" s="12"/>
      <c r="AI80" s="12"/>
      <c r="AJ80" s="12"/>
      <c r="AK80" s="12"/>
      <c r="AL80" s="12"/>
      <c r="AM80" s="12"/>
      <c r="AN80" s="12"/>
      <c r="AO80" s="12"/>
      <c r="AP80" s="12"/>
      <c r="AZ80" s="12"/>
      <c r="BA80" s="12"/>
      <c r="BB80" s="12"/>
      <c r="BC80" s="12"/>
      <c r="BD80" s="12"/>
      <c r="BE80" s="12"/>
      <c r="BF80" s="12"/>
      <c r="BG80" s="12"/>
      <c r="BH80" s="12"/>
      <c r="BJ80" s="16"/>
      <c r="BL80" s="35"/>
      <c r="BP80" s="12"/>
      <c r="BQ80" s="12"/>
      <c r="BR80" s="12"/>
      <c r="BS80" s="12"/>
      <c r="BT80" s="12"/>
      <c r="BU80" s="12"/>
      <c r="BV80" s="12"/>
      <c r="BW80" s="12"/>
      <c r="BX80" s="12"/>
      <c r="BZ80" s="16"/>
      <c r="CB80" s="35"/>
      <c r="CF80" s="12"/>
      <c r="CG80" s="12"/>
      <c r="CH80" s="12"/>
      <c r="CI80" s="12"/>
      <c r="CJ80" s="12"/>
      <c r="CK80" s="12"/>
      <c r="CL80" s="12"/>
      <c r="CM80" s="12"/>
      <c r="CN80" s="12"/>
      <c r="CP80" s="16"/>
      <c r="CR80" s="35"/>
      <c r="CV80" s="12"/>
      <c r="CW80" s="12"/>
      <c r="CX80" s="12"/>
      <c r="CY80" s="12"/>
      <c r="CZ80" s="12"/>
      <c r="DA80" s="12"/>
      <c r="DB80" s="12"/>
      <c r="DC80" s="12"/>
      <c r="DD80" s="12"/>
      <c r="DF80" s="16"/>
      <c r="DH80" s="35"/>
      <c r="DL80" s="12"/>
      <c r="DM80" s="12"/>
      <c r="DN80" s="12"/>
      <c r="DO80" s="12"/>
      <c r="DP80" s="12"/>
      <c r="DQ80" s="12"/>
      <c r="DR80" s="12"/>
      <c r="DS80" s="12"/>
      <c r="DT80" s="12"/>
      <c r="DV80" s="16"/>
      <c r="DX80" s="35"/>
      <c r="EB80" s="12"/>
      <c r="EC80" s="12"/>
      <c r="ED80" s="12"/>
      <c r="EE80" s="12"/>
      <c r="EF80" s="12"/>
      <c r="EG80" s="12"/>
      <c r="EH80" s="12"/>
      <c r="EI80" s="12"/>
      <c r="EJ80" s="12"/>
      <c r="EL80" s="16"/>
      <c r="EN80" s="35"/>
      <c r="ER80" s="12"/>
      <c r="ES80" s="12"/>
      <c r="ET80" s="12"/>
      <c r="EU80" s="12"/>
      <c r="EV80" s="12"/>
      <c r="EW80" s="12"/>
      <c r="EX80" s="12"/>
      <c r="EY80" s="12"/>
      <c r="EZ80" s="12"/>
      <c r="FB80" s="16"/>
      <c r="FD80" s="35"/>
      <c r="FH80" s="12"/>
      <c r="FI80" s="12"/>
      <c r="FJ80" s="12"/>
      <c r="FK80" s="12"/>
      <c r="FL80" s="12"/>
      <c r="FM80" s="12"/>
      <c r="FN80" s="12"/>
      <c r="FO80" s="12"/>
      <c r="FP80" s="12"/>
      <c r="FR80" s="16"/>
      <c r="FT80" s="35"/>
      <c r="FX80" s="12"/>
      <c r="FY80" s="12"/>
      <c r="FZ80" s="12"/>
      <c r="GA80" s="12"/>
      <c r="GB80" s="12"/>
      <c r="GC80" s="12"/>
      <c r="GD80" s="12"/>
      <c r="GE80" s="12"/>
      <c r="GF80" s="12"/>
      <c r="GH80" s="16"/>
      <c r="GJ80" s="35"/>
      <c r="GN80" s="12"/>
      <c r="GO80" s="12"/>
      <c r="GP80" s="12"/>
      <c r="GQ80" s="12"/>
      <c r="GR80" s="12"/>
      <c r="GS80" s="12"/>
      <c r="GT80" s="12"/>
      <c r="GU80" s="12"/>
      <c r="GV80" s="12"/>
      <c r="GX80" s="16"/>
      <c r="GZ80" s="35"/>
      <c r="HD80" s="12"/>
      <c r="HE80" s="12"/>
      <c r="HF80" s="12"/>
      <c r="HG80" s="12"/>
      <c r="HH80" s="12"/>
      <c r="HI80" s="12"/>
      <c r="HJ80" s="12"/>
      <c r="HK80" s="12"/>
      <c r="HL80" s="12"/>
      <c r="HN80" s="16"/>
      <c r="HP80" s="35"/>
      <c r="HT80" s="12"/>
      <c r="HU80" s="12"/>
      <c r="HV80" s="12"/>
      <c r="HW80" s="12"/>
      <c r="HX80" s="12"/>
      <c r="HY80" s="12"/>
      <c r="HZ80" s="12"/>
      <c r="IA80" s="12"/>
      <c r="IB80" s="12"/>
      <c r="ID80" s="16"/>
      <c r="IF80" s="9"/>
      <c r="IJ80" s="12"/>
      <c r="IK80" s="12"/>
      <c r="IL80" s="12"/>
      <c r="IM80" s="12"/>
      <c r="IN80" s="12"/>
      <c r="IO80" s="12"/>
      <c r="IP80" s="12"/>
      <c r="IQ80" s="12"/>
      <c r="IR80" s="12"/>
      <c r="IT80" s="16"/>
      <c r="IV80" s="9"/>
      <c r="IZ80" s="12"/>
      <c r="JA80" s="12"/>
      <c r="JB80" s="12"/>
      <c r="JC80" s="12"/>
      <c r="JD80" s="12"/>
      <c r="JE80" s="12"/>
      <c r="JF80" s="12"/>
      <c r="JG80" s="12"/>
      <c r="JH80" s="12"/>
      <c r="JL80" s="9"/>
      <c r="JP80" s="12"/>
      <c r="JQ80" s="12"/>
      <c r="JR80" s="12"/>
      <c r="JS80" s="12"/>
      <c r="JT80" s="12"/>
      <c r="JU80" s="12"/>
      <c r="JV80" s="12"/>
      <c r="JW80" s="12"/>
      <c r="JX80" s="12"/>
      <c r="KB80" s="9"/>
      <c r="KF80" s="12"/>
      <c r="KG80" s="12"/>
      <c r="KH80" s="12"/>
      <c r="KI80" s="12"/>
      <c r="KJ80" s="12"/>
      <c r="KK80" s="12"/>
      <c r="KL80" s="12"/>
      <c r="KM80" s="12"/>
      <c r="KN80" s="12"/>
      <c r="KR80" s="9"/>
      <c r="KV80" s="12"/>
      <c r="KW80" s="12"/>
      <c r="KX80" s="12"/>
      <c r="KY80" s="12"/>
      <c r="KZ80" s="12"/>
      <c r="LA80" s="12"/>
      <c r="LB80" s="12"/>
      <c r="LC80" s="12"/>
      <c r="LD80" s="12"/>
      <c r="LH80" s="9"/>
      <c r="LL80" s="12"/>
      <c r="LM80" s="12"/>
      <c r="LN80" s="12"/>
      <c r="LO80" s="12"/>
      <c r="LP80" s="12"/>
      <c r="LQ80" s="12"/>
      <c r="LR80" s="12"/>
      <c r="LS80" s="12"/>
      <c r="LT80" s="12"/>
      <c r="LX80" s="9"/>
      <c r="MB80" s="12"/>
      <c r="MC80" s="12"/>
      <c r="MD80" s="12"/>
      <c r="ME80" s="12"/>
      <c r="MF80" s="12"/>
      <c r="MG80" s="12"/>
      <c r="MH80" s="12"/>
      <c r="MI80" s="12"/>
      <c r="MJ80" s="12"/>
      <c r="MN80" s="9"/>
      <c r="MR80" s="12"/>
      <c r="MS80" s="12"/>
      <c r="MT80" s="12"/>
      <c r="MU80" s="12"/>
      <c r="MV80" s="12"/>
      <c r="MW80" s="12"/>
      <c r="MX80" s="12"/>
      <c r="MY80" s="12"/>
      <c r="MZ80" s="12"/>
      <c r="ND80" s="9"/>
      <c r="NH80" s="12"/>
      <c r="NI80" s="12"/>
      <c r="NJ80" s="12"/>
      <c r="NK80" s="12"/>
      <c r="NL80" s="12"/>
      <c r="NM80" s="12"/>
      <c r="NN80" s="12"/>
      <c r="NO80" s="12"/>
      <c r="NP80" s="12"/>
      <c r="NT80" s="9"/>
      <c r="NX80" s="12"/>
      <c r="NY80" s="12"/>
      <c r="NZ80" s="12"/>
      <c r="OA80" s="12"/>
      <c r="OB80" s="12"/>
      <c r="OC80" s="12"/>
      <c r="OD80" s="12"/>
      <c r="OE80" s="12"/>
      <c r="OF80" s="12"/>
      <c r="OJ80" s="9"/>
    </row>
    <row r="81" spans="1:401" x14ac:dyDescent="0.2">
      <c r="A81" s="5" t="s">
        <v>51</v>
      </c>
      <c r="B81" s="12"/>
      <c r="O81" s="5"/>
      <c r="P81" s="12"/>
      <c r="Q81" s="12"/>
      <c r="R81" s="12"/>
      <c r="S81" s="12"/>
      <c r="T81" s="12"/>
      <c r="U81" s="12"/>
      <c r="V81" s="12"/>
      <c r="W81" s="12"/>
      <c r="X81" s="12"/>
      <c r="AG81" s="5"/>
      <c r="AH81" s="12"/>
      <c r="AI81" s="12"/>
      <c r="AJ81" s="12"/>
      <c r="AK81" s="12"/>
      <c r="AL81" s="12"/>
      <c r="AM81" s="12"/>
      <c r="AN81" s="12"/>
      <c r="AO81" s="12"/>
      <c r="AP81" s="12"/>
      <c r="AY81" s="5"/>
      <c r="AZ81" s="12"/>
      <c r="BA81" s="12"/>
      <c r="BB81" s="12"/>
      <c r="BC81" s="12"/>
      <c r="BD81" s="12"/>
      <c r="BE81" s="12"/>
      <c r="BF81" s="12"/>
      <c r="BG81" s="12"/>
      <c r="BH81" s="12"/>
      <c r="BJ81" s="16"/>
      <c r="BL81" s="35"/>
      <c r="BO81" s="5"/>
      <c r="BP81" s="12"/>
      <c r="BQ81" s="12"/>
      <c r="BR81" s="12"/>
      <c r="BS81" s="12"/>
      <c r="BT81" s="12"/>
      <c r="BU81" s="12"/>
      <c r="BV81" s="12"/>
      <c r="BW81" s="12"/>
      <c r="BX81" s="12"/>
      <c r="BZ81" s="16"/>
      <c r="CB81" s="35"/>
      <c r="CE81" s="5"/>
      <c r="CF81" s="12"/>
      <c r="CG81" s="12"/>
      <c r="CH81" s="12"/>
      <c r="CI81" s="12"/>
      <c r="CJ81" s="12"/>
      <c r="CK81" s="12"/>
      <c r="CL81" s="12"/>
      <c r="CM81" s="12"/>
      <c r="CN81" s="12"/>
      <c r="CP81" s="16"/>
      <c r="CR81" s="35"/>
      <c r="CU81" s="5"/>
      <c r="CV81" s="12"/>
      <c r="CW81" s="12"/>
      <c r="CX81" s="12"/>
      <c r="CY81" s="12"/>
      <c r="CZ81" s="12"/>
      <c r="DA81" s="12"/>
      <c r="DB81" s="12"/>
      <c r="DC81" s="12"/>
      <c r="DD81" s="12"/>
      <c r="DF81" s="16"/>
      <c r="DH81" s="35"/>
      <c r="DK81" s="5"/>
      <c r="DL81" s="12"/>
      <c r="DM81" s="12"/>
      <c r="DN81" s="12"/>
      <c r="DO81" s="12"/>
      <c r="DP81" s="12"/>
      <c r="DQ81" s="12"/>
      <c r="DR81" s="12"/>
      <c r="DS81" s="12"/>
      <c r="DT81" s="12"/>
      <c r="DV81" s="16"/>
      <c r="DX81" s="35"/>
      <c r="EA81" s="5"/>
      <c r="EB81" s="12"/>
      <c r="EC81" s="12"/>
      <c r="ED81" s="12"/>
      <c r="EE81" s="12"/>
      <c r="EF81" s="12"/>
      <c r="EG81" s="12"/>
      <c r="EH81" s="12"/>
      <c r="EI81" s="12"/>
      <c r="EJ81" s="12"/>
      <c r="EL81" s="16"/>
      <c r="EN81" s="35"/>
      <c r="EQ81" s="5"/>
      <c r="ER81" s="12"/>
      <c r="ES81" s="12"/>
      <c r="ET81" s="12"/>
      <c r="EU81" s="12"/>
      <c r="EV81" s="12"/>
      <c r="EW81" s="12"/>
      <c r="EX81" s="12"/>
      <c r="EY81" s="12"/>
      <c r="EZ81" s="12"/>
      <c r="FB81" s="16"/>
      <c r="FD81" s="35"/>
      <c r="FG81" s="5"/>
      <c r="FH81" s="12"/>
      <c r="FI81" s="12"/>
      <c r="FJ81" s="12"/>
      <c r="FK81" s="12"/>
      <c r="FL81" s="12"/>
      <c r="FM81" s="12"/>
      <c r="FN81" s="12"/>
      <c r="FO81" s="12"/>
      <c r="FP81" s="12"/>
      <c r="FR81" s="16"/>
      <c r="FT81" s="35"/>
      <c r="FW81" s="5"/>
      <c r="FX81" s="12"/>
      <c r="FY81" s="12"/>
      <c r="FZ81" s="12"/>
      <c r="GA81" s="12"/>
      <c r="GB81" s="12"/>
      <c r="GC81" s="12"/>
      <c r="GD81" s="12"/>
      <c r="GE81" s="12"/>
      <c r="GF81" s="12"/>
      <c r="GH81" s="16"/>
      <c r="GJ81" s="35"/>
      <c r="GN81" s="12"/>
      <c r="GO81" s="12"/>
      <c r="GP81" s="12"/>
      <c r="GQ81" s="12"/>
      <c r="GR81" s="12"/>
      <c r="GS81" s="12"/>
      <c r="GT81" s="12"/>
      <c r="GU81" s="12"/>
      <c r="GV81" s="12"/>
      <c r="GX81" s="16"/>
      <c r="GZ81" s="35"/>
      <c r="HD81" s="12"/>
      <c r="HE81" s="12"/>
      <c r="HF81" s="12"/>
      <c r="HG81" s="12"/>
      <c r="HH81" s="12"/>
      <c r="HI81" s="12"/>
      <c r="HJ81" s="12"/>
      <c r="HK81" s="12"/>
      <c r="HL81" s="12"/>
      <c r="HN81" s="16"/>
      <c r="HP81" s="35"/>
      <c r="HT81" s="12"/>
      <c r="HU81" s="12"/>
      <c r="HV81" s="12"/>
      <c r="HW81" s="12"/>
      <c r="HX81" s="12"/>
      <c r="HY81" s="12"/>
      <c r="HZ81" s="12"/>
      <c r="IA81" s="12"/>
      <c r="IB81" s="12"/>
      <c r="ID81" s="16"/>
      <c r="IF81" s="9"/>
      <c r="IJ81" s="12"/>
      <c r="IK81" s="12"/>
      <c r="IL81" s="12"/>
      <c r="IM81" s="12"/>
      <c r="IN81" s="12"/>
      <c r="IO81" s="12"/>
      <c r="IP81" s="12"/>
      <c r="IQ81" s="12"/>
      <c r="IR81" s="12"/>
      <c r="IT81" s="16"/>
      <c r="IV81" s="9"/>
      <c r="IZ81" s="12"/>
      <c r="JA81" s="12"/>
      <c r="JB81" s="12"/>
      <c r="JC81" s="12"/>
      <c r="JD81" s="12"/>
      <c r="JE81" s="12"/>
      <c r="JF81" s="12"/>
      <c r="JG81" s="12"/>
      <c r="JH81" s="12"/>
      <c r="JL81" s="9"/>
      <c r="JP81" s="12"/>
      <c r="JQ81" s="12"/>
      <c r="JR81" s="12"/>
      <c r="JS81" s="12"/>
      <c r="JT81" s="12"/>
      <c r="JU81" s="12"/>
      <c r="JV81" s="12"/>
      <c r="JW81" s="12"/>
      <c r="JX81" s="12"/>
      <c r="KB81" s="9"/>
      <c r="KF81" s="12"/>
      <c r="KG81" s="12"/>
      <c r="KH81" s="12"/>
      <c r="KI81" s="12"/>
      <c r="KJ81" s="12"/>
      <c r="KK81" s="12"/>
      <c r="KL81" s="12"/>
      <c r="KM81" s="12"/>
      <c r="KN81" s="12"/>
      <c r="KR81" s="9"/>
      <c r="KV81" s="12"/>
      <c r="KW81" s="12"/>
      <c r="KX81" s="12"/>
      <c r="KY81" s="12"/>
      <c r="KZ81" s="12"/>
      <c r="LA81" s="12"/>
      <c r="LB81" s="12"/>
      <c r="LC81" s="12"/>
      <c r="LD81" s="12"/>
      <c r="LH81" s="9"/>
      <c r="LL81" s="12"/>
      <c r="LM81" s="12"/>
      <c r="LN81" s="12"/>
      <c r="LO81" s="12"/>
      <c r="LP81" s="12"/>
      <c r="LQ81" s="12"/>
      <c r="LR81" s="12"/>
      <c r="LS81" s="12"/>
      <c r="LT81" s="12"/>
      <c r="LX81" s="9"/>
      <c r="MB81" s="12"/>
      <c r="MC81" s="12"/>
      <c r="MD81" s="12"/>
      <c r="ME81" s="12"/>
      <c r="MF81" s="12"/>
      <c r="MG81" s="12"/>
      <c r="MH81" s="12"/>
      <c r="MI81" s="12"/>
      <c r="MJ81" s="12"/>
      <c r="MN81" s="9"/>
      <c r="MR81" s="12"/>
      <c r="MS81" s="12"/>
      <c r="MT81" s="12"/>
      <c r="MU81" s="12"/>
      <c r="MV81" s="12"/>
      <c r="MW81" s="12"/>
      <c r="MX81" s="12"/>
      <c r="MY81" s="12"/>
      <c r="MZ81" s="12"/>
      <c r="ND81" s="9"/>
      <c r="NH81" s="12"/>
      <c r="NI81" s="12"/>
      <c r="NJ81" s="12"/>
      <c r="NK81" s="12"/>
      <c r="NL81" s="12"/>
      <c r="NM81" s="12"/>
      <c r="NN81" s="12"/>
      <c r="NO81" s="12"/>
      <c r="NP81" s="12"/>
      <c r="NT81" s="9"/>
      <c r="NX81" s="12"/>
      <c r="NY81" s="12"/>
      <c r="NZ81" s="12"/>
      <c r="OA81" s="12"/>
      <c r="OB81" s="12"/>
      <c r="OC81" s="12"/>
      <c r="OD81" s="12"/>
      <c r="OE81" s="12"/>
      <c r="OF81" s="12"/>
      <c r="OJ81" s="9"/>
    </row>
    <row r="82" spans="1:401" x14ac:dyDescent="0.2">
      <c r="A82" s="17" t="s">
        <v>1313</v>
      </c>
      <c r="B82" s="19" t="s">
        <v>1319</v>
      </c>
      <c r="C82" s="19" t="s">
        <v>1319</v>
      </c>
      <c r="D82" s="19" t="s">
        <v>1319</v>
      </c>
      <c r="E82" s="19" t="s">
        <v>1319</v>
      </c>
      <c r="F82" s="19" t="s">
        <v>1319</v>
      </c>
      <c r="G82" s="19" t="s">
        <v>1319</v>
      </c>
      <c r="H82" s="19" t="s">
        <v>1319</v>
      </c>
      <c r="I82" s="19" t="s">
        <v>1319</v>
      </c>
      <c r="J82" s="19" t="s">
        <v>1319</v>
      </c>
      <c r="O82" s="5"/>
      <c r="P82" s="12"/>
      <c r="Q82" s="12"/>
      <c r="R82" s="12"/>
      <c r="S82" s="12"/>
      <c r="T82" s="12"/>
      <c r="U82" s="12"/>
      <c r="V82" s="12"/>
      <c r="W82" s="12"/>
      <c r="X82" s="12"/>
      <c r="AG82" s="5"/>
      <c r="AH82" s="12"/>
      <c r="AI82" s="12"/>
      <c r="AJ82" s="12"/>
      <c r="AK82" s="12"/>
      <c r="AL82" s="12"/>
      <c r="AM82" s="12"/>
      <c r="AN82" s="12"/>
      <c r="AO82" s="12"/>
      <c r="AP82" s="12"/>
      <c r="AY82" s="5"/>
      <c r="AZ82" s="12"/>
      <c r="BA82" s="12"/>
      <c r="BB82" s="12"/>
      <c r="BC82" s="12"/>
      <c r="BD82" s="12"/>
      <c r="BE82" s="12"/>
      <c r="BF82" s="12"/>
      <c r="BG82" s="12"/>
      <c r="BH82" s="12"/>
      <c r="BJ82" s="16"/>
      <c r="BL82" s="35"/>
      <c r="BO82" s="5"/>
      <c r="BP82" s="12"/>
      <c r="BQ82" s="12"/>
      <c r="BR82" s="12"/>
      <c r="BS82" s="12"/>
      <c r="BT82" s="12"/>
      <c r="BU82" s="12"/>
      <c r="BV82" s="12"/>
      <c r="BW82" s="12"/>
      <c r="BX82" s="12"/>
      <c r="BZ82" s="16"/>
      <c r="CB82" s="35"/>
      <c r="CE82" s="5"/>
      <c r="CF82" s="12"/>
      <c r="CG82" s="12"/>
      <c r="CH82" s="12"/>
      <c r="CI82" s="12"/>
      <c r="CJ82" s="12"/>
      <c r="CK82" s="12"/>
      <c r="CL82" s="12"/>
      <c r="CM82" s="12"/>
      <c r="CN82" s="12"/>
      <c r="CP82" s="16"/>
      <c r="CR82" s="35"/>
      <c r="CU82" s="5"/>
      <c r="CV82" s="12"/>
      <c r="CW82" s="12"/>
      <c r="CX82" s="12"/>
      <c r="CY82" s="12"/>
      <c r="CZ82" s="12"/>
      <c r="DA82" s="12"/>
      <c r="DB82" s="12"/>
      <c r="DC82" s="12"/>
      <c r="DD82" s="12"/>
      <c r="DF82" s="16"/>
      <c r="DH82" s="35"/>
      <c r="DK82" s="5"/>
      <c r="DL82" s="12"/>
      <c r="DM82" s="12"/>
      <c r="DN82" s="12"/>
      <c r="DO82" s="12"/>
      <c r="DP82" s="12"/>
      <c r="DQ82" s="12"/>
      <c r="DR82" s="12"/>
      <c r="DS82" s="12"/>
      <c r="DT82" s="12"/>
      <c r="DV82" s="16"/>
      <c r="DX82" s="35"/>
      <c r="EA82" s="5"/>
      <c r="EB82" s="12"/>
      <c r="EC82" s="12"/>
      <c r="ED82" s="12"/>
      <c r="EE82" s="12"/>
      <c r="EF82" s="12"/>
      <c r="EG82" s="12"/>
      <c r="EH82" s="12"/>
      <c r="EI82" s="12"/>
      <c r="EJ82" s="12"/>
      <c r="EL82" s="16"/>
      <c r="EN82" s="35"/>
      <c r="EQ82" s="5"/>
      <c r="ER82" s="12"/>
      <c r="ES82" s="12"/>
      <c r="ET82" s="12"/>
      <c r="EU82" s="12"/>
      <c r="EV82" s="12"/>
      <c r="EW82" s="12"/>
      <c r="EX82" s="12"/>
      <c r="EY82" s="12"/>
      <c r="EZ82" s="12"/>
      <c r="FB82" s="16"/>
      <c r="FD82" s="35"/>
      <c r="FG82" s="5"/>
      <c r="FH82" s="12"/>
      <c r="FI82" s="12"/>
      <c r="FJ82" s="12"/>
      <c r="FK82" s="12"/>
      <c r="FL82" s="12"/>
      <c r="FM82" s="12"/>
      <c r="FN82" s="12"/>
      <c r="FO82" s="12"/>
      <c r="FP82" s="12"/>
      <c r="FR82" s="16"/>
      <c r="FT82" s="35"/>
      <c r="FW82" s="5"/>
      <c r="FX82" s="12"/>
      <c r="FY82" s="12"/>
      <c r="FZ82" s="12"/>
      <c r="GA82" s="12"/>
      <c r="GB82" s="12"/>
      <c r="GC82" s="12"/>
      <c r="GD82" s="12"/>
      <c r="GE82" s="12"/>
      <c r="GF82" s="12"/>
      <c r="GH82" s="16"/>
      <c r="GJ82" s="35"/>
      <c r="GN82" s="12"/>
      <c r="GO82" s="12"/>
      <c r="GP82" s="12"/>
      <c r="GQ82" s="12"/>
      <c r="GR82" s="12"/>
      <c r="GS82" s="12"/>
      <c r="GT82" s="12"/>
      <c r="GU82" s="12"/>
      <c r="GV82" s="12"/>
      <c r="GX82" s="16"/>
      <c r="GZ82" s="35"/>
      <c r="HD82" s="12"/>
      <c r="HE82" s="12"/>
      <c r="HF82" s="12"/>
      <c r="HG82" s="12"/>
      <c r="HH82" s="12"/>
      <c r="HI82" s="12"/>
      <c r="HJ82" s="12"/>
      <c r="HK82" s="12"/>
      <c r="HL82" s="12"/>
      <c r="HN82" s="16"/>
      <c r="HP82" s="35"/>
      <c r="HT82" s="12"/>
      <c r="HU82" s="12"/>
      <c r="HV82" s="12"/>
      <c r="HW82" s="12"/>
      <c r="HX82" s="12"/>
      <c r="HY82" s="12"/>
      <c r="HZ82" s="12"/>
      <c r="IA82" s="12"/>
      <c r="IB82" s="12"/>
      <c r="ID82" s="16"/>
      <c r="IF82" s="9"/>
      <c r="IJ82" s="12"/>
      <c r="IK82" s="12"/>
      <c r="IL82" s="12"/>
      <c r="IM82" s="12"/>
      <c r="IN82" s="12"/>
      <c r="IO82" s="12"/>
      <c r="IP82" s="12"/>
      <c r="IQ82" s="12"/>
      <c r="IR82" s="12"/>
      <c r="IT82" s="16"/>
      <c r="IV82" s="9"/>
      <c r="IZ82" s="12"/>
      <c r="JA82" s="12"/>
      <c r="JB82" s="12"/>
      <c r="JC82" s="12"/>
      <c r="JD82" s="12"/>
      <c r="JE82" s="12"/>
      <c r="JF82" s="12"/>
      <c r="JG82" s="12"/>
      <c r="JH82" s="12"/>
      <c r="JL82" s="9"/>
      <c r="JP82" s="12"/>
      <c r="JQ82" s="12"/>
      <c r="JR82" s="12"/>
      <c r="JS82" s="12"/>
      <c r="JT82" s="12"/>
      <c r="JU82" s="12"/>
      <c r="JV82" s="12"/>
      <c r="JW82" s="12"/>
      <c r="JX82" s="12"/>
      <c r="KB82" s="9"/>
      <c r="KF82" s="12"/>
      <c r="KG82" s="12"/>
      <c r="KH82" s="12"/>
      <c r="KI82" s="12"/>
      <c r="KJ82" s="12"/>
      <c r="KK82" s="12"/>
      <c r="KL82" s="12"/>
      <c r="KM82" s="12"/>
      <c r="KN82" s="12"/>
      <c r="KR82" s="9"/>
      <c r="KV82" s="12"/>
      <c r="KW82" s="12"/>
      <c r="KX82" s="12"/>
      <c r="KY82" s="12"/>
      <c r="KZ82" s="12"/>
      <c r="LA82" s="12"/>
      <c r="LB82" s="12"/>
      <c r="LC82" s="12"/>
      <c r="LD82" s="12"/>
      <c r="LH82" s="9"/>
      <c r="LL82" s="12"/>
      <c r="LM82" s="12"/>
      <c r="LN82" s="12"/>
      <c r="LO82" s="12"/>
      <c r="LP82" s="12"/>
      <c r="LQ82" s="12"/>
      <c r="LR82" s="12"/>
      <c r="LS82" s="12"/>
      <c r="LT82" s="12"/>
      <c r="LX82" s="9"/>
      <c r="MB82" s="12"/>
      <c r="MC82" s="12"/>
      <c r="MD82" s="12"/>
      <c r="ME82" s="12"/>
      <c r="MF82" s="12"/>
      <c r="MG82" s="12"/>
      <c r="MH82" s="12"/>
      <c r="MI82" s="12"/>
      <c r="MJ82" s="12"/>
      <c r="MN82" s="9"/>
      <c r="MR82" s="12"/>
      <c r="MS82" s="12"/>
      <c r="MT82" s="12"/>
      <c r="MU82" s="12"/>
      <c r="MV82" s="12"/>
      <c r="MW82" s="12"/>
      <c r="MX82" s="12"/>
      <c r="MY82" s="12"/>
      <c r="MZ82" s="12"/>
      <c r="ND82" s="9"/>
      <c r="NH82" s="12"/>
      <c r="NI82" s="12"/>
      <c r="NJ82" s="12"/>
      <c r="NK82" s="12"/>
      <c r="NL82" s="12"/>
      <c r="NM82" s="12"/>
      <c r="NN82" s="12"/>
      <c r="NO82" s="12"/>
      <c r="NP82" s="12"/>
      <c r="NT82" s="9"/>
      <c r="NX82" s="12"/>
      <c r="NY82" s="12"/>
      <c r="NZ82" s="12"/>
      <c r="OA82" s="12"/>
      <c r="OB82" s="12"/>
      <c r="OC82" s="12"/>
      <c r="OD82" s="12"/>
      <c r="OE82" s="12"/>
      <c r="OF82" s="12"/>
      <c r="OJ82" s="9"/>
    </row>
    <row r="83" spans="1:401" x14ac:dyDescent="0.2">
      <c r="A83" s="17" t="s">
        <v>1314</v>
      </c>
      <c r="B83" s="19" t="s">
        <v>1319</v>
      </c>
      <c r="C83" s="19" t="s">
        <v>1319</v>
      </c>
      <c r="D83" s="19" t="s">
        <v>1319</v>
      </c>
      <c r="E83" s="19" t="s">
        <v>1319</v>
      </c>
      <c r="F83" s="19" t="s">
        <v>1319</v>
      </c>
      <c r="G83" s="19" t="s">
        <v>1319</v>
      </c>
      <c r="H83" s="19" t="s">
        <v>1319</v>
      </c>
      <c r="I83" s="19" t="s">
        <v>1319</v>
      </c>
      <c r="J83" s="19" t="s">
        <v>1319</v>
      </c>
      <c r="O83" s="17"/>
      <c r="P83" s="12"/>
      <c r="Q83" s="12"/>
      <c r="R83" s="12"/>
      <c r="S83" s="12"/>
      <c r="T83" s="12"/>
      <c r="U83" s="12"/>
      <c r="V83" s="12"/>
      <c r="W83" s="12"/>
      <c r="X83" s="12"/>
      <c r="AG83" s="17"/>
      <c r="AH83" s="12"/>
      <c r="AI83" s="12"/>
      <c r="AJ83" s="12"/>
      <c r="AK83" s="12"/>
      <c r="AL83" s="12"/>
      <c r="AM83" s="12"/>
      <c r="AN83" s="12"/>
      <c r="AO83" s="12"/>
      <c r="AP83" s="12"/>
      <c r="AY83" s="5"/>
      <c r="AZ83" s="12"/>
      <c r="BA83" s="12"/>
      <c r="BB83" s="12"/>
      <c r="BC83" s="12"/>
      <c r="BD83" s="12"/>
      <c r="BE83" s="12"/>
      <c r="BF83" s="12"/>
      <c r="BG83" s="12"/>
      <c r="BH83" s="12"/>
      <c r="BJ83" s="16"/>
      <c r="BL83" s="35"/>
      <c r="BO83" s="5"/>
      <c r="BP83" s="12"/>
      <c r="BQ83" s="12"/>
      <c r="BR83" s="12"/>
      <c r="BS83" s="12"/>
      <c r="BT83" s="12"/>
      <c r="BU83" s="12"/>
      <c r="BV83" s="12"/>
      <c r="BW83" s="12"/>
      <c r="BX83" s="12"/>
      <c r="BZ83" s="16"/>
      <c r="CB83" s="35"/>
      <c r="CE83" s="5"/>
      <c r="CF83" s="12"/>
      <c r="CG83" s="12"/>
      <c r="CH83" s="12"/>
      <c r="CI83" s="12"/>
      <c r="CJ83" s="12"/>
      <c r="CK83" s="12"/>
      <c r="CL83" s="12"/>
      <c r="CM83" s="12"/>
      <c r="CN83" s="12"/>
      <c r="CP83" s="16"/>
      <c r="CR83" s="35"/>
      <c r="CU83" s="5"/>
      <c r="CV83" s="12"/>
      <c r="CW83" s="12"/>
      <c r="CX83" s="12"/>
      <c r="CY83" s="12"/>
      <c r="CZ83" s="12"/>
      <c r="DA83" s="12"/>
      <c r="DB83" s="12"/>
      <c r="DC83" s="12"/>
      <c r="DD83" s="12"/>
      <c r="DF83" s="16"/>
      <c r="DH83" s="35"/>
      <c r="DK83" s="5"/>
      <c r="DL83" s="12"/>
      <c r="DM83" s="12"/>
      <c r="DN83" s="12"/>
      <c r="DO83" s="12"/>
      <c r="DP83" s="12"/>
      <c r="DQ83" s="12"/>
      <c r="DR83" s="12"/>
      <c r="DS83" s="12"/>
      <c r="DT83" s="12"/>
      <c r="DV83" s="16"/>
      <c r="DX83" s="35"/>
      <c r="EA83" s="5"/>
      <c r="EB83" s="12"/>
      <c r="EC83" s="12"/>
      <c r="ED83" s="12"/>
      <c r="EE83" s="12"/>
      <c r="EF83" s="12"/>
      <c r="EG83" s="12"/>
      <c r="EH83" s="12"/>
      <c r="EI83" s="12"/>
      <c r="EJ83" s="12"/>
      <c r="EL83" s="16"/>
      <c r="EN83" s="35"/>
      <c r="EQ83" s="5"/>
      <c r="ER83" s="12"/>
      <c r="ES83" s="12"/>
      <c r="ET83" s="12"/>
      <c r="EU83" s="12"/>
      <c r="EV83" s="12"/>
      <c r="EW83" s="12"/>
      <c r="EX83" s="12"/>
      <c r="EY83" s="12"/>
      <c r="EZ83" s="12"/>
      <c r="FB83" s="16"/>
      <c r="FD83" s="35"/>
      <c r="FG83" s="5"/>
      <c r="FH83" s="12"/>
      <c r="FI83" s="12"/>
      <c r="FJ83" s="12"/>
      <c r="FK83" s="12"/>
      <c r="FL83" s="12"/>
      <c r="FM83" s="12"/>
      <c r="FN83" s="12"/>
      <c r="FO83" s="12"/>
      <c r="FP83" s="12"/>
      <c r="FR83" s="16"/>
      <c r="FT83" s="35"/>
      <c r="FW83" s="5"/>
      <c r="FX83" s="12"/>
      <c r="FY83" s="12"/>
      <c r="FZ83" s="12"/>
      <c r="GA83" s="12"/>
      <c r="GB83" s="12"/>
      <c r="GC83" s="12"/>
      <c r="GD83" s="12"/>
      <c r="GE83" s="12"/>
      <c r="GF83" s="12"/>
      <c r="GH83" s="16"/>
      <c r="GJ83" s="35"/>
      <c r="GN83" s="12"/>
      <c r="GO83" s="12"/>
      <c r="GP83" s="12"/>
      <c r="GQ83" s="12"/>
      <c r="GR83" s="12"/>
      <c r="GS83" s="12"/>
      <c r="GT83" s="12"/>
      <c r="GU83" s="12"/>
      <c r="GV83" s="12"/>
      <c r="GX83" s="16"/>
      <c r="GZ83" s="35"/>
      <c r="HD83" s="12"/>
      <c r="HE83" s="12"/>
      <c r="HF83" s="12"/>
      <c r="HG83" s="12"/>
      <c r="HH83" s="12"/>
      <c r="HI83" s="12"/>
      <c r="HJ83" s="12"/>
      <c r="HK83" s="12"/>
      <c r="HL83" s="12"/>
      <c r="HN83" s="16"/>
      <c r="HP83" s="35"/>
      <c r="HT83" s="12"/>
      <c r="HU83" s="12"/>
      <c r="HV83" s="12"/>
      <c r="HW83" s="12"/>
      <c r="HX83" s="12"/>
      <c r="HY83" s="12"/>
      <c r="HZ83" s="12"/>
      <c r="IA83" s="12"/>
      <c r="IB83" s="12"/>
      <c r="ID83" s="16"/>
      <c r="IF83" s="9"/>
      <c r="IJ83" s="12"/>
      <c r="IK83" s="12"/>
      <c r="IL83" s="12"/>
      <c r="IM83" s="12"/>
      <c r="IN83" s="12"/>
      <c r="IO83" s="12"/>
      <c r="IP83" s="12"/>
      <c r="IQ83" s="12"/>
      <c r="IR83" s="12"/>
      <c r="IT83" s="16"/>
      <c r="IV83" s="9"/>
      <c r="IZ83" s="12"/>
      <c r="JA83" s="12"/>
      <c r="JB83" s="12"/>
      <c r="JC83" s="12"/>
      <c r="JD83" s="12"/>
      <c r="JE83" s="12"/>
      <c r="JF83" s="12"/>
      <c r="JG83" s="12"/>
      <c r="JH83" s="12"/>
      <c r="JL83" s="9"/>
      <c r="JP83" s="12"/>
      <c r="JQ83" s="12"/>
      <c r="JR83" s="12"/>
      <c r="JS83" s="12"/>
      <c r="JT83" s="12"/>
      <c r="JU83" s="12"/>
      <c r="JV83" s="12"/>
      <c r="JW83" s="12"/>
      <c r="JX83" s="12"/>
      <c r="KB83" s="9"/>
      <c r="KF83" s="12"/>
      <c r="KG83" s="12"/>
      <c r="KH83" s="12"/>
      <c r="KI83" s="12"/>
      <c r="KJ83" s="12"/>
      <c r="KK83" s="12"/>
      <c r="KL83" s="12"/>
      <c r="KM83" s="12"/>
      <c r="KN83" s="12"/>
      <c r="KR83" s="9"/>
      <c r="KV83" s="12"/>
      <c r="KW83" s="12"/>
      <c r="KX83" s="12"/>
      <c r="KY83" s="12"/>
      <c r="KZ83" s="12"/>
      <c r="LA83" s="12"/>
      <c r="LB83" s="12"/>
      <c r="LC83" s="12"/>
      <c r="LD83" s="12"/>
      <c r="LH83" s="9"/>
      <c r="LL83" s="12"/>
      <c r="LM83" s="12"/>
      <c r="LN83" s="12"/>
      <c r="LO83" s="12"/>
      <c r="LP83" s="12"/>
      <c r="LQ83" s="12"/>
      <c r="LR83" s="12"/>
      <c r="LS83" s="12"/>
      <c r="LT83" s="12"/>
      <c r="LX83" s="9"/>
      <c r="MB83" s="12"/>
      <c r="MC83" s="12"/>
      <c r="MD83" s="12"/>
      <c r="ME83" s="12"/>
      <c r="MF83" s="12"/>
      <c r="MG83" s="12"/>
      <c r="MH83" s="12"/>
      <c r="MI83" s="12"/>
      <c r="MJ83" s="12"/>
      <c r="MN83" s="9"/>
      <c r="MR83" s="12"/>
      <c r="MS83" s="12"/>
      <c r="MT83" s="12"/>
      <c r="MU83" s="12"/>
      <c r="MV83" s="12"/>
      <c r="MW83" s="12"/>
      <c r="MX83" s="12"/>
      <c r="MY83" s="12"/>
      <c r="MZ83" s="12"/>
      <c r="ND83" s="9"/>
      <c r="NH83" s="12"/>
      <c r="NI83" s="12"/>
      <c r="NJ83" s="12"/>
      <c r="NK83" s="12"/>
      <c r="NL83" s="12"/>
      <c r="NM83" s="12"/>
      <c r="NN83" s="12"/>
      <c r="NO83" s="12"/>
      <c r="NP83" s="12"/>
      <c r="NT83" s="9"/>
      <c r="NX83" s="12"/>
      <c r="NY83" s="12"/>
      <c r="NZ83" s="12"/>
      <c r="OA83" s="12"/>
      <c r="OB83" s="12"/>
      <c r="OC83" s="12"/>
      <c r="OD83" s="12"/>
      <c r="OE83" s="12"/>
      <c r="OF83" s="12"/>
      <c r="OJ83" s="9"/>
    </row>
    <row r="84" spans="1:401" x14ac:dyDescent="0.2">
      <c r="A84" s="17" t="s">
        <v>1725</v>
      </c>
      <c r="B84" s="12">
        <f t="shared" ref="B84:J84" si="510">P84+AH84+AZ84+BP84+CF84+CV84+DL84+EB84+ER84+FH84+FX84+GN84+HD84+HT84+IJ84+IZ84+JP84+KF84+KV84+LL84+MB84+MR84+NH84+NX84</f>
        <v>0</v>
      </c>
      <c r="C84" s="12">
        <f t="shared" si="510"/>
        <v>0</v>
      </c>
      <c r="D84" s="12">
        <f t="shared" si="510"/>
        <v>0</v>
      </c>
      <c r="E84" s="12">
        <f t="shared" si="510"/>
        <v>0</v>
      </c>
      <c r="F84" s="12">
        <f t="shared" si="510"/>
        <v>0</v>
      </c>
      <c r="G84" s="12">
        <f t="shared" si="510"/>
        <v>0</v>
      </c>
      <c r="H84" s="12">
        <f t="shared" si="510"/>
        <v>0</v>
      </c>
      <c r="I84" s="12">
        <f t="shared" si="510"/>
        <v>0</v>
      </c>
      <c r="J84" s="12">
        <f t="shared" si="510"/>
        <v>0</v>
      </c>
      <c r="O84" s="17"/>
      <c r="P84" s="12" cm="1">
        <f t="array" ref="P84">_xlfn.SWITCH(P$4, 0,0, 1, AA84,2,AC84,3,AE84,0)</f>
        <v>0</v>
      </c>
      <c r="Q84" s="12" cm="1">
        <f t="array" ref="Q84">_xlfn.SWITCH(Q$4, 0,0, 1, AA84,2,AC84,3,AE84,0)+P84</f>
        <v>0</v>
      </c>
      <c r="R84" s="12" cm="1">
        <f t="array" ref="R84">_xlfn.SWITCH(R$4, 0,0, 1, AA84,2,AC84,3,AE84,0)+Q84</f>
        <v>0</v>
      </c>
      <c r="S84" s="12" cm="1">
        <f t="array" ref="S84">_xlfn.SWITCH(S$4, 0,0, 1, AA84,2,AC84,3,AE84,0)+R84</f>
        <v>0</v>
      </c>
      <c r="T84" s="12" cm="1">
        <f t="array" ref="T84">_xlfn.SWITCH(T$4, 0,0, 1, AA84,2,AC84,3,AE84,0)+S84</f>
        <v>0</v>
      </c>
      <c r="U84" s="12" cm="1">
        <f t="array" ref="U84">_xlfn.SWITCH(U$4, 0,0, 1, AA84,2,AC84,3,AE84,0)+T84</f>
        <v>0</v>
      </c>
      <c r="V84" s="12" cm="1">
        <f t="array" ref="V84">_xlfn.SWITCH(V$4, 0,0, 1, AA84,2,AC84,3,AE84,0)+U84</f>
        <v>0</v>
      </c>
      <c r="W84" s="12" cm="1">
        <f t="array" ref="W84">_xlfn.SWITCH(W$4, 0,0, 1, AA84,2,AC84,3,AE84,0)+V84</f>
        <v>0</v>
      </c>
      <c r="X84" s="12" cm="1">
        <f t="array" ref="X84">_xlfn.SWITCH(X$4, 0,0, 1, AA84,2,AC84,3,AE84,0)+W84</f>
        <v>0</v>
      </c>
      <c r="Z84" t="s">
        <v>1304</v>
      </c>
      <c r="AA84">
        <f>_xlfn.XLOOKUP(Z84,'KPI Impacts'!$K$2:$Q$2,'KPI Impacts'!$K84:$Q84)</f>
        <v>0</v>
      </c>
      <c r="AB84" t="s">
        <v>1304</v>
      </c>
      <c r="AC84">
        <f>_xlfn.XLOOKUP(AB84,'KPI Impacts'!$K$2:$Q$2,'KPI Impacts'!$K84:$Q84)</f>
        <v>0</v>
      </c>
      <c r="AD84" t="s">
        <v>1304</v>
      </c>
      <c r="AE84">
        <f>_xlfn.XLOOKUP(AD84,'KPI Impacts'!$K$2:$Q$2,'KPI Impacts'!$K84:$Q84)</f>
        <v>0</v>
      </c>
      <c r="AG84" s="17"/>
      <c r="AH84" s="12" cm="1">
        <f t="array" ref="AH84">_xlfn.SWITCH(AH$4, 0,0, 1, AS84,2,AU84,3,AW84,0)</f>
        <v>0</v>
      </c>
      <c r="AI84" s="12" cm="1">
        <f t="array" ref="AI84">_xlfn.SWITCH(AI$4, 0,0, 1, AS84,2,AU84,3,AW84,0)+AH84</f>
        <v>0</v>
      </c>
      <c r="AJ84" s="12" cm="1">
        <f t="array" ref="AJ84">_xlfn.SWITCH(AJ$4, 0,0, 1, AS84,2,AU84,3,AW84,0)+AI84</f>
        <v>0</v>
      </c>
      <c r="AK84" s="12" cm="1">
        <f t="array" ref="AK84">_xlfn.SWITCH(AK$4, 0,0, 1, AS84,2,AU84,3,AW84,0)+AJ84</f>
        <v>0</v>
      </c>
      <c r="AL84" s="12" cm="1">
        <f t="array" ref="AL84">_xlfn.SWITCH(AL$4, 0,0, 1, AS84,2,AU84,3,AW84,0)+AK84</f>
        <v>0</v>
      </c>
      <c r="AM84" s="12" cm="1">
        <f t="array" ref="AM84">_xlfn.SWITCH(AM$4, 0,0, 1, AS84,2,AU84,3,AW84,0)+AL84</f>
        <v>0</v>
      </c>
      <c r="AN84" s="12" cm="1">
        <f t="array" ref="AN84">_xlfn.SWITCH(AN$4, 0,0, 1, AS84,2,AU84,3,AW84,0)+AM84</f>
        <v>0</v>
      </c>
      <c r="AO84" s="12" cm="1">
        <f t="array" ref="AO84">_xlfn.SWITCH(AO$4, 0,0, 1, AS84,2,AU84,3,AW84,0)+AN84</f>
        <v>0</v>
      </c>
      <c r="AP84" s="12" cm="1">
        <f t="array" ref="AP84">_xlfn.SWITCH(AP$4, 0,0, 1, AS84,2,AU84,3,AW84,0)+AO84</f>
        <v>0</v>
      </c>
      <c r="AR84" t="s">
        <v>1304</v>
      </c>
      <c r="AS84">
        <f>_xlfn.XLOOKUP(AR84,'KPI Impacts'!$K$2:$Q$2,'KPI Impacts'!$K84:$Q84)</f>
        <v>0</v>
      </c>
      <c r="AT84" t="s">
        <v>1304</v>
      </c>
      <c r="AU84">
        <f>_xlfn.XLOOKUP(AT84,'KPI Impacts'!$K$2:$Q$2,'KPI Impacts'!$K84:$Q84)</f>
        <v>0</v>
      </c>
      <c r="AV84" t="s">
        <v>1304</v>
      </c>
      <c r="AW84">
        <f>_xlfn.XLOOKUP(AV84,'KPI Impacts'!$K$2:$Q$2,'KPI Impacts'!$K84:$Q84)</f>
        <v>0</v>
      </c>
      <c r="AY84" s="17"/>
      <c r="AZ84" s="12">
        <f>AZ$4*BK84</f>
        <v>0</v>
      </c>
      <c r="BA84" s="12">
        <f>BA$4 * IF(AND(AZ$4=1,AZ$20=1), BM84, BK84)</f>
        <v>0</v>
      </c>
      <c r="BB84" s="12">
        <f>BB$4 * IF(AND(BA$4=1,AZ$20=1), BM84, BK84)</f>
        <v>0</v>
      </c>
      <c r="BC84" s="12">
        <f>BC$4 * IF(AND(BB$4=1,AZ$20=1), BM84, BK84)</f>
        <v>0</v>
      </c>
      <c r="BD84" s="12">
        <f>BD$4 * IF(AND(BC$4=1,AZ$20=1), BM84, BK84)</f>
        <v>0</v>
      </c>
      <c r="BE84" s="12">
        <f>BE$4 * IF(AND(BD$4=1,AZ$20=1), BM84, BK84)</f>
        <v>0</v>
      </c>
      <c r="BF84" s="12">
        <f>BF$4 * IF(AND(BE$4=1,AZ$20=1), BM84, BK84)</f>
        <v>0</v>
      </c>
      <c r="BG84" s="12">
        <f>BG$4 * IF(AND(BF$4=1,AZ$20=1), BM84, BK84)</f>
        <v>0</v>
      </c>
      <c r="BH84" s="12">
        <f>BH$4 * IF(AND(BG$4=1,AZ$20=1), BM84, BK84)</f>
        <v>0</v>
      </c>
      <c r="BJ84" s="30" t="s">
        <v>1308</v>
      </c>
      <c r="BK84">
        <f>_xlfn.XLOOKUP(BJ84,'KPI Impacts'!$B$2:$H$2,'KPI Impacts'!$B84:$H84)</f>
        <v>1</v>
      </c>
      <c r="BL84" s="35" t="s">
        <v>1304</v>
      </c>
      <c r="BM84">
        <f>_xlfn.XLOOKUP(BL84,'KPI Impacts'!$B$2:$H$2,'KPI Impacts'!$B84:$H84)</f>
        <v>0</v>
      </c>
      <c r="BO84" s="17"/>
      <c r="BP84" s="12">
        <f>BP$4*CA84</f>
        <v>0</v>
      </c>
      <c r="BQ84" s="12">
        <f>BQ$4 * IF(AND(BP$4=1,BP$20=1), CC84, CA84)</f>
        <v>0</v>
      </c>
      <c r="BR84" s="12">
        <f>BR$4 * IF(AND(BQ$4=1,BP$20=1), CC84, CA84)</f>
        <v>0</v>
      </c>
      <c r="BS84" s="12">
        <f>BS$4 * IF(AND(BR$4=1,BP$20=1), CC84, CA84)</f>
        <v>0</v>
      </c>
      <c r="BT84" s="12">
        <f>BT$4 * IF(AND(BS$4=1,BP$20=1), CC84, CA84)</f>
        <v>0</v>
      </c>
      <c r="BU84" s="12">
        <f>BU$4 * IF(AND(BT$4=1,BP$20=1), CC84, CA84)</f>
        <v>0</v>
      </c>
      <c r="BV84" s="12">
        <f>BV$4 * IF(AND(BU$4=1,BP$20=1), CC84, CA84)</f>
        <v>0</v>
      </c>
      <c r="BW84" s="12">
        <f>BW$4 * IF(AND(BV$4=1,BP$20=1), CC84, CA84)</f>
        <v>0</v>
      </c>
      <c r="BX84" s="12">
        <f>BX$4 * IF(AND(BW$4=1,BP$20=1), CC84, CA84)</f>
        <v>0</v>
      </c>
      <c r="BZ84" s="30" t="s">
        <v>1310</v>
      </c>
      <c r="CA84">
        <f>_xlfn.XLOOKUP(BZ84,'KPI Impacts'!$B$2:$H$2,'KPI Impacts'!$B84:$H84)</f>
        <v>2</v>
      </c>
      <c r="CB84" s="35" t="s">
        <v>1304</v>
      </c>
      <c r="CC84">
        <f>_xlfn.XLOOKUP(CB84,'KPI Impacts'!$B$2:$H$2,'KPI Impacts'!$B84:$H84)</f>
        <v>0</v>
      </c>
      <c r="CE84" s="17"/>
      <c r="CF84" s="12">
        <f>CF$4*CQ84</f>
        <v>0</v>
      </c>
      <c r="CG84" s="12">
        <f>CG$4 * IF(AND(CF$4=1,CF$20=1), CS84, CQ84)</f>
        <v>0</v>
      </c>
      <c r="CH84" s="12">
        <f>CH$4 * IF(AND(CG$4=1,CF$20=1), CS84, CQ84)</f>
        <v>0</v>
      </c>
      <c r="CI84" s="12">
        <f>CI$4 * IF(AND(CH$4=1,CF$20=1), CS84, CQ84)</f>
        <v>0</v>
      </c>
      <c r="CJ84" s="12">
        <f>CJ$4 * IF(AND(CI$4=1,CF$20=1), CS84, CQ84)</f>
        <v>0</v>
      </c>
      <c r="CK84" s="12">
        <f>CK$4 * IF(AND(CJ$4=1,CF$20=1), CS84, CQ84)</f>
        <v>0</v>
      </c>
      <c r="CL84" s="12">
        <f>CL$4 * IF(AND(CK$4=1,CF$20=1), CS84, CQ84)</f>
        <v>0</v>
      </c>
      <c r="CM84" s="12">
        <f>CM$4 * IF(AND(CL$4=1,CF$20=1), CS84, CQ84)</f>
        <v>0</v>
      </c>
      <c r="CN84" s="12">
        <f>CN$4 * IF(AND(CM$4=1,CF$20=1), CS84, CQ84)</f>
        <v>0</v>
      </c>
      <c r="CP84" s="30" t="s">
        <v>1308</v>
      </c>
      <c r="CQ84">
        <f>_xlfn.XLOOKUP(CP84,'KPI Impacts'!$B$2:$H$2,'KPI Impacts'!$B84:$H84)</f>
        <v>1</v>
      </c>
      <c r="CR84" s="35" t="s">
        <v>1304</v>
      </c>
      <c r="CS84">
        <f>_xlfn.XLOOKUP(CR84,'KPI Impacts'!$B$2:$H$2,'KPI Impacts'!$B84:$H84)</f>
        <v>0</v>
      </c>
      <c r="CU84" s="17"/>
      <c r="CV84" s="12">
        <f>CV$4*DG84</f>
        <v>0</v>
      </c>
      <c r="CW84" s="12">
        <f>CW$4 * IF(AND(CV$4=1,CV$20=1), DI84, DG84)</f>
        <v>0</v>
      </c>
      <c r="CX84" s="12">
        <f>CX$4 * IF(AND(CW$4=1,CV$20=1), DI84, DG84)</f>
        <v>0</v>
      </c>
      <c r="CY84" s="12">
        <f>CY$4 * IF(AND(CX$4=1,CV$20=1), DI84, DG84)</f>
        <v>0</v>
      </c>
      <c r="CZ84" s="12">
        <f>CZ$4 * IF(AND(CY$4=1,CV$20=1), DI84, DG84)</f>
        <v>0</v>
      </c>
      <c r="DA84" s="12">
        <f>DA$4 * IF(AND(CZ$4=1,CV$20=1), DI84, DG84)</f>
        <v>0</v>
      </c>
      <c r="DB84" s="12">
        <f>DB$4 * IF(AND(DA$4=1,CV$20=1), DI84, DG84)</f>
        <v>0</v>
      </c>
      <c r="DC84" s="12">
        <f>DC$4 * IF(AND(DB$4=1,CV$20=1), DI84, DG84)</f>
        <v>0</v>
      </c>
      <c r="DD84" s="12">
        <f>DD$4 * IF(AND(DC$4=1,CV$20=1), DI84, DG84)</f>
        <v>0</v>
      </c>
      <c r="DF84" s="30" t="s">
        <v>1308</v>
      </c>
      <c r="DG84">
        <f>_xlfn.XLOOKUP(DF84,'KPI Impacts'!$B$2:$H$2,'KPI Impacts'!$B84:$H84)</f>
        <v>1</v>
      </c>
      <c r="DH84" s="35" t="s">
        <v>1304</v>
      </c>
      <c r="DI84">
        <f>_xlfn.XLOOKUP(DH84,'KPI Impacts'!$B$2:$H$2,'KPI Impacts'!$B84:$H84)</f>
        <v>0</v>
      </c>
      <c r="DK84" s="17"/>
      <c r="DL84" s="12">
        <f>DL$4*DW84</f>
        <v>0</v>
      </c>
      <c r="DM84" s="12">
        <f>DM$4 * IF(AND(DL$4=1,DL$20=1), DY84, DW84)</f>
        <v>0</v>
      </c>
      <c r="DN84" s="12">
        <f>DN$4 * IF(AND(DM$4=1,DL$20=1), DY84, DW84)</f>
        <v>0</v>
      </c>
      <c r="DO84" s="12">
        <f>DO$4 * IF(AND(DN$4=1,DL$20=1), DY84, DW84)</f>
        <v>0</v>
      </c>
      <c r="DP84" s="12">
        <f>DP$4 * IF(AND(DO$4=1,DL$20=1), DY84, DW84)</f>
        <v>0</v>
      </c>
      <c r="DQ84" s="12">
        <f>DQ$4 * IF(AND(DP$4=1,DL$20=1), DY84, DW84)</f>
        <v>0</v>
      </c>
      <c r="DR84" s="12">
        <f>DR$4 * IF(AND(DQ$4=1,DL$20=1), DY84, DW84)</f>
        <v>0</v>
      </c>
      <c r="DS84" s="12">
        <f>DS$4 * IF(AND(DR$4=1,DL$20=1), DY84, DW84)</f>
        <v>0</v>
      </c>
      <c r="DT84" s="12">
        <f>DT$4 * IF(AND(DS$4=1,DL$20=1), DY84, DW84)</f>
        <v>0</v>
      </c>
      <c r="DV84" s="16" t="s">
        <v>1304</v>
      </c>
      <c r="DW84">
        <f>_xlfn.XLOOKUP(DV84,'KPI Impacts'!$B$2:$H$2,'KPI Impacts'!$B84:$H84)</f>
        <v>0</v>
      </c>
      <c r="DX84" s="35" t="s">
        <v>1304</v>
      </c>
      <c r="DY84">
        <f>_xlfn.XLOOKUP(DX84,'KPI Impacts'!$B$2:$H$2,'KPI Impacts'!$B84:$H84)</f>
        <v>0</v>
      </c>
      <c r="EA84" s="17"/>
      <c r="EB84" s="12">
        <f>EB$4*EM84</f>
        <v>0</v>
      </c>
      <c r="EC84" s="12">
        <f>EC$4 * IF(AND(EB$4=1,EB$20=1), EO84, EM84)</f>
        <v>0</v>
      </c>
      <c r="ED84" s="12">
        <f>ED$4 * IF(AND(EC$4=1,EB$20=1), EO84, EM84)</f>
        <v>0</v>
      </c>
      <c r="EE84" s="12">
        <f>EE$4 * IF(AND(ED$4=1,EB$20=1), EO84, EM84)</f>
        <v>0</v>
      </c>
      <c r="EF84" s="12">
        <f>EF$4 * IF(AND(EE$4=1,EB$20=1), EO84, EM84)</f>
        <v>0</v>
      </c>
      <c r="EG84" s="12">
        <f>EG$4 * IF(AND(EF$4=1,EB$20=1), EO84, EM84)</f>
        <v>0</v>
      </c>
      <c r="EH84" s="12">
        <f>EH$4 * IF(AND(EG$4=1,EB$20=1), EO84, EM84)</f>
        <v>0</v>
      </c>
      <c r="EI84" s="12">
        <f>EI$4 * IF(AND(EH$4=1,EB$20=1), EO84, EM84)</f>
        <v>0</v>
      </c>
      <c r="EJ84" s="12">
        <f>EJ$4 * IF(AND(EI$4=1,EB$20=1), EO84, EM84)</f>
        <v>0</v>
      </c>
      <c r="EL84" s="16" t="s">
        <v>1304</v>
      </c>
      <c r="EM84">
        <f>_xlfn.XLOOKUP(EL84,'KPI Impacts'!$B$2:$H$2,'KPI Impacts'!$B84:$H84)</f>
        <v>0</v>
      </c>
      <c r="EN84" s="35" t="s">
        <v>1304</v>
      </c>
      <c r="EO84">
        <f>_xlfn.XLOOKUP(EN84,'KPI Impacts'!$B$2:$H$2,'KPI Impacts'!$B84:$H84)</f>
        <v>0</v>
      </c>
      <c r="EQ84" s="17"/>
      <c r="ER84" s="12">
        <f>ER$4*FC84</f>
        <v>0</v>
      </c>
      <c r="ES84" s="12">
        <f>ES$4 * IF(AND(ER$4=1,ER$20=1), FE84, FC84)</f>
        <v>0</v>
      </c>
      <c r="ET84" s="12">
        <f>ET$4 * IF(AND(ES$4=1,ER$20=1), FE84, FC84)</f>
        <v>0</v>
      </c>
      <c r="EU84" s="12">
        <f>EU$4 * IF(AND(ET$4=1,ER$20=1), FE84, FC84)</f>
        <v>0</v>
      </c>
      <c r="EV84" s="12">
        <f>EV$4 * IF(AND(EU$4=1,ER$20=1), FE84, FC84)</f>
        <v>0</v>
      </c>
      <c r="EW84" s="12">
        <f>EW$4 * IF(AND(EV$4=1,ER$20=1), FE84, FC84)</f>
        <v>0</v>
      </c>
      <c r="EX84" s="12">
        <f>EX$4 * IF(AND(EW$4=1,ER$20=1), FE84, FC84)</f>
        <v>0</v>
      </c>
      <c r="EY84" s="12">
        <f>EY$4 * IF(AND(EX$4=1,ER$20=1), FE84, FC84)</f>
        <v>0</v>
      </c>
      <c r="EZ84" s="12">
        <f>EZ$4 * IF(AND(EY$4=1,ER$20=1), FE84, FC84)</f>
        <v>0</v>
      </c>
      <c r="FB84" s="16" t="s">
        <v>1304</v>
      </c>
      <c r="FC84">
        <f>_xlfn.XLOOKUP(FB84,'KPI Impacts'!$B$2:$H$2,'KPI Impacts'!$B84:$H84)</f>
        <v>0</v>
      </c>
      <c r="FD84" s="35" t="s">
        <v>1304</v>
      </c>
      <c r="FE84">
        <f>_xlfn.XLOOKUP(FD84,'KPI Impacts'!$B$2:$H$2,'KPI Impacts'!$B84:$H84)</f>
        <v>0</v>
      </c>
      <c r="FG84" s="17"/>
      <c r="FH84" s="12">
        <f>FH$4*FS84</f>
        <v>0</v>
      </c>
      <c r="FI84" s="12">
        <f>FI$4 * IF(AND(FH$4=1,FH$20=1), FU84, FS84)</f>
        <v>0</v>
      </c>
      <c r="FJ84" s="12">
        <f>FJ$4 * IF(AND(FI$4=1,FH$20=1), FU84, FS84)</f>
        <v>0</v>
      </c>
      <c r="FK84" s="12">
        <f>FK$4 * IF(AND(FJ$4=1,FH$20=1), FU84, FS84)</f>
        <v>0</v>
      </c>
      <c r="FL84" s="12">
        <f>FL$4 * IF(AND(FK$4=1,FH$20=1), FU84, FS84)</f>
        <v>0</v>
      </c>
      <c r="FM84" s="12">
        <f>FM$4 * IF(AND(FL$4=1,FH$20=1), FU84, FS84)</f>
        <v>0</v>
      </c>
      <c r="FN84" s="12">
        <f>FN$4 * IF(AND(FM$4=1,FH$20=1), FU84, FS84)</f>
        <v>0</v>
      </c>
      <c r="FO84" s="12">
        <f>FO$4 * IF(AND(FN$4=1,FH$20=1), FU84, FS84)</f>
        <v>0</v>
      </c>
      <c r="FP84" s="12">
        <f>FP$4 * IF(AND(FO$4=1,FH$20=1), FU84, FS84)</f>
        <v>0</v>
      </c>
      <c r="FR84" s="30" t="s">
        <v>1310</v>
      </c>
      <c r="FS84">
        <f>_xlfn.XLOOKUP(FR84,'KPI Impacts'!$B$2:$H$2,'KPI Impacts'!$B84:$H84)</f>
        <v>2</v>
      </c>
      <c r="FT84" s="35" t="s">
        <v>1304</v>
      </c>
      <c r="FU84">
        <f>_xlfn.XLOOKUP(FT84,'KPI Impacts'!$B$2:$H$2,'KPI Impacts'!$B84:$H84)</f>
        <v>0</v>
      </c>
      <c r="FW84" s="17"/>
      <c r="FX84" s="12">
        <f>FX$4*GI84</f>
        <v>0</v>
      </c>
      <c r="FY84" s="12">
        <f>FY$4 * IF(AND(FX$4=1,FX$20=1), GK84, GI84)</f>
        <v>0</v>
      </c>
      <c r="FZ84" s="12">
        <f>FZ$4 * IF(AND(FY$4=1,FX$20=1), GK84, GI84)</f>
        <v>0</v>
      </c>
      <c r="GA84" s="12">
        <f>GA$4 * IF(AND(FZ$4=1,FX$20=1), GK84, GI84)</f>
        <v>0</v>
      </c>
      <c r="GB84" s="12">
        <f>GB$4 * IF(AND(GA$4=1,FX$20=1), GK84, GI84)</f>
        <v>0</v>
      </c>
      <c r="GC84" s="12">
        <f>GC$4 * IF(AND(GB$4=1,FX$20=1), GK84, GI84)</f>
        <v>0</v>
      </c>
      <c r="GD84" s="12">
        <f>GD$4 * IF(AND(GC$4=1,FX$20=1), GK84, GI84)</f>
        <v>0</v>
      </c>
      <c r="GE84" s="12">
        <f>GE$4 * IF(AND(GD$4=1,FX$20=1), GK84, GI84)</f>
        <v>0</v>
      </c>
      <c r="GF84" s="12">
        <f>GF$4 * IF(AND(GE$4=1,FX$20=1), GK84, GI84)</f>
        <v>0</v>
      </c>
      <c r="GH84" s="30" t="s">
        <v>1308</v>
      </c>
      <c r="GI84">
        <f>_xlfn.XLOOKUP(GH84,'KPI Impacts'!$B$2:$H$2,'KPI Impacts'!$B84:$H84)</f>
        <v>1</v>
      </c>
      <c r="GJ84" s="35" t="s">
        <v>1304</v>
      </c>
      <c r="GK84">
        <f>_xlfn.XLOOKUP(GJ84,'KPI Impacts'!$B$2:$H$2,'KPI Impacts'!$B84:$H84)</f>
        <v>0</v>
      </c>
      <c r="GN84" s="12">
        <f>GN$4*GY84</f>
        <v>0</v>
      </c>
      <c r="GO84" s="12">
        <f>GO$4 * IF(AND(GN$4=1,GN$20=1), HA84, GY84)</f>
        <v>0</v>
      </c>
      <c r="GP84" s="12">
        <f>GP$4 * IF(AND(GO$4=1,GN$20=1), HA84, GY84)</f>
        <v>0</v>
      </c>
      <c r="GQ84" s="12">
        <f>GQ$4 * IF(AND(GP$4=1,GN$20=1), HA84, GY84)</f>
        <v>0</v>
      </c>
      <c r="GR84" s="12">
        <f>GR$4 * IF(AND(GQ$4=1,GN$20=1), HA84, GY84)</f>
        <v>0</v>
      </c>
      <c r="GS84" s="12">
        <f>GS$4 * IF(AND(GR$4=1,GN$20=1), HA84, GY84)</f>
        <v>0</v>
      </c>
      <c r="GT84" s="12">
        <f>GT$4 * IF(AND(GS$4=1,GN$20=1), HA84, GY84)</f>
        <v>0</v>
      </c>
      <c r="GU84" s="12">
        <f>GU$4 * IF(AND(GT$4=1,GN$20=1), HA84, GY84)</f>
        <v>0</v>
      </c>
      <c r="GV84" s="12">
        <f>GV$4 * IF(AND(GU$4=1,GN$20=1), HA84, GY84)</f>
        <v>0</v>
      </c>
      <c r="GX84" s="30" t="s">
        <v>1308</v>
      </c>
      <c r="GY84">
        <f>_xlfn.XLOOKUP(GX84,'KPI Impacts'!$B$2:$H$2,'KPI Impacts'!$B84:$H84)</f>
        <v>1</v>
      </c>
      <c r="GZ84" s="35" t="s">
        <v>1304</v>
      </c>
      <c r="HA84">
        <f>_xlfn.XLOOKUP(GZ84,'KPI Impacts'!$B$2:$H$2,'KPI Impacts'!$B84:$H84)</f>
        <v>0</v>
      </c>
      <c r="HD84" s="12">
        <f>HD$4*HO84</f>
        <v>0</v>
      </c>
      <c r="HE84" s="12">
        <f>HE$4 * IF(AND(HD$4=1,HD$20=1), HQ84, HO84)</f>
        <v>0</v>
      </c>
      <c r="HF84" s="12">
        <f>HF$4 * IF(AND(HE$4=1,HD$20=1), HQ84, HO84)</f>
        <v>0</v>
      </c>
      <c r="HG84" s="12">
        <f>HG$4 * IF(AND(HF$4=1,HD$20=1), HQ84, HO84)</f>
        <v>0</v>
      </c>
      <c r="HH84" s="12">
        <f>HH$4 * IF(AND(HG$4=1,HD$20=1), HQ84, HO84)</f>
        <v>0</v>
      </c>
      <c r="HI84" s="12">
        <f>HI$4 * IF(AND(HH$4=1,HD$20=1), HQ84, HO84)</f>
        <v>0</v>
      </c>
      <c r="HJ84" s="12">
        <f>HJ$4 * IF(AND(HI$4=1,HD$20=1), HQ84, HO84)</f>
        <v>0</v>
      </c>
      <c r="HK84" s="12">
        <f>HK$4 * IF(AND(HJ$4=1,HD$20=1), HQ84, HO84)</f>
        <v>0</v>
      </c>
      <c r="HL84" s="12">
        <f>HL$4 * IF(AND(HK$4=1,HD$20=1), HQ84, HO84)</f>
        <v>0</v>
      </c>
      <c r="HN84" s="16" t="s">
        <v>1304</v>
      </c>
      <c r="HO84">
        <f>_xlfn.XLOOKUP(HN84,'KPI Impacts'!$B$2:$H$2,'KPI Impacts'!$B84:$H84)</f>
        <v>0</v>
      </c>
      <c r="HP84" s="35" t="s">
        <v>1304</v>
      </c>
      <c r="HQ84">
        <f>_xlfn.XLOOKUP(HP84,'KPI Impacts'!$B$2:$H$2,'KPI Impacts'!$B84:$H84)</f>
        <v>0</v>
      </c>
      <c r="HT84" s="12">
        <f>HT$4*IE84</f>
        <v>0</v>
      </c>
      <c r="HU84" s="12">
        <f>HU$4 * IF(AND(HT$4=1,HT$20=1), IG84, IE84)</f>
        <v>0</v>
      </c>
      <c r="HV84" s="12">
        <f>HV$4 * IF(AND(HU$4=1,HT$20=1), IG84, IE84)</f>
        <v>0</v>
      </c>
      <c r="HW84" s="12">
        <f>HW$4 * IF(AND(HV$4=1,HT$20=1), IG84, IE84)</f>
        <v>0</v>
      </c>
      <c r="HX84" s="12">
        <f>HX$4 * IF(AND(HW$4=1,HT$20=1), IG84, IE84)</f>
        <v>0</v>
      </c>
      <c r="HY84" s="12">
        <f>HY$4 * IF(AND(HX$4=1,HT$20=1), IG84, IE84)</f>
        <v>0</v>
      </c>
      <c r="HZ84" s="12">
        <f>HZ$4 * IF(AND(HY$4=1,HT$20=1), IG84, IE84)</f>
        <v>0</v>
      </c>
      <c r="IA84" s="12">
        <f>IA$4 * IF(AND(HZ$4=1,HT$20=1), IG84, IE84)</f>
        <v>0</v>
      </c>
      <c r="IB84" s="12">
        <f>IB$4 * IF(AND(IA$4=1,HT$20=1), IG84, IE84)</f>
        <v>0</v>
      </c>
      <c r="ID84" s="30" t="s">
        <v>1309</v>
      </c>
      <c r="IE84">
        <f>_xlfn.XLOOKUP(ID84,'KPI Impacts'!$B$2:$H$2,'KPI Impacts'!$B84:$H84)</f>
        <v>4</v>
      </c>
      <c r="IF84" s="9" t="s">
        <v>1304</v>
      </c>
      <c r="IG84">
        <f>_xlfn.XLOOKUP(IF84,'KPI Impacts'!$B$2:$H$2,'KPI Impacts'!$B84:$H84)</f>
        <v>0</v>
      </c>
      <c r="IJ84" s="12">
        <f>IJ$4*IU84</f>
        <v>0</v>
      </c>
      <c r="IK84" s="12">
        <f>IK$4 * IF(AND(IJ$4=1,IJ$20=1), IW84, IU84)</f>
        <v>0</v>
      </c>
      <c r="IL84" s="12">
        <f>IL$4 * IF(AND(IK$4=1,IJ$20=1), IW84, IU84)</f>
        <v>0</v>
      </c>
      <c r="IM84" s="12">
        <f>IM$4 * IF(AND(IL$4=1,IJ$20=1), IW84, IU84)</f>
        <v>0</v>
      </c>
      <c r="IN84" s="12">
        <f>IN$4 * IF(AND(IM$4=1,IJ$20=1), IW84, IU84)</f>
        <v>0</v>
      </c>
      <c r="IO84" s="12">
        <f>IO$4 * IF(AND(IN$4=1,IJ$20=1), IW84, IU84)</f>
        <v>0</v>
      </c>
      <c r="IP84" s="12">
        <f>IP$4 * IF(AND(IO$4=1,IJ$20=1), IW84, IU84)</f>
        <v>0</v>
      </c>
      <c r="IQ84" s="12">
        <f>IQ$4 * IF(AND(IP$4=1,IJ$20=1), IW84, IU84)</f>
        <v>0</v>
      </c>
      <c r="IR84" s="12">
        <f>IR$4 * IF(AND(IQ$4=1,IJ$20=1), IW84, IU84)</f>
        <v>0</v>
      </c>
      <c r="IT84" s="16" t="s">
        <v>1304</v>
      </c>
      <c r="IU84">
        <f>_xlfn.XLOOKUP(IT84,'KPI Impacts'!$B$2:$H$2,'KPI Impacts'!$B84:$H84)</f>
        <v>0</v>
      </c>
      <c r="IV84" s="9" t="s">
        <v>1304</v>
      </c>
      <c r="IW84">
        <f>_xlfn.XLOOKUP(IV84,'KPI Impacts'!$B$2:$H$2,'KPI Impacts'!$B84:$H84)</f>
        <v>0</v>
      </c>
      <c r="IZ84" s="12">
        <f>IZ$4*JK84</f>
        <v>0</v>
      </c>
      <c r="JA84" s="12">
        <f>JA$4 * IF(AND(IZ$4=1,IZ$20=1), JM84, JK84)</f>
        <v>0</v>
      </c>
      <c r="JB84" s="12">
        <f>JB$4 * IF(AND(JA$4=1,IZ$20=1), JM84, JK84)</f>
        <v>0</v>
      </c>
      <c r="JC84" s="12">
        <f>JC$4 * IF(AND(JB$4=1,IZ$20=1), JM84, JK84)</f>
        <v>0</v>
      </c>
      <c r="JD84" s="12">
        <f>JD$4 * IF(AND(JC$4=1,IZ$20=1), JM84, JK84)</f>
        <v>0</v>
      </c>
      <c r="JE84" s="12">
        <f>JE$4 * IF(AND(JD$4=1,IZ$20=1), JM84, JK84)</f>
        <v>0</v>
      </c>
      <c r="JF84" s="12">
        <f>JF$4 * IF(AND(JE$4=1,IZ$20=1), JM84, JK84)</f>
        <v>0</v>
      </c>
      <c r="JG84" s="12">
        <f>JG$4 * IF(AND(JF$4=1,IZ$20=1), JM84, JK84)</f>
        <v>0</v>
      </c>
      <c r="JH84" s="12">
        <f>JH$4 * IF(AND(JG$4=1,IZ$20=1), JM84, JK84)</f>
        <v>0</v>
      </c>
      <c r="JJ84" t="s">
        <v>1304</v>
      </c>
      <c r="JK84">
        <f>_xlfn.XLOOKUP(JJ84,'KPI Impacts'!$B$2:$H$2,'KPI Impacts'!$B84:$H84)</f>
        <v>0</v>
      </c>
      <c r="JL84" s="9" t="s">
        <v>1304</v>
      </c>
      <c r="JM84">
        <f>_xlfn.XLOOKUP(JL84,'KPI Impacts'!$B$2:$H$2,'KPI Impacts'!$B84:$H84)</f>
        <v>0</v>
      </c>
      <c r="JP84" s="12">
        <f>JP$4*KA84</f>
        <v>0</v>
      </c>
      <c r="JQ84" s="12">
        <f>JQ$4 * IF(AND(JP$4=1,JP$20=1), KC84, KA84)</f>
        <v>0</v>
      </c>
      <c r="JR84" s="12">
        <f>JR$4 * IF(AND(JQ$4=1,JP$20=1), KC84, KA84)</f>
        <v>0</v>
      </c>
      <c r="JS84" s="12">
        <f>JS$4 * IF(AND(JR$4=1,JP$20=1), KC84, KA84)</f>
        <v>0</v>
      </c>
      <c r="JT84" s="12">
        <f>JT$4 * IF(AND(JS$4=1,JP$20=1), KC84, KA84)</f>
        <v>0</v>
      </c>
      <c r="JU84" s="12">
        <f>JU$4 * IF(AND(JT$4=1,JP$20=1), KC84, KA84)</f>
        <v>0</v>
      </c>
      <c r="JV84" s="12">
        <f>JV$4 * IF(AND(JU$4=1,JP$20=1), KC84, KA84)</f>
        <v>0</v>
      </c>
      <c r="JW84" s="12">
        <f>JW$4 * IF(AND(JV$4=1,JP$20=1), KC84, KA84)</f>
        <v>0</v>
      </c>
      <c r="JX84" s="12">
        <f>JX$4 * IF(AND(JW$4=1,JP$20=1), KC84, KA84)</f>
        <v>0</v>
      </c>
      <c r="JZ84" t="s">
        <v>1304</v>
      </c>
      <c r="KA84">
        <f>_xlfn.XLOOKUP(JZ84,'KPI Impacts'!$B$2:$H$2,'KPI Impacts'!$B84:$H84)</f>
        <v>0</v>
      </c>
      <c r="KB84" s="9" t="s">
        <v>1304</v>
      </c>
      <c r="KC84">
        <f>_xlfn.XLOOKUP(KB84,'KPI Impacts'!$B$2:$H$2,'KPI Impacts'!$B84:$H84)</f>
        <v>0</v>
      </c>
      <c r="KF84" s="12">
        <f>KF$4*KQ84</f>
        <v>0</v>
      </c>
      <c r="KG84" s="12">
        <f>KG$4 * IF(AND(KF$4=1,KF$20=1), KS84, KQ84)</f>
        <v>0</v>
      </c>
      <c r="KH84" s="12">
        <f>KH$4 * IF(AND(KG$4=1,KF$20=1), KS84, KQ84)</f>
        <v>0</v>
      </c>
      <c r="KI84" s="12">
        <f>KI$4 * IF(AND(KH$4=1,KF$20=1), KS84, KQ84)</f>
        <v>0</v>
      </c>
      <c r="KJ84" s="12">
        <f>KJ$4 * IF(AND(KI$4=1,KF$20=1), KS84, KQ84)</f>
        <v>0</v>
      </c>
      <c r="KK84" s="12">
        <f>KK$4 * IF(AND(KJ$4=1,KF$20=1), KS84, KQ84)</f>
        <v>0</v>
      </c>
      <c r="KL84" s="12">
        <f>KL$4 * IF(AND(KK$4=1,KF$20=1), KS84, KQ84)</f>
        <v>0</v>
      </c>
      <c r="KM84" s="12">
        <f>KM$4 * IF(AND(KL$4=1,KF$20=1), KS84, KQ84)</f>
        <v>0</v>
      </c>
      <c r="KN84" s="12">
        <f>KN$4 * IF(AND(KM$4=1,KF$20=1), KS84, KQ84)</f>
        <v>0</v>
      </c>
      <c r="KP84" t="s">
        <v>1304</v>
      </c>
      <c r="KQ84">
        <f>_xlfn.XLOOKUP(KP84,'KPI Impacts'!$B$2:$H$2,'KPI Impacts'!$B84:$H84)</f>
        <v>0</v>
      </c>
      <c r="KR84" s="9" t="s">
        <v>1304</v>
      </c>
      <c r="KS84">
        <f>_xlfn.XLOOKUP(KR84,'KPI Impacts'!$B$2:$H$2,'KPI Impacts'!$B84:$H84)</f>
        <v>0</v>
      </c>
      <c r="KV84" s="12">
        <f>KV$4*LG84</f>
        <v>0</v>
      </c>
      <c r="KW84" s="12">
        <f>KW$4 * IF(AND(KV$4=1,KV$20=1), LI84, LG84)</f>
        <v>0</v>
      </c>
      <c r="KX84" s="12">
        <f>KX$4 * IF(AND(KW$4=1,KV$20=1), LI84, LG84)</f>
        <v>0</v>
      </c>
      <c r="KY84" s="12">
        <f>KY$4 * IF(AND(KX$4=1,KV$20=1), LI84, LG84)</f>
        <v>0</v>
      </c>
      <c r="KZ84" s="12">
        <f>KZ$4 * IF(AND(KY$4=1,KV$20=1), LI84, LG84)</f>
        <v>0</v>
      </c>
      <c r="LA84" s="12">
        <f>LA$4 * IF(AND(KZ$4=1,KV$20=1), LI84, LG84)</f>
        <v>0</v>
      </c>
      <c r="LB84" s="12">
        <f>LB$4 * IF(AND(LA$4=1,KV$20=1), LI84, LG84)</f>
        <v>0</v>
      </c>
      <c r="LC84" s="12">
        <f>LC$4 * IF(AND(LB$4=1,KV$20=1), LI84, LG84)</f>
        <v>0</v>
      </c>
      <c r="LD84" s="12">
        <f>LD$4 * IF(AND(LC$4=1,KV$20=1), LI84, LG84)</f>
        <v>0</v>
      </c>
      <c r="LF84" t="s">
        <v>1304</v>
      </c>
      <c r="LG84">
        <f>_xlfn.XLOOKUP(LF84,'KPI Impacts'!$B$2:$H$2,'KPI Impacts'!$B84:$H84)</f>
        <v>0</v>
      </c>
      <c r="LH84" s="9" t="s">
        <v>1304</v>
      </c>
      <c r="LI84">
        <f>_xlfn.XLOOKUP(LH84,'KPI Impacts'!$B$2:$H$2,'KPI Impacts'!$B84:$H84)</f>
        <v>0</v>
      </c>
      <c r="LL84" s="12">
        <f>LL$4*LW84</f>
        <v>0</v>
      </c>
      <c r="LM84" s="12">
        <f>LM$4 * IF(AND(LL$4=1,LL$20=1), LY84, LW84)</f>
        <v>0</v>
      </c>
      <c r="LN84" s="12">
        <f>LN$4 * IF(AND(LM$4=1,LL$20=1), LY84, LW84)</f>
        <v>0</v>
      </c>
      <c r="LO84" s="12">
        <f>LO$4 * IF(AND(LN$4=1,LL$20=1), LY84, LW84)</f>
        <v>0</v>
      </c>
      <c r="LP84" s="12">
        <f>LP$4 * IF(AND(LO$4=1,LL$20=1), LY84, LW84)</f>
        <v>0</v>
      </c>
      <c r="LQ84" s="12">
        <f>LQ$4 * IF(AND(LP$4=1,LL$20=1), LY84, LW84)</f>
        <v>0</v>
      </c>
      <c r="LR84" s="12">
        <f>LR$4 * IF(AND(LQ$4=1,LL$20=1), LY84, LW84)</f>
        <v>0</v>
      </c>
      <c r="LS84" s="12">
        <f>LS$4 * IF(AND(LR$4=1,LL$20=1), LY84, LW84)</f>
        <v>0</v>
      </c>
      <c r="LT84" s="12">
        <f>LT$4 * IF(AND(LS$4=1,LL$20=1), LY84, LW84)</f>
        <v>0</v>
      </c>
      <c r="LV84" t="s">
        <v>1304</v>
      </c>
      <c r="LW84">
        <f>_xlfn.XLOOKUP(LV84,'KPI Impacts'!$B$2:$H$2,'KPI Impacts'!$B84:$H84)</f>
        <v>0</v>
      </c>
      <c r="LX84" s="9" t="s">
        <v>1304</v>
      </c>
      <c r="LY84">
        <f>_xlfn.XLOOKUP(LX84,'KPI Impacts'!$B$2:$H$2,'KPI Impacts'!$B84:$H84)</f>
        <v>0</v>
      </c>
      <c r="MB84" s="12">
        <f>MB$4*MM84</f>
        <v>0</v>
      </c>
      <c r="MC84" s="12">
        <f>MC$4 * IF(AND(MB$4=1,MB$20=1), MO84, MM84)</f>
        <v>0</v>
      </c>
      <c r="MD84" s="12">
        <f>MD$4 * IF(AND(MC$4=1,MB$20=1), MO84, MM84)</f>
        <v>0</v>
      </c>
      <c r="ME84" s="12">
        <f>ME$4 * IF(AND(MD$4=1,MB$20=1), MO84, MM84)</f>
        <v>0</v>
      </c>
      <c r="MF84" s="12">
        <f>MF$4 * IF(AND(ME$4=1,MB$20=1), MO84, MM84)</f>
        <v>0</v>
      </c>
      <c r="MG84" s="12">
        <f>MG$4 * IF(AND(MF$4=1,MB$20=1), MO84, MM84)</f>
        <v>0</v>
      </c>
      <c r="MH84" s="12">
        <f>MH$4 * IF(AND(MG$4=1,MB$20=1), MO84, MM84)</f>
        <v>0</v>
      </c>
      <c r="MI84" s="12">
        <f>MI$4 * IF(AND(MH$4=1,MB$20=1), MO84, MM84)</f>
        <v>0</v>
      </c>
      <c r="MJ84" s="12">
        <f>MJ$4 * IF(AND(MI$4=1,MB$20=1), MO84, MM84)</f>
        <v>0</v>
      </c>
      <c r="ML84" t="s">
        <v>1304</v>
      </c>
      <c r="MM84">
        <f>_xlfn.XLOOKUP(ML84,'KPI Impacts'!$B$2:$H$2,'KPI Impacts'!$B84:$H84)</f>
        <v>0</v>
      </c>
      <c r="MN84" s="9" t="s">
        <v>1304</v>
      </c>
      <c r="MO84">
        <f>_xlfn.XLOOKUP(MN84,'KPI Impacts'!$B$2:$H$2,'KPI Impacts'!$B84:$H84)</f>
        <v>0</v>
      </c>
      <c r="MR84" s="12">
        <f>MR$4*NC84</f>
        <v>0</v>
      </c>
      <c r="MS84" s="12">
        <f>MS$4 * IF(AND(MR$4=1,MR$20=1), NE84, NC84)</f>
        <v>0</v>
      </c>
      <c r="MT84" s="12">
        <f>MT$4 * IF(AND(MS$4=1,MR$20=1), NE84, NC84)</f>
        <v>0</v>
      </c>
      <c r="MU84" s="12">
        <f>MU$4 * IF(AND(MT$4=1,MR$20=1), NE84, NC84)</f>
        <v>0</v>
      </c>
      <c r="MV84" s="12">
        <f>MV$4 * IF(AND(MU$4=1,MR$20=1), NE84, NC84)</f>
        <v>0</v>
      </c>
      <c r="MW84" s="12">
        <f>MW$4 * IF(AND(MV$4=1,MR$20=1), NE84, NC84)</f>
        <v>0</v>
      </c>
      <c r="MX84" s="12">
        <f>MX$4 * IF(AND(MW$4=1,MR$20=1), NE84, NC84)</f>
        <v>0</v>
      </c>
      <c r="MY84" s="12">
        <f>MY$4 * IF(AND(MX$4=1,MR$20=1), NE84, NC84)</f>
        <v>0</v>
      </c>
      <c r="MZ84" s="12">
        <f>MZ$4 * IF(AND(MY$4=1,MR$20=1), NE84, NC84)</f>
        <v>0</v>
      </c>
      <c r="NB84" t="s">
        <v>1304</v>
      </c>
      <c r="NC84">
        <f>_xlfn.XLOOKUP(NB84,'KPI Impacts'!$B$2:$H$2,'KPI Impacts'!$B84:$H84)</f>
        <v>0</v>
      </c>
      <c r="ND84" s="9" t="s">
        <v>1304</v>
      </c>
      <c r="NE84">
        <f>_xlfn.XLOOKUP(ND84,'KPI Impacts'!$B$2:$H$2,'KPI Impacts'!$B84:$H84)</f>
        <v>0</v>
      </c>
      <c r="NH84" s="12">
        <f>NH$4*NS84</f>
        <v>0</v>
      </c>
      <c r="NI84" s="12">
        <f>NI$4 * IF(AND(NH$4=1,NH$20=1), NU84, NS84)</f>
        <v>0</v>
      </c>
      <c r="NJ84" s="12">
        <f>NJ$4 * IF(AND(NI$4=1,NH$20=1), NU84, NS84)</f>
        <v>0</v>
      </c>
      <c r="NK84" s="12">
        <f>NK$4 * IF(AND(NJ$4=1,NH$20=1), NU84, NS84)</f>
        <v>0</v>
      </c>
      <c r="NL84" s="12">
        <f>NL$4 * IF(AND(NK$4=1,NH$20=1), NU84, NS84)</f>
        <v>0</v>
      </c>
      <c r="NM84" s="12">
        <f>NM$4 * IF(AND(NL$4=1,NH$20=1), NU84, NS84)</f>
        <v>0</v>
      </c>
      <c r="NN84" s="12">
        <f>NN$4 * IF(AND(NM$4=1,NH$20=1), NU84, NS84)</f>
        <v>0</v>
      </c>
      <c r="NO84" s="12">
        <f>NO$4 * IF(AND(NN$4=1,NH$20=1), NU84, NS84)</f>
        <v>0</v>
      </c>
      <c r="NP84" s="12">
        <f>NP$4 * IF(AND(NO$4=1,NH$20=1), NU84, NS84)</f>
        <v>0</v>
      </c>
      <c r="NR84" t="s">
        <v>1304</v>
      </c>
      <c r="NS84">
        <f>_xlfn.XLOOKUP(NR84,'KPI Impacts'!$B$2:$H$2,'KPI Impacts'!$B84:$H84)</f>
        <v>0</v>
      </c>
      <c r="NT84" s="9" t="s">
        <v>1304</v>
      </c>
      <c r="NU84">
        <f>_xlfn.XLOOKUP(NT84,'KPI Impacts'!$B$2:$H$2,'KPI Impacts'!$B84:$H84)</f>
        <v>0</v>
      </c>
      <c r="NX84" s="12">
        <f>NX$4*OI84</f>
        <v>0</v>
      </c>
      <c r="NY84" s="12">
        <f>NY$4 * IF(AND(NX$4=1,NX$20=1), OK84, OI84)</f>
        <v>0</v>
      </c>
      <c r="NZ84" s="12">
        <f>NZ$4 * IF(AND(NY$4=1,NX$20=1), OK84, OI84)</f>
        <v>0</v>
      </c>
      <c r="OA84" s="12">
        <f>OA$4 * IF(AND(NZ$4=1,NX$20=1), OK84, OI84)</f>
        <v>0</v>
      </c>
      <c r="OB84" s="12">
        <f>OB$4 * IF(AND(OA$4=1,NX$20=1), OK84, OI84)</f>
        <v>0</v>
      </c>
      <c r="OC84" s="12">
        <f>OC$4 * IF(AND(OB$4=1,NX$20=1), OK84, OI84)</f>
        <v>0</v>
      </c>
      <c r="OD84" s="12">
        <f>OD$4 * IF(AND(OC$4=1,NX$20=1), OK84, OI84)</f>
        <v>0</v>
      </c>
      <c r="OE84" s="12">
        <f>OE$4 * IF(AND(OD$4=1,NX$20=1), OK84, OI84)</f>
        <v>0</v>
      </c>
      <c r="OF84" s="12">
        <f>OF$4 * IF(AND(OE$4=1,NX$20=1), OK84, OI84)</f>
        <v>0</v>
      </c>
      <c r="OH84" t="s">
        <v>1304</v>
      </c>
      <c r="OI84">
        <f>_xlfn.XLOOKUP(OH84,'KPI Impacts'!$B$2:$H$2,'KPI Impacts'!$B84:$H84)</f>
        <v>0</v>
      </c>
      <c r="OJ84" s="9" t="s">
        <v>1304</v>
      </c>
      <c r="OK84">
        <f>_xlfn.XLOOKUP(OJ84,'KPI Impacts'!$B$2:$H$2,'KPI Impacts'!$B84:$H84)</f>
        <v>0</v>
      </c>
    </row>
    <row r="85" spans="1:401" x14ac:dyDescent="0.2">
      <c r="A85" s="9" t="s">
        <v>1315</v>
      </c>
      <c r="B85" s="12">
        <f t="shared" ref="B85:J86" si="511">P85+AH85+AZ85+BP85+CF85+CV85+DL85+EB85+ER85+FH85+FX85+GN85+HD85+HT85+IJ85+IZ85+JP85+KF85+KV85+LL85+MB85+MR85+NH85+NX85</f>
        <v>0</v>
      </c>
      <c r="C85" s="12">
        <f t="shared" si="511"/>
        <v>0</v>
      </c>
      <c r="D85" s="12">
        <f t="shared" si="511"/>
        <v>0</v>
      </c>
      <c r="E85" s="12">
        <f t="shared" si="511"/>
        <v>0</v>
      </c>
      <c r="F85" s="12">
        <f t="shared" si="511"/>
        <v>0</v>
      </c>
      <c r="G85" s="12">
        <f t="shared" si="511"/>
        <v>0</v>
      </c>
      <c r="H85" s="12">
        <f t="shared" si="511"/>
        <v>0</v>
      </c>
      <c r="I85" s="12">
        <f t="shared" si="511"/>
        <v>0</v>
      </c>
      <c r="J85" s="12">
        <f t="shared" si="511"/>
        <v>0</v>
      </c>
      <c r="O85" s="17"/>
      <c r="P85" s="12" cm="1">
        <f t="array" ref="P85">_xlfn.SWITCH(P$4, 0,0, 1, AA85,2,AC85,3,AE85,0)</f>
        <v>0</v>
      </c>
      <c r="Q85" s="12" cm="1">
        <f t="array" ref="Q85">_xlfn.SWITCH(Q$4, 0,0, 1, AA85,2,AC85,3,AE85,0)+P85</f>
        <v>0</v>
      </c>
      <c r="R85" s="12" cm="1">
        <f t="array" ref="R85">_xlfn.SWITCH(R$4, 0,0, 1, AA85,2,AC85,3,AE85,0)+Q85</f>
        <v>0</v>
      </c>
      <c r="S85" s="12" cm="1">
        <f t="array" ref="S85">_xlfn.SWITCH(S$4, 0,0, 1, AA85,2,AC85,3,AE85,0)+R85</f>
        <v>0</v>
      </c>
      <c r="T85" s="12" cm="1">
        <f t="array" ref="T85">_xlfn.SWITCH(T$4, 0,0, 1, AA85,2,AC85,3,AE85,0)+S85</f>
        <v>0</v>
      </c>
      <c r="U85" s="12" cm="1">
        <f t="array" ref="U85">_xlfn.SWITCH(U$4, 0,0, 1, AA85,2,AC85,3,AE85,0)+T85</f>
        <v>0</v>
      </c>
      <c r="V85" s="12" cm="1">
        <f t="array" ref="V85">_xlfn.SWITCH(V$4, 0,0, 1, AA85,2,AC85,3,AE85,0)+U85</f>
        <v>0</v>
      </c>
      <c r="W85" s="12" cm="1">
        <f t="array" ref="W85">_xlfn.SWITCH(W$4, 0,0, 1, AA85,2,AC85,3,AE85,0)+V85</f>
        <v>0</v>
      </c>
      <c r="X85" s="12" cm="1">
        <f t="array" ref="X85">_xlfn.SWITCH(X$4, 0,0, 1, AA85,2,AC85,3,AE85,0)+W85</f>
        <v>0</v>
      </c>
      <c r="Z85" t="s">
        <v>1308</v>
      </c>
      <c r="AA85">
        <f>_xlfn.XLOOKUP(Z85,'KPI Impacts'!$K$2:$Q$2,'KPI Impacts'!$K85:$Q85)</f>
        <v>0.44999999999999996</v>
      </c>
      <c r="AB85" t="s">
        <v>1310</v>
      </c>
      <c r="AC85">
        <f>_xlfn.XLOOKUP(AB85,'KPI Impacts'!$K$2:$Q$2,'KPI Impacts'!$K85:$Q85)</f>
        <v>0.75</v>
      </c>
      <c r="AD85" t="s">
        <v>1309</v>
      </c>
      <c r="AE85">
        <f>_xlfn.XLOOKUP(AD85,'KPI Impacts'!$K$2:$Q$2,'KPI Impacts'!$K85:$Q85)</f>
        <v>0.89999999999999991</v>
      </c>
      <c r="AG85" s="17"/>
      <c r="AH85" s="12" cm="1">
        <f t="array" ref="AH85">_xlfn.SWITCH(AH$4, 0,0, 1, AS85,2,AU85,3,AW85,0)</f>
        <v>0</v>
      </c>
      <c r="AI85" s="12" cm="1">
        <f t="array" ref="AI85">_xlfn.SWITCH(AI$4, 0,0, 1, AS85,2,AU85,3,AW85,0)+AH85</f>
        <v>0</v>
      </c>
      <c r="AJ85" s="12" cm="1">
        <f t="array" ref="AJ85">_xlfn.SWITCH(AJ$4, 0,0, 1, AS85,2,AU85,3,AW85,0)+AI85</f>
        <v>0</v>
      </c>
      <c r="AK85" s="12" cm="1">
        <f t="array" ref="AK85">_xlfn.SWITCH(AK$4, 0,0, 1, AS85,2,AU85,3,AW85,0)+AJ85</f>
        <v>0</v>
      </c>
      <c r="AL85" s="12" cm="1">
        <f t="array" ref="AL85">_xlfn.SWITCH(AL$4, 0,0, 1, AS85,2,AU85,3,AW85,0)+AK85</f>
        <v>0</v>
      </c>
      <c r="AM85" s="12" cm="1">
        <f t="array" ref="AM85">_xlfn.SWITCH(AM$4, 0,0, 1, AS85,2,AU85,3,AW85,0)+AL85</f>
        <v>0</v>
      </c>
      <c r="AN85" s="12" cm="1">
        <f t="array" ref="AN85">_xlfn.SWITCH(AN$4, 0,0, 1, AS85,2,AU85,3,AW85,0)+AM85</f>
        <v>0</v>
      </c>
      <c r="AO85" s="12" cm="1">
        <f t="array" ref="AO85">_xlfn.SWITCH(AO$4, 0,0, 1, AS85,2,AU85,3,AW85,0)+AN85</f>
        <v>0</v>
      </c>
      <c r="AP85" s="12" cm="1">
        <f t="array" ref="AP85">_xlfn.SWITCH(AP$4, 0,0, 1, AS85,2,AU85,3,AW85,0)+AO85</f>
        <v>0</v>
      </c>
      <c r="AR85" t="s">
        <v>1308</v>
      </c>
      <c r="AS85">
        <f>_xlfn.XLOOKUP(AR85,'KPI Impacts'!$K$2:$Q$2,'KPI Impacts'!$K85:$Q85)</f>
        <v>0.44999999999999996</v>
      </c>
      <c r="AT85" t="s">
        <v>1310</v>
      </c>
      <c r="AU85">
        <f>_xlfn.XLOOKUP(AT85,'KPI Impacts'!$K$2:$Q$2,'KPI Impacts'!$K85:$Q85)</f>
        <v>0.75</v>
      </c>
      <c r="AV85" t="s">
        <v>1309</v>
      </c>
      <c r="AW85">
        <f>_xlfn.XLOOKUP(AV85,'KPI Impacts'!$K$2:$Q$2,'KPI Impacts'!$K85:$Q85)</f>
        <v>0.89999999999999991</v>
      </c>
      <c r="AY85" s="17"/>
      <c r="AZ85" s="12">
        <f>AZ$4*BK85</f>
        <v>0</v>
      </c>
      <c r="BA85" s="12">
        <f>BA$4 * IF(AND(AZ$4=1,AZ$20=1), BM85, BK85)</f>
        <v>0</v>
      </c>
      <c r="BB85" s="12">
        <f>BB$4 * IF(AND(BA$4=1,AZ$20=1), BM85, BK85)</f>
        <v>0</v>
      </c>
      <c r="BC85" s="12">
        <f>BC$4 * IF(AND(BB$4=1,AZ$20=1), BM85, BK85)</f>
        <v>0</v>
      </c>
      <c r="BD85" s="12">
        <f>BD$4 * IF(AND(BC$4=1,AZ$20=1), BM85, BK85)</f>
        <v>0</v>
      </c>
      <c r="BE85" s="12">
        <f>BE$4 * IF(AND(BD$4=1,AZ$20=1), BM85, BK85)</f>
        <v>0</v>
      </c>
      <c r="BF85" s="12">
        <f>BF$4 * IF(AND(BE$4=1,AZ$20=1), BM85, BK85)</f>
        <v>0</v>
      </c>
      <c r="BG85" s="12">
        <f>BG$4 * IF(AND(BF$4=1,AZ$20=1), BM85, BK85)</f>
        <v>0</v>
      </c>
      <c r="BH85" s="12">
        <f>BH$4 * IF(AND(BG$4=1,AZ$20=1), BM85, BK85)</f>
        <v>0</v>
      </c>
      <c r="BJ85" s="30" t="s">
        <v>1310</v>
      </c>
      <c r="BK85">
        <f>_xlfn.XLOOKUP(BJ85,'KPI Impacts'!$B$2:$H$2,'KPI Impacts'!$B85:$H85)</f>
        <v>4</v>
      </c>
      <c r="BL85" s="35" t="s">
        <v>1304</v>
      </c>
      <c r="BM85">
        <f>_xlfn.XLOOKUP(BL85,'KPI Impacts'!$B$2:$H$2,'KPI Impacts'!$B85:$H85)</f>
        <v>0</v>
      </c>
      <c r="BO85" s="17"/>
      <c r="BP85" s="12">
        <f>BP$4*CA85</f>
        <v>0</v>
      </c>
      <c r="BQ85" s="12">
        <f>BQ$4 * IF(AND(BP$4=1,BP$20=1), CC85, CA85)</f>
        <v>0</v>
      </c>
      <c r="BR85" s="12">
        <f>BR$4 * IF(AND(BQ$4=1,BP$20=1), CC85, CA85)</f>
        <v>0</v>
      </c>
      <c r="BS85" s="12">
        <f>BS$4 * IF(AND(BR$4=1,BP$20=1), CC85, CA85)</f>
        <v>0</v>
      </c>
      <c r="BT85" s="12">
        <f>BT$4 * IF(AND(BS$4=1,BP$20=1), CC85, CA85)</f>
        <v>0</v>
      </c>
      <c r="BU85" s="12">
        <f>BU$4 * IF(AND(BT$4=1,BP$20=1), CC85, CA85)</f>
        <v>0</v>
      </c>
      <c r="BV85" s="12">
        <f>BV$4 * IF(AND(BU$4=1,BP$20=1), CC85, CA85)</f>
        <v>0</v>
      </c>
      <c r="BW85" s="12">
        <f>BW$4 * IF(AND(BV$4=1,BP$20=1), CC85, CA85)</f>
        <v>0</v>
      </c>
      <c r="BX85" s="12">
        <f>BX$4 * IF(AND(BW$4=1,BP$20=1), CC85, CA85)</f>
        <v>0</v>
      </c>
      <c r="BZ85" s="16" t="s">
        <v>1304</v>
      </c>
      <c r="CA85">
        <f>_xlfn.XLOOKUP(BZ85,'KPI Impacts'!$B$2:$H$2,'KPI Impacts'!$B85:$H85)</f>
        <v>0</v>
      </c>
      <c r="CB85" s="35" t="s">
        <v>1304</v>
      </c>
      <c r="CC85">
        <f>_xlfn.XLOOKUP(CB85,'KPI Impacts'!$B$2:$H$2,'KPI Impacts'!$B85:$H85)</f>
        <v>0</v>
      </c>
      <c r="CE85" s="17"/>
      <c r="CF85" s="12">
        <f>CF$4*CQ85</f>
        <v>0</v>
      </c>
      <c r="CG85" s="12">
        <f>CG$4 * IF(AND(CF$4=1,CF$20=1), CS85, CQ85)</f>
        <v>0</v>
      </c>
      <c r="CH85" s="12">
        <f>CH$4 * IF(AND(CG$4=1,CF$20=1), CS85, CQ85)</f>
        <v>0</v>
      </c>
      <c r="CI85" s="12">
        <f>CI$4 * IF(AND(CH$4=1,CF$20=1), CS85, CQ85)</f>
        <v>0</v>
      </c>
      <c r="CJ85" s="12">
        <f>CJ$4 * IF(AND(CI$4=1,CF$20=1), CS85, CQ85)</f>
        <v>0</v>
      </c>
      <c r="CK85" s="12">
        <f>CK$4 * IF(AND(CJ$4=1,CF$20=1), CS85, CQ85)</f>
        <v>0</v>
      </c>
      <c r="CL85" s="12">
        <f>CL$4 * IF(AND(CK$4=1,CF$20=1), CS85, CQ85)</f>
        <v>0</v>
      </c>
      <c r="CM85" s="12">
        <f>CM$4 * IF(AND(CL$4=1,CF$20=1), CS85, CQ85)</f>
        <v>0</v>
      </c>
      <c r="CN85" s="12">
        <f>CN$4 * IF(AND(CM$4=1,CF$20=1), CS85, CQ85)</f>
        <v>0</v>
      </c>
      <c r="CP85" s="16" t="s">
        <v>1304</v>
      </c>
      <c r="CQ85">
        <f>_xlfn.XLOOKUP(CP85,'KPI Impacts'!$B$2:$H$2,'KPI Impacts'!$B85:$H85)</f>
        <v>0</v>
      </c>
      <c r="CR85" s="35" t="s">
        <v>1304</v>
      </c>
      <c r="CS85">
        <f>_xlfn.XLOOKUP(CR85,'KPI Impacts'!$B$2:$H$2,'KPI Impacts'!$B85:$H85)</f>
        <v>0</v>
      </c>
      <c r="CU85" s="17"/>
      <c r="CV85" s="12">
        <f>CV$4*DG85</f>
        <v>0</v>
      </c>
      <c r="CW85" s="12">
        <f>CW$4 * IF(AND(CV$4=1,CV$20=1), DI85, DG85)</f>
        <v>0</v>
      </c>
      <c r="CX85" s="12">
        <f>CX$4 * IF(AND(CW$4=1,CV$20=1), DI85, DG85)</f>
        <v>0</v>
      </c>
      <c r="CY85" s="12">
        <f>CY$4 * IF(AND(CX$4=1,CV$20=1), DI85, DG85)</f>
        <v>0</v>
      </c>
      <c r="CZ85" s="12">
        <f>CZ$4 * IF(AND(CY$4=1,CV$20=1), DI85, DG85)</f>
        <v>0</v>
      </c>
      <c r="DA85" s="12">
        <f>DA$4 * IF(AND(CZ$4=1,CV$20=1), DI85, DG85)</f>
        <v>0</v>
      </c>
      <c r="DB85" s="12">
        <f>DB$4 * IF(AND(DA$4=1,CV$20=1), DI85, DG85)</f>
        <v>0</v>
      </c>
      <c r="DC85" s="12">
        <f>DC$4 * IF(AND(DB$4=1,CV$20=1), DI85, DG85)</f>
        <v>0</v>
      </c>
      <c r="DD85" s="12">
        <f>DD$4 * IF(AND(DC$4=1,CV$20=1), DI85, DG85)</f>
        <v>0</v>
      </c>
      <c r="DF85" s="30" t="s">
        <v>1308</v>
      </c>
      <c r="DG85">
        <f>_xlfn.XLOOKUP(DF85,'KPI Impacts'!$B$2:$H$2,'KPI Impacts'!$B85:$H85)</f>
        <v>2</v>
      </c>
      <c r="DH85" s="35" t="s">
        <v>1304</v>
      </c>
      <c r="DI85">
        <f>_xlfn.XLOOKUP(DH85,'KPI Impacts'!$B$2:$H$2,'KPI Impacts'!$B85:$H85)</f>
        <v>0</v>
      </c>
      <c r="DK85" s="17"/>
      <c r="DL85" s="12">
        <f>DL$4*DW85</f>
        <v>0</v>
      </c>
      <c r="DM85" s="12">
        <f>DM$4 * IF(AND(DL$4=1,DL$20=1), DY85, DW85)</f>
        <v>0</v>
      </c>
      <c r="DN85" s="12">
        <f>DN$4 * IF(AND(DM$4=1,DL$20=1), DY85, DW85)</f>
        <v>0</v>
      </c>
      <c r="DO85" s="12">
        <f>DO$4 * IF(AND(DN$4=1,DL$20=1), DY85, DW85)</f>
        <v>0</v>
      </c>
      <c r="DP85" s="12">
        <f>DP$4 * IF(AND(DO$4=1,DL$20=1), DY85, DW85)</f>
        <v>0</v>
      </c>
      <c r="DQ85" s="12">
        <f>DQ$4 * IF(AND(DP$4=1,DL$20=1), DY85, DW85)</f>
        <v>0</v>
      </c>
      <c r="DR85" s="12">
        <f>DR$4 * IF(AND(DQ$4=1,DL$20=1), DY85, DW85)</f>
        <v>0</v>
      </c>
      <c r="DS85" s="12">
        <f>DS$4 * IF(AND(DR$4=1,DL$20=1), DY85, DW85)</f>
        <v>0</v>
      </c>
      <c r="DT85" s="12">
        <f>DT$4 * IF(AND(DS$4=1,DL$20=1), DY85, DW85)</f>
        <v>0</v>
      </c>
      <c r="DV85" s="16" t="s">
        <v>1304</v>
      </c>
      <c r="DW85">
        <f>_xlfn.XLOOKUP(DV85,'KPI Impacts'!$B$2:$H$2,'KPI Impacts'!$B85:$H85)</f>
        <v>0</v>
      </c>
      <c r="DX85" s="35" t="s">
        <v>1304</v>
      </c>
      <c r="DY85">
        <f>_xlfn.XLOOKUP(DX85,'KPI Impacts'!$B$2:$H$2,'KPI Impacts'!$B85:$H85)</f>
        <v>0</v>
      </c>
      <c r="EA85" s="17"/>
      <c r="EB85" s="12">
        <f>EB$4*EM85</f>
        <v>0</v>
      </c>
      <c r="EC85" s="12">
        <f>EC$4 * IF(AND(EB$4=1,EB$20=1), EO85, EM85)</f>
        <v>0</v>
      </c>
      <c r="ED85" s="12">
        <f>ED$4 * IF(AND(EC$4=1,EB$20=1), EO85, EM85)</f>
        <v>0</v>
      </c>
      <c r="EE85" s="12">
        <f>EE$4 * IF(AND(ED$4=1,EB$20=1), EO85, EM85)</f>
        <v>0</v>
      </c>
      <c r="EF85" s="12">
        <f>EF$4 * IF(AND(EE$4=1,EB$20=1), EO85, EM85)</f>
        <v>0</v>
      </c>
      <c r="EG85" s="12">
        <f>EG$4 * IF(AND(EF$4=1,EB$20=1), EO85, EM85)</f>
        <v>0</v>
      </c>
      <c r="EH85" s="12">
        <f>EH$4 * IF(AND(EG$4=1,EB$20=1), EO85, EM85)</f>
        <v>0</v>
      </c>
      <c r="EI85" s="12">
        <f>EI$4 * IF(AND(EH$4=1,EB$20=1), EO85, EM85)</f>
        <v>0</v>
      </c>
      <c r="EJ85" s="12">
        <f>EJ$4 * IF(AND(EI$4=1,EB$20=1), EO85, EM85)</f>
        <v>0</v>
      </c>
      <c r="EL85" s="16" t="s">
        <v>1304</v>
      </c>
      <c r="EM85">
        <f>_xlfn.XLOOKUP(EL85,'KPI Impacts'!$B$2:$H$2,'KPI Impacts'!$B85:$H85)</f>
        <v>0</v>
      </c>
      <c r="EN85" s="35" t="s">
        <v>1304</v>
      </c>
      <c r="EO85">
        <f>_xlfn.XLOOKUP(EN85,'KPI Impacts'!$B$2:$H$2,'KPI Impacts'!$B85:$H85)</f>
        <v>0</v>
      </c>
      <c r="EQ85" s="17"/>
      <c r="ER85" s="12">
        <f>ER$4*FC85</f>
        <v>0</v>
      </c>
      <c r="ES85" s="12">
        <f>ES$4 * IF(AND(ER$4=1,ER$20=1), FE85, FC85)</f>
        <v>0</v>
      </c>
      <c r="ET85" s="12">
        <f>ET$4 * IF(AND(ES$4=1,ER$20=1), FE85, FC85)</f>
        <v>0</v>
      </c>
      <c r="EU85" s="12">
        <f>EU$4 * IF(AND(ET$4=1,ER$20=1), FE85, FC85)</f>
        <v>0</v>
      </c>
      <c r="EV85" s="12">
        <f>EV$4 * IF(AND(EU$4=1,ER$20=1), FE85, FC85)</f>
        <v>0</v>
      </c>
      <c r="EW85" s="12">
        <f>EW$4 * IF(AND(EV$4=1,ER$20=1), FE85, FC85)</f>
        <v>0</v>
      </c>
      <c r="EX85" s="12">
        <f>EX$4 * IF(AND(EW$4=1,ER$20=1), FE85, FC85)</f>
        <v>0</v>
      </c>
      <c r="EY85" s="12">
        <f>EY$4 * IF(AND(EX$4=1,ER$20=1), FE85, FC85)</f>
        <v>0</v>
      </c>
      <c r="EZ85" s="12">
        <f>EZ$4 * IF(AND(EY$4=1,ER$20=1), FE85, FC85)</f>
        <v>0</v>
      </c>
      <c r="FB85" s="16" t="s">
        <v>1304</v>
      </c>
      <c r="FC85">
        <f>_xlfn.XLOOKUP(FB85,'KPI Impacts'!$B$2:$H$2,'KPI Impacts'!$B85:$H85)</f>
        <v>0</v>
      </c>
      <c r="FD85" s="35" t="s">
        <v>1304</v>
      </c>
      <c r="FE85">
        <f>_xlfn.XLOOKUP(FD85,'KPI Impacts'!$B$2:$H$2,'KPI Impacts'!$B85:$H85)</f>
        <v>0</v>
      </c>
      <c r="FG85" s="17"/>
      <c r="FH85" s="12">
        <f>FH$4*FS85</f>
        <v>0</v>
      </c>
      <c r="FI85" s="12">
        <f>FI$4 * IF(AND(FH$4=1,FH$20=1), FU85, FS85)</f>
        <v>0</v>
      </c>
      <c r="FJ85" s="12">
        <f>FJ$4 * IF(AND(FI$4=1,FH$20=1), FU85, FS85)</f>
        <v>0</v>
      </c>
      <c r="FK85" s="12">
        <f>FK$4 * IF(AND(FJ$4=1,FH$20=1), FU85, FS85)</f>
        <v>0</v>
      </c>
      <c r="FL85" s="12">
        <f>FL$4 * IF(AND(FK$4=1,FH$20=1), FU85, FS85)</f>
        <v>0</v>
      </c>
      <c r="FM85" s="12">
        <f>FM$4 * IF(AND(FL$4=1,FH$20=1), FU85, FS85)</f>
        <v>0</v>
      </c>
      <c r="FN85" s="12">
        <f>FN$4 * IF(AND(FM$4=1,FH$20=1), FU85, FS85)</f>
        <v>0</v>
      </c>
      <c r="FO85" s="12">
        <f>FO$4 * IF(AND(FN$4=1,FH$20=1), FU85, FS85)</f>
        <v>0</v>
      </c>
      <c r="FP85" s="12">
        <f>FP$4 * IF(AND(FO$4=1,FH$20=1), FU85, FS85)</f>
        <v>0</v>
      </c>
      <c r="FR85" s="16" t="s">
        <v>1304</v>
      </c>
      <c r="FS85">
        <f>_xlfn.XLOOKUP(FR85,'KPI Impacts'!$B$2:$H$2,'KPI Impacts'!$B85:$H85)</f>
        <v>0</v>
      </c>
      <c r="FT85" s="35" t="s">
        <v>1304</v>
      </c>
      <c r="FU85">
        <f>_xlfn.XLOOKUP(FT85,'KPI Impacts'!$B$2:$H$2,'KPI Impacts'!$B85:$H85)</f>
        <v>0</v>
      </c>
      <c r="FW85" s="17"/>
      <c r="FX85" s="12">
        <f>FX$4*GI85</f>
        <v>0</v>
      </c>
      <c r="FY85" s="12">
        <f>FY$4 * IF(AND(FX$4=1,FX$20=1), GK85, GI85)</f>
        <v>0</v>
      </c>
      <c r="FZ85" s="12">
        <f>FZ$4 * IF(AND(FY$4=1,FX$20=1), GK85, GI85)</f>
        <v>0</v>
      </c>
      <c r="GA85" s="12">
        <f>GA$4 * IF(AND(FZ$4=1,FX$20=1), GK85, GI85)</f>
        <v>0</v>
      </c>
      <c r="GB85" s="12">
        <f>GB$4 * IF(AND(GA$4=1,FX$20=1), GK85, GI85)</f>
        <v>0</v>
      </c>
      <c r="GC85" s="12">
        <f>GC$4 * IF(AND(GB$4=1,FX$20=1), GK85, GI85)</f>
        <v>0</v>
      </c>
      <c r="GD85" s="12">
        <f>GD$4 * IF(AND(GC$4=1,FX$20=1), GK85, GI85)</f>
        <v>0</v>
      </c>
      <c r="GE85" s="12">
        <f>GE$4 * IF(AND(GD$4=1,FX$20=1), GK85, GI85)</f>
        <v>0</v>
      </c>
      <c r="GF85" s="12">
        <f>GF$4 * IF(AND(GE$4=1,FX$20=1), GK85, GI85)</f>
        <v>0</v>
      </c>
      <c r="GH85" s="30" t="s">
        <v>1308</v>
      </c>
      <c r="GI85">
        <f>_xlfn.XLOOKUP(GH85,'KPI Impacts'!$B$2:$H$2,'KPI Impacts'!$B85:$H85)</f>
        <v>2</v>
      </c>
      <c r="GJ85" s="35" t="s">
        <v>1304</v>
      </c>
      <c r="GK85">
        <f>_xlfn.XLOOKUP(GJ85,'KPI Impacts'!$B$2:$H$2,'KPI Impacts'!$B85:$H85)</f>
        <v>0</v>
      </c>
      <c r="GN85" s="12">
        <f>GN$4*GY85</f>
        <v>0</v>
      </c>
      <c r="GO85" s="12">
        <f>GO$4 * IF(AND(GN$4=1,GN$20=1), HA85, GY85)</f>
        <v>0</v>
      </c>
      <c r="GP85" s="12">
        <f>GP$4 * IF(AND(GO$4=1,GN$20=1), HA85, GY85)</f>
        <v>0</v>
      </c>
      <c r="GQ85" s="12">
        <f>GQ$4 * IF(AND(GP$4=1,GN$20=1), HA85, GY85)</f>
        <v>0</v>
      </c>
      <c r="GR85" s="12">
        <f>GR$4 * IF(AND(GQ$4=1,GN$20=1), HA85, GY85)</f>
        <v>0</v>
      </c>
      <c r="GS85" s="12">
        <f>GS$4 * IF(AND(GR$4=1,GN$20=1), HA85, GY85)</f>
        <v>0</v>
      </c>
      <c r="GT85" s="12">
        <f>GT$4 * IF(AND(GS$4=1,GN$20=1), HA85, GY85)</f>
        <v>0</v>
      </c>
      <c r="GU85" s="12">
        <f>GU$4 * IF(AND(GT$4=1,GN$20=1), HA85, GY85)</f>
        <v>0</v>
      </c>
      <c r="GV85" s="12">
        <f>GV$4 * IF(AND(GU$4=1,GN$20=1), HA85, GY85)</f>
        <v>0</v>
      </c>
      <c r="GX85" s="30" t="s">
        <v>1308</v>
      </c>
      <c r="GY85">
        <f>_xlfn.XLOOKUP(GX85,'KPI Impacts'!$B$2:$H$2,'KPI Impacts'!$B85:$H85)</f>
        <v>2</v>
      </c>
      <c r="GZ85" s="35" t="s">
        <v>1304</v>
      </c>
      <c r="HA85">
        <f>_xlfn.XLOOKUP(GZ85,'KPI Impacts'!$B$2:$H$2,'KPI Impacts'!$B85:$H85)</f>
        <v>0</v>
      </c>
      <c r="HD85" s="12">
        <f>HD$4*HO85</f>
        <v>0</v>
      </c>
      <c r="HE85" s="12">
        <f>HE$4 * IF(AND(HD$4=1,HD$20=1), HQ85, HO85)</f>
        <v>0</v>
      </c>
      <c r="HF85" s="12">
        <f>HF$4 * IF(AND(HE$4=1,HD$20=1), HQ85, HO85)</f>
        <v>0</v>
      </c>
      <c r="HG85" s="12">
        <f>HG$4 * IF(AND(HF$4=1,HD$20=1), HQ85, HO85)</f>
        <v>0</v>
      </c>
      <c r="HH85" s="12">
        <f>HH$4 * IF(AND(HG$4=1,HD$20=1), HQ85, HO85)</f>
        <v>0</v>
      </c>
      <c r="HI85" s="12">
        <f>HI$4 * IF(AND(HH$4=1,HD$20=1), HQ85, HO85)</f>
        <v>0</v>
      </c>
      <c r="HJ85" s="12">
        <f>HJ$4 * IF(AND(HI$4=1,HD$20=1), HQ85, HO85)</f>
        <v>0</v>
      </c>
      <c r="HK85" s="12">
        <f>HK$4 * IF(AND(HJ$4=1,HD$20=1), HQ85, HO85)</f>
        <v>0</v>
      </c>
      <c r="HL85" s="12">
        <f>HL$4 * IF(AND(HK$4=1,HD$20=1), HQ85, HO85)</f>
        <v>0</v>
      </c>
      <c r="HN85" s="16" t="s">
        <v>1304</v>
      </c>
      <c r="HO85">
        <f>_xlfn.XLOOKUP(HN85,'KPI Impacts'!$B$2:$H$2,'KPI Impacts'!$B85:$H85)</f>
        <v>0</v>
      </c>
      <c r="HP85" s="35" t="s">
        <v>1304</v>
      </c>
      <c r="HQ85">
        <f>_xlfn.XLOOKUP(HP85,'KPI Impacts'!$B$2:$H$2,'KPI Impacts'!$B85:$H85)</f>
        <v>0</v>
      </c>
      <c r="HT85" s="12">
        <f>HT$4*IE85</f>
        <v>0</v>
      </c>
      <c r="HU85" s="12">
        <f>HU$4 * IF(AND(HT$4=1,HT$20=1), IG85, IE85)</f>
        <v>0</v>
      </c>
      <c r="HV85" s="12">
        <f>HV$4 * IF(AND(HU$4=1,HT$20=1), IG85, IE85)</f>
        <v>0</v>
      </c>
      <c r="HW85" s="12">
        <f>HW$4 * IF(AND(HV$4=1,HT$20=1), IG85, IE85)</f>
        <v>0</v>
      </c>
      <c r="HX85" s="12">
        <f>HX$4 * IF(AND(HW$4=1,HT$20=1), IG85, IE85)</f>
        <v>0</v>
      </c>
      <c r="HY85" s="12">
        <f>HY$4 * IF(AND(HX$4=1,HT$20=1), IG85, IE85)</f>
        <v>0</v>
      </c>
      <c r="HZ85" s="12">
        <f>HZ$4 * IF(AND(HY$4=1,HT$20=1), IG85, IE85)</f>
        <v>0</v>
      </c>
      <c r="IA85" s="12">
        <f>IA$4 * IF(AND(HZ$4=1,HT$20=1), IG85, IE85)</f>
        <v>0</v>
      </c>
      <c r="IB85" s="12">
        <f>IB$4 * IF(AND(IA$4=1,HT$20=1), IG85, IE85)</f>
        <v>0</v>
      </c>
      <c r="ID85" s="30" t="s">
        <v>1308</v>
      </c>
      <c r="IE85">
        <f>_xlfn.XLOOKUP(ID85,'KPI Impacts'!$B$2:$H$2,'KPI Impacts'!$B85:$H85)</f>
        <v>2</v>
      </c>
      <c r="IF85" s="9" t="s">
        <v>1304</v>
      </c>
      <c r="IG85">
        <f>_xlfn.XLOOKUP(IF85,'KPI Impacts'!$B$2:$H$2,'KPI Impacts'!$B85:$H85)</f>
        <v>0</v>
      </c>
      <c r="IJ85" s="12">
        <f>IJ$4*IU85</f>
        <v>0</v>
      </c>
      <c r="IK85" s="12">
        <f>IK$4 * IF(AND(IJ$4=1,IJ$20=1), IW85, IU85)</f>
        <v>0</v>
      </c>
      <c r="IL85" s="12">
        <f>IL$4 * IF(AND(IK$4=1,IJ$20=1), IW85, IU85)</f>
        <v>0</v>
      </c>
      <c r="IM85" s="12">
        <f>IM$4 * IF(AND(IL$4=1,IJ$20=1), IW85, IU85)</f>
        <v>0</v>
      </c>
      <c r="IN85" s="12">
        <f>IN$4 * IF(AND(IM$4=1,IJ$20=1), IW85, IU85)</f>
        <v>0</v>
      </c>
      <c r="IO85" s="12">
        <f>IO$4 * IF(AND(IN$4=1,IJ$20=1), IW85, IU85)</f>
        <v>0</v>
      </c>
      <c r="IP85" s="12">
        <f>IP$4 * IF(AND(IO$4=1,IJ$20=1), IW85, IU85)</f>
        <v>0</v>
      </c>
      <c r="IQ85" s="12">
        <f>IQ$4 * IF(AND(IP$4=1,IJ$20=1), IW85, IU85)</f>
        <v>0</v>
      </c>
      <c r="IR85" s="12">
        <f>IR$4 * IF(AND(IQ$4=1,IJ$20=1), IW85, IU85)</f>
        <v>0</v>
      </c>
      <c r="IT85" s="16" t="s">
        <v>1304</v>
      </c>
      <c r="IU85">
        <f>_xlfn.XLOOKUP(IT85,'KPI Impacts'!$B$2:$H$2,'KPI Impacts'!$B85:$H85)</f>
        <v>0</v>
      </c>
      <c r="IV85" s="9" t="s">
        <v>1304</v>
      </c>
      <c r="IW85">
        <f>_xlfn.XLOOKUP(IV85,'KPI Impacts'!$B$2:$H$2,'KPI Impacts'!$B85:$H85)</f>
        <v>0</v>
      </c>
      <c r="IZ85" s="12">
        <f>IZ$4*JK85</f>
        <v>0</v>
      </c>
      <c r="JA85" s="12">
        <f>JA$4 * IF(AND(IZ$4=1,IZ$20=1), JM85, JK85)</f>
        <v>0</v>
      </c>
      <c r="JB85" s="12">
        <f>JB$4 * IF(AND(JA$4=1,IZ$20=1), JM85, JK85)</f>
        <v>0</v>
      </c>
      <c r="JC85" s="12">
        <f>JC$4 * IF(AND(JB$4=1,IZ$20=1), JM85, JK85)</f>
        <v>0</v>
      </c>
      <c r="JD85" s="12">
        <f>JD$4 * IF(AND(JC$4=1,IZ$20=1), JM85, JK85)</f>
        <v>0</v>
      </c>
      <c r="JE85" s="12">
        <f>JE$4 * IF(AND(JD$4=1,IZ$20=1), JM85, JK85)</f>
        <v>0</v>
      </c>
      <c r="JF85" s="12">
        <f>JF$4 * IF(AND(JE$4=1,IZ$20=1), JM85, JK85)</f>
        <v>0</v>
      </c>
      <c r="JG85" s="12">
        <f>JG$4 * IF(AND(JF$4=1,IZ$20=1), JM85, JK85)</f>
        <v>0</v>
      </c>
      <c r="JH85" s="12">
        <f>JH$4 * IF(AND(JG$4=1,IZ$20=1), JM85, JK85)</f>
        <v>0</v>
      </c>
      <c r="JJ85" t="s">
        <v>1304</v>
      </c>
      <c r="JK85">
        <f>_xlfn.XLOOKUP(JJ85,'KPI Impacts'!$B$2:$H$2,'KPI Impacts'!$B85:$H85)</f>
        <v>0</v>
      </c>
      <c r="JL85" s="9" t="s">
        <v>1304</v>
      </c>
      <c r="JM85">
        <f>_xlfn.XLOOKUP(JL85,'KPI Impacts'!$B$2:$H$2,'KPI Impacts'!$B85:$H85)</f>
        <v>0</v>
      </c>
      <c r="JP85" s="12">
        <f>JP$4*KA85</f>
        <v>0</v>
      </c>
      <c r="JQ85" s="12">
        <f>JQ$4 * IF(AND(JP$4=1,JP$20=1), KC85, KA85)</f>
        <v>0</v>
      </c>
      <c r="JR85" s="12">
        <f>JR$4 * IF(AND(JQ$4=1,JP$20=1), KC85, KA85)</f>
        <v>0</v>
      </c>
      <c r="JS85" s="12">
        <f>JS$4 * IF(AND(JR$4=1,JP$20=1), KC85, KA85)</f>
        <v>0</v>
      </c>
      <c r="JT85" s="12">
        <f>JT$4 * IF(AND(JS$4=1,JP$20=1), KC85, KA85)</f>
        <v>0</v>
      </c>
      <c r="JU85" s="12">
        <f>JU$4 * IF(AND(JT$4=1,JP$20=1), KC85, KA85)</f>
        <v>0</v>
      </c>
      <c r="JV85" s="12">
        <f>JV$4 * IF(AND(JU$4=1,JP$20=1), KC85, KA85)</f>
        <v>0</v>
      </c>
      <c r="JW85" s="12">
        <f>JW$4 * IF(AND(JV$4=1,JP$20=1), KC85, KA85)</f>
        <v>0</v>
      </c>
      <c r="JX85" s="12">
        <f>JX$4 * IF(AND(JW$4=1,JP$20=1), KC85, KA85)</f>
        <v>0</v>
      </c>
      <c r="JZ85" t="s">
        <v>1304</v>
      </c>
      <c r="KA85">
        <f>_xlfn.XLOOKUP(JZ85,'KPI Impacts'!$B$2:$H$2,'KPI Impacts'!$B85:$H85)</f>
        <v>0</v>
      </c>
      <c r="KB85" s="9" t="s">
        <v>1304</v>
      </c>
      <c r="KC85">
        <f>_xlfn.XLOOKUP(KB85,'KPI Impacts'!$B$2:$H$2,'KPI Impacts'!$B85:$H85)</f>
        <v>0</v>
      </c>
      <c r="KF85" s="12">
        <f>KF$4*KQ85</f>
        <v>0</v>
      </c>
      <c r="KG85" s="12">
        <f>KG$4 * IF(AND(KF$4=1,KF$20=1), KS85, KQ85)</f>
        <v>0</v>
      </c>
      <c r="KH85" s="12">
        <f>KH$4 * IF(AND(KG$4=1,KF$20=1), KS85, KQ85)</f>
        <v>0</v>
      </c>
      <c r="KI85" s="12">
        <f>KI$4 * IF(AND(KH$4=1,KF$20=1), KS85, KQ85)</f>
        <v>0</v>
      </c>
      <c r="KJ85" s="12">
        <f>KJ$4 * IF(AND(KI$4=1,KF$20=1), KS85, KQ85)</f>
        <v>0</v>
      </c>
      <c r="KK85" s="12">
        <f>KK$4 * IF(AND(KJ$4=1,KF$20=1), KS85, KQ85)</f>
        <v>0</v>
      </c>
      <c r="KL85" s="12">
        <f>KL$4 * IF(AND(KK$4=1,KF$20=1), KS85, KQ85)</f>
        <v>0</v>
      </c>
      <c r="KM85" s="12">
        <f>KM$4 * IF(AND(KL$4=1,KF$20=1), KS85, KQ85)</f>
        <v>0</v>
      </c>
      <c r="KN85" s="12">
        <f>KN$4 * IF(AND(KM$4=1,KF$20=1), KS85, KQ85)</f>
        <v>0</v>
      </c>
      <c r="KP85" t="s">
        <v>1304</v>
      </c>
      <c r="KQ85">
        <f>_xlfn.XLOOKUP(KP85,'KPI Impacts'!$B$2:$H$2,'KPI Impacts'!$B85:$H85)</f>
        <v>0</v>
      </c>
      <c r="KR85" s="9" t="s">
        <v>1304</v>
      </c>
      <c r="KS85">
        <f>_xlfn.XLOOKUP(KR85,'KPI Impacts'!$B$2:$H$2,'KPI Impacts'!$B85:$H85)</f>
        <v>0</v>
      </c>
      <c r="KV85" s="12">
        <f>KV$4*LG85</f>
        <v>0</v>
      </c>
      <c r="KW85" s="12">
        <f>KW$4 * IF(AND(KV$4=1,KV$20=1), LI85, LG85)</f>
        <v>0</v>
      </c>
      <c r="KX85" s="12">
        <f>KX$4 * IF(AND(KW$4=1,KV$20=1), LI85, LG85)</f>
        <v>0</v>
      </c>
      <c r="KY85" s="12">
        <f>KY$4 * IF(AND(KX$4=1,KV$20=1), LI85, LG85)</f>
        <v>0</v>
      </c>
      <c r="KZ85" s="12">
        <f>KZ$4 * IF(AND(KY$4=1,KV$20=1), LI85, LG85)</f>
        <v>0</v>
      </c>
      <c r="LA85" s="12">
        <f>LA$4 * IF(AND(KZ$4=1,KV$20=1), LI85, LG85)</f>
        <v>0</v>
      </c>
      <c r="LB85" s="12">
        <f>LB$4 * IF(AND(LA$4=1,KV$20=1), LI85, LG85)</f>
        <v>0</v>
      </c>
      <c r="LC85" s="12">
        <f>LC$4 * IF(AND(LB$4=1,KV$20=1), LI85, LG85)</f>
        <v>0</v>
      </c>
      <c r="LD85" s="12">
        <f>LD$4 * IF(AND(LC$4=1,KV$20=1), LI85, LG85)</f>
        <v>0</v>
      </c>
      <c r="LF85" t="s">
        <v>1304</v>
      </c>
      <c r="LG85">
        <f>_xlfn.XLOOKUP(LF85,'KPI Impacts'!$B$2:$H$2,'KPI Impacts'!$B85:$H85)</f>
        <v>0</v>
      </c>
      <c r="LH85" s="9" t="s">
        <v>1304</v>
      </c>
      <c r="LI85">
        <f>_xlfn.XLOOKUP(LH85,'KPI Impacts'!$B$2:$H$2,'KPI Impacts'!$B85:$H85)</f>
        <v>0</v>
      </c>
      <c r="LL85" s="12">
        <f>LL$4*LW85</f>
        <v>0</v>
      </c>
      <c r="LM85" s="12">
        <f>LM$4 * IF(AND(LL$4=1,LL$20=1), LY85, LW85)</f>
        <v>0</v>
      </c>
      <c r="LN85" s="12">
        <f>LN$4 * IF(AND(LM$4=1,LL$20=1), LY85, LW85)</f>
        <v>0</v>
      </c>
      <c r="LO85" s="12">
        <f>LO$4 * IF(AND(LN$4=1,LL$20=1), LY85, LW85)</f>
        <v>0</v>
      </c>
      <c r="LP85" s="12">
        <f>LP$4 * IF(AND(LO$4=1,LL$20=1), LY85, LW85)</f>
        <v>0</v>
      </c>
      <c r="LQ85" s="12">
        <f>LQ$4 * IF(AND(LP$4=1,LL$20=1), LY85, LW85)</f>
        <v>0</v>
      </c>
      <c r="LR85" s="12">
        <f>LR$4 * IF(AND(LQ$4=1,LL$20=1), LY85, LW85)</f>
        <v>0</v>
      </c>
      <c r="LS85" s="12">
        <f>LS$4 * IF(AND(LR$4=1,LL$20=1), LY85, LW85)</f>
        <v>0</v>
      </c>
      <c r="LT85" s="12">
        <f>LT$4 * IF(AND(LS$4=1,LL$20=1), LY85, LW85)</f>
        <v>0</v>
      </c>
      <c r="LV85" t="s">
        <v>1304</v>
      </c>
      <c r="LW85">
        <f>_xlfn.XLOOKUP(LV85,'KPI Impacts'!$B$2:$H$2,'KPI Impacts'!$B85:$H85)</f>
        <v>0</v>
      </c>
      <c r="LX85" s="9" t="s">
        <v>1304</v>
      </c>
      <c r="LY85">
        <f>_xlfn.XLOOKUP(LX85,'KPI Impacts'!$B$2:$H$2,'KPI Impacts'!$B85:$H85)</f>
        <v>0</v>
      </c>
      <c r="MB85" s="12">
        <f>MB$4*MM85</f>
        <v>0</v>
      </c>
      <c r="MC85" s="12">
        <f>MC$4 * IF(AND(MB$4=1,MB$20=1), MO85, MM85)</f>
        <v>0</v>
      </c>
      <c r="MD85" s="12">
        <f>MD$4 * IF(AND(MC$4=1,MB$20=1), MO85, MM85)</f>
        <v>0</v>
      </c>
      <c r="ME85" s="12">
        <f>ME$4 * IF(AND(MD$4=1,MB$20=1), MO85, MM85)</f>
        <v>0</v>
      </c>
      <c r="MF85" s="12">
        <f>MF$4 * IF(AND(ME$4=1,MB$20=1), MO85, MM85)</f>
        <v>0</v>
      </c>
      <c r="MG85" s="12">
        <f>MG$4 * IF(AND(MF$4=1,MB$20=1), MO85, MM85)</f>
        <v>0</v>
      </c>
      <c r="MH85" s="12">
        <f>MH$4 * IF(AND(MG$4=1,MB$20=1), MO85, MM85)</f>
        <v>0</v>
      </c>
      <c r="MI85" s="12">
        <f>MI$4 * IF(AND(MH$4=1,MB$20=1), MO85, MM85)</f>
        <v>0</v>
      </c>
      <c r="MJ85" s="12">
        <f>MJ$4 * IF(AND(MI$4=1,MB$20=1), MO85, MM85)</f>
        <v>0</v>
      </c>
      <c r="ML85" t="s">
        <v>1304</v>
      </c>
      <c r="MM85">
        <f>_xlfn.XLOOKUP(ML85,'KPI Impacts'!$B$2:$H$2,'KPI Impacts'!$B85:$H85)</f>
        <v>0</v>
      </c>
      <c r="MN85" s="9" t="s">
        <v>1304</v>
      </c>
      <c r="MO85">
        <f>_xlfn.XLOOKUP(MN85,'KPI Impacts'!$B$2:$H$2,'KPI Impacts'!$B85:$H85)</f>
        <v>0</v>
      </c>
      <c r="MR85" s="12">
        <f>MR$4*NC85</f>
        <v>0</v>
      </c>
      <c r="MS85" s="12">
        <f>MS$4 * IF(AND(MR$4=1,MR$20=1), NE85, NC85)</f>
        <v>0</v>
      </c>
      <c r="MT85" s="12">
        <f>MT$4 * IF(AND(MS$4=1,MR$20=1), NE85, NC85)</f>
        <v>0</v>
      </c>
      <c r="MU85" s="12">
        <f>MU$4 * IF(AND(MT$4=1,MR$20=1), NE85, NC85)</f>
        <v>0</v>
      </c>
      <c r="MV85" s="12">
        <f>MV$4 * IF(AND(MU$4=1,MR$20=1), NE85, NC85)</f>
        <v>0</v>
      </c>
      <c r="MW85" s="12">
        <f>MW$4 * IF(AND(MV$4=1,MR$20=1), NE85, NC85)</f>
        <v>0</v>
      </c>
      <c r="MX85" s="12">
        <f>MX$4 * IF(AND(MW$4=1,MR$20=1), NE85, NC85)</f>
        <v>0</v>
      </c>
      <c r="MY85" s="12">
        <f>MY$4 * IF(AND(MX$4=1,MR$20=1), NE85, NC85)</f>
        <v>0</v>
      </c>
      <c r="MZ85" s="12">
        <f>MZ$4 * IF(AND(MY$4=1,MR$20=1), NE85, NC85)</f>
        <v>0</v>
      </c>
      <c r="NB85" t="s">
        <v>1304</v>
      </c>
      <c r="NC85">
        <f>_xlfn.XLOOKUP(NB85,'KPI Impacts'!$B$2:$H$2,'KPI Impacts'!$B85:$H85)</f>
        <v>0</v>
      </c>
      <c r="ND85" s="9" t="s">
        <v>1304</v>
      </c>
      <c r="NE85">
        <f>_xlfn.XLOOKUP(ND85,'KPI Impacts'!$B$2:$H$2,'KPI Impacts'!$B85:$H85)</f>
        <v>0</v>
      </c>
      <c r="NH85" s="12">
        <f>NH$4*NS85</f>
        <v>0</v>
      </c>
      <c r="NI85" s="12">
        <f>NI$4 * IF(AND(NH$4=1,NH$20=1), NU85, NS85)</f>
        <v>0</v>
      </c>
      <c r="NJ85" s="12">
        <f>NJ$4 * IF(AND(NI$4=1,NH$20=1), NU85, NS85)</f>
        <v>0</v>
      </c>
      <c r="NK85" s="12">
        <f>NK$4 * IF(AND(NJ$4=1,NH$20=1), NU85, NS85)</f>
        <v>0</v>
      </c>
      <c r="NL85" s="12">
        <f>NL$4 * IF(AND(NK$4=1,NH$20=1), NU85, NS85)</f>
        <v>0</v>
      </c>
      <c r="NM85" s="12">
        <f>NM$4 * IF(AND(NL$4=1,NH$20=1), NU85, NS85)</f>
        <v>0</v>
      </c>
      <c r="NN85" s="12">
        <f>NN$4 * IF(AND(NM$4=1,NH$20=1), NU85, NS85)</f>
        <v>0</v>
      </c>
      <c r="NO85" s="12">
        <f>NO$4 * IF(AND(NN$4=1,NH$20=1), NU85, NS85)</f>
        <v>0</v>
      </c>
      <c r="NP85" s="12">
        <f>NP$4 * IF(AND(NO$4=1,NH$20=1), NU85, NS85)</f>
        <v>0</v>
      </c>
      <c r="NR85" t="s">
        <v>1304</v>
      </c>
      <c r="NS85">
        <f>_xlfn.XLOOKUP(NR85,'KPI Impacts'!$B$2:$H$2,'KPI Impacts'!$B85:$H85)</f>
        <v>0</v>
      </c>
      <c r="NT85" s="9" t="s">
        <v>1304</v>
      </c>
      <c r="NU85">
        <f>_xlfn.XLOOKUP(NT85,'KPI Impacts'!$B$2:$H$2,'KPI Impacts'!$B85:$H85)</f>
        <v>0</v>
      </c>
      <c r="NX85" s="12">
        <f>NX$4*OI85</f>
        <v>0</v>
      </c>
      <c r="NY85" s="12">
        <f>NY$4 * IF(AND(NX$4=1,NX$20=1), OK85, OI85)</f>
        <v>0</v>
      </c>
      <c r="NZ85" s="12">
        <f>NZ$4 * IF(AND(NY$4=1,NX$20=1), OK85, OI85)</f>
        <v>0</v>
      </c>
      <c r="OA85" s="12">
        <f>OA$4 * IF(AND(NZ$4=1,NX$20=1), OK85, OI85)</f>
        <v>0</v>
      </c>
      <c r="OB85" s="12">
        <f>OB$4 * IF(AND(OA$4=1,NX$20=1), OK85, OI85)</f>
        <v>0</v>
      </c>
      <c r="OC85" s="12">
        <f>OC$4 * IF(AND(OB$4=1,NX$20=1), OK85, OI85)</f>
        <v>0</v>
      </c>
      <c r="OD85" s="12">
        <f>OD$4 * IF(AND(OC$4=1,NX$20=1), OK85, OI85)</f>
        <v>0</v>
      </c>
      <c r="OE85" s="12">
        <f>OE$4 * IF(AND(OD$4=1,NX$20=1), OK85, OI85)</f>
        <v>0</v>
      </c>
      <c r="OF85" s="12">
        <f>OF$4 * IF(AND(OE$4=1,NX$20=1), OK85, OI85)</f>
        <v>0</v>
      </c>
      <c r="OH85" t="s">
        <v>1304</v>
      </c>
      <c r="OI85">
        <f>_xlfn.XLOOKUP(OH85,'KPI Impacts'!$B$2:$H$2,'KPI Impacts'!$B85:$H85)</f>
        <v>0</v>
      </c>
      <c r="OJ85" s="9" t="s">
        <v>1304</v>
      </c>
      <c r="OK85">
        <f>_xlfn.XLOOKUP(OJ85,'KPI Impacts'!$B$2:$H$2,'KPI Impacts'!$B85:$H85)</f>
        <v>0</v>
      </c>
    </row>
    <row r="86" spans="1:401" x14ac:dyDescent="0.2">
      <c r="A86" s="9" t="s">
        <v>1316</v>
      </c>
      <c r="B86" s="12">
        <f t="shared" si="511"/>
        <v>0</v>
      </c>
      <c r="C86" s="12">
        <f t="shared" si="511"/>
        <v>0</v>
      </c>
      <c r="D86" s="12">
        <f t="shared" si="511"/>
        <v>0</v>
      </c>
      <c r="E86" s="12">
        <f t="shared" si="511"/>
        <v>0</v>
      </c>
      <c r="F86" s="12">
        <f t="shared" si="511"/>
        <v>0</v>
      </c>
      <c r="G86" s="12">
        <f t="shared" si="511"/>
        <v>0</v>
      </c>
      <c r="H86" s="12">
        <f t="shared" si="511"/>
        <v>0</v>
      </c>
      <c r="I86" s="12">
        <f t="shared" si="511"/>
        <v>0</v>
      </c>
      <c r="J86" s="12">
        <f t="shared" si="511"/>
        <v>0</v>
      </c>
      <c r="O86" s="17"/>
      <c r="P86" s="12" cm="1">
        <f t="array" ref="P86">_xlfn.SWITCH(P$4, 0,0, 1, AA86,2,AC86,3,AE86,0)</f>
        <v>0</v>
      </c>
      <c r="Q86" s="12" cm="1">
        <f t="array" ref="Q86">_xlfn.SWITCH(Q$4, 0,0, 1, AA86,2,AC86,3,AE86,0)+P86</f>
        <v>0</v>
      </c>
      <c r="R86" s="12" cm="1">
        <f t="array" ref="R86">_xlfn.SWITCH(R$4, 0,0, 1, AA86,2,AC86,3,AE86,0)+Q86</f>
        <v>0</v>
      </c>
      <c r="S86" s="12" cm="1">
        <f t="array" ref="S86">_xlfn.SWITCH(S$4, 0,0, 1, AA86,2,AC86,3,AE86,0)+R86</f>
        <v>0</v>
      </c>
      <c r="T86" s="12" cm="1">
        <f t="array" ref="T86">_xlfn.SWITCH(T$4, 0,0, 1, AA86,2,AC86,3,AE86,0)+S86</f>
        <v>0</v>
      </c>
      <c r="U86" s="12" cm="1">
        <f t="array" ref="U86">_xlfn.SWITCH(U$4, 0,0, 1, AA86,2,AC86,3,AE86,0)+T86</f>
        <v>0</v>
      </c>
      <c r="V86" s="12" cm="1">
        <f t="array" ref="V86">_xlfn.SWITCH(V$4, 0,0, 1, AA86,2,AC86,3,AE86,0)+U86</f>
        <v>0</v>
      </c>
      <c r="W86" s="12" cm="1">
        <f t="array" ref="W86">_xlfn.SWITCH(W$4, 0,0, 1, AA86,2,AC86,3,AE86,0)+V86</f>
        <v>0</v>
      </c>
      <c r="X86" s="12" cm="1">
        <f t="array" ref="X86">_xlfn.SWITCH(X$4, 0,0, 1, AA86,2,AC86,3,AE86,0)+W86</f>
        <v>0</v>
      </c>
      <c r="Z86" t="s">
        <v>1308</v>
      </c>
      <c r="AA86">
        <f>_xlfn.XLOOKUP(Z86,'KPI Impacts'!$K$2:$Q$2,'KPI Impacts'!$K86:$Q86)</f>
        <v>0.44999999999999996</v>
      </c>
      <c r="AB86" t="s">
        <v>1310</v>
      </c>
      <c r="AC86">
        <f>_xlfn.XLOOKUP(AB86,'KPI Impacts'!$K$2:$Q$2,'KPI Impacts'!$K86:$Q86)</f>
        <v>0.75</v>
      </c>
      <c r="AD86" t="s">
        <v>1309</v>
      </c>
      <c r="AE86">
        <f>_xlfn.XLOOKUP(AD86,'KPI Impacts'!$K$2:$Q$2,'KPI Impacts'!$K86:$Q86)</f>
        <v>0.89999999999999991</v>
      </c>
      <c r="AG86" s="17"/>
      <c r="AH86" s="12" cm="1">
        <f t="array" ref="AH86">_xlfn.SWITCH(AH$4, 0,0, 1, AS86,2,AU86,3,AW86,0)</f>
        <v>0</v>
      </c>
      <c r="AI86" s="12" cm="1">
        <f t="array" ref="AI86">_xlfn.SWITCH(AI$4, 0,0, 1, AS86,2,AU86,3,AW86,0)+AH86</f>
        <v>0</v>
      </c>
      <c r="AJ86" s="12" cm="1">
        <f t="array" ref="AJ86">_xlfn.SWITCH(AJ$4, 0,0, 1, AS86,2,AU86,3,AW86,0)+AI86</f>
        <v>0</v>
      </c>
      <c r="AK86" s="12" cm="1">
        <f t="array" ref="AK86">_xlfn.SWITCH(AK$4, 0,0, 1, AS86,2,AU86,3,AW86,0)+AJ86</f>
        <v>0</v>
      </c>
      <c r="AL86" s="12" cm="1">
        <f t="array" ref="AL86">_xlfn.SWITCH(AL$4, 0,0, 1, AS86,2,AU86,3,AW86,0)+AK86</f>
        <v>0</v>
      </c>
      <c r="AM86" s="12" cm="1">
        <f t="array" ref="AM86">_xlfn.SWITCH(AM$4, 0,0, 1, AS86,2,AU86,3,AW86,0)+AL86</f>
        <v>0</v>
      </c>
      <c r="AN86" s="12" cm="1">
        <f t="array" ref="AN86">_xlfn.SWITCH(AN$4, 0,0, 1, AS86,2,AU86,3,AW86,0)+AM86</f>
        <v>0</v>
      </c>
      <c r="AO86" s="12" cm="1">
        <f t="array" ref="AO86">_xlfn.SWITCH(AO$4, 0,0, 1, AS86,2,AU86,3,AW86,0)+AN86</f>
        <v>0</v>
      </c>
      <c r="AP86" s="12" cm="1">
        <f t="array" ref="AP86">_xlfn.SWITCH(AP$4, 0,0, 1, AS86,2,AU86,3,AW86,0)+AO86</f>
        <v>0</v>
      </c>
      <c r="AR86" t="s">
        <v>1308</v>
      </c>
      <c r="AS86">
        <f>_xlfn.XLOOKUP(AR86,'KPI Impacts'!$K$2:$Q$2,'KPI Impacts'!$K86:$Q86)</f>
        <v>0.44999999999999996</v>
      </c>
      <c r="AT86" t="s">
        <v>1310</v>
      </c>
      <c r="AU86">
        <f>_xlfn.XLOOKUP(AT86,'KPI Impacts'!$K$2:$Q$2,'KPI Impacts'!$K86:$Q86)</f>
        <v>0.75</v>
      </c>
      <c r="AV86" t="s">
        <v>1309</v>
      </c>
      <c r="AW86">
        <f>_xlfn.XLOOKUP(AV86,'KPI Impacts'!$K$2:$Q$2,'KPI Impacts'!$K86:$Q86)</f>
        <v>0.89999999999999991</v>
      </c>
      <c r="AY86" s="17"/>
      <c r="AZ86" s="12">
        <f>AZ$4*BK86</f>
        <v>0</v>
      </c>
      <c r="BA86" s="12">
        <f>BA$4 * IF(AND(AZ$4=1,AZ$20=1), BM86, BK86)</f>
        <v>0</v>
      </c>
      <c r="BB86" s="12">
        <f>BB$4 * IF(AND(BA$4=1,AZ$20=1), BM86, BK86)</f>
        <v>0</v>
      </c>
      <c r="BC86" s="12">
        <f>BC$4 * IF(AND(BB$4=1,AZ$20=1), BM86, BK86)</f>
        <v>0</v>
      </c>
      <c r="BD86" s="12">
        <f>BD$4 * IF(AND(BC$4=1,AZ$20=1), BM86, BK86)</f>
        <v>0</v>
      </c>
      <c r="BE86" s="12">
        <f>BE$4 * IF(AND(BD$4=1,AZ$20=1), BM86, BK86)</f>
        <v>0</v>
      </c>
      <c r="BF86" s="12">
        <f>BF$4 * IF(AND(BE$4=1,AZ$20=1), BM86, BK86)</f>
        <v>0</v>
      </c>
      <c r="BG86" s="12">
        <f>BG$4 * IF(AND(BF$4=1,AZ$20=1), BM86, BK86)</f>
        <v>0</v>
      </c>
      <c r="BH86" s="12">
        <f>BH$4 * IF(AND(BG$4=1,AZ$20=1), BM86, BK86)</f>
        <v>0</v>
      </c>
      <c r="BJ86" s="30" t="s">
        <v>1308</v>
      </c>
      <c r="BK86">
        <f>_xlfn.XLOOKUP(BJ86,'KPI Impacts'!$B$2:$H$2,'KPI Impacts'!$B86:$H86)</f>
        <v>2</v>
      </c>
      <c r="BL86" s="35" t="s">
        <v>1304</v>
      </c>
      <c r="BM86">
        <f>_xlfn.XLOOKUP(BL86,'KPI Impacts'!$B$2:$H$2,'KPI Impacts'!$B86:$H86)</f>
        <v>0</v>
      </c>
      <c r="BO86" s="17"/>
      <c r="BP86" s="12">
        <f>BP$4*CA86</f>
        <v>0</v>
      </c>
      <c r="BQ86" s="12">
        <f>BQ$4 * IF(AND(BP$4=1,BP$20=1), CC86, CA86)</f>
        <v>0</v>
      </c>
      <c r="BR86" s="12">
        <f>BR$4 * IF(AND(BQ$4=1,BP$20=1), CC86, CA86)</f>
        <v>0</v>
      </c>
      <c r="BS86" s="12">
        <f>BS$4 * IF(AND(BR$4=1,BP$20=1), CC86, CA86)</f>
        <v>0</v>
      </c>
      <c r="BT86" s="12">
        <f>BT$4 * IF(AND(BS$4=1,BP$20=1), CC86, CA86)</f>
        <v>0</v>
      </c>
      <c r="BU86" s="12">
        <f>BU$4 * IF(AND(BT$4=1,BP$20=1), CC86, CA86)</f>
        <v>0</v>
      </c>
      <c r="BV86" s="12">
        <f>BV$4 * IF(AND(BU$4=1,BP$20=1), CC86, CA86)</f>
        <v>0</v>
      </c>
      <c r="BW86" s="12">
        <f>BW$4 * IF(AND(BV$4=1,BP$20=1), CC86, CA86)</f>
        <v>0</v>
      </c>
      <c r="BX86" s="12">
        <f>BX$4 * IF(AND(BW$4=1,BP$20=1), CC86, CA86)</f>
        <v>0</v>
      </c>
      <c r="BZ86" s="30" t="s">
        <v>1308</v>
      </c>
      <c r="CA86">
        <f>_xlfn.XLOOKUP(BZ86,'KPI Impacts'!$B$2:$H$2,'KPI Impacts'!$B86:$H86)</f>
        <v>2</v>
      </c>
      <c r="CB86" s="35" t="s">
        <v>1304</v>
      </c>
      <c r="CC86">
        <f>_xlfn.XLOOKUP(CB86,'KPI Impacts'!$B$2:$H$2,'KPI Impacts'!$B86:$H86)</f>
        <v>0</v>
      </c>
      <c r="CE86" s="17"/>
      <c r="CF86" s="12">
        <f>CF$4*CQ86</f>
        <v>0</v>
      </c>
      <c r="CG86" s="12">
        <f>CG$4 * IF(AND(CF$4=1,CF$20=1), CS86, CQ86)</f>
        <v>0</v>
      </c>
      <c r="CH86" s="12">
        <f>CH$4 * IF(AND(CG$4=1,CF$20=1), CS86, CQ86)</f>
        <v>0</v>
      </c>
      <c r="CI86" s="12">
        <f>CI$4 * IF(AND(CH$4=1,CF$20=1), CS86, CQ86)</f>
        <v>0</v>
      </c>
      <c r="CJ86" s="12">
        <f>CJ$4 * IF(AND(CI$4=1,CF$20=1), CS86, CQ86)</f>
        <v>0</v>
      </c>
      <c r="CK86" s="12">
        <f>CK$4 * IF(AND(CJ$4=1,CF$20=1), CS86, CQ86)</f>
        <v>0</v>
      </c>
      <c r="CL86" s="12">
        <f>CL$4 * IF(AND(CK$4=1,CF$20=1), CS86, CQ86)</f>
        <v>0</v>
      </c>
      <c r="CM86" s="12">
        <f>CM$4 * IF(AND(CL$4=1,CF$20=1), CS86, CQ86)</f>
        <v>0</v>
      </c>
      <c r="CN86" s="12">
        <f>CN$4 * IF(AND(CM$4=1,CF$20=1), CS86, CQ86)</f>
        <v>0</v>
      </c>
      <c r="CP86" s="29" t="s">
        <v>1307</v>
      </c>
      <c r="CQ86">
        <f>_xlfn.XLOOKUP(CP86,'KPI Impacts'!$B$2:$H$2,'KPI Impacts'!$B86:$H86)</f>
        <v>-3.2</v>
      </c>
      <c r="CR86" s="35" t="s">
        <v>1304</v>
      </c>
      <c r="CS86">
        <f>_xlfn.XLOOKUP(CR86,'KPI Impacts'!$B$2:$H$2,'KPI Impacts'!$B86:$H86)</f>
        <v>0</v>
      </c>
      <c r="CU86" s="17"/>
      <c r="CV86" s="12">
        <f>CV$4*DG86</f>
        <v>0</v>
      </c>
      <c r="CW86" s="12">
        <f>CW$4 * IF(AND(CV$4=1,CV$20=1), DI86, DG86)</f>
        <v>0</v>
      </c>
      <c r="CX86" s="12">
        <f>CX$4 * IF(AND(CW$4=1,CV$20=1), DI86, DG86)</f>
        <v>0</v>
      </c>
      <c r="CY86" s="12">
        <f>CY$4 * IF(AND(CX$4=1,CV$20=1), DI86, DG86)</f>
        <v>0</v>
      </c>
      <c r="CZ86" s="12">
        <f>CZ$4 * IF(AND(CY$4=1,CV$20=1), DI86, DG86)</f>
        <v>0</v>
      </c>
      <c r="DA86" s="12">
        <f>DA$4 * IF(AND(CZ$4=1,CV$20=1), DI86, DG86)</f>
        <v>0</v>
      </c>
      <c r="DB86" s="12">
        <f>DB$4 * IF(AND(DA$4=1,CV$20=1), DI86, DG86)</f>
        <v>0</v>
      </c>
      <c r="DC86" s="12">
        <f>DC$4 * IF(AND(DB$4=1,CV$20=1), DI86, DG86)</f>
        <v>0</v>
      </c>
      <c r="DD86" s="12">
        <f>DD$4 * IF(AND(DC$4=1,CV$20=1), DI86, DG86)</f>
        <v>0</v>
      </c>
      <c r="DF86" s="30" t="s">
        <v>1310</v>
      </c>
      <c r="DG86">
        <f>_xlfn.XLOOKUP(DF86,'KPI Impacts'!$B$2:$H$2,'KPI Impacts'!$B86:$H86)</f>
        <v>4</v>
      </c>
      <c r="DH86" s="35" t="s">
        <v>1304</v>
      </c>
      <c r="DI86">
        <f>_xlfn.XLOOKUP(DH86,'KPI Impacts'!$B$2:$H$2,'KPI Impacts'!$B86:$H86)</f>
        <v>0</v>
      </c>
      <c r="DK86" s="17"/>
      <c r="DL86" s="12">
        <f>DL$4*DW86</f>
        <v>0</v>
      </c>
      <c r="DM86" s="12">
        <f>DM$4 * IF(AND(DL$4=1,DL$20=1), DY86, DW86)</f>
        <v>0</v>
      </c>
      <c r="DN86" s="12">
        <f>DN$4 * IF(AND(DM$4=1,DL$20=1), DY86, DW86)</f>
        <v>0</v>
      </c>
      <c r="DO86" s="12">
        <f>DO$4 * IF(AND(DN$4=1,DL$20=1), DY86, DW86)</f>
        <v>0</v>
      </c>
      <c r="DP86" s="12">
        <f>DP$4 * IF(AND(DO$4=1,DL$20=1), DY86, DW86)</f>
        <v>0</v>
      </c>
      <c r="DQ86" s="12">
        <f>DQ$4 * IF(AND(DP$4=1,DL$20=1), DY86, DW86)</f>
        <v>0</v>
      </c>
      <c r="DR86" s="12">
        <f>DR$4 * IF(AND(DQ$4=1,DL$20=1), DY86, DW86)</f>
        <v>0</v>
      </c>
      <c r="DS86" s="12">
        <f>DS$4 * IF(AND(DR$4=1,DL$20=1), DY86, DW86)</f>
        <v>0</v>
      </c>
      <c r="DT86" s="12">
        <f>DT$4 * IF(AND(DS$4=1,DL$20=1), DY86, DW86)</f>
        <v>0</v>
      </c>
      <c r="DV86" s="16" t="s">
        <v>1304</v>
      </c>
      <c r="DW86">
        <f>_xlfn.XLOOKUP(DV86,'KPI Impacts'!$B$2:$H$2,'KPI Impacts'!$B86:$H86)</f>
        <v>0</v>
      </c>
      <c r="DX86" s="35" t="s">
        <v>1304</v>
      </c>
      <c r="DY86">
        <f>_xlfn.XLOOKUP(DX86,'KPI Impacts'!$B$2:$H$2,'KPI Impacts'!$B86:$H86)</f>
        <v>0</v>
      </c>
      <c r="EA86" s="17"/>
      <c r="EB86" s="12">
        <f>EB$4*EM86</f>
        <v>0</v>
      </c>
      <c r="EC86" s="12">
        <f>EC$4 * IF(AND(EB$4=1,EB$20=1), EO86, EM86)</f>
        <v>0</v>
      </c>
      <c r="ED86" s="12">
        <f>ED$4 * IF(AND(EC$4=1,EB$20=1), EO86, EM86)</f>
        <v>0</v>
      </c>
      <c r="EE86" s="12">
        <f>EE$4 * IF(AND(ED$4=1,EB$20=1), EO86, EM86)</f>
        <v>0</v>
      </c>
      <c r="EF86" s="12">
        <f>EF$4 * IF(AND(EE$4=1,EB$20=1), EO86, EM86)</f>
        <v>0</v>
      </c>
      <c r="EG86" s="12">
        <f>EG$4 * IF(AND(EF$4=1,EB$20=1), EO86, EM86)</f>
        <v>0</v>
      </c>
      <c r="EH86" s="12">
        <f>EH$4 * IF(AND(EG$4=1,EB$20=1), EO86, EM86)</f>
        <v>0</v>
      </c>
      <c r="EI86" s="12">
        <f>EI$4 * IF(AND(EH$4=1,EB$20=1), EO86, EM86)</f>
        <v>0</v>
      </c>
      <c r="EJ86" s="12">
        <f>EJ$4 * IF(AND(EI$4=1,EB$20=1), EO86, EM86)</f>
        <v>0</v>
      </c>
      <c r="EL86" s="16" t="s">
        <v>1304</v>
      </c>
      <c r="EM86">
        <f>_xlfn.XLOOKUP(EL86,'KPI Impacts'!$B$2:$H$2,'KPI Impacts'!$B86:$H86)</f>
        <v>0</v>
      </c>
      <c r="EN86" s="35" t="s">
        <v>1304</v>
      </c>
      <c r="EO86">
        <f>_xlfn.XLOOKUP(EN86,'KPI Impacts'!$B$2:$H$2,'KPI Impacts'!$B86:$H86)</f>
        <v>0</v>
      </c>
      <c r="EQ86" s="17"/>
      <c r="ER86" s="12">
        <f>ER$4*FC86</f>
        <v>0</v>
      </c>
      <c r="ES86" s="12">
        <f>ES$4 * IF(AND(ER$4=1,ER$20=1), FE86, FC86)</f>
        <v>0</v>
      </c>
      <c r="ET86" s="12">
        <f>ET$4 * IF(AND(ES$4=1,ER$20=1), FE86, FC86)</f>
        <v>0</v>
      </c>
      <c r="EU86" s="12">
        <f>EU$4 * IF(AND(ET$4=1,ER$20=1), FE86, FC86)</f>
        <v>0</v>
      </c>
      <c r="EV86" s="12">
        <f>EV$4 * IF(AND(EU$4=1,ER$20=1), FE86, FC86)</f>
        <v>0</v>
      </c>
      <c r="EW86" s="12">
        <f>EW$4 * IF(AND(EV$4=1,ER$20=1), FE86, FC86)</f>
        <v>0</v>
      </c>
      <c r="EX86" s="12">
        <f>EX$4 * IF(AND(EW$4=1,ER$20=1), FE86, FC86)</f>
        <v>0</v>
      </c>
      <c r="EY86" s="12">
        <f>EY$4 * IF(AND(EX$4=1,ER$20=1), FE86, FC86)</f>
        <v>0</v>
      </c>
      <c r="EZ86" s="12">
        <f>EZ$4 * IF(AND(EY$4=1,ER$20=1), FE86, FC86)</f>
        <v>0</v>
      </c>
      <c r="FB86" s="16" t="s">
        <v>1304</v>
      </c>
      <c r="FC86">
        <f>_xlfn.XLOOKUP(FB86,'KPI Impacts'!$B$2:$H$2,'KPI Impacts'!$B86:$H86)</f>
        <v>0</v>
      </c>
      <c r="FD86" s="35" t="s">
        <v>1304</v>
      </c>
      <c r="FE86">
        <f>_xlfn.XLOOKUP(FD86,'KPI Impacts'!$B$2:$H$2,'KPI Impacts'!$B86:$H86)</f>
        <v>0</v>
      </c>
      <c r="FG86" s="17"/>
      <c r="FH86" s="12">
        <f>FH$4*FS86</f>
        <v>0</v>
      </c>
      <c r="FI86" s="12">
        <f>FI$4 * IF(AND(FH$4=1,FH$20=1), FU86, FS86)</f>
        <v>0</v>
      </c>
      <c r="FJ86" s="12">
        <f>FJ$4 * IF(AND(FI$4=1,FH$20=1), FU86, FS86)</f>
        <v>0</v>
      </c>
      <c r="FK86" s="12">
        <f>FK$4 * IF(AND(FJ$4=1,FH$20=1), FU86, FS86)</f>
        <v>0</v>
      </c>
      <c r="FL86" s="12">
        <f>FL$4 * IF(AND(FK$4=1,FH$20=1), FU86, FS86)</f>
        <v>0</v>
      </c>
      <c r="FM86" s="12">
        <f>FM$4 * IF(AND(FL$4=1,FH$20=1), FU86, FS86)</f>
        <v>0</v>
      </c>
      <c r="FN86" s="12">
        <f>FN$4 * IF(AND(FM$4=1,FH$20=1), FU86, FS86)</f>
        <v>0</v>
      </c>
      <c r="FO86" s="12">
        <f>FO$4 * IF(AND(FN$4=1,FH$20=1), FU86, FS86)</f>
        <v>0</v>
      </c>
      <c r="FP86" s="12">
        <f>FP$4 * IF(AND(FO$4=1,FH$20=1), FU86, FS86)</f>
        <v>0</v>
      </c>
      <c r="FR86" s="16" t="s">
        <v>1304</v>
      </c>
      <c r="FS86">
        <f>_xlfn.XLOOKUP(FR86,'KPI Impacts'!$B$2:$H$2,'KPI Impacts'!$B86:$H86)</f>
        <v>0</v>
      </c>
      <c r="FT86" s="35" t="s">
        <v>1304</v>
      </c>
      <c r="FU86">
        <f>_xlfn.XLOOKUP(FT86,'KPI Impacts'!$B$2:$H$2,'KPI Impacts'!$B86:$H86)</f>
        <v>0</v>
      </c>
      <c r="FW86" s="17"/>
      <c r="FX86" s="12">
        <f>FX$4*GI86</f>
        <v>0</v>
      </c>
      <c r="FY86" s="12">
        <f>FY$4 * IF(AND(FX$4=1,FX$20=1), GK86, GI86)</f>
        <v>0</v>
      </c>
      <c r="FZ86" s="12">
        <f>FZ$4 * IF(AND(FY$4=1,FX$20=1), GK86, GI86)</f>
        <v>0</v>
      </c>
      <c r="GA86" s="12">
        <f>GA$4 * IF(AND(FZ$4=1,FX$20=1), GK86, GI86)</f>
        <v>0</v>
      </c>
      <c r="GB86" s="12">
        <f>GB$4 * IF(AND(GA$4=1,FX$20=1), GK86, GI86)</f>
        <v>0</v>
      </c>
      <c r="GC86" s="12">
        <f>GC$4 * IF(AND(GB$4=1,FX$20=1), GK86, GI86)</f>
        <v>0</v>
      </c>
      <c r="GD86" s="12">
        <f>GD$4 * IF(AND(GC$4=1,FX$20=1), GK86, GI86)</f>
        <v>0</v>
      </c>
      <c r="GE86" s="12">
        <f>GE$4 * IF(AND(GD$4=1,FX$20=1), GK86, GI86)</f>
        <v>0</v>
      </c>
      <c r="GF86" s="12">
        <f>GF$4 * IF(AND(GE$4=1,FX$20=1), GK86, GI86)</f>
        <v>0</v>
      </c>
      <c r="GH86" s="30" t="s">
        <v>1310</v>
      </c>
      <c r="GI86">
        <f>_xlfn.XLOOKUP(GH86,'KPI Impacts'!$B$2:$H$2,'KPI Impacts'!$B86:$H86)</f>
        <v>4</v>
      </c>
      <c r="GJ86" s="35" t="s">
        <v>1304</v>
      </c>
      <c r="GK86">
        <f>_xlfn.XLOOKUP(GJ86,'KPI Impacts'!$B$2:$H$2,'KPI Impacts'!$B86:$H86)</f>
        <v>0</v>
      </c>
      <c r="GN86" s="12">
        <f>GN$4*GY86</f>
        <v>0</v>
      </c>
      <c r="GO86" s="12">
        <f>GO$4 * IF(AND(GN$4=1,GN$20=1), HA86, GY86)</f>
        <v>0</v>
      </c>
      <c r="GP86" s="12">
        <f>GP$4 * IF(AND(GO$4=1,GN$20=1), HA86, GY86)</f>
        <v>0</v>
      </c>
      <c r="GQ86" s="12">
        <f>GQ$4 * IF(AND(GP$4=1,GN$20=1), HA86, GY86)</f>
        <v>0</v>
      </c>
      <c r="GR86" s="12">
        <f>GR$4 * IF(AND(GQ$4=1,GN$20=1), HA86, GY86)</f>
        <v>0</v>
      </c>
      <c r="GS86" s="12">
        <f>GS$4 * IF(AND(GR$4=1,GN$20=1), HA86, GY86)</f>
        <v>0</v>
      </c>
      <c r="GT86" s="12">
        <f>GT$4 * IF(AND(GS$4=1,GN$20=1), HA86, GY86)</f>
        <v>0</v>
      </c>
      <c r="GU86" s="12">
        <f>GU$4 * IF(AND(GT$4=1,GN$20=1), HA86, GY86)</f>
        <v>0</v>
      </c>
      <c r="GV86" s="12">
        <f>GV$4 * IF(AND(GU$4=1,GN$20=1), HA86, GY86)</f>
        <v>0</v>
      </c>
      <c r="GX86" s="16" t="s">
        <v>1304</v>
      </c>
      <c r="GY86">
        <f>_xlfn.XLOOKUP(GX86,'KPI Impacts'!$B$2:$H$2,'KPI Impacts'!$B86:$H86)</f>
        <v>0</v>
      </c>
      <c r="GZ86" s="35" t="s">
        <v>1304</v>
      </c>
      <c r="HA86">
        <f>_xlfn.XLOOKUP(GZ86,'KPI Impacts'!$B$2:$H$2,'KPI Impacts'!$B86:$H86)</f>
        <v>0</v>
      </c>
      <c r="HD86" s="12">
        <f>HD$4*HO86</f>
        <v>0</v>
      </c>
      <c r="HE86" s="12">
        <f>HE$4 * IF(AND(HD$4=1,HD$20=1), HQ86, HO86)</f>
        <v>0</v>
      </c>
      <c r="HF86" s="12">
        <f>HF$4 * IF(AND(HE$4=1,HD$20=1), HQ86, HO86)</f>
        <v>0</v>
      </c>
      <c r="HG86" s="12">
        <f>HG$4 * IF(AND(HF$4=1,HD$20=1), HQ86, HO86)</f>
        <v>0</v>
      </c>
      <c r="HH86" s="12">
        <f>HH$4 * IF(AND(HG$4=1,HD$20=1), HQ86, HO86)</f>
        <v>0</v>
      </c>
      <c r="HI86" s="12">
        <f>HI$4 * IF(AND(HH$4=1,HD$20=1), HQ86, HO86)</f>
        <v>0</v>
      </c>
      <c r="HJ86" s="12">
        <f>HJ$4 * IF(AND(HI$4=1,HD$20=1), HQ86, HO86)</f>
        <v>0</v>
      </c>
      <c r="HK86" s="12">
        <f>HK$4 * IF(AND(HJ$4=1,HD$20=1), HQ86, HO86)</f>
        <v>0</v>
      </c>
      <c r="HL86" s="12">
        <f>HL$4 * IF(AND(HK$4=1,HD$20=1), HQ86, HO86)</f>
        <v>0</v>
      </c>
      <c r="HN86" s="30" t="s">
        <v>1309</v>
      </c>
      <c r="HO86">
        <f>_xlfn.XLOOKUP(HN86,'KPI Impacts'!$B$2:$H$2,'KPI Impacts'!$B86:$H86)</f>
        <v>6</v>
      </c>
      <c r="HP86" s="35" t="s">
        <v>1304</v>
      </c>
      <c r="HQ86">
        <f>_xlfn.XLOOKUP(HP86,'KPI Impacts'!$B$2:$H$2,'KPI Impacts'!$B86:$H86)</f>
        <v>0</v>
      </c>
      <c r="HT86" s="12">
        <f>HT$4*IE86</f>
        <v>0</v>
      </c>
      <c r="HU86" s="12">
        <f>HU$4 * IF(AND(HT$4=1,HT$20=1), IG86, IE86)</f>
        <v>0</v>
      </c>
      <c r="HV86" s="12">
        <f>HV$4 * IF(AND(HU$4=1,HT$20=1), IG86, IE86)</f>
        <v>0</v>
      </c>
      <c r="HW86" s="12">
        <f>HW$4 * IF(AND(HV$4=1,HT$20=1), IG86, IE86)</f>
        <v>0</v>
      </c>
      <c r="HX86" s="12">
        <f>HX$4 * IF(AND(HW$4=1,HT$20=1), IG86, IE86)</f>
        <v>0</v>
      </c>
      <c r="HY86" s="12">
        <f>HY$4 * IF(AND(HX$4=1,HT$20=1), IG86, IE86)</f>
        <v>0</v>
      </c>
      <c r="HZ86" s="12">
        <f>HZ$4 * IF(AND(HY$4=1,HT$20=1), IG86, IE86)</f>
        <v>0</v>
      </c>
      <c r="IA86" s="12">
        <f>IA$4 * IF(AND(HZ$4=1,HT$20=1), IG86, IE86)</f>
        <v>0</v>
      </c>
      <c r="IB86" s="12">
        <f>IB$4 * IF(AND(IA$4=1,HT$20=1), IG86, IE86)</f>
        <v>0</v>
      </c>
      <c r="ID86" s="16" t="s">
        <v>1304</v>
      </c>
      <c r="IE86">
        <f>_xlfn.XLOOKUP(ID86,'KPI Impacts'!$B$2:$H$2,'KPI Impacts'!$B86:$H86)</f>
        <v>0</v>
      </c>
      <c r="IF86" s="9" t="s">
        <v>1304</v>
      </c>
      <c r="IG86">
        <f>_xlfn.XLOOKUP(IF86,'KPI Impacts'!$B$2:$H$2,'KPI Impacts'!$B86:$H86)</f>
        <v>0</v>
      </c>
      <c r="IJ86" s="12">
        <f>IJ$4*IU86</f>
        <v>0</v>
      </c>
      <c r="IK86" s="12">
        <f>IK$4 * IF(AND(IJ$4=1,IJ$20=1), IW86, IU86)</f>
        <v>0</v>
      </c>
      <c r="IL86" s="12">
        <f>IL$4 * IF(AND(IK$4=1,IJ$20=1), IW86, IU86)</f>
        <v>0</v>
      </c>
      <c r="IM86" s="12">
        <f>IM$4 * IF(AND(IL$4=1,IJ$20=1), IW86, IU86)</f>
        <v>0</v>
      </c>
      <c r="IN86" s="12">
        <f>IN$4 * IF(AND(IM$4=1,IJ$20=1), IW86, IU86)</f>
        <v>0</v>
      </c>
      <c r="IO86" s="12">
        <f>IO$4 * IF(AND(IN$4=1,IJ$20=1), IW86, IU86)</f>
        <v>0</v>
      </c>
      <c r="IP86" s="12">
        <f>IP$4 * IF(AND(IO$4=1,IJ$20=1), IW86, IU86)</f>
        <v>0</v>
      </c>
      <c r="IQ86" s="12">
        <f>IQ$4 * IF(AND(IP$4=1,IJ$20=1), IW86, IU86)</f>
        <v>0</v>
      </c>
      <c r="IR86" s="12">
        <f>IR$4 * IF(AND(IQ$4=1,IJ$20=1), IW86, IU86)</f>
        <v>0</v>
      </c>
      <c r="IT86" s="16" t="s">
        <v>1304</v>
      </c>
      <c r="IU86">
        <f>_xlfn.XLOOKUP(IT86,'KPI Impacts'!$B$2:$H$2,'KPI Impacts'!$B86:$H86)</f>
        <v>0</v>
      </c>
      <c r="IV86" s="9" t="s">
        <v>1304</v>
      </c>
      <c r="IW86">
        <f>_xlfn.XLOOKUP(IV86,'KPI Impacts'!$B$2:$H$2,'KPI Impacts'!$B86:$H86)</f>
        <v>0</v>
      </c>
      <c r="IZ86" s="12">
        <f>IZ$4*JK86</f>
        <v>0</v>
      </c>
      <c r="JA86" s="12">
        <f>JA$4 * IF(AND(IZ$4=1,IZ$20=1), JM86, JK86)</f>
        <v>0</v>
      </c>
      <c r="JB86" s="12">
        <f>JB$4 * IF(AND(JA$4=1,IZ$20=1), JM86, JK86)</f>
        <v>0</v>
      </c>
      <c r="JC86" s="12">
        <f>JC$4 * IF(AND(JB$4=1,IZ$20=1), JM86, JK86)</f>
        <v>0</v>
      </c>
      <c r="JD86" s="12">
        <f>JD$4 * IF(AND(JC$4=1,IZ$20=1), JM86, JK86)</f>
        <v>0</v>
      </c>
      <c r="JE86" s="12">
        <f>JE$4 * IF(AND(JD$4=1,IZ$20=1), JM86, JK86)</f>
        <v>0</v>
      </c>
      <c r="JF86" s="12">
        <f>JF$4 * IF(AND(JE$4=1,IZ$20=1), JM86, JK86)</f>
        <v>0</v>
      </c>
      <c r="JG86" s="12">
        <f>JG$4 * IF(AND(JF$4=1,IZ$20=1), JM86, JK86)</f>
        <v>0</v>
      </c>
      <c r="JH86" s="12">
        <f>JH$4 * IF(AND(JG$4=1,IZ$20=1), JM86, JK86)</f>
        <v>0</v>
      </c>
      <c r="JJ86" t="s">
        <v>1304</v>
      </c>
      <c r="JK86">
        <f>_xlfn.XLOOKUP(JJ86,'KPI Impacts'!$B$2:$H$2,'KPI Impacts'!$B86:$H86)</f>
        <v>0</v>
      </c>
      <c r="JL86" s="9" t="s">
        <v>1304</v>
      </c>
      <c r="JM86">
        <f>_xlfn.XLOOKUP(JL86,'KPI Impacts'!$B$2:$H$2,'KPI Impacts'!$B86:$H86)</f>
        <v>0</v>
      </c>
      <c r="JP86" s="12">
        <f>JP$4*KA86</f>
        <v>0</v>
      </c>
      <c r="JQ86" s="12">
        <f>JQ$4 * IF(AND(JP$4=1,JP$20=1), KC86, KA86)</f>
        <v>0</v>
      </c>
      <c r="JR86" s="12">
        <f>JR$4 * IF(AND(JQ$4=1,JP$20=1), KC86, KA86)</f>
        <v>0</v>
      </c>
      <c r="JS86" s="12">
        <f>JS$4 * IF(AND(JR$4=1,JP$20=1), KC86, KA86)</f>
        <v>0</v>
      </c>
      <c r="JT86" s="12">
        <f>JT$4 * IF(AND(JS$4=1,JP$20=1), KC86, KA86)</f>
        <v>0</v>
      </c>
      <c r="JU86" s="12">
        <f>JU$4 * IF(AND(JT$4=1,JP$20=1), KC86, KA86)</f>
        <v>0</v>
      </c>
      <c r="JV86" s="12">
        <f>JV$4 * IF(AND(JU$4=1,JP$20=1), KC86, KA86)</f>
        <v>0</v>
      </c>
      <c r="JW86" s="12">
        <f>JW$4 * IF(AND(JV$4=1,JP$20=1), KC86, KA86)</f>
        <v>0</v>
      </c>
      <c r="JX86" s="12">
        <f>JX$4 * IF(AND(JW$4=1,JP$20=1), KC86, KA86)</f>
        <v>0</v>
      </c>
      <c r="JZ86" t="s">
        <v>1304</v>
      </c>
      <c r="KA86">
        <f>_xlfn.XLOOKUP(JZ86,'KPI Impacts'!$B$2:$H$2,'KPI Impacts'!$B86:$H86)</f>
        <v>0</v>
      </c>
      <c r="KB86" s="9" t="s">
        <v>1304</v>
      </c>
      <c r="KC86">
        <f>_xlfn.XLOOKUP(KB86,'KPI Impacts'!$B$2:$H$2,'KPI Impacts'!$B86:$H86)</f>
        <v>0</v>
      </c>
      <c r="KF86" s="12">
        <f>KF$4*KQ86</f>
        <v>0</v>
      </c>
      <c r="KG86" s="12">
        <f>KG$4 * IF(AND(KF$4=1,KF$20=1), KS86, KQ86)</f>
        <v>0</v>
      </c>
      <c r="KH86" s="12">
        <f>KH$4 * IF(AND(KG$4=1,KF$20=1), KS86, KQ86)</f>
        <v>0</v>
      </c>
      <c r="KI86" s="12">
        <f>KI$4 * IF(AND(KH$4=1,KF$20=1), KS86, KQ86)</f>
        <v>0</v>
      </c>
      <c r="KJ86" s="12">
        <f>KJ$4 * IF(AND(KI$4=1,KF$20=1), KS86, KQ86)</f>
        <v>0</v>
      </c>
      <c r="KK86" s="12">
        <f>KK$4 * IF(AND(KJ$4=1,KF$20=1), KS86, KQ86)</f>
        <v>0</v>
      </c>
      <c r="KL86" s="12">
        <f>KL$4 * IF(AND(KK$4=1,KF$20=1), KS86, KQ86)</f>
        <v>0</v>
      </c>
      <c r="KM86" s="12">
        <f>KM$4 * IF(AND(KL$4=1,KF$20=1), KS86, KQ86)</f>
        <v>0</v>
      </c>
      <c r="KN86" s="12">
        <f>KN$4 * IF(AND(KM$4=1,KF$20=1), KS86, KQ86)</f>
        <v>0</v>
      </c>
      <c r="KP86" t="s">
        <v>1304</v>
      </c>
      <c r="KQ86">
        <f>_xlfn.XLOOKUP(KP86,'KPI Impacts'!$B$2:$H$2,'KPI Impacts'!$B86:$H86)</f>
        <v>0</v>
      </c>
      <c r="KR86" s="9" t="s">
        <v>1304</v>
      </c>
      <c r="KS86">
        <f>_xlfn.XLOOKUP(KR86,'KPI Impacts'!$B$2:$H$2,'KPI Impacts'!$B86:$H86)</f>
        <v>0</v>
      </c>
      <c r="KV86" s="12">
        <f>KV$4*LG86</f>
        <v>0</v>
      </c>
      <c r="KW86" s="12">
        <f>KW$4 * IF(AND(KV$4=1,KV$20=1), LI86, LG86)</f>
        <v>0</v>
      </c>
      <c r="KX86" s="12">
        <f>KX$4 * IF(AND(KW$4=1,KV$20=1), LI86, LG86)</f>
        <v>0</v>
      </c>
      <c r="KY86" s="12">
        <f>KY$4 * IF(AND(KX$4=1,KV$20=1), LI86, LG86)</f>
        <v>0</v>
      </c>
      <c r="KZ86" s="12">
        <f>KZ$4 * IF(AND(KY$4=1,KV$20=1), LI86, LG86)</f>
        <v>0</v>
      </c>
      <c r="LA86" s="12">
        <f>LA$4 * IF(AND(KZ$4=1,KV$20=1), LI86, LG86)</f>
        <v>0</v>
      </c>
      <c r="LB86" s="12">
        <f>LB$4 * IF(AND(LA$4=1,KV$20=1), LI86, LG86)</f>
        <v>0</v>
      </c>
      <c r="LC86" s="12">
        <f>LC$4 * IF(AND(LB$4=1,KV$20=1), LI86, LG86)</f>
        <v>0</v>
      </c>
      <c r="LD86" s="12">
        <f>LD$4 * IF(AND(LC$4=1,KV$20=1), LI86, LG86)</f>
        <v>0</v>
      </c>
      <c r="LF86" t="s">
        <v>1304</v>
      </c>
      <c r="LG86">
        <f>_xlfn.XLOOKUP(LF86,'KPI Impacts'!$B$2:$H$2,'KPI Impacts'!$B86:$H86)</f>
        <v>0</v>
      </c>
      <c r="LH86" s="9" t="s">
        <v>1304</v>
      </c>
      <c r="LI86">
        <f>_xlfn.XLOOKUP(LH86,'KPI Impacts'!$B$2:$H$2,'KPI Impacts'!$B86:$H86)</f>
        <v>0</v>
      </c>
      <c r="LL86" s="12">
        <f>LL$4*LW86</f>
        <v>0</v>
      </c>
      <c r="LM86" s="12">
        <f>LM$4 * IF(AND(LL$4=1,LL$20=1), LY86, LW86)</f>
        <v>0</v>
      </c>
      <c r="LN86" s="12">
        <f>LN$4 * IF(AND(LM$4=1,LL$20=1), LY86, LW86)</f>
        <v>0</v>
      </c>
      <c r="LO86" s="12">
        <f>LO$4 * IF(AND(LN$4=1,LL$20=1), LY86, LW86)</f>
        <v>0</v>
      </c>
      <c r="LP86" s="12">
        <f>LP$4 * IF(AND(LO$4=1,LL$20=1), LY86, LW86)</f>
        <v>0</v>
      </c>
      <c r="LQ86" s="12">
        <f>LQ$4 * IF(AND(LP$4=1,LL$20=1), LY86, LW86)</f>
        <v>0</v>
      </c>
      <c r="LR86" s="12">
        <f>LR$4 * IF(AND(LQ$4=1,LL$20=1), LY86, LW86)</f>
        <v>0</v>
      </c>
      <c r="LS86" s="12">
        <f>LS$4 * IF(AND(LR$4=1,LL$20=1), LY86, LW86)</f>
        <v>0</v>
      </c>
      <c r="LT86" s="12">
        <f>LT$4 * IF(AND(LS$4=1,LL$20=1), LY86, LW86)</f>
        <v>0</v>
      </c>
      <c r="LV86" t="s">
        <v>1304</v>
      </c>
      <c r="LW86">
        <f>_xlfn.XLOOKUP(LV86,'KPI Impacts'!$B$2:$H$2,'KPI Impacts'!$B86:$H86)</f>
        <v>0</v>
      </c>
      <c r="LX86" s="9" t="s">
        <v>1304</v>
      </c>
      <c r="LY86">
        <f>_xlfn.XLOOKUP(LX86,'KPI Impacts'!$B$2:$H$2,'KPI Impacts'!$B86:$H86)</f>
        <v>0</v>
      </c>
      <c r="MB86" s="12">
        <f>MB$4*MM86</f>
        <v>0</v>
      </c>
      <c r="MC86" s="12">
        <f>MC$4 * IF(AND(MB$4=1,MB$20=1), MO86, MM86)</f>
        <v>0</v>
      </c>
      <c r="MD86" s="12">
        <f>MD$4 * IF(AND(MC$4=1,MB$20=1), MO86, MM86)</f>
        <v>0</v>
      </c>
      <c r="ME86" s="12">
        <f>ME$4 * IF(AND(MD$4=1,MB$20=1), MO86, MM86)</f>
        <v>0</v>
      </c>
      <c r="MF86" s="12">
        <f>MF$4 * IF(AND(ME$4=1,MB$20=1), MO86, MM86)</f>
        <v>0</v>
      </c>
      <c r="MG86" s="12">
        <f>MG$4 * IF(AND(MF$4=1,MB$20=1), MO86, MM86)</f>
        <v>0</v>
      </c>
      <c r="MH86" s="12">
        <f>MH$4 * IF(AND(MG$4=1,MB$20=1), MO86, MM86)</f>
        <v>0</v>
      </c>
      <c r="MI86" s="12">
        <f>MI$4 * IF(AND(MH$4=1,MB$20=1), MO86, MM86)</f>
        <v>0</v>
      </c>
      <c r="MJ86" s="12">
        <f>MJ$4 * IF(AND(MI$4=1,MB$20=1), MO86, MM86)</f>
        <v>0</v>
      </c>
      <c r="ML86" t="s">
        <v>1304</v>
      </c>
      <c r="MM86">
        <f>_xlfn.XLOOKUP(ML86,'KPI Impacts'!$B$2:$H$2,'KPI Impacts'!$B86:$H86)</f>
        <v>0</v>
      </c>
      <c r="MN86" s="9" t="s">
        <v>1304</v>
      </c>
      <c r="MO86">
        <f>_xlfn.XLOOKUP(MN86,'KPI Impacts'!$B$2:$H$2,'KPI Impacts'!$B86:$H86)</f>
        <v>0</v>
      </c>
      <c r="MR86" s="12">
        <f>MR$4*NC86</f>
        <v>0</v>
      </c>
      <c r="MS86" s="12">
        <f>MS$4 * IF(AND(MR$4=1,MR$20=1), NE86, NC86)</f>
        <v>0</v>
      </c>
      <c r="MT86" s="12">
        <f>MT$4 * IF(AND(MS$4=1,MR$20=1), NE86, NC86)</f>
        <v>0</v>
      </c>
      <c r="MU86" s="12">
        <f>MU$4 * IF(AND(MT$4=1,MR$20=1), NE86, NC86)</f>
        <v>0</v>
      </c>
      <c r="MV86" s="12">
        <f>MV$4 * IF(AND(MU$4=1,MR$20=1), NE86, NC86)</f>
        <v>0</v>
      </c>
      <c r="MW86" s="12">
        <f>MW$4 * IF(AND(MV$4=1,MR$20=1), NE86, NC86)</f>
        <v>0</v>
      </c>
      <c r="MX86" s="12">
        <f>MX$4 * IF(AND(MW$4=1,MR$20=1), NE86, NC86)</f>
        <v>0</v>
      </c>
      <c r="MY86" s="12">
        <f>MY$4 * IF(AND(MX$4=1,MR$20=1), NE86, NC86)</f>
        <v>0</v>
      </c>
      <c r="MZ86" s="12">
        <f>MZ$4 * IF(AND(MY$4=1,MR$20=1), NE86, NC86)</f>
        <v>0</v>
      </c>
      <c r="NB86" t="s">
        <v>1304</v>
      </c>
      <c r="NC86">
        <f>_xlfn.XLOOKUP(NB86,'KPI Impacts'!$B$2:$H$2,'KPI Impacts'!$B86:$H86)</f>
        <v>0</v>
      </c>
      <c r="ND86" s="9" t="s">
        <v>1304</v>
      </c>
      <c r="NE86">
        <f>_xlfn.XLOOKUP(ND86,'KPI Impacts'!$B$2:$H$2,'KPI Impacts'!$B86:$H86)</f>
        <v>0</v>
      </c>
      <c r="NH86" s="12">
        <f>NH$4*NS86</f>
        <v>0</v>
      </c>
      <c r="NI86" s="12">
        <f>NI$4 * IF(AND(NH$4=1,NH$20=1), NU86, NS86)</f>
        <v>0</v>
      </c>
      <c r="NJ86" s="12">
        <f>NJ$4 * IF(AND(NI$4=1,NH$20=1), NU86, NS86)</f>
        <v>0</v>
      </c>
      <c r="NK86" s="12">
        <f>NK$4 * IF(AND(NJ$4=1,NH$20=1), NU86, NS86)</f>
        <v>0</v>
      </c>
      <c r="NL86" s="12">
        <f>NL$4 * IF(AND(NK$4=1,NH$20=1), NU86, NS86)</f>
        <v>0</v>
      </c>
      <c r="NM86" s="12">
        <f>NM$4 * IF(AND(NL$4=1,NH$20=1), NU86, NS86)</f>
        <v>0</v>
      </c>
      <c r="NN86" s="12">
        <f>NN$4 * IF(AND(NM$4=1,NH$20=1), NU86, NS86)</f>
        <v>0</v>
      </c>
      <c r="NO86" s="12">
        <f>NO$4 * IF(AND(NN$4=1,NH$20=1), NU86, NS86)</f>
        <v>0</v>
      </c>
      <c r="NP86" s="12">
        <f>NP$4 * IF(AND(NO$4=1,NH$20=1), NU86, NS86)</f>
        <v>0</v>
      </c>
      <c r="NR86" t="s">
        <v>1304</v>
      </c>
      <c r="NS86">
        <f>_xlfn.XLOOKUP(NR86,'KPI Impacts'!$B$2:$H$2,'KPI Impacts'!$B86:$H86)</f>
        <v>0</v>
      </c>
      <c r="NT86" s="9" t="s">
        <v>1304</v>
      </c>
      <c r="NU86">
        <f>_xlfn.XLOOKUP(NT86,'KPI Impacts'!$B$2:$H$2,'KPI Impacts'!$B86:$H86)</f>
        <v>0</v>
      </c>
      <c r="NX86" s="12">
        <f>NX$4*OI86</f>
        <v>0</v>
      </c>
      <c r="NY86" s="12">
        <f>NY$4 * IF(AND(NX$4=1,NX$20=1), OK86, OI86)</f>
        <v>0</v>
      </c>
      <c r="NZ86" s="12">
        <f>NZ$4 * IF(AND(NY$4=1,NX$20=1), OK86, OI86)</f>
        <v>0</v>
      </c>
      <c r="OA86" s="12">
        <f>OA$4 * IF(AND(NZ$4=1,NX$20=1), OK86, OI86)</f>
        <v>0</v>
      </c>
      <c r="OB86" s="12">
        <f>OB$4 * IF(AND(OA$4=1,NX$20=1), OK86, OI86)</f>
        <v>0</v>
      </c>
      <c r="OC86" s="12">
        <f>OC$4 * IF(AND(OB$4=1,NX$20=1), OK86, OI86)</f>
        <v>0</v>
      </c>
      <c r="OD86" s="12">
        <f>OD$4 * IF(AND(OC$4=1,NX$20=1), OK86, OI86)</f>
        <v>0</v>
      </c>
      <c r="OE86" s="12">
        <f>OE$4 * IF(AND(OD$4=1,NX$20=1), OK86, OI86)</f>
        <v>0</v>
      </c>
      <c r="OF86" s="12">
        <f>OF$4 * IF(AND(OE$4=1,NX$20=1), OK86, OI86)</f>
        <v>0</v>
      </c>
      <c r="OH86" t="s">
        <v>1304</v>
      </c>
      <c r="OI86">
        <f>_xlfn.XLOOKUP(OH86,'KPI Impacts'!$B$2:$H$2,'KPI Impacts'!$B86:$H86)</f>
        <v>0</v>
      </c>
      <c r="OJ86" s="9" t="s">
        <v>1304</v>
      </c>
      <c r="OK86">
        <f>_xlfn.XLOOKUP(OJ86,'KPI Impacts'!$B$2:$H$2,'KPI Impacts'!$B86:$H86)</f>
        <v>0</v>
      </c>
    </row>
    <row r="87" spans="1:401" x14ac:dyDescent="0.2">
      <c r="A87" s="9" t="s">
        <v>1294</v>
      </c>
      <c r="B87" s="19" t="s">
        <v>1319</v>
      </c>
      <c r="C87" s="19" t="s">
        <v>1319</v>
      </c>
      <c r="D87" s="19" t="s">
        <v>1319</v>
      </c>
      <c r="E87" s="19" t="s">
        <v>1319</v>
      </c>
      <c r="F87" s="19" t="s">
        <v>1319</v>
      </c>
      <c r="G87" s="19" t="s">
        <v>1319</v>
      </c>
      <c r="H87" s="19" t="s">
        <v>1319</v>
      </c>
      <c r="I87" s="19" t="s">
        <v>1319</v>
      </c>
      <c r="J87" s="19" t="s">
        <v>1319</v>
      </c>
      <c r="M87" s="6"/>
      <c r="N87" s="6"/>
      <c r="O87" s="9"/>
      <c r="P87" s="12"/>
      <c r="Q87" s="12"/>
      <c r="R87" s="12"/>
      <c r="S87" s="12"/>
      <c r="T87" s="12"/>
      <c r="U87" s="12"/>
      <c r="V87" s="12"/>
      <c r="W87" s="12"/>
      <c r="X87" s="12"/>
      <c r="AG87" s="9"/>
      <c r="AH87" s="12"/>
      <c r="AI87" s="12"/>
      <c r="AJ87" s="12"/>
      <c r="AK87" s="12"/>
      <c r="AL87" s="12"/>
      <c r="AM87" s="12"/>
      <c r="AN87" s="12"/>
      <c r="AO87" s="12"/>
      <c r="AP87" s="12"/>
      <c r="AY87" s="17"/>
      <c r="AZ87" s="12"/>
      <c r="BA87" s="12"/>
      <c r="BB87" s="12"/>
      <c r="BC87" s="12"/>
      <c r="BD87" s="12"/>
      <c r="BE87" s="12"/>
      <c r="BF87" s="12"/>
      <c r="BG87" s="12"/>
      <c r="BH87" s="12"/>
      <c r="BJ87" s="16"/>
      <c r="BL87" s="35"/>
      <c r="BO87" s="17"/>
      <c r="BP87" s="12"/>
      <c r="BQ87" s="12"/>
      <c r="BR87" s="12"/>
      <c r="BS87" s="12"/>
      <c r="BT87" s="12"/>
      <c r="BU87" s="12"/>
      <c r="BV87" s="12"/>
      <c r="BW87" s="12"/>
      <c r="BX87" s="12"/>
      <c r="BZ87" s="16"/>
      <c r="CB87" s="35"/>
      <c r="CE87" s="17"/>
      <c r="CF87" s="12"/>
      <c r="CG87" s="12"/>
      <c r="CH87" s="12"/>
      <c r="CI87" s="12"/>
      <c r="CJ87" s="12"/>
      <c r="CK87" s="12"/>
      <c r="CL87" s="12"/>
      <c r="CM87" s="12"/>
      <c r="CN87" s="12"/>
      <c r="CP87" s="16"/>
      <c r="CR87" s="35"/>
      <c r="CU87" s="17"/>
      <c r="CV87" s="12"/>
      <c r="CW87" s="12"/>
      <c r="CX87" s="12"/>
      <c r="CY87" s="12"/>
      <c r="CZ87" s="12"/>
      <c r="DA87" s="12"/>
      <c r="DB87" s="12"/>
      <c r="DC87" s="12"/>
      <c r="DD87" s="12"/>
      <c r="DF87" s="16"/>
      <c r="DH87" s="35"/>
      <c r="DK87" s="17"/>
      <c r="DL87" s="12"/>
      <c r="DM87" s="12"/>
      <c r="DN87" s="12"/>
      <c r="DO87" s="12"/>
      <c r="DP87" s="12"/>
      <c r="DQ87" s="12"/>
      <c r="DR87" s="12"/>
      <c r="DS87" s="12"/>
      <c r="DT87" s="12"/>
      <c r="DV87" s="16"/>
      <c r="DX87" s="35"/>
      <c r="EA87" s="17"/>
      <c r="EB87" s="12"/>
      <c r="EC87" s="12"/>
      <c r="ED87" s="12"/>
      <c r="EE87" s="12"/>
      <c r="EF87" s="12"/>
      <c r="EG87" s="12"/>
      <c r="EH87" s="12"/>
      <c r="EI87" s="12"/>
      <c r="EJ87" s="12"/>
      <c r="EL87" s="16"/>
      <c r="EN87" s="35"/>
      <c r="EQ87" s="17"/>
      <c r="ER87" s="12"/>
      <c r="ES87" s="12"/>
      <c r="ET87" s="12"/>
      <c r="EU87" s="12"/>
      <c r="EV87" s="12"/>
      <c r="EW87" s="12"/>
      <c r="EX87" s="12"/>
      <c r="EY87" s="12"/>
      <c r="EZ87" s="12"/>
      <c r="FB87" s="16"/>
      <c r="FD87" s="35"/>
      <c r="FG87" s="17"/>
      <c r="FH87" s="12"/>
      <c r="FI87" s="12"/>
      <c r="FJ87" s="12"/>
      <c r="FK87" s="12"/>
      <c r="FL87" s="12"/>
      <c r="FM87" s="12"/>
      <c r="FN87" s="12"/>
      <c r="FO87" s="12"/>
      <c r="FP87" s="12"/>
      <c r="FR87" s="16"/>
      <c r="FT87" s="35"/>
      <c r="FW87" s="17"/>
      <c r="FX87" s="12"/>
      <c r="FY87" s="12"/>
      <c r="FZ87" s="12"/>
      <c r="GA87" s="12"/>
      <c r="GB87" s="12"/>
      <c r="GC87" s="12"/>
      <c r="GD87" s="12"/>
      <c r="GE87" s="12"/>
      <c r="GF87" s="12"/>
      <c r="GH87" s="16"/>
      <c r="GJ87" s="35"/>
      <c r="GN87" s="12"/>
      <c r="GO87" s="12"/>
      <c r="GP87" s="12"/>
      <c r="GQ87" s="12"/>
      <c r="GR87" s="12"/>
      <c r="GS87" s="12"/>
      <c r="GT87" s="12"/>
      <c r="GU87" s="12"/>
      <c r="GV87" s="12"/>
      <c r="GX87" s="16"/>
      <c r="GZ87" s="35"/>
      <c r="HD87" s="12"/>
      <c r="HE87" s="12"/>
      <c r="HF87" s="12"/>
      <c r="HG87" s="12"/>
      <c r="HH87" s="12"/>
      <c r="HI87" s="12"/>
      <c r="HJ87" s="12"/>
      <c r="HK87" s="12"/>
      <c r="HL87" s="12"/>
      <c r="HN87" s="16"/>
      <c r="HP87" s="35"/>
      <c r="HT87" s="12"/>
      <c r="HU87" s="12"/>
      <c r="HV87" s="12"/>
      <c r="HW87" s="12"/>
      <c r="HX87" s="12"/>
      <c r="HY87" s="12"/>
      <c r="HZ87" s="12"/>
      <c r="IA87" s="12"/>
      <c r="IB87" s="12"/>
      <c r="ID87" s="16"/>
      <c r="IF87" s="9"/>
      <c r="IJ87" s="12"/>
      <c r="IK87" s="12"/>
      <c r="IL87" s="12"/>
      <c r="IM87" s="12"/>
      <c r="IN87" s="12"/>
      <c r="IO87" s="12"/>
      <c r="IP87" s="12"/>
      <c r="IQ87" s="12"/>
      <c r="IR87" s="12"/>
      <c r="IT87" s="16"/>
      <c r="IV87" s="9"/>
      <c r="IZ87" s="12"/>
      <c r="JA87" s="12"/>
      <c r="JB87" s="12"/>
      <c r="JC87" s="12"/>
      <c r="JD87" s="12"/>
      <c r="JE87" s="12"/>
      <c r="JF87" s="12"/>
      <c r="JG87" s="12"/>
      <c r="JH87" s="12"/>
      <c r="JL87" s="9"/>
      <c r="JP87" s="12"/>
      <c r="JQ87" s="12"/>
      <c r="JR87" s="12"/>
      <c r="JS87" s="12"/>
      <c r="JT87" s="12"/>
      <c r="JU87" s="12"/>
      <c r="JV87" s="12"/>
      <c r="JW87" s="12"/>
      <c r="JX87" s="12"/>
      <c r="KB87" s="9"/>
      <c r="KF87" s="12"/>
      <c r="KG87" s="12"/>
      <c r="KH87" s="12"/>
      <c r="KI87" s="12"/>
      <c r="KJ87" s="12"/>
      <c r="KK87" s="12"/>
      <c r="KL87" s="12"/>
      <c r="KM87" s="12"/>
      <c r="KN87" s="12"/>
      <c r="KR87" s="9"/>
      <c r="KV87" s="12"/>
      <c r="KW87" s="12"/>
      <c r="KX87" s="12"/>
      <c r="KY87" s="12"/>
      <c r="KZ87" s="12"/>
      <c r="LA87" s="12"/>
      <c r="LB87" s="12"/>
      <c r="LC87" s="12"/>
      <c r="LD87" s="12"/>
      <c r="LH87" s="9"/>
      <c r="LL87" s="12"/>
      <c r="LM87" s="12"/>
      <c r="LN87" s="12"/>
      <c r="LO87" s="12"/>
      <c r="LP87" s="12"/>
      <c r="LQ87" s="12"/>
      <c r="LR87" s="12"/>
      <c r="LS87" s="12"/>
      <c r="LT87" s="12"/>
      <c r="LX87" s="9"/>
      <c r="MB87" s="12"/>
      <c r="MC87" s="12"/>
      <c r="MD87" s="12"/>
      <c r="ME87" s="12"/>
      <c r="MF87" s="12"/>
      <c r="MG87" s="12"/>
      <c r="MH87" s="12"/>
      <c r="MI87" s="12"/>
      <c r="MJ87" s="12"/>
      <c r="MN87" s="9"/>
      <c r="MR87" s="12"/>
      <c r="MS87" s="12"/>
      <c r="MT87" s="12"/>
      <c r="MU87" s="12"/>
      <c r="MV87" s="12"/>
      <c r="MW87" s="12"/>
      <c r="MX87" s="12"/>
      <c r="MY87" s="12"/>
      <c r="MZ87" s="12"/>
      <c r="ND87" s="9"/>
      <c r="NH87" s="12"/>
      <c r="NI87" s="12"/>
      <c r="NJ87" s="12"/>
      <c r="NK87" s="12"/>
      <c r="NL87" s="12"/>
      <c r="NM87" s="12"/>
      <c r="NN87" s="12"/>
      <c r="NO87" s="12"/>
      <c r="NP87" s="12"/>
      <c r="NT87" s="9"/>
      <c r="NX87" s="12"/>
      <c r="NY87" s="12"/>
      <c r="NZ87" s="12"/>
      <c r="OA87" s="12"/>
      <c r="OB87" s="12"/>
      <c r="OC87" s="12"/>
      <c r="OD87" s="12"/>
      <c r="OE87" s="12"/>
      <c r="OF87" s="12"/>
      <c r="OJ87" s="9"/>
    </row>
    <row r="88" spans="1:401" x14ac:dyDescent="0.2">
      <c r="A88" s="9" t="s">
        <v>1291</v>
      </c>
      <c r="B88" s="12">
        <f t="shared" ref="B88:J88" si="512">P88+AH88+AZ88+BP88+CF88+CV88+DL88+EB88+ER88+FH88+FX88+GN88+HD88+HT88+IJ88+IZ88+JP88+KF88+KV88+LL88+MB88+MR88+NH88+NX88</f>
        <v>0</v>
      </c>
      <c r="C88" s="12">
        <f t="shared" si="512"/>
        <v>0</v>
      </c>
      <c r="D88" s="12">
        <f t="shared" si="512"/>
        <v>0</v>
      </c>
      <c r="E88" s="12">
        <f t="shared" si="512"/>
        <v>0</v>
      </c>
      <c r="F88" s="12">
        <f t="shared" si="512"/>
        <v>0</v>
      </c>
      <c r="G88" s="12">
        <f t="shared" si="512"/>
        <v>0</v>
      </c>
      <c r="H88" s="12">
        <f t="shared" si="512"/>
        <v>0</v>
      </c>
      <c r="I88" s="12">
        <f t="shared" si="512"/>
        <v>0</v>
      </c>
      <c r="J88" s="12">
        <f t="shared" si="512"/>
        <v>0</v>
      </c>
      <c r="M88" s="6"/>
      <c r="N88" s="6"/>
      <c r="O88" s="9"/>
      <c r="P88" s="12" cm="1">
        <f t="array" ref="P88">_xlfn.SWITCH(P$4, 0,0, 1, AA88,2,AC88,3,AE88,0)</f>
        <v>0</v>
      </c>
      <c r="Q88" s="12" cm="1">
        <f t="array" ref="Q88">_xlfn.SWITCH(Q$4, 0,0, 1, AA88,2,AC88,3,AE88,0)+P88</f>
        <v>0</v>
      </c>
      <c r="R88" s="12" cm="1">
        <f t="array" ref="R88">_xlfn.SWITCH(R$4, 0,0, 1, AA88,2,AC88,3,AE88,0)+Q88</f>
        <v>0</v>
      </c>
      <c r="S88" s="12" cm="1">
        <f t="array" ref="S88">_xlfn.SWITCH(S$4, 0,0, 1, AA88,2,AC88,3,AE88,0)+R88</f>
        <v>0</v>
      </c>
      <c r="T88" s="12" cm="1">
        <f t="array" ref="T88">_xlfn.SWITCH(T$4, 0,0, 1, AA88,2,AC88,3,AE88,0)+S88</f>
        <v>0</v>
      </c>
      <c r="U88" s="12" cm="1">
        <f t="array" ref="U88">_xlfn.SWITCH(U$4, 0,0, 1, AA88,2,AC88,3,AE88,0)+T88</f>
        <v>0</v>
      </c>
      <c r="V88" s="12" cm="1">
        <f t="array" ref="V88">_xlfn.SWITCH(V$4, 0,0, 1, AA88,2,AC88,3,AE88,0)+U88</f>
        <v>0</v>
      </c>
      <c r="W88" s="12" cm="1">
        <f t="array" ref="W88">_xlfn.SWITCH(W$4, 0,0, 1, AA88,2,AC88,3,AE88,0)+V88</f>
        <v>0</v>
      </c>
      <c r="X88" s="12" cm="1">
        <f t="array" ref="X88">_xlfn.SWITCH(X$4, 0,0, 1, AA88,2,AC88,3,AE88,0)+W88</f>
        <v>0</v>
      </c>
      <c r="Z88" t="s">
        <v>1308</v>
      </c>
      <c r="AA88">
        <f>_xlfn.XLOOKUP(Z88,'KPI Impacts'!$K$2:$Q$2,'KPI Impacts'!$K88:$Q88)</f>
        <v>0.24</v>
      </c>
      <c r="AB88" t="s">
        <v>1310</v>
      </c>
      <c r="AC88">
        <f>_xlfn.XLOOKUP(AB88,'KPI Impacts'!$K$2:$Q$2,'KPI Impacts'!$K88:$Q88)</f>
        <v>0.48</v>
      </c>
      <c r="AD88" t="s">
        <v>1309</v>
      </c>
      <c r="AE88">
        <f>_xlfn.XLOOKUP(AD88,'KPI Impacts'!$K$2:$Q$2,'KPI Impacts'!$K88:$Q88)</f>
        <v>0.72</v>
      </c>
      <c r="AG88" s="9"/>
      <c r="AH88" s="12" cm="1">
        <f t="array" ref="AH88">_xlfn.SWITCH(AH$4, 0,0, 1, AS88,2,AU88,3,AW88,0)</f>
        <v>0</v>
      </c>
      <c r="AI88" s="12" cm="1">
        <f t="array" ref="AI88">_xlfn.SWITCH(AI$4, 0,0, 1, AS88,2,AU88,3,AW88,0)+AH88</f>
        <v>0</v>
      </c>
      <c r="AJ88" s="12" cm="1">
        <f t="array" ref="AJ88">_xlfn.SWITCH(AJ$4, 0,0, 1, AS88,2,AU88,3,AW88,0)+AI88</f>
        <v>0</v>
      </c>
      <c r="AK88" s="12" cm="1">
        <f t="array" ref="AK88">_xlfn.SWITCH(AK$4, 0,0, 1, AS88,2,AU88,3,AW88,0)+AJ88</f>
        <v>0</v>
      </c>
      <c r="AL88" s="12" cm="1">
        <f t="array" ref="AL88">_xlfn.SWITCH(AL$4, 0,0, 1, AS88,2,AU88,3,AW88,0)+AK88</f>
        <v>0</v>
      </c>
      <c r="AM88" s="12" cm="1">
        <f t="array" ref="AM88">_xlfn.SWITCH(AM$4, 0,0, 1, AS88,2,AU88,3,AW88,0)+AL88</f>
        <v>0</v>
      </c>
      <c r="AN88" s="12" cm="1">
        <f t="array" ref="AN88">_xlfn.SWITCH(AN$4, 0,0, 1, AS88,2,AU88,3,AW88,0)+AM88</f>
        <v>0</v>
      </c>
      <c r="AO88" s="12" cm="1">
        <f t="array" ref="AO88">_xlfn.SWITCH(AO$4, 0,0, 1, AS88,2,AU88,3,AW88,0)+AN88</f>
        <v>0</v>
      </c>
      <c r="AP88" s="12" cm="1">
        <f t="array" ref="AP88">_xlfn.SWITCH(AP$4, 0,0, 1, AS88,2,AU88,3,AW88,0)+AO88</f>
        <v>0</v>
      </c>
      <c r="AR88" t="s">
        <v>1308</v>
      </c>
      <c r="AS88">
        <f>_xlfn.XLOOKUP(AR88,'KPI Impacts'!$K$2:$Q$2,'KPI Impacts'!$K88:$Q88)</f>
        <v>0.24</v>
      </c>
      <c r="AT88" t="s">
        <v>1310</v>
      </c>
      <c r="AU88">
        <f>_xlfn.XLOOKUP(AT88,'KPI Impacts'!$K$2:$Q$2,'KPI Impacts'!$K88:$Q88)</f>
        <v>0.48</v>
      </c>
      <c r="AV88" t="s">
        <v>1309</v>
      </c>
      <c r="AW88">
        <f>_xlfn.XLOOKUP(AV88,'KPI Impacts'!$K$2:$Q$2,'KPI Impacts'!$K88:$Q88)</f>
        <v>0.72</v>
      </c>
      <c r="AY88" s="9"/>
      <c r="AZ88" s="12">
        <f>AZ$4*BK88</f>
        <v>0</v>
      </c>
      <c r="BA88" s="12">
        <f>BA$4 * IF(AND(AZ$4=1,AZ$20=1), BM88, BK88)</f>
        <v>0</v>
      </c>
      <c r="BB88" s="12">
        <f>BB$4 * IF(AND(BA$4=1,AZ$20=1), BM88, BK88)</f>
        <v>0</v>
      </c>
      <c r="BC88" s="12">
        <f>BC$4 * IF(AND(BB$4=1,AZ$20=1), BM88, BK88)</f>
        <v>0</v>
      </c>
      <c r="BD88" s="12">
        <f>BD$4 * IF(AND(BC$4=1,AZ$20=1), BM88, BK88)</f>
        <v>0</v>
      </c>
      <c r="BE88" s="12">
        <f>BE$4 * IF(AND(BD$4=1,AZ$20=1), BM88, BK88)</f>
        <v>0</v>
      </c>
      <c r="BF88" s="12">
        <f>BF$4 * IF(AND(BE$4=1,AZ$20=1), BM88, BK88)</f>
        <v>0</v>
      </c>
      <c r="BG88" s="12">
        <f>BG$4 * IF(AND(BF$4=1,AZ$20=1), BM88, BK88)</f>
        <v>0</v>
      </c>
      <c r="BH88" s="12">
        <f>BH$4 * IF(AND(BG$4=1,AZ$20=1), BM88, BK88)</f>
        <v>0</v>
      </c>
      <c r="BJ88" s="16" t="s">
        <v>1304</v>
      </c>
      <c r="BK88">
        <f>_xlfn.XLOOKUP(BJ88,'KPI Impacts'!$B$2:$H$2,'KPI Impacts'!$B88:$H88)</f>
        <v>0</v>
      </c>
      <c r="BL88" s="35" t="s">
        <v>1304</v>
      </c>
      <c r="BM88">
        <f>_xlfn.XLOOKUP(BL88,'KPI Impacts'!$B$2:$H$2,'KPI Impacts'!$B88:$H88)</f>
        <v>0</v>
      </c>
      <c r="BO88" s="9"/>
      <c r="BP88" s="12">
        <f>BP$4*CA88</f>
        <v>0</v>
      </c>
      <c r="BQ88" s="12">
        <f>BQ$4 * IF(AND(BP$4=1,BP$20=1), CC88, CA88)</f>
        <v>0</v>
      </c>
      <c r="BR88" s="12">
        <f>BR$4 * IF(AND(BQ$4=1,BP$20=1), CC88, CA88)</f>
        <v>0</v>
      </c>
      <c r="BS88" s="12">
        <f>BS$4 * IF(AND(BR$4=1,BP$20=1), CC88, CA88)</f>
        <v>0</v>
      </c>
      <c r="BT88" s="12">
        <f>BT$4 * IF(AND(BS$4=1,BP$20=1), CC88, CA88)</f>
        <v>0</v>
      </c>
      <c r="BU88" s="12">
        <f>BU$4 * IF(AND(BT$4=1,BP$20=1), CC88, CA88)</f>
        <v>0</v>
      </c>
      <c r="BV88" s="12">
        <f>BV$4 * IF(AND(BU$4=1,BP$20=1), CC88, CA88)</f>
        <v>0</v>
      </c>
      <c r="BW88" s="12">
        <f>BW$4 * IF(AND(BV$4=1,BP$20=1), CC88, CA88)</f>
        <v>0</v>
      </c>
      <c r="BX88" s="12">
        <f>BX$4 * IF(AND(BW$4=1,BP$20=1), CC88, CA88)</f>
        <v>0</v>
      </c>
      <c r="BZ88" s="30" t="s">
        <v>1308</v>
      </c>
      <c r="CA88">
        <f>_xlfn.XLOOKUP(BZ88,'KPI Impacts'!$B$2:$H$2,'KPI Impacts'!$B88:$H88)</f>
        <v>1</v>
      </c>
      <c r="CB88" s="35" t="s">
        <v>1304</v>
      </c>
      <c r="CC88">
        <f>_xlfn.XLOOKUP(CB88,'KPI Impacts'!$B$2:$H$2,'KPI Impacts'!$B88:$H88)</f>
        <v>0</v>
      </c>
      <c r="CE88" s="9"/>
      <c r="CF88" s="12">
        <f>CF$4*CQ88</f>
        <v>0</v>
      </c>
      <c r="CG88" s="12">
        <f>CG$4 * IF(AND(CF$4=1,CF$20=1), CS88, CQ88)</f>
        <v>0</v>
      </c>
      <c r="CH88" s="12">
        <f>CH$4 * IF(AND(CG$4=1,CF$20=1), CS88, CQ88)</f>
        <v>0</v>
      </c>
      <c r="CI88" s="12">
        <f>CI$4 * IF(AND(CH$4=1,CF$20=1), CS88, CQ88)</f>
        <v>0</v>
      </c>
      <c r="CJ88" s="12">
        <f>CJ$4 * IF(AND(CI$4=1,CF$20=1), CS88, CQ88)</f>
        <v>0</v>
      </c>
      <c r="CK88" s="12">
        <f>CK$4 * IF(AND(CJ$4=1,CF$20=1), CS88, CQ88)</f>
        <v>0</v>
      </c>
      <c r="CL88" s="12">
        <f>CL$4 * IF(AND(CK$4=1,CF$20=1), CS88, CQ88)</f>
        <v>0</v>
      </c>
      <c r="CM88" s="12">
        <f>CM$4 * IF(AND(CL$4=1,CF$20=1), CS88, CQ88)</f>
        <v>0</v>
      </c>
      <c r="CN88" s="12">
        <f>CN$4 * IF(AND(CM$4=1,CF$20=1), CS88, CQ88)</f>
        <v>0</v>
      </c>
      <c r="CP88" s="16" t="s">
        <v>1304</v>
      </c>
      <c r="CQ88">
        <f>_xlfn.XLOOKUP(CP88,'KPI Impacts'!$B$2:$H$2,'KPI Impacts'!$B88:$H88)</f>
        <v>0</v>
      </c>
      <c r="CR88" s="35" t="s">
        <v>1304</v>
      </c>
      <c r="CS88">
        <f>_xlfn.XLOOKUP(CR88,'KPI Impacts'!$B$2:$H$2,'KPI Impacts'!$B88:$H88)</f>
        <v>0</v>
      </c>
      <c r="CU88" s="9"/>
      <c r="CV88" s="12">
        <f>CV$4*DG88</f>
        <v>0</v>
      </c>
      <c r="CW88" s="12">
        <f>CW$4 * IF(AND(CV$4=1,CV$20=1), DI88, DG88)</f>
        <v>0</v>
      </c>
      <c r="CX88" s="12">
        <f>CX$4 * IF(AND(CW$4=1,CV$20=1), DI88, DG88)</f>
        <v>0</v>
      </c>
      <c r="CY88" s="12">
        <f>CY$4 * IF(AND(CX$4=1,CV$20=1), DI88, DG88)</f>
        <v>0</v>
      </c>
      <c r="CZ88" s="12">
        <f>CZ$4 * IF(AND(CY$4=1,CV$20=1), DI88, DG88)</f>
        <v>0</v>
      </c>
      <c r="DA88" s="12">
        <f>DA$4 * IF(AND(CZ$4=1,CV$20=1), DI88, DG88)</f>
        <v>0</v>
      </c>
      <c r="DB88" s="12">
        <f>DB$4 * IF(AND(DA$4=1,CV$20=1), DI88, DG88)</f>
        <v>0</v>
      </c>
      <c r="DC88" s="12">
        <f>DC$4 * IF(AND(DB$4=1,CV$20=1), DI88, DG88)</f>
        <v>0</v>
      </c>
      <c r="DD88" s="12">
        <f>DD$4 * IF(AND(DC$4=1,CV$20=1), DI88, DG88)</f>
        <v>0</v>
      </c>
      <c r="DF88" s="16" t="s">
        <v>1304</v>
      </c>
      <c r="DG88">
        <f>_xlfn.XLOOKUP(DF88,'KPI Impacts'!$B$2:$H$2,'KPI Impacts'!$B88:$H88)</f>
        <v>0</v>
      </c>
      <c r="DH88" s="35" t="s">
        <v>1304</v>
      </c>
      <c r="DI88">
        <f>_xlfn.XLOOKUP(DH88,'KPI Impacts'!$B$2:$H$2,'KPI Impacts'!$B88:$H88)</f>
        <v>0</v>
      </c>
      <c r="DK88" s="9"/>
      <c r="DL88" s="12">
        <f>DL$4*DW88</f>
        <v>0</v>
      </c>
      <c r="DM88" s="12">
        <f>DM$4 * IF(AND(DL$4=1,DL$20=1), DY88, DW88)</f>
        <v>0</v>
      </c>
      <c r="DN88" s="12">
        <f>DN$4 * IF(AND(DM$4=1,DL$20=1), DY88, DW88)</f>
        <v>0</v>
      </c>
      <c r="DO88" s="12">
        <f>DO$4 * IF(AND(DN$4=1,DL$20=1), DY88, DW88)</f>
        <v>0</v>
      </c>
      <c r="DP88" s="12">
        <f>DP$4 * IF(AND(DO$4=1,DL$20=1), DY88, DW88)</f>
        <v>0</v>
      </c>
      <c r="DQ88" s="12">
        <f>DQ$4 * IF(AND(DP$4=1,DL$20=1), DY88, DW88)</f>
        <v>0</v>
      </c>
      <c r="DR88" s="12">
        <f>DR$4 * IF(AND(DQ$4=1,DL$20=1), DY88, DW88)</f>
        <v>0</v>
      </c>
      <c r="DS88" s="12">
        <f>DS$4 * IF(AND(DR$4=1,DL$20=1), DY88, DW88)</f>
        <v>0</v>
      </c>
      <c r="DT88" s="12">
        <f>DT$4 * IF(AND(DS$4=1,DL$20=1), DY88, DW88)</f>
        <v>0</v>
      </c>
      <c r="DV88" s="30" t="s">
        <v>1309</v>
      </c>
      <c r="DW88">
        <f>_xlfn.XLOOKUP(DV88,'KPI Impacts'!$B$2:$H$2,'KPI Impacts'!$B88:$H88)</f>
        <v>4</v>
      </c>
      <c r="DX88" s="35" t="s">
        <v>1304</v>
      </c>
      <c r="DY88">
        <f>_xlfn.XLOOKUP(DX88,'KPI Impacts'!$B$2:$H$2,'KPI Impacts'!$B88:$H88)</f>
        <v>0</v>
      </c>
      <c r="EA88" s="9"/>
      <c r="EB88" s="12">
        <f>EB$4*EM88</f>
        <v>0</v>
      </c>
      <c r="EC88" s="12">
        <f>EC$4 * IF(AND(EB$4=1,EB$20=1), EO88, EM88)</f>
        <v>0</v>
      </c>
      <c r="ED88" s="12">
        <f>ED$4 * IF(AND(EC$4=1,EB$20=1), EO88, EM88)</f>
        <v>0</v>
      </c>
      <c r="EE88" s="12">
        <f>EE$4 * IF(AND(ED$4=1,EB$20=1), EO88, EM88)</f>
        <v>0</v>
      </c>
      <c r="EF88" s="12">
        <f>EF$4 * IF(AND(EE$4=1,EB$20=1), EO88, EM88)</f>
        <v>0</v>
      </c>
      <c r="EG88" s="12">
        <f>EG$4 * IF(AND(EF$4=1,EB$20=1), EO88, EM88)</f>
        <v>0</v>
      </c>
      <c r="EH88" s="12">
        <f>EH$4 * IF(AND(EG$4=1,EB$20=1), EO88, EM88)</f>
        <v>0</v>
      </c>
      <c r="EI88" s="12">
        <f>EI$4 * IF(AND(EH$4=1,EB$20=1), EO88, EM88)</f>
        <v>0</v>
      </c>
      <c r="EJ88" s="12">
        <f>EJ$4 * IF(AND(EI$4=1,EB$20=1), EO88, EM88)</f>
        <v>0</v>
      </c>
      <c r="EL88" s="30" t="s">
        <v>1309</v>
      </c>
      <c r="EM88">
        <f>_xlfn.XLOOKUP(EL88,'KPI Impacts'!$B$2:$H$2,'KPI Impacts'!$B88:$H88)</f>
        <v>4</v>
      </c>
      <c r="EN88" s="35" t="s">
        <v>1304</v>
      </c>
      <c r="EO88">
        <f>_xlfn.XLOOKUP(EN88,'KPI Impacts'!$B$2:$H$2,'KPI Impacts'!$B88:$H88)</f>
        <v>0</v>
      </c>
      <c r="EQ88" s="9"/>
      <c r="ER88" s="12">
        <f>ER$4*FC88</f>
        <v>0</v>
      </c>
      <c r="ES88" s="12">
        <f>ES$4 * IF(AND(ER$4=1,ER$20=1), FE88, FC88)</f>
        <v>0</v>
      </c>
      <c r="ET88" s="12">
        <f>ET$4 * IF(AND(ES$4=1,ER$20=1), FE88, FC88)</f>
        <v>0</v>
      </c>
      <c r="EU88" s="12">
        <f>EU$4 * IF(AND(ET$4=1,ER$20=1), FE88, FC88)</f>
        <v>0</v>
      </c>
      <c r="EV88" s="12">
        <f>EV$4 * IF(AND(EU$4=1,ER$20=1), FE88, FC88)</f>
        <v>0</v>
      </c>
      <c r="EW88" s="12">
        <f>EW$4 * IF(AND(EV$4=1,ER$20=1), FE88, FC88)</f>
        <v>0</v>
      </c>
      <c r="EX88" s="12">
        <f>EX$4 * IF(AND(EW$4=1,ER$20=1), FE88, FC88)</f>
        <v>0</v>
      </c>
      <c r="EY88" s="12">
        <f>EY$4 * IF(AND(EX$4=1,ER$20=1), FE88, FC88)</f>
        <v>0</v>
      </c>
      <c r="EZ88" s="12">
        <f>EZ$4 * IF(AND(EY$4=1,ER$20=1), FE88, FC88)</f>
        <v>0</v>
      </c>
      <c r="FB88" s="16" t="s">
        <v>1304</v>
      </c>
      <c r="FC88">
        <f>_xlfn.XLOOKUP(FB88,'KPI Impacts'!$B$2:$H$2,'KPI Impacts'!$B88:$H88)</f>
        <v>0</v>
      </c>
      <c r="FD88" s="35" t="s">
        <v>1304</v>
      </c>
      <c r="FE88">
        <f>_xlfn.XLOOKUP(FD88,'KPI Impacts'!$B$2:$H$2,'KPI Impacts'!$B88:$H88)</f>
        <v>0</v>
      </c>
      <c r="FG88" s="9"/>
      <c r="FH88" s="12">
        <f>FH$4*FS88</f>
        <v>0</v>
      </c>
      <c r="FI88" s="12">
        <f>FI$4 * IF(AND(FH$4=1,FH$20=1), FU88, FS88)</f>
        <v>0</v>
      </c>
      <c r="FJ88" s="12">
        <f>FJ$4 * IF(AND(FI$4=1,FH$20=1), FU88, FS88)</f>
        <v>0</v>
      </c>
      <c r="FK88" s="12">
        <f>FK$4 * IF(AND(FJ$4=1,FH$20=1), FU88, FS88)</f>
        <v>0</v>
      </c>
      <c r="FL88" s="12">
        <f>FL$4 * IF(AND(FK$4=1,FH$20=1), FU88, FS88)</f>
        <v>0</v>
      </c>
      <c r="FM88" s="12">
        <f>FM$4 * IF(AND(FL$4=1,FH$20=1), FU88, FS88)</f>
        <v>0</v>
      </c>
      <c r="FN88" s="12">
        <f>FN$4 * IF(AND(FM$4=1,FH$20=1), FU88, FS88)</f>
        <v>0</v>
      </c>
      <c r="FO88" s="12">
        <f>FO$4 * IF(AND(FN$4=1,FH$20=1), FU88, FS88)</f>
        <v>0</v>
      </c>
      <c r="FP88" s="12">
        <f>FP$4 * IF(AND(FO$4=1,FH$20=1), FU88, FS88)</f>
        <v>0</v>
      </c>
      <c r="FR88" s="30" t="s">
        <v>1308</v>
      </c>
      <c r="FS88">
        <f>_xlfn.XLOOKUP(FR88,'KPI Impacts'!$B$2:$H$2,'KPI Impacts'!$B88:$H88)</f>
        <v>1</v>
      </c>
      <c r="FT88" s="35" t="s">
        <v>1304</v>
      </c>
      <c r="FU88">
        <f>_xlfn.XLOOKUP(FT88,'KPI Impacts'!$B$2:$H$2,'KPI Impacts'!$B88:$H88)</f>
        <v>0</v>
      </c>
      <c r="FW88" s="9"/>
      <c r="FX88" s="12">
        <f>FX$4*GI88</f>
        <v>0</v>
      </c>
      <c r="FY88" s="12">
        <f>FY$4 * IF(AND(FX$4=1,FX$20=1), GK88, GI88)</f>
        <v>0</v>
      </c>
      <c r="FZ88" s="12">
        <f>FZ$4 * IF(AND(FY$4=1,FX$20=1), GK88, GI88)</f>
        <v>0</v>
      </c>
      <c r="GA88" s="12">
        <f>GA$4 * IF(AND(FZ$4=1,FX$20=1), GK88, GI88)</f>
        <v>0</v>
      </c>
      <c r="GB88" s="12">
        <f>GB$4 * IF(AND(GA$4=1,FX$20=1), GK88, GI88)</f>
        <v>0</v>
      </c>
      <c r="GC88" s="12">
        <f>GC$4 * IF(AND(GB$4=1,FX$20=1), GK88, GI88)</f>
        <v>0</v>
      </c>
      <c r="GD88" s="12">
        <f>GD$4 * IF(AND(GC$4=1,FX$20=1), GK88, GI88)</f>
        <v>0</v>
      </c>
      <c r="GE88" s="12">
        <f>GE$4 * IF(AND(GD$4=1,FX$20=1), GK88, GI88)</f>
        <v>0</v>
      </c>
      <c r="GF88" s="12">
        <f>GF$4 * IF(AND(GE$4=1,FX$20=1), GK88, GI88)</f>
        <v>0</v>
      </c>
      <c r="GH88" s="16" t="s">
        <v>1304</v>
      </c>
      <c r="GI88">
        <f>_xlfn.XLOOKUP(GH88,'KPI Impacts'!$B$2:$H$2,'KPI Impacts'!$B88:$H88)</f>
        <v>0</v>
      </c>
      <c r="GJ88" s="35" t="s">
        <v>1304</v>
      </c>
      <c r="GK88">
        <f>_xlfn.XLOOKUP(GJ88,'KPI Impacts'!$B$2:$H$2,'KPI Impacts'!$B88:$H88)</f>
        <v>0</v>
      </c>
      <c r="GN88" s="12">
        <f>GN$4*GY88</f>
        <v>0</v>
      </c>
      <c r="GO88" s="12">
        <f>GO$4 * IF(AND(GN$4=1,GN$20=1), HA88, GY88)</f>
        <v>0</v>
      </c>
      <c r="GP88" s="12">
        <f>GP$4 * IF(AND(GO$4=1,GN$20=1), HA88, GY88)</f>
        <v>0</v>
      </c>
      <c r="GQ88" s="12">
        <f>GQ$4 * IF(AND(GP$4=1,GN$20=1), HA88, GY88)</f>
        <v>0</v>
      </c>
      <c r="GR88" s="12">
        <f>GR$4 * IF(AND(GQ$4=1,GN$20=1), HA88, GY88)</f>
        <v>0</v>
      </c>
      <c r="GS88" s="12">
        <f>GS$4 * IF(AND(GR$4=1,GN$20=1), HA88, GY88)</f>
        <v>0</v>
      </c>
      <c r="GT88" s="12">
        <f>GT$4 * IF(AND(GS$4=1,GN$20=1), HA88, GY88)</f>
        <v>0</v>
      </c>
      <c r="GU88" s="12">
        <f>GU$4 * IF(AND(GT$4=1,GN$20=1), HA88, GY88)</f>
        <v>0</v>
      </c>
      <c r="GV88" s="12">
        <f>GV$4 * IF(AND(GU$4=1,GN$20=1), HA88, GY88)</f>
        <v>0</v>
      </c>
      <c r="GX88" s="16" t="s">
        <v>1304</v>
      </c>
      <c r="GY88">
        <f>_xlfn.XLOOKUP(GX88,'KPI Impacts'!$B$2:$H$2,'KPI Impacts'!$B88:$H88)</f>
        <v>0</v>
      </c>
      <c r="GZ88" s="35" t="s">
        <v>1304</v>
      </c>
      <c r="HA88">
        <f>_xlfn.XLOOKUP(GZ88,'KPI Impacts'!$B$2:$H$2,'KPI Impacts'!$B88:$H88)</f>
        <v>0</v>
      </c>
      <c r="HD88" s="12">
        <f>HD$4*HO88</f>
        <v>0</v>
      </c>
      <c r="HE88" s="12">
        <f>HE$4 * IF(AND(HD$4=1,HD$20=1), HQ88, HO88)</f>
        <v>0</v>
      </c>
      <c r="HF88" s="12">
        <f>HF$4 * IF(AND(HE$4=1,HD$20=1), HQ88, HO88)</f>
        <v>0</v>
      </c>
      <c r="HG88" s="12">
        <f>HG$4 * IF(AND(HF$4=1,HD$20=1), HQ88, HO88)</f>
        <v>0</v>
      </c>
      <c r="HH88" s="12">
        <f>HH$4 * IF(AND(HG$4=1,HD$20=1), HQ88, HO88)</f>
        <v>0</v>
      </c>
      <c r="HI88" s="12">
        <f>HI$4 * IF(AND(HH$4=1,HD$20=1), HQ88, HO88)</f>
        <v>0</v>
      </c>
      <c r="HJ88" s="12">
        <f>HJ$4 * IF(AND(HI$4=1,HD$20=1), HQ88, HO88)</f>
        <v>0</v>
      </c>
      <c r="HK88" s="12">
        <f>HK$4 * IF(AND(HJ$4=1,HD$20=1), HQ88, HO88)</f>
        <v>0</v>
      </c>
      <c r="HL88" s="12">
        <f>HL$4 * IF(AND(HK$4=1,HD$20=1), HQ88, HO88)</f>
        <v>0</v>
      </c>
      <c r="HN88" s="30" t="s">
        <v>1308</v>
      </c>
      <c r="HO88">
        <f>_xlfn.XLOOKUP(HN88,'KPI Impacts'!$B$2:$H$2,'KPI Impacts'!$B88:$H88)</f>
        <v>1</v>
      </c>
      <c r="HP88" s="35" t="s">
        <v>1304</v>
      </c>
      <c r="HQ88">
        <f>_xlfn.XLOOKUP(HP88,'KPI Impacts'!$B$2:$H$2,'KPI Impacts'!$B88:$H88)</f>
        <v>0</v>
      </c>
      <c r="HT88" s="12">
        <f>HT$4*IE88</f>
        <v>0</v>
      </c>
      <c r="HU88" s="12">
        <f>HU$4 * IF(AND(HT$4=1,HT$20=1), IG88, IE88)</f>
        <v>0</v>
      </c>
      <c r="HV88" s="12">
        <f>HV$4 * IF(AND(HU$4=1,HT$20=1), IG88, IE88)</f>
        <v>0</v>
      </c>
      <c r="HW88" s="12">
        <f>HW$4 * IF(AND(HV$4=1,HT$20=1), IG88, IE88)</f>
        <v>0</v>
      </c>
      <c r="HX88" s="12">
        <f>HX$4 * IF(AND(HW$4=1,HT$20=1), IG88, IE88)</f>
        <v>0</v>
      </c>
      <c r="HY88" s="12">
        <f>HY$4 * IF(AND(HX$4=1,HT$20=1), IG88, IE88)</f>
        <v>0</v>
      </c>
      <c r="HZ88" s="12">
        <f>HZ$4 * IF(AND(HY$4=1,HT$20=1), IG88, IE88)</f>
        <v>0</v>
      </c>
      <c r="IA88" s="12">
        <f>IA$4 * IF(AND(HZ$4=1,HT$20=1), IG88, IE88)</f>
        <v>0</v>
      </c>
      <c r="IB88" s="12">
        <f>IB$4 * IF(AND(IA$4=1,HT$20=1), IG88, IE88)</f>
        <v>0</v>
      </c>
      <c r="ID88" s="16" t="s">
        <v>1304</v>
      </c>
      <c r="IE88">
        <f>_xlfn.XLOOKUP(ID88,'KPI Impacts'!$B$2:$H$2,'KPI Impacts'!$B88:$H88)</f>
        <v>0</v>
      </c>
      <c r="IF88" s="9" t="s">
        <v>1304</v>
      </c>
      <c r="IG88">
        <f>_xlfn.XLOOKUP(IF88,'KPI Impacts'!$B$2:$H$2,'KPI Impacts'!$B88:$H88)</f>
        <v>0</v>
      </c>
      <c r="IJ88" s="12">
        <f>IJ$4*IU88</f>
        <v>0</v>
      </c>
      <c r="IK88" s="12">
        <f>IK$4 * IF(AND(IJ$4=1,IJ$20=1), IW88, IU88)</f>
        <v>0</v>
      </c>
      <c r="IL88" s="12">
        <f>IL$4 * IF(AND(IK$4=1,IJ$20=1), IW88, IU88)</f>
        <v>0</v>
      </c>
      <c r="IM88" s="12">
        <f>IM$4 * IF(AND(IL$4=1,IJ$20=1), IW88, IU88)</f>
        <v>0</v>
      </c>
      <c r="IN88" s="12">
        <f>IN$4 * IF(AND(IM$4=1,IJ$20=1), IW88, IU88)</f>
        <v>0</v>
      </c>
      <c r="IO88" s="12">
        <f>IO$4 * IF(AND(IN$4=1,IJ$20=1), IW88, IU88)</f>
        <v>0</v>
      </c>
      <c r="IP88" s="12">
        <f>IP$4 * IF(AND(IO$4=1,IJ$20=1), IW88, IU88)</f>
        <v>0</v>
      </c>
      <c r="IQ88" s="12">
        <f>IQ$4 * IF(AND(IP$4=1,IJ$20=1), IW88, IU88)</f>
        <v>0</v>
      </c>
      <c r="IR88" s="12">
        <f>IR$4 * IF(AND(IQ$4=1,IJ$20=1), IW88, IU88)</f>
        <v>0</v>
      </c>
      <c r="IT88" s="29" t="s">
        <v>1305</v>
      </c>
      <c r="IU88">
        <f>_xlfn.XLOOKUP(IT88,'KPI Impacts'!$B$2:$H$2,'KPI Impacts'!$B88:$H88)</f>
        <v>-0.8</v>
      </c>
      <c r="IV88" s="9" t="s">
        <v>1304</v>
      </c>
      <c r="IW88">
        <f>_xlfn.XLOOKUP(IV88,'KPI Impacts'!$B$2:$H$2,'KPI Impacts'!$B88:$H88)</f>
        <v>0</v>
      </c>
      <c r="IZ88" s="12">
        <f>IZ$4*JK88</f>
        <v>0</v>
      </c>
      <c r="JA88" s="12">
        <f>JA$4 * IF(AND(IZ$4=1,IZ$20=1), JM88, JK88)</f>
        <v>0</v>
      </c>
      <c r="JB88" s="12">
        <f>JB$4 * IF(AND(JA$4=1,IZ$20=1), JM88, JK88)</f>
        <v>0</v>
      </c>
      <c r="JC88" s="12">
        <f>JC$4 * IF(AND(JB$4=1,IZ$20=1), JM88, JK88)</f>
        <v>0</v>
      </c>
      <c r="JD88" s="12">
        <f>JD$4 * IF(AND(JC$4=1,IZ$20=1), JM88, JK88)</f>
        <v>0</v>
      </c>
      <c r="JE88" s="12">
        <f>JE$4 * IF(AND(JD$4=1,IZ$20=1), JM88, JK88)</f>
        <v>0</v>
      </c>
      <c r="JF88" s="12">
        <f>JF$4 * IF(AND(JE$4=1,IZ$20=1), JM88, JK88)</f>
        <v>0</v>
      </c>
      <c r="JG88" s="12">
        <f>JG$4 * IF(AND(JF$4=1,IZ$20=1), JM88, JK88)</f>
        <v>0</v>
      </c>
      <c r="JH88" s="12">
        <f>JH$4 * IF(AND(JG$4=1,IZ$20=1), JM88, JK88)</f>
        <v>0</v>
      </c>
      <c r="JJ88" t="s">
        <v>1304</v>
      </c>
      <c r="JK88">
        <f>_xlfn.XLOOKUP(JJ88,'KPI Impacts'!$B$2:$H$2,'KPI Impacts'!$B88:$H88)</f>
        <v>0</v>
      </c>
      <c r="JL88" s="9" t="s">
        <v>1304</v>
      </c>
      <c r="JM88">
        <f>_xlfn.XLOOKUP(JL88,'KPI Impacts'!$B$2:$H$2,'KPI Impacts'!$B88:$H88)</f>
        <v>0</v>
      </c>
      <c r="JP88" s="12">
        <f>JP$4*KA88</f>
        <v>0</v>
      </c>
      <c r="JQ88" s="12">
        <f>JQ$4 * IF(AND(JP$4=1,JP$20=1), KC88, KA88)</f>
        <v>0</v>
      </c>
      <c r="JR88" s="12">
        <f>JR$4 * IF(AND(JQ$4=1,JP$20=1), KC88, KA88)</f>
        <v>0</v>
      </c>
      <c r="JS88" s="12">
        <f>JS$4 * IF(AND(JR$4=1,JP$20=1), KC88, KA88)</f>
        <v>0</v>
      </c>
      <c r="JT88" s="12">
        <f>JT$4 * IF(AND(JS$4=1,JP$20=1), KC88, KA88)</f>
        <v>0</v>
      </c>
      <c r="JU88" s="12">
        <f>JU$4 * IF(AND(JT$4=1,JP$20=1), KC88, KA88)</f>
        <v>0</v>
      </c>
      <c r="JV88" s="12">
        <f>JV$4 * IF(AND(JU$4=1,JP$20=1), KC88, KA88)</f>
        <v>0</v>
      </c>
      <c r="JW88" s="12">
        <f>JW$4 * IF(AND(JV$4=1,JP$20=1), KC88, KA88)</f>
        <v>0</v>
      </c>
      <c r="JX88" s="12">
        <f>JX$4 * IF(AND(JW$4=1,JP$20=1), KC88, KA88)</f>
        <v>0</v>
      </c>
      <c r="JZ88" t="s">
        <v>1304</v>
      </c>
      <c r="KA88">
        <f>_xlfn.XLOOKUP(JZ88,'KPI Impacts'!$B$2:$H$2,'KPI Impacts'!$B88:$H88)</f>
        <v>0</v>
      </c>
      <c r="KB88" s="9" t="s">
        <v>1304</v>
      </c>
      <c r="KC88">
        <f>_xlfn.XLOOKUP(KB88,'KPI Impacts'!$B$2:$H$2,'KPI Impacts'!$B88:$H88)</f>
        <v>0</v>
      </c>
      <c r="KF88" s="12">
        <f>KF$4*KQ88</f>
        <v>0</v>
      </c>
      <c r="KG88" s="12">
        <f>KG$4 * IF(AND(KF$4=1,KF$20=1), KS88, KQ88)</f>
        <v>0</v>
      </c>
      <c r="KH88" s="12">
        <f>KH$4 * IF(AND(KG$4=1,KF$20=1), KS88, KQ88)</f>
        <v>0</v>
      </c>
      <c r="KI88" s="12">
        <f>KI$4 * IF(AND(KH$4=1,KF$20=1), KS88, KQ88)</f>
        <v>0</v>
      </c>
      <c r="KJ88" s="12">
        <f>KJ$4 * IF(AND(KI$4=1,KF$20=1), KS88, KQ88)</f>
        <v>0</v>
      </c>
      <c r="KK88" s="12">
        <f>KK$4 * IF(AND(KJ$4=1,KF$20=1), KS88, KQ88)</f>
        <v>0</v>
      </c>
      <c r="KL88" s="12">
        <f>KL$4 * IF(AND(KK$4=1,KF$20=1), KS88, KQ88)</f>
        <v>0</v>
      </c>
      <c r="KM88" s="12">
        <f>KM$4 * IF(AND(KL$4=1,KF$20=1), KS88, KQ88)</f>
        <v>0</v>
      </c>
      <c r="KN88" s="12">
        <f>KN$4 * IF(AND(KM$4=1,KF$20=1), KS88, KQ88)</f>
        <v>0</v>
      </c>
      <c r="KP88" t="s">
        <v>1304</v>
      </c>
      <c r="KQ88">
        <f>_xlfn.XLOOKUP(KP88,'KPI Impacts'!$B$2:$H$2,'KPI Impacts'!$B88:$H88)</f>
        <v>0</v>
      </c>
      <c r="KR88" s="9" t="s">
        <v>1304</v>
      </c>
      <c r="KS88">
        <f>_xlfn.XLOOKUP(KR88,'KPI Impacts'!$B$2:$H$2,'KPI Impacts'!$B88:$H88)</f>
        <v>0</v>
      </c>
      <c r="KV88" s="12">
        <f>KV$4*LG88</f>
        <v>0</v>
      </c>
      <c r="KW88" s="12">
        <f>KW$4 * IF(AND(KV$4=1,KV$20=1), LI88, LG88)</f>
        <v>0</v>
      </c>
      <c r="KX88" s="12">
        <f>KX$4 * IF(AND(KW$4=1,KV$20=1), LI88, LG88)</f>
        <v>0</v>
      </c>
      <c r="KY88" s="12">
        <f>KY$4 * IF(AND(KX$4=1,KV$20=1), LI88, LG88)</f>
        <v>0</v>
      </c>
      <c r="KZ88" s="12">
        <f>KZ$4 * IF(AND(KY$4=1,KV$20=1), LI88, LG88)</f>
        <v>0</v>
      </c>
      <c r="LA88" s="12">
        <f>LA$4 * IF(AND(KZ$4=1,KV$20=1), LI88, LG88)</f>
        <v>0</v>
      </c>
      <c r="LB88" s="12">
        <f>LB$4 * IF(AND(LA$4=1,KV$20=1), LI88, LG88)</f>
        <v>0</v>
      </c>
      <c r="LC88" s="12">
        <f>LC$4 * IF(AND(LB$4=1,KV$20=1), LI88, LG88)</f>
        <v>0</v>
      </c>
      <c r="LD88" s="12">
        <f>LD$4 * IF(AND(LC$4=1,KV$20=1), LI88, LG88)</f>
        <v>0</v>
      </c>
      <c r="LF88" t="s">
        <v>1304</v>
      </c>
      <c r="LG88">
        <f>_xlfn.XLOOKUP(LF88,'KPI Impacts'!$B$2:$H$2,'KPI Impacts'!$B88:$H88)</f>
        <v>0</v>
      </c>
      <c r="LH88" s="9" t="s">
        <v>1304</v>
      </c>
      <c r="LI88">
        <f>_xlfn.XLOOKUP(LH88,'KPI Impacts'!$B$2:$H$2,'KPI Impacts'!$B88:$H88)</f>
        <v>0</v>
      </c>
      <c r="LL88" s="12">
        <f>LL$4*LW88</f>
        <v>0</v>
      </c>
      <c r="LM88" s="12">
        <f>LM$4 * IF(AND(LL$4=1,LL$20=1), LY88, LW88)</f>
        <v>0</v>
      </c>
      <c r="LN88" s="12">
        <f>LN$4 * IF(AND(LM$4=1,LL$20=1), LY88, LW88)</f>
        <v>0</v>
      </c>
      <c r="LO88" s="12">
        <f>LO$4 * IF(AND(LN$4=1,LL$20=1), LY88, LW88)</f>
        <v>0</v>
      </c>
      <c r="LP88" s="12">
        <f>LP$4 * IF(AND(LO$4=1,LL$20=1), LY88, LW88)</f>
        <v>0</v>
      </c>
      <c r="LQ88" s="12">
        <f>LQ$4 * IF(AND(LP$4=1,LL$20=1), LY88, LW88)</f>
        <v>0</v>
      </c>
      <c r="LR88" s="12">
        <f>LR$4 * IF(AND(LQ$4=1,LL$20=1), LY88, LW88)</f>
        <v>0</v>
      </c>
      <c r="LS88" s="12">
        <f>LS$4 * IF(AND(LR$4=1,LL$20=1), LY88, LW88)</f>
        <v>0</v>
      </c>
      <c r="LT88" s="12">
        <f>LT$4 * IF(AND(LS$4=1,LL$20=1), LY88, LW88)</f>
        <v>0</v>
      </c>
      <c r="LV88" t="s">
        <v>1304</v>
      </c>
      <c r="LW88">
        <f>_xlfn.XLOOKUP(LV88,'KPI Impacts'!$B$2:$H$2,'KPI Impacts'!$B88:$H88)</f>
        <v>0</v>
      </c>
      <c r="LX88" s="9" t="s">
        <v>1304</v>
      </c>
      <c r="LY88">
        <f>_xlfn.XLOOKUP(LX88,'KPI Impacts'!$B$2:$H$2,'KPI Impacts'!$B88:$H88)</f>
        <v>0</v>
      </c>
      <c r="MB88" s="12">
        <f>MB$4*MM88</f>
        <v>0</v>
      </c>
      <c r="MC88" s="12">
        <f>MC$4 * IF(AND(MB$4=1,MB$20=1), MO88, MM88)</f>
        <v>0</v>
      </c>
      <c r="MD88" s="12">
        <f>MD$4 * IF(AND(MC$4=1,MB$20=1), MO88, MM88)</f>
        <v>0</v>
      </c>
      <c r="ME88" s="12">
        <f>ME$4 * IF(AND(MD$4=1,MB$20=1), MO88, MM88)</f>
        <v>0</v>
      </c>
      <c r="MF88" s="12">
        <f>MF$4 * IF(AND(ME$4=1,MB$20=1), MO88, MM88)</f>
        <v>0</v>
      </c>
      <c r="MG88" s="12">
        <f>MG$4 * IF(AND(MF$4=1,MB$20=1), MO88, MM88)</f>
        <v>0</v>
      </c>
      <c r="MH88" s="12">
        <f>MH$4 * IF(AND(MG$4=1,MB$20=1), MO88, MM88)</f>
        <v>0</v>
      </c>
      <c r="MI88" s="12">
        <f>MI$4 * IF(AND(MH$4=1,MB$20=1), MO88, MM88)</f>
        <v>0</v>
      </c>
      <c r="MJ88" s="12">
        <f>MJ$4 * IF(AND(MI$4=1,MB$20=1), MO88, MM88)</f>
        <v>0</v>
      </c>
      <c r="ML88" t="s">
        <v>1304</v>
      </c>
      <c r="MM88">
        <f>_xlfn.XLOOKUP(ML88,'KPI Impacts'!$B$2:$H$2,'KPI Impacts'!$B88:$H88)</f>
        <v>0</v>
      </c>
      <c r="MN88" s="9" t="s">
        <v>1304</v>
      </c>
      <c r="MO88">
        <f>_xlfn.XLOOKUP(MN88,'KPI Impacts'!$B$2:$H$2,'KPI Impacts'!$B88:$H88)</f>
        <v>0</v>
      </c>
      <c r="MR88" s="12">
        <f>MR$4*NC88</f>
        <v>0</v>
      </c>
      <c r="MS88" s="12">
        <f>MS$4 * IF(AND(MR$4=1,MR$20=1), NE88, NC88)</f>
        <v>0</v>
      </c>
      <c r="MT88" s="12">
        <f>MT$4 * IF(AND(MS$4=1,MR$20=1), NE88, NC88)</f>
        <v>0</v>
      </c>
      <c r="MU88" s="12">
        <f>MU$4 * IF(AND(MT$4=1,MR$20=1), NE88, NC88)</f>
        <v>0</v>
      </c>
      <c r="MV88" s="12">
        <f>MV$4 * IF(AND(MU$4=1,MR$20=1), NE88, NC88)</f>
        <v>0</v>
      </c>
      <c r="MW88" s="12">
        <f>MW$4 * IF(AND(MV$4=1,MR$20=1), NE88, NC88)</f>
        <v>0</v>
      </c>
      <c r="MX88" s="12">
        <f>MX$4 * IF(AND(MW$4=1,MR$20=1), NE88, NC88)</f>
        <v>0</v>
      </c>
      <c r="MY88" s="12">
        <f>MY$4 * IF(AND(MX$4=1,MR$20=1), NE88, NC88)</f>
        <v>0</v>
      </c>
      <c r="MZ88" s="12">
        <f>MZ$4 * IF(AND(MY$4=1,MR$20=1), NE88, NC88)</f>
        <v>0</v>
      </c>
      <c r="NB88" t="s">
        <v>1304</v>
      </c>
      <c r="NC88">
        <f>_xlfn.XLOOKUP(NB88,'KPI Impacts'!$B$2:$H$2,'KPI Impacts'!$B88:$H88)</f>
        <v>0</v>
      </c>
      <c r="ND88" s="9" t="s">
        <v>1304</v>
      </c>
      <c r="NE88">
        <f>_xlfn.XLOOKUP(ND88,'KPI Impacts'!$B$2:$H$2,'KPI Impacts'!$B88:$H88)</f>
        <v>0</v>
      </c>
      <c r="NH88" s="12">
        <f>NH$4*NS88</f>
        <v>0</v>
      </c>
      <c r="NI88" s="12">
        <f>NI$4 * IF(AND(NH$4=1,NH$20=1), NU88, NS88)</f>
        <v>0</v>
      </c>
      <c r="NJ88" s="12">
        <f>NJ$4 * IF(AND(NI$4=1,NH$20=1), NU88, NS88)</f>
        <v>0</v>
      </c>
      <c r="NK88" s="12">
        <f>NK$4 * IF(AND(NJ$4=1,NH$20=1), NU88, NS88)</f>
        <v>0</v>
      </c>
      <c r="NL88" s="12">
        <f>NL$4 * IF(AND(NK$4=1,NH$20=1), NU88, NS88)</f>
        <v>0</v>
      </c>
      <c r="NM88" s="12">
        <f>NM$4 * IF(AND(NL$4=1,NH$20=1), NU88, NS88)</f>
        <v>0</v>
      </c>
      <c r="NN88" s="12">
        <f>NN$4 * IF(AND(NM$4=1,NH$20=1), NU88, NS88)</f>
        <v>0</v>
      </c>
      <c r="NO88" s="12">
        <f>NO$4 * IF(AND(NN$4=1,NH$20=1), NU88, NS88)</f>
        <v>0</v>
      </c>
      <c r="NP88" s="12">
        <f>NP$4 * IF(AND(NO$4=1,NH$20=1), NU88, NS88)</f>
        <v>0</v>
      </c>
      <c r="NR88" t="s">
        <v>1304</v>
      </c>
      <c r="NS88">
        <f>_xlfn.XLOOKUP(NR88,'KPI Impacts'!$B$2:$H$2,'KPI Impacts'!$B88:$H88)</f>
        <v>0</v>
      </c>
      <c r="NT88" s="9" t="s">
        <v>1304</v>
      </c>
      <c r="NU88">
        <f>_xlfn.XLOOKUP(NT88,'KPI Impacts'!$B$2:$H$2,'KPI Impacts'!$B88:$H88)</f>
        <v>0</v>
      </c>
      <c r="NX88" s="12">
        <f>NX$4*OI88</f>
        <v>0</v>
      </c>
      <c r="NY88" s="12">
        <f>NY$4 * IF(AND(NX$4=1,NX$20=1), OK88, OI88)</f>
        <v>0</v>
      </c>
      <c r="NZ88" s="12">
        <f>NZ$4 * IF(AND(NY$4=1,NX$20=1), OK88, OI88)</f>
        <v>0</v>
      </c>
      <c r="OA88" s="12">
        <f>OA$4 * IF(AND(NZ$4=1,NX$20=1), OK88, OI88)</f>
        <v>0</v>
      </c>
      <c r="OB88" s="12">
        <f>OB$4 * IF(AND(OA$4=1,NX$20=1), OK88, OI88)</f>
        <v>0</v>
      </c>
      <c r="OC88" s="12">
        <f>OC$4 * IF(AND(OB$4=1,NX$20=1), OK88, OI88)</f>
        <v>0</v>
      </c>
      <c r="OD88" s="12">
        <f>OD$4 * IF(AND(OC$4=1,NX$20=1), OK88, OI88)</f>
        <v>0</v>
      </c>
      <c r="OE88" s="12">
        <f>OE$4 * IF(AND(OD$4=1,NX$20=1), OK88, OI88)</f>
        <v>0</v>
      </c>
      <c r="OF88" s="12">
        <f>OF$4 * IF(AND(OE$4=1,NX$20=1), OK88, OI88)</f>
        <v>0</v>
      </c>
      <c r="OH88" t="s">
        <v>1304</v>
      </c>
      <c r="OI88">
        <f>_xlfn.XLOOKUP(OH88,'KPI Impacts'!$B$2:$H$2,'KPI Impacts'!$B88:$H88)</f>
        <v>0</v>
      </c>
      <c r="OJ88" s="9" t="s">
        <v>1304</v>
      </c>
      <c r="OK88">
        <f>_xlfn.XLOOKUP(OJ88,'KPI Impacts'!$B$2:$H$2,'KPI Impacts'!$B88:$H88)</f>
        <v>0</v>
      </c>
    </row>
    <row r="89" spans="1:401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M89" s="6"/>
      <c r="N89" s="6"/>
      <c r="O89" s="9"/>
      <c r="P89" s="12"/>
      <c r="Q89" s="12"/>
      <c r="R89" s="12"/>
      <c r="S89" s="12"/>
      <c r="T89" s="12"/>
      <c r="U89" s="12"/>
      <c r="V89" s="12"/>
      <c r="W89" s="12"/>
      <c r="X89" s="12"/>
      <c r="AG89" s="9"/>
      <c r="AH89" s="12"/>
      <c r="AI89" s="12"/>
      <c r="AJ89" s="12"/>
      <c r="AK89" s="12"/>
      <c r="AL89" s="12"/>
      <c r="AM89" s="12"/>
      <c r="AN89" s="12"/>
      <c r="AO89" s="12"/>
      <c r="AP89" s="12"/>
      <c r="AY89" s="9"/>
      <c r="AZ89" s="12"/>
      <c r="BA89" s="12"/>
      <c r="BB89" s="12"/>
      <c r="BC89" s="12"/>
      <c r="BD89" s="12"/>
      <c r="BE89" s="12"/>
      <c r="BF89" s="12"/>
      <c r="BG89" s="12"/>
      <c r="BH89" s="12"/>
      <c r="BL89" s="9"/>
      <c r="BO89" s="9"/>
      <c r="BP89" s="12"/>
      <c r="BQ89" s="12"/>
      <c r="BR89" s="12"/>
      <c r="BS89" s="12"/>
      <c r="BT89" s="12"/>
      <c r="BU89" s="12"/>
      <c r="BV89" s="12"/>
      <c r="BW89" s="12"/>
      <c r="BX89" s="12"/>
      <c r="CB89" s="9"/>
      <c r="CE89" s="9"/>
      <c r="CF89" s="12"/>
      <c r="CG89" s="12"/>
      <c r="CH89" s="12"/>
      <c r="CI89" s="12"/>
      <c r="CJ89" s="12"/>
      <c r="CK89" s="12"/>
      <c r="CL89" s="12"/>
      <c r="CM89" s="12"/>
      <c r="CN89" s="12"/>
      <c r="CR89" s="9"/>
      <c r="CU89" s="9"/>
      <c r="CV89" s="12"/>
      <c r="CW89" s="12"/>
      <c r="CX89" s="12"/>
      <c r="CY89" s="12"/>
      <c r="CZ89" s="12"/>
      <c r="DA89" s="12"/>
      <c r="DB89" s="12"/>
      <c r="DC89" s="12"/>
      <c r="DD89" s="12"/>
      <c r="DH89" s="9"/>
      <c r="DK89" s="9"/>
      <c r="DL89" s="12"/>
      <c r="DM89" s="12"/>
      <c r="DN89" s="12"/>
      <c r="DO89" s="12"/>
      <c r="DP89" s="12"/>
      <c r="DQ89" s="12"/>
      <c r="DR89" s="12"/>
      <c r="DS89" s="12"/>
      <c r="DT89" s="12"/>
      <c r="DX89" s="9"/>
      <c r="EA89" s="9"/>
      <c r="EB89" s="12"/>
      <c r="EC89" s="12"/>
      <c r="ED89" s="12"/>
      <c r="EE89" s="12"/>
      <c r="EF89" s="12"/>
      <c r="EG89" s="12"/>
      <c r="EH89" s="12"/>
      <c r="EI89" s="12"/>
      <c r="EJ89" s="12"/>
      <c r="EN89" s="9"/>
      <c r="EQ89" s="9"/>
      <c r="ER89" s="12"/>
      <c r="ES89" s="12"/>
      <c r="ET89" s="12"/>
      <c r="EU89" s="12"/>
      <c r="EV89" s="12"/>
      <c r="EW89" s="12"/>
      <c r="EX89" s="12"/>
      <c r="EY89" s="12"/>
      <c r="EZ89" s="12"/>
      <c r="FD89" s="9"/>
      <c r="FG89" s="9"/>
      <c r="FH89" s="12"/>
      <c r="FI89" s="12"/>
      <c r="FJ89" s="12"/>
      <c r="FK89" s="12"/>
      <c r="FL89" s="12"/>
      <c r="FM89" s="12"/>
      <c r="FN89" s="12"/>
      <c r="FO89" s="12"/>
      <c r="FP89" s="12"/>
      <c r="FT89" s="9"/>
      <c r="FW89" s="9"/>
      <c r="FX89" s="12"/>
      <c r="FY89" s="12"/>
      <c r="FZ89" s="12"/>
      <c r="GA89" s="12"/>
      <c r="GB89" s="12"/>
      <c r="GC89" s="12"/>
      <c r="GD89" s="12"/>
      <c r="GE89" s="12"/>
      <c r="GF89" s="12"/>
      <c r="GJ89" s="9"/>
      <c r="GN89" s="12"/>
      <c r="GO89" s="12"/>
      <c r="GP89" s="12"/>
      <c r="GQ89" s="12"/>
      <c r="GR89" s="12"/>
      <c r="GS89" s="12"/>
      <c r="GT89" s="12"/>
      <c r="GU89" s="12"/>
      <c r="GV89" s="12"/>
      <c r="GZ89" s="9"/>
      <c r="HD89" s="12"/>
      <c r="HE89" s="12"/>
      <c r="HF89" s="12"/>
      <c r="HG89" s="12"/>
      <c r="HH89" s="12"/>
      <c r="HI89" s="12"/>
      <c r="HJ89" s="12"/>
      <c r="HK89" s="12"/>
      <c r="HL89" s="12"/>
      <c r="HP89" s="9"/>
      <c r="HT89" s="12"/>
      <c r="HU89" s="12"/>
      <c r="HV89" s="12"/>
      <c r="HW89" s="12"/>
      <c r="HX89" s="12"/>
      <c r="HY89" s="12"/>
      <c r="HZ89" s="12"/>
      <c r="IA89" s="12"/>
      <c r="IB89" s="12"/>
      <c r="IF89" s="9"/>
      <c r="IJ89" s="12"/>
      <c r="IK89" s="12"/>
      <c r="IL89" s="12"/>
      <c r="IM89" s="12"/>
      <c r="IN89" s="12"/>
      <c r="IO89" s="12"/>
      <c r="IP89" s="12"/>
      <c r="IQ89" s="12"/>
      <c r="IR89" s="12"/>
      <c r="IV89" s="9"/>
      <c r="IZ89" s="12"/>
      <c r="JA89" s="12"/>
      <c r="JB89" s="12"/>
      <c r="JC89" s="12"/>
      <c r="JD89" s="12"/>
      <c r="JE89" s="12"/>
      <c r="JF89" s="12"/>
      <c r="JG89" s="12"/>
      <c r="JH89" s="12"/>
      <c r="JL89" s="9"/>
      <c r="JP89" s="12"/>
      <c r="JQ89" s="12"/>
      <c r="JR89" s="12"/>
      <c r="JS89" s="12"/>
      <c r="JT89" s="12"/>
      <c r="JU89" s="12"/>
      <c r="JV89" s="12"/>
      <c r="JW89" s="12"/>
      <c r="JX89" s="12"/>
      <c r="KB89" s="9"/>
      <c r="KF89" s="12"/>
      <c r="KG89" s="12"/>
      <c r="KH89" s="12"/>
      <c r="KI89" s="12"/>
      <c r="KJ89" s="12"/>
      <c r="KK89" s="12"/>
      <c r="KL89" s="12"/>
      <c r="KM89" s="12"/>
      <c r="KN89" s="12"/>
      <c r="KR89" s="9"/>
      <c r="KV89" s="12"/>
      <c r="KW89" s="12"/>
      <c r="KX89" s="12"/>
      <c r="KY89" s="12"/>
      <c r="KZ89" s="12"/>
      <c r="LA89" s="12"/>
      <c r="LB89" s="12"/>
      <c r="LC89" s="12"/>
      <c r="LD89" s="12"/>
      <c r="LH89" s="9"/>
      <c r="LL89" s="12"/>
      <c r="LM89" s="12"/>
      <c r="LN89" s="12"/>
      <c r="LO89" s="12"/>
      <c r="LP89" s="12"/>
      <c r="LQ89" s="12"/>
      <c r="LR89" s="12"/>
      <c r="LS89" s="12"/>
      <c r="LT89" s="12"/>
      <c r="LX89" s="9"/>
      <c r="MB89" s="12"/>
      <c r="MC89" s="12"/>
      <c r="MD89" s="12"/>
      <c r="ME89" s="12"/>
      <c r="MF89" s="12"/>
      <c r="MG89" s="12"/>
      <c r="MH89" s="12"/>
      <c r="MI89" s="12"/>
      <c r="MJ89" s="12"/>
      <c r="MN89" s="9"/>
      <c r="MR89" s="12"/>
      <c r="MS89" s="12"/>
      <c r="MT89" s="12"/>
      <c r="MU89" s="12"/>
      <c r="MV89" s="12"/>
      <c r="MW89" s="12"/>
      <c r="MX89" s="12"/>
      <c r="MY89" s="12"/>
      <c r="MZ89" s="12"/>
      <c r="ND89" s="9"/>
      <c r="NH89" s="12"/>
      <c r="NI89" s="12"/>
      <c r="NJ89" s="12"/>
      <c r="NK89" s="12"/>
      <c r="NL89" s="12"/>
      <c r="NM89" s="12"/>
      <c r="NN89" s="12"/>
      <c r="NO89" s="12"/>
      <c r="NP89" s="12"/>
      <c r="NT89" s="9"/>
      <c r="NX89" s="12"/>
      <c r="NY89" s="12"/>
      <c r="NZ89" s="12"/>
      <c r="OA89" s="12"/>
      <c r="OB89" s="12"/>
      <c r="OC89" s="12"/>
      <c r="OD89" s="12"/>
      <c r="OE89" s="12"/>
      <c r="OF89" s="12"/>
      <c r="OJ89" s="9"/>
    </row>
    <row r="90" spans="1:401" x14ac:dyDescent="0.2">
      <c r="B90" s="12"/>
      <c r="M90" s="6"/>
      <c r="O90" s="9"/>
      <c r="P90" s="12"/>
      <c r="Q90" s="12"/>
      <c r="R90" s="12"/>
      <c r="S90" s="12"/>
      <c r="T90" s="12"/>
      <c r="U90" s="12"/>
      <c r="V90" s="12"/>
      <c r="W90" s="12"/>
      <c r="X90" s="12"/>
      <c r="AG90" s="9"/>
      <c r="AH90" s="12"/>
      <c r="AI90" s="12"/>
      <c r="AJ90" s="12"/>
      <c r="AK90" s="12"/>
      <c r="AL90" s="12"/>
      <c r="AM90" s="12"/>
      <c r="AN90" s="12"/>
      <c r="AO90" s="12"/>
      <c r="AP90" s="12"/>
      <c r="AY90" s="9"/>
      <c r="AZ90" s="12"/>
      <c r="BA90" s="12"/>
      <c r="BB90" s="12"/>
      <c r="BC90" s="12"/>
      <c r="BD90" s="12"/>
      <c r="BE90" s="12"/>
      <c r="BF90" s="12"/>
      <c r="BG90" s="12"/>
      <c r="BH90" s="12"/>
      <c r="BL90" s="9"/>
      <c r="BO90" s="9"/>
      <c r="BP90" s="12"/>
      <c r="BQ90" s="12"/>
      <c r="BR90" s="12"/>
      <c r="BS90" s="12"/>
      <c r="BT90" s="12"/>
      <c r="BU90" s="12"/>
      <c r="BV90" s="12"/>
      <c r="BW90" s="12"/>
      <c r="BX90" s="12"/>
      <c r="CB90" s="9"/>
      <c r="CE90" s="9"/>
      <c r="CF90" s="12"/>
      <c r="CG90" s="12"/>
      <c r="CH90" s="12"/>
      <c r="CI90" s="12"/>
      <c r="CJ90" s="12"/>
      <c r="CK90" s="12"/>
      <c r="CL90" s="12"/>
      <c r="CM90" s="12"/>
      <c r="CN90" s="12"/>
      <c r="CR90" s="9"/>
      <c r="CU90" s="9"/>
      <c r="CV90" s="12"/>
      <c r="CW90" s="12"/>
      <c r="CX90" s="12"/>
      <c r="CY90" s="12"/>
      <c r="CZ90" s="12"/>
      <c r="DA90" s="12"/>
      <c r="DB90" s="12"/>
      <c r="DC90" s="12"/>
      <c r="DD90" s="12"/>
      <c r="DH90" s="9"/>
      <c r="DK90" s="9"/>
      <c r="DL90" s="12"/>
      <c r="DM90" s="12"/>
      <c r="DN90" s="12"/>
      <c r="DO90" s="12"/>
      <c r="DP90" s="12"/>
      <c r="DQ90" s="12"/>
      <c r="DR90" s="12"/>
      <c r="DS90" s="12"/>
      <c r="DT90" s="12"/>
      <c r="DX90" s="9"/>
      <c r="EA90" s="9"/>
      <c r="EB90" s="12"/>
      <c r="EC90" s="12"/>
      <c r="ED90" s="12"/>
      <c r="EE90" s="12"/>
      <c r="EF90" s="12"/>
      <c r="EG90" s="12"/>
      <c r="EH90" s="12"/>
      <c r="EI90" s="12"/>
      <c r="EJ90" s="12"/>
      <c r="EN90" s="9"/>
      <c r="EQ90" s="9"/>
      <c r="ER90" s="12"/>
      <c r="ES90" s="12"/>
      <c r="ET90" s="12"/>
      <c r="EU90" s="12"/>
      <c r="EV90" s="12"/>
      <c r="EW90" s="12"/>
      <c r="EX90" s="12"/>
      <c r="EY90" s="12"/>
      <c r="EZ90" s="12"/>
      <c r="FD90" s="9"/>
      <c r="FG90" s="9"/>
      <c r="FH90" s="12"/>
      <c r="FI90" s="12"/>
      <c r="FJ90" s="12"/>
      <c r="FK90" s="12"/>
      <c r="FL90" s="12"/>
      <c r="FM90" s="12"/>
      <c r="FN90" s="12"/>
      <c r="FO90" s="12"/>
      <c r="FP90" s="12"/>
      <c r="FT90" s="9"/>
      <c r="FW90" s="9"/>
      <c r="FX90" s="12"/>
      <c r="FY90" s="12"/>
      <c r="FZ90" s="12"/>
      <c r="GA90" s="12"/>
      <c r="GB90" s="12"/>
      <c r="GC90" s="12"/>
      <c r="GD90" s="12"/>
      <c r="GE90" s="12"/>
      <c r="GF90" s="12"/>
      <c r="GJ90" s="9"/>
      <c r="GN90" s="12"/>
      <c r="GO90" s="12"/>
      <c r="GP90" s="12"/>
      <c r="GQ90" s="12"/>
      <c r="GR90" s="12"/>
      <c r="GS90" s="12"/>
      <c r="GT90" s="12"/>
      <c r="GU90" s="12"/>
      <c r="GV90" s="12"/>
      <c r="GZ90" s="9"/>
      <c r="HD90" s="12"/>
      <c r="HE90" s="12"/>
      <c r="HF90" s="12"/>
      <c r="HG90" s="12"/>
      <c r="HH90" s="12"/>
      <c r="HI90" s="12"/>
      <c r="HJ90" s="12"/>
      <c r="HK90" s="12"/>
      <c r="HL90" s="12"/>
      <c r="HP90" s="9"/>
      <c r="HT90" s="12"/>
      <c r="HU90" s="12"/>
      <c r="HV90" s="12"/>
      <c r="HW90" s="12"/>
      <c r="HX90" s="12"/>
      <c r="HY90" s="12"/>
      <c r="HZ90" s="12"/>
      <c r="IA90" s="12"/>
      <c r="IB90" s="12"/>
      <c r="IF90" s="9"/>
      <c r="IJ90" s="12"/>
      <c r="IK90" s="12"/>
      <c r="IL90" s="12"/>
      <c r="IM90" s="12"/>
      <c r="IN90" s="12"/>
      <c r="IO90" s="12"/>
      <c r="IP90" s="12"/>
      <c r="IQ90" s="12"/>
      <c r="IR90" s="12"/>
      <c r="IV90" s="9"/>
      <c r="IZ90" s="12"/>
      <c r="JA90" s="12"/>
      <c r="JB90" s="12"/>
      <c r="JC90" s="12"/>
      <c r="JD90" s="12"/>
      <c r="JE90" s="12"/>
      <c r="JF90" s="12"/>
      <c r="JG90" s="12"/>
      <c r="JH90" s="12"/>
      <c r="JL90" s="9"/>
      <c r="JP90" s="12"/>
      <c r="JQ90" s="12"/>
      <c r="JR90" s="12"/>
      <c r="JS90" s="12"/>
      <c r="JT90" s="12"/>
      <c r="JU90" s="12"/>
      <c r="JV90" s="12"/>
      <c r="JW90" s="12"/>
      <c r="JX90" s="12"/>
      <c r="KB90" s="9"/>
      <c r="KF90" s="12"/>
      <c r="KG90" s="12"/>
      <c r="KH90" s="12"/>
      <c r="KI90" s="12"/>
      <c r="KJ90" s="12"/>
      <c r="KK90" s="12"/>
      <c r="KL90" s="12"/>
      <c r="KM90" s="12"/>
      <c r="KN90" s="12"/>
      <c r="KR90" s="9"/>
      <c r="KV90" s="12"/>
      <c r="KW90" s="12"/>
      <c r="KX90" s="12"/>
      <c r="KY90" s="12"/>
      <c r="KZ90" s="12"/>
      <c r="LA90" s="12"/>
      <c r="LB90" s="12"/>
      <c r="LC90" s="12"/>
      <c r="LD90" s="12"/>
      <c r="LH90" s="9"/>
      <c r="LL90" s="12"/>
      <c r="LM90" s="12"/>
      <c r="LN90" s="12"/>
      <c r="LO90" s="12"/>
      <c r="LP90" s="12"/>
      <c r="LQ90" s="12"/>
      <c r="LR90" s="12"/>
      <c r="LS90" s="12"/>
      <c r="LT90" s="12"/>
      <c r="LX90" s="9"/>
      <c r="MB90" s="12"/>
      <c r="MC90" s="12"/>
      <c r="MD90" s="12"/>
      <c r="ME90" s="12"/>
      <c r="MF90" s="12"/>
      <c r="MG90" s="12"/>
      <c r="MH90" s="12"/>
      <c r="MI90" s="12"/>
      <c r="MJ90" s="12"/>
      <c r="MN90" s="9"/>
      <c r="MR90" s="12"/>
      <c r="MS90" s="12"/>
      <c r="MT90" s="12"/>
      <c r="MU90" s="12"/>
      <c r="MV90" s="12"/>
      <c r="MW90" s="12"/>
      <c r="MX90" s="12"/>
      <c r="MY90" s="12"/>
      <c r="MZ90" s="12"/>
      <c r="ND90" s="9"/>
      <c r="NH90" s="12"/>
      <c r="NI90" s="12"/>
      <c r="NJ90" s="12"/>
      <c r="NK90" s="12"/>
      <c r="NL90" s="12"/>
      <c r="NM90" s="12"/>
      <c r="NN90" s="12"/>
      <c r="NO90" s="12"/>
      <c r="NP90" s="12"/>
      <c r="NT90" s="9"/>
      <c r="NX90" s="12"/>
      <c r="NY90" s="12"/>
      <c r="NZ90" s="12"/>
      <c r="OA90" s="12"/>
      <c r="OB90" s="12"/>
      <c r="OC90" s="12"/>
      <c r="OD90" s="12"/>
      <c r="OE90" s="12"/>
      <c r="OF90" s="12"/>
      <c r="OJ90" s="9"/>
    </row>
    <row r="91" spans="1:401" x14ac:dyDescent="0.2">
      <c r="M91" s="6"/>
      <c r="O91" s="5"/>
      <c r="P91" s="12"/>
      <c r="Q91" s="12"/>
      <c r="R91" s="12"/>
      <c r="S91" s="12"/>
      <c r="T91" s="12"/>
      <c r="U91" s="12"/>
      <c r="V91" s="12"/>
      <c r="W91" s="12"/>
      <c r="X91" s="12"/>
      <c r="AG91" s="5"/>
      <c r="AH91" s="12"/>
      <c r="AI91" s="12"/>
      <c r="AJ91" s="12"/>
      <c r="AK91" s="12"/>
      <c r="AL91" s="12"/>
      <c r="AM91" s="12"/>
      <c r="AN91" s="12"/>
      <c r="AO91" s="12"/>
      <c r="AP91" s="12"/>
      <c r="AY91" s="9"/>
      <c r="AZ91" s="12"/>
      <c r="BA91" s="12"/>
      <c r="BB91" s="12"/>
      <c r="BC91" s="12"/>
      <c r="BD91" s="12"/>
      <c r="BE91" s="12"/>
      <c r="BF91" s="12"/>
      <c r="BG91" s="12"/>
      <c r="BH91" s="12"/>
      <c r="BL91" s="9"/>
      <c r="BO91" s="9"/>
      <c r="BP91" s="12"/>
      <c r="BQ91" s="12"/>
      <c r="BR91" s="12"/>
      <c r="BS91" s="12"/>
      <c r="BT91" s="12"/>
      <c r="BU91" s="12"/>
      <c r="BV91" s="12"/>
      <c r="BW91" s="12"/>
      <c r="BX91" s="12"/>
      <c r="CB91" s="9"/>
      <c r="CE91" s="9"/>
      <c r="CF91" s="12"/>
      <c r="CG91" s="12"/>
      <c r="CH91" s="12"/>
      <c r="CI91" s="12"/>
      <c r="CJ91" s="12"/>
      <c r="CK91" s="12"/>
      <c r="CL91" s="12"/>
      <c r="CM91" s="12"/>
      <c r="CN91" s="12"/>
      <c r="CR91" s="9"/>
      <c r="CU91" s="9"/>
      <c r="CV91" s="12"/>
      <c r="CW91" s="12"/>
      <c r="CX91" s="12"/>
      <c r="CY91" s="12"/>
      <c r="CZ91" s="12"/>
      <c r="DA91" s="12"/>
      <c r="DB91" s="12"/>
      <c r="DC91" s="12"/>
      <c r="DD91" s="12"/>
      <c r="DH91" s="9"/>
      <c r="DK91" s="9"/>
      <c r="DL91" s="12"/>
      <c r="DM91" s="12"/>
      <c r="DN91" s="12"/>
      <c r="DO91" s="12"/>
      <c r="DP91" s="12"/>
      <c r="DQ91" s="12"/>
      <c r="DR91" s="12"/>
      <c r="DS91" s="12"/>
      <c r="DT91" s="12"/>
      <c r="DX91" s="9"/>
      <c r="EA91" s="9"/>
      <c r="EB91" s="12"/>
      <c r="EC91" s="12"/>
      <c r="ED91" s="12"/>
      <c r="EE91" s="12"/>
      <c r="EF91" s="12"/>
      <c r="EG91" s="12"/>
      <c r="EH91" s="12"/>
      <c r="EI91" s="12"/>
      <c r="EJ91" s="12"/>
      <c r="EN91" s="9"/>
      <c r="EQ91" s="9"/>
      <c r="ER91" s="12"/>
      <c r="ES91" s="12"/>
      <c r="ET91" s="12"/>
      <c r="EU91" s="12"/>
      <c r="EV91" s="12"/>
      <c r="EW91" s="12"/>
      <c r="EX91" s="12"/>
      <c r="EY91" s="12"/>
      <c r="EZ91" s="12"/>
      <c r="FD91" s="9"/>
      <c r="FG91" s="9"/>
      <c r="FH91" s="12"/>
      <c r="FI91" s="12"/>
      <c r="FJ91" s="12"/>
      <c r="FK91" s="12"/>
      <c r="FL91" s="12"/>
      <c r="FM91" s="12"/>
      <c r="FN91" s="12"/>
      <c r="FO91" s="12"/>
      <c r="FP91" s="12"/>
      <c r="FT91" s="9"/>
      <c r="FW91" s="9"/>
      <c r="FX91" s="12"/>
      <c r="FY91" s="12"/>
      <c r="FZ91" s="12"/>
      <c r="GA91" s="12"/>
      <c r="GB91" s="12"/>
      <c r="GC91" s="12"/>
      <c r="GD91" s="12"/>
      <c r="GE91" s="12"/>
      <c r="GF91" s="12"/>
      <c r="GJ91" s="9"/>
      <c r="GN91" s="12"/>
      <c r="GO91" s="12"/>
      <c r="GP91" s="12"/>
      <c r="GQ91" s="12"/>
      <c r="GR91" s="12"/>
      <c r="GS91" s="12"/>
      <c r="GT91" s="12"/>
      <c r="GU91" s="12"/>
      <c r="GV91" s="12"/>
      <c r="GZ91" s="9"/>
      <c r="HD91" s="12"/>
      <c r="HE91" s="12"/>
      <c r="HF91" s="12"/>
      <c r="HG91" s="12"/>
      <c r="HH91" s="12"/>
      <c r="HI91" s="12"/>
      <c r="HJ91" s="12"/>
      <c r="HK91" s="12"/>
      <c r="HL91" s="12"/>
      <c r="HP91" s="9"/>
      <c r="HT91" s="12"/>
      <c r="HU91" s="12"/>
      <c r="HV91" s="12"/>
      <c r="HW91" s="12"/>
      <c r="HX91" s="12"/>
      <c r="HY91" s="12"/>
      <c r="HZ91" s="12"/>
      <c r="IA91" s="12"/>
      <c r="IB91" s="12"/>
      <c r="IF91" s="9"/>
      <c r="IJ91" s="12"/>
      <c r="IK91" s="12"/>
      <c r="IL91" s="12"/>
      <c r="IM91" s="12"/>
      <c r="IN91" s="12"/>
      <c r="IO91" s="12"/>
      <c r="IP91" s="12"/>
      <c r="IQ91" s="12"/>
      <c r="IR91" s="12"/>
      <c r="IV91" s="9"/>
      <c r="IZ91" s="12"/>
      <c r="JA91" s="12"/>
      <c r="JB91" s="12"/>
      <c r="JC91" s="12"/>
      <c r="JD91" s="12"/>
      <c r="JE91" s="12"/>
      <c r="JF91" s="12"/>
      <c r="JG91" s="12"/>
      <c r="JH91" s="12"/>
      <c r="JL91" s="9"/>
      <c r="JP91" s="12"/>
      <c r="JQ91" s="12"/>
      <c r="JR91" s="12"/>
      <c r="JS91" s="12"/>
      <c r="JT91" s="12"/>
      <c r="JU91" s="12"/>
      <c r="JV91" s="12"/>
      <c r="JW91" s="12"/>
      <c r="JX91" s="12"/>
      <c r="KB91" s="9"/>
      <c r="KF91" s="12"/>
      <c r="KG91" s="12"/>
      <c r="KH91" s="12"/>
      <c r="KI91" s="12"/>
      <c r="KJ91" s="12"/>
      <c r="KK91" s="12"/>
      <c r="KL91" s="12"/>
      <c r="KM91" s="12"/>
      <c r="KN91" s="12"/>
      <c r="KR91" s="9"/>
      <c r="KV91" s="12"/>
      <c r="KW91" s="12"/>
      <c r="KX91" s="12"/>
      <c r="KY91" s="12"/>
      <c r="KZ91" s="12"/>
      <c r="LA91" s="12"/>
      <c r="LB91" s="12"/>
      <c r="LC91" s="12"/>
      <c r="LD91" s="12"/>
      <c r="LH91" s="9"/>
      <c r="LL91" s="12"/>
      <c r="LM91" s="12"/>
      <c r="LN91" s="12"/>
      <c r="LO91" s="12"/>
      <c r="LP91" s="12"/>
      <c r="LQ91" s="12"/>
      <c r="LR91" s="12"/>
      <c r="LS91" s="12"/>
      <c r="LT91" s="12"/>
      <c r="LX91" s="9"/>
      <c r="MB91" s="12"/>
      <c r="MC91" s="12"/>
      <c r="MD91" s="12"/>
      <c r="ME91" s="12"/>
      <c r="MF91" s="12"/>
      <c r="MG91" s="12"/>
      <c r="MH91" s="12"/>
      <c r="MI91" s="12"/>
      <c r="MJ91" s="12"/>
      <c r="MN91" s="9"/>
      <c r="MR91" s="12"/>
      <c r="MS91" s="12"/>
      <c r="MT91" s="12"/>
      <c r="MU91" s="12"/>
      <c r="MV91" s="12"/>
      <c r="MW91" s="12"/>
      <c r="MX91" s="12"/>
      <c r="MY91" s="12"/>
      <c r="MZ91" s="12"/>
      <c r="ND91" s="9"/>
      <c r="NH91" s="12"/>
      <c r="NI91" s="12"/>
      <c r="NJ91" s="12"/>
      <c r="NK91" s="12"/>
      <c r="NL91" s="12"/>
      <c r="NM91" s="12"/>
      <c r="NN91" s="12"/>
      <c r="NO91" s="12"/>
      <c r="NP91" s="12"/>
      <c r="NT91" s="9"/>
      <c r="NX91" s="12"/>
      <c r="NY91" s="12"/>
      <c r="NZ91" s="12"/>
      <c r="OA91" s="12"/>
      <c r="OB91" s="12"/>
      <c r="OC91" s="12"/>
      <c r="OD91" s="12"/>
      <c r="OE91" s="12"/>
      <c r="OF91" s="12"/>
      <c r="OJ91" s="9"/>
    </row>
    <row r="92" spans="1:401" x14ac:dyDescent="0.2">
      <c r="A92" s="5" t="s">
        <v>52</v>
      </c>
      <c r="B92" s="12"/>
      <c r="M92" s="6"/>
      <c r="P92" s="12"/>
      <c r="Q92" s="12"/>
      <c r="R92" s="12"/>
      <c r="S92" s="12"/>
      <c r="T92" s="12"/>
      <c r="U92" s="12"/>
      <c r="V92" s="12"/>
      <c r="W92" s="12"/>
      <c r="X92" s="12"/>
      <c r="AH92" s="12"/>
      <c r="AI92" s="12"/>
      <c r="AJ92" s="12"/>
      <c r="AK92" s="12"/>
      <c r="AL92" s="12"/>
      <c r="AM92" s="12"/>
      <c r="AN92" s="12"/>
      <c r="AO92" s="12"/>
      <c r="AP92" s="12"/>
      <c r="AY92" s="5"/>
      <c r="AZ92" s="12"/>
      <c r="BA92" s="12"/>
      <c r="BB92" s="12"/>
      <c r="BC92" s="12"/>
      <c r="BD92" s="12"/>
      <c r="BE92" s="12"/>
      <c r="BF92" s="12"/>
      <c r="BG92" s="12"/>
      <c r="BH92" s="12"/>
      <c r="BL92" s="9"/>
      <c r="BO92" s="5"/>
      <c r="BP92" s="12"/>
      <c r="BQ92" s="12"/>
      <c r="BR92" s="12"/>
      <c r="BS92" s="12"/>
      <c r="BT92" s="12"/>
      <c r="BU92" s="12"/>
      <c r="BV92" s="12"/>
      <c r="BW92" s="12"/>
      <c r="BX92" s="12"/>
      <c r="CB92" s="9"/>
      <c r="CE92" s="5"/>
      <c r="CF92" s="12"/>
      <c r="CG92" s="12"/>
      <c r="CH92" s="12"/>
      <c r="CI92" s="12"/>
      <c r="CJ92" s="12"/>
      <c r="CK92" s="12"/>
      <c r="CL92" s="12"/>
      <c r="CM92" s="12"/>
      <c r="CN92" s="12"/>
      <c r="CR92" s="9"/>
      <c r="CU92" s="5"/>
      <c r="CV92" s="12"/>
      <c r="CW92" s="12"/>
      <c r="CX92" s="12"/>
      <c r="CY92" s="12"/>
      <c r="CZ92" s="12"/>
      <c r="DA92" s="12"/>
      <c r="DB92" s="12"/>
      <c r="DC92" s="12"/>
      <c r="DD92" s="12"/>
      <c r="DH92" s="9"/>
      <c r="DK92" s="5"/>
      <c r="DL92" s="12"/>
      <c r="DM92" s="12"/>
      <c r="DN92" s="12"/>
      <c r="DO92" s="12"/>
      <c r="DP92" s="12"/>
      <c r="DQ92" s="12"/>
      <c r="DR92" s="12"/>
      <c r="DS92" s="12"/>
      <c r="DT92" s="12"/>
      <c r="DX92" s="9"/>
      <c r="EA92" s="5"/>
      <c r="EB92" s="12"/>
      <c r="EC92" s="12"/>
      <c r="ED92" s="12"/>
      <c r="EE92" s="12"/>
      <c r="EF92" s="12"/>
      <c r="EG92" s="12"/>
      <c r="EH92" s="12"/>
      <c r="EI92" s="12"/>
      <c r="EJ92" s="12"/>
      <c r="EN92" s="9"/>
      <c r="EQ92" s="5"/>
      <c r="ER92" s="12"/>
      <c r="ES92" s="12"/>
      <c r="ET92" s="12"/>
      <c r="EU92" s="12"/>
      <c r="EV92" s="12"/>
      <c r="EW92" s="12"/>
      <c r="EX92" s="12"/>
      <c r="EY92" s="12"/>
      <c r="EZ92" s="12"/>
      <c r="FD92" s="9"/>
      <c r="FG92" s="5"/>
      <c r="FH92" s="12"/>
      <c r="FI92" s="12"/>
      <c r="FJ92" s="12"/>
      <c r="FK92" s="12"/>
      <c r="FL92" s="12"/>
      <c r="FM92" s="12"/>
      <c r="FN92" s="12"/>
      <c r="FO92" s="12"/>
      <c r="FP92" s="12"/>
      <c r="FT92" s="9"/>
      <c r="FW92" s="5"/>
      <c r="FX92" s="12"/>
      <c r="FY92" s="12"/>
      <c r="FZ92" s="12"/>
      <c r="GA92" s="12"/>
      <c r="GB92" s="12"/>
      <c r="GC92" s="12"/>
      <c r="GD92" s="12"/>
      <c r="GE92" s="12"/>
      <c r="GF92" s="12"/>
      <c r="GJ92" s="9"/>
      <c r="GN92" s="12"/>
      <c r="GO92" s="12"/>
      <c r="GP92" s="12"/>
      <c r="GQ92" s="12"/>
      <c r="GR92" s="12"/>
      <c r="GS92" s="12"/>
      <c r="GT92" s="12"/>
      <c r="GU92" s="12"/>
      <c r="GV92" s="12"/>
      <c r="GZ92" s="9"/>
      <c r="HD92" s="12"/>
      <c r="HE92" s="12"/>
      <c r="HF92" s="12"/>
      <c r="HG92" s="12"/>
      <c r="HH92" s="12"/>
      <c r="HI92" s="12"/>
      <c r="HJ92" s="12"/>
      <c r="HK92" s="12"/>
      <c r="HL92" s="12"/>
      <c r="HP92" s="9"/>
      <c r="HT92" s="12"/>
      <c r="HU92" s="12"/>
      <c r="HV92" s="12"/>
      <c r="HW92" s="12"/>
      <c r="HX92" s="12"/>
      <c r="HY92" s="12"/>
      <c r="HZ92" s="12"/>
      <c r="IA92" s="12"/>
      <c r="IB92" s="12"/>
      <c r="IF92" s="9"/>
      <c r="IJ92" s="12"/>
      <c r="IK92" s="12"/>
      <c r="IL92" s="12"/>
      <c r="IM92" s="12"/>
      <c r="IN92" s="12"/>
      <c r="IO92" s="12"/>
      <c r="IP92" s="12"/>
      <c r="IQ92" s="12"/>
      <c r="IR92" s="12"/>
      <c r="IV92" s="9"/>
      <c r="IZ92" s="12"/>
      <c r="JA92" s="12"/>
      <c r="JB92" s="12"/>
      <c r="JC92" s="12"/>
      <c r="JD92" s="12"/>
      <c r="JE92" s="12"/>
      <c r="JF92" s="12"/>
      <c r="JG92" s="12"/>
      <c r="JH92" s="12"/>
      <c r="JL92" s="9"/>
      <c r="JP92" s="12"/>
      <c r="JQ92" s="12"/>
      <c r="JR92" s="12"/>
      <c r="JS92" s="12"/>
      <c r="JT92" s="12"/>
      <c r="JU92" s="12"/>
      <c r="JV92" s="12"/>
      <c r="JW92" s="12"/>
      <c r="JX92" s="12"/>
      <c r="KB92" s="9"/>
      <c r="KF92" s="12"/>
      <c r="KG92" s="12"/>
      <c r="KH92" s="12"/>
      <c r="KI92" s="12"/>
      <c r="KJ92" s="12"/>
      <c r="KK92" s="12"/>
      <c r="KL92" s="12"/>
      <c r="KM92" s="12"/>
      <c r="KN92" s="12"/>
      <c r="KR92" s="9"/>
      <c r="KV92" s="12"/>
      <c r="KW92" s="12"/>
      <c r="KX92" s="12"/>
      <c r="KY92" s="12"/>
      <c r="KZ92" s="12"/>
      <c r="LA92" s="12"/>
      <c r="LB92" s="12"/>
      <c r="LC92" s="12"/>
      <c r="LD92" s="12"/>
      <c r="LH92" s="9"/>
      <c r="LL92" s="12"/>
      <c r="LM92" s="12"/>
      <c r="LN92" s="12"/>
      <c r="LO92" s="12"/>
      <c r="LP92" s="12"/>
      <c r="LQ92" s="12"/>
      <c r="LR92" s="12"/>
      <c r="LS92" s="12"/>
      <c r="LT92" s="12"/>
      <c r="LX92" s="9"/>
      <c r="MB92" s="12"/>
      <c r="MC92" s="12"/>
      <c r="MD92" s="12"/>
      <c r="ME92" s="12"/>
      <c r="MF92" s="12"/>
      <c r="MG92" s="12"/>
      <c r="MH92" s="12"/>
      <c r="MI92" s="12"/>
      <c r="MJ92" s="12"/>
      <c r="MN92" s="9"/>
      <c r="MR92" s="12"/>
      <c r="MS92" s="12"/>
      <c r="MT92" s="12"/>
      <c r="MU92" s="12"/>
      <c r="MV92" s="12"/>
      <c r="MW92" s="12"/>
      <c r="MX92" s="12"/>
      <c r="MY92" s="12"/>
      <c r="MZ92" s="12"/>
      <c r="ND92" s="9"/>
      <c r="NH92" s="12"/>
      <c r="NI92" s="12"/>
      <c r="NJ92" s="12"/>
      <c r="NK92" s="12"/>
      <c r="NL92" s="12"/>
      <c r="NM92" s="12"/>
      <c r="NN92" s="12"/>
      <c r="NO92" s="12"/>
      <c r="NP92" s="12"/>
      <c r="NT92" s="9"/>
      <c r="NX92" s="12"/>
      <c r="NY92" s="12"/>
      <c r="NZ92" s="12"/>
      <c r="OA92" s="12"/>
      <c r="OB92" s="12"/>
      <c r="OC92" s="12"/>
      <c r="OD92" s="12"/>
      <c r="OE92" s="12"/>
      <c r="OF92" s="12"/>
      <c r="OJ92" s="9"/>
    </row>
    <row r="93" spans="1:401" x14ac:dyDescent="0.2">
      <c r="A93" t="s">
        <v>56</v>
      </c>
      <c r="B93" s="12">
        <f t="shared" ref="B93:J96" si="513">P93+AH93+AZ93+BP93+CF93+CV93+DL93+EB93+ER93+FH93+FX93+GN93+HD93+HT93+IJ93+IZ93+JP93+KF93+KV93+LL93+MB93+MR93+NH93+NX93</f>
        <v>0</v>
      </c>
      <c r="C93" s="12">
        <f t="shared" si="513"/>
        <v>0</v>
      </c>
      <c r="D93" s="12">
        <f t="shared" si="513"/>
        <v>0</v>
      </c>
      <c r="E93" s="12">
        <f t="shared" si="513"/>
        <v>0</v>
      </c>
      <c r="F93" s="12">
        <f t="shared" si="513"/>
        <v>0</v>
      </c>
      <c r="G93" s="12">
        <f t="shared" si="513"/>
        <v>0</v>
      </c>
      <c r="H93" s="12">
        <f t="shared" si="513"/>
        <v>0</v>
      </c>
      <c r="I93" s="12">
        <f t="shared" si="513"/>
        <v>0</v>
      </c>
      <c r="J93" s="12">
        <f t="shared" si="513"/>
        <v>0</v>
      </c>
      <c r="M93" s="6"/>
      <c r="N93" s="6"/>
      <c r="P93" s="12" cm="1">
        <f t="array" ref="P93">_xlfn.SWITCH(P$4, 0,0, 1, AA93,2,AC93,3,AE93,0)</f>
        <v>0</v>
      </c>
      <c r="Q93" s="12" cm="1">
        <f t="array" ref="Q93">_xlfn.SWITCH(Q$4, 0,0, 1, AA93,2,AC93,3,AE93,0)+P93</f>
        <v>0</v>
      </c>
      <c r="R93" s="12" cm="1">
        <f t="array" ref="R93">_xlfn.SWITCH(R$4, 0,0, 1, AA93,2,AC93,3,AE93,0)+Q93</f>
        <v>0</v>
      </c>
      <c r="S93" s="12" cm="1">
        <f t="array" ref="S93">_xlfn.SWITCH(S$4, 0,0, 1, AA93,2,AC93,3,AE93,0)+R93</f>
        <v>0</v>
      </c>
      <c r="T93" s="12" cm="1">
        <f t="array" ref="T93">_xlfn.SWITCH(T$4, 0,0, 1, AA93,2,AC93,3,AE93,0)+S93</f>
        <v>0</v>
      </c>
      <c r="U93" s="12" cm="1">
        <f t="array" ref="U93">_xlfn.SWITCH(U$4, 0,0, 1, AA93,2,AC93,3,AE93,0)+T93</f>
        <v>0</v>
      </c>
      <c r="V93" s="12" cm="1">
        <f t="array" ref="V93">_xlfn.SWITCH(V$4, 0,0, 1, AA93,2,AC93,3,AE93,0)+U93</f>
        <v>0</v>
      </c>
      <c r="W93" s="12" cm="1">
        <f t="array" ref="W93">_xlfn.SWITCH(W$4, 0,0, 1, AA93,2,AC93,3,AE93,0)+V93</f>
        <v>0</v>
      </c>
      <c r="X93" s="12" cm="1">
        <f t="array" ref="X93">_xlfn.SWITCH(X$4, 0,0, 1, AA93,2,AC93,3,AE93,0)+W93</f>
        <v>0</v>
      </c>
      <c r="Z93" t="s">
        <v>1304</v>
      </c>
      <c r="AA93">
        <f>_xlfn.XLOOKUP(Z93,'KPI Impacts'!$K$2:$Q$2,'KPI Impacts'!$K93:$Q93)</f>
        <v>0</v>
      </c>
      <c r="AB93" t="s">
        <v>1304</v>
      </c>
      <c r="AC93">
        <f>_xlfn.XLOOKUP(AB93,'KPI Impacts'!$K$2:$Q$2,'KPI Impacts'!$K93:$Q93)</f>
        <v>0</v>
      </c>
      <c r="AD93" t="s">
        <v>1304</v>
      </c>
      <c r="AE93">
        <f>_xlfn.XLOOKUP(AD93,'KPI Impacts'!$K$2:$Q$2,'KPI Impacts'!$K93:$Q93)</f>
        <v>0</v>
      </c>
      <c r="AH93" s="12" cm="1">
        <f t="array" ref="AH93">_xlfn.SWITCH(AH$4, 0,0, 1, AS93,2,AU93,3,AW93,0)</f>
        <v>0</v>
      </c>
      <c r="AI93" s="12" cm="1">
        <f t="array" ref="AI93">_xlfn.SWITCH(AI$4, 0,0, 1, AS93,2,AU93,3,AW93,0)+AH93</f>
        <v>0</v>
      </c>
      <c r="AJ93" s="12" cm="1">
        <f t="array" ref="AJ93">_xlfn.SWITCH(AJ$4, 0,0, 1, AS93,2,AU93,3,AW93,0)+AI93</f>
        <v>0</v>
      </c>
      <c r="AK93" s="12" cm="1">
        <f t="array" ref="AK93">_xlfn.SWITCH(AK$4, 0,0, 1, AS93,2,AU93,3,AW93,0)+AJ93</f>
        <v>0</v>
      </c>
      <c r="AL93" s="12" cm="1">
        <f t="array" ref="AL93">_xlfn.SWITCH(AL$4, 0,0, 1, AS93,2,AU93,3,AW93,0)+AK93</f>
        <v>0</v>
      </c>
      <c r="AM93" s="12" cm="1">
        <f t="array" ref="AM93">_xlfn.SWITCH(AM$4, 0,0, 1, AS93,2,AU93,3,AW93,0)+AL93</f>
        <v>0</v>
      </c>
      <c r="AN93" s="12" cm="1">
        <f t="array" ref="AN93">_xlfn.SWITCH(AN$4, 0,0, 1, AS93,2,AU93,3,AW93,0)+AM93</f>
        <v>0</v>
      </c>
      <c r="AO93" s="12" cm="1">
        <f t="array" ref="AO93">_xlfn.SWITCH(AO$4, 0,0, 1, AS93,2,AU93,3,AW93,0)+AN93</f>
        <v>0</v>
      </c>
      <c r="AP93" s="12" cm="1">
        <f t="array" ref="AP93">_xlfn.SWITCH(AP$4, 0,0, 1, AS93,2,AU93,3,AW93,0)+AO93</f>
        <v>0</v>
      </c>
      <c r="AR93" t="s">
        <v>1304</v>
      </c>
      <c r="AS93">
        <f>_xlfn.XLOOKUP(AR93,'KPI Impacts'!$K$2:$Q$2,'KPI Impacts'!$K93:$Q93)</f>
        <v>0</v>
      </c>
      <c r="AT93" t="s">
        <v>1304</v>
      </c>
      <c r="AU93">
        <f>_xlfn.XLOOKUP(AT93,'KPI Impacts'!$K$2:$Q$2,'KPI Impacts'!$K93:$Q93)</f>
        <v>0</v>
      </c>
      <c r="AV93" t="s">
        <v>1304</v>
      </c>
      <c r="AW93">
        <f>_xlfn.XLOOKUP(AV93,'KPI Impacts'!$K$2:$Q$2,'KPI Impacts'!$K93:$Q93)</f>
        <v>0</v>
      </c>
      <c r="AZ93" s="12">
        <f>AZ$4*BK93</f>
        <v>0</v>
      </c>
      <c r="BA93" s="12">
        <f>BA$4 * IF(AND(AZ$4=1,AZ$20=1), BM93, BK93)</f>
        <v>0</v>
      </c>
      <c r="BB93" s="12">
        <f>BB$4 * IF(AND(BA$4=1,AZ$20=1), BM93, BK93)</f>
        <v>0</v>
      </c>
      <c r="BC93" s="12">
        <f>BC$4 * IF(AND(BB$4=1,AZ$20=1), BM93, BK93)</f>
        <v>0</v>
      </c>
      <c r="BD93" s="12">
        <f>BD$4 * IF(AND(BC$4=1,AZ$20=1), BM93, BK93)</f>
        <v>0</v>
      </c>
      <c r="BE93" s="12">
        <f>BE$4 * IF(AND(BD$4=1,AZ$20=1), BM93, BK93)</f>
        <v>0</v>
      </c>
      <c r="BF93" s="12">
        <f>BF$4 * IF(AND(BE$4=1,AZ$20=1), BM93, BK93)</f>
        <v>0</v>
      </c>
      <c r="BG93" s="12">
        <f>BG$4 * IF(AND(BF$4=1,AZ$20=1), BM93, BK93)</f>
        <v>0</v>
      </c>
      <c r="BH93" s="12">
        <f>BH$4 * IF(AND(BG$4=1,AZ$20=1), BM93, BK93)</f>
        <v>0</v>
      </c>
      <c r="BJ93" t="s">
        <v>1304</v>
      </c>
      <c r="BK93">
        <f>_xlfn.XLOOKUP(BJ93,'KPI Impacts'!$B$2:$H$2,'KPI Impacts'!$B93:$H93)</f>
        <v>0</v>
      </c>
      <c r="BL93" s="9" t="s">
        <v>1304</v>
      </c>
      <c r="BM93">
        <f>_xlfn.XLOOKUP(BL93,'KPI Impacts'!$B$2:$H$2,'KPI Impacts'!$B93:$H93)</f>
        <v>0</v>
      </c>
      <c r="BP93" s="12">
        <f>BP$4*CA93</f>
        <v>0</v>
      </c>
      <c r="BQ93" s="12">
        <f>BQ$4 * IF(AND(BP$4=1,BP$20=1), CC93, CA93)</f>
        <v>0</v>
      </c>
      <c r="BR93" s="12">
        <f>BR$4 * IF(AND(BQ$4=1,BP$20=1), CC93, CA93)</f>
        <v>0</v>
      </c>
      <c r="BS93" s="12">
        <f>BS$4 * IF(AND(BR$4=1,BP$20=1), CC93, CA93)</f>
        <v>0</v>
      </c>
      <c r="BT93" s="12">
        <f>BT$4 * IF(AND(BS$4=1,BP$20=1), CC93, CA93)</f>
        <v>0</v>
      </c>
      <c r="BU93" s="12">
        <f>BU$4 * IF(AND(BT$4=1,BP$20=1), CC93, CA93)</f>
        <v>0</v>
      </c>
      <c r="BV93" s="12">
        <f>BV$4 * IF(AND(BU$4=1,BP$20=1), CC93, CA93)</f>
        <v>0</v>
      </c>
      <c r="BW93" s="12">
        <f>BW$4 * IF(AND(BV$4=1,BP$20=1), CC93, CA93)</f>
        <v>0</v>
      </c>
      <c r="BX93" s="12">
        <f>BX$4 * IF(AND(BW$4=1,BP$20=1), CC93, CA93)</f>
        <v>0</v>
      </c>
      <c r="BZ93" t="s">
        <v>1304</v>
      </c>
      <c r="CA93">
        <f>_xlfn.XLOOKUP(BZ93,'KPI Impacts'!$B$2:$H$2,'KPI Impacts'!$B93:$H93)</f>
        <v>0</v>
      </c>
      <c r="CB93" s="9" t="s">
        <v>1304</v>
      </c>
      <c r="CC93">
        <f>_xlfn.XLOOKUP(CB93,'KPI Impacts'!$B$2:$H$2,'KPI Impacts'!$B93:$H93)</f>
        <v>0</v>
      </c>
      <c r="CF93" s="12">
        <f>CF$4*CQ93</f>
        <v>0</v>
      </c>
      <c r="CG93" s="12">
        <f>CG$4 * IF(AND(CF$4=1,CF$20=1), CS93, CQ93)</f>
        <v>0</v>
      </c>
      <c r="CH93" s="12">
        <f>CH$4 * IF(AND(CG$4=1,CF$20=1), CS93, CQ93)</f>
        <v>0</v>
      </c>
      <c r="CI93" s="12">
        <f>CI$4 * IF(AND(CH$4=1,CF$20=1), CS93, CQ93)</f>
        <v>0</v>
      </c>
      <c r="CJ93" s="12">
        <f>CJ$4 * IF(AND(CI$4=1,CF$20=1), CS93, CQ93)</f>
        <v>0</v>
      </c>
      <c r="CK93" s="12">
        <f>CK$4 * IF(AND(CJ$4=1,CF$20=1), CS93, CQ93)</f>
        <v>0</v>
      </c>
      <c r="CL93" s="12">
        <f>CL$4 * IF(AND(CK$4=1,CF$20=1), CS93, CQ93)</f>
        <v>0</v>
      </c>
      <c r="CM93" s="12">
        <f>CM$4 * IF(AND(CL$4=1,CF$20=1), CS93, CQ93)</f>
        <v>0</v>
      </c>
      <c r="CN93" s="12">
        <f>CN$4 * IF(AND(CM$4=1,CF$20=1), CS93, CQ93)</f>
        <v>0</v>
      </c>
      <c r="CP93" t="s">
        <v>1304</v>
      </c>
      <c r="CQ93">
        <f>_xlfn.XLOOKUP(CP93,'KPI Impacts'!$B$2:$H$2,'KPI Impacts'!$B93:$H93)</f>
        <v>0</v>
      </c>
      <c r="CR93" s="9" t="s">
        <v>1304</v>
      </c>
      <c r="CS93">
        <f>_xlfn.XLOOKUP(CR93,'KPI Impacts'!$B$2:$H$2,'KPI Impacts'!$B93:$H93)</f>
        <v>0</v>
      </c>
      <c r="CV93" s="12">
        <f>CV$4*DG93</f>
        <v>0</v>
      </c>
      <c r="CW93" s="12">
        <f>CW$4 * IF(AND(CV$4=1,CV$20=1), DI93, DG93)</f>
        <v>0</v>
      </c>
      <c r="CX93" s="12">
        <f>CX$4 * IF(AND(CW$4=1,CV$20=1), DI93, DG93)</f>
        <v>0</v>
      </c>
      <c r="CY93" s="12">
        <f>CY$4 * IF(AND(CX$4=1,CV$20=1), DI93, DG93)</f>
        <v>0</v>
      </c>
      <c r="CZ93" s="12">
        <f>CZ$4 * IF(AND(CY$4=1,CV$20=1), DI93, DG93)</f>
        <v>0</v>
      </c>
      <c r="DA93" s="12">
        <f>DA$4 * IF(AND(CZ$4=1,CV$20=1), DI93, DG93)</f>
        <v>0</v>
      </c>
      <c r="DB93" s="12">
        <f>DB$4 * IF(AND(DA$4=1,CV$20=1), DI93, DG93)</f>
        <v>0</v>
      </c>
      <c r="DC93" s="12">
        <f>DC$4 * IF(AND(DB$4=1,CV$20=1), DI93, DG93)</f>
        <v>0</v>
      </c>
      <c r="DD93" s="12">
        <f>DD$4 * IF(AND(DC$4=1,CV$20=1), DI93, DG93)</f>
        <v>0</v>
      </c>
      <c r="DF93" t="s">
        <v>1304</v>
      </c>
      <c r="DG93">
        <f>_xlfn.XLOOKUP(DF93,'KPI Impacts'!$B$2:$H$2,'KPI Impacts'!$B93:$H93)</f>
        <v>0</v>
      </c>
      <c r="DH93" s="9" t="s">
        <v>1304</v>
      </c>
      <c r="DI93">
        <f>_xlfn.XLOOKUP(DH93,'KPI Impacts'!$B$2:$H$2,'KPI Impacts'!$B93:$H93)</f>
        <v>0</v>
      </c>
      <c r="DL93" s="12">
        <f>DL$4*DW93</f>
        <v>0</v>
      </c>
      <c r="DM93" s="12">
        <f>DM$4 * IF(AND(DL$4=1,DL$20=1), DY93, DW93)</f>
        <v>0</v>
      </c>
      <c r="DN93" s="12">
        <f>DN$4 * IF(AND(DM$4=1,DL$20=1), DY93, DW93)</f>
        <v>0</v>
      </c>
      <c r="DO93" s="12">
        <f>DO$4 * IF(AND(DN$4=1,DL$20=1), DY93, DW93)</f>
        <v>0</v>
      </c>
      <c r="DP93" s="12">
        <f>DP$4 * IF(AND(DO$4=1,DL$20=1), DY93, DW93)</f>
        <v>0</v>
      </c>
      <c r="DQ93" s="12">
        <f>DQ$4 * IF(AND(DP$4=1,DL$20=1), DY93, DW93)</f>
        <v>0</v>
      </c>
      <c r="DR93" s="12">
        <f>DR$4 * IF(AND(DQ$4=1,DL$20=1), DY93, DW93)</f>
        <v>0</v>
      </c>
      <c r="DS93" s="12">
        <f>DS$4 * IF(AND(DR$4=1,DL$20=1), DY93, DW93)</f>
        <v>0</v>
      </c>
      <c r="DT93" s="12">
        <f>DT$4 * IF(AND(DS$4=1,DL$20=1), DY93, DW93)</f>
        <v>0</v>
      </c>
      <c r="DV93" t="s">
        <v>1304</v>
      </c>
      <c r="DW93">
        <f>_xlfn.XLOOKUP(DV93,'KPI Impacts'!$B$2:$H$2,'KPI Impacts'!$B93:$H93)</f>
        <v>0</v>
      </c>
      <c r="DX93" s="9" t="s">
        <v>1304</v>
      </c>
      <c r="DY93">
        <f>_xlfn.XLOOKUP(DX93,'KPI Impacts'!$B$2:$H$2,'KPI Impacts'!$B93:$H93)</f>
        <v>0</v>
      </c>
      <c r="EB93" s="12">
        <f>EB$4*EM93</f>
        <v>0</v>
      </c>
      <c r="EC93" s="12">
        <f>EC$4 * IF(AND(EB$4=1,EB$20=1), EO93, EM93)</f>
        <v>0</v>
      </c>
      <c r="ED93" s="12">
        <f>ED$4 * IF(AND(EC$4=1,EB$20=1), EO93, EM93)</f>
        <v>0</v>
      </c>
      <c r="EE93" s="12">
        <f>EE$4 * IF(AND(ED$4=1,EB$20=1), EO93, EM93)</f>
        <v>0</v>
      </c>
      <c r="EF93" s="12">
        <f>EF$4 * IF(AND(EE$4=1,EB$20=1), EO93, EM93)</f>
        <v>0</v>
      </c>
      <c r="EG93" s="12">
        <f>EG$4 * IF(AND(EF$4=1,EB$20=1), EO93, EM93)</f>
        <v>0</v>
      </c>
      <c r="EH93" s="12">
        <f>EH$4 * IF(AND(EG$4=1,EB$20=1), EO93, EM93)</f>
        <v>0</v>
      </c>
      <c r="EI93" s="12">
        <f>EI$4 * IF(AND(EH$4=1,EB$20=1), EO93, EM93)</f>
        <v>0</v>
      </c>
      <c r="EJ93" s="12">
        <f>EJ$4 * IF(AND(EI$4=1,EB$20=1), EO93, EM93)</f>
        <v>0</v>
      </c>
      <c r="EL93" t="s">
        <v>1304</v>
      </c>
      <c r="EM93">
        <f>_xlfn.XLOOKUP(EL93,'KPI Impacts'!$B$2:$H$2,'KPI Impacts'!$B93:$H93)</f>
        <v>0</v>
      </c>
      <c r="EN93" s="9" t="s">
        <v>1304</v>
      </c>
      <c r="EO93">
        <f>_xlfn.XLOOKUP(EN93,'KPI Impacts'!$B$2:$H$2,'KPI Impacts'!$B93:$H93)</f>
        <v>0</v>
      </c>
      <c r="ER93" s="12">
        <f>ER$4*FC93</f>
        <v>0</v>
      </c>
      <c r="ES93" s="12">
        <f>ES$4 * IF(AND(ER$4=1,ER$20=1), FE93, FC93)</f>
        <v>0</v>
      </c>
      <c r="ET93" s="12">
        <f>ET$4 * IF(AND(ES$4=1,ER$20=1), FE93, FC93)</f>
        <v>0</v>
      </c>
      <c r="EU93" s="12">
        <f>EU$4 * IF(AND(ET$4=1,ER$20=1), FE93, FC93)</f>
        <v>0</v>
      </c>
      <c r="EV93" s="12">
        <f>EV$4 * IF(AND(EU$4=1,ER$20=1), FE93, FC93)</f>
        <v>0</v>
      </c>
      <c r="EW93" s="12">
        <f>EW$4 * IF(AND(EV$4=1,ER$20=1), FE93, FC93)</f>
        <v>0</v>
      </c>
      <c r="EX93" s="12">
        <f>EX$4 * IF(AND(EW$4=1,ER$20=1), FE93, FC93)</f>
        <v>0</v>
      </c>
      <c r="EY93" s="12">
        <f>EY$4 * IF(AND(EX$4=1,ER$20=1), FE93, FC93)</f>
        <v>0</v>
      </c>
      <c r="EZ93" s="12">
        <f>EZ$4 * IF(AND(EY$4=1,ER$20=1), FE93, FC93)</f>
        <v>0</v>
      </c>
      <c r="FB93" t="s">
        <v>1304</v>
      </c>
      <c r="FC93">
        <f>_xlfn.XLOOKUP(FB93,'KPI Impacts'!$B$2:$H$2,'KPI Impacts'!$B93:$H93)</f>
        <v>0</v>
      </c>
      <c r="FD93" s="9" t="s">
        <v>1304</v>
      </c>
      <c r="FE93">
        <f>_xlfn.XLOOKUP(FD93,'KPI Impacts'!$B$2:$H$2,'KPI Impacts'!$B93:$H93)</f>
        <v>0</v>
      </c>
      <c r="FH93" s="12">
        <f>FH$4*FS93</f>
        <v>0</v>
      </c>
      <c r="FI93" s="12">
        <f>FI$4 * IF(AND(FH$4=1,FH$20=1), FU93, FS93)</f>
        <v>0</v>
      </c>
      <c r="FJ93" s="12">
        <f>FJ$4 * IF(AND(FI$4=1,FH$20=1), FU93, FS93)</f>
        <v>0</v>
      </c>
      <c r="FK93" s="12">
        <f>FK$4 * IF(AND(FJ$4=1,FH$20=1), FU93, FS93)</f>
        <v>0</v>
      </c>
      <c r="FL93" s="12">
        <f>FL$4 * IF(AND(FK$4=1,FH$20=1), FU93, FS93)</f>
        <v>0</v>
      </c>
      <c r="FM93" s="12">
        <f>FM$4 * IF(AND(FL$4=1,FH$20=1), FU93, FS93)</f>
        <v>0</v>
      </c>
      <c r="FN93" s="12">
        <f>FN$4 * IF(AND(FM$4=1,FH$20=1), FU93, FS93)</f>
        <v>0</v>
      </c>
      <c r="FO93" s="12">
        <f>FO$4 * IF(AND(FN$4=1,FH$20=1), FU93, FS93)</f>
        <v>0</v>
      </c>
      <c r="FP93" s="12">
        <f>FP$4 * IF(AND(FO$4=1,FH$20=1), FU93, FS93)</f>
        <v>0</v>
      </c>
      <c r="FR93" t="s">
        <v>1304</v>
      </c>
      <c r="FS93">
        <f>_xlfn.XLOOKUP(FR93,'KPI Impacts'!$B$2:$H$2,'KPI Impacts'!$B93:$H93)</f>
        <v>0</v>
      </c>
      <c r="FT93" s="9" t="s">
        <v>1304</v>
      </c>
      <c r="FU93">
        <f>_xlfn.XLOOKUP(FT93,'KPI Impacts'!$B$2:$H$2,'KPI Impacts'!$B93:$H93)</f>
        <v>0</v>
      </c>
      <c r="FX93" s="12">
        <f>FX$4*GI93</f>
        <v>0</v>
      </c>
      <c r="FY93" s="12">
        <f>FY$4 * IF(AND(FX$4=1,FX$20=1), GK93, GI93)</f>
        <v>0</v>
      </c>
      <c r="FZ93" s="12">
        <f>FZ$4 * IF(AND(FY$4=1,FX$20=1), GK93, GI93)</f>
        <v>0</v>
      </c>
      <c r="GA93" s="12">
        <f>GA$4 * IF(AND(FZ$4=1,FX$20=1), GK93, GI93)</f>
        <v>0</v>
      </c>
      <c r="GB93" s="12">
        <f>GB$4 * IF(AND(GA$4=1,FX$20=1), GK93, GI93)</f>
        <v>0</v>
      </c>
      <c r="GC93" s="12">
        <f>GC$4 * IF(AND(GB$4=1,FX$20=1), GK93, GI93)</f>
        <v>0</v>
      </c>
      <c r="GD93" s="12">
        <f>GD$4 * IF(AND(GC$4=1,FX$20=1), GK93, GI93)</f>
        <v>0</v>
      </c>
      <c r="GE93" s="12">
        <f>GE$4 * IF(AND(GD$4=1,FX$20=1), GK93, GI93)</f>
        <v>0</v>
      </c>
      <c r="GF93" s="12">
        <f>GF$4 * IF(AND(GE$4=1,FX$20=1), GK93, GI93)</f>
        <v>0</v>
      </c>
      <c r="GH93" t="s">
        <v>1304</v>
      </c>
      <c r="GI93">
        <f>_xlfn.XLOOKUP(GH93,'KPI Impacts'!$B$2:$H$2,'KPI Impacts'!$B93:$H93)</f>
        <v>0</v>
      </c>
      <c r="GJ93" s="9" t="s">
        <v>1304</v>
      </c>
      <c r="GK93">
        <f>_xlfn.XLOOKUP(GJ93,'KPI Impacts'!$B$2:$H$2,'KPI Impacts'!$B93:$H93)</f>
        <v>0</v>
      </c>
      <c r="GN93" s="12">
        <f>GN$4*GY93</f>
        <v>0</v>
      </c>
      <c r="GO93" s="12">
        <f>GO$4 * IF(AND(GN$4=1,GN$20=1), HA93, GY93)</f>
        <v>0</v>
      </c>
      <c r="GP93" s="12">
        <f>GP$4 * IF(AND(GO$4=1,GN$20=1), HA93, GY93)</f>
        <v>0</v>
      </c>
      <c r="GQ93" s="12">
        <f>GQ$4 * IF(AND(GP$4=1,GN$20=1), HA93, GY93)</f>
        <v>0</v>
      </c>
      <c r="GR93" s="12">
        <f>GR$4 * IF(AND(GQ$4=1,GN$20=1), HA93, GY93)</f>
        <v>0</v>
      </c>
      <c r="GS93" s="12">
        <f>GS$4 * IF(AND(GR$4=1,GN$20=1), HA93, GY93)</f>
        <v>0</v>
      </c>
      <c r="GT93" s="12">
        <f>GT$4 * IF(AND(GS$4=1,GN$20=1), HA93, GY93)</f>
        <v>0</v>
      </c>
      <c r="GU93" s="12">
        <f>GU$4 * IF(AND(GT$4=1,GN$20=1), HA93, GY93)</f>
        <v>0</v>
      </c>
      <c r="GV93" s="12">
        <f>GV$4 * IF(AND(GU$4=1,GN$20=1), HA93, GY93)</f>
        <v>0</v>
      </c>
      <c r="GX93" t="s">
        <v>1304</v>
      </c>
      <c r="GY93">
        <f>_xlfn.XLOOKUP(GX93,'KPI Impacts'!$B$2:$H$2,'KPI Impacts'!$B93:$H93)</f>
        <v>0</v>
      </c>
      <c r="GZ93" s="9" t="s">
        <v>1304</v>
      </c>
      <c r="HA93">
        <f>_xlfn.XLOOKUP(GZ93,'KPI Impacts'!$B$2:$H$2,'KPI Impacts'!$B93:$H93)</f>
        <v>0</v>
      </c>
      <c r="HD93" s="12">
        <f>HD$4*HO93</f>
        <v>0</v>
      </c>
      <c r="HE93" s="12">
        <f>HE$4 * IF(AND(HD$4=1,HD$20=1), HQ93, HO93)</f>
        <v>0</v>
      </c>
      <c r="HF93" s="12">
        <f>HF$4 * IF(AND(HE$4=1,HD$20=1), HQ93, HO93)</f>
        <v>0</v>
      </c>
      <c r="HG93" s="12">
        <f>HG$4 * IF(AND(HF$4=1,HD$20=1), HQ93, HO93)</f>
        <v>0</v>
      </c>
      <c r="HH93" s="12">
        <f>HH$4 * IF(AND(HG$4=1,HD$20=1), HQ93, HO93)</f>
        <v>0</v>
      </c>
      <c r="HI93" s="12">
        <f>HI$4 * IF(AND(HH$4=1,HD$20=1), HQ93, HO93)</f>
        <v>0</v>
      </c>
      <c r="HJ93" s="12">
        <f>HJ$4 * IF(AND(HI$4=1,HD$20=1), HQ93, HO93)</f>
        <v>0</v>
      </c>
      <c r="HK93" s="12">
        <f>HK$4 * IF(AND(HJ$4=1,HD$20=1), HQ93, HO93)</f>
        <v>0</v>
      </c>
      <c r="HL93" s="12">
        <f>HL$4 * IF(AND(HK$4=1,HD$20=1), HQ93, HO93)</f>
        <v>0</v>
      </c>
      <c r="HN93" t="s">
        <v>1304</v>
      </c>
      <c r="HO93">
        <f>_xlfn.XLOOKUP(HN93,'KPI Impacts'!$B$2:$H$2,'KPI Impacts'!$B93:$H93)</f>
        <v>0</v>
      </c>
      <c r="HP93" s="9" t="s">
        <v>1304</v>
      </c>
      <c r="HQ93">
        <f>_xlfn.XLOOKUP(HP93,'KPI Impacts'!$B$2:$H$2,'KPI Impacts'!$B93:$H93)</f>
        <v>0</v>
      </c>
      <c r="HT93" s="12">
        <f>HT$4*IE93</f>
        <v>0</v>
      </c>
      <c r="HU93" s="12">
        <f>HU$4 * IF(AND(HT$4=1,HT$20=1), IG93, IE93)</f>
        <v>0</v>
      </c>
      <c r="HV93" s="12">
        <f>HV$4 * IF(AND(HU$4=1,HT$20=1), IG93, IE93)</f>
        <v>0</v>
      </c>
      <c r="HW93" s="12">
        <f>HW$4 * IF(AND(HV$4=1,HT$20=1), IG93, IE93)</f>
        <v>0</v>
      </c>
      <c r="HX93" s="12">
        <f>HX$4 * IF(AND(HW$4=1,HT$20=1), IG93, IE93)</f>
        <v>0</v>
      </c>
      <c r="HY93" s="12">
        <f>HY$4 * IF(AND(HX$4=1,HT$20=1), IG93, IE93)</f>
        <v>0</v>
      </c>
      <c r="HZ93" s="12">
        <f>HZ$4 * IF(AND(HY$4=1,HT$20=1), IG93, IE93)</f>
        <v>0</v>
      </c>
      <c r="IA93" s="12">
        <f>IA$4 * IF(AND(HZ$4=1,HT$20=1), IG93, IE93)</f>
        <v>0</v>
      </c>
      <c r="IB93" s="12">
        <f>IB$4 * IF(AND(IA$4=1,HT$20=1), IG93, IE93)</f>
        <v>0</v>
      </c>
      <c r="ID93" t="s">
        <v>1304</v>
      </c>
      <c r="IE93">
        <f>_xlfn.XLOOKUP(ID93,'KPI Impacts'!$B$2:$H$2,'KPI Impacts'!$B93:$H93)</f>
        <v>0</v>
      </c>
      <c r="IF93" s="9" t="s">
        <v>1304</v>
      </c>
      <c r="IG93">
        <f>_xlfn.XLOOKUP(IF93,'KPI Impacts'!$B$2:$H$2,'KPI Impacts'!$B93:$H93)</f>
        <v>0</v>
      </c>
      <c r="IJ93" s="12">
        <f>IJ$4*IU93</f>
        <v>0</v>
      </c>
      <c r="IK93" s="12">
        <f>IK$4 * IF(AND(IJ$4=1,IJ$20=1), IW93, IU93)</f>
        <v>0</v>
      </c>
      <c r="IL93" s="12">
        <f>IL$4 * IF(AND(IK$4=1,IJ$20=1), IW93, IU93)</f>
        <v>0</v>
      </c>
      <c r="IM93" s="12">
        <f>IM$4 * IF(AND(IL$4=1,IJ$20=1), IW93, IU93)</f>
        <v>0</v>
      </c>
      <c r="IN93" s="12">
        <f>IN$4 * IF(AND(IM$4=1,IJ$20=1), IW93, IU93)</f>
        <v>0</v>
      </c>
      <c r="IO93" s="12">
        <f>IO$4 * IF(AND(IN$4=1,IJ$20=1), IW93, IU93)</f>
        <v>0</v>
      </c>
      <c r="IP93" s="12">
        <f>IP$4 * IF(AND(IO$4=1,IJ$20=1), IW93, IU93)</f>
        <v>0</v>
      </c>
      <c r="IQ93" s="12">
        <f>IQ$4 * IF(AND(IP$4=1,IJ$20=1), IW93, IU93)</f>
        <v>0</v>
      </c>
      <c r="IR93" s="12">
        <f>IR$4 * IF(AND(IQ$4=1,IJ$20=1), IW93, IU93)</f>
        <v>0</v>
      </c>
      <c r="IT93" t="s">
        <v>1304</v>
      </c>
      <c r="IU93">
        <f>_xlfn.XLOOKUP(IT93,'KPI Impacts'!$B$2:$H$2,'KPI Impacts'!$B93:$H93)</f>
        <v>0</v>
      </c>
      <c r="IV93" s="9" t="s">
        <v>1304</v>
      </c>
      <c r="IW93">
        <f>_xlfn.XLOOKUP(IV93,'KPI Impacts'!$B$2:$H$2,'KPI Impacts'!$B93:$H93)</f>
        <v>0</v>
      </c>
      <c r="IZ93" s="12">
        <f>IZ$4*JK93</f>
        <v>0</v>
      </c>
      <c r="JA93" s="12">
        <f>JA$4 * IF(AND(IZ$4=1,IZ$20=1), JM93, JK93)</f>
        <v>0</v>
      </c>
      <c r="JB93" s="12">
        <f>JB$4 * IF(AND(JA$4=1,IZ$20=1), JM93, JK93)</f>
        <v>0</v>
      </c>
      <c r="JC93" s="12">
        <f>JC$4 * IF(AND(JB$4=1,IZ$20=1), JM93, JK93)</f>
        <v>0</v>
      </c>
      <c r="JD93" s="12">
        <f>JD$4 * IF(AND(JC$4=1,IZ$20=1), JM93, JK93)</f>
        <v>0</v>
      </c>
      <c r="JE93" s="12">
        <f>JE$4 * IF(AND(JD$4=1,IZ$20=1), JM93, JK93)</f>
        <v>0</v>
      </c>
      <c r="JF93" s="12">
        <f>JF$4 * IF(AND(JE$4=1,IZ$20=1), JM93, JK93)</f>
        <v>0</v>
      </c>
      <c r="JG93" s="12">
        <f>JG$4 * IF(AND(JF$4=1,IZ$20=1), JM93, JK93)</f>
        <v>0</v>
      </c>
      <c r="JH93" s="12">
        <f>JH$4 * IF(AND(JG$4=1,IZ$20=1), JM93, JK93)</f>
        <v>0</v>
      </c>
      <c r="JJ93" t="s">
        <v>1304</v>
      </c>
      <c r="JK93">
        <f>_xlfn.XLOOKUP(JJ93,'KPI Impacts'!$B$2:$H$2,'KPI Impacts'!$B93:$H93)</f>
        <v>0</v>
      </c>
      <c r="JL93" s="9" t="s">
        <v>1304</v>
      </c>
      <c r="JM93">
        <f>_xlfn.XLOOKUP(JL93,'KPI Impacts'!$B$2:$H$2,'KPI Impacts'!$B93:$H93)</f>
        <v>0</v>
      </c>
      <c r="JP93" s="12">
        <f>JP$4*KA93</f>
        <v>0</v>
      </c>
      <c r="JQ93" s="12">
        <f>JQ$4 * IF(AND(JP$4=1,JP$20=1), KC93, KA93)</f>
        <v>0</v>
      </c>
      <c r="JR93" s="12">
        <f>JR$4 * IF(AND(JQ$4=1,JP$20=1), KC93, KA93)</f>
        <v>0</v>
      </c>
      <c r="JS93" s="12">
        <f>JS$4 * IF(AND(JR$4=1,JP$20=1), KC93, KA93)</f>
        <v>0</v>
      </c>
      <c r="JT93" s="12">
        <f>JT$4 * IF(AND(JS$4=1,JP$20=1), KC93, KA93)</f>
        <v>0</v>
      </c>
      <c r="JU93" s="12">
        <f>JU$4 * IF(AND(JT$4=1,JP$20=1), KC93, KA93)</f>
        <v>0</v>
      </c>
      <c r="JV93" s="12">
        <f>JV$4 * IF(AND(JU$4=1,JP$20=1), KC93, KA93)</f>
        <v>0</v>
      </c>
      <c r="JW93" s="12">
        <f>JW$4 * IF(AND(JV$4=1,JP$20=1), KC93, KA93)</f>
        <v>0</v>
      </c>
      <c r="JX93" s="12">
        <f>JX$4 * IF(AND(JW$4=1,JP$20=1), KC93, KA93)</f>
        <v>0</v>
      </c>
      <c r="JZ93" t="s">
        <v>1304</v>
      </c>
      <c r="KA93">
        <f>_xlfn.XLOOKUP(JZ93,'KPI Impacts'!$B$2:$H$2,'KPI Impacts'!$B93:$H93)</f>
        <v>0</v>
      </c>
      <c r="KB93" s="9" t="s">
        <v>1304</v>
      </c>
      <c r="KC93">
        <f>_xlfn.XLOOKUP(KB93,'KPI Impacts'!$B$2:$H$2,'KPI Impacts'!$B93:$H93)</f>
        <v>0</v>
      </c>
      <c r="KF93" s="12">
        <f>KF$4*KQ93</f>
        <v>0</v>
      </c>
      <c r="KG93" s="12">
        <f>KG$4 * IF(AND(KF$4=1,KF$20=1), KS93, KQ93)</f>
        <v>0</v>
      </c>
      <c r="KH93" s="12">
        <f>KH$4 * IF(AND(KG$4=1,KF$20=1), KS93, KQ93)</f>
        <v>0</v>
      </c>
      <c r="KI93" s="12">
        <f>KI$4 * IF(AND(KH$4=1,KF$20=1), KS93, KQ93)</f>
        <v>0</v>
      </c>
      <c r="KJ93" s="12">
        <f>KJ$4 * IF(AND(KI$4=1,KF$20=1), KS93, KQ93)</f>
        <v>0</v>
      </c>
      <c r="KK93" s="12">
        <f>KK$4 * IF(AND(KJ$4=1,KF$20=1), KS93, KQ93)</f>
        <v>0</v>
      </c>
      <c r="KL93" s="12">
        <f>KL$4 * IF(AND(KK$4=1,KF$20=1), KS93, KQ93)</f>
        <v>0</v>
      </c>
      <c r="KM93" s="12">
        <f>KM$4 * IF(AND(KL$4=1,KF$20=1), KS93, KQ93)</f>
        <v>0</v>
      </c>
      <c r="KN93" s="12">
        <f>KN$4 * IF(AND(KM$4=1,KF$20=1), KS93, KQ93)</f>
        <v>0</v>
      </c>
      <c r="KP93" t="s">
        <v>1304</v>
      </c>
      <c r="KQ93">
        <f>_xlfn.XLOOKUP(KP93,'KPI Impacts'!$B$2:$H$2,'KPI Impacts'!$B93:$H93)</f>
        <v>0</v>
      </c>
      <c r="KR93" s="9" t="s">
        <v>1304</v>
      </c>
      <c r="KS93">
        <f>_xlfn.XLOOKUP(KR93,'KPI Impacts'!$B$2:$H$2,'KPI Impacts'!$B93:$H93)</f>
        <v>0</v>
      </c>
      <c r="KV93" s="12">
        <f>KV$4*LG93</f>
        <v>0</v>
      </c>
      <c r="KW93" s="12">
        <f>KW$4 * IF(AND(KV$4=1,KV$20=1), LI93, LG93)</f>
        <v>0</v>
      </c>
      <c r="KX93" s="12">
        <f>KX$4 * IF(AND(KW$4=1,KV$20=1), LI93, LG93)</f>
        <v>0</v>
      </c>
      <c r="KY93" s="12">
        <f>KY$4 * IF(AND(KX$4=1,KV$20=1), LI93, LG93)</f>
        <v>0</v>
      </c>
      <c r="KZ93" s="12">
        <f>KZ$4 * IF(AND(KY$4=1,KV$20=1), LI93, LG93)</f>
        <v>0</v>
      </c>
      <c r="LA93" s="12">
        <f>LA$4 * IF(AND(KZ$4=1,KV$20=1), LI93, LG93)</f>
        <v>0</v>
      </c>
      <c r="LB93" s="12">
        <f>LB$4 * IF(AND(LA$4=1,KV$20=1), LI93, LG93)</f>
        <v>0</v>
      </c>
      <c r="LC93" s="12">
        <f>LC$4 * IF(AND(LB$4=1,KV$20=1), LI93, LG93)</f>
        <v>0</v>
      </c>
      <c r="LD93" s="12">
        <f>LD$4 * IF(AND(LC$4=1,KV$20=1), LI93, LG93)</f>
        <v>0</v>
      </c>
      <c r="LF93" t="s">
        <v>1304</v>
      </c>
      <c r="LG93">
        <f>_xlfn.XLOOKUP(LF93,'KPI Impacts'!$B$2:$H$2,'KPI Impacts'!$B93:$H93)</f>
        <v>0</v>
      </c>
      <c r="LH93" s="9" t="s">
        <v>1304</v>
      </c>
      <c r="LI93">
        <f>_xlfn.XLOOKUP(LH93,'KPI Impacts'!$B$2:$H$2,'KPI Impacts'!$B93:$H93)</f>
        <v>0</v>
      </c>
      <c r="LL93" s="12">
        <f>LL$4*LW93</f>
        <v>0</v>
      </c>
      <c r="LM93" s="12">
        <f>LM$4 * IF(AND(LL$4=1,LL$20=1), LY93, LW93)</f>
        <v>0</v>
      </c>
      <c r="LN93" s="12">
        <f>LN$4 * IF(AND(LM$4=1,LL$20=1), LY93, LW93)</f>
        <v>0</v>
      </c>
      <c r="LO93" s="12">
        <f>LO$4 * IF(AND(LN$4=1,LL$20=1), LY93, LW93)</f>
        <v>0</v>
      </c>
      <c r="LP93" s="12">
        <f>LP$4 * IF(AND(LO$4=1,LL$20=1), LY93, LW93)</f>
        <v>0</v>
      </c>
      <c r="LQ93" s="12">
        <f>LQ$4 * IF(AND(LP$4=1,LL$20=1), LY93, LW93)</f>
        <v>0</v>
      </c>
      <c r="LR93" s="12">
        <f>LR$4 * IF(AND(LQ$4=1,LL$20=1), LY93, LW93)</f>
        <v>0</v>
      </c>
      <c r="LS93" s="12">
        <f>LS$4 * IF(AND(LR$4=1,LL$20=1), LY93, LW93)</f>
        <v>0</v>
      </c>
      <c r="LT93" s="12">
        <f>LT$4 * IF(AND(LS$4=1,LL$20=1), LY93, LW93)</f>
        <v>0</v>
      </c>
      <c r="LV93" t="s">
        <v>1304</v>
      </c>
      <c r="LW93">
        <f>_xlfn.XLOOKUP(LV93,'KPI Impacts'!$B$2:$H$2,'KPI Impacts'!$B93:$H93)</f>
        <v>0</v>
      </c>
      <c r="LX93" s="9" t="s">
        <v>1304</v>
      </c>
      <c r="LY93">
        <f>_xlfn.XLOOKUP(LX93,'KPI Impacts'!$B$2:$H$2,'KPI Impacts'!$B93:$H93)</f>
        <v>0</v>
      </c>
      <c r="MB93" s="12">
        <f>MB$4*MM93</f>
        <v>0</v>
      </c>
      <c r="MC93" s="12">
        <f>MC$4 * IF(AND(MB$4=1,MB$20=1), MO93, MM93)</f>
        <v>0</v>
      </c>
      <c r="MD93" s="12">
        <f>MD$4 * IF(AND(MC$4=1,MB$20=1), MO93, MM93)</f>
        <v>0</v>
      </c>
      <c r="ME93" s="12">
        <f>ME$4 * IF(AND(MD$4=1,MB$20=1), MO93, MM93)</f>
        <v>0</v>
      </c>
      <c r="MF93" s="12">
        <f>MF$4 * IF(AND(ME$4=1,MB$20=1), MO93, MM93)</f>
        <v>0</v>
      </c>
      <c r="MG93" s="12">
        <f>MG$4 * IF(AND(MF$4=1,MB$20=1), MO93, MM93)</f>
        <v>0</v>
      </c>
      <c r="MH93" s="12">
        <f>MH$4 * IF(AND(MG$4=1,MB$20=1), MO93, MM93)</f>
        <v>0</v>
      </c>
      <c r="MI93" s="12">
        <f>MI$4 * IF(AND(MH$4=1,MB$20=1), MO93, MM93)</f>
        <v>0</v>
      </c>
      <c r="MJ93" s="12">
        <f>MJ$4 * IF(AND(MI$4=1,MB$20=1), MO93, MM93)</f>
        <v>0</v>
      </c>
      <c r="ML93" t="s">
        <v>1304</v>
      </c>
      <c r="MM93">
        <f>_xlfn.XLOOKUP(ML93,'KPI Impacts'!$B$2:$H$2,'KPI Impacts'!$B93:$H93)</f>
        <v>0</v>
      </c>
      <c r="MN93" s="9" t="s">
        <v>1304</v>
      </c>
      <c r="MO93">
        <f>_xlfn.XLOOKUP(MN93,'KPI Impacts'!$B$2:$H$2,'KPI Impacts'!$B93:$H93)</f>
        <v>0</v>
      </c>
      <c r="MR93" s="12">
        <f>MR$4*NC93</f>
        <v>0</v>
      </c>
      <c r="MS93" s="12">
        <f>MS$4 * IF(AND(MR$4=1,MR$20=1), NE93, NC93)</f>
        <v>0</v>
      </c>
      <c r="MT93" s="12">
        <f>MT$4 * IF(AND(MS$4=1,MR$20=1), NE93, NC93)</f>
        <v>0</v>
      </c>
      <c r="MU93" s="12">
        <f>MU$4 * IF(AND(MT$4=1,MR$20=1), NE93, NC93)</f>
        <v>0</v>
      </c>
      <c r="MV93" s="12">
        <f>MV$4 * IF(AND(MU$4=1,MR$20=1), NE93, NC93)</f>
        <v>0</v>
      </c>
      <c r="MW93" s="12">
        <f>MW$4 * IF(AND(MV$4=1,MR$20=1), NE93, NC93)</f>
        <v>0</v>
      </c>
      <c r="MX93" s="12">
        <f>MX$4 * IF(AND(MW$4=1,MR$20=1), NE93, NC93)</f>
        <v>0</v>
      </c>
      <c r="MY93" s="12">
        <f>MY$4 * IF(AND(MX$4=1,MR$20=1), NE93, NC93)</f>
        <v>0</v>
      </c>
      <c r="MZ93" s="12">
        <f>MZ$4 * IF(AND(MY$4=1,MR$20=1), NE93, NC93)</f>
        <v>0</v>
      </c>
      <c r="NB93" t="s">
        <v>1304</v>
      </c>
      <c r="NC93">
        <f>_xlfn.XLOOKUP(NB93,'KPI Impacts'!$B$2:$H$2,'KPI Impacts'!$B93:$H93)</f>
        <v>0</v>
      </c>
      <c r="ND93" s="9" t="s">
        <v>1304</v>
      </c>
      <c r="NE93">
        <f>_xlfn.XLOOKUP(ND93,'KPI Impacts'!$B$2:$H$2,'KPI Impacts'!$B93:$H93)</f>
        <v>0</v>
      </c>
      <c r="NH93" s="12">
        <f>NH$4*NS93</f>
        <v>0</v>
      </c>
      <c r="NI93" s="12">
        <f>NI$4 * IF(AND(NH$4=1,NH$20=1), NU93, NS93)</f>
        <v>0</v>
      </c>
      <c r="NJ93" s="12">
        <f>NJ$4 * IF(AND(NI$4=1,NH$20=1), NU93, NS93)</f>
        <v>0</v>
      </c>
      <c r="NK93" s="12">
        <f>NK$4 * IF(AND(NJ$4=1,NH$20=1), NU93, NS93)</f>
        <v>0</v>
      </c>
      <c r="NL93" s="12">
        <f>NL$4 * IF(AND(NK$4=1,NH$20=1), NU93, NS93)</f>
        <v>0</v>
      </c>
      <c r="NM93" s="12">
        <f>NM$4 * IF(AND(NL$4=1,NH$20=1), NU93, NS93)</f>
        <v>0</v>
      </c>
      <c r="NN93" s="12">
        <f>NN$4 * IF(AND(NM$4=1,NH$20=1), NU93, NS93)</f>
        <v>0</v>
      </c>
      <c r="NO93" s="12">
        <f>NO$4 * IF(AND(NN$4=1,NH$20=1), NU93, NS93)</f>
        <v>0</v>
      </c>
      <c r="NP93" s="12">
        <f>NP$4 * IF(AND(NO$4=1,NH$20=1), NU93, NS93)</f>
        <v>0</v>
      </c>
      <c r="NR93" t="s">
        <v>1304</v>
      </c>
      <c r="NS93">
        <f>_xlfn.XLOOKUP(NR93,'KPI Impacts'!$B$2:$H$2,'KPI Impacts'!$B93:$H93)</f>
        <v>0</v>
      </c>
      <c r="NT93" s="9" t="s">
        <v>1304</v>
      </c>
      <c r="NU93">
        <f>_xlfn.XLOOKUP(NT93,'KPI Impacts'!$B$2:$H$2,'KPI Impacts'!$B93:$H93)</f>
        <v>0</v>
      </c>
      <c r="NX93" s="12">
        <f>NX$4*OI93</f>
        <v>0</v>
      </c>
      <c r="NY93" s="12">
        <f>NY$4 * IF(AND(NX$4=1,NX$20=1), OK93, OI93)</f>
        <v>0</v>
      </c>
      <c r="NZ93" s="12">
        <f>NZ$4 * IF(AND(NY$4=1,NX$20=1), OK93, OI93)</f>
        <v>0</v>
      </c>
      <c r="OA93" s="12">
        <f>OA$4 * IF(AND(NZ$4=1,NX$20=1), OK93, OI93)</f>
        <v>0</v>
      </c>
      <c r="OB93" s="12">
        <f>OB$4 * IF(AND(OA$4=1,NX$20=1), OK93, OI93)</f>
        <v>0</v>
      </c>
      <c r="OC93" s="12">
        <f>OC$4 * IF(AND(OB$4=1,NX$20=1), OK93, OI93)</f>
        <v>0</v>
      </c>
      <c r="OD93" s="12">
        <f>OD$4 * IF(AND(OC$4=1,NX$20=1), OK93, OI93)</f>
        <v>0</v>
      </c>
      <c r="OE93" s="12">
        <f>OE$4 * IF(AND(OD$4=1,NX$20=1), OK93, OI93)</f>
        <v>0</v>
      </c>
      <c r="OF93" s="12">
        <f>OF$4 * IF(AND(OE$4=1,NX$20=1), OK93, OI93)</f>
        <v>0</v>
      </c>
      <c r="OH93" t="s">
        <v>1304</v>
      </c>
      <c r="OI93">
        <f>_xlfn.XLOOKUP(OH93,'KPI Impacts'!$B$2:$H$2,'KPI Impacts'!$B93:$H93)</f>
        <v>0</v>
      </c>
      <c r="OJ93" s="9" t="s">
        <v>1304</v>
      </c>
      <c r="OK93">
        <f>_xlfn.XLOOKUP(OJ93,'KPI Impacts'!$B$2:$H$2,'KPI Impacts'!$B93:$H93)</f>
        <v>0</v>
      </c>
    </row>
    <row r="94" spans="1:401" x14ac:dyDescent="0.2">
      <c r="A94" s="9" t="s">
        <v>1727</v>
      </c>
      <c r="B94" s="12">
        <f t="shared" si="513"/>
        <v>0</v>
      </c>
      <c r="C94" s="12">
        <f t="shared" si="513"/>
        <v>0</v>
      </c>
      <c r="D94" s="12">
        <f t="shared" si="513"/>
        <v>0</v>
      </c>
      <c r="E94" s="12">
        <f t="shared" si="513"/>
        <v>0</v>
      </c>
      <c r="F94" s="12">
        <f t="shared" si="513"/>
        <v>0</v>
      </c>
      <c r="G94" s="12">
        <f t="shared" si="513"/>
        <v>0</v>
      </c>
      <c r="H94" s="12">
        <f t="shared" si="513"/>
        <v>0</v>
      </c>
      <c r="I94" s="12">
        <f t="shared" si="513"/>
        <v>0</v>
      </c>
      <c r="J94" s="12">
        <f t="shared" si="513"/>
        <v>0</v>
      </c>
      <c r="M94" s="6"/>
      <c r="N94" s="6"/>
      <c r="P94" s="12" cm="1">
        <f t="array" ref="P94">_xlfn.SWITCH(P$4, 0,0, 1, AA94,2,AC94,3,AE94,0)</f>
        <v>0</v>
      </c>
      <c r="Q94" s="12" cm="1">
        <f t="array" ref="Q94">_xlfn.SWITCH(Q$4, 0,0, 1, AA94,2,AC94,3,AE94,0)+P94</f>
        <v>0</v>
      </c>
      <c r="R94" s="12" cm="1">
        <f t="array" ref="R94">_xlfn.SWITCH(R$4, 0,0, 1, AA94,2,AC94,3,AE94,0)+Q94</f>
        <v>0</v>
      </c>
      <c r="S94" s="12" cm="1">
        <f t="array" ref="S94">_xlfn.SWITCH(S$4, 0,0, 1, AA94,2,AC94,3,AE94,0)+R94</f>
        <v>0</v>
      </c>
      <c r="T94" s="12" cm="1">
        <f t="array" ref="T94">_xlfn.SWITCH(T$4, 0,0, 1, AA94,2,AC94,3,AE94,0)+S94</f>
        <v>0</v>
      </c>
      <c r="U94" s="12" cm="1">
        <f t="array" ref="U94">_xlfn.SWITCH(U$4, 0,0, 1, AA94,2,AC94,3,AE94,0)+T94</f>
        <v>0</v>
      </c>
      <c r="V94" s="12" cm="1">
        <f t="array" ref="V94">_xlfn.SWITCH(V$4, 0,0, 1, AA94,2,AC94,3,AE94,0)+U94</f>
        <v>0</v>
      </c>
      <c r="W94" s="12" cm="1">
        <f t="array" ref="W94">_xlfn.SWITCH(W$4, 0,0, 1, AA94,2,AC94,3,AE94,0)+V94</f>
        <v>0</v>
      </c>
      <c r="X94" s="12" cm="1">
        <f t="array" ref="X94">_xlfn.SWITCH(X$4, 0,0, 1, AA94,2,AC94,3,AE94,0)+W94</f>
        <v>0</v>
      </c>
      <c r="Z94" t="s">
        <v>1304</v>
      </c>
      <c r="AA94">
        <f>_xlfn.XLOOKUP(Z94,'KPI Impacts'!$K$2:$Q$2,'KPI Impacts'!$K94:$Q94)</f>
        <v>0</v>
      </c>
      <c r="AB94" t="s">
        <v>1304</v>
      </c>
      <c r="AC94">
        <f>_xlfn.XLOOKUP(AB94,'KPI Impacts'!$K$2:$Q$2,'KPI Impacts'!$K94:$Q94)</f>
        <v>0</v>
      </c>
      <c r="AD94" t="s">
        <v>1304</v>
      </c>
      <c r="AE94">
        <f>_xlfn.XLOOKUP(AD94,'KPI Impacts'!$K$2:$Q$2,'KPI Impacts'!$K94:$Q94)</f>
        <v>0</v>
      </c>
      <c r="AH94" s="12" cm="1">
        <f t="array" ref="AH94">_xlfn.SWITCH(AH$4, 0,0, 1, AS94,2,AU94,3,AW94,0)</f>
        <v>0</v>
      </c>
      <c r="AI94" s="12" cm="1">
        <f t="array" ref="AI94">_xlfn.SWITCH(AI$4, 0,0, 1, AS94,2,AU94,3,AW94,0)+AH94</f>
        <v>0</v>
      </c>
      <c r="AJ94" s="12" cm="1">
        <f t="array" ref="AJ94">_xlfn.SWITCH(AJ$4, 0,0, 1, AS94,2,AU94,3,AW94,0)+AI94</f>
        <v>0</v>
      </c>
      <c r="AK94" s="12" cm="1">
        <f t="array" ref="AK94">_xlfn.SWITCH(AK$4, 0,0, 1, AS94,2,AU94,3,AW94,0)+AJ94</f>
        <v>0</v>
      </c>
      <c r="AL94" s="12" cm="1">
        <f t="array" ref="AL94">_xlfn.SWITCH(AL$4, 0,0, 1, AS94,2,AU94,3,AW94,0)+AK94</f>
        <v>0</v>
      </c>
      <c r="AM94" s="12" cm="1">
        <f t="array" ref="AM94">_xlfn.SWITCH(AM$4, 0,0, 1, AS94,2,AU94,3,AW94,0)+AL94</f>
        <v>0</v>
      </c>
      <c r="AN94" s="12" cm="1">
        <f t="array" ref="AN94">_xlfn.SWITCH(AN$4, 0,0, 1, AS94,2,AU94,3,AW94,0)+AM94</f>
        <v>0</v>
      </c>
      <c r="AO94" s="12" cm="1">
        <f t="array" ref="AO94">_xlfn.SWITCH(AO$4, 0,0, 1, AS94,2,AU94,3,AW94,0)+AN94</f>
        <v>0</v>
      </c>
      <c r="AP94" s="12" cm="1">
        <f t="array" ref="AP94">_xlfn.SWITCH(AP$4, 0,0, 1, AS94,2,AU94,3,AW94,0)+AO94</f>
        <v>0</v>
      </c>
      <c r="AR94" t="s">
        <v>1304</v>
      </c>
      <c r="AS94">
        <f>_xlfn.XLOOKUP(AR94,'KPI Impacts'!$K$2:$Q$2,'KPI Impacts'!$K94:$Q94)</f>
        <v>0</v>
      </c>
      <c r="AT94" t="s">
        <v>1304</v>
      </c>
      <c r="AU94">
        <f>_xlfn.XLOOKUP(AT94,'KPI Impacts'!$K$2:$Q$2,'KPI Impacts'!$K94:$Q94)</f>
        <v>0</v>
      </c>
      <c r="AV94" t="s">
        <v>1304</v>
      </c>
      <c r="AW94">
        <f>_xlfn.XLOOKUP(AV94,'KPI Impacts'!$K$2:$Q$2,'KPI Impacts'!$K94:$Q94)</f>
        <v>0</v>
      </c>
      <c r="AZ94" s="12">
        <f>AZ$4*BK94</f>
        <v>0</v>
      </c>
      <c r="BA94" s="12">
        <f>BA$4 * IF(AND(AZ$4=1,AZ$20=1), BM94, BK94)</f>
        <v>0</v>
      </c>
      <c r="BB94" s="12">
        <f>BB$4 * IF(AND(BA$4=1,AZ$20=1), BM94, BK94)</f>
        <v>0</v>
      </c>
      <c r="BC94" s="12">
        <f>BC$4 * IF(AND(BB$4=1,AZ$20=1), BM94, BK94)</f>
        <v>0</v>
      </c>
      <c r="BD94" s="12">
        <f>BD$4 * IF(AND(BC$4=1,AZ$20=1), BM94, BK94)</f>
        <v>0</v>
      </c>
      <c r="BE94" s="12">
        <f>BE$4 * IF(AND(BD$4=1,AZ$20=1), BM94, BK94)</f>
        <v>0</v>
      </c>
      <c r="BF94" s="12">
        <f>BF$4 * IF(AND(BE$4=1,AZ$20=1), BM94, BK94)</f>
        <v>0</v>
      </c>
      <c r="BG94" s="12">
        <f>BG$4 * IF(AND(BF$4=1,AZ$20=1), BM94, BK94)</f>
        <v>0</v>
      </c>
      <c r="BH94" s="12">
        <f>BH$4 * IF(AND(BG$4=1,AZ$20=1), BM94, BK94)</f>
        <v>0</v>
      </c>
      <c r="BJ94" t="s">
        <v>1304</v>
      </c>
      <c r="BK94">
        <f>_xlfn.XLOOKUP(BJ94,'KPI Impacts'!$B$2:$H$2,'KPI Impacts'!$B94:$H94)</f>
        <v>0</v>
      </c>
      <c r="BL94" s="9" t="s">
        <v>1304</v>
      </c>
      <c r="BM94">
        <f>_xlfn.XLOOKUP(BL94,'KPI Impacts'!$B$2:$H$2,'KPI Impacts'!$B94:$H94)</f>
        <v>0</v>
      </c>
      <c r="BP94" s="12">
        <f>BP$4*CA94</f>
        <v>0</v>
      </c>
      <c r="BQ94" s="12">
        <f>BQ$4 * IF(AND(BP$4=1,BP$20=1), CC94, CA94)</f>
        <v>0</v>
      </c>
      <c r="BR94" s="12">
        <f>BR$4 * IF(AND(BQ$4=1,BP$20=1), CC94, CA94)</f>
        <v>0</v>
      </c>
      <c r="BS94" s="12">
        <f>BS$4 * IF(AND(BR$4=1,BP$20=1), CC94, CA94)</f>
        <v>0</v>
      </c>
      <c r="BT94" s="12">
        <f>BT$4 * IF(AND(BS$4=1,BP$20=1), CC94, CA94)</f>
        <v>0</v>
      </c>
      <c r="BU94" s="12">
        <f>BU$4 * IF(AND(BT$4=1,BP$20=1), CC94, CA94)</f>
        <v>0</v>
      </c>
      <c r="BV94" s="12">
        <f>BV$4 * IF(AND(BU$4=1,BP$20=1), CC94, CA94)</f>
        <v>0</v>
      </c>
      <c r="BW94" s="12">
        <f>BW$4 * IF(AND(BV$4=1,BP$20=1), CC94, CA94)</f>
        <v>0</v>
      </c>
      <c r="BX94" s="12">
        <f>BX$4 * IF(AND(BW$4=1,BP$20=1), CC94, CA94)</f>
        <v>0</v>
      </c>
      <c r="BZ94" t="s">
        <v>1304</v>
      </c>
      <c r="CA94">
        <f>_xlfn.XLOOKUP(BZ94,'KPI Impacts'!$B$2:$H$2,'KPI Impacts'!$B94:$H94)</f>
        <v>0</v>
      </c>
      <c r="CB94" s="9" t="s">
        <v>1304</v>
      </c>
      <c r="CC94">
        <f>_xlfn.XLOOKUP(CB94,'KPI Impacts'!$B$2:$H$2,'KPI Impacts'!$B94:$H94)</f>
        <v>0</v>
      </c>
      <c r="CF94" s="12">
        <f>CF$4*CQ94</f>
        <v>0</v>
      </c>
      <c r="CG94" s="12">
        <f>CG$4 * IF(AND(CF$4=1,CF$20=1), CS94, CQ94)</f>
        <v>0</v>
      </c>
      <c r="CH94" s="12">
        <f>CH$4 * IF(AND(CG$4=1,CF$20=1), CS94, CQ94)</f>
        <v>0</v>
      </c>
      <c r="CI94" s="12">
        <f>CI$4 * IF(AND(CH$4=1,CF$20=1), CS94, CQ94)</f>
        <v>0</v>
      </c>
      <c r="CJ94" s="12">
        <f>CJ$4 * IF(AND(CI$4=1,CF$20=1), CS94, CQ94)</f>
        <v>0</v>
      </c>
      <c r="CK94" s="12">
        <f>CK$4 * IF(AND(CJ$4=1,CF$20=1), CS94, CQ94)</f>
        <v>0</v>
      </c>
      <c r="CL94" s="12">
        <f>CL$4 * IF(AND(CK$4=1,CF$20=1), CS94, CQ94)</f>
        <v>0</v>
      </c>
      <c r="CM94" s="12">
        <f>CM$4 * IF(AND(CL$4=1,CF$20=1), CS94, CQ94)</f>
        <v>0</v>
      </c>
      <c r="CN94" s="12">
        <f>CN$4 * IF(AND(CM$4=1,CF$20=1), CS94, CQ94)</f>
        <v>0</v>
      </c>
      <c r="CP94" t="s">
        <v>1304</v>
      </c>
      <c r="CQ94">
        <f>_xlfn.XLOOKUP(CP94,'KPI Impacts'!$B$2:$H$2,'KPI Impacts'!$B94:$H94)</f>
        <v>0</v>
      </c>
      <c r="CR94" s="9" t="s">
        <v>1304</v>
      </c>
      <c r="CS94">
        <f>_xlfn.XLOOKUP(CR94,'KPI Impacts'!$B$2:$H$2,'KPI Impacts'!$B94:$H94)</f>
        <v>0</v>
      </c>
      <c r="CV94" s="12">
        <f>CV$4*DG94</f>
        <v>0</v>
      </c>
      <c r="CW94" s="12">
        <f>CW$4 * IF(AND(CV$4=1,CV$20=1), DI94, DG94)</f>
        <v>0</v>
      </c>
      <c r="CX94" s="12">
        <f>CX$4 * IF(AND(CW$4=1,CV$20=1), DI94, DG94)</f>
        <v>0</v>
      </c>
      <c r="CY94" s="12">
        <f>CY$4 * IF(AND(CX$4=1,CV$20=1), DI94, DG94)</f>
        <v>0</v>
      </c>
      <c r="CZ94" s="12">
        <f>CZ$4 * IF(AND(CY$4=1,CV$20=1), DI94, DG94)</f>
        <v>0</v>
      </c>
      <c r="DA94" s="12">
        <f>DA$4 * IF(AND(CZ$4=1,CV$20=1), DI94, DG94)</f>
        <v>0</v>
      </c>
      <c r="DB94" s="12">
        <f>DB$4 * IF(AND(DA$4=1,CV$20=1), DI94, DG94)</f>
        <v>0</v>
      </c>
      <c r="DC94" s="12">
        <f>DC$4 * IF(AND(DB$4=1,CV$20=1), DI94, DG94)</f>
        <v>0</v>
      </c>
      <c r="DD94" s="12">
        <f>DD$4 * IF(AND(DC$4=1,CV$20=1), DI94, DG94)</f>
        <v>0</v>
      </c>
      <c r="DF94" t="s">
        <v>1304</v>
      </c>
      <c r="DG94">
        <f>_xlfn.XLOOKUP(DF94,'KPI Impacts'!$B$2:$H$2,'KPI Impacts'!$B94:$H94)</f>
        <v>0</v>
      </c>
      <c r="DH94" s="9" t="s">
        <v>1304</v>
      </c>
      <c r="DI94">
        <f>_xlfn.XLOOKUP(DH94,'KPI Impacts'!$B$2:$H$2,'KPI Impacts'!$B94:$H94)</f>
        <v>0</v>
      </c>
      <c r="DL94" s="12">
        <f>DL$4*DW94</f>
        <v>0</v>
      </c>
      <c r="DM94" s="12">
        <f>DM$4 * IF(AND(DL$4=1,DL$20=1), DY94, DW94)</f>
        <v>0</v>
      </c>
      <c r="DN94" s="12">
        <f>DN$4 * IF(AND(DM$4=1,DL$20=1), DY94, DW94)</f>
        <v>0</v>
      </c>
      <c r="DO94" s="12">
        <f>DO$4 * IF(AND(DN$4=1,DL$20=1), DY94, DW94)</f>
        <v>0</v>
      </c>
      <c r="DP94" s="12">
        <f>DP$4 * IF(AND(DO$4=1,DL$20=1), DY94, DW94)</f>
        <v>0</v>
      </c>
      <c r="DQ94" s="12">
        <f>DQ$4 * IF(AND(DP$4=1,DL$20=1), DY94, DW94)</f>
        <v>0</v>
      </c>
      <c r="DR94" s="12">
        <f>DR$4 * IF(AND(DQ$4=1,DL$20=1), DY94, DW94)</f>
        <v>0</v>
      </c>
      <c r="DS94" s="12">
        <f>DS$4 * IF(AND(DR$4=1,DL$20=1), DY94, DW94)</f>
        <v>0</v>
      </c>
      <c r="DT94" s="12">
        <f>DT$4 * IF(AND(DS$4=1,DL$20=1), DY94, DW94)</f>
        <v>0</v>
      </c>
      <c r="DV94" t="s">
        <v>1304</v>
      </c>
      <c r="DW94">
        <f>_xlfn.XLOOKUP(DV94,'KPI Impacts'!$B$2:$H$2,'KPI Impacts'!$B94:$H94)</f>
        <v>0</v>
      </c>
      <c r="DX94" s="9" t="s">
        <v>1304</v>
      </c>
      <c r="DY94">
        <f>_xlfn.XLOOKUP(DX94,'KPI Impacts'!$B$2:$H$2,'KPI Impacts'!$B94:$H94)</f>
        <v>0</v>
      </c>
      <c r="EB94" s="12">
        <f>EB$4*EM94</f>
        <v>0</v>
      </c>
      <c r="EC94" s="12">
        <f>EC$4 * IF(AND(EB$4=1,EB$20=1), EO94, EM94)</f>
        <v>0</v>
      </c>
      <c r="ED94" s="12">
        <f>ED$4 * IF(AND(EC$4=1,EB$20=1), EO94, EM94)</f>
        <v>0</v>
      </c>
      <c r="EE94" s="12">
        <f>EE$4 * IF(AND(ED$4=1,EB$20=1), EO94, EM94)</f>
        <v>0</v>
      </c>
      <c r="EF94" s="12">
        <f>EF$4 * IF(AND(EE$4=1,EB$20=1), EO94, EM94)</f>
        <v>0</v>
      </c>
      <c r="EG94" s="12">
        <f>EG$4 * IF(AND(EF$4=1,EB$20=1), EO94, EM94)</f>
        <v>0</v>
      </c>
      <c r="EH94" s="12">
        <f>EH$4 * IF(AND(EG$4=1,EB$20=1), EO94, EM94)</f>
        <v>0</v>
      </c>
      <c r="EI94" s="12">
        <f>EI$4 * IF(AND(EH$4=1,EB$20=1), EO94, EM94)</f>
        <v>0</v>
      </c>
      <c r="EJ94" s="12">
        <f>EJ$4 * IF(AND(EI$4=1,EB$20=1), EO94, EM94)</f>
        <v>0</v>
      </c>
      <c r="EL94" t="s">
        <v>1304</v>
      </c>
      <c r="EM94">
        <f>_xlfn.XLOOKUP(EL94,'KPI Impacts'!$B$2:$H$2,'KPI Impacts'!$B94:$H94)</f>
        <v>0</v>
      </c>
      <c r="EN94" s="9" t="s">
        <v>1304</v>
      </c>
      <c r="EO94">
        <f>_xlfn.XLOOKUP(EN94,'KPI Impacts'!$B$2:$H$2,'KPI Impacts'!$B94:$H94)</f>
        <v>0</v>
      </c>
      <c r="ER94" s="12">
        <f>ER$4*FC94</f>
        <v>0</v>
      </c>
      <c r="ES94" s="12">
        <f>ES$4 * IF(AND(ER$4=1,ER$20=1), FE94, FC94)</f>
        <v>0</v>
      </c>
      <c r="ET94" s="12">
        <f>ET$4 * IF(AND(ES$4=1,ER$20=1), FE94, FC94)</f>
        <v>0</v>
      </c>
      <c r="EU94" s="12">
        <f>EU$4 * IF(AND(ET$4=1,ER$20=1), FE94, FC94)</f>
        <v>0</v>
      </c>
      <c r="EV94" s="12">
        <f>EV$4 * IF(AND(EU$4=1,ER$20=1), FE94, FC94)</f>
        <v>0</v>
      </c>
      <c r="EW94" s="12">
        <f>EW$4 * IF(AND(EV$4=1,ER$20=1), FE94, FC94)</f>
        <v>0</v>
      </c>
      <c r="EX94" s="12">
        <f>EX$4 * IF(AND(EW$4=1,ER$20=1), FE94, FC94)</f>
        <v>0</v>
      </c>
      <c r="EY94" s="12">
        <f>EY$4 * IF(AND(EX$4=1,ER$20=1), FE94, FC94)</f>
        <v>0</v>
      </c>
      <c r="EZ94" s="12">
        <f>EZ$4 * IF(AND(EY$4=1,ER$20=1), FE94, FC94)</f>
        <v>0</v>
      </c>
      <c r="FB94" t="s">
        <v>1304</v>
      </c>
      <c r="FC94">
        <f>_xlfn.XLOOKUP(FB94,'KPI Impacts'!$B$2:$H$2,'KPI Impacts'!$B94:$H94)</f>
        <v>0</v>
      </c>
      <c r="FD94" s="9" t="s">
        <v>1304</v>
      </c>
      <c r="FE94">
        <f>_xlfn.XLOOKUP(FD94,'KPI Impacts'!$B$2:$H$2,'KPI Impacts'!$B94:$H94)</f>
        <v>0</v>
      </c>
      <c r="FH94" s="12">
        <f>FH$4*FS94</f>
        <v>0</v>
      </c>
      <c r="FI94" s="12">
        <f>FI$4 * IF(AND(FH$4=1,FH$20=1), FU94, FS94)</f>
        <v>0</v>
      </c>
      <c r="FJ94" s="12">
        <f>FJ$4 * IF(AND(FI$4=1,FH$20=1), FU94, FS94)</f>
        <v>0</v>
      </c>
      <c r="FK94" s="12">
        <f>FK$4 * IF(AND(FJ$4=1,FH$20=1), FU94, FS94)</f>
        <v>0</v>
      </c>
      <c r="FL94" s="12">
        <f>FL$4 * IF(AND(FK$4=1,FH$20=1), FU94, FS94)</f>
        <v>0</v>
      </c>
      <c r="FM94" s="12">
        <f>FM$4 * IF(AND(FL$4=1,FH$20=1), FU94, FS94)</f>
        <v>0</v>
      </c>
      <c r="FN94" s="12">
        <f>FN$4 * IF(AND(FM$4=1,FH$20=1), FU94, FS94)</f>
        <v>0</v>
      </c>
      <c r="FO94" s="12">
        <f>FO$4 * IF(AND(FN$4=1,FH$20=1), FU94, FS94)</f>
        <v>0</v>
      </c>
      <c r="FP94" s="12">
        <f>FP$4 * IF(AND(FO$4=1,FH$20=1), FU94, FS94)</f>
        <v>0</v>
      </c>
      <c r="FR94" t="s">
        <v>1304</v>
      </c>
      <c r="FS94">
        <f>_xlfn.XLOOKUP(FR94,'KPI Impacts'!$B$2:$H$2,'KPI Impacts'!$B94:$H94)</f>
        <v>0</v>
      </c>
      <c r="FT94" s="9" t="s">
        <v>1304</v>
      </c>
      <c r="FU94">
        <f>_xlfn.XLOOKUP(FT94,'KPI Impacts'!$B$2:$H$2,'KPI Impacts'!$B94:$H94)</f>
        <v>0</v>
      </c>
      <c r="FX94" s="12">
        <f>FX$4*GI94</f>
        <v>0</v>
      </c>
      <c r="FY94" s="12">
        <f>FY$4 * IF(AND(FX$4=1,FX$20=1), GK94, GI94)</f>
        <v>0</v>
      </c>
      <c r="FZ94" s="12">
        <f>FZ$4 * IF(AND(FY$4=1,FX$20=1), GK94, GI94)</f>
        <v>0</v>
      </c>
      <c r="GA94" s="12">
        <f>GA$4 * IF(AND(FZ$4=1,FX$20=1), GK94, GI94)</f>
        <v>0</v>
      </c>
      <c r="GB94" s="12">
        <f>GB$4 * IF(AND(GA$4=1,FX$20=1), GK94, GI94)</f>
        <v>0</v>
      </c>
      <c r="GC94" s="12">
        <f>GC$4 * IF(AND(GB$4=1,FX$20=1), GK94, GI94)</f>
        <v>0</v>
      </c>
      <c r="GD94" s="12">
        <f>GD$4 * IF(AND(GC$4=1,FX$20=1), GK94, GI94)</f>
        <v>0</v>
      </c>
      <c r="GE94" s="12">
        <f>GE$4 * IF(AND(GD$4=1,FX$20=1), GK94, GI94)</f>
        <v>0</v>
      </c>
      <c r="GF94" s="12">
        <f>GF$4 * IF(AND(GE$4=1,FX$20=1), GK94, GI94)</f>
        <v>0</v>
      </c>
      <c r="GH94" t="s">
        <v>1304</v>
      </c>
      <c r="GI94">
        <f>_xlfn.XLOOKUP(GH94,'KPI Impacts'!$B$2:$H$2,'KPI Impacts'!$B94:$H94)</f>
        <v>0</v>
      </c>
      <c r="GJ94" s="9" t="s">
        <v>1304</v>
      </c>
      <c r="GK94">
        <f>_xlfn.XLOOKUP(GJ94,'KPI Impacts'!$B$2:$H$2,'KPI Impacts'!$B94:$H94)</f>
        <v>0</v>
      </c>
      <c r="GN94" s="12">
        <f>GN$4*GY94</f>
        <v>0</v>
      </c>
      <c r="GO94" s="12">
        <f>GO$4 * IF(AND(GN$4=1,GN$20=1), HA94, GY94)</f>
        <v>0</v>
      </c>
      <c r="GP94" s="12">
        <f>GP$4 * IF(AND(GO$4=1,GN$20=1), HA94, GY94)</f>
        <v>0</v>
      </c>
      <c r="GQ94" s="12">
        <f>GQ$4 * IF(AND(GP$4=1,GN$20=1), HA94, GY94)</f>
        <v>0</v>
      </c>
      <c r="GR94" s="12">
        <f>GR$4 * IF(AND(GQ$4=1,GN$20=1), HA94, GY94)</f>
        <v>0</v>
      </c>
      <c r="GS94" s="12">
        <f>GS$4 * IF(AND(GR$4=1,GN$20=1), HA94, GY94)</f>
        <v>0</v>
      </c>
      <c r="GT94" s="12">
        <f>GT$4 * IF(AND(GS$4=1,GN$20=1), HA94, GY94)</f>
        <v>0</v>
      </c>
      <c r="GU94" s="12">
        <f>GU$4 * IF(AND(GT$4=1,GN$20=1), HA94, GY94)</f>
        <v>0</v>
      </c>
      <c r="GV94" s="12">
        <f>GV$4 * IF(AND(GU$4=1,GN$20=1), HA94, GY94)</f>
        <v>0</v>
      </c>
      <c r="GX94" t="s">
        <v>1304</v>
      </c>
      <c r="GY94">
        <f>_xlfn.XLOOKUP(GX94,'KPI Impacts'!$B$2:$H$2,'KPI Impacts'!$B94:$H94)</f>
        <v>0</v>
      </c>
      <c r="GZ94" s="9" t="s">
        <v>1304</v>
      </c>
      <c r="HA94">
        <f>_xlfn.XLOOKUP(GZ94,'KPI Impacts'!$B$2:$H$2,'KPI Impacts'!$B94:$H94)</f>
        <v>0</v>
      </c>
      <c r="HD94" s="12">
        <f>HD$4*HO94</f>
        <v>0</v>
      </c>
      <c r="HE94" s="12">
        <f>HE$4 * IF(AND(HD$4=1,HD$20=1), HQ94, HO94)</f>
        <v>0</v>
      </c>
      <c r="HF94" s="12">
        <f>HF$4 * IF(AND(HE$4=1,HD$20=1), HQ94, HO94)</f>
        <v>0</v>
      </c>
      <c r="HG94" s="12">
        <f>HG$4 * IF(AND(HF$4=1,HD$20=1), HQ94, HO94)</f>
        <v>0</v>
      </c>
      <c r="HH94" s="12">
        <f>HH$4 * IF(AND(HG$4=1,HD$20=1), HQ94, HO94)</f>
        <v>0</v>
      </c>
      <c r="HI94" s="12">
        <f>HI$4 * IF(AND(HH$4=1,HD$20=1), HQ94, HO94)</f>
        <v>0</v>
      </c>
      <c r="HJ94" s="12">
        <f>HJ$4 * IF(AND(HI$4=1,HD$20=1), HQ94, HO94)</f>
        <v>0</v>
      </c>
      <c r="HK94" s="12">
        <f>HK$4 * IF(AND(HJ$4=1,HD$20=1), HQ94, HO94)</f>
        <v>0</v>
      </c>
      <c r="HL94" s="12">
        <f>HL$4 * IF(AND(HK$4=1,HD$20=1), HQ94, HO94)</f>
        <v>0</v>
      </c>
      <c r="HN94" t="s">
        <v>1304</v>
      </c>
      <c r="HO94">
        <f>_xlfn.XLOOKUP(HN94,'KPI Impacts'!$B$2:$H$2,'KPI Impacts'!$B94:$H94)</f>
        <v>0</v>
      </c>
      <c r="HP94" s="9" t="s">
        <v>1304</v>
      </c>
      <c r="HQ94">
        <f>_xlfn.XLOOKUP(HP94,'KPI Impacts'!$B$2:$H$2,'KPI Impacts'!$B94:$H94)</f>
        <v>0</v>
      </c>
      <c r="HT94" s="12">
        <f>HT$4*IE94</f>
        <v>0</v>
      </c>
      <c r="HU94" s="12">
        <f>HU$4 * IF(AND(HT$4=1,HT$20=1), IG94, IE94)</f>
        <v>0</v>
      </c>
      <c r="HV94" s="12">
        <f>HV$4 * IF(AND(HU$4=1,HT$20=1), IG94, IE94)</f>
        <v>0</v>
      </c>
      <c r="HW94" s="12">
        <f>HW$4 * IF(AND(HV$4=1,HT$20=1), IG94, IE94)</f>
        <v>0</v>
      </c>
      <c r="HX94" s="12">
        <f>HX$4 * IF(AND(HW$4=1,HT$20=1), IG94, IE94)</f>
        <v>0</v>
      </c>
      <c r="HY94" s="12">
        <f>HY$4 * IF(AND(HX$4=1,HT$20=1), IG94, IE94)</f>
        <v>0</v>
      </c>
      <c r="HZ94" s="12">
        <f>HZ$4 * IF(AND(HY$4=1,HT$20=1), IG94, IE94)</f>
        <v>0</v>
      </c>
      <c r="IA94" s="12">
        <f>IA$4 * IF(AND(HZ$4=1,HT$20=1), IG94, IE94)</f>
        <v>0</v>
      </c>
      <c r="IB94" s="12">
        <f>IB$4 * IF(AND(IA$4=1,HT$20=1), IG94, IE94)</f>
        <v>0</v>
      </c>
      <c r="ID94" t="s">
        <v>1304</v>
      </c>
      <c r="IE94">
        <f>_xlfn.XLOOKUP(ID94,'KPI Impacts'!$B$2:$H$2,'KPI Impacts'!$B94:$H94)</f>
        <v>0</v>
      </c>
      <c r="IF94" s="9" t="s">
        <v>1304</v>
      </c>
      <c r="IG94">
        <f>_xlfn.XLOOKUP(IF94,'KPI Impacts'!$B$2:$H$2,'KPI Impacts'!$B94:$H94)</f>
        <v>0</v>
      </c>
      <c r="IJ94" s="12">
        <f>IJ$4*IU94</f>
        <v>0</v>
      </c>
      <c r="IK94" s="12">
        <f>IK$4 * IF(AND(IJ$4=1,IJ$20=1), IW94, IU94)</f>
        <v>0</v>
      </c>
      <c r="IL94" s="12">
        <f>IL$4 * IF(AND(IK$4=1,IJ$20=1), IW94, IU94)</f>
        <v>0</v>
      </c>
      <c r="IM94" s="12">
        <f>IM$4 * IF(AND(IL$4=1,IJ$20=1), IW94, IU94)</f>
        <v>0</v>
      </c>
      <c r="IN94" s="12">
        <f>IN$4 * IF(AND(IM$4=1,IJ$20=1), IW94, IU94)</f>
        <v>0</v>
      </c>
      <c r="IO94" s="12">
        <f>IO$4 * IF(AND(IN$4=1,IJ$20=1), IW94, IU94)</f>
        <v>0</v>
      </c>
      <c r="IP94" s="12">
        <f>IP$4 * IF(AND(IO$4=1,IJ$20=1), IW94, IU94)</f>
        <v>0</v>
      </c>
      <c r="IQ94" s="12">
        <f>IQ$4 * IF(AND(IP$4=1,IJ$20=1), IW94, IU94)</f>
        <v>0</v>
      </c>
      <c r="IR94" s="12">
        <f>IR$4 * IF(AND(IQ$4=1,IJ$20=1), IW94, IU94)</f>
        <v>0</v>
      </c>
      <c r="IT94" t="s">
        <v>1304</v>
      </c>
      <c r="IU94">
        <f>_xlfn.XLOOKUP(IT94,'KPI Impacts'!$B$2:$H$2,'KPI Impacts'!$B94:$H94)</f>
        <v>0</v>
      </c>
      <c r="IV94" s="9" t="s">
        <v>1304</v>
      </c>
      <c r="IW94">
        <f>_xlfn.XLOOKUP(IV94,'KPI Impacts'!$B$2:$H$2,'KPI Impacts'!$B94:$H94)</f>
        <v>0</v>
      </c>
      <c r="IZ94" s="12">
        <f>IZ$4*JK94</f>
        <v>0</v>
      </c>
      <c r="JA94" s="12">
        <f>JA$4 * IF(AND(IZ$4=1,IZ$20=1), JM94, JK94)</f>
        <v>0</v>
      </c>
      <c r="JB94" s="12">
        <f>JB$4 * IF(AND(JA$4=1,IZ$20=1), JM94, JK94)</f>
        <v>0</v>
      </c>
      <c r="JC94" s="12">
        <f>JC$4 * IF(AND(JB$4=1,IZ$20=1), JM94, JK94)</f>
        <v>0</v>
      </c>
      <c r="JD94" s="12">
        <f>JD$4 * IF(AND(JC$4=1,IZ$20=1), JM94, JK94)</f>
        <v>0</v>
      </c>
      <c r="JE94" s="12">
        <f>JE$4 * IF(AND(JD$4=1,IZ$20=1), JM94, JK94)</f>
        <v>0</v>
      </c>
      <c r="JF94" s="12">
        <f>JF$4 * IF(AND(JE$4=1,IZ$20=1), JM94, JK94)</f>
        <v>0</v>
      </c>
      <c r="JG94" s="12">
        <f>JG$4 * IF(AND(JF$4=1,IZ$20=1), JM94, JK94)</f>
        <v>0</v>
      </c>
      <c r="JH94" s="12">
        <f>JH$4 * IF(AND(JG$4=1,IZ$20=1), JM94, JK94)</f>
        <v>0</v>
      </c>
      <c r="JJ94" t="s">
        <v>1304</v>
      </c>
      <c r="JK94">
        <f>_xlfn.XLOOKUP(JJ94,'KPI Impacts'!$B$2:$H$2,'KPI Impacts'!$B94:$H94)</f>
        <v>0</v>
      </c>
      <c r="JL94" s="9" t="s">
        <v>1304</v>
      </c>
      <c r="JM94">
        <f>_xlfn.XLOOKUP(JL94,'KPI Impacts'!$B$2:$H$2,'KPI Impacts'!$B94:$H94)</f>
        <v>0</v>
      </c>
      <c r="JP94" s="12">
        <f>JP$4*KA94</f>
        <v>0</v>
      </c>
      <c r="JQ94" s="12">
        <f>JQ$4 * IF(AND(JP$4=1,JP$20=1), KC94, KA94)</f>
        <v>0</v>
      </c>
      <c r="JR94" s="12">
        <f>JR$4 * IF(AND(JQ$4=1,JP$20=1), KC94, KA94)</f>
        <v>0</v>
      </c>
      <c r="JS94" s="12">
        <f>JS$4 * IF(AND(JR$4=1,JP$20=1), KC94, KA94)</f>
        <v>0</v>
      </c>
      <c r="JT94" s="12">
        <f>JT$4 * IF(AND(JS$4=1,JP$20=1), KC94, KA94)</f>
        <v>0</v>
      </c>
      <c r="JU94" s="12">
        <f>JU$4 * IF(AND(JT$4=1,JP$20=1), KC94, KA94)</f>
        <v>0</v>
      </c>
      <c r="JV94" s="12">
        <f>JV$4 * IF(AND(JU$4=1,JP$20=1), KC94, KA94)</f>
        <v>0</v>
      </c>
      <c r="JW94" s="12">
        <f>JW$4 * IF(AND(JV$4=1,JP$20=1), KC94, KA94)</f>
        <v>0</v>
      </c>
      <c r="JX94" s="12">
        <f>JX$4 * IF(AND(JW$4=1,JP$20=1), KC94, KA94)</f>
        <v>0</v>
      </c>
      <c r="JZ94" t="s">
        <v>1304</v>
      </c>
      <c r="KA94">
        <f>_xlfn.XLOOKUP(JZ94,'KPI Impacts'!$B$2:$H$2,'KPI Impacts'!$B94:$H94)</f>
        <v>0</v>
      </c>
      <c r="KB94" s="9" t="s">
        <v>1304</v>
      </c>
      <c r="KC94">
        <f>_xlfn.XLOOKUP(KB94,'KPI Impacts'!$B$2:$H$2,'KPI Impacts'!$B94:$H94)</f>
        <v>0</v>
      </c>
      <c r="KF94" s="12">
        <f>KF$4*KQ94</f>
        <v>0</v>
      </c>
      <c r="KG94" s="12">
        <f>KG$4 * IF(AND(KF$4=1,KF$20=1), KS94, KQ94)</f>
        <v>0</v>
      </c>
      <c r="KH94" s="12">
        <f>KH$4 * IF(AND(KG$4=1,KF$20=1), KS94, KQ94)</f>
        <v>0</v>
      </c>
      <c r="KI94" s="12">
        <f>KI$4 * IF(AND(KH$4=1,KF$20=1), KS94, KQ94)</f>
        <v>0</v>
      </c>
      <c r="KJ94" s="12">
        <f>KJ$4 * IF(AND(KI$4=1,KF$20=1), KS94, KQ94)</f>
        <v>0</v>
      </c>
      <c r="KK94" s="12">
        <f>KK$4 * IF(AND(KJ$4=1,KF$20=1), KS94, KQ94)</f>
        <v>0</v>
      </c>
      <c r="KL94" s="12">
        <f>KL$4 * IF(AND(KK$4=1,KF$20=1), KS94, KQ94)</f>
        <v>0</v>
      </c>
      <c r="KM94" s="12">
        <f>KM$4 * IF(AND(KL$4=1,KF$20=1), KS94, KQ94)</f>
        <v>0</v>
      </c>
      <c r="KN94" s="12">
        <f>KN$4 * IF(AND(KM$4=1,KF$20=1), KS94, KQ94)</f>
        <v>0</v>
      </c>
      <c r="KP94" t="s">
        <v>1304</v>
      </c>
      <c r="KQ94">
        <f>_xlfn.XLOOKUP(KP94,'KPI Impacts'!$B$2:$H$2,'KPI Impacts'!$B94:$H94)</f>
        <v>0</v>
      </c>
      <c r="KR94" s="9" t="s">
        <v>1304</v>
      </c>
      <c r="KS94">
        <f>_xlfn.XLOOKUP(KR94,'KPI Impacts'!$B$2:$H$2,'KPI Impacts'!$B94:$H94)</f>
        <v>0</v>
      </c>
      <c r="KV94" s="12">
        <f>KV$4*LG94</f>
        <v>0</v>
      </c>
      <c r="KW94" s="12">
        <f>KW$4 * IF(AND(KV$4=1,KV$20=1), LI94, LG94)</f>
        <v>0</v>
      </c>
      <c r="KX94" s="12">
        <f>KX$4 * IF(AND(KW$4=1,KV$20=1), LI94, LG94)</f>
        <v>0</v>
      </c>
      <c r="KY94" s="12">
        <f>KY$4 * IF(AND(KX$4=1,KV$20=1), LI94, LG94)</f>
        <v>0</v>
      </c>
      <c r="KZ94" s="12">
        <f>KZ$4 * IF(AND(KY$4=1,KV$20=1), LI94, LG94)</f>
        <v>0</v>
      </c>
      <c r="LA94" s="12">
        <f>LA$4 * IF(AND(KZ$4=1,KV$20=1), LI94, LG94)</f>
        <v>0</v>
      </c>
      <c r="LB94" s="12">
        <f>LB$4 * IF(AND(LA$4=1,KV$20=1), LI94, LG94)</f>
        <v>0</v>
      </c>
      <c r="LC94" s="12">
        <f>LC$4 * IF(AND(LB$4=1,KV$20=1), LI94, LG94)</f>
        <v>0</v>
      </c>
      <c r="LD94" s="12">
        <f>LD$4 * IF(AND(LC$4=1,KV$20=1), LI94, LG94)</f>
        <v>0</v>
      </c>
      <c r="LF94" t="s">
        <v>1304</v>
      </c>
      <c r="LG94">
        <f>_xlfn.XLOOKUP(LF94,'KPI Impacts'!$B$2:$H$2,'KPI Impacts'!$B94:$H94)</f>
        <v>0</v>
      </c>
      <c r="LH94" s="9" t="s">
        <v>1304</v>
      </c>
      <c r="LI94">
        <f>_xlfn.XLOOKUP(LH94,'KPI Impacts'!$B$2:$H$2,'KPI Impacts'!$B94:$H94)</f>
        <v>0</v>
      </c>
      <c r="LL94" s="12">
        <f>LL$4*LW94</f>
        <v>0</v>
      </c>
      <c r="LM94" s="12">
        <f>LM$4 * IF(AND(LL$4=1,LL$20=1), LY94, LW94)</f>
        <v>0</v>
      </c>
      <c r="LN94" s="12">
        <f>LN$4 * IF(AND(LM$4=1,LL$20=1), LY94, LW94)</f>
        <v>0</v>
      </c>
      <c r="LO94" s="12">
        <f>LO$4 * IF(AND(LN$4=1,LL$20=1), LY94, LW94)</f>
        <v>0</v>
      </c>
      <c r="LP94" s="12">
        <f>LP$4 * IF(AND(LO$4=1,LL$20=1), LY94, LW94)</f>
        <v>0</v>
      </c>
      <c r="LQ94" s="12">
        <f>LQ$4 * IF(AND(LP$4=1,LL$20=1), LY94, LW94)</f>
        <v>0</v>
      </c>
      <c r="LR94" s="12">
        <f>LR$4 * IF(AND(LQ$4=1,LL$20=1), LY94, LW94)</f>
        <v>0</v>
      </c>
      <c r="LS94" s="12">
        <f>LS$4 * IF(AND(LR$4=1,LL$20=1), LY94, LW94)</f>
        <v>0</v>
      </c>
      <c r="LT94" s="12">
        <f>LT$4 * IF(AND(LS$4=1,LL$20=1), LY94, LW94)</f>
        <v>0</v>
      </c>
      <c r="LV94" t="s">
        <v>1304</v>
      </c>
      <c r="LW94">
        <f>_xlfn.XLOOKUP(LV94,'KPI Impacts'!$B$2:$H$2,'KPI Impacts'!$B94:$H94)</f>
        <v>0</v>
      </c>
      <c r="LX94" s="9" t="s">
        <v>1304</v>
      </c>
      <c r="LY94">
        <f>_xlfn.XLOOKUP(LX94,'KPI Impacts'!$B$2:$H$2,'KPI Impacts'!$B94:$H94)</f>
        <v>0</v>
      </c>
      <c r="MB94" s="12">
        <f>MB$4*MM94</f>
        <v>0</v>
      </c>
      <c r="MC94" s="12">
        <f>MC$4 * IF(AND(MB$4=1,MB$20=1), MO94, MM94)</f>
        <v>0</v>
      </c>
      <c r="MD94" s="12">
        <f>MD$4 * IF(AND(MC$4=1,MB$20=1), MO94, MM94)</f>
        <v>0</v>
      </c>
      <c r="ME94" s="12">
        <f>ME$4 * IF(AND(MD$4=1,MB$20=1), MO94, MM94)</f>
        <v>0</v>
      </c>
      <c r="MF94" s="12">
        <f>MF$4 * IF(AND(ME$4=1,MB$20=1), MO94, MM94)</f>
        <v>0</v>
      </c>
      <c r="MG94" s="12">
        <f>MG$4 * IF(AND(MF$4=1,MB$20=1), MO94, MM94)</f>
        <v>0</v>
      </c>
      <c r="MH94" s="12">
        <f>MH$4 * IF(AND(MG$4=1,MB$20=1), MO94, MM94)</f>
        <v>0</v>
      </c>
      <c r="MI94" s="12">
        <f>MI$4 * IF(AND(MH$4=1,MB$20=1), MO94, MM94)</f>
        <v>0</v>
      </c>
      <c r="MJ94" s="12">
        <f>MJ$4 * IF(AND(MI$4=1,MB$20=1), MO94, MM94)</f>
        <v>0</v>
      </c>
      <c r="ML94" t="s">
        <v>1304</v>
      </c>
      <c r="MM94">
        <f>_xlfn.XLOOKUP(ML94,'KPI Impacts'!$B$2:$H$2,'KPI Impacts'!$B94:$H94)</f>
        <v>0</v>
      </c>
      <c r="MN94" s="9" t="s">
        <v>1304</v>
      </c>
      <c r="MO94">
        <f>_xlfn.XLOOKUP(MN94,'KPI Impacts'!$B$2:$H$2,'KPI Impacts'!$B94:$H94)</f>
        <v>0</v>
      </c>
      <c r="MR94" s="12">
        <f>MR$4*NC94</f>
        <v>0</v>
      </c>
      <c r="MS94" s="12">
        <f>MS$4 * IF(AND(MR$4=1,MR$20=1), NE94, NC94)</f>
        <v>0</v>
      </c>
      <c r="MT94" s="12">
        <f>MT$4 * IF(AND(MS$4=1,MR$20=1), NE94, NC94)</f>
        <v>0</v>
      </c>
      <c r="MU94" s="12">
        <f>MU$4 * IF(AND(MT$4=1,MR$20=1), NE94, NC94)</f>
        <v>0</v>
      </c>
      <c r="MV94" s="12">
        <f>MV$4 * IF(AND(MU$4=1,MR$20=1), NE94, NC94)</f>
        <v>0</v>
      </c>
      <c r="MW94" s="12">
        <f>MW$4 * IF(AND(MV$4=1,MR$20=1), NE94, NC94)</f>
        <v>0</v>
      </c>
      <c r="MX94" s="12">
        <f>MX$4 * IF(AND(MW$4=1,MR$20=1), NE94, NC94)</f>
        <v>0</v>
      </c>
      <c r="MY94" s="12">
        <f>MY$4 * IF(AND(MX$4=1,MR$20=1), NE94, NC94)</f>
        <v>0</v>
      </c>
      <c r="MZ94" s="12">
        <f>MZ$4 * IF(AND(MY$4=1,MR$20=1), NE94, NC94)</f>
        <v>0</v>
      </c>
      <c r="NB94" t="s">
        <v>1304</v>
      </c>
      <c r="NC94">
        <f>_xlfn.XLOOKUP(NB94,'KPI Impacts'!$B$2:$H$2,'KPI Impacts'!$B94:$H94)</f>
        <v>0</v>
      </c>
      <c r="ND94" s="9" t="s">
        <v>1304</v>
      </c>
      <c r="NE94">
        <f>_xlfn.XLOOKUP(ND94,'KPI Impacts'!$B$2:$H$2,'KPI Impacts'!$B94:$H94)</f>
        <v>0</v>
      </c>
      <c r="NH94" s="12">
        <f>NH$4*NS94</f>
        <v>0</v>
      </c>
      <c r="NI94" s="12">
        <f>NI$4 * IF(AND(NH$4=1,NH$20=1), NU94, NS94)</f>
        <v>0</v>
      </c>
      <c r="NJ94" s="12">
        <f>NJ$4 * IF(AND(NI$4=1,NH$20=1), NU94, NS94)</f>
        <v>0</v>
      </c>
      <c r="NK94" s="12">
        <f>NK$4 * IF(AND(NJ$4=1,NH$20=1), NU94, NS94)</f>
        <v>0</v>
      </c>
      <c r="NL94" s="12">
        <f>NL$4 * IF(AND(NK$4=1,NH$20=1), NU94, NS94)</f>
        <v>0</v>
      </c>
      <c r="NM94" s="12">
        <f>NM$4 * IF(AND(NL$4=1,NH$20=1), NU94, NS94)</f>
        <v>0</v>
      </c>
      <c r="NN94" s="12">
        <f>NN$4 * IF(AND(NM$4=1,NH$20=1), NU94, NS94)</f>
        <v>0</v>
      </c>
      <c r="NO94" s="12">
        <f>NO$4 * IF(AND(NN$4=1,NH$20=1), NU94, NS94)</f>
        <v>0</v>
      </c>
      <c r="NP94" s="12">
        <f>NP$4 * IF(AND(NO$4=1,NH$20=1), NU94, NS94)</f>
        <v>0</v>
      </c>
      <c r="NR94" t="s">
        <v>1304</v>
      </c>
      <c r="NS94">
        <f>_xlfn.XLOOKUP(NR94,'KPI Impacts'!$B$2:$H$2,'KPI Impacts'!$B94:$H94)</f>
        <v>0</v>
      </c>
      <c r="NT94" s="9" t="s">
        <v>1304</v>
      </c>
      <c r="NU94">
        <f>_xlfn.XLOOKUP(NT94,'KPI Impacts'!$B$2:$H$2,'KPI Impacts'!$B94:$H94)</f>
        <v>0</v>
      </c>
      <c r="NX94" s="12">
        <f>NX$4*OI94</f>
        <v>0</v>
      </c>
      <c r="NY94" s="12">
        <f>NY$4 * IF(AND(NX$4=1,NX$20=1), OK94, OI94)</f>
        <v>0</v>
      </c>
      <c r="NZ94" s="12">
        <f>NZ$4 * IF(AND(NY$4=1,NX$20=1), OK94, OI94)</f>
        <v>0</v>
      </c>
      <c r="OA94" s="12">
        <f>OA$4 * IF(AND(NZ$4=1,NX$20=1), OK94, OI94)</f>
        <v>0</v>
      </c>
      <c r="OB94" s="12">
        <f>OB$4 * IF(AND(OA$4=1,NX$20=1), OK94, OI94)</f>
        <v>0</v>
      </c>
      <c r="OC94" s="12">
        <f>OC$4 * IF(AND(OB$4=1,NX$20=1), OK94, OI94)</f>
        <v>0</v>
      </c>
      <c r="OD94" s="12">
        <f>OD$4 * IF(AND(OC$4=1,NX$20=1), OK94, OI94)</f>
        <v>0</v>
      </c>
      <c r="OE94" s="12">
        <f>OE$4 * IF(AND(OD$4=1,NX$20=1), OK94, OI94)</f>
        <v>0</v>
      </c>
      <c r="OF94" s="12">
        <f>OF$4 * IF(AND(OE$4=1,NX$20=1), OK94, OI94)</f>
        <v>0</v>
      </c>
      <c r="OH94" t="s">
        <v>1304</v>
      </c>
      <c r="OI94">
        <f>_xlfn.XLOOKUP(OH94,'KPI Impacts'!$B$2:$H$2,'KPI Impacts'!$B94:$H94)</f>
        <v>0</v>
      </c>
      <c r="OJ94" s="9" t="s">
        <v>1304</v>
      </c>
      <c r="OK94">
        <f>_xlfn.XLOOKUP(OJ94,'KPI Impacts'!$B$2:$H$2,'KPI Impacts'!$B94:$H94)</f>
        <v>0</v>
      </c>
    </row>
    <row r="95" spans="1:401" x14ac:dyDescent="0.2">
      <c r="A95" t="s">
        <v>1317</v>
      </c>
      <c r="B95" s="12">
        <f t="shared" si="513"/>
        <v>0</v>
      </c>
      <c r="C95" s="12">
        <f t="shared" si="513"/>
        <v>0</v>
      </c>
      <c r="D95" s="12">
        <f t="shared" si="513"/>
        <v>0</v>
      </c>
      <c r="E95" s="12">
        <f t="shared" si="513"/>
        <v>0</v>
      </c>
      <c r="F95" s="12">
        <f t="shared" si="513"/>
        <v>0</v>
      </c>
      <c r="G95" s="12">
        <f t="shared" si="513"/>
        <v>0</v>
      </c>
      <c r="H95" s="12">
        <f t="shared" si="513"/>
        <v>0</v>
      </c>
      <c r="I95" s="12">
        <f t="shared" si="513"/>
        <v>0</v>
      </c>
      <c r="J95" s="12">
        <f t="shared" si="513"/>
        <v>0</v>
      </c>
      <c r="M95" s="6"/>
      <c r="N95" s="6"/>
      <c r="P95" s="12" cm="1">
        <f t="array" ref="P95">_xlfn.SWITCH(P$4, 0,0, 1, AA95,2,AC95,3,AE95,0)</f>
        <v>0</v>
      </c>
      <c r="Q95" s="12" cm="1">
        <f t="array" ref="Q95">_xlfn.SWITCH(Q$4, 0,0, 1, AA95,2,AC95,3,AE95,0)+P95</f>
        <v>0</v>
      </c>
      <c r="R95" s="12" cm="1">
        <f t="array" ref="R95">_xlfn.SWITCH(R$4, 0,0, 1, AA95,2,AC95,3,AE95,0)+Q95</f>
        <v>0</v>
      </c>
      <c r="S95" s="12" cm="1">
        <f t="array" ref="S95">_xlfn.SWITCH(S$4, 0,0, 1, AA95,2,AC95,3,AE95,0)+R95</f>
        <v>0</v>
      </c>
      <c r="T95" s="12" cm="1">
        <f t="array" ref="T95">_xlfn.SWITCH(T$4, 0,0, 1, AA95,2,AC95,3,AE95,0)+S95</f>
        <v>0</v>
      </c>
      <c r="U95" s="12" cm="1">
        <f t="array" ref="U95">_xlfn.SWITCH(U$4, 0,0, 1, AA95,2,AC95,3,AE95,0)+T95</f>
        <v>0</v>
      </c>
      <c r="V95" s="12" cm="1">
        <f t="array" ref="V95">_xlfn.SWITCH(V$4, 0,0, 1, AA95,2,AC95,3,AE95,0)+U95</f>
        <v>0</v>
      </c>
      <c r="W95" s="12" cm="1">
        <f t="array" ref="W95">_xlfn.SWITCH(W$4, 0,0, 1, AA95,2,AC95,3,AE95,0)+V95</f>
        <v>0</v>
      </c>
      <c r="X95" s="12" cm="1">
        <f t="array" ref="X95">_xlfn.SWITCH(X$4, 0,0, 1, AA95,2,AC95,3,AE95,0)+W95</f>
        <v>0</v>
      </c>
      <c r="Z95" t="s">
        <v>1304</v>
      </c>
      <c r="AA95">
        <f>_xlfn.XLOOKUP(Z95,'KPI Impacts'!$K$2:$Q$2,'KPI Impacts'!$K95:$Q95)</f>
        <v>0</v>
      </c>
      <c r="AB95" t="s">
        <v>1304</v>
      </c>
      <c r="AC95">
        <f>_xlfn.XLOOKUP(AB95,'KPI Impacts'!$K$2:$Q$2,'KPI Impacts'!$K95:$Q95)</f>
        <v>0</v>
      </c>
      <c r="AD95" t="s">
        <v>1304</v>
      </c>
      <c r="AE95">
        <f>_xlfn.XLOOKUP(AD95,'KPI Impacts'!$K$2:$Q$2,'KPI Impacts'!$K95:$Q95)</f>
        <v>0</v>
      </c>
      <c r="AH95" s="12" cm="1">
        <f t="array" ref="AH95">_xlfn.SWITCH(AH$4, 0,0, 1, AS95,2,AU95,3,AW95,0)</f>
        <v>0</v>
      </c>
      <c r="AI95" s="12" cm="1">
        <f t="array" ref="AI95">_xlfn.SWITCH(AI$4, 0,0, 1, AS95,2,AU95,3,AW95,0)+AH95</f>
        <v>0</v>
      </c>
      <c r="AJ95" s="12" cm="1">
        <f t="array" ref="AJ95">_xlfn.SWITCH(AJ$4, 0,0, 1, AS95,2,AU95,3,AW95,0)+AI95</f>
        <v>0</v>
      </c>
      <c r="AK95" s="12" cm="1">
        <f t="array" ref="AK95">_xlfn.SWITCH(AK$4, 0,0, 1, AS95,2,AU95,3,AW95,0)+AJ95</f>
        <v>0</v>
      </c>
      <c r="AL95" s="12" cm="1">
        <f t="array" ref="AL95">_xlfn.SWITCH(AL$4, 0,0, 1, AS95,2,AU95,3,AW95,0)+AK95</f>
        <v>0</v>
      </c>
      <c r="AM95" s="12" cm="1">
        <f t="array" ref="AM95">_xlfn.SWITCH(AM$4, 0,0, 1, AS95,2,AU95,3,AW95,0)+AL95</f>
        <v>0</v>
      </c>
      <c r="AN95" s="12" cm="1">
        <f t="array" ref="AN95">_xlfn.SWITCH(AN$4, 0,0, 1, AS95,2,AU95,3,AW95,0)+AM95</f>
        <v>0</v>
      </c>
      <c r="AO95" s="12" cm="1">
        <f t="array" ref="AO95">_xlfn.SWITCH(AO$4, 0,0, 1, AS95,2,AU95,3,AW95,0)+AN95</f>
        <v>0</v>
      </c>
      <c r="AP95" s="12" cm="1">
        <f t="array" ref="AP95">_xlfn.SWITCH(AP$4, 0,0, 1, AS95,2,AU95,3,AW95,0)+AO95</f>
        <v>0</v>
      </c>
      <c r="AR95" t="s">
        <v>1304</v>
      </c>
      <c r="AS95">
        <f>_xlfn.XLOOKUP(AR95,'KPI Impacts'!$K$2:$Q$2,'KPI Impacts'!$K95:$Q95)</f>
        <v>0</v>
      </c>
      <c r="AT95" t="s">
        <v>1304</v>
      </c>
      <c r="AU95">
        <f>_xlfn.XLOOKUP(AT95,'KPI Impacts'!$K$2:$Q$2,'KPI Impacts'!$K95:$Q95)</f>
        <v>0</v>
      </c>
      <c r="AV95" t="s">
        <v>1304</v>
      </c>
      <c r="AW95">
        <f>_xlfn.XLOOKUP(AV95,'KPI Impacts'!$K$2:$Q$2,'KPI Impacts'!$K95:$Q95)</f>
        <v>0</v>
      </c>
      <c r="AZ95" s="12">
        <f>AZ$4*BK95</f>
        <v>0</v>
      </c>
      <c r="BA95" s="12">
        <f>BA$4 * IF(AND(AZ$4=1,AZ$20=1), BM95, BK95)</f>
        <v>0</v>
      </c>
      <c r="BB95" s="12">
        <f>BB$4 * IF(AND(BA$4=1,AZ$20=1), BM95, BK95)</f>
        <v>0</v>
      </c>
      <c r="BC95" s="12">
        <f>BC$4 * IF(AND(BB$4=1,AZ$20=1), BM95, BK95)</f>
        <v>0</v>
      </c>
      <c r="BD95" s="12">
        <f>BD$4 * IF(AND(BC$4=1,AZ$20=1), BM95, BK95)</f>
        <v>0</v>
      </c>
      <c r="BE95" s="12">
        <f>BE$4 * IF(AND(BD$4=1,AZ$20=1), BM95, BK95)</f>
        <v>0</v>
      </c>
      <c r="BF95" s="12">
        <f>BF$4 * IF(AND(BE$4=1,AZ$20=1), BM95, BK95)</f>
        <v>0</v>
      </c>
      <c r="BG95" s="12">
        <f>BG$4 * IF(AND(BF$4=1,AZ$20=1), BM95, BK95)</f>
        <v>0</v>
      </c>
      <c r="BH95" s="12">
        <f>BH$4 * IF(AND(BG$4=1,AZ$20=1), BM95, BK95)</f>
        <v>0</v>
      </c>
      <c r="BJ95" t="s">
        <v>1304</v>
      </c>
      <c r="BK95">
        <f>_xlfn.XLOOKUP(BJ95,'KPI Impacts'!$B$2:$H$2,'KPI Impacts'!$B95:$H95)</f>
        <v>0</v>
      </c>
      <c r="BL95" s="9" t="s">
        <v>1304</v>
      </c>
      <c r="BM95">
        <f>_xlfn.XLOOKUP(BL95,'KPI Impacts'!$B$2:$H$2,'KPI Impacts'!$B95:$H95)</f>
        <v>0</v>
      </c>
      <c r="BP95" s="12">
        <f>BP$4*CA95</f>
        <v>0</v>
      </c>
      <c r="BQ95" s="12">
        <f>BQ$4 * IF(AND(BP$4=1,BP$20=1), CC95, CA95)</f>
        <v>0</v>
      </c>
      <c r="BR95" s="12">
        <f>BR$4 * IF(AND(BQ$4=1,BP$20=1), CC95, CA95)</f>
        <v>0</v>
      </c>
      <c r="BS95" s="12">
        <f>BS$4 * IF(AND(BR$4=1,BP$20=1), CC95, CA95)</f>
        <v>0</v>
      </c>
      <c r="BT95" s="12">
        <f>BT$4 * IF(AND(BS$4=1,BP$20=1), CC95, CA95)</f>
        <v>0</v>
      </c>
      <c r="BU95" s="12">
        <f>BU$4 * IF(AND(BT$4=1,BP$20=1), CC95, CA95)</f>
        <v>0</v>
      </c>
      <c r="BV95" s="12">
        <f>BV$4 * IF(AND(BU$4=1,BP$20=1), CC95, CA95)</f>
        <v>0</v>
      </c>
      <c r="BW95" s="12">
        <f>BW$4 * IF(AND(BV$4=1,BP$20=1), CC95, CA95)</f>
        <v>0</v>
      </c>
      <c r="BX95" s="12">
        <f>BX$4 * IF(AND(BW$4=1,BP$20=1), CC95, CA95)</f>
        <v>0</v>
      </c>
      <c r="BZ95" t="s">
        <v>1304</v>
      </c>
      <c r="CA95">
        <f>_xlfn.XLOOKUP(BZ95,'KPI Impacts'!$B$2:$H$2,'KPI Impacts'!$B95:$H95)</f>
        <v>0</v>
      </c>
      <c r="CB95" s="9" t="s">
        <v>1304</v>
      </c>
      <c r="CC95">
        <f>_xlfn.XLOOKUP(CB95,'KPI Impacts'!$B$2:$H$2,'KPI Impacts'!$B95:$H95)</f>
        <v>0</v>
      </c>
      <c r="CF95" s="12">
        <f>CF$4*CQ95</f>
        <v>0</v>
      </c>
      <c r="CG95" s="12">
        <f>CG$4 * IF(AND(CF$4=1,CF$20=1), CS95, CQ95)</f>
        <v>0</v>
      </c>
      <c r="CH95" s="12">
        <f>CH$4 * IF(AND(CG$4=1,CF$20=1), CS95, CQ95)</f>
        <v>0</v>
      </c>
      <c r="CI95" s="12">
        <f>CI$4 * IF(AND(CH$4=1,CF$20=1), CS95, CQ95)</f>
        <v>0</v>
      </c>
      <c r="CJ95" s="12">
        <f>CJ$4 * IF(AND(CI$4=1,CF$20=1), CS95, CQ95)</f>
        <v>0</v>
      </c>
      <c r="CK95" s="12">
        <f>CK$4 * IF(AND(CJ$4=1,CF$20=1), CS95, CQ95)</f>
        <v>0</v>
      </c>
      <c r="CL95" s="12">
        <f>CL$4 * IF(AND(CK$4=1,CF$20=1), CS95, CQ95)</f>
        <v>0</v>
      </c>
      <c r="CM95" s="12">
        <f>CM$4 * IF(AND(CL$4=1,CF$20=1), CS95, CQ95)</f>
        <v>0</v>
      </c>
      <c r="CN95" s="12">
        <f>CN$4 * IF(AND(CM$4=1,CF$20=1), CS95, CQ95)</f>
        <v>0</v>
      </c>
      <c r="CP95" t="s">
        <v>1304</v>
      </c>
      <c r="CQ95">
        <f>_xlfn.XLOOKUP(CP95,'KPI Impacts'!$B$2:$H$2,'KPI Impacts'!$B95:$H95)</f>
        <v>0</v>
      </c>
      <c r="CR95" s="9" t="s">
        <v>1304</v>
      </c>
      <c r="CS95">
        <f>_xlfn.XLOOKUP(CR95,'KPI Impacts'!$B$2:$H$2,'KPI Impacts'!$B95:$H95)</f>
        <v>0</v>
      </c>
      <c r="CV95" s="12">
        <f>CV$4*DG95</f>
        <v>0</v>
      </c>
      <c r="CW95" s="12">
        <f>CW$4 * IF(AND(CV$4=1,CV$20=1), DI95, DG95)</f>
        <v>0</v>
      </c>
      <c r="CX95" s="12">
        <f>CX$4 * IF(AND(CW$4=1,CV$20=1), DI95, DG95)</f>
        <v>0</v>
      </c>
      <c r="CY95" s="12">
        <f>CY$4 * IF(AND(CX$4=1,CV$20=1), DI95, DG95)</f>
        <v>0</v>
      </c>
      <c r="CZ95" s="12">
        <f>CZ$4 * IF(AND(CY$4=1,CV$20=1), DI95, DG95)</f>
        <v>0</v>
      </c>
      <c r="DA95" s="12">
        <f>DA$4 * IF(AND(CZ$4=1,CV$20=1), DI95, DG95)</f>
        <v>0</v>
      </c>
      <c r="DB95" s="12">
        <f>DB$4 * IF(AND(DA$4=1,CV$20=1), DI95, DG95)</f>
        <v>0</v>
      </c>
      <c r="DC95" s="12">
        <f>DC$4 * IF(AND(DB$4=1,CV$20=1), DI95, DG95)</f>
        <v>0</v>
      </c>
      <c r="DD95" s="12">
        <f>DD$4 * IF(AND(DC$4=1,CV$20=1), DI95, DG95)</f>
        <v>0</v>
      </c>
      <c r="DF95" t="s">
        <v>1304</v>
      </c>
      <c r="DG95">
        <f>_xlfn.XLOOKUP(DF95,'KPI Impacts'!$B$2:$H$2,'KPI Impacts'!$B95:$H95)</f>
        <v>0</v>
      </c>
      <c r="DH95" s="9" t="s">
        <v>1304</v>
      </c>
      <c r="DI95">
        <f>_xlfn.XLOOKUP(DH95,'KPI Impacts'!$B$2:$H$2,'KPI Impacts'!$B95:$H95)</f>
        <v>0</v>
      </c>
      <c r="DL95" s="12">
        <f>DL$4*DW95</f>
        <v>0</v>
      </c>
      <c r="DM95" s="12">
        <f>DM$4 * IF(AND(DL$4=1,DL$20=1), DY95, DW95)</f>
        <v>0</v>
      </c>
      <c r="DN95" s="12">
        <f>DN$4 * IF(AND(DM$4=1,DL$20=1), DY95, DW95)</f>
        <v>0</v>
      </c>
      <c r="DO95" s="12">
        <f>DO$4 * IF(AND(DN$4=1,DL$20=1), DY95, DW95)</f>
        <v>0</v>
      </c>
      <c r="DP95" s="12">
        <f>DP$4 * IF(AND(DO$4=1,DL$20=1), DY95, DW95)</f>
        <v>0</v>
      </c>
      <c r="DQ95" s="12">
        <f>DQ$4 * IF(AND(DP$4=1,DL$20=1), DY95, DW95)</f>
        <v>0</v>
      </c>
      <c r="DR95" s="12">
        <f>DR$4 * IF(AND(DQ$4=1,DL$20=1), DY95, DW95)</f>
        <v>0</v>
      </c>
      <c r="DS95" s="12">
        <f>DS$4 * IF(AND(DR$4=1,DL$20=1), DY95, DW95)</f>
        <v>0</v>
      </c>
      <c r="DT95" s="12">
        <f>DT$4 * IF(AND(DS$4=1,DL$20=1), DY95, DW95)</f>
        <v>0</v>
      </c>
      <c r="DV95" t="s">
        <v>1304</v>
      </c>
      <c r="DW95">
        <f>_xlfn.XLOOKUP(DV95,'KPI Impacts'!$B$2:$H$2,'KPI Impacts'!$B95:$H95)</f>
        <v>0</v>
      </c>
      <c r="DX95" s="9" t="s">
        <v>1304</v>
      </c>
      <c r="DY95">
        <f>_xlfn.XLOOKUP(DX95,'KPI Impacts'!$B$2:$H$2,'KPI Impacts'!$B95:$H95)</f>
        <v>0</v>
      </c>
      <c r="EB95" s="12">
        <f>EB$4*EM95</f>
        <v>0</v>
      </c>
      <c r="EC95" s="12">
        <f>EC$4 * IF(AND(EB$4=1,EB$20=1), EO95, EM95)</f>
        <v>0</v>
      </c>
      <c r="ED95" s="12">
        <f>ED$4 * IF(AND(EC$4=1,EB$20=1), EO95, EM95)</f>
        <v>0</v>
      </c>
      <c r="EE95" s="12">
        <f>EE$4 * IF(AND(ED$4=1,EB$20=1), EO95, EM95)</f>
        <v>0</v>
      </c>
      <c r="EF95" s="12">
        <f>EF$4 * IF(AND(EE$4=1,EB$20=1), EO95, EM95)</f>
        <v>0</v>
      </c>
      <c r="EG95" s="12">
        <f>EG$4 * IF(AND(EF$4=1,EB$20=1), EO95, EM95)</f>
        <v>0</v>
      </c>
      <c r="EH95" s="12">
        <f>EH$4 * IF(AND(EG$4=1,EB$20=1), EO95, EM95)</f>
        <v>0</v>
      </c>
      <c r="EI95" s="12">
        <f>EI$4 * IF(AND(EH$4=1,EB$20=1), EO95, EM95)</f>
        <v>0</v>
      </c>
      <c r="EJ95" s="12">
        <f>EJ$4 * IF(AND(EI$4=1,EB$20=1), EO95, EM95)</f>
        <v>0</v>
      </c>
      <c r="EL95" t="s">
        <v>1304</v>
      </c>
      <c r="EM95">
        <f>_xlfn.XLOOKUP(EL95,'KPI Impacts'!$B$2:$H$2,'KPI Impacts'!$B95:$H95)</f>
        <v>0</v>
      </c>
      <c r="EN95" s="9" t="s">
        <v>1304</v>
      </c>
      <c r="EO95">
        <f>_xlfn.XLOOKUP(EN95,'KPI Impacts'!$B$2:$H$2,'KPI Impacts'!$B95:$H95)</f>
        <v>0</v>
      </c>
      <c r="ER95" s="12">
        <f>ER$4*FC95</f>
        <v>0</v>
      </c>
      <c r="ES95" s="12">
        <f>ES$4 * IF(AND(ER$4=1,ER$20=1), FE95, FC95)</f>
        <v>0</v>
      </c>
      <c r="ET95" s="12">
        <f>ET$4 * IF(AND(ES$4=1,ER$20=1), FE95, FC95)</f>
        <v>0</v>
      </c>
      <c r="EU95" s="12">
        <f>EU$4 * IF(AND(ET$4=1,ER$20=1), FE95, FC95)</f>
        <v>0</v>
      </c>
      <c r="EV95" s="12">
        <f>EV$4 * IF(AND(EU$4=1,ER$20=1), FE95, FC95)</f>
        <v>0</v>
      </c>
      <c r="EW95" s="12">
        <f>EW$4 * IF(AND(EV$4=1,ER$20=1), FE95, FC95)</f>
        <v>0</v>
      </c>
      <c r="EX95" s="12">
        <f>EX$4 * IF(AND(EW$4=1,ER$20=1), FE95, FC95)</f>
        <v>0</v>
      </c>
      <c r="EY95" s="12">
        <f>EY$4 * IF(AND(EX$4=1,ER$20=1), FE95, FC95)</f>
        <v>0</v>
      </c>
      <c r="EZ95" s="12">
        <f>EZ$4 * IF(AND(EY$4=1,ER$20=1), FE95, FC95)</f>
        <v>0</v>
      </c>
      <c r="FB95" t="s">
        <v>1304</v>
      </c>
      <c r="FC95">
        <f>_xlfn.XLOOKUP(FB95,'KPI Impacts'!$B$2:$H$2,'KPI Impacts'!$B95:$H95)</f>
        <v>0</v>
      </c>
      <c r="FD95" s="9" t="s">
        <v>1304</v>
      </c>
      <c r="FE95">
        <f>_xlfn.XLOOKUP(FD95,'KPI Impacts'!$B$2:$H$2,'KPI Impacts'!$B95:$H95)</f>
        <v>0</v>
      </c>
      <c r="FH95" s="12">
        <f>FH$4*FS95</f>
        <v>0</v>
      </c>
      <c r="FI95" s="12">
        <f>FI$4 * IF(AND(FH$4=1,FH$20=1), FU95, FS95)</f>
        <v>0</v>
      </c>
      <c r="FJ95" s="12">
        <f>FJ$4 * IF(AND(FI$4=1,FH$20=1), FU95, FS95)</f>
        <v>0</v>
      </c>
      <c r="FK95" s="12">
        <f>FK$4 * IF(AND(FJ$4=1,FH$20=1), FU95, FS95)</f>
        <v>0</v>
      </c>
      <c r="FL95" s="12">
        <f>FL$4 * IF(AND(FK$4=1,FH$20=1), FU95, FS95)</f>
        <v>0</v>
      </c>
      <c r="FM95" s="12">
        <f>FM$4 * IF(AND(FL$4=1,FH$20=1), FU95, FS95)</f>
        <v>0</v>
      </c>
      <c r="FN95" s="12">
        <f>FN$4 * IF(AND(FM$4=1,FH$20=1), FU95, FS95)</f>
        <v>0</v>
      </c>
      <c r="FO95" s="12">
        <f>FO$4 * IF(AND(FN$4=1,FH$20=1), FU95, FS95)</f>
        <v>0</v>
      </c>
      <c r="FP95" s="12">
        <f>FP$4 * IF(AND(FO$4=1,FH$20=1), FU95, FS95)</f>
        <v>0</v>
      </c>
      <c r="FR95" t="s">
        <v>1304</v>
      </c>
      <c r="FS95">
        <f>_xlfn.XLOOKUP(FR95,'KPI Impacts'!$B$2:$H$2,'KPI Impacts'!$B95:$H95)</f>
        <v>0</v>
      </c>
      <c r="FT95" s="9" t="s">
        <v>1304</v>
      </c>
      <c r="FU95">
        <f>_xlfn.XLOOKUP(FT95,'KPI Impacts'!$B$2:$H$2,'KPI Impacts'!$B95:$H95)</f>
        <v>0</v>
      </c>
      <c r="FX95" s="12">
        <f>FX$4*GI95</f>
        <v>0</v>
      </c>
      <c r="FY95" s="12">
        <f>FY$4 * IF(AND(FX$4=1,FX$20=1), GK95, GI95)</f>
        <v>0</v>
      </c>
      <c r="FZ95" s="12">
        <f>FZ$4 * IF(AND(FY$4=1,FX$20=1), GK95, GI95)</f>
        <v>0</v>
      </c>
      <c r="GA95" s="12">
        <f>GA$4 * IF(AND(FZ$4=1,FX$20=1), GK95, GI95)</f>
        <v>0</v>
      </c>
      <c r="GB95" s="12">
        <f>GB$4 * IF(AND(GA$4=1,FX$20=1), GK95, GI95)</f>
        <v>0</v>
      </c>
      <c r="GC95" s="12">
        <f>GC$4 * IF(AND(GB$4=1,FX$20=1), GK95, GI95)</f>
        <v>0</v>
      </c>
      <c r="GD95" s="12">
        <f>GD$4 * IF(AND(GC$4=1,FX$20=1), GK95, GI95)</f>
        <v>0</v>
      </c>
      <c r="GE95" s="12">
        <f>GE$4 * IF(AND(GD$4=1,FX$20=1), GK95, GI95)</f>
        <v>0</v>
      </c>
      <c r="GF95" s="12">
        <f>GF$4 * IF(AND(GE$4=1,FX$20=1), GK95, GI95)</f>
        <v>0</v>
      </c>
      <c r="GH95" t="s">
        <v>1304</v>
      </c>
      <c r="GI95">
        <f>_xlfn.XLOOKUP(GH95,'KPI Impacts'!$B$2:$H$2,'KPI Impacts'!$B95:$H95)</f>
        <v>0</v>
      </c>
      <c r="GJ95" s="9" t="s">
        <v>1304</v>
      </c>
      <c r="GK95">
        <f>_xlfn.XLOOKUP(GJ95,'KPI Impacts'!$B$2:$H$2,'KPI Impacts'!$B95:$H95)</f>
        <v>0</v>
      </c>
      <c r="GN95" s="12">
        <f>GN$4*GY95</f>
        <v>0</v>
      </c>
      <c r="GO95" s="12">
        <f>GO$4 * IF(AND(GN$4=1,GN$20=1), HA95, GY95)</f>
        <v>0</v>
      </c>
      <c r="GP95" s="12">
        <f>GP$4 * IF(AND(GO$4=1,GN$20=1), HA95, GY95)</f>
        <v>0</v>
      </c>
      <c r="GQ95" s="12">
        <f>GQ$4 * IF(AND(GP$4=1,GN$20=1), HA95, GY95)</f>
        <v>0</v>
      </c>
      <c r="GR95" s="12">
        <f>GR$4 * IF(AND(GQ$4=1,GN$20=1), HA95, GY95)</f>
        <v>0</v>
      </c>
      <c r="GS95" s="12">
        <f>GS$4 * IF(AND(GR$4=1,GN$20=1), HA95, GY95)</f>
        <v>0</v>
      </c>
      <c r="GT95" s="12">
        <f>GT$4 * IF(AND(GS$4=1,GN$20=1), HA95, GY95)</f>
        <v>0</v>
      </c>
      <c r="GU95" s="12">
        <f>GU$4 * IF(AND(GT$4=1,GN$20=1), HA95, GY95)</f>
        <v>0</v>
      </c>
      <c r="GV95" s="12">
        <f>GV$4 * IF(AND(GU$4=1,GN$20=1), HA95, GY95)</f>
        <v>0</v>
      </c>
      <c r="GX95" t="s">
        <v>1304</v>
      </c>
      <c r="GY95">
        <f>_xlfn.XLOOKUP(GX95,'KPI Impacts'!$B$2:$H$2,'KPI Impacts'!$B95:$H95)</f>
        <v>0</v>
      </c>
      <c r="GZ95" s="9" t="s">
        <v>1304</v>
      </c>
      <c r="HA95">
        <f>_xlfn.XLOOKUP(GZ95,'KPI Impacts'!$B$2:$H$2,'KPI Impacts'!$B95:$H95)</f>
        <v>0</v>
      </c>
      <c r="HD95" s="12">
        <f>HD$4*HO95</f>
        <v>0</v>
      </c>
      <c r="HE95" s="12">
        <f>HE$4 * IF(AND(HD$4=1,HD$20=1), HQ95, HO95)</f>
        <v>0</v>
      </c>
      <c r="HF95" s="12">
        <f>HF$4 * IF(AND(HE$4=1,HD$20=1), HQ95, HO95)</f>
        <v>0</v>
      </c>
      <c r="HG95" s="12">
        <f>HG$4 * IF(AND(HF$4=1,HD$20=1), HQ95, HO95)</f>
        <v>0</v>
      </c>
      <c r="HH95" s="12">
        <f>HH$4 * IF(AND(HG$4=1,HD$20=1), HQ95, HO95)</f>
        <v>0</v>
      </c>
      <c r="HI95" s="12">
        <f>HI$4 * IF(AND(HH$4=1,HD$20=1), HQ95, HO95)</f>
        <v>0</v>
      </c>
      <c r="HJ95" s="12">
        <f>HJ$4 * IF(AND(HI$4=1,HD$20=1), HQ95, HO95)</f>
        <v>0</v>
      </c>
      <c r="HK95" s="12">
        <f>HK$4 * IF(AND(HJ$4=1,HD$20=1), HQ95, HO95)</f>
        <v>0</v>
      </c>
      <c r="HL95" s="12">
        <f>HL$4 * IF(AND(HK$4=1,HD$20=1), HQ95, HO95)</f>
        <v>0</v>
      </c>
      <c r="HN95" t="s">
        <v>1304</v>
      </c>
      <c r="HO95">
        <f>_xlfn.XLOOKUP(HN95,'KPI Impacts'!$B$2:$H$2,'KPI Impacts'!$B95:$H95)</f>
        <v>0</v>
      </c>
      <c r="HP95" s="9" t="s">
        <v>1304</v>
      </c>
      <c r="HQ95">
        <f>_xlfn.XLOOKUP(HP95,'KPI Impacts'!$B$2:$H$2,'KPI Impacts'!$B95:$H95)</f>
        <v>0</v>
      </c>
      <c r="HT95" s="12">
        <f>HT$4*IE95</f>
        <v>0</v>
      </c>
      <c r="HU95" s="12">
        <f>HU$4 * IF(AND(HT$4=1,HT$20=1), IG95, IE95)</f>
        <v>0</v>
      </c>
      <c r="HV95" s="12">
        <f>HV$4 * IF(AND(HU$4=1,HT$20=1), IG95, IE95)</f>
        <v>0</v>
      </c>
      <c r="HW95" s="12">
        <f>HW$4 * IF(AND(HV$4=1,HT$20=1), IG95, IE95)</f>
        <v>0</v>
      </c>
      <c r="HX95" s="12">
        <f>HX$4 * IF(AND(HW$4=1,HT$20=1), IG95, IE95)</f>
        <v>0</v>
      </c>
      <c r="HY95" s="12">
        <f>HY$4 * IF(AND(HX$4=1,HT$20=1), IG95, IE95)</f>
        <v>0</v>
      </c>
      <c r="HZ95" s="12">
        <f>HZ$4 * IF(AND(HY$4=1,HT$20=1), IG95, IE95)</f>
        <v>0</v>
      </c>
      <c r="IA95" s="12">
        <f>IA$4 * IF(AND(HZ$4=1,HT$20=1), IG95, IE95)</f>
        <v>0</v>
      </c>
      <c r="IB95" s="12">
        <f>IB$4 * IF(AND(IA$4=1,HT$20=1), IG95, IE95)</f>
        <v>0</v>
      </c>
      <c r="ID95" t="s">
        <v>1304</v>
      </c>
      <c r="IE95">
        <f>_xlfn.XLOOKUP(ID95,'KPI Impacts'!$B$2:$H$2,'KPI Impacts'!$B95:$H95)</f>
        <v>0</v>
      </c>
      <c r="IF95" s="9" t="s">
        <v>1304</v>
      </c>
      <c r="IG95">
        <f>_xlfn.XLOOKUP(IF95,'KPI Impacts'!$B$2:$H$2,'KPI Impacts'!$B95:$H95)</f>
        <v>0</v>
      </c>
      <c r="IJ95" s="12">
        <f>IJ$4*IU95</f>
        <v>0</v>
      </c>
      <c r="IK95" s="12">
        <f>IK$4 * IF(AND(IJ$4=1,IJ$20=1), IW95, IU95)</f>
        <v>0</v>
      </c>
      <c r="IL95" s="12">
        <f>IL$4 * IF(AND(IK$4=1,IJ$20=1), IW95, IU95)</f>
        <v>0</v>
      </c>
      <c r="IM95" s="12">
        <f>IM$4 * IF(AND(IL$4=1,IJ$20=1), IW95, IU95)</f>
        <v>0</v>
      </c>
      <c r="IN95" s="12">
        <f>IN$4 * IF(AND(IM$4=1,IJ$20=1), IW95, IU95)</f>
        <v>0</v>
      </c>
      <c r="IO95" s="12">
        <f>IO$4 * IF(AND(IN$4=1,IJ$20=1), IW95, IU95)</f>
        <v>0</v>
      </c>
      <c r="IP95" s="12">
        <f>IP$4 * IF(AND(IO$4=1,IJ$20=1), IW95, IU95)</f>
        <v>0</v>
      </c>
      <c r="IQ95" s="12">
        <f>IQ$4 * IF(AND(IP$4=1,IJ$20=1), IW95, IU95)</f>
        <v>0</v>
      </c>
      <c r="IR95" s="12">
        <f>IR$4 * IF(AND(IQ$4=1,IJ$20=1), IW95, IU95)</f>
        <v>0</v>
      </c>
      <c r="IT95" t="s">
        <v>1304</v>
      </c>
      <c r="IU95">
        <f>_xlfn.XLOOKUP(IT95,'KPI Impacts'!$B$2:$H$2,'KPI Impacts'!$B95:$H95)</f>
        <v>0</v>
      </c>
      <c r="IV95" s="9" t="s">
        <v>1304</v>
      </c>
      <c r="IW95">
        <f>_xlfn.XLOOKUP(IV95,'KPI Impacts'!$B$2:$H$2,'KPI Impacts'!$B95:$H95)</f>
        <v>0</v>
      </c>
      <c r="IZ95" s="12">
        <f>IZ$4*JK95</f>
        <v>0</v>
      </c>
      <c r="JA95" s="12">
        <f>JA$4 * IF(AND(IZ$4=1,IZ$20=1), JM95, JK95)</f>
        <v>0</v>
      </c>
      <c r="JB95" s="12">
        <f>JB$4 * IF(AND(JA$4=1,IZ$20=1), JM95, JK95)</f>
        <v>0</v>
      </c>
      <c r="JC95" s="12">
        <f>JC$4 * IF(AND(JB$4=1,IZ$20=1), JM95, JK95)</f>
        <v>0</v>
      </c>
      <c r="JD95" s="12">
        <f>JD$4 * IF(AND(JC$4=1,IZ$20=1), JM95, JK95)</f>
        <v>0</v>
      </c>
      <c r="JE95" s="12">
        <f>JE$4 * IF(AND(JD$4=1,IZ$20=1), JM95, JK95)</f>
        <v>0</v>
      </c>
      <c r="JF95" s="12">
        <f>JF$4 * IF(AND(JE$4=1,IZ$20=1), JM95, JK95)</f>
        <v>0</v>
      </c>
      <c r="JG95" s="12">
        <f>JG$4 * IF(AND(JF$4=1,IZ$20=1), JM95, JK95)</f>
        <v>0</v>
      </c>
      <c r="JH95" s="12">
        <f>JH$4 * IF(AND(JG$4=1,IZ$20=1), JM95, JK95)</f>
        <v>0</v>
      </c>
      <c r="JJ95" t="s">
        <v>1304</v>
      </c>
      <c r="JK95">
        <f>_xlfn.XLOOKUP(JJ95,'KPI Impacts'!$B$2:$H$2,'KPI Impacts'!$B95:$H95)</f>
        <v>0</v>
      </c>
      <c r="JL95" s="9" t="s">
        <v>1304</v>
      </c>
      <c r="JM95">
        <f>_xlfn.XLOOKUP(JL95,'KPI Impacts'!$B$2:$H$2,'KPI Impacts'!$B95:$H95)</f>
        <v>0</v>
      </c>
      <c r="JP95" s="12">
        <f>JP$4*KA95</f>
        <v>0</v>
      </c>
      <c r="JQ95" s="12">
        <f>JQ$4 * IF(AND(JP$4=1,JP$20=1), KC95, KA95)</f>
        <v>0</v>
      </c>
      <c r="JR95" s="12">
        <f>JR$4 * IF(AND(JQ$4=1,JP$20=1), KC95, KA95)</f>
        <v>0</v>
      </c>
      <c r="JS95" s="12">
        <f>JS$4 * IF(AND(JR$4=1,JP$20=1), KC95, KA95)</f>
        <v>0</v>
      </c>
      <c r="JT95" s="12">
        <f>JT$4 * IF(AND(JS$4=1,JP$20=1), KC95, KA95)</f>
        <v>0</v>
      </c>
      <c r="JU95" s="12">
        <f>JU$4 * IF(AND(JT$4=1,JP$20=1), KC95, KA95)</f>
        <v>0</v>
      </c>
      <c r="JV95" s="12">
        <f>JV$4 * IF(AND(JU$4=1,JP$20=1), KC95, KA95)</f>
        <v>0</v>
      </c>
      <c r="JW95" s="12">
        <f>JW$4 * IF(AND(JV$4=1,JP$20=1), KC95, KA95)</f>
        <v>0</v>
      </c>
      <c r="JX95" s="12">
        <f>JX$4 * IF(AND(JW$4=1,JP$20=1), KC95, KA95)</f>
        <v>0</v>
      </c>
      <c r="JZ95" t="s">
        <v>1304</v>
      </c>
      <c r="KA95">
        <f>_xlfn.XLOOKUP(JZ95,'KPI Impacts'!$B$2:$H$2,'KPI Impacts'!$B95:$H95)</f>
        <v>0</v>
      </c>
      <c r="KB95" s="9" t="s">
        <v>1304</v>
      </c>
      <c r="KC95">
        <f>_xlfn.XLOOKUP(KB95,'KPI Impacts'!$B$2:$H$2,'KPI Impacts'!$B95:$H95)</f>
        <v>0</v>
      </c>
      <c r="KF95" s="12">
        <f>KF$4*KQ95</f>
        <v>0</v>
      </c>
      <c r="KG95" s="12">
        <f>KG$4 * IF(AND(KF$4=1,KF$20=1), KS95, KQ95)</f>
        <v>0</v>
      </c>
      <c r="KH95" s="12">
        <f>KH$4 * IF(AND(KG$4=1,KF$20=1), KS95, KQ95)</f>
        <v>0</v>
      </c>
      <c r="KI95" s="12">
        <f>KI$4 * IF(AND(KH$4=1,KF$20=1), KS95, KQ95)</f>
        <v>0</v>
      </c>
      <c r="KJ95" s="12">
        <f>KJ$4 * IF(AND(KI$4=1,KF$20=1), KS95, KQ95)</f>
        <v>0</v>
      </c>
      <c r="KK95" s="12">
        <f>KK$4 * IF(AND(KJ$4=1,KF$20=1), KS95, KQ95)</f>
        <v>0</v>
      </c>
      <c r="KL95" s="12">
        <f>KL$4 * IF(AND(KK$4=1,KF$20=1), KS95, KQ95)</f>
        <v>0</v>
      </c>
      <c r="KM95" s="12">
        <f>KM$4 * IF(AND(KL$4=1,KF$20=1), KS95, KQ95)</f>
        <v>0</v>
      </c>
      <c r="KN95" s="12">
        <f>KN$4 * IF(AND(KM$4=1,KF$20=1), KS95, KQ95)</f>
        <v>0</v>
      </c>
      <c r="KP95" t="s">
        <v>1304</v>
      </c>
      <c r="KQ95">
        <f>_xlfn.XLOOKUP(KP95,'KPI Impacts'!$B$2:$H$2,'KPI Impacts'!$B95:$H95)</f>
        <v>0</v>
      </c>
      <c r="KR95" s="9" t="s">
        <v>1304</v>
      </c>
      <c r="KS95">
        <f>_xlfn.XLOOKUP(KR95,'KPI Impacts'!$B$2:$H$2,'KPI Impacts'!$B95:$H95)</f>
        <v>0</v>
      </c>
      <c r="KV95" s="12">
        <f>KV$4*LG95</f>
        <v>0</v>
      </c>
      <c r="KW95" s="12">
        <f>KW$4 * IF(AND(KV$4=1,KV$20=1), LI95, LG95)</f>
        <v>0</v>
      </c>
      <c r="KX95" s="12">
        <f>KX$4 * IF(AND(KW$4=1,KV$20=1), LI95, LG95)</f>
        <v>0</v>
      </c>
      <c r="KY95" s="12">
        <f>KY$4 * IF(AND(KX$4=1,KV$20=1), LI95, LG95)</f>
        <v>0</v>
      </c>
      <c r="KZ95" s="12">
        <f>KZ$4 * IF(AND(KY$4=1,KV$20=1), LI95, LG95)</f>
        <v>0</v>
      </c>
      <c r="LA95" s="12">
        <f>LA$4 * IF(AND(KZ$4=1,KV$20=1), LI95, LG95)</f>
        <v>0</v>
      </c>
      <c r="LB95" s="12">
        <f>LB$4 * IF(AND(LA$4=1,KV$20=1), LI95, LG95)</f>
        <v>0</v>
      </c>
      <c r="LC95" s="12">
        <f>LC$4 * IF(AND(LB$4=1,KV$20=1), LI95, LG95)</f>
        <v>0</v>
      </c>
      <c r="LD95" s="12">
        <f>LD$4 * IF(AND(LC$4=1,KV$20=1), LI95, LG95)</f>
        <v>0</v>
      </c>
      <c r="LF95" t="s">
        <v>1304</v>
      </c>
      <c r="LG95">
        <f>_xlfn.XLOOKUP(LF95,'KPI Impacts'!$B$2:$H$2,'KPI Impacts'!$B95:$H95)</f>
        <v>0</v>
      </c>
      <c r="LH95" s="9" t="s">
        <v>1304</v>
      </c>
      <c r="LI95">
        <f>_xlfn.XLOOKUP(LH95,'KPI Impacts'!$B$2:$H$2,'KPI Impacts'!$B95:$H95)</f>
        <v>0</v>
      </c>
      <c r="LL95" s="12">
        <f>LL$4*LW95</f>
        <v>0</v>
      </c>
      <c r="LM95" s="12">
        <f>LM$4 * IF(AND(LL$4=1,LL$20=1), LY95, LW95)</f>
        <v>0</v>
      </c>
      <c r="LN95" s="12">
        <f>LN$4 * IF(AND(LM$4=1,LL$20=1), LY95, LW95)</f>
        <v>0</v>
      </c>
      <c r="LO95" s="12">
        <f>LO$4 * IF(AND(LN$4=1,LL$20=1), LY95, LW95)</f>
        <v>0</v>
      </c>
      <c r="LP95" s="12">
        <f>LP$4 * IF(AND(LO$4=1,LL$20=1), LY95, LW95)</f>
        <v>0</v>
      </c>
      <c r="LQ95" s="12">
        <f>LQ$4 * IF(AND(LP$4=1,LL$20=1), LY95, LW95)</f>
        <v>0</v>
      </c>
      <c r="LR95" s="12">
        <f>LR$4 * IF(AND(LQ$4=1,LL$20=1), LY95, LW95)</f>
        <v>0</v>
      </c>
      <c r="LS95" s="12">
        <f>LS$4 * IF(AND(LR$4=1,LL$20=1), LY95, LW95)</f>
        <v>0</v>
      </c>
      <c r="LT95" s="12">
        <f>LT$4 * IF(AND(LS$4=1,LL$20=1), LY95, LW95)</f>
        <v>0</v>
      </c>
      <c r="LV95" t="s">
        <v>1304</v>
      </c>
      <c r="LW95">
        <f>_xlfn.XLOOKUP(LV95,'KPI Impacts'!$B$2:$H$2,'KPI Impacts'!$B95:$H95)</f>
        <v>0</v>
      </c>
      <c r="LX95" s="9" t="s">
        <v>1304</v>
      </c>
      <c r="LY95">
        <f>_xlfn.XLOOKUP(LX95,'KPI Impacts'!$B$2:$H$2,'KPI Impacts'!$B95:$H95)</f>
        <v>0</v>
      </c>
      <c r="MB95" s="12">
        <f>MB$4*MM95</f>
        <v>0</v>
      </c>
      <c r="MC95" s="12">
        <f>MC$4 * IF(AND(MB$4=1,MB$20=1), MO95, MM95)</f>
        <v>0</v>
      </c>
      <c r="MD95" s="12">
        <f>MD$4 * IF(AND(MC$4=1,MB$20=1), MO95, MM95)</f>
        <v>0</v>
      </c>
      <c r="ME95" s="12">
        <f>ME$4 * IF(AND(MD$4=1,MB$20=1), MO95, MM95)</f>
        <v>0</v>
      </c>
      <c r="MF95" s="12">
        <f>MF$4 * IF(AND(ME$4=1,MB$20=1), MO95, MM95)</f>
        <v>0</v>
      </c>
      <c r="MG95" s="12">
        <f>MG$4 * IF(AND(MF$4=1,MB$20=1), MO95, MM95)</f>
        <v>0</v>
      </c>
      <c r="MH95" s="12">
        <f>MH$4 * IF(AND(MG$4=1,MB$20=1), MO95, MM95)</f>
        <v>0</v>
      </c>
      <c r="MI95" s="12">
        <f>MI$4 * IF(AND(MH$4=1,MB$20=1), MO95, MM95)</f>
        <v>0</v>
      </c>
      <c r="MJ95" s="12">
        <f>MJ$4 * IF(AND(MI$4=1,MB$20=1), MO95, MM95)</f>
        <v>0</v>
      </c>
      <c r="ML95" t="s">
        <v>1304</v>
      </c>
      <c r="MM95">
        <f>_xlfn.XLOOKUP(ML95,'KPI Impacts'!$B$2:$H$2,'KPI Impacts'!$B95:$H95)</f>
        <v>0</v>
      </c>
      <c r="MN95" s="9" t="s">
        <v>1304</v>
      </c>
      <c r="MO95">
        <f>_xlfn.XLOOKUP(MN95,'KPI Impacts'!$B$2:$H$2,'KPI Impacts'!$B95:$H95)</f>
        <v>0</v>
      </c>
      <c r="MR95" s="12">
        <f>MR$4*NC95</f>
        <v>0</v>
      </c>
      <c r="MS95" s="12">
        <f>MS$4 * IF(AND(MR$4=1,MR$20=1), NE95, NC95)</f>
        <v>0</v>
      </c>
      <c r="MT95" s="12">
        <f>MT$4 * IF(AND(MS$4=1,MR$20=1), NE95, NC95)</f>
        <v>0</v>
      </c>
      <c r="MU95" s="12">
        <f>MU$4 * IF(AND(MT$4=1,MR$20=1), NE95, NC95)</f>
        <v>0</v>
      </c>
      <c r="MV95" s="12">
        <f>MV$4 * IF(AND(MU$4=1,MR$20=1), NE95, NC95)</f>
        <v>0</v>
      </c>
      <c r="MW95" s="12">
        <f>MW$4 * IF(AND(MV$4=1,MR$20=1), NE95, NC95)</f>
        <v>0</v>
      </c>
      <c r="MX95" s="12">
        <f>MX$4 * IF(AND(MW$4=1,MR$20=1), NE95, NC95)</f>
        <v>0</v>
      </c>
      <c r="MY95" s="12">
        <f>MY$4 * IF(AND(MX$4=1,MR$20=1), NE95, NC95)</f>
        <v>0</v>
      </c>
      <c r="MZ95" s="12">
        <f>MZ$4 * IF(AND(MY$4=1,MR$20=1), NE95, NC95)</f>
        <v>0</v>
      </c>
      <c r="NB95" t="s">
        <v>1304</v>
      </c>
      <c r="NC95">
        <f>_xlfn.XLOOKUP(NB95,'KPI Impacts'!$B$2:$H$2,'KPI Impacts'!$B95:$H95)</f>
        <v>0</v>
      </c>
      <c r="ND95" s="9" t="s">
        <v>1304</v>
      </c>
      <c r="NE95">
        <f>_xlfn.XLOOKUP(ND95,'KPI Impacts'!$B$2:$H$2,'KPI Impacts'!$B95:$H95)</f>
        <v>0</v>
      </c>
      <c r="NH95" s="12">
        <f>NH$4*NS95</f>
        <v>0</v>
      </c>
      <c r="NI95" s="12">
        <f>NI$4 * IF(AND(NH$4=1,NH$20=1), NU95, NS95)</f>
        <v>0</v>
      </c>
      <c r="NJ95" s="12">
        <f>NJ$4 * IF(AND(NI$4=1,NH$20=1), NU95, NS95)</f>
        <v>0</v>
      </c>
      <c r="NK95" s="12">
        <f>NK$4 * IF(AND(NJ$4=1,NH$20=1), NU95, NS95)</f>
        <v>0</v>
      </c>
      <c r="NL95" s="12">
        <f>NL$4 * IF(AND(NK$4=1,NH$20=1), NU95, NS95)</f>
        <v>0</v>
      </c>
      <c r="NM95" s="12">
        <f>NM$4 * IF(AND(NL$4=1,NH$20=1), NU95, NS95)</f>
        <v>0</v>
      </c>
      <c r="NN95" s="12">
        <f>NN$4 * IF(AND(NM$4=1,NH$20=1), NU95, NS95)</f>
        <v>0</v>
      </c>
      <c r="NO95" s="12">
        <f>NO$4 * IF(AND(NN$4=1,NH$20=1), NU95, NS95)</f>
        <v>0</v>
      </c>
      <c r="NP95" s="12">
        <f>NP$4 * IF(AND(NO$4=1,NH$20=1), NU95, NS95)</f>
        <v>0</v>
      </c>
      <c r="NR95" t="s">
        <v>1304</v>
      </c>
      <c r="NS95">
        <f>_xlfn.XLOOKUP(NR95,'KPI Impacts'!$B$2:$H$2,'KPI Impacts'!$B95:$H95)</f>
        <v>0</v>
      </c>
      <c r="NT95" s="9" t="s">
        <v>1304</v>
      </c>
      <c r="NU95">
        <f>_xlfn.XLOOKUP(NT95,'KPI Impacts'!$B$2:$H$2,'KPI Impacts'!$B95:$H95)</f>
        <v>0</v>
      </c>
      <c r="NX95" s="12">
        <f>NX$4*OI95</f>
        <v>0</v>
      </c>
      <c r="NY95" s="12">
        <f>NY$4 * IF(AND(NX$4=1,NX$20=1), OK95, OI95)</f>
        <v>0</v>
      </c>
      <c r="NZ95" s="12">
        <f>NZ$4 * IF(AND(NY$4=1,NX$20=1), OK95, OI95)</f>
        <v>0</v>
      </c>
      <c r="OA95" s="12">
        <f>OA$4 * IF(AND(NZ$4=1,NX$20=1), OK95, OI95)</f>
        <v>0</v>
      </c>
      <c r="OB95" s="12">
        <f>OB$4 * IF(AND(OA$4=1,NX$20=1), OK95, OI95)</f>
        <v>0</v>
      </c>
      <c r="OC95" s="12">
        <f>OC$4 * IF(AND(OB$4=1,NX$20=1), OK95, OI95)</f>
        <v>0</v>
      </c>
      <c r="OD95" s="12">
        <f>OD$4 * IF(AND(OC$4=1,NX$20=1), OK95, OI95)</f>
        <v>0</v>
      </c>
      <c r="OE95" s="12">
        <f>OE$4 * IF(AND(OD$4=1,NX$20=1), OK95, OI95)</f>
        <v>0</v>
      </c>
      <c r="OF95" s="12">
        <f>OF$4 * IF(AND(OE$4=1,NX$20=1), OK95, OI95)</f>
        <v>0</v>
      </c>
      <c r="OH95" t="s">
        <v>1304</v>
      </c>
      <c r="OI95">
        <f>_xlfn.XLOOKUP(OH95,'KPI Impacts'!$B$2:$H$2,'KPI Impacts'!$B95:$H95)</f>
        <v>0</v>
      </c>
      <c r="OJ95" s="9" t="s">
        <v>1304</v>
      </c>
      <c r="OK95">
        <f>_xlfn.XLOOKUP(OJ95,'KPI Impacts'!$B$2:$H$2,'KPI Impacts'!$B95:$H95)</f>
        <v>0</v>
      </c>
    </row>
    <row r="96" spans="1:401" x14ac:dyDescent="0.2">
      <c r="A96" t="s">
        <v>1318</v>
      </c>
      <c r="B96" s="12">
        <f t="shared" si="513"/>
        <v>0</v>
      </c>
      <c r="C96" s="12">
        <f t="shared" si="513"/>
        <v>0</v>
      </c>
      <c r="D96" s="12">
        <f t="shared" si="513"/>
        <v>0</v>
      </c>
      <c r="E96" s="12">
        <f t="shared" si="513"/>
        <v>0</v>
      </c>
      <c r="F96" s="12">
        <f t="shared" si="513"/>
        <v>0</v>
      </c>
      <c r="G96" s="12">
        <f t="shared" si="513"/>
        <v>0</v>
      </c>
      <c r="H96" s="12">
        <f t="shared" si="513"/>
        <v>0</v>
      </c>
      <c r="I96" s="12">
        <f t="shared" si="513"/>
        <v>0</v>
      </c>
      <c r="J96" s="12">
        <f t="shared" si="513"/>
        <v>0</v>
      </c>
      <c r="M96" s="6"/>
      <c r="N96" s="6"/>
      <c r="P96" s="12" cm="1">
        <f t="array" ref="P96">_xlfn.SWITCH(P$4, 0,0, 1, AA96,2,AC96,3,AE96,0)</f>
        <v>0</v>
      </c>
      <c r="Q96" s="12" cm="1">
        <f t="array" ref="Q96">_xlfn.SWITCH(Q$4, 0,0, 1, AA96,2,AC96,3,AE96,0)+P96</f>
        <v>0</v>
      </c>
      <c r="R96" s="12" cm="1">
        <f t="array" ref="R96">_xlfn.SWITCH(R$4, 0,0, 1, AA96,2,AC96,3,AE96,0)+Q96</f>
        <v>0</v>
      </c>
      <c r="S96" s="12" cm="1">
        <f t="array" ref="S96">_xlfn.SWITCH(S$4, 0,0, 1, AA96,2,AC96,3,AE96,0)+R96</f>
        <v>0</v>
      </c>
      <c r="T96" s="12" cm="1">
        <f t="array" ref="T96">_xlfn.SWITCH(T$4, 0,0, 1, AA96,2,AC96,3,AE96,0)+S96</f>
        <v>0</v>
      </c>
      <c r="U96" s="12" cm="1">
        <f t="array" ref="U96">_xlfn.SWITCH(U$4, 0,0, 1, AA96,2,AC96,3,AE96,0)+T96</f>
        <v>0</v>
      </c>
      <c r="V96" s="12" cm="1">
        <f t="array" ref="V96">_xlfn.SWITCH(V$4, 0,0, 1, AA96,2,AC96,3,AE96,0)+U96</f>
        <v>0</v>
      </c>
      <c r="W96" s="12" cm="1">
        <f t="array" ref="W96">_xlfn.SWITCH(W$4, 0,0, 1, AA96,2,AC96,3,AE96,0)+V96</f>
        <v>0</v>
      </c>
      <c r="X96" s="12" cm="1">
        <f t="array" ref="X96">_xlfn.SWITCH(X$4, 0,0, 1, AA96,2,AC96,3,AE96,0)+W96</f>
        <v>0</v>
      </c>
      <c r="Z96" t="s">
        <v>1304</v>
      </c>
      <c r="AA96">
        <f>_xlfn.XLOOKUP(Z96,'KPI Impacts'!$K$2:$Q$2,'KPI Impacts'!$K96:$Q96)</f>
        <v>0</v>
      </c>
      <c r="AB96" t="s">
        <v>1304</v>
      </c>
      <c r="AC96">
        <f>_xlfn.XLOOKUP(AB96,'KPI Impacts'!$K$2:$Q$2,'KPI Impacts'!$K96:$Q96)</f>
        <v>0</v>
      </c>
      <c r="AD96" t="s">
        <v>1304</v>
      </c>
      <c r="AE96">
        <f>_xlfn.XLOOKUP(AD96,'KPI Impacts'!$K$2:$Q$2,'KPI Impacts'!$K96:$Q96)</f>
        <v>0</v>
      </c>
      <c r="AH96" s="12" cm="1">
        <f t="array" ref="AH96">_xlfn.SWITCH(AH$4, 0,0, 1, AS96,2,AU96,3,AW96,0)</f>
        <v>0</v>
      </c>
      <c r="AI96" s="12" cm="1">
        <f t="array" ref="AI96">_xlfn.SWITCH(AI$4, 0,0, 1, AS96,2,AU96,3,AW96,0)+AH96</f>
        <v>0</v>
      </c>
      <c r="AJ96" s="12" cm="1">
        <f t="array" ref="AJ96">_xlfn.SWITCH(AJ$4, 0,0, 1, AS96,2,AU96,3,AW96,0)+AI96</f>
        <v>0</v>
      </c>
      <c r="AK96" s="12" cm="1">
        <f t="array" ref="AK96">_xlfn.SWITCH(AK$4, 0,0, 1, AS96,2,AU96,3,AW96,0)+AJ96</f>
        <v>0</v>
      </c>
      <c r="AL96" s="12" cm="1">
        <f t="array" ref="AL96">_xlfn.SWITCH(AL$4, 0,0, 1, AS96,2,AU96,3,AW96,0)+AK96</f>
        <v>0</v>
      </c>
      <c r="AM96" s="12" cm="1">
        <f t="array" ref="AM96">_xlfn.SWITCH(AM$4, 0,0, 1, AS96,2,AU96,3,AW96,0)+AL96</f>
        <v>0</v>
      </c>
      <c r="AN96" s="12" cm="1">
        <f t="array" ref="AN96">_xlfn.SWITCH(AN$4, 0,0, 1, AS96,2,AU96,3,AW96,0)+AM96</f>
        <v>0</v>
      </c>
      <c r="AO96" s="12" cm="1">
        <f t="array" ref="AO96">_xlfn.SWITCH(AO$4, 0,0, 1, AS96,2,AU96,3,AW96,0)+AN96</f>
        <v>0</v>
      </c>
      <c r="AP96" s="12" cm="1">
        <f t="array" ref="AP96">_xlfn.SWITCH(AP$4, 0,0, 1, AS96,2,AU96,3,AW96,0)+AO96</f>
        <v>0</v>
      </c>
      <c r="AR96" t="s">
        <v>1304</v>
      </c>
      <c r="AS96">
        <f>_xlfn.XLOOKUP(AR96,'KPI Impacts'!$K$2:$Q$2,'KPI Impacts'!$K96:$Q96)</f>
        <v>0</v>
      </c>
      <c r="AT96" t="s">
        <v>1304</v>
      </c>
      <c r="AU96">
        <f>_xlfn.XLOOKUP(AT96,'KPI Impacts'!$K$2:$Q$2,'KPI Impacts'!$K96:$Q96)</f>
        <v>0</v>
      </c>
      <c r="AV96" t="s">
        <v>1304</v>
      </c>
      <c r="AW96">
        <f>_xlfn.XLOOKUP(AV96,'KPI Impacts'!$K$2:$Q$2,'KPI Impacts'!$K96:$Q96)</f>
        <v>0</v>
      </c>
      <c r="AZ96" s="12">
        <f>AZ$4*BK96</f>
        <v>0</v>
      </c>
      <c r="BA96" s="12">
        <f>BA$4 * IF(AND(AZ$4=1,AZ$20=1), BM96, BK96)</f>
        <v>0</v>
      </c>
      <c r="BB96" s="12">
        <f>BB$4 * IF(AND(BA$4=1,AZ$20=1), BM96, BK96)</f>
        <v>0</v>
      </c>
      <c r="BC96" s="12">
        <f>BC$4 * IF(AND(BB$4=1,AZ$20=1), BM96, BK96)</f>
        <v>0</v>
      </c>
      <c r="BD96" s="12">
        <f>BD$4 * IF(AND(BC$4=1,AZ$20=1), BM96, BK96)</f>
        <v>0</v>
      </c>
      <c r="BE96" s="12">
        <f>BE$4 * IF(AND(BD$4=1,AZ$20=1), BM96, BK96)</f>
        <v>0</v>
      </c>
      <c r="BF96" s="12">
        <f>BF$4 * IF(AND(BE$4=1,AZ$20=1), BM96, BK96)</f>
        <v>0</v>
      </c>
      <c r="BG96" s="12">
        <f>BG$4 * IF(AND(BF$4=1,AZ$20=1), BM96, BK96)</f>
        <v>0</v>
      </c>
      <c r="BH96" s="12">
        <f>BH$4 * IF(AND(BG$4=1,AZ$20=1), BM96, BK96)</f>
        <v>0</v>
      </c>
      <c r="BJ96" t="s">
        <v>1304</v>
      </c>
      <c r="BK96">
        <f>_xlfn.XLOOKUP(BJ96,'KPI Impacts'!$B$2:$H$2,'KPI Impacts'!$B96:$H96)</f>
        <v>0</v>
      </c>
      <c r="BL96" s="9" t="s">
        <v>1304</v>
      </c>
      <c r="BM96">
        <f>_xlfn.XLOOKUP(BL96,'KPI Impacts'!$B$2:$H$2,'KPI Impacts'!$B96:$H96)</f>
        <v>0</v>
      </c>
      <c r="BP96" s="12">
        <f>BP$4*CA96</f>
        <v>0</v>
      </c>
      <c r="BQ96" s="12">
        <f>BQ$4 * IF(AND(BP$4=1,BP$20=1), CC96, CA96)</f>
        <v>0</v>
      </c>
      <c r="BR96" s="12">
        <f>BR$4 * IF(AND(BQ$4=1,BP$20=1), CC96, CA96)</f>
        <v>0</v>
      </c>
      <c r="BS96" s="12">
        <f>BS$4 * IF(AND(BR$4=1,BP$20=1), CC96, CA96)</f>
        <v>0</v>
      </c>
      <c r="BT96" s="12">
        <f>BT$4 * IF(AND(BS$4=1,BP$20=1), CC96, CA96)</f>
        <v>0</v>
      </c>
      <c r="BU96" s="12">
        <f>BU$4 * IF(AND(BT$4=1,BP$20=1), CC96, CA96)</f>
        <v>0</v>
      </c>
      <c r="BV96" s="12">
        <f>BV$4 * IF(AND(BU$4=1,BP$20=1), CC96, CA96)</f>
        <v>0</v>
      </c>
      <c r="BW96" s="12">
        <f>BW$4 * IF(AND(BV$4=1,BP$20=1), CC96, CA96)</f>
        <v>0</v>
      </c>
      <c r="BX96" s="12">
        <f>BX$4 * IF(AND(BW$4=1,BP$20=1), CC96, CA96)</f>
        <v>0</v>
      </c>
      <c r="BZ96" t="s">
        <v>1304</v>
      </c>
      <c r="CA96">
        <f>_xlfn.XLOOKUP(BZ96,'KPI Impacts'!$B$2:$H$2,'KPI Impacts'!$B96:$H96)</f>
        <v>0</v>
      </c>
      <c r="CB96" s="9" t="s">
        <v>1304</v>
      </c>
      <c r="CC96">
        <f>_xlfn.XLOOKUP(CB96,'KPI Impacts'!$B$2:$H$2,'KPI Impacts'!$B96:$H96)</f>
        <v>0</v>
      </c>
      <c r="CF96" s="12">
        <f>CF$4*CQ96</f>
        <v>0</v>
      </c>
      <c r="CG96" s="12">
        <f>CG$4 * IF(AND(CF$4=1,CF$20=1), CS96, CQ96)</f>
        <v>0</v>
      </c>
      <c r="CH96" s="12">
        <f>CH$4 * IF(AND(CG$4=1,CF$20=1), CS96, CQ96)</f>
        <v>0</v>
      </c>
      <c r="CI96" s="12">
        <f>CI$4 * IF(AND(CH$4=1,CF$20=1), CS96, CQ96)</f>
        <v>0</v>
      </c>
      <c r="CJ96" s="12">
        <f>CJ$4 * IF(AND(CI$4=1,CF$20=1), CS96, CQ96)</f>
        <v>0</v>
      </c>
      <c r="CK96" s="12">
        <f>CK$4 * IF(AND(CJ$4=1,CF$20=1), CS96, CQ96)</f>
        <v>0</v>
      </c>
      <c r="CL96" s="12">
        <f>CL$4 * IF(AND(CK$4=1,CF$20=1), CS96, CQ96)</f>
        <v>0</v>
      </c>
      <c r="CM96" s="12">
        <f>CM$4 * IF(AND(CL$4=1,CF$20=1), CS96, CQ96)</f>
        <v>0</v>
      </c>
      <c r="CN96" s="12">
        <f>CN$4 * IF(AND(CM$4=1,CF$20=1), CS96, CQ96)</f>
        <v>0</v>
      </c>
      <c r="CP96" t="s">
        <v>1304</v>
      </c>
      <c r="CQ96">
        <f>_xlfn.XLOOKUP(CP96,'KPI Impacts'!$B$2:$H$2,'KPI Impacts'!$B96:$H96)</f>
        <v>0</v>
      </c>
      <c r="CR96" s="9" t="s">
        <v>1304</v>
      </c>
      <c r="CS96">
        <f>_xlfn.XLOOKUP(CR96,'KPI Impacts'!$B$2:$H$2,'KPI Impacts'!$B96:$H96)</f>
        <v>0</v>
      </c>
      <c r="CV96" s="12">
        <f>CV$4*DG96</f>
        <v>0</v>
      </c>
      <c r="CW96" s="12">
        <f>CW$4 * IF(AND(CV$4=1,CV$20=1), DI96, DG96)</f>
        <v>0</v>
      </c>
      <c r="CX96" s="12">
        <f>CX$4 * IF(AND(CW$4=1,CV$20=1), DI96, DG96)</f>
        <v>0</v>
      </c>
      <c r="CY96" s="12">
        <f>CY$4 * IF(AND(CX$4=1,CV$20=1), DI96, DG96)</f>
        <v>0</v>
      </c>
      <c r="CZ96" s="12">
        <f>CZ$4 * IF(AND(CY$4=1,CV$20=1), DI96, DG96)</f>
        <v>0</v>
      </c>
      <c r="DA96" s="12">
        <f>DA$4 * IF(AND(CZ$4=1,CV$20=1), DI96, DG96)</f>
        <v>0</v>
      </c>
      <c r="DB96" s="12">
        <f>DB$4 * IF(AND(DA$4=1,CV$20=1), DI96, DG96)</f>
        <v>0</v>
      </c>
      <c r="DC96" s="12">
        <f>DC$4 * IF(AND(DB$4=1,CV$20=1), DI96, DG96)</f>
        <v>0</v>
      </c>
      <c r="DD96" s="12">
        <f>DD$4 * IF(AND(DC$4=1,CV$20=1), DI96, DG96)</f>
        <v>0</v>
      </c>
      <c r="DF96" t="s">
        <v>1304</v>
      </c>
      <c r="DG96">
        <f>_xlfn.XLOOKUP(DF96,'KPI Impacts'!$B$2:$H$2,'KPI Impacts'!$B96:$H96)</f>
        <v>0</v>
      </c>
      <c r="DH96" s="9" t="s">
        <v>1304</v>
      </c>
      <c r="DI96">
        <f>_xlfn.XLOOKUP(DH96,'KPI Impacts'!$B$2:$H$2,'KPI Impacts'!$B96:$H96)</f>
        <v>0</v>
      </c>
      <c r="DL96" s="12">
        <f>DL$4*DW96</f>
        <v>0</v>
      </c>
      <c r="DM96" s="12">
        <f>DM$4 * IF(AND(DL$4=1,DL$20=1), DY96, DW96)</f>
        <v>0</v>
      </c>
      <c r="DN96" s="12">
        <f>DN$4 * IF(AND(DM$4=1,DL$20=1), DY96, DW96)</f>
        <v>0</v>
      </c>
      <c r="DO96" s="12">
        <f>DO$4 * IF(AND(DN$4=1,DL$20=1), DY96, DW96)</f>
        <v>0</v>
      </c>
      <c r="DP96" s="12">
        <f>DP$4 * IF(AND(DO$4=1,DL$20=1), DY96, DW96)</f>
        <v>0</v>
      </c>
      <c r="DQ96" s="12">
        <f>DQ$4 * IF(AND(DP$4=1,DL$20=1), DY96, DW96)</f>
        <v>0</v>
      </c>
      <c r="DR96" s="12">
        <f>DR$4 * IF(AND(DQ$4=1,DL$20=1), DY96, DW96)</f>
        <v>0</v>
      </c>
      <c r="DS96" s="12">
        <f>DS$4 * IF(AND(DR$4=1,DL$20=1), DY96, DW96)</f>
        <v>0</v>
      </c>
      <c r="DT96" s="12">
        <f>DT$4 * IF(AND(DS$4=1,DL$20=1), DY96, DW96)</f>
        <v>0</v>
      </c>
      <c r="DV96" t="s">
        <v>1304</v>
      </c>
      <c r="DW96">
        <f>_xlfn.XLOOKUP(DV96,'KPI Impacts'!$B$2:$H$2,'KPI Impacts'!$B96:$H96)</f>
        <v>0</v>
      </c>
      <c r="DX96" s="9" t="s">
        <v>1304</v>
      </c>
      <c r="DY96">
        <f>_xlfn.XLOOKUP(DX96,'KPI Impacts'!$B$2:$H$2,'KPI Impacts'!$B96:$H96)</f>
        <v>0</v>
      </c>
      <c r="EB96" s="12">
        <f>EB$4*EM96</f>
        <v>0</v>
      </c>
      <c r="EC96" s="12">
        <f>EC$4 * IF(AND(EB$4=1,EB$20=1), EO96, EM96)</f>
        <v>0</v>
      </c>
      <c r="ED96" s="12">
        <f>ED$4 * IF(AND(EC$4=1,EB$20=1), EO96, EM96)</f>
        <v>0</v>
      </c>
      <c r="EE96" s="12">
        <f>EE$4 * IF(AND(ED$4=1,EB$20=1), EO96, EM96)</f>
        <v>0</v>
      </c>
      <c r="EF96" s="12">
        <f>EF$4 * IF(AND(EE$4=1,EB$20=1), EO96, EM96)</f>
        <v>0</v>
      </c>
      <c r="EG96" s="12">
        <f>EG$4 * IF(AND(EF$4=1,EB$20=1), EO96, EM96)</f>
        <v>0</v>
      </c>
      <c r="EH96" s="12">
        <f>EH$4 * IF(AND(EG$4=1,EB$20=1), EO96, EM96)</f>
        <v>0</v>
      </c>
      <c r="EI96" s="12">
        <f>EI$4 * IF(AND(EH$4=1,EB$20=1), EO96, EM96)</f>
        <v>0</v>
      </c>
      <c r="EJ96" s="12">
        <f>EJ$4 * IF(AND(EI$4=1,EB$20=1), EO96, EM96)</f>
        <v>0</v>
      </c>
      <c r="EL96" t="s">
        <v>1304</v>
      </c>
      <c r="EM96">
        <f>_xlfn.XLOOKUP(EL96,'KPI Impacts'!$B$2:$H$2,'KPI Impacts'!$B96:$H96)</f>
        <v>0</v>
      </c>
      <c r="EN96" s="9" t="s">
        <v>1304</v>
      </c>
      <c r="EO96">
        <f>_xlfn.XLOOKUP(EN96,'KPI Impacts'!$B$2:$H$2,'KPI Impacts'!$B96:$H96)</f>
        <v>0</v>
      </c>
      <c r="ER96" s="12">
        <f>ER$4*FC96</f>
        <v>0</v>
      </c>
      <c r="ES96" s="12">
        <f>ES$4 * IF(AND(ER$4=1,ER$20=1), FE96, FC96)</f>
        <v>0</v>
      </c>
      <c r="ET96" s="12">
        <f>ET$4 * IF(AND(ES$4=1,ER$20=1), FE96, FC96)</f>
        <v>0</v>
      </c>
      <c r="EU96" s="12">
        <f>EU$4 * IF(AND(ET$4=1,ER$20=1), FE96, FC96)</f>
        <v>0</v>
      </c>
      <c r="EV96" s="12">
        <f>EV$4 * IF(AND(EU$4=1,ER$20=1), FE96, FC96)</f>
        <v>0</v>
      </c>
      <c r="EW96" s="12">
        <f>EW$4 * IF(AND(EV$4=1,ER$20=1), FE96, FC96)</f>
        <v>0</v>
      </c>
      <c r="EX96" s="12">
        <f>EX$4 * IF(AND(EW$4=1,ER$20=1), FE96, FC96)</f>
        <v>0</v>
      </c>
      <c r="EY96" s="12">
        <f>EY$4 * IF(AND(EX$4=1,ER$20=1), FE96, FC96)</f>
        <v>0</v>
      </c>
      <c r="EZ96" s="12">
        <f>EZ$4 * IF(AND(EY$4=1,ER$20=1), FE96, FC96)</f>
        <v>0</v>
      </c>
      <c r="FB96" t="s">
        <v>1304</v>
      </c>
      <c r="FC96">
        <f>_xlfn.XLOOKUP(FB96,'KPI Impacts'!$B$2:$H$2,'KPI Impacts'!$B96:$H96)</f>
        <v>0</v>
      </c>
      <c r="FD96" s="9" t="s">
        <v>1304</v>
      </c>
      <c r="FE96">
        <f>_xlfn.XLOOKUP(FD96,'KPI Impacts'!$B$2:$H$2,'KPI Impacts'!$B96:$H96)</f>
        <v>0</v>
      </c>
      <c r="FH96" s="12">
        <f>FH$4*FS96</f>
        <v>0</v>
      </c>
      <c r="FI96" s="12">
        <f>FI$4 * IF(AND(FH$4=1,FH$20=1), FU96, FS96)</f>
        <v>0</v>
      </c>
      <c r="FJ96" s="12">
        <f>FJ$4 * IF(AND(FI$4=1,FH$20=1), FU96, FS96)</f>
        <v>0</v>
      </c>
      <c r="FK96" s="12">
        <f>FK$4 * IF(AND(FJ$4=1,FH$20=1), FU96, FS96)</f>
        <v>0</v>
      </c>
      <c r="FL96" s="12">
        <f>FL$4 * IF(AND(FK$4=1,FH$20=1), FU96, FS96)</f>
        <v>0</v>
      </c>
      <c r="FM96" s="12">
        <f>FM$4 * IF(AND(FL$4=1,FH$20=1), FU96, FS96)</f>
        <v>0</v>
      </c>
      <c r="FN96" s="12">
        <f>FN$4 * IF(AND(FM$4=1,FH$20=1), FU96, FS96)</f>
        <v>0</v>
      </c>
      <c r="FO96" s="12">
        <f>FO$4 * IF(AND(FN$4=1,FH$20=1), FU96, FS96)</f>
        <v>0</v>
      </c>
      <c r="FP96" s="12">
        <f>FP$4 * IF(AND(FO$4=1,FH$20=1), FU96, FS96)</f>
        <v>0</v>
      </c>
      <c r="FR96" t="s">
        <v>1304</v>
      </c>
      <c r="FS96">
        <f>_xlfn.XLOOKUP(FR96,'KPI Impacts'!$B$2:$H$2,'KPI Impacts'!$B96:$H96)</f>
        <v>0</v>
      </c>
      <c r="FT96" s="9" t="s">
        <v>1304</v>
      </c>
      <c r="FU96">
        <f>_xlfn.XLOOKUP(FT96,'KPI Impacts'!$B$2:$H$2,'KPI Impacts'!$B96:$H96)</f>
        <v>0</v>
      </c>
      <c r="FX96" s="12">
        <f>FX$4*GI96</f>
        <v>0</v>
      </c>
      <c r="FY96" s="12">
        <f>FY$4 * IF(AND(FX$4=1,FX$20=1), GK96, GI96)</f>
        <v>0</v>
      </c>
      <c r="FZ96" s="12">
        <f>FZ$4 * IF(AND(FY$4=1,FX$20=1), GK96, GI96)</f>
        <v>0</v>
      </c>
      <c r="GA96" s="12">
        <f>GA$4 * IF(AND(FZ$4=1,FX$20=1), GK96, GI96)</f>
        <v>0</v>
      </c>
      <c r="GB96" s="12">
        <f>GB$4 * IF(AND(GA$4=1,FX$20=1), GK96, GI96)</f>
        <v>0</v>
      </c>
      <c r="GC96" s="12">
        <f>GC$4 * IF(AND(GB$4=1,FX$20=1), GK96, GI96)</f>
        <v>0</v>
      </c>
      <c r="GD96" s="12">
        <f>GD$4 * IF(AND(GC$4=1,FX$20=1), GK96, GI96)</f>
        <v>0</v>
      </c>
      <c r="GE96" s="12">
        <f>GE$4 * IF(AND(GD$4=1,FX$20=1), GK96, GI96)</f>
        <v>0</v>
      </c>
      <c r="GF96" s="12">
        <f>GF$4 * IF(AND(GE$4=1,FX$20=1), GK96, GI96)</f>
        <v>0</v>
      </c>
      <c r="GH96" t="s">
        <v>1304</v>
      </c>
      <c r="GI96">
        <f>_xlfn.XLOOKUP(GH96,'KPI Impacts'!$B$2:$H$2,'KPI Impacts'!$B96:$H96)</f>
        <v>0</v>
      </c>
      <c r="GJ96" s="9" t="s">
        <v>1304</v>
      </c>
      <c r="GK96">
        <f>_xlfn.XLOOKUP(GJ96,'KPI Impacts'!$B$2:$H$2,'KPI Impacts'!$B96:$H96)</f>
        <v>0</v>
      </c>
      <c r="GN96" s="12">
        <f>GN$4*GY96</f>
        <v>0</v>
      </c>
      <c r="GO96" s="12">
        <f>GO$4 * IF(AND(GN$4=1,GN$20=1), HA96, GY96)</f>
        <v>0</v>
      </c>
      <c r="GP96" s="12">
        <f>GP$4 * IF(AND(GO$4=1,GN$20=1), HA96, GY96)</f>
        <v>0</v>
      </c>
      <c r="GQ96" s="12">
        <f>GQ$4 * IF(AND(GP$4=1,GN$20=1), HA96, GY96)</f>
        <v>0</v>
      </c>
      <c r="GR96" s="12">
        <f>GR$4 * IF(AND(GQ$4=1,GN$20=1), HA96, GY96)</f>
        <v>0</v>
      </c>
      <c r="GS96" s="12">
        <f>GS$4 * IF(AND(GR$4=1,GN$20=1), HA96, GY96)</f>
        <v>0</v>
      </c>
      <c r="GT96" s="12">
        <f>GT$4 * IF(AND(GS$4=1,GN$20=1), HA96, GY96)</f>
        <v>0</v>
      </c>
      <c r="GU96" s="12">
        <f>GU$4 * IF(AND(GT$4=1,GN$20=1), HA96, GY96)</f>
        <v>0</v>
      </c>
      <c r="GV96" s="12">
        <f>GV$4 * IF(AND(GU$4=1,GN$20=1), HA96, GY96)</f>
        <v>0</v>
      </c>
      <c r="GX96" t="s">
        <v>1304</v>
      </c>
      <c r="GY96">
        <f>_xlfn.XLOOKUP(GX96,'KPI Impacts'!$B$2:$H$2,'KPI Impacts'!$B96:$H96)</f>
        <v>0</v>
      </c>
      <c r="GZ96" s="9" t="s">
        <v>1304</v>
      </c>
      <c r="HA96">
        <f>_xlfn.XLOOKUP(GZ96,'KPI Impacts'!$B$2:$H$2,'KPI Impacts'!$B96:$H96)</f>
        <v>0</v>
      </c>
      <c r="HD96" s="12">
        <f>HD$4*HO96</f>
        <v>0</v>
      </c>
      <c r="HE96" s="12">
        <f>HE$4 * IF(AND(HD$4=1,HD$20=1), HQ96, HO96)</f>
        <v>0</v>
      </c>
      <c r="HF96" s="12">
        <f>HF$4 * IF(AND(HE$4=1,HD$20=1), HQ96, HO96)</f>
        <v>0</v>
      </c>
      <c r="HG96" s="12">
        <f>HG$4 * IF(AND(HF$4=1,HD$20=1), HQ96, HO96)</f>
        <v>0</v>
      </c>
      <c r="HH96" s="12">
        <f>HH$4 * IF(AND(HG$4=1,HD$20=1), HQ96, HO96)</f>
        <v>0</v>
      </c>
      <c r="HI96" s="12">
        <f>HI$4 * IF(AND(HH$4=1,HD$20=1), HQ96, HO96)</f>
        <v>0</v>
      </c>
      <c r="HJ96" s="12">
        <f>HJ$4 * IF(AND(HI$4=1,HD$20=1), HQ96, HO96)</f>
        <v>0</v>
      </c>
      <c r="HK96" s="12">
        <f>HK$4 * IF(AND(HJ$4=1,HD$20=1), HQ96, HO96)</f>
        <v>0</v>
      </c>
      <c r="HL96" s="12">
        <f>HL$4 * IF(AND(HK$4=1,HD$20=1), HQ96, HO96)</f>
        <v>0</v>
      </c>
      <c r="HN96" t="s">
        <v>1304</v>
      </c>
      <c r="HO96">
        <f>_xlfn.XLOOKUP(HN96,'KPI Impacts'!$B$2:$H$2,'KPI Impacts'!$B96:$H96)</f>
        <v>0</v>
      </c>
      <c r="HP96" s="9" t="s">
        <v>1304</v>
      </c>
      <c r="HQ96">
        <f>_xlfn.XLOOKUP(HP96,'KPI Impacts'!$B$2:$H$2,'KPI Impacts'!$B96:$H96)</f>
        <v>0</v>
      </c>
      <c r="HT96" s="12">
        <f>HT$4*IE96</f>
        <v>0</v>
      </c>
      <c r="HU96" s="12">
        <f>HU$4 * IF(AND(HT$4=1,HT$20=1), IG96, IE96)</f>
        <v>0</v>
      </c>
      <c r="HV96" s="12">
        <f>HV$4 * IF(AND(HU$4=1,HT$20=1), IG96, IE96)</f>
        <v>0</v>
      </c>
      <c r="HW96" s="12">
        <f>HW$4 * IF(AND(HV$4=1,HT$20=1), IG96, IE96)</f>
        <v>0</v>
      </c>
      <c r="HX96" s="12">
        <f>HX$4 * IF(AND(HW$4=1,HT$20=1), IG96, IE96)</f>
        <v>0</v>
      </c>
      <c r="HY96" s="12">
        <f>HY$4 * IF(AND(HX$4=1,HT$20=1), IG96, IE96)</f>
        <v>0</v>
      </c>
      <c r="HZ96" s="12">
        <f>HZ$4 * IF(AND(HY$4=1,HT$20=1), IG96, IE96)</f>
        <v>0</v>
      </c>
      <c r="IA96" s="12">
        <f>IA$4 * IF(AND(HZ$4=1,HT$20=1), IG96, IE96)</f>
        <v>0</v>
      </c>
      <c r="IB96" s="12">
        <f>IB$4 * IF(AND(IA$4=1,HT$20=1), IG96, IE96)</f>
        <v>0</v>
      </c>
      <c r="ID96" t="s">
        <v>1304</v>
      </c>
      <c r="IE96">
        <f>_xlfn.XLOOKUP(ID96,'KPI Impacts'!$B$2:$H$2,'KPI Impacts'!$B96:$H96)</f>
        <v>0</v>
      </c>
      <c r="IF96" s="9" t="s">
        <v>1304</v>
      </c>
      <c r="IG96">
        <f>_xlfn.XLOOKUP(IF96,'KPI Impacts'!$B$2:$H$2,'KPI Impacts'!$B96:$H96)</f>
        <v>0</v>
      </c>
      <c r="IJ96" s="12">
        <f>IJ$4*IU96</f>
        <v>0</v>
      </c>
      <c r="IK96" s="12">
        <f>IK$4 * IF(AND(IJ$4=1,IJ$20=1), IW96, IU96)</f>
        <v>0</v>
      </c>
      <c r="IL96" s="12">
        <f>IL$4 * IF(AND(IK$4=1,IJ$20=1), IW96, IU96)</f>
        <v>0</v>
      </c>
      <c r="IM96" s="12">
        <f>IM$4 * IF(AND(IL$4=1,IJ$20=1), IW96, IU96)</f>
        <v>0</v>
      </c>
      <c r="IN96" s="12">
        <f>IN$4 * IF(AND(IM$4=1,IJ$20=1), IW96, IU96)</f>
        <v>0</v>
      </c>
      <c r="IO96" s="12">
        <f>IO$4 * IF(AND(IN$4=1,IJ$20=1), IW96, IU96)</f>
        <v>0</v>
      </c>
      <c r="IP96" s="12">
        <f>IP$4 * IF(AND(IO$4=1,IJ$20=1), IW96, IU96)</f>
        <v>0</v>
      </c>
      <c r="IQ96" s="12">
        <f>IQ$4 * IF(AND(IP$4=1,IJ$20=1), IW96, IU96)</f>
        <v>0</v>
      </c>
      <c r="IR96" s="12">
        <f>IR$4 * IF(AND(IQ$4=1,IJ$20=1), IW96, IU96)</f>
        <v>0</v>
      </c>
      <c r="IT96" t="s">
        <v>1304</v>
      </c>
      <c r="IU96">
        <f>_xlfn.XLOOKUP(IT96,'KPI Impacts'!$B$2:$H$2,'KPI Impacts'!$B96:$H96)</f>
        <v>0</v>
      </c>
      <c r="IV96" s="9" t="s">
        <v>1304</v>
      </c>
      <c r="IW96">
        <f>_xlfn.XLOOKUP(IV96,'KPI Impacts'!$B$2:$H$2,'KPI Impacts'!$B96:$H96)</f>
        <v>0</v>
      </c>
      <c r="IZ96" s="12">
        <f>IZ$4*JK96</f>
        <v>0</v>
      </c>
      <c r="JA96" s="12">
        <f>JA$4 * IF(AND(IZ$4=1,IZ$20=1), JM96, JK96)</f>
        <v>0</v>
      </c>
      <c r="JB96" s="12">
        <f>JB$4 * IF(AND(JA$4=1,IZ$20=1), JM96, JK96)</f>
        <v>0</v>
      </c>
      <c r="JC96" s="12">
        <f>JC$4 * IF(AND(JB$4=1,IZ$20=1), JM96, JK96)</f>
        <v>0</v>
      </c>
      <c r="JD96" s="12">
        <f>JD$4 * IF(AND(JC$4=1,IZ$20=1), JM96, JK96)</f>
        <v>0</v>
      </c>
      <c r="JE96" s="12">
        <f>JE$4 * IF(AND(JD$4=1,IZ$20=1), JM96, JK96)</f>
        <v>0</v>
      </c>
      <c r="JF96" s="12">
        <f>JF$4 * IF(AND(JE$4=1,IZ$20=1), JM96, JK96)</f>
        <v>0</v>
      </c>
      <c r="JG96" s="12">
        <f>JG$4 * IF(AND(JF$4=1,IZ$20=1), JM96, JK96)</f>
        <v>0</v>
      </c>
      <c r="JH96" s="12">
        <f>JH$4 * IF(AND(JG$4=1,IZ$20=1), JM96, JK96)</f>
        <v>0</v>
      </c>
      <c r="JJ96" t="s">
        <v>1304</v>
      </c>
      <c r="JK96">
        <f>_xlfn.XLOOKUP(JJ96,'KPI Impacts'!$B$2:$H$2,'KPI Impacts'!$B96:$H96)</f>
        <v>0</v>
      </c>
      <c r="JL96" s="9" t="s">
        <v>1304</v>
      </c>
      <c r="JM96">
        <f>_xlfn.XLOOKUP(JL96,'KPI Impacts'!$B$2:$H$2,'KPI Impacts'!$B96:$H96)</f>
        <v>0</v>
      </c>
      <c r="JP96" s="12">
        <f>JP$4*KA96</f>
        <v>0</v>
      </c>
      <c r="JQ96" s="12">
        <f>JQ$4 * IF(AND(JP$4=1,JP$20=1), KC96, KA96)</f>
        <v>0</v>
      </c>
      <c r="JR96" s="12">
        <f>JR$4 * IF(AND(JQ$4=1,JP$20=1), KC96, KA96)</f>
        <v>0</v>
      </c>
      <c r="JS96" s="12">
        <f>JS$4 * IF(AND(JR$4=1,JP$20=1), KC96, KA96)</f>
        <v>0</v>
      </c>
      <c r="JT96" s="12">
        <f>JT$4 * IF(AND(JS$4=1,JP$20=1), KC96, KA96)</f>
        <v>0</v>
      </c>
      <c r="JU96" s="12">
        <f>JU$4 * IF(AND(JT$4=1,JP$20=1), KC96, KA96)</f>
        <v>0</v>
      </c>
      <c r="JV96" s="12">
        <f>JV$4 * IF(AND(JU$4=1,JP$20=1), KC96, KA96)</f>
        <v>0</v>
      </c>
      <c r="JW96" s="12">
        <f>JW$4 * IF(AND(JV$4=1,JP$20=1), KC96, KA96)</f>
        <v>0</v>
      </c>
      <c r="JX96" s="12">
        <f>JX$4 * IF(AND(JW$4=1,JP$20=1), KC96, KA96)</f>
        <v>0</v>
      </c>
      <c r="JZ96" t="s">
        <v>1304</v>
      </c>
      <c r="KA96">
        <f>_xlfn.XLOOKUP(JZ96,'KPI Impacts'!$B$2:$H$2,'KPI Impacts'!$B96:$H96)</f>
        <v>0</v>
      </c>
      <c r="KB96" s="9" t="s">
        <v>1304</v>
      </c>
      <c r="KC96">
        <f>_xlfn.XLOOKUP(KB96,'KPI Impacts'!$B$2:$H$2,'KPI Impacts'!$B96:$H96)</f>
        <v>0</v>
      </c>
      <c r="KF96" s="12">
        <f>KF$4*KQ96</f>
        <v>0</v>
      </c>
      <c r="KG96" s="12">
        <f>KG$4 * IF(AND(KF$4=1,KF$20=1), KS96, KQ96)</f>
        <v>0</v>
      </c>
      <c r="KH96" s="12">
        <f>KH$4 * IF(AND(KG$4=1,KF$20=1), KS96, KQ96)</f>
        <v>0</v>
      </c>
      <c r="KI96" s="12">
        <f>KI$4 * IF(AND(KH$4=1,KF$20=1), KS96, KQ96)</f>
        <v>0</v>
      </c>
      <c r="KJ96" s="12">
        <f>KJ$4 * IF(AND(KI$4=1,KF$20=1), KS96, KQ96)</f>
        <v>0</v>
      </c>
      <c r="KK96" s="12">
        <f>KK$4 * IF(AND(KJ$4=1,KF$20=1), KS96, KQ96)</f>
        <v>0</v>
      </c>
      <c r="KL96" s="12">
        <f>KL$4 * IF(AND(KK$4=1,KF$20=1), KS96, KQ96)</f>
        <v>0</v>
      </c>
      <c r="KM96" s="12">
        <f>KM$4 * IF(AND(KL$4=1,KF$20=1), KS96, KQ96)</f>
        <v>0</v>
      </c>
      <c r="KN96" s="12">
        <f>KN$4 * IF(AND(KM$4=1,KF$20=1), KS96, KQ96)</f>
        <v>0</v>
      </c>
      <c r="KP96" t="s">
        <v>1304</v>
      </c>
      <c r="KQ96">
        <f>_xlfn.XLOOKUP(KP96,'KPI Impacts'!$B$2:$H$2,'KPI Impacts'!$B96:$H96)</f>
        <v>0</v>
      </c>
      <c r="KR96" s="9" t="s">
        <v>1304</v>
      </c>
      <c r="KS96">
        <f>_xlfn.XLOOKUP(KR96,'KPI Impacts'!$B$2:$H$2,'KPI Impacts'!$B96:$H96)</f>
        <v>0</v>
      </c>
      <c r="KV96" s="12">
        <f>KV$4*LG96</f>
        <v>0</v>
      </c>
      <c r="KW96" s="12">
        <f>KW$4 * IF(AND(KV$4=1,KV$20=1), LI96, LG96)</f>
        <v>0</v>
      </c>
      <c r="KX96" s="12">
        <f>KX$4 * IF(AND(KW$4=1,KV$20=1), LI96, LG96)</f>
        <v>0</v>
      </c>
      <c r="KY96" s="12">
        <f>KY$4 * IF(AND(KX$4=1,KV$20=1), LI96, LG96)</f>
        <v>0</v>
      </c>
      <c r="KZ96" s="12">
        <f>KZ$4 * IF(AND(KY$4=1,KV$20=1), LI96, LG96)</f>
        <v>0</v>
      </c>
      <c r="LA96" s="12">
        <f>LA$4 * IF(AND(KZ$4=1,KV$20=1), LI96, LG96)</f>
        <v>0</v>
      </c>
      <c r="LB96" s="12">
        <f>LB$4 * IF(AND(LA$4=1,KV$20=1), LI96, LG96)</f>
        <v>0</v>
      </c>
      <c r="LC96" s="12">
        <f>LC$4 * IF(AND(LB$4=1,KV$20=1), LI96, LG96)</f>
        <v>0</v>
      </c>
      <c r="LD96" s="12">
        <f>LD$4 * IF(AND(LC$4=1,KV$20=1), LI96, LG96)</f>
        <v>0</v>
      </c>
      <c r="LF96" t="s">
        <v>1304</v>
      </c>
      <c r="LG96">
        <f>_xlfn.XLOOKUP(LF96,'KPI Impacts'!$B$2:$H$2,'KPI Impacts'!$B96:$H96)</f>
        <v>0</v>
      </c>
      <c r="LH96" s="9" t="s">
        <v>1304</v>
      </c>
      <c r="LI96">
        <f>_xlfn.XLOOKUP(LH96,'KPI Impacts'!$B$2:$H$2,'KPI Impacts'!$B96:$H96)</f>
        <v>0</v>
      </c>
      <c r="LL96" s="12">
        <f>LL$4*LW96</f>
        <v>0</v>
      </c>
      <c r="LM96" s="12">
        <f>LM$4 * IF(AND(LL$4=1,LL$20=1), LY96, LW96)</f>
        <v>0</v>
      </c>
      <c r="LN96" s="12">
        <f>LN$4 * IF(AND(LM$4=1,LL$20=1), LY96, LW96)</f>
        <v>0</v>
      </c>
      <c r="LO96" s="12">
        <f>LO$4 * IF(AND(LN$4=1,LL$20=1), LY96, LW96)</f>
        <v>0</v>
      </c>
      <c r="LP96" s="12">
        <f>LP$4 * IF(AND(LO$4=1,LL$20=1), LY96, LW96)</f>
        <v>0</v>
      </c>
      <c r="LQ96" s="12">
        <f>LQ$4 * IF(AND(LP$4=1,LL$20=1), LY96, LW96)</f>
        <v>0</v>
      </c>
      <c r="LR96" s="12">
        <f>LR$4 * IF(AND(LQ$4=1,LL$20=1), LY96, LW96)</f>
        <v>0</v>
      </c>
      <c r="LS96" s="12">
        <f>LS$4 * IF(AND(LR$4=1,LL$20=1), LY96, LW96)</f>
        <v>0</v>
      </c>
      <c r="LT96" s="12">
        <f>LT$4 * IF(AND(LS$4=1,LL$20=1), LY96, LW96)</f>
        <v>0</v>
      </c>
      <c r="LV96" t="s">
        <v>1304</v>
      </c>
      <c r="LW96">
        <f>_xlfn.XLOOKUP(LV96,'KPI Impacts'!$B$2:$H$2,'KPI Impacts'!$B96:$H96)</f>
        <v>0</v>
      </c>
      <c r="LX96" s="9" t="s">
        <v>1304</v>
      </c>
      <c r="LY96">
        <f>_xlfn.XLOOKUP(LX96,'KPI Impacts'!$B$2:$H$2,'KPI Impacts'!$B96:$H96)</f>
        <v>0</v>
      </c>
      <c r="MB96" s="12">
        <f>MB$4*MM96</f>
        <v>0</v>
      </c>
      <c r="MC96" s="12">
        <f>MC$4 * IF(AND(MB$4=1,MB$20=1), MO96, MM96)</f>
        <v>0</v>
      </c>
      <c r="MD96" s="12">
        <f>MD$4 * IF(AND(MC$4=1,MB$20=1), MO96, MM96)</f>
        <v>0</v>
      </c>
      <c r="ME96" s="12">
        <f>ME$4 * IF(AND(MD$4=1,MB$20=1), MO96, MM96)</f>
        <v>0</v>
      </c>
      <c r="MF96" s="12">
        <f>MF$4 * IF(AND(ME$4=1,MB$20=1), MO96, MM96)</f>
        <v>0</v>
      </c>
      <c r="MG96" s="12">
        <f>MG$4 * IF(AND(MF$4=1,MB$20=1), MO96, MM96)</f>
        <v>0</v>
      </c>
      <c r="MH96" s="12">
        <f>MH$4 * IF(AND(MG$4=1,MB$20=1), MO96, MM96)</f>
        <v>0</v>
      </c>
      <c r="MI96" s="12">
        <f>MI$4 * IF(AND(MH$4=1,MB$20=1), MO96, MM96)</f>
        <v>0</v>
      </c>
      <c r="MJ96" s="12">
        <f>MJ$4 * IF(AND(MI$4=1,MB$20=1), MO96, MM96)</f>
        <v>0</v>
      </c>
      <c r="ML96" t="s">
        <v>1304</v>
      </c>
      <c r="MM96">
        <f>_xlfn.XLOOKUP(ML96,'KPI Impacts'!$B$2:$H$2,'KPI Impacts'!$B96:$H96)</f>
        <v>0</v>
      </c>
      <c r="MN96" s="9" t="s">
        <v>1304</v>
      </c>
      <c r="MO96">
        <f>_xlfn.XLOOKUP(MN96,'KPI Impacts'!$B$2:$H$2,'KPI Impacts'!$B96:$H96)</f>
        <v>0</v>
      </c>
      <c r="MR96" s="12">
        <f>MR$4*NC96</f>
        <v>0</v>
      </c>
      <c r="MS96" s="12">
        <f>MS$4 * IF(AND(MR$4=1,MR$20=1), NE96, NC96)</f>
        <v>0</v>
      </c>
      <c r="MT96" s="12">
        <f>MT$4 * IF(AND(MS$4=1,MR$20=1), NE96, NC96)</f>
        <v>0</v>
      </c>
      <c r="MU96" s="12">
        <f>MU$4 * IF(AND(MT$4=1,MR$20=1), NE96, NC96)</f>
        <v>0</v>
      </c>
      <c r="MV96" s="12">
        <f>MV$4 * IF(AND(MU$4=1,MR$20=1), NE96, NC96)</f>
        <v>0</v>
      </c>
      <c r="MW96" s="12">
        <f>MW$4 * IF(AND(MV$4=1,MR$20=1), NE96, NC96)</f>
        <v>0</v>
      </c>
      <c r="MX96" s="12">
        <f>MX$4 * IF(AND(MW$4=1,MR$20=1), NE96, NC96)</f>
        <v>0</v>
      </c>
      <c r="MY96" s="12">
        <f>MY$4 * IF(AND(MX$4=1,MR$20=1), NE96, NC96)</f>
        <v>0</v>
      </c>
      <c r="MZ96" s="12">
        <f>MZ$4 * IF(AND(MY$4=1,MR$20=1), NE96, NC96)</f>
        <v>0</v>
      </c>
      <c r="NB96" t="s">
        <v>1304</v>
      </c>
      <c r="NC96">
        <f>_xlfn.XLOOKUP(NB96,'KPI Impacts'!$B$2:$H$2,'KPI Impacts'!$B96:$H96)</f>
        <v>0</v>
      </c>
      <c r="ND96" s="9" t="s">
        <v>1304</v>
      </c>
      <c r="NE96">
        <f>_xlfn.XLOOKUP(ND96,'KPI Impacts'!$B$2:$H$2,'KPI Impacts'!$B96:$H96)</f>
        <v>0</v>
      </c>
      <c r="NH96" s="12">
        <f>NH$4*NS96</f>
        <v>0</v>
      </c>
      <c r="NI96" s="12">
        <f>NI$4 * IF(AND(NH$4=1,NH$20=1), NU96, NS96)</f>
        <v>0</v>
      </c>
      <c r="NJ96" s="12">
        <f>NJ$4 * IF(AND(NI$4=1,NH$20=1), NU96, NS96)</f>
        <v>0</v>
      </c>
      <c r="NK96" s="12">
        <f>NK$4 * IF(AND(NJ$4=1,NH$20=1), NU96, NS96)</f>
        <v>0</v>
      </c>
      <c r="NL96" s="12">
        <f>NL$4 * IF(AND(NK$4=1,NH$20=1), NU96, NS96)</f>
        <v>0</v>
      </c>
      <c r="NM96" s="12">
        <f>NM$4 * IF(AND(NL$4=1,NH$20=1), NU96, NS96)</f>
        <v>0</v>
      </c>
      <c r="NN96" s="12">
        <f>NN$4 * IF(AND(NM$4=1,NH$20=1), NU96, NS96)</f>
        <v>0</v>
      </c>
      <c r="NO96" s="12">
        <f>NO$4 * IF(AND(NN$4=1,NH$20=1), NU96, NS96)</f>
        <v>0</v>
      </c>
      <c r="NP96" s="12">
        <f>NP$4 * IF(AND(NO$4=1,NH$20=1), NU96, NS96)</f>
        <v>0</v>
      </c>
      <c r="NR96" t="s">
        <v>1304</v>
      </c>
      <c r="NS96">
        <f>_xlfn.XLOOKUP(NR96,'KPI Impacts'!$B$2:$H$2,'KPI Impacts'!$B96:$H96)</f>
        <v>0</v>
      </c>
      <c r="NT96" s="9" t="s">
        <v>1304</v>
      </c>
      <c r="NU96">
        <f>_xlfn.XLOOKUP(NT96,'KPI Impacts'!$B$2:$H$2,'KPI Impacts'!$B96:$H96)</f>
        <v>0</v>
      </c>
      <c r="NX96" s="12">
        <f>NX$4*OI96</f>
        <v>0</v>
      </c>
      <c r="NY96" s="12">
        <f>NY$4 * IF(AND(NX$4=1,NX$20=1), OK96, OI96)</f>
        <v>0</v>
      </c>
      <c r="NZ96" s="12">
        <f>NZ$4 * IF(AND(NY$4=1,NX$20=1), OK96, OI96)</f>
        <v>0</v>
      </c>
      <c r="OA96" s="12">
        <f>OA$4 * IF(AND(NZ$4=1,NX$20=1), OK96, OI96)</f>
        <v>0</v>
      </c>
      <c r="OB96" s="12">
        <f>OB$4 * IF(AND(OA$4=1,NX$20=1), OK96, OI96)</f>
        <v>0</v>
      </c>
      <c r="OC96" s="12">
        <f>OC$4 * IF(AND(OB$4=1,NX$20=1), OK96, OI96)</f>
        <v>0</v>
      </c>
      <c r="OD96" s="12">
        <f>OD$4 * IF(AND(OC$4=1,NX$20=1), OK96, OI96)</f>
        <v>0</v>
      </c>
      <c r="OE96" s="12">
        <f>OE$4 * IF(AND(OD$4=1,NX$20=1), OK96, OI96)</f>
        <v>0</v>
      </c>
      <c r="OF96" s="12">
        <f>OF$4 * IF(AND(OE$4=1,NX$20=1), OK96, OI96)</f>
        <v>0</v>
      </c>
      <c r="OH96" t="s">
        <v>1304</v>
      </c>
      <c r="OI96">
        <f>_xlfn.XLOOKUP(OH96,'KPI Impacts'!$B$2:$H$2,'KPI Impacts'!$B96:$H96)</f>
        <v>0</v>
      </c>
      <c r="OJ96" s="9" t="s">
        <v>1304</v>
      </c>
      <c r="OK96">
        <f>_xlfn.XLOOKUP(OJ96,'KPI Impacts'!$B$2:$H$2,'KPI Impacts'!$B96:$H96)</f>
        <v>0</v>
      </c>
    </row>
    <row r="97" spans="1:499" x14ac:dyDescent="0.2">
      <c r="A97" t="s">
        <v>1295</v>
      </c>
      <c r="B97" s="19" t="s">
        <v>1319</v>
      </c>
      <c r="C97" s="19" t="s">
        <v>1319</v>
      </c>
      <c r="D97" s="19" t="s">
        <v>1319</v>
      </c>
      <c r="E97" s="19" t="s">
        <v>1319</v>
      </c>
      <c r="F97" s="19" t="s">
        <v>1319</v>
      </c>
      <c r="G97" s="19" t="s">
        <v>1319</v>
      </c>
      <c r="H97" s="19" t="s">
        <v>1319</v>
      </c>
      <c r="I97" s="19" t="s">
        <v>1319</v>
      </c>
      <c r="J97" s="19" t="s">
        <v>1319</v>
      </c>
      <c r="M97" s="6"/>
      <c r="N97" s="6"/>
      <c r="P97" s="12"/>
      <c r="Q97" s="12"/>
      <c r="R97" s="12"/>
      <c r="S97" s="12"/>
      <c r="T97" s="12"/>
      <c r="U97" s="12"/>
      <c r="V97" s="12"/>
      <c r="W97" s="12"/>
      <c r="X97" s="12"/>
      <c r="AH97" s="12"/>
      <c r="AI97" s="12"/>
      <c r="AJ97" s="12"/>
      <c r="AK97" s="12"/>
      <c r="AL97" s="12"/>
      <c r="AM97" s="12"/>
      <c r="AN97" s="12"/>
      <c r="AO97" s="12"/>
      <c r="AP97" s="12"/>
      <c r="AZ97" s="12"/>
      <c r="BA97" s="12"/>
      <c r="BB97" s="12"/>
      <c r="BC97" s="12"/>
      <c r="BD97" s="12"/>
      <c r="BE97" s="12"/>
      <c r="BF97" s="12"/>
      <c r="BG97" s="12"/>
      <c r="BH97" s="12"/>
      <c r="BL97" s="9"/>
      <c r="BP97" s="12"/>
      <c r="BQ97" s="12"/>
      <c r="BR97" s="12"/>
      <c r="BS97" s="12"/>
      <c r="BT97" s="12"/>
      <c r="BU97" s="12"/>
      <c r="BV97" s="12"/>
      <c r="BW97" s="12"/>
      <c r="BX97" s="12"/>
      <c r="CB97" s="9"/>
      <c r="CF97" s="12"/>
      <c r="CG97" s="12"/>
      <c r="CH97" s="12"/>
      <c r="CI97" s="12"/>
      <c r="CJ97" s="12"/>
      <c r="CK97" s="12"/>
      <c r="CL97" s="12"/>
      <c r="CM97" s="12"/>
      <c r="CN97" s="12"/>
      <c r="CR97" s="9"/>
      <c r="CV97" s="12"/>
      <c r="CW97" s="12"/>
      <c r="CX97" s="12"/>
      <c r="CY97" s="12"/>
      <c r="CZ97" s="12"/>
      <c r="DA97" s="12"/>
      <c r="DB97" s="12"/>
      <c r="DC97" s="12"/>
      <c r="DD97" s="12"/>
      <c r="DH97" s="9"/>
      <c r="DL97" s="12"/>
      <c r="DM97" s="12"/>
      <c r="DN97" s="12"/>
      <c r="DO97" s="12"/>
      <c r="DP97" s="12"/>
      <c r="DQ97" s="12"/>
      <c r="DR97" s="12"/>
      <c r="DS97" s="12"/>
      <c r="DT97" s="12"/>
      <c r="DX97" s="9"/>
      <c r="EB97" s="12"/>
      <c r="EC97" s="12"/>
      <c r="ED97" s="12"/>
      <c r="EE97" s="12"/>
      <c r="EF97" s="12"/>
      <c r="EG97" s="12"/>
      <c r="EH97" s="12"/>
      <c r="EI97" s="12"/>
      <c r="EJ97" s="12"/>
      <c r="EN97" s="9"/>
      <c r="ER97" s="12"/>
      <c r="ES97" s="12"/>
      <c r="ET97" s="12"/>
      <c r="EU97" s="12"/>
      <c r="EV97" s="12"/>
      <c r="EW97" s="12"/>
      <c r="EX97" s="12"/>
      <c r="EY97" s="12"/>
      <c r="EZ97" s="12"/>
      <c r="FD97" s="9"/>
      <c r="FH97" s="12"/>
      <c r="FI97" s="12"/>
      <c r="FJ97" s="12"/>
      <c r="FK97" s="12"/>
      <c r="FL97" s="12"/>
      <c r="FM97" s="12"/>
      <c r="FN97" s="12"/>
      <c r="FO97" s="12"/>
      <c r="FP97" s="12"/>
      <c r="FT97" s="9"/>
      <c r="FX97" s="12"/>
      <c r="FY97" s="12"/>
      <c r="FZ97" s="12"/>
      <c r="GA97" s="12"/>
      <c r="GB97" s="12"/>
      <c r="GC97" s="12"/>
      <c r="GD97" s="12"/>
      <c r="GE97" s="12"/>
      <c r="GF97" s="12"/>
      <c r="GJ97" s="9"/>
      <c r="GN97" s="12"/>
      <c r="GO97" s="12"/>
      <c r="GP97" s="12"/>
      <c r="GQ97" s="12"/>
      <c r="GR97" s="12"/>
      <c r="GS97" s="12"/>
      <c r="GT97" s="12"/>
      <c r="GU97" s="12"/>
      <c r="GV97" s="12"/>
      <c r="GZ97" s="9"/>
      <c r="HD97" s="12"/>
      <c r="HE97" s="12"/>
      <c r="HF97" s="12"/>
      <c r="HG97" s="12"/>
      <c r="HH97" s="12"/>
      <c r="HI97" s="12"/>
      <c r="HJ97" s="12"/>
      <c r="HK97" s="12"/>
      <c r="HL97" s="12"/>
      <c r="HP97" s="9"/>
      <c r="HT97" s="12"/>
      <c r="HU97" s="12"/>
      <c r="HV97" s="12"/>
      <c r="HW97" s="12"/>
      <c r="HX97" s="12"/>
      <c r="HY97" s="12"/>
      <c r="HZ97" s="12"/>
      <c r="IA97" s="12"/>
      <c r="IB97" s="12"/>
      <c r="IF97" s="9"/>
      <c r="IJ97" s="12"/>
      <c r="IK97" s="12"/>
      <c r="IL97" s="12"/>
      <c r="IM97" s="12"/>
      <c r="IN97" s="12"/>
      <c r="IO97" s="12"/>
      <c r="IP97" s="12"/>
      <c r="IQ97" s="12"/>
      <c r="IR97" s="12"/>
      <c r="IV97" s="9"/>
      <c r="IZ97" s="12"/>
      <c r="JA97" s="12"/>
      <c r="JB97" s="12"/>
      <c r="JC97" s="12"/>
      <c r="JD97" s="12"/>
      <c r="JE97" s="12"/>
      <c r="JF97" s="12"/>
      <c r="JG97" s="12"/>
      <c r="JH97" s="12"/>
      <c r="JL97" s="9"/>
      <c r="JP97" s="12"/>
      <c r="JQ97" s="12"/>
      <c r="JR97" s="12"/>
      <c r="JS97" s="12"/>
      <c r="JT97" s="12"/>
      <c r="JU97" s="12"/>
      <c r="JV97" s="12"/>
      <c r="JW97" s="12"/>
      <c r="JX97" s="12"/>
      <c r="KB97" s="9"/>
      <c r="KF97" s="12"/>
      <c r="KG97" s="12"/>
      <c r="KH97" s="12"/>
      <c r="KI97" s="12"/>
      <c r="KJ97" s="12"/>
      <c r="KK97" s="12"/>
      <c r="KL97" s="12"/>
      <c r="KM97" s="12"/>
      <c r="KN97" s="12"/>
      <c r="KR97" s="9"/>
      <c r="KV97" s="12"/>
      <c r="KW97" s="12"/>
      <c r="KX97" s="12"/>
      <c r="KY97" s="12"/>
      <c r="KZ97" s="12"/>
      <c r="LA97" s="12"/>
      <c r="LB97" s="12"/>
      <c r="LC97" s="12"/>
      <c r="LD97" s="12"/>
      <c r="LH97" s="9"/>
      <c r="LL97" s="12"/>
      <c r="LM97" s="12"/>
      <c r="LN97" s="12"/>
      <c r="LO97" s="12"/>
      <c r="LP97" s="12"/>
      <c r="LQ97" s="12"/>
      <c r="LR97" s="12"/>
      <c r="LS97" s="12"/>
      <c r="LT97" s="12"/>
      <c r="LX97" s="9"/>
      <c r="MB97" s="12"/>
      <c r="MC97" s="12"/>
      <c r="MD97" s="12"/>
      <c r="ME97" s="12"/>
      <c r="MF97" s="12"/>
      <c r="MG97" s="12"/>
      <c r="MH97" s="12"/>
      <c r="MI97" s="12"/>
      <c r="MJ97" s="12"/>
      <c r="MN97" s="9"/>
      <c r="MR97" s="12"/>
      <c r="MS97" s="12"/>
      <c r="MT97" s="12"/>
      <c r="MU97" s="12"/>
      <c r="MV97" s="12"/>
      <c r="MW97" s="12"/>
      <c r="MX97" s="12"/>
      <c r="MY97" s="12"/>
      <c r="MZ97" s="12"/>
      <c r="ND97" s="9"/>
      <c r="NH97" s="12"/>
      <c r="NI97" s="12"/>
      <c r="NJ97" s="12"/>
      <c r="NK97" s="12"/>
      <c r="NL97" s="12"/>
      <c r="NM97" s="12"/>
      <c r="NN97" s="12"/>
      <c r="NO97" s="12"/>
      <c r="NP97" s="12"/>
      <c r="NT97" s="9"/>
      <c r="NX97" s="12"/>
      <c r="NY97" s="12"/>
      <c r="NZ97" s="12"/>
      <c r="OA97" s="12"/>
      <c r="OB97" s="12"/>
      <c r="OC97" s="12"/>
      <c r="OD97" s="12"/>
      <c r="OE97" s="12"/>
      <c r="OF97" s="12"/>
      <c r="OJ97" s="9"/>
    </row>
    <row r="98" spans="1:499" hidden="1" x14ac:dyDescent="0.2">
      <c r="B98" s="12"/>
      <c r="P98" s="12"/>
      <c r="Q98" s="12"/>
      <c r="R98" s="12"/>
      <c r="S98" s="12"/>
      <c r="T98" s="12"/>
      <c r="U98" s="12"/>
      <c r="V98" s="12"/>
      <c r="W98" s="12"/>
      <c r="X98" s="12"/>
      <c r="AH98" s="12"/>
      <c r="AI98" s="12"/>
      <c r="AJ98" s="12"/>
      <c r="AK98" s="12"/>
      <c r="AL98" s="12"/>
      <c r="AM98" s="12"/>
      <c r="AN98" s="12"/>
      <c r="AO98" s="12"/>
      <c r="AP98" s="12"/>
      <c r="AZ98" s="12"/>
      <c r="BA98" s="12"/>
      <c r="BB98" s="12"/>
      <c r="BC98" s="12"/>
      <c r="BD98" s="12"/>
      <c r="BE98" s="12"/>
      <c r="BF98" s="12"/>
      <c r="BG98" s="12"/>
      <c r="BH98" s="12"/>
      <c r="BL98" s="9"/>
      <c r="BP98" s="12"/>
      <c r="BQ98" s="12"/>
      <c r="BR98" s="12"/>
      <c r="BS98" s="12"/>
      <c r="BT98" s="12"/>
      <c r="BU98" s="12"/>
      <c r="BV98" s="12"/>
      <c r="BW98" s="12"/>
      <c r="BX98" s="12"/>
      <c r="CB98" s="9"/>
      <c r="CF98" s="12"/>
      <c r="CG98" s="12"/>
      <c r="CH98" s="12"/>
      <c r="CI98" s="12"/>
      <c r="CJ98" s="12"/>
      <c r="CK98" s="12"/>
      <c r="CL98" s="12"/>
      <c r="CM98" s="12"/>
      <c r="CN98" s="12"/>
      <c r="CR98" s="9"/>
      <c r="CV98" s="12"/>
      <c r="CW98" s="12"/>
      <c r="CX98" s="12"/>
      <c r="CY98" s="12"/>
      <c r="CZ98" s="12"/>
      <c r="DA98" s="12"/>
      <c r="DB98" s="12"/>
      <c r="DC98" s="12"/>
      <c r="DD98" s="12"/>
      <c r="DH98" s="9"/>
      <c r="DL98" s="12"/>
      <c r="DM98" s="12"/>
      <c r="DN98" s="12"/>
      <c r="DO98" s="12"/>
      <c r="DP98" s="12"/>
      <c r="DQ98" s="12"/>
      <c r="DR98" s="12"/>
      <c r="DS98" s="12"/>
      <c r="DT98" s="12"/>
      <c r="DX98" s="9"/>
      <c r="EB98" s="12"/>
      <c r="EC98" s="12"/>
      <c r="ED98" s="12"/>
      <c r="EE98" s="12"/>
      <c r="EF98" s="12"/>
      <c r="EG98" s="12"/>
      <c r="EH98" s="12"/>
      <c r="EI98" s="12"/>
      <c r="EJ98" s="12"/>
      <c r="EN98" s="9"/>
      <c r="ER98" s="12"/>
      <c r="ES98" s="12"/>
      <c r="ET98" s="12"/>
      <c r="EU98" s="12"/>
      <c r="EV98" s="12"/>
      <c r="EW98" s="12"/>
      <c r="EX98" s="12"/>
      <c r="EY98" s="12"/>
      <c r="EZ98" s="12"/>
      <c r="FD98" s="9"/>
      <c r="FH98" s="12"/>
      <c r="FI98" s="12"/>
      <c r="FJ98" s="12"/>
      <c r="FK98" s="12"/>
      <c r="FL98" s="12"/>
      <c r="FM98" s="12"/>
      <c r="FN98" s="12"/>
      <c r="FO98" s="12"/>
      <c r="FP98" s="12"/>
      <c r="FT98" s="9"/>
      <c r="FX98" s="12"/>
      <c r="FY98" s="12"/>
      <c r="FZ98" s="12"/>
      <c r="GA98" s="12"/>
      <c r="GB98" s="12"/>
      <c r="GC98" s="12"/>
      <c r="GD98" s="12"/>
      <c r="GE98" s="12"/>
      <c r="GF98" s="12"/>
      <c r="GJ98" s="9"/>
      <c r="GN98" s="12"/>
      <c r="GO98" s="12"/>
      <c r="GP98" s="12"/>
      <c r="GQ98" s="12"/>
      <c r="GR98" s="12"/>
      <c r="GS98" s="12"/>
      <c r="GT98" s="12"/>
      <c r="GU98" s="12"/>
      <c r="GV98" s="12"/>
      <c r="GZ98" s="9"/>
      <c r="HD98" s="12"/>
      <c r="HE98" s="12"/>
      <c r="HF98" s="12"/>
      <c r="HG98" s="12"/>
      <c r="HH98" s="12"/>
      <c r="HI98" s="12"/>
      <c r="HJ98" s="12"/>
      <c r="HK98" s="12"/>
      <c r="HL98" s="12"/>
      <c r="HP98" s="9"/>
      <c r="HT98" s="12"/>
      <c r="HU98" s="12"/>
      <c r="HV98" s="12"/>
      <c r="HW98" s="12"/>
      <c r="HX98" s="12"/>
      <c r="HY98" s="12"/>
      <c r="HZ98" s="12"/>
      <c r="IA98" s="12"/>
      <c r="IB98" s="12"/>
      <c r="IF98" s="9"/>
      <c r="IJ98" s="12"/>
      <c r="IK98" s="12"/>
      <c r="IL98" s="12"/>
      <c r="IM98" s="12"/>
      <c r="IN98" s="12"/>
      <c r="IO98" s="12"/>
      <c r="IP98" s="12"/>
      <c r="IQ98" s="12"/>
      <c r="IR98" s="12"/>
      <c r="IV98" s="9"/>
      <c r="IZ98" s="12"/>
      <c r="JA98" s="12"/>
      <c r="JB98" s="12"/>
      <c r="JC98" s="12"/>
      <c r="JD98" s="12"/>
      <c r="JE98" s="12"/>
      <c r="JF98" s="12"/>
      <c r="JG98" s="12"/>
      <c r="JH98" s="12"/>
      <c r="JL98" s="9"/>
      <c r="JP98" s="12"/>
      <c r="JQ98" s="12"/>
      <c r="JR98" s="12"/>
      <c r="JS98" s="12"/>
      <c r="JT98" s="12"/>
      <c r="JU98" s="12"/>
      <c r="JV98" s="12"/>
      <c r="JW98" s="12"/>
      <c r="JX98" s="12"/>
      <c r="KB98" s="9"/>
      <c r="KF98" s="12"/>
      <c r="KG98" s="12"/>
      <c r="KH98" s="12"/>
      <c r="KI98" s="12"/>
      <c r="KJ98" s="12"/>
      <c r="KK98" s="12"/>
      <c r="KL98" s="12"/>
      <c r="KM98" s="12"/>
      <c r="KN98" s="12"/>
      <c r="KR98" s="9"/>
      <c r="KV98" s="12"/>
      <c r="KW98" s="12"/>
      <c r="KX98" s="12"/>
      <c r="KY98" s="12"/>
      <c r="KZ98" s="12"/>
      <c r="LA98" s="12"/>
      <c r="LB98" s="12"/>
      <c r="LC98" s="12"/>
      <c r="LD98" s="12"/>
      <c r="LH98" s="9"/>
      <c r="LL98" s="12"/>
      <c r="LM98" s="12"/>
      <c r="LN98" s="12"/>
      <c r="LO98" s="12"/>
      <c r="LP98" s="12"/>
      <c r="LQ98" s="12"/>
      <c r="LR98" s="12"/>
      <c r="LS98" s="12"/>
      <c r="LT98" s="12"/>
      <c r="LX98" s="9"/>
      <c r="MB98" s="12"/>
      <c r="MC98" s="12"/>
      <c r="MD98" s="12"/>
      <c r="ME98" s="12"/>
      <c r="MF98" s="12"/>
      <c r="MG98" s="12"/>
      <c r="MH98" s="12"/>
      <c r="MI98" s="12"/>
      <c r="MJ98" s="12"/>
      <c r="MN98" s="9"/>
      <c r="MR98" s="12"/>
      <c r="MS98" s="12"/>
      <c r="MT98" s="12"/>
      <c r="MU98" s="12"/>
      <c r="MV98" s="12"/>
      <c r="MW98" s="12"/>
      <c r="MX98" s="12"/>
      <c r="MY98" s="12"/>
      <c r="MZ98" s="12"/>
      <c r="ND98" s="9"/>
      <c r="NH98" s="12"/>
      <c r="NI98" s="12"/>
      <c r="NJ98" s="12"/>
      <c r="NK98" s="12"/>
      <c r="NL98" s="12"/>
      <c r="NM98" s="12"/>
      <c r="NN98" s="12"/>
      <c r="NO98" s="12"/>
      <c r="NP98" s="12"/>
      <c r="NT98" s="9"/>
      <c r="NX98" s="12"/>
      <c r="NY98" s="12"/>
      <c r="NZ98" s="12"/>
      <c r="OA98" s="12"/>
      <c r="OB98" s="12"/>
      <c r="OC98" s="12"/>
      <c r="OD98" s="12"/>
      <c r="OE98" s="12"/>
      <c r="OF98" s="12"/>
      <c r="OJ98" s="9"/>
    </row>
    <row r="99" spans="1:499" x14ac:dyDescent="0.2">
      <c r="B99" s="12"/>
      <c r="P99" s="12"/>
      <c r="Q99" s="12"/>
      <c r="R99" s="12"/>
      <c r="S99" s="12"/>
      <c r="T99" s="12"/>
      <c r="U99" s="12"/>
      <c r="V99" s="12"/>
      <c r="W99" s="12"/>
      <c r="X99" s="12"/>
      <c r="AH99" s="12"/>
      <c r="AI99" s="12"/>
      <c r="AJ99" s="12"/>
      <c r="AK99" s="12"/>
      <c r="AL99" s="12"/>
      <c r="AM99" s="12"/>
      <c r="AN99" s="12"/>
      <c r="AO99" s="12"/>
      <c r="AP99" s="12"/>
      <c r="AZ99" s="12"/>
      <c r="BA99" s="12"/>
      <c r="BB99" s="12"/>
      <c r="BC99" s="12"/>
      <c r="BD99" s="12"/>
      <c r="BE99" s="12"/>
      <c r="BF99" s="12"/>
      <c r="BG99" s="12"/>
      <c r="BH99" s="12"/>
      <c r="BL99" s="9"/>
      <c r="BP99" s="12"/>
      <c r="BQ99" s="12"/>
      <c r="BR99" s="12"/>
      <c r="BS99" s="12"/>
      <c r="BT99" s="12"/>
      <c r="BU99" s="12"/>
      <c r="BV99" s="12"/>
      <c r="BW99" s="12"/>
      <c r="BX99" s="12"/>
      <c r="CB99" s="9"/>
      <c r="CF99" s="12"/>
      <c r="CG99" s="12"/>
      <c r="CH99" s="12"/>
      <c r="CI99" s="12"/>
      <c r="CJ99" s="12"/>
      <c r="CK99" s="12"/>
      <c r="CL99" s="12"/>
      <c r="CM99" s="12"/>
      <c r="CN99" s="12"/>
      <c r="CR99" s="9"/>
      <c r="CV99" s="12"/>
      <c r="CW99" s="12"/>
      <c r="CX99" s="12"/>
      <c r="CY99" s="12"/>
      <c r="CZ99" s="12"/>
      <c r="DA99" s="12"/>
      <c r="DB99" s="12"/>
      <c r="DC99" s="12"/>
      <c r="DD99" s="12"/>
      <c r="DH99" s="9"/>
      <c r="DL99" s="12"/>
      <c r="DM99" s="12"/>
      <c r="DN99" s="12"/>
      <c r="DO99" s="12"/>
      <c r="DP99" s="12"/>
      <c r="DQ99" s="12"/>
      <c r="DR99" s="12"/>
      <c r="DS99" s="12"/>
      <c r="DT99" s="12"/>
      <c r="DX99" s="9"/>
      <c r="EB99" s="12"/>
      <c r="EC99" s="12"/>
      <c r="ED99" s="12"/>
      <c r="EE99" s="12"/>
      <c r="EF99" s="12"/>
      <c r="EG99" s="12"/>
      <c r="EH99" s="12"/>
      <c r="EI99" s="12"/>
      <c r="EJ99" s="12"/>
      <c r="EN99" s="9"/>
      <c r="ER99" s="12"/>
      <c r="ES99" s="12"/>
      <c r="ET99" s="12"/>
      <c r="EU99" s="12"/>
      <c r="EV99" s="12"/>
      <c r="EW99" s="12"/>
      <c r="EX99" s="12"/>
      <c r="EY99" s="12"/>
      <c r="EZ99" s="12"/>
      <c r="FD99" s="9"/>
      <c r="FH99" s="12"/>
      <c r="FI99" s="12"/>
      <c r="FJ99" s="12"/>
      <c r="FK99" s="12"/>
      <c r="FL99" s="12"/>
      <c r="FM99" s="12"/>
      <c r="FN99" s="12"/>
      <c r="FO99" s="12"/>
      <c r="FP99" s="12"/>
      <c r="FT99" s="9"/>
      <c r="FX99" s="12"/>
      <c r="FY99" s="12"/>
      <c r="FZ99" s="12"/>
      <c r="GA99" s="12"/>
      <c r="GB99" s="12"/>
      <c r="GC99" s="12"/>
      <c r="GD99" s="12"/>
      <c r="GE99" s="12"/>
      <c r="GF99" s="12"/>
      <c r="GJ99" s="9"/>
      <c r="GN99" s="12"/>
      <c r="GO99" s="12"/>
      <c r="GP99" s="12"/>
      <c r="GQ99" s="12"/>
      <c r="GR99" s="12"/>
      <c r="GS99" s="12"/>
      <c r="GT99" s="12"/>
      <c r="GU99" s="12"/>
      <c r="GV99" s="12"/>
      <c r="GZ99" s="9"/>
      <c r="HD99" s="12"/>
      <c r="HE99" s="12"/>
      <c r="HF99" s="12"/>
      <c r="HG99" s="12"/>
      <c r="HH99" s="12"/>
      <c r="HI99" s="12"/>
      <c r="HJ99" s="12"/>
      <c r="HK99" s="12"/>
      <c r="HL99" s="12"/>
      <c r="HP99" s="9"/>
      <c r="HT99" s="12"/>
      <c r="HU99" s="12"/>
      <c r="HV99" s="12"/>
      <c r="HW99" s="12"/>
      <c r="HX99" s="12"/>
      <c r="HY99" s="12"/>
      <c r="HZ99" s="12"/>
      <c r="IA99" s="12"/>
      <c r="IB99" s="12"/>
      <c r="IF99" s="9"/>
      <c r="IJ99" s="12"/>
      <c r="IK99" s="12"/>
      <c r="IL99" s="12"/>
      <c r="IM99" s="12"/>
      <c r="IN99" s="12"/>
      <c r="IO99" s="12"/>
      <c r="IP99" s="12"/>
      <c r="IQ99" s="12"/>
      <c r="IR99" s="12"/>
      <c r="IV99" s="9"/>
      <c r="IZ99" s="12"/>
      <c r="JA99" s="12"/>
      <c r="JB99" s="12"/>
      <c r="JC99" s="12"/>
      <c r="JD99" s="12"/>
      <c r="JE99" s="12"/>
      <c r="JF99" s="12"/>
      <c r="JG99" s="12"/>
      <c r="JH99" s="12"/>
      <c r="JL99" s="9"/>
      <c r="JP99" s="12"/>
      <c r="JQ99" s="12"/>
      <c r="JR99" s="12"/>
      <c r="JS99" s="12"/>
      <c r="JT99" s="12"/>
      <c r="JU99" s="12"/>
      <c r="JV99" s="12"/>
      <c r="JW99" s="12"/>
      <c r="JX99" s="12"/>
      <c r="KB99" s="9"/>
      <c r="KF99" s="12"/>
      <c r="KG99" s="12"/>
      <c r="KH99" s="12"/>
      <c r="KI99" s="12"/>
      <c r="KJ99" s="12"/>
      <c r="KK99" s="12"/>
      <c r="KL99" s="12"/>
      <c r="KM99" s="12"/>
      <c r="KN99" s="12"/>
      <c r="KR99" s="9"/>
      <c r="KV99" s="12"/>
      <c r="KW99" s="12"/>
      <c r="KX99" s="12"/>
      <c r="KY99" s="12"/>
      <c r="KZ99" s="12"/>
      <c r="LA99" s="12"/>
      <c r="LB99" s="12"/>
      <c r="LC99" s="12"/>
      <c r="LD99" s="12"/>
      <c r="LH99" s="9"/>
      <c r="LL99" s="12"/>
      <c r="LM99" s="12"/>
      <c r="LN99" s="12"/>
      <c r="LO99" s="12"/>
      <c r="LP99" s="12"/>
      <c r="LQ99" s="12"/>
      <c r="LR99" s="12"/>
      <c r="LS99" s="12"/>
      <c r="LT99" s="12"/>
      <c r="LX99" s="9"/>
      <c r="MB99" s="12"/>
      <c r="MC99" s="12"/>
      <c r="MD99" s="12"/>
      <c r="ME99" s="12"/>
      <c r="MF99" s="12"/>
      <c r="MG99" s="12"/>
      <c r="MH99" s="12"/>
      <c r="MI99" s="12"/>
      <c r="MJ99" s="12"/>
      <c r="MN99" s="9"/>
      <c r="MR99" s="12"/>
      <c r="MS99" s="12"/>
      <c r="MT99" s="12"/>
      <c r="MU99" s="12"/>
      <c r="MV99" s="12"/>
      <c r="MW99" s="12"/>
      <c r="MX99" s="12"/>
      <c r="MY99" s="12"/>
      <c r="MZ99" s="12"/>
      <c r="ND99" s="9"/>
      <c r="NH99" s="12"/>
      <c r="NI99" s="12"/>
      <c r="NJ99" s="12"/>
      <c r="NK99" s="12"/>
      <c r="NL99" s="12"/>
      <c r="NM99" s="12"/>
      <c r="NN99" s="12"/>
      <c r="NO99" s="12"/>
      <c r="NP99" s="12"/>
      <c r="NT99" s="9"/>
      <c r="NX99" s="12"/>
      <c r="NY99" s="12"/>
      <c r="NZ99" s="12"/>
      <c r="OA99" s="12"/>
      <c r="OB99" s="12"/>
      <c r="OC99" s="12"/>
      <c r="OD99" s="12"/>
      <c r="OE99" s="12"/>
      <c r="OF99" s="12"/>
      <c r="OJ99" s="9"/>
    </row>
    <row r="100" spans="1:499" x14ac:dyDescent="0.2">
      <c r="B100" s="12"/>
      <c r="P100" s="12"/>
      <c r="Q100" s="12"/>
      <c r="R100" s="12"/>
      <c r="S100" s="12"/>
      <c r="T100" s="12"/>
      <c r="U100" s="12"/>
      <c r="V100" s="12"/>
      <c r="W100" s="12"/>
      <c r="X100" s="12"/>
      <c r="AH100" s="12"/>
      <c r="AI100" s="12"/>
      <c r="AJ100" s="12"/>
      <c r="AK100" s="12"/>
      <c r="AL100" s="12"/>
      <c r="AM100" s="12"/>
      <c r="AN100" s="12"/>
      <c r="AO100" s="12"/>
      <c r="AP100" s="12"/>
      <c r="AZ100" s="12"/>
      <c r="BA100" s="12"/>
      <c r="BB100" s="12"/>
      <c r="BC100" s="12"/>
      <c r="BD100" s="12"/>
      <c r="BE100" s="12"/>
      <c r="BF100" s="12"/>
      <c r="BG100" s="12"/>
      <c r="BH100" s="12"/>
      <c r="BL100" s="9"/>
      <c r="BP100" s="12"/>
      <c r="BQ100" s="12"/>
      <c r="BR100" s="12"/>
      <c r="BS100" s="12"/>
      <c r="BT100" s="12"/>
      <c r="BU100" s="12"/>
      <c r="BV100" s="12"/>
      <c r="BW100" s="12"/>
      <c r="BX100" s="12"/>
      <c r="CB100" s="9"/>
      <c r="CF100" s="12"/>
      <c r="CG100" s="12"/>
      <c r="CH100" s="12"/>
      <c r="CI100" s="12"/>
      <c r="CJ100" s="12"/>
      <c r="CK100" s="12"/>
      <c r="CL100" s="12"/>
      <c r="CM100" s="12"/>
      <c r="CN100" s="12"/>
      <c r="CR100" s="9"/>
      <c r="CV100" s="12"/>
      <c r="CW100" s="12"/>
      <c r="CX100" s="12"/>
      <c r="CY100" s="12"/>
      <c r="CZ100" s="12"/>
      <c r="DA100" s="12"/>
      <c r="DB100" s="12"/>
      <c r="DC100" s="12"/>
      <c r="DD100" s="12"/>
      <c r="DH100" s="9"/>
      <c r="DL100" s="12"/>
      <c r="DM100" s="12"/>
      <c r="DN100" s="12"/>
      <c r="DO100" s="12"/>
      <c r="DP100" s="12"/>
      <c r="DQ100" s="12"/>
      <c r="DR100" s="12"/>
      <c r="DS100" s="12"/>
      <c r="DT100" s="12"/>
      <c r="DX100" s="9"/>
      <c r="EB100" s="12"/>
      <c r="EC100" s="12"/>
      <c r="ED100" s="12"/>
      <c r="EE100" s="12"/>
      <c r="EF100" s="12"/>
      <c r="EG100" s="12"/>
      <c r="EH100" s="12"/>
      <c r="EI100" s="12"/>
      <c r="EJ100" s="12"/>
      <c r="EN100" s="9"/>
      <c r="ER100" s="12"/>
      <c r="ES100" s="12"/>
      <c r="ET100" s="12"/>
      <c r="EU100" s="12"/>
      <c r="EV100" s="12"/>
      <c r="EW100" s="12"/>
      <c r="EX100" s="12"/>
      <c r="EY100" s="12"/>
      <c r="EZ100" s="12"/>
      <c r="FD100" s="9"/>
      <c r="FH100" s="12"/>
      <c r="FI100" s="12"/>
      <c r="FJ100" s="12"/>
      <c r="FK100" s="12"/>
      <c r="FL100" s="12"/>
      <c r="FM100" s="12"/>
      <c r="FN100" s="12"/>
      <c r="FO100" s="12"/>
      <c r="FP100" s="12"/>
      <c r="FT100" s="9"/>
      <c r="FX100" s="12"/>
      <c r="FY100" s="12"/>
      <c r="FZ100" s="12"/>
      <c r="GA100" s="12"/>
      <c r="GB100" s="12"/>
      <c r="GC100" s="12"/>
      <c r="GD100" s="12"/>
      <c r="GE100" s="12"/>
      <c r="GF100" s="12"/>
      <c r="GJ100" s="9"/>
      <c r="GN100" s="12"/>
      <c r="GO100" s="12"/>
      <c r="GP100" s="12"/>
      <c r="GQ100" s="12"/>
      <c r="GR100" s="12"/>
      <c r="GS100" s="12"/>
      <c r="GT100" s="12"/>
      <c r="GU100" s="12"/>
      <c r="GV100" s="12"/>
      <c r="GZ100" s="9"/>
      <c r="HD100" s="12"/>
      <c r="HE100" s="12"/>
      <c r="HF100" s="12"/>
      <c r="HG100" s="12"/>
      <c r="HH100" s="12"/>
      <c r="HI100" s="12"/>
      <c r="HJ100" s="12"/>
      <c r="HK100" s="12"/>
      <c r="HL100" s="12"/>
      <c r="HP100" s="9"/>
      <c r="HT100" s="12"/>
      <c r="HU100" s="12"/>
      <c r="HV100" s="12"/>
      <c r="HW100" s="12"/>
      <c r="HX100" s="12"/>
      <c r="HY100" s="12"/>
      <c r="HZ100" s="12"/>
      <c r="IA100" s="12"/>
      <c r="IB100" s="12"/>
      <c r="IF100" s="9"/>
      <c r="IJ100" s="12"/>
      <c r="IK100" s="12"/>
      <c r="IL100" s="12"/>
      <c r="IM100" s="12"/>
      <c r="IN100" s="12"/>
      <c r="IO100" s="12"/>
      <c r="IP100" s="12"/>
      <c r="IQ100" s="12"/>
      <c r="IR100" s="12"/>
      <c r="IV100" s="9"/>
      <c r="IZ100" s="12"/>
      <c r="JA100" s="12"/>
      <c r="JB100" s="12"/>
      <c r="JC100" s="12"/>
      <c r="JD100" s="12"/>
      <c r="JE100" s="12"/>
      <c r="JF100" s="12"/>
      <c r="JG100" s="12"/>
      <c r="JH100" s="12"/>
      <c r="JL100" s="9"/>
      <c r="JP100" s="12"/>
      <c r="JQ100" s="12"/>
      <c r="JR100" s="12"/>
      <c r="JS100" s="12"/>
      <c r="JT100" s="12"/>
      <c r="JU100" s="12"/>
      <c r="JV100" s="12"/>
      <c r="JW100" s="12"/>
      <c r="JX100" s="12"/>
      <c r="KB100" s="9"/>
      <c r="KF100" s="12"/>
      <c r="KG100" s="12"/>
      <c r="KH100" s="12"/>
      <c r="KI100" s="12"/>
      <c r="KJ100" s="12"/>
      <c r="KK100" s="12"/>
      <c r="KL100" s="12"/>
      <c r="KM100" s="12"/>
      <c r="KN100" s="12"/>
      <c r="KR100" s="9"/>
      <c r="KV100" s="12"/>
      <c r="KW100" s="12"/>
      <c r="KX100" s="12"/>
      <c r="KY100" s="12"/>
      <c r="KZ100" s="12"/>
      <c r="LA100" s="12"/>
      <c r="LB100" s="12"/>
      <c r="LC100" s="12"/>
      <c r="LD100" s="12"/>
      <c r="LH100" s="9"/>
      <c r="LL100" s="12"/>
      <c r="LM100" s="12"/>
      <c r="LN100" s="12"/>
      <c r="LO100" s="12"/>
      <c r="LP100" s="12"/>
      <c r="LQ100" s="12"/>
      <c r="LR100" s="12"/>
      <c r="LS100" s="12"/>
      <c r="LT100" s="12"/>
      <c r="LX100" s="9"/>
      <c r="MB100" s="12"/>
      <c r="MC100" s="12"/>
      <c r="MD100" s="12"/>
      <c r="ME100" s="12"/>
      <c r="MF100" s="12"/>
      <c r="MG100" s="12"/>
      <c r="MH100" s="12"/>
      <c r="MI100" s="12"/>
      <c r="MJ100" s="12"/>
      <c r="MN100" s="9"/>
      <c r="MR100" s="12"/>
      <c r="MS100" s="12"/>
      <c r="MT100" s="12"/>
      <c r="MU100" s="12"/>
      <c r="MV100" s="12"/>
      <c r="MW100" s="12"/>
      <c r="MX100" s="12"/>
      <c r="MY100" s="12"/>
      <c r="MZ100" s="12"/>
      <c r="ND100" s="9"/>
      <c r="NH100" s="12"/>
      <c r="NI100" s="12"/>
      <c r="NJ100" s="12"/>
      <c r="NK100" s="12"/>
      <c r="NL100" s="12"/>
      <c r="NM100" s="12"/>
      <c r="NN100" s="12"/>
      <c r="NO100" s="12"/>
      <c r="NP100" s="12"/>
      <c r="NT100" s="9"/>
      <c r="NX100" s="12"/>
      <c r="NY100" s="12"/>
      <c r="NZ100" s="12"/>
      <c r="OA100" s="12"/>
      <c r="OB100" s="12"/>
      <c r="OC100" s="12"/>
      <c r="OD100" s="12"/>
      <c r="OE100" s="12"/>
      <c r="OF100" s="12"/>
      <c r="OJ100" s="9"/>
    </row>
    <row r="101" spans="1:499" x14ac:dyDescent="0.2">
      <c r="A101" s="5" t="s">
        <v>53</v>
      </c>
      <c r="B101" s="12"/>
      <c r="P101" s="12"/>
      <c r="Q101" s="12"/>
      <c r="R101" s="12"/>
      <c r="S101" s="12"/>
      <c r="T101" s="12"/>
      <c r="U101" s="12"/>
      <c r="V101" s="12"/>
      <c r="W101" s="12"/>
      <c r="X101" s="12"/>
      <c r="AH101" s="12"/>
      <c r="AI101" s="12"/>
      <c r="AJ101" s="12"/>
      <c r="AK101" s="12"/>
      <c r="AL101" s="12"/>
      <c r="AM101" s="12"/>
      <c r="AN101" s="12"/>
      <c r="AO101" s="12"/>
      <c r="AP101" s="12"/>
      <c r="AZ101" s="12"/>
      <c r="BA101" s="12"/>
      <c r="BB101" s="12"/>
      <c r="BC101" s="12"/>
      <c r="BD101" s="12"/>
      <c r="BE101" s="12"/>
      <c r="BF101" s="12"/>
      <c r="BG101" s="12"/>
      <c r="BH101" s="12"/>
      <c r="BL101" s="9"/>
      <c r="BP101" s="12"/>
      <c r="BQ101" s="12"/>
      <c r="BR101" s="12"/>
      <c r="BS101" s="12"/>
      <c r="BT101" s="12"/>
      <c r="BU101" s="12"/>
      <c r="BV101" s="12"/>
      <c r="BW101" s="12"/>
      <c r="BX101" s="12"/>
      <c r="CB101" s="9"/>
      <c r="CF101" s="12"/>
      <c r="CG101" s="12"/>
      <c r="CH101" s="12"/>
      <c r="CI101" s="12"/>
      <c r="CJ101" s="12"/>
      <c r="CK101" s="12"/>
      <c r="CL101" s="12"/>
      <c r="CM101" s="12"/>
      <c r="CN101" s="12"/>
      <c r="CR101" s="9"/>
      <c r="CV101" s="12"/>
      <c r="CW101" s="12"/>
      <c r="CX101" s="12"/>
      <c r="CY101" s="12"/>
      <c r="CZ101" s="12"/>
      <c r="DA101" s="12"/>
      <c r="DB101" s="12"/>
      <c r="DC101" s="12"/>
      <c r="DD101" s="12"/>
      <c r="DH101" s="9"/>
      <c r="DL101" s="12"/>
      <c r="DM101" s="12"/>
      <c r="DN101" s="12"/>
      <c r="DO101" s="12"/>
      <c r="DP101" s="12"/>
      <c r="DQ101" s="12"/>
      <c r="DR101" s="12"/>
      <c r="DS101" s="12"/>
      <c r="DT101" s="12"/>
      <c r="DX101" s="9"/>
      <c r="EB101" s="12"/>
      <c r="EC101" s="12"/>
      <c r="ED101" s="12"/>
      <c r="EE101" s="12"/>
      <c r="EF101" s="12"/>
      <c r="EG101" s="12"/>
      <c r="EH101" s="12"/>
      <c r="EI101" s="12"/>
      <c r="EJ101" s="12"/>
      <c r="EN101" s="9"/>
      <c r="ER101" s="12"/>
      <c r="ES101" s="12"/>
      <c r="ET101" s="12"/>
      <c r="EU101" s="12"/>
      <c r="EV101" s="12"/>
      <c r="EW101" s="12"/>
      <c r="EX101" s="12"/>
      <c r="EY101" s="12"/>
      <c r="EZ101" s="12"/>
      <c r="FD101" s="9"/>
      <c r="FH101" s="12"/>
      <c r="FI101" s="12"/>
      <c r="FJ101" s="12"/>
      <c r="FK101" s="12"/>
      <c r="FL101" s="12"/>
      <c r="FM101" s="12"/>
      <c r="FN101" s="12"/>
      <c r="FO101" s="12"/>
      <c r="FP101" s="12"/>
      <c r="FT101" s="9"/>
      <c r="FX101" s="12"/>
      <c r="FY101" s="12"/>
      <c r="FZ101" s="12"/>
      <c r="GA101" s="12"/>
      <c r="GB101" s="12"/>
      <c r="GC101" s="12"/>
      <c r="GD101" s="12"/>
      <c r="GE101" s="12"/>
      <c r="GF101" s="12"/>
      <c r="GJ101" s="9"/>
      <c r="GN101" s="12"/>
      <c r="GO101" s="12"/>
      <c r="GP101" s="12"/>
      <c r="GQ101" s="12"/>
      <c r="GR101" s="12"/>
      <c r="GS101" s="12"/>
      <c r="GT101" s="12"/>
      <c r="GU101" s="12"/>
      <c r="GV101" s="12"/>
      <c r="GZ101" s="9"/>
      <c r="HD101" s="12"/>
      <c r="HE101" s="12"/>
      <c r="HF101" s="12"/>
      <c r="HG101" s="12"/>
      <c r="HH101" s="12"/>
      <c r="HI101" s="12"/>
      <c r="HJ101" s="12"/>
      <c r="HK101" s="12"/>
      <c r="HL101" s="12"/>
      <c r="HP101" s="9"/>
      <c r="HT101" s="12"/>
      <c r="HU101" s="12"/>
      <c r="HV101" s="12"/>
      <c r="HW101" s="12"/>
      <c r="HX101" s="12"/>
      <c r="HY101" s="12"/>
      <c r="HZ101" s="12"/>
      <c r="IA101" s="12"/>
      <c r="IB101" s="12"/>
      <c r="IF101" s="9"/>
      <c r="IJ101" s="12"/>
      <c r="IK101" s="12"/>
      <c r="IL101" s="12"/>
      <c r="IM101" s="12"/>
      <c r="IN101" s="12"/>
      <c r="IO101" s="12"/>
      <c r="IP101" s="12"/>
      <c r="IQ101" s="12"/>
      <c r="IR101" s="12"/>
      <c r="IV101" s="9"/>
      <c r="IZ101" s="12"/>
      <c r="JA101" s="12"/>
      <c r="JB101" s="12"/>
      <c r="JC101" s="12"/>
      <c r="JD101" s="12"/>
      <c r="JE101" s="12"/>
      <c r="JF101" s="12"/>
      <c r="JG101" s="12"/>
      <c r="JH101" s="12"/>
      <c r="JL101" s="9"/>
      <c r="JP101" s="12"/>
      <c r="JQ101" s="12"/>
      <c r="JR101" s="12"/>
      <c r="JS101" s="12"/>
      <c r="JT101" s="12"/>
      <c r="JU101" s="12"/>
      <c r="JV101" s="12"/>
      <c r="JW101" s="12"/>
      <c r="JX101" s="12"/>
      <c r="KB101" s="9"/>
      <c r="KF101" s="12"/>
      <c r="KG101" s="12"/>
      <c r="KH101" s="12"/>
      <c r="KI101" s="12"/>
      <c r="KJ101" s="12"/>
      <c r="KK101" s="12"/>
      <c r="KL101" s="12"/>
      <c r="KM101" s="12"/>
      <c r="KN101" s="12"/>
      <c r="KR101" s="9"/>
      <c r="KV101" s="12"/>
      <c r="KW101" s="12"/>
      <c r="KX101" s="12"/>
      <c r="KY101" s="12"/>
      <c r="KZ101" s="12"/>
      <c r="LA101" s="12"/>
      <c r="LB101" s="12"/>
      <c r="LC101" s="12"/>
      <c r="LD101" s="12"/>
      <c r="LH101" s="9"/>
      <c r="LL101" s="12"/>
      <c r="LM101" s="12"/>
      <c r="LN101" s="12"/>
      <c r="LO101" s="12"/>
      <c r="LP101" s="12"/>
      <c r="LQ101" s="12"/>
      <c r="LR101" s="12"/>
      <c r="LS101" s="12"/>
      <c r="LT101" s="12"/>
      <c r="LX101" s="9"/>
      <c r="MB101" s="12"/>
      <c r="MC101" s="12"/>
      <c r="MD101" s="12"/>
      <c r="ME101" s="12"/>
      <c r="MF101" s="12"/>
      <c r="MG101" s="12"/>
      <c r="MH101" s="12"/>
      <c r="MI101" s="12"/>
      <c r="MJ101" s="12"/>
      <c r="MN101" s="9"/>
      <c r="MR101" s="12"/>
      <c r="MS101" s="12"/>
      <c r="MT101" s="12"/>
      <c r="MU101" s="12"/>
      <c r="MV101" s="12"/>
      <c r="MW101" s="12"/>
      <c r="MX101" s="12"/>
      <c r="MY101" s="12"/>
      <c r="MZ101" s="12"/>
      <c r="ND101" s="9"/>
      <c r="NH101" s="12"/>
      <c r="NI101" s="12"/>
      <c r="NJ101" s="12"/>
      <c r="NK101" s="12"/>
      <c r="NL101" s="12"/>
      <c r="NM101" s="12"/>
      <c r="NN101" s="12"/>
      <c r="NO101" s="12"/>
      <c r="NP101" s="12"/>
      <c r="NT101" s="9"/>
      <c r="NX101" s="12"/>
      <c r="NY101" s="12"/>
      <c r="NZ101" s="12"/>
      <c r="OA101" s="12"/>
      <c r="OB101" s="12"/>
      <c r="OC101" s="12"/>
      <c r="OD101" s="12"/>
      <c r="OE101" s="12"/>
      <c r="OF101" s="12"/>
      <c r="OJ101" s="9"/>
    </row>
    <row r="102" spans="1:499" x14ac:dyDescent="0.2">
      <c r="A102" t="s">
        <v>57</v>
      </c>
      <c r="B102" s="12">
        <f t="shared" ref="B102:J104" si="514">P102+AH102+AZ102+BP102+CF102+CV102+DL102+EB102+ER102+FH102+FX102+GN102+HD102+HT102+IJ102+IZ102+JP102+KF102+KV102+LL102+MB102+MR102+NH102+NX102</f>
        <v>0</v>
      </c>
      <c r="C102" s="12">
        <f t="shared" si="514"/>
        <v>0</v>
      </c>
      <c r="D102" s="12">
        <f t="shared" si="514"/>
        <v>0</v>
      </c>
      <c r="E102" s="12">
        <f t="shared" si="514"/>
        <v>0</v>
      </c>
      <c r="F102" s="12">
        <f t="shared" si="514"/>
        <v>0</v>
      </c>
      <c r="G102" s="12">
        <f t="shared" si="514"/>
        <v>0</v>
      </c>
      <c r="H102" s="12">
        <f t="shared" si="514"/>
        <v>0</v>
      </c>
      <c r="I102" s="12">
        <f t="shared" si="514"/>
        <v>0</v>
      </c>
      <c r="J102" s="12">
        <f t="shared" si="514"/>
        <v>0</v>
      </c>
      <c r="P102" s="12" cm="1">
        <f t="array" ref="P102">_xlfn.SWITCH(P$4, 0,0, 1, AA102,2,AC102,3,AE102,0)</f>
        <v>0</v>
      </c>
      <c r="Q102" s="12" cm="1">
        <f t="array" ref="Q102">_xlfn.SWITCH(Q$4, 0,0, 1, AA102,2,AC102,3,AE102,0)+P102</f>
        <v>0</v>
      </c>
      <c r="R102" s="12" cm="1">
        <f t="array" ref="R102">_xlfn.SWITCH(R$4, 0,0, 1, AA102,2,AC102,3,AE102,0)+Q102</f>
        <v>0</v>
      </c>
      <c r="S102" s="12" cm="1">
        <f t="array" ref="S102">_xlfn.SWITCH(S$4, 0,0, 1, AA102,2,AC102,3,AE102,0)+R102</f>
        <v>0</v>
      </c>
      <c r="T102" s="12" cm="1">
        <f t="array" ref="T102">_xlfn.SWITCH(T$4, 0,0, 1, AA102,2,AC102,3,AE102,0)+S102</f>
        <v>0</v>
      </c>
      <c r="U102" s="12" cm="1">
        <f t="array" ref="U102">_xlfn.SWITCH(U$4, 0,0, 1, AA102,2,AC102,3,AE102,0)+T102</f>
        <v>0</v>
      </c>
      <c r="V102" s="12" cm="1">
        <f t="array" ref="V102">_xlfn.SWITCH(V$4, 0,0, 1, AA102,2,AC102,3,AE102,0)+U102</f>
        <v>0</v>
      </c>
      <c r="W102" s="12" cm="1">
        <f t="array" ref="W102">_xlfn.SWITCH(W$4, 0,0, 1, AA102,2,AC102,3,AE102,0)+V102</f>
        <v>0</v>
      </c>
      <c r="X102" s="12" cm="1">
        <f t="array" ref="X102">_xlfn.SWITCH(X$4, 0,0, 1, AA102,2,AC102,3,AE102,0)+W102</f>
        <v>0</v>
      </c>
      <c r="Z102" t="s">
        <v>1304</v>
      </c>
      <c r="AA102">
        <f>_xlfn.XLOOKUP(Z102,'KPI Impacts'!$K$2:$Q$2,'KPI Impacts'!$K102:$Q102)</f>
        <v>0</v>
      </c>
      <c r="AB102" t="s">
        <v>1304</v>
      </c>
      <c r="AC102">
        <f>_xlfn.XLOOKUP(AB102,'KPI Impacts'!$K$2:$Q$2,'KPI Impacts'!$K102:$Q102)</f>
        <v>0</v>
      </c>
      <c r="AD102" t="s">
        <v>1304</v>
      </c>
      <c r="AE102">
        <f>_xlfn.XLOOKUP(AD102,'KPI Impacts'!$K$2:$Q$2,'KPI Impacts'!$K102:$Q102)</f>
        <v>0</v>
      </c>
      <c r="AH102" s="12" cm="1">
        <f t="array" ref="AH102">_xlfn.SWITCH(AH$4, 0,0, 1, AS102,2,AU102,3,AW102,0)</f>
        <v>0</v>
      </c>
      <c r="AI102" s="12" cm="1">
        <f t="array" ref="AI102">_xlfn.SWITCH(AI$4, 0,0, 1, AS102,2,AU102,3,AW102,0)+AH102</f>
        <v>0</v>
      </c>
      <c r="AJ102" s="12" cm="1">
        <f t="array" ref="AJ102">_xlfn.SWITCH(AJ$4, 0,0, 1, AS102,2,AU102,3,AW102,0)+AI102</f>
        <v>0</v>
      </c>
      <c r="AK102" s="12" cm="1">
        <f t="array" ref="AK102">_xlfn.SWITCH(AK$4, 0,0, 1, AS102,2,AU102,3,AW102,0)+AJ102</f>
        <v>0</v>
      </c>
      <c r="AL102" s="12" cm="1">
        <f t="array" ref="AL102">_xlfn.SWITCH(AL$4, 0,0, 1, AS102,2,AU102,3,AW102,0)+AK102</f>
        <v>0</v>
      </c>
      <c r="AM102" s="12" cm="1">
        <f t="array" ref="AM102">_xlfn.SWITCH(AM$4, 0,0, 1, AS102,2,AU102,3,AW102,0)+AL102</f>
        <v>0</v>
      </c>
      <c r="AN102" s="12" cm="1">
        <f t="array" ref="AN102">_xlfn.SWITCH(AN$4, 0,0, 1, AS102,2,AU102,3,AW102,0)+AM102</f>
        <v>0</v>
      </c>
      <c r="AO102" s="12" cm="1">
        <f t="array" ref="AO102">_xlfn.SWITCH(AO$4, 0,0, 1, AS102,2,AU102,3,AW102,0)+AN102</f>
        <v>0</v>
      </c>
      <c r="AP102" s="12" cm="1">
        <f t="array" ref="AP102">_xlfn.SWITCH(AP$4, 0,0, 1, AS102,2,AU102,3,AW102,0)+AO102</f>
        <v>0</v>
      </c>
      <c r="AR102" t="s">
        <v>1304</v>
      </c>
      <c r="AS102">
        <f>_xlfn.XLOOKUP(AR102,'KPI Impacts'!$K$2:$Q$2,'KPI Impacts'!$K102:$Q102)</f>
        <v>0</v>
      </c>
      <c r="AT102" t="s">
        <v>1304</v>
      </c>
      <c r="AU102">
        <f>_xlfn.XLOOKUP(AT102,'KPI Impacts'!$K$2:$Q$2,'KPI Impacts'!$K102:$Q102)</f>
        <v>0</v>
      </c>
      <c r="AV102" t="s">
        <v>1304</v>
      </c>
      <c r="AW102">
        <f>_xlfn.XLOOKUP(AV102,'KPI Impacts'!$K$2:$Q$2,'KPI Impacts'!$K102:$Q102)</f>
        <v>0</v>
      </c>
      <c r="AZ102" s="12">
        <f>AZ$4*BK102</f>
        <v>0</v>
      </c>
      <c r="BA102" s="12">
        <f>BA$4 * IF(AND(AZ$4=1,AZ$20=1), BM102, BK102)</f>
        <v>0</v>
      </c>
      <c r="BB102" s="12">
        <f>BB$4 * IF(AND(BA$4=1,AZ$20=1), BM102, BK102)</f>
        <v>0</v>
      </c>
      <c r="BC102" s="12">
        <f>BC$4 * IF(AND(BB$4=1,AZ$20=1), BM102, BK102)</f>
        <v>0</v>
      </c>
      <c r="BD102" s="12">
        <f>BD$4 * IF(AND(BC$4=1,AZ$20=1), BM102, BK102)</f>
        <v>0</v>
      </c>
      <c r="BE102" s="12">
        <f>BE$4 * IF(AND(BD$4=1,AZ$20=1), BM102, BK102)</f>
        <v>0</v>
      </c>
      <c r="BF102" s="12">
        <f>BF$4 * IF(AND(BE$4=1,AZ$20=1), BM102, BK102)</f>
        <v>0</v>
      </c>
      <c r="BG102" s="12">
        <f>BG$4 * IF(AND(BF$4=1,AZ$20=1), BM102, BK102)</f>
        <v>0</v>
      </c>
      <c r="BH102" s="12">
        <f>BH$4 * IF(AND(BG$4=1,AZ$20=1), BM102, BK102)</f>
        <v>0</v>
      </c>
      <c r="BJ102" t="s">
        <v>1304</v>
      </c>
      <c r="BK102">
        <f>_xlfn.XLOOKUP(BJ102,'KPI Impacts'!$B$2:$H$2,'KPI Impacts'!$B102:$H102)</f>
        <v>0</v>
      </c>
      <c r="BL102" s="9" t="s">
        <v>1304</v>
      </c>
      <c r="BM102">
        <f>_xlfn.XLOOKUP(BL102,'KPI Impacts'!$B$2:$H$2,'KPI Impacts'!$B102:$H102)</f>
        <v>0</v>
      </c>
      <c r="BP102" s="12">
        <f>BP$4*CA102</f>
        <v>0</v>
      </c>
      <c r="BQ102" s="12">
        <f>BQ$4 * IF(AND(BP$4=1,BP$20=1), CC102, CA102)</f>
        <v>0</v>
      </c>
      <c r="BR102" s="12">
        <f>BR$4 * IF(AND(BQ$4=1,BP$20=1), CC102, CA102)</f>
        <v>0</v>
      </c>
      <c r="BS102" s="12">
        <f>BS$4 * IF(AND(BR$4=1,BP$20=1), CC102, CA102)</f>
        <v>0</v>
      </c>
      <c r="BT102" s="12">
        <f>BT$4 * IF(AND(BS$4=1,BP$20=1), CC102, CA102)</f>
        <v>0</v>
      </c>
      <c r="BU102" s="12">
        <f>BU$4 * IF(AND(BT$4=1,BP$20=1), CC102, CA102)</f>
        <v>0</v>
      </c>
      <c r="BV102" s="12">
        <f>BV$4 * IF(AND(BU$4=1,BP$20=1), CC102, CA102)</f>
        <v>0</v>
      </c>
      <c r="BW102" s="12">
        <f>BW$4 * IF(AND(BV$4=1,BP$20=1), CC102, CA102)</f>
        <v>0</v>
      </c>
      <c r="BX102" s="12">
        <f>BX$4 * IF(AND(BW$4=1,BP$20=1), CC102, CA102)</f>
        <v>0</v>
      </c>
      <c r="BZ102" t="s">
        <v>1304</v>
      </c>
      <c r="CA102">
        <f>_xlfn.XLOOKUP(BZ102,'KPI Impacts'!$B$2:$H$2,'KPI Impacts'!$B102:$H102)</f>
        <v>0</v>
      </c>
      <c r="CB102" s="9" t="s">
        <v>1304</v>
      </c>
      <c r="CC102">
        <f>_xlfn.XLOOKUP(CB102,'KPI Impacts'!$B$2:$H$2,'KPI Impacts'!$B102:$H102)</f>
        <v>0</v>
      </c>
      <c r="CF102" s="12">
        <f>CF$4*CQ102</f>
        <v>0</v>
      </c>
      <c r="CG102" s="12">
        <f>CG$4 * IF(AND(CF$4=1,CF$20=1), CS102, CQ102)</f>
        <v>0</v>
      </c>
      <c r="CH102" s="12">
        <f>CH$4 * IF(AND(CG$4=1,CF$20=1), CS102, CQ102)</f>
        <v>0</v>
      </c>
      <c r="CI102" s="12">
        <f>CI$4 * IF(AND(CH$4=1,CF$20=1), CS102, CQ102)</f>
        <v>0</v>
      </c>
      <c r="CJ102" s="12">
        <f>CJ$4 * IF(AND(CI$4=1,CF$20=1), CS102, CQ102)</f>
        <v>0</v>
      </c>
      <c r="CK102" s="12">
        <f>CK$4 * IF(AND(CJ$4=1,CF$20=1), CS102, CQ102)</f>
        <v>0</v>
      </c>
      <c r="CL102" s="12">
        <f>CL$4 * IF(AND(CK$4=1,CF$20=1), CS102, CQ102)</f>
        <v>0</v>
      </c>
      <c r="CM102" s="12">
        <f>CM$4 * IF(AND(CL$4=1,CF$20=1), CS102, CQ102)</f>
        <v>0</v>
      </c>
      <c r="CN102" s="12">
        <f>CN$4 * IF(AND(CM$4=1,CF$20=1), CS102, CQ102)</f>
        <v>0</v>
      </c>
      <c r="CP102" t="s">
        <v>1304</v>
      </c>
      <c r="CQ102">
        <f>_xlfn.XLOOKUP(CP102,'KPI Impacts'!$B$2:$H$2,'KPI Impacts'!$B102:$H102)</f>
        <v>0</v>
      </c>
      <c r="CR102" s="9" t="s">
        <v>1304</v>
      </c>
      <c r="CS102">
        <f>_xlfn.XLOOKUP(CR102,'KPI Impacts'!$B$2:$H$2,'KPI Impacts'!$B102:$H102)</f>
        <v>0</v>
      </c>
      <c r="CV102" s="12">
        <f>CV$4*DG102</f>
        <v>0</v>
      </c>
      <c r="CW102" s="12">
        <f>CW$4 * IF(AND(CV$4=1,CV$20=1), DI102, DG102)</f>
        <v>0</v>
      </c>
      <c r="CX102" s="12">
        <f>CX$4 * IF(AND(CW$4=1,CV$20=1), DI102, DG102)</f>
        <v>0</v>
      </c>
      <c r="CY102" s="12">
        <f>CY$4 * IF(AND(CX$4=1,CV$20=1), DI102, DG102)</f>
        <v>0</v>
      </c>
      <c r="CZ102" s="12">
        <f>CZ$4 * IF(AND(CY$4=1,CV$20=1), DI102, DG102)</f>
        <v>0</v>
      </c>
      <c r="DA102" s="12">
        <f>DA$4 * IF(AND(CZ$4=1,CV$20=1), DI102, DG102)</f>
        <v>0</v>
      </c>
      <c r="DB102" s="12">
        <f>DB$4 * IF(AND(DA$4=1,CV$20=1), DI102, DG102)</f>
        <v>0</v>
      </c>
      <c r="DC102" s="12">
        <f>DC$4 * IF(AND(DB$4=1,CV$20=1), DI102, DG102)</f>
        <v>0</v>
      </c>
      <c r="DD102" s="12">
        <f>DD$4 * IF(AND(DC$4=1,CV$20=1), DI102, DG102)</f>
        <v>0</v>
      </c>
      <c r="DF102" t="s">
        <v>1304</v>
      </c>
      <c r="DG102">
        <f>_xlfn.XLOOKUP(DF102,'KPI Impacts'!$B$2:$H$2,'KPI Impacts'!$B102:$H102)</f>
        <v>0</v>
      </c>
      <c r="DH102" s="9" t="s">
        <v>1304</v>
      </c>
      <c r="DI102">
        <f>_xlfn.XLOOKUP(DH102,'KPI Impacts'!$B$2:$H$2,'KPI Impacts'!$B102:$H102)</f>
        <v>0</v>
      </c>
      <c r="DL102" s="12">
        <f>DL$4*DW102</f>
        <v>0</v>
      </c>
      <c r="DM102" s="12">
        <f>DM$4 * IF(AND(DL$4=1,DL$20=1), DY102, DW102)</f>
        <v>0</v>
      </c>
      <c r="DN102" s="12">
        <f>DN$4 * IF(AND(DM$4=1,DL$20=1), DY102, DW102)</f>
        <v>0</v>
      </c>
      <c r="DO102" s="12">
        <f>DO$4 * IF(AND(DN$4=1,DL$20=1), DY102, DW102)</f>
        <v>0</v>
      </c>
      <c r="DP102" s="12">
        <f>DP$4 * IF(AND(DO$4=1,DL$20=1), DY102, DW102)</f>
        <v>0</v>
      </c>
      <c r="DQ102" s="12">
        <f>DQ$4 * IF(AND(DP$4=1,DL$20=1), DY102, DW102)</f>
        <v>0</v>
      </c>
      <c r="DR102" s="12">
        <f>DR$4 * IF(AND(DQ$4=1,DL$20=1), DY102, DW102)</f>
        <v>0</v>
      </c>
      <c r="DS102" s="12">
        <f>DS$4 * IF(AND(DR$4=1,DL$20=1), DY102, DW102)</f>
        <v>0</v>
      </c>
      <c r="DT102" s="12">
        <f>DT$4 * IF(AND(DS$4=1,DL$20=1), DY102, DW102)</f>
        <v>0</v>
      </c>
      <c r="DV102" t="s">
        <v>1304</v>
      </c>
      <c r="DW102">
        <f>_xlfn.XLOOKUP(DV102,'KPI Impacts'!$B$2:$H$2,'KPI Impacts'!$B102:$H102)</f>
        <v>0</v>
      </c>
      <c r="DX102" s="9" t="s">
        <v>1304</v>
      </c>
      <c r="DY102">
        <f>_xlfn.XLOOKUP(DX102,'KPI Impacts'!$B$2:$H$2,'KPI Impacts'!$B102:$H102)</f>
        <v>0</v>
      </c>
      <c r="EB102" s="12">
        <f>EB$4*EM102</f>
        <v>0</v>
      </c>
      <c r="EC102" s="12">
        <f>EC$4 * IF(AND(EB$4=1,EB$20=1), EO102, EM102)</f>
        <v>0</v>
      </c>
      <c r="ED102" s="12">
        <f>ED$4 * IF(AND(EC$4=1,EB$20=1), EO102, EM102)</f>
        <v>0</v>
      </c>
      <c r="EE102" s="12">
        <f>EE$4 * IF(AND(ED$4=1,EB$20=1), EO102, EM102)</f>
        <v>0</v>
      </c>
      <c r="EF102" s="12">
        <f>EF$4 * IF(AND(EE$4=1,EB$20=1), EO102, EM102)</f>
        <v>0</v>
      </c>
      <c r="EG102" s="12">
        <f>EG$4 * IF(AND(EF$4=1,EB$20=1), EO102, EM102)</f>
        <v>0</v>
      </c>
      <c r="EH102" s="12">
        <f>EH$4 * IF(AND(EG$4=1,EB$20=1), EO102, EM102)</f>
        <v>0</v>
      </c>
      <c r="EI102" s="12">
        <f>EI$4 * IF(AND(EH$4=1,EB$20=1), EO102, EM102)</f>
        <v>0</v>
      </c>
      <c r="EJ102" s="12">
        <f>EJ$4 * IF(AND(EI$4=1,EB$20=1), EO102, EM102)</f>
        <v>0</v>
      </c>
      <c r="EL102" t="s">
        <v>1304</v>
      </c>
      <c r="EM102">
        <f>_xlfn.XLOOKUP(EL102,'KPI Impacts'!$B$2:$H$2,'KPI Impacts'!$B102:$H102)</f>
        <v>0</v>
      </c>
      <c r="EN102" s="9" t="s">
        <v>1304</v>
      </c>
      <c r="EO102">
        <f>_xlfn.XLOOKUP(EN102,'KPI Impacts'!$B$2:$H$2,'KPI Impacts'!$B102:$H102)</f>
        <v>0</v>
      </c>
      <c r="ER102" s="12">
        <f>ER$4*FC102</f>
        <v>0</v>
      </c>
      <c r="ES102" s="12">
        <f>ES$4 * IF(AND(ER$4=1,ER$20=1), FE102, FC102)</f>
        <v>0</v>
      </c>
      <c r="ET102" s="12">
        <f>ET$4 * IF(AND(ES$4=1,ER$20=1), FE102, FC102)</f>
        <v>0</v>
      </c>
      <c r="EU102" s="12">
        <f>EU$4 * IF(AND(ET$4=1,ER$20=1), FE102, FC102)</f>
        <v>0</v>
      </c>
      <c r="EV102" s="12">
        <f>EV$4 * IF(AND(EU$4=1,ER$20=1), FE102, FC102)</f>
        <v>0</v>
      </c>
      <c r="EW102" s="12">
        <f>EW$4 * IF(AND(EV$4=1,ER$20=1), FE102, FC102)</f>
        <v>0</v>
      </c>
      <c r="EX102" s="12">
        <f>EX$4 * IF(AND(EW$4=1,ER$20=1), FE102, FC102)</f>
        <v>0</v>
      </c>
      <c r="EY102" s="12">
        <f>EY$4 * IF(AND(EX$4=1,ER$20=1), FE102, FC102)</f>
        <v>0</v>
      </c>
      <c r="EZ102" s="12">
        <f>EZ$4 * IF(AND(EY$4=1,ER$20=1), FE102, FC102)</f>
        <v>0</v>
      </c>
      <c r="FB102" t="s">
        <v>1304</v>
      </c>
      <c r="FC102">
        <f>_xlfn.XLOOKUP(FB102,'KPI Impacts'!$B$2:$H$2,'KPI Impacts'!$B102:$H102)</f>
        <v>0</v>
      </c>
      <c r="FD102" s="9" t="s">
        <v>1304</v>
      </c>
      <c r="FE102">
        <f>_xlfn.XLOOKUP(FD102,'KPI Impacts'!$B$2:$H$2,'KPI Impacts'!$B102:$H102)</f>
        <v>0</v>
      </c>
      <c r="FH102" s="12">
        <f>FH$4*FS102</f>
        <v>0</v>
      </c>
      <c r="FI102" s="12">
        <f>FI$4 * IF(AND(FH$4=1,FH$20=1), FU102, FS102)</f>
        <v>0</v>
      </c>
      <c r="FJ102" s="12">
        <f>FJ$4 * IF(AND(FI$4=1,FH$20=1), FU102, FS102)</f>
        <v>0</v>
      </c>
      <c r="FK102" s="12">
        <f>FK$4 * IF(AND(FJ$4=1,FH$20=1), FU102, FS102)</f>
        <v>0</v>
      </c>
      <c r="FL102" s="12">
        <f>FL$4 * IF(AND(FK$4=1,FH$20=1), FU102, FS102)</f>
        <v>0</v>
      </c>
      <c r="FM102" s="12">
        <f>FM$4 * IF(AND(FL$4=1,FH$20=1), FU102, FS102)</f>
        <v>0</v>
      </c>
      <c r="FN102" s="12">
        <f>FN$4 * IF(AND(FM$4=1,FH$20=1), FU102, FS102)</f>
        <v>0</v>
      </c>
      <c r="FO102" s="12">
        <f>FO$4 * IF(AND(FN$4=1,FH$20=1), FU102, FS102)</f>
        <v>0</v>
      </c>
      <c r="FP102" s="12">
        <f>FP$4 * IF(AND(FO$4=1,FH$20=1), FU102, FS102)</f>
        <v>0</v>
      </c>
      <c r="FR102" t="s">
        <v>1304</v>
      </c>
      <c r="FS102">
        <f>_xlfn.XLOOKUP(FR102,'KPI Impacts'!$B$2:$H$2,'KPI Impacts'!$B102:$H102)</f>
        <v>0</v>
      </c>
      <c r="FT102" s="9" t="s">
        <v>1304</v>
      </c>
      <c r="FU102">
        <f>_xlfn.XLOOKUP(FT102,'KPI Impacts'!$B$2:$H$2,'KPI Impacts'!$B102:$H102)</f>
        <v>0</v>
      </c>
      <c r="FX102" s="12">
        <f>FX$4*GI102</f>
        <v>0</v>
      </c>
      <c r="FY102" s="12">
        <f>FY$4 * IF(AND(FX$4=1,FX$20=1), GK102, GI102)</f>
        <v>0</v>
      </c>
      <c r="FZ102" s="12">
        <f>FZ$4 * IF(AND(FY$4=1,FX$20=1), GK102, GI102)</f>
        <v>0</v>
      </c>
      <c r="GA102" s="12">
        <f>GA$4 * IF(AND(FZ$4=1,FX$20=1), GK102, GI102)</f>
        <v>0</v>
      </c>
      <c r="GB102" s="12">
        <f>GB$4 * IF(AND(GA$4=1,FX$20=1), GK102, GI102)</f>
        <v>0</v>
      </c>
      <c r="GC102" s="12">
        <f>GC$4 * IF(AND(GB$4=1,FX$20=1), GK102, GI102)</f>
        <v>0</v>
      </c>
      <c r="GD102" s="12">
        <f>GD$4 * IF(AND(GC$4=1,FX$20=1), GK102, GI102)</f>
        <v>0</v>
      </c>
      <c r="GE102" s="12">
        <f>GE$4 * IF(AND(GD$4=1,FX$20=1), GK102, GI102)</f>
        <v>0</v>
      </c>
      <c r="GF102" s="12">
        <f>GF$4 * IF(AND(GE$4=1,FX$20=1), GK102, GI102)</f>
        <v>0</v>
      </c>
      <c r="GH102" t="s">
        <v>1304</v>
      </c>
      <c r="GI102">
        <f>_xlfn.XLOOKUP(GH102,'KPI Impacts'!$B$2:$H$2,'KPI Impacts'!$B102:$H102)</f>
        <v>0</v>
      </c>
      <c r="GJ102" s="9" t="s">
        <v>1304</v>
      </c>
      <c r="GK102">
        <f>_xlfn.XLOOKUP(GJ102,'KPI Impacts'!$B$2:$H$2,'KPI Impacts'!$B102:$H102)</f>
        <v>0</v>
      </c>
      <c r="GN102" s="12">
        <f>GN$4*GY102</f>
        <v>0</v>
      </c>
      <c r="GO102" s="12">
        <f>GO$4 * IF(AND(GN$4=1,GN$20=1), HA102, GY102)</f>
        <v>0</v>
      </c>
      <c r="GP102" s="12">
        <f>GP$4 * IF(AND(GO$4=1,GN$20=1), HA102, GY102)</f>
        <v>0</v>
      </c>
      <c r="GQ102" s="12">
        <f>GQ$4 * IF(AND(GP$4=1,GN$20=1), HA102, GY102)</f>
        <v>0</v>
      </c>
      <c r="GR102" s="12">
        <f>GR$4 * IF(AND(GQ$4=1,GN$20=1), HA102, GY102)</f>
        <v>0</v>
      </c>
      <c r="GS102" s="12">
        <f>GS$4 * IF(AND(GR$4=1,GN$20=1), HA102, GY102)</f>
        <v>0</v>
      </c>
      <c r="GT102" s="12">
        <f>GT$4 * IF(AND(GS$4=1,GN$20=1), HA102, GY102)</f>
        <v>0</v>
      </c>
      <c r="GU102" s="12">
        <f>GU$4 * IF(AND(GT$4=1,GN$20=1), HA102, GY102)</f>
        <v>0</v>
      </c>
      <c r="GV102" s="12">
        <f>GV$4 * IF(AND(GU$4=1,GN$20=1), HA102, GY102)</f>
        <v>0</v>
      </c>
      <c r="GX102" t="s">
        <v>1304</v>
      </c>
      <c r="GY102">
        <f>_xlfn.XLOOKUP(GX102,'KPI Impacts'!$B$2:$H$2,'KPI Impacts'!$B102:$H102)</f>
        <v>0</v>
      </c>
      <c r="GZ102" s="9" t="s">
        <v>1304</v>
      </c>
      <c r="HA102">
        <f>_xlfn.XLOOKUP(GZ102,'KPI Impacts'!$B$2:$H$2,'KPI Impacts'!$B102:$H102)</f>
        <v>0</v>
      </c>
      <c r="HD102" s="12">
        <f>HD$4*HO102</f>
        <v>0</v>
      </c>
      <c r="HE102" s="12">
        <f>HE$4 * IF(AND(HD$4=1,HD$20=1), HQ102, HO102)</f>
        <v>0</v>
      </c>
      <c r="HF102" s="12">
        <f>HF$4 * IF(AND(HE$4=1,HD$20=1), HQ102, HO102)</f>
        <v>0</v>
      </c>
      <c r="HG102" s="12">
        <f>HG$4 * IF(AND(HF$4=1,HD$20=1), HQ102, HO102)</f>
        <v>0</v>
      </c>
      <c r="HH102" s="12">
        <f>HH$4 * IF(AND(HG$4=1,HD$20=1), HQ102, HO102)</f>
        <v>0</v>
      </c>
      <c r="HI102" s="12">
        <f>HI$4 * IF(AND(HH$4=1,HD$20=1), HQ102, HO102)</f>
        <v>0</v>
      </c>
      <c r="HJ102" s="12">
        <f>HJ$4 * IF(AND(HI$4=1,HD$20=1), HQ102, HO102)</f>
        <v>0</v>
      </c>
      <c r="HK102" s="12">
        <f>HK$4 * IF(AND(HJ$4=1,HD$20=1), HQ102, HO102)</f>
        <v>0</v>
      </c>
      <c r="HL102" s="12">
        <f>HL$4 * IF(AND(HK$4=1,HD$20=1), HQ102, HO102)</f>
        <v>0</v>
      </c>
      <c r="HN102" t="s">
        <v>1304</v>
      </c>
      <c r="HO102">
        <f>_xlfn.XLOOKUP(HN102,'KPI Impacts'!$B$2:$H$2,'KPI Impacts'!$B102:$H102)</f>
        <v>0</v>
      </c>
      <c r="HP102" s="9" t="s">
        <v>1304</v>
      </c>
      <c r="HQ102">
        <f>_xlfn.XLOOKUP(HP102,'KPI Impacts'!$B$2:$H$2,'KPI Impacts'!$B102:$H102)</f>
        <v>0</v>
      </c>
      <c r="HT102" s="12">
        <f>HT$4*IE102</f>
        <v>0</v>
      </c>
      <c r="HU102" s="12">
        <f>HU$4 * IF(AND(HT$4=1,HT$20=1), IG102, IE102)</f>
        <v>0</v>
      </c>
      <c r="HV102" s="12">
        <f>HV$4 * IF(AND(HU$4=1,HT$20=1), IG102, IE102)</f>
        <v>0</v>
      </c>
      <c r="HW102" s="12">
        <f>HW$4 * IF(AND(HV$4=1,HT$20=1), IG102, IE102)</f>
        <v>0</v>
      </c>
      <c r="HX102" s="12">
        <f>HX$4 * IF(AND(HW$4=1,HT$20=1), IG102, IE102)</f>
        <v>0</v>
      </c>
      <c r="HY102" s="12">
        <f>HY$4 * IF(AND(HX$4=1,HT$20=1), IG102, IE102)</f>
        <v>0</v>
      </c>
      <c r="HZ102" s="12">
        <f>HZ$4 * IF(AND(HY$4=1,HT$20=1), IG102, IE102)</f>
        <v>0</v>
      </c>
      <c r="IA102" s="12">
        <f>IA$4 * IF(AND(HZ$4=1,HT$20=1), IG102, IE102)</f>
        <v>0</v>
      </c>
      <c r="IB102" s="12">
        <f>IB$4 * IF(AND(IA$4=1,HT$20=1), IG102, IE102)</f>
        <v>0</v>
      </c>
      <c r="ID102" t="s">
        <v>1304</v>
      </c>
      <c r="IE102">
        <f>_xlfn.XLOOKUP(ID102,'KPI Impacts'!$B$2:$H$2,'KPI Impacts'!$B102:$H102)</f>
        <v>0</v>
      </c>
      <c r="IF102" s="9" t="s">
        <v>1304</v>
      </c>
      <c r="IG102">
        <f>_xlfn.XLOOKUP(IF102,'KPI Impacts'!$B$2:$H$2,'KPI Impacts'!$B102:$H102)</f>
        <v>0</v>
      </c>
      <c r="IJ102" s="12">
        <f>IJ$4*IU102</f>
        <v>0</v>
      </c>
      <c r="IK102" s="12">
        <f>IK$4 * IF(AND(IJ$4=1,IJ$20=1), IW102, IU102)</f>
        <v>0</v>
      </c>
      <c r="IL102" s="12">
        <f>IL$4 * IF(AND(IK$4=1,IJ$20=1), IW102, IU102)</f>
        <v>0</v>
      </c>
      <c r="IM102" s="12">
        <f>IM$4 * IF(AND(IL$4=1,IJ$20=1), IW102, IU102)</f>
        <v>0</v>
      </c>
      <c r="IN102" s="12">
        <f>IN$4 * IF(AND(IM$4=1,IJ$20=1), IW102, IU102)</f>
        <v>0</v>
      </c>
      <c r="IO102" s="12">
        <f>IO$4 * IF(AND(IN$4=1,IJ$20=1), IW102, IU102)</f>
        <v>0</v>
      </c>
      <c r="IP102" s="12">
        <f>IP$4 * IF(AND(IO$4=1,IJ$20=1), IW102, IU102)</f>
        <v>0</v>
      </c>
      <c r="IQ102" s="12">
        <f>IQ$4 * IF(AND(IP$4=1,IJ$20=1), IW102, IU102)</f>
        <v>0</v>
      </c>
      <c r="IR102" s="12">
        <f>IR$4 * IF(AND(IQ$4=1,IJ$20=1), IW102, IU102)</f>
        <v>0</v>
      </c>
      <c r="IT102" t="s">
        <v>1304</v>
      </c>
      <c r="IU102">
        <f>_xlfn.XLOOKUP(IT102,'KPI Impacts'!$B$2:$H$2,'KPI Impacts'!$B102:$H102)</f>
        <v>0</v>
      </c>
      <c r="IV102" s="9" t="s">
        <v>1304</v>
      </c>
      <c r="IW102">
        <f>_xlfn.XLOOKUP(IV102,'KPI Impacts'!$B$2:$H$2,'KPI Impacts'!$B102:$H102)</f>
        <v>0</v>
      </c>
      <c r="IZ102" s="12">
        <f>IZ$4*JK102</f>
        <v>0</v>
      </c>
      <c r="JA102" s="12">
        <f>JA$4 * IF(AND(IZ$4=1,IZ$20=1), JM102, JK102)</f>
        <v>0</v>
      </c>
      <c r="JB102" s="12">
        <f>JB$4 * IF(AND(JA$4=1,IZ$20=1), JM102, JK102)</f>
        <v>0</v>
      </c>
      <c r="JC102" s="12">
        <f>JC$4 * IF(AND(JB$4=1,IZ$20=1), JM102, JK102)</f>
        <v>0</v>
      </c>
      <c r="JD102" s="12">
        <f>JD$4 * IF(AND(JC$4=1,IZ$20=1), JM102, JK102)</f>
        <v>0</v>
      </c>
      <c r="JE102" s="12">
        <f>JE$4 * IF(AND(JD$4=1,IZ$20=1), JM102, JK102)</f>
        <v>0</v>
      </c>
      <c r="JF102" s="12">
        <f>JF$4 * IF(AND(JE$4=1,IZ$20=1), JM102, JK102)</f>
        <v>0</v>
      </c>
      <c r="JG102" s="12">
        <f>JG$4 * IF(AND(JF$4=1,IZ$20=1), JM102, JK102)</f>
        <v>0</v>
      </c>
      <c r="JH102" s="12">
        <f>JH$4 * IF(AND(JG$4=1,IZ$20=1), JM102, JK102)</f>
        <v>0</v>
      </c>
      <c r="JJ102" t="s">
        <v>1304</v>
      </c>
      <c r="JK102">
        <f>_xlfn.XLOOKUP(JJ102,'KPI Impacts'!$B$2:$H$2,'KPI Impacts'!$B102:$H102)</f>
        <v>0</v>
      </c>
      <c r="JL102" s="9" t="s">
        <v>1304</v>
      </c>
      <c r="JM102">
        <f>_xlfn.XLOOKUP(JL102,'KPI Impacts'!$B$2:$H$2,'KPI Impacts'!$B102:$H102)</f>
        <v>0</v>
      </c>
      <c r="JP102" s="12">
        <f>JP$4*KA102</f>
        <v>0</v>
      </c>
      <c r="JQ102" s="12">
        <f>JQ$4 * IF(AND(JP$4=1,JP$20=1), KC102, KA102)</f>
        <v>0</v>
      </c>
      <c r="JR102" s="12">
        <f>JR$4 * IF(AND(JQ$4=1,JP$20=1), KC102, KA102)</f>
        <v>0</v>
      </c>
      <c r="JS102" s="12">
        <f>JS$4 * IF(AND(JR$4=1,JP$20=1), KC102, KA102)</f>
        <v>0</v>
      </c>
      <c r="JT102" s="12">
        <f>JT$4 * IF(AND(JS$4=1,JP$20=1), KC102, KA102)</f>
        <v>0</v>
      </c>
      <c r="JU102" s="12">
        <f>JU$4 * IF(AND(JT$4=1,JP$20=1), KC102, KA102)</f>
        <v>0</v>
      </c>
      <c r="JV102" s="12">
        <f>JV$4 * IF(AND(JU$4=1,JP$20=1), KC102, KA102)</f>
        <v>0</v>
      </c>
      <c r="JW102" s="12">
        <f>JW$4 * IF(AND(JV$4=1,JP$20=1), KC102, KA102)</f>
        <v>0</v>
      </c>
      <c r="JX102" s="12">
        <f>JX$4 * IF(AND(JW$4=1,JP$20=1), KC102, KA102)</f>
        <v>0</v>
      </c>
      <c r="JZ102" t="s">
        <v>1304</v>
      </c>
      <c r="KA102">
        <f>_xlfn.XLOOKUP(JZ102,'KPI Impacts'!$B$2:$H$2,'KPI Impacts'!$B102:$H102)</f>
        <v>0</v>
      </c>
      <c r="KB102" s="9" t="s">
        <v>1304</v>
      </c>
      <c r="KC102">
        <f>_xlfn.XLOOKUP(KB102,'KPI Impacts'!$B$2:$H$2,'KPI Impacts'!$B102:$H102)</f>
        <v>0</v>
      </c>
      <c r="KF102" s="12">
        <f>KF$4*KQ102</f>
        <v>0</v>
      </c>
      <c r="KG102" s="12">
        <f>KG$4 * IF(AND(KF$4=1,KF$20=1), KS102, KQ102)</f>
        <v>0</v>
      </c>
      <c r="KH102" s="12">
        <f>KH$4 * IF(AND(KG$4=1,KF$20=1), KS102, KQ102)</f>
        <v>0</v>
      </c>
      <c r="KI102" s="12">
        <f>KI$4 * IF(AND(KH$4=1,KF$20=1), KS102, KQ102)</f>
        <v>0</v>
      </c>
      <c r="KJ102" s="12">
        <f>KJ$4 * IF(AND(KI$4=1,KF$20=1), KS102, KQ102)</f>
        <v>0</v>
      </c>
      <c r="KK102" s="12">
        <f>KK$4 * IF(AND(KJ$4=1,KF$20=1), KS102, KQ102)</f>
        <v>0</v>
      </c>
      <c r="KL102" s="12">
        <f>KL$4 * IF(AND(KK$4=1,KF$20=1), KS102, KQ102)</f>
        <v>0</v>
      </c>
      <c r="KM102" s="12">
        <f>KM$4 * IF(AND(KL$4=1,KF$20=1), KS102, KQ102)</f>
        <v>0</v>
      </c>
      <c r="KN102" s="12">
        <f>KN$4 * IF(AND(KM$4=1,KF$20=1), KS102, KQ102)</f>
        <v>0</v>
      </c>
      <c r="KP102" t="s">
        <v>1304</v>
      </c>
      <c r="KQ102">
        <f>_xlfn.XLOOKUP(KP102,'KPI Impacts'!$B$2:$H$2,'KPI Impacts'!$B102:$H102)</f>
        <v>0</v>
      </c>
      <c r="KR102" s="9" t="s">
        <v>1304</v>
      </c>
      <c r="KS102">
        <f>_xlfn.XLOOKUP(KR102,'KPI Impacts'!$B$2:$H$2,'KPI Impacts'!$B102:$H102)</f>
        <v>0</v>
      </c>
      <c r="KV102" s="12">
        <f>KV$4*LG102</f>
        <v>0</v>
      </c>
      <c r="KW102" s="12">
        <f>KW$4 * IF(AND(KV$4=1,KV$20=1), LI102, LG102)</f>
        <v>0</v>
      </c>
      <c r="KX102" s="12">
        <f>KX$4 * IF(AND(KW$4=1,KV$20=1), LI102, LG102)</f>
        <v>0</v>
      </c>
      <c r="KY102" s="12">
        <f>KY$4 * IF(AND(KX$4=1,KV$20=1), LI102, LG102)</f>
        <v>0</v>
      </c>
      <c r="KZ102" s="12">
        <f>KZ$4 * IF(AND(KY$4=1,KV$20=1), LI102, LG102)</f>
        <v>0</v>
      </c>
      <c r="LA102" s="12">
        <f>LA$4 * IF(AND(KZ$4=1,KV$20=1), LI102, LG102)</f>
        <v>0</v>
      </c>
      <c r="LB102" s="12">
        <f>LB$4 * IF(AND(LA$4=1,KV$20=1), LI102, LG102)</f>
        <v>0</v>
      </c>
      <c r="LC102" s="12">
        <f>LC$4 * IF(AND(LB$4=1,KV$20=1), LI102, LG102)</f>
        <v>0</v>
      </c>
      <c r="LD102" s="12">
        <f>LD$4 * IF(AND(LC$4=1,KV$20=1), LI102, LG102)</f>
        <v>0</v>
      </c>
      <c r="LF102" t="s">
        <v>1304</v>
      </c>
      <c r="LG102">
        <f>_xlfn.XLOOKUP(LF102,'KPI Impacts'!$B$2:$H$2,'KPI Impacts'!$B102:$H102)</f>
        <v>0</v>
      </c>
      <c r="LH102" s="9" t="s">
        <v>1304</v>
      </c>
      <c r="LI102">
        <f>_xlfn.XLOOKUP(LH102,'KPI Impacts'!$B$2:$H$2,'KPI Impacts'!$B102:$H102)</f>
        <v>0</v>
      </c>
      <c r="LL102" s="12">
        <f>LL$4*LW102</f>
        <v>0</v>
      </c>
      <c r="LM102" s="12">
        <f>LM$4 * IF(AND(LL$4=1,LL$20=1), LY102, LW102)</f>
        <v>0</v>
      </c>
      <c r="LN102" s="12">
        <f>LN$4 * IF(AND(LM$4=1,LL$20=1), LY102, LW102)</f>
        <v>0</v>
      </c>
      <c r="LO102" s="12">
        <f>LO$4 * IF(AND(LN$4=1,LL$20=1), LY102, LW102)</f>
        <v>0</v>
      </c>
      <c r="LP102" s="12">
        <f>LP$4 * IF(AND(LO$4=1,LL$20=1), LY102, LW102)</f>
        <v>0</v>
      </c>
      <c r="LQ102" s="12">
        <f>LQ$4 * IF(AND(LP$4=1,LL$20=1), LY102, LW102)</f>
        <v>0</v>
      </c>
      <c r="LR102" s="12">
        <f>LR$4 * IF(AND(LQ$4=1,LL$20=1), LY102, LW102)</f>
        <v>0</v>
      </c>
      <c r="LS102" s="12">
        <f>LS$4 * IF(AND(LR$4=1,LL$20=1), LY102, LW102)</f>
        <v>0</v>
      </c>
      <c r="LT102" s="12">
        <f>LT$4 * IF(AND(LS$4=1,LL$20=1), LY102, LW102)</f>
        <v>0</v>
      </c>
      <c r="LV102" t="s">
        <v>1304</v>
      </c>
      <c r="LW102">
        <f>_xlfn.XLOOKUP(LV102,'KPI Impacts'!$B$2:$H$2,'KPI Impacts'!$B102:$H102)</f>
        <v>0</v>
      </c>
      <c r="LX102" s="9" t="s">
        <v>1304</v>
      </c>
      <c r="LY102">
        <f>_xlfn.XLOOKUP(LX102,'KPI Impacts'!$B$2:$H$2,'KPI Impacts'!$B102:$H102)</f>
        <v>0</v>
      </c>
      <c r="MB102" s="12">
        <f>MB$4*MM102</f>
        <v>0</v>
      </c>
      <c r="MC102" s="12">
        <f>MC$4 * IF(AND(MB$4=1,MB$20=1), MO102, MM102)</f>
        <v>0</v>
      </c>
      <c r="MD102" s="12">
        <f>MD$4 * IF(AND(MC$4=1,MB$20=1), MO102, MM102)</f>
        <v>0</v>
      </c>
      <c r="ME102" s="12">
        <f>ME$4 * IF(AND(MD$4=1,MB$20=1), MO102, MM102)</f>
        <v>0</v>
      </c>
      <c r="MF102" s="12">
        <f>MF$4 * IF(AND(ME$4=1,MB$20=1), MO102, MM102)</f>
        <v>0</v>
      </c>
      <c r="MG102" s="12">
        <f>MG$4 * IF(AND(MF$4=1,MB$20=1), MO102, MM102)</f>
        <v>0</v>
      </c>
      <c r="MH102" s="12">
        <f>MH$4 * IF(AND(MG$4=1,MB$20=1), MO102, MM102)</f>
        <v>0</v>
      </c>
      <c r="MI102" s="12">
        <f>MI$4 * IF(AND(MH$4=1,MB$20=1), MO102, MM102)</f>
        <v>0</v>
      </c>
      <c r="MJ102" s="12">
        <f>MJ$4 * IF(AND(MI$4=1,MB$20=1), MO102, MM102)</f>
        <v>0</v>
      </c>
      <c r="ML102" t="s">
        <v>1304</v>
      </c>
      <c r="MM102">
        <f>_xlfn.XLOOKUP(ML102,'KPI Impacts'!$B$2:$H$2,'KPI Impacts'!$B102:$H102)</f>
        <v>0</v>
      </c>
      <c r="MN102" s="9" t="s">
        <v>1304</v>
      </c>
      <c r="MO102">
        <f>_xlfn.XLOOKUP(MN102,'KPI Impacts'!$B$2:$H$2,'KPI Impacts'!$B102:$H102)</f>
        <v>0</v>
      </c>
      <c r="MR102" s="12">
        <f>MR$4*NC102</f>
        <v>0</v>
      </c>
      <c r="MS102" s="12">
        <f>MS$4 * IF(AND(MR$4=1,MR$20=1), NE102, NC102)</f>
        <v>0</v>
      </c>
      <c r="MT102" s="12">
        <f>MT$4 * IF(AND(MS$4=1,MR$20=1), NE102, NC102)</f>
        <v>0</v>
      </c>
      <c r="MU102" s="12">
        <f>MU$4 * IF(AND(MT$4=1,MR$20=1), NE102, NC102)</f>
        <v>0</v>
      </c>
      <c r="MV102" s="12">
        <f>MV$4 * IF(AND(MU$4=1,MR$20=1), NE102, NC102)</f>
        <v>0</v>
      </c>
      <c r="MW102" s="12">
        <f>MW$4 * IF(AND(MV$4=1,MR$20=1), NE102, NC102)</f>
        <v>0</v>
      </c>
      <c r="MX102" s="12">
        <f>MX$4 * IF(AND(MW$4=1,MR$20=1), NE102, NC102)</f>
        <v>0</v>
      </c>
      <c r="MY102" s="12">
        <f>MY$4 * IF(AND(MX$4=1,MR$20=1), NE102, NC102)</f>
        <v>0</v>
      </c>
      <c r="MZ102" s="12">
        <f>MZ$4 * IF(AND(MY$4=1,MR$20=1), NE102, NC102)</f>
        <v>0</v>
      </c>
      <c r="NB102" t="s">
        <v>1304</v>
      </c>
      <c r="NC102">
        <f>_xlfn.XLOOKUP(NB102,'KPI Impacts'!$B$2:$H$2,'KPI Impacts'!$B102:$H102)</f>
        <v>0</v>
      </c>
      <c r="ND102" s="9" t="s">
        <v>1304</v>
      </c>
      <c r="NE102">
        <f>_xlfn.XLOOKUP(ND102,'KPI Impacts'!$B$2:$H$2,'KPI Impacts'!$B102:$H102)</f>
        <v>0</v>
      </c>
      <c r="NH102" s="12">
        <f>NH$4*NS102</f>
        <v>0</v>
      </c>
      <c r="NI102" s="12">
        <f>NI$4 * IF(AND(NH$4=1,NH$20=1), NU102, NS102)</f>
        <v>0</v>
      </c>
      <c r="NJ102" s="12">
        <f>NJ$4 * IF(AND(NI$4=1,NH$20=1), NU102, NS102)</f>
        <v>0</v>
      </c>
      <c r="NK102" s="12">
        <f>NK$4 * IF(AND(NJ$4=1,NH$20=1), NU102, NS102)</f>
        <v>0</v>
      </c>
      <c r="NL102" s="12">
        <f>NL$4 * IF(AND(NK$4=1,NH$20=1), NU102, NS102)</f>
        <v>0</v>
      </c>
      <c r="NM102" s="12">
        <f>NM$4 * IF(AND(NL$4=1,NH$20=1), NU102, NS102)</f>
        <v>0</v>
      </c>
      <c r="NN102" s="12">
        <f>NN$4 * IF(AND(NM$4=1,NH$20=1), NU102, NS102)</f>
        <v>0</v>
      </c>
      <c r="NO102" s="12">
        <f>NO$4 * IF(AND(NN$4=1,NH$20=1), NU102, NS102)</f>
        <v>0</v>
      </c>
      <c r="NP102" s="12">
        <f>NP$4 * IF(AND(NO$4=1,NH$20=1), NU102, NS102)</f>
        <v>0</v>
      </c>
      <c r="NR102" t="s">
        <v>1304</v>
      </c>
      <c r="NS102">
        <f>_xlfn.XLOOKUP(NR102,'KPI Impacts'!$B$2:$H$2,'KPI Impacts'!$B102:$H102)</f>
        <v>0</v>
      </c>
      <c r="NT102" s="9" t="s">
        <v>1304</v>
      </c>
      <c r="NU102">
        <f>_xlfn.XLOOKUP(NT102,'KPI Impacts'!$B$2:$H$2,'KPI Impacts'!$B102:$H102)</f>
        <v>0</v>
      </c>
      <c r="NX102" s="12">
        <f>NX$4*OI102</f>
        <v>0</v>
      </c>
      <c r="NY102" s="12">
        <f>NY$4 * IF(AND(NX$4=1,NX$20=1), OK102, OI102)</f>
        <v>0</v>
      </c>
      <c r="NZ102" s="12">
        <f>NZ$4 * IF(AND(NY$4=1,NX$20=1), OK102, OI102)</f>
        <v>0</v>
      </c>
      <c r="OA102" s="12">
        <f>OA$4 * IF(AND(NZ$4=1,NX$20=1), OK102, OI102)</f>
        <v>0</v>
      </c>
      <c r="OB102" s="12">
        <f>OB$4 * IF(AND(OA$4=1,NX$20=1), OK102, OI102)</f>
        <v>0</v>
      </c>
      <c r="OC102" s="12">
        <f>OC$4 * IF(AND(OB$4=1,NX$20=1), OK102, OI102)</f>
        <v>0</v>
      </c>
      <c r="OD102" s="12">
        <f>OD$4 * IF(AND(OC$4=1,NX$20=1), OK102, OI102)</f>
        <v>0</v>
      </c>
      <c r="OE102" s="12">
        <f>OE$4 * IF(AND(OD$4=1,NX$20=1), OK102, OI102)</f>
        <v>0</v>
      </c>
      <c r="OF102" s="12">
        <f>OF$4 * IF(AND(OE$4=1,NX$20=1), OK102, OI102)</f>
        <v>0</v>
      </c>
      <c r="OH102" t="s">
        <v>1304</v>
      </c>
      <c r="OI102">
        <f>_xlfn.XLOOKUP(OH102,'KPI Impacts'!$B$2:$H$2,'KPI Impacts'!$B102:$H102)</f>
        <v>0</v>
      </c>
      <c r="OJ102" s="9" t="s">
        <v>1304</v>
      </c>
      <c r="OK102">
        <f>_xlfn.XLOOKUP(OJ102,'KPI Impacts'!$B$2:$H$2,'KPI Impacts'!$B102:$H102)</f>
        <v>0</v>
      </c>
    </row>
    <row r="103" spans="1:499" x14ac:dyDescent="0.2">
      <c r="A103" t="s">
        <v>58</v>
      </c>
      <c r="B103" s="12">
        <f t="shared" si="514"/>
        <v>0</v>
      </c>
      <c r="C103" s="12">
        <f t="shared" si="514"/>
        <v>0</v>
      </c>
      <c r="D103" s="12">
        <f t="shared" si="514"/>
        <v>0</v>
      </c>
      <c r="E103" s="12">
        <f t="shared" si="514"/>
        <v>0</v>
      </c>
      <c r="F103" s="12">
        <f t="shared" si="514"/>
        <v>0</v>
      </c>
      <c r="G103" s="12">
        <f t="shared" si="514"/>
        <v>0</v>
      </c>
      <c r="H103" s="12">
        <f t="shared" si="514"/>
        <v>0</v>
      </c>
      <c r="I103" s="12">
        <f t="shared" si="514"/>
        <v>0</v>
      </c>
      <c r="J103" s="12">
        <f t="shared" si="514"/>
        <v>0</v>
      </c>
      <c r="P103" s="12" cm="1">
        <f t="array" ref="P103">_xlfn.SWITCH(P$4, 0,0, 1, AA103,2,AC103,3,AE103,0)</f>
        <v>0</v>
      </c>
      <c r="Q103" s="12" cm="1">
        <f t="array" ref="Q103">_xlfn.SWITCH(Q$4, 0,0, 1, AA103,2,AC103,3,AE103,0)+P103</f>
        <v>0</v>
      </c>
      <c r="R103" s="12" cm="1">
        <f t="array" ref="R103">_xlfn.SWITCH(R$4, 0,0, 1, AA103,2,AC103,3,AE103,0)+Q103</f>
        <v>0</v>
      </c>
      <c r="S103" s="12" cm="1">
        <f t="array" ref="S103">_xlfn.SWITCH(S$4, 0,0, 1, AA103,2,AC103,3,AE103,0)+R103</f>
        <v>0</v>
      </c>
      <c r="T103" s="12" cm="1">
        <f t="array" ref="T103">_xlfn.SWITCH(T$4, 0,0, 1, AA103,2,AC103,3,AE103,0)+S103</f>
        <v>0</v>
      </c>
      <c r="U103" s="12" cm="1">
        <f t="array" ref="U103">_xlfn.SWITCH(U$4, 0,0, 1, AA103,2,AC103,3,AE103,0)+T103</f>
        <v>0</v>
      </c>
      <c r="V103" s="12" cm="1">
        <f t="array" ref="V103">_xlfn.SWITCH(V$4, 0,0, 1, AA103,2,AC103,3,AE103,0)+U103</f>
        <v>0</v>
      </c>
      <c r="W103" s="12" cm="1">
        <f t="array" ref="W103">_xlfn.SWITCH(W$4, 0,0, 1, AA103,2,AC103,3,AE103,0)+V103</f>
        <v>0</v>
      </c>
      <c r="X103" s="12" cm="1">
        <f t="array" ref="X103">_xlfn.SWITCH(X$4, 0,0, 1, AA103,2,AC103,3,AE103,0)+W103</f>
        <v>0</v>
      </c>
      <c r="Z103" t="s">
        <v>1304</v>
      </c>
      <c r="AA103">
        <f>_xlfn.XLOOKUP(Z103,'KPI Impacts'!$K$2:$Q$2,'KPI Impacts'!$K103:$Q103)</f>
        <v>0</v>
      </c>
      <c r="AB103" t="s">
        <v>1304</v>
      </c>
      <c r="AC103">
        <f>_xlfn.XLOOKUP(AB103,'KPI Impacts'!$K$2:$Q$2,'KPI Impacts'!$K103:$Q103)</f>
        <v>0</v>
      </c>
      <c r="AD103" t="s">
        <v>1304</v>
      </c>
      <c r="AE103">
        <f>_xlfn.XLOOKUP(AD103,'KPI Impacts'!$K$2:$Q$2,'KPI Impacts'!$K103:$Q103)</f>
        <v>0</v>
      </c>
      <c r="AH103" s="12" cm="1">
        <f t="array" ref="AH103">_xlfn.SWITCH(AH$4, 0,0, 1, AS103,2,AU103,3,AW103,0)</f>
        <v>0</v>
      </c>
      <c r="AI103" s="12" cm="1">
        <f t="array" ref="AI103">_xlfn.SWITCH(AI$4, 0,0, 1, AS103,2,AU103,3,AW103,0)+AH103</f>
        <v>0</v>
      </c>
      <c r="AJ103" s="12" cm="1">
        <f t="array" ref="AJ103">_xlfn.SWITCH(AJ$4, 0,0, 1, AS103,2,AU103,3,AW103,0)+AI103</f>
        <v>0</v>
      </c>
      <c r="AK103" s="12" cm="1">
        <f t="array" ref="AK103">_xlfn.SWITCH(AK$4, 0,0, 1, AS103,2,AU103,3,AW103,0)+AJ103</f>
        <v>0</v>
      </c>
      <c r="AL103" s="12" cm="1">
        <f t="array" ref="AL103">_xlfn.SWITCH(AL$4, 0,0, 1, AS103,2,AU103,3,AW103,0)+AK103</f>
        <v>0</v>
      </c>
      <c r="AM103" s="12" cm="1">
        <f t="array" ref="AM103">_xlfn.SWITCH(AM$4, 0,0, 1, AS103,2,AU103,3,AW103,0)+AL103</f>
        <v>0</v>
      </c>
      <c r="AN103" s="12" cm="1">
        <f t="array" ref="AN103">_xlfn.SWITCH(AN$4, 0,0, 1, AS103,2,AU103,3,AW103,0)+AM103</f>
        <v>0</v>
      </c>
      <c r="AO103" s="12" cm="1">
        <f t="array" ref="AO103">_xlfn.SWITCH(AO$4, 0,0, 1, AS103,2,AU103,3,AW103,0)+AN103</f>
        <v>0</v>
      </c>
      <c r="AP103" s="12" cm="1">
        <f t="array" ref="AP103">_xlfn.SWITCH(AP$4, 0,0, 1, AS103,2,AU103,3,AW103,0)+AO103</f>
        <v>0</v>
      </c>
      <c r="AR103" t="s">
        <v>1304</v>
      </c>
      <c r="AS103">
        <f>_xlfn.XLOOKUP(AR103,'KPI Impacts'!$K$2:$Q$2,'KPI Impacts'!$K103:$Q103)</f>
        <v>0</v>
      </c>
      <c r="AT103" t="s">
        <v>1304</v>
      </c>
      <c r="AU103">
        <f>_xlfn.XLOOKUP(AT103,'KPI Impacts'!$K$2:$Q$2,'KPI Impacts'!$K103:$Q103)</f>
        <v>0</v>
      </c>
      <c r="AV103" t="s">
        <v>1304</v>
      </c>
      <c r="AW103">
        <f>_xlfn.XLOOKUP(AV103,'KPI Impacts'!$K$2:$Q$2,'KPI Impacts'!$K103:$Q103)</f>
        <v>0</v>
      </c>
      <c r="AZ103" s="12">
        <f>AZ$4*BK103</f>
        <v>0</v>
      </c>
      <c r="BA103" s="12">
        <f>BA$4 * IF(AND(AZ$4=1,AZ$20=1), BM103, BK103)</f>
        <v>0</v>
      </c>
      <c r="BB103" s="12">
        <f>BB$4 * IF(AND(BA$4=1,AZ$20=1), BM103, BK103)</f>
        <v>0</v>
      </c>
      <c r="BC103" s="12">
        <f>BC$4 * IF(AND(BB$4=1,AZ$20=1), BM103, BK103)</f>
        <v>0</v>
      </c>
      <c r="BD103" s="12">
        <f>BD$4 * IF(AND(BC$4=1,AZ$20=1), BM103, BK103)</f>
        <v>0</v>
      </c>
      <c r="BE103" s="12">
        <f>BE$4 * IF(AND(BD$4=1,AZ$20=1), BM103, BK103)</f>
        <v>0</v>
      </c>
      <c r="BF103" s="12">
        <f>BF$4 * IF(AND(BE$4=1,AZ$20=1), BM103, BK103)</f>
        <v>0</v>
      </c>
      <c r="BG103" s="12">
        <f>BG$4 * IF(AND(BF$4=1,AZ$20=1), BM103, BK103)</f>
        <v>0</v>
      </c>
      <c r="BH103" s="12">
        <f>BH$4 * IF(AND(BG$4=1,AZ$20=1), BM103, BK103)</f>
        <v>0</v>
      </c>
      <c r="BJ103" t="s">
        <v>1304</v>
      </c>
      <c r="BK103">
        <f>_xlfn.XLOOKUP(BJ103,'KPI Impacts'!$B$2:$H$2,'KPI Impacts'!$B103:$H103)</f>
        <v>0</v>
      </c>
      <c r="BL103" s="9" t="s">
        <v>1304</v>
      </c>
      <c r="BM103">
        <f>_xlfn.XLOOKUP(BL103,'KPI Impacts'!$B$2:$H$2,'KPI Impacts'!$B103:$H103)</f>
        <v>0</v>
      </c>
      <c r="BP103" s="12">
        <f>BP$4*CA103</f>
        <v>0</v>
      </c>
      <c r="BQ103" s="12">
        <f>BQ$4 * IF(AND(BP$4=1,BP$20=1), CC103, CA103)</f>
        <v>0</v>
      </c>
      <c r="BR103" s="12">
        <f>BR$4 * IF(AND(BQ$4=1,BP$20=1), CC103, CA103)</f>
        <v>0</v>
      </c>
      <c r="BS103" s="12">
        <f>BS$4 * IF(AND(BR$4=1,BP$20=1), CC103, CA103)</f>
        <v>0</v>
      </c>
      <c r="BT103" s="12">
        <f>BT$4 * IF(AND(BS$4=1,BP$20=1), CC103, CA103)</f>
        <v>0</v>
      </c>
      <c r="BU103" s="12">
        <f>BU$4 * IF(AND(BT$4=1,BP$20=1), CC103, CA103)</f>
        <v>0</v>
      </c>
      <c r="BV103" s="12">
        <f>BV$4 * IF(AND(BU$4=1,BP$20=1), CC103, CA103)</f>
        <v>0</v>
      </c>
      <c r="BW103" s="12">
        <f>BW$4 * IF(AND(BV$4=1,BP$20=1), CC103, CA103)</f>
        <v>0</v>
      </c>
      <c r="BX103" s="12">
        <f>BX$4 * IF(AND(BW$4=1,BP$20=1), CC103, CA103)</f>
        <v>0</v>
      </c>
      <c r="BZ103" t="s">
        <v>1304</v>
      </c>
      <c r="CA103">
        <f>_xlfn.XLOOKUP(BZ103,'KPI Impacts'!$B$2:$H$2,'KPI Impacts'!$B103:$H103)</f>
        <v>0</v>
      </c>
      <c r="CB103" s="9" t="s">
        <v>1304</v>
      </c>
      <c r="CC103">
        <f>_xlfn.XLOOKUP(CB103,'KPI Impacts'!$B$2:$H$2,'KPI Impacts'!$B103:$H103)</f>
        <v>0</v>
      </c>
      <c r="CF103" s="12">
        <f>CF$4*CQ103</f>
        <v>0</v>
      </c>
      <c r="CG103" s="12">
        <f>CG$4 * IF(AND(CF$4=1,CF$20=1), CS103, CQ103)</f>
        <v>0</v>
      </c>
      <c r="CH103" s="12">
        <f>CH$4 * IF(AND(CG$4=1,CF$20=1), CS103, CQ103)</f>
        <v>0</v>
      </c>
      <c r="CI103" s="12">
        <f>CI$4 * IF(AND(CH$4=1,CF$20=1), CS103, CQ103)</f>
        <v>0</v>
      </c>
      <c r="CJ103" s="12">
        <f>CJ$4 * IF(AND(CI$4=1,CF$20=1), CS103, CQ103)</f>
        <v>0</v>
      </c>
      <c r="CK103" s="12">
        <f>CK$4 * IF(AND(CJ$4=1,CF$20=1), CS103, CQ103)</f>
        <v>0</v>
      </c>
      <c r="CL103" s="12">
        <f>CL$4 * IF(AND(CK$4=1,CF$20=1), CS103, CQ103)</f>
        <v>0</v>
      </c>
      <c r="CM103" s="12">
        <f>CM$4 * IF(AND(CL$4=1,CF$20=1), CS103, CQ103)</f>
        <v>0</v>
      </c>
      <c r="CN103" s="12">
        <f>CN$4 * IF(AND(CM$4=1,CF$20=1), CS103, CQ103)</f>
        <v>0</v>
      </c>
      <c r="CP103" t="s">
        <v>1304</v>
      </c>
      <c r="CQ103">
        <f>_xlfn.XLOOKUP(CP103,'KPI Impacts'!$B$2:$H$2,'KPI Impacts'!$B103:$H103)</f>
        <v>0</v>
      </c>
      <c r="CR103" s="9" t="s">
        <v>1304</v>
      </c>
      <c r="CS103">
        <f>_xlfn.XLOOKUP(CR103,'KPI Impacts'!$B$2:$H$2,'KPI Impacts'!$B103:$H103)</f>
        <v>0</v>
      </c>
      <c r="CV103" s="12">
        <f>CV$4*DG103</f>
        <v>0</v>
      </c>
      <c r="CW103" s="12">
        <f>CW$4 * IF(AND(CV$4=1,CV$20=1), DI103, DG103)</f>
        <v>0</v>
      </c>
      <c r="CX103" s="12">
        <f>CX$4 * IF(AND(CW$4=1,CV$20=1), DI103, DG103)</f>
        <v>0</v>
      </c>
      <c r="CY103" s="12">
        <f>CY$4 * IF(AND(CX$4=1,CV$20=1), DI103, DG103)</f>
        <v>0</v>
      </c>
      <c r="CZ103" s="12">
        <f>CZ$4 * IF(AND(CY$4=1,CV$20=1), DI103, DG103)</f>
        <v>0</v>
      </c>
      <c r="DA103" s="12">
        <f>DA$4 * IF(AND(CZ$4=1,CV$20=1), DI103, DG103)</f>
        <v>0</v>
      </c>
      <c r="DB103" s="12">
        <f>DB$4 * IF(AND(DA$4=1,CV$20=1), DI103, DG103)</f>
        <v>0</v>
      </c>
      <c r="DC103" s="12">
        <f>DC$4 * IF(AND(DB$4=1,CV$20=1), DI103, DG103)</f>
        <v>0</v>
      </c>
      <c r="DD103" s="12">
        <f>DD$4 * IF(AND(DC$4=1,CV$20=1), DI103, DG103)</f>
        <v>0</v>
      </c>
      <c r="DF103" t="s">
        <v>1304</v>
      </c>
      <c r="DG103">
        <f>_xlfn.XLOOKUP(DF103,'KPI Impacts'!$B$2:$H$2,'KPI Impacts'!$B103:$H103)</f>
        <v>0</v>
      </c>
      <c r="DH103" s="9" t="s">
        <v>1304</v>
      </c>
      <c r="DI103">
        <f>_xlfn.XLOOKUP(DH103,'KPI Impacts'!$B$2:$H$2,'KPI Impacts'!$B103:$H103)</f>
        <v>0</v>
      </c>
      <c r="DL103" s="12">
        <f>DL$4*DW103</f>
        <v>0</v>
      </c>
      <c r="DM103" s="12">
        <f>DM$4 * IF(AND(DL$4=1,DL$20=1), DY103, DW103)</f>
        <v>0</v>
      </c>
      <c r="DN103" s="12">
        <f>DN$4 * IF(AND(DM$4=1,DL$20=1), DY103, DW103)</f>
        <v>0</v>
      </c>
      <c r="DO103" s="12">
        <f>DO$4 * IF(AND(DN$4=1,DL$20=1), DY103, DW103)</f>
        <v>0</v>
      </c>
      <c r="DP103" s="12">
        <f>DP$4 * IF(AND(DO$4=1,DL$20=1), DY103, DW103)</f>
        <v>0</v>
      </c>
      <c r="DQ103" s="12">
        <f>DQ$4 * IF(AND(DP$4=1,DL$20=1), DY103, DW103)</f>
        <v>0</v>
      </c>
      <c r="DR103" s="12">
        <f>DR$4 * IF(AND(DQ$4=1,DL$20=1), DY103, DW103)</f>
        <v>0</v>
      </c>
      <c r="DS103" s="12">
        <f>DS$4 * IF(AND(DR$4=1,DL$20=1), DY103, DW103)</f>
        <v>0</v>
      </c>
      <c r="DT103" s="12">
        <f>DT$4 * IF(AND(DS$4=1,DL$20=1), DY103, DW103)</f>
        <v>0</v>
      </c>
      <c r="DV103" t="s">
        <v>1304</v>
      </c>
      <c r="DW103">
        <f>_xlfn.XLOOKUP(DV103,'KPI Impacts'!$B$2:$H$2,'KPI Impacts'!$B103:$H103)</f>
        <v>0</v>
      </c>
      <c r="DX103" s="9" t="s">
        <v>1304</v>
      </c>
      <c r="DY103">
        <f>_xlfn.XLOOKUP(DX103,'KPI Impacts'!$B$2:$H$2,'KPI Impacts'!$B103:$H103)</f>
        <v>0</v>
      </c>
      <c r="EB103" s="12">
        <f>EB$4*EM103</f>
        <v>0</v>
      </c>
      <c r="EC103" s="12">
        <f>EC$4 * IF(AND(EB$4=1,EB$20=1), EO103, EM103)</f>
        <v>0</v>
      </c>
      <c r="ED103" s="12">
        <f>ED$4 * IF(AND(EC$4=1,EB$20=1), EO103, EM103)</f>
        <v>0</v>
      </c>
      <c r="EE103" s="12">
        <f>EE$4 * IF(AND(ED$4=1,EB$20=1), EO103, EM103)</f>
        <v>0</v>
      </c>
      <c r="EF103" s="12">
        <f>EF$4 * IF(AND(EE$4=1,EB$20=1), EO103, EM103)</f>
        <v>0</v>
      </c>
      <c r="EG103" s="12">
        <f>EG$4 * IF(AND(EF$4=1,EB$20=1), EO103, EM103)</f>
        <v>0</v>
      </c>
      <c r="EH103" s="12">
        <f>EH$4 * IF(AND(EG$4=1,EB$20=1), EO103, EM103)</f>
        <v>0</v>
      </c>
      <c r="EI103" s="12">
        <f>EI$4 * IF(AND(EH$4=1,EB$20=1), EO103, EM103)</f>
        <v>0</v>
      </c>
      <c r="EJ103" s="12">
        <f>EJ$4 * IF(AND(EI$4=1,EB$20=1), EO103, EM103)</f>
        <v>0</v>
      </c>
      <c r="EL103" t="s">
        <v>1304</v>
      </c>
      <c r="EM103">
        <f>_xlfn.XLOOKUP(EL103,'KPI Impacts'!$B$2:$H$2,'KPI Impacts'!$B103:$H103)</f>
        <v>0</v>
      </c>
      <c r="EN103" s="9" t="s">
        <v>1304</v>
      </c>
      <c r="EO103">
        <f>_xlfn.XLOOKUP(EN103,'KPI Impacts'!$B$2:$H$2,'KPI Impacts'!$B103:$H103)</f>
        <v>0</v>
      </c>
      <c r="ER103" s="12">
        <f>ER$4*FC103</f>
        <v>0</v>
      </c>
      <c r="ES103" s="12">
        <f>ES$4 * IF(AND(ER$4=1,ER$20=1), FE103, FC103)</f>
        <v>0</v>
      </c>
      <c r="ET103" s="12">
        <f>ET$4 * IF(AND(ES$4=1,ER$20=1), FE103, FC103)</f>
        <v>0</v>
      </c>
      <c r="EU103" s="12">
        <f>EU$4 * IF(AND(ET$4=1,ER$20=1), FE103, FC103)</f>
        <v>0</v>
      </c>
      <c r="EV103" s="12">
        <f>EV$4 * IF(AND(EU$4=1,ER$20=1), FE103, FC103)</f>
        <v>0</v>
      </c>
      <c r="EW103" s="12">
        <f>EW$4 * IF(AND(EV$4=1,ER$20=1), FE103, FC103)</f>
        <v>0</v>
      </c>
      <c r="EX103" s="12">
        <f>EX$4 * IF(AND(EW$4=1,ER$20=1), FE103, FC103)</f>
        <v>0</v>
      </c>
      <c r="EY103" s="12">
        <f>EY$4 * IF(AND(EX$4=1,ER$20=1), FE103, FC103)</f>
        <v>0</v>
      </c>
      <c r="EZ103" s="12">
        <f>EZ$4 * IF(AND(EY$4=1,ER$20=1), FE103, FC103)</f>
        <v>0</v>
      </c>
      <c r="FB103" t="s">
        <v>1304</v>
      </c>
      <c r="FC103">
        <f>_xlfn.XLOOKUP(FB103,'KPI Impacts'!$B$2:$H$2,'KPI Impacts'!$B103:$H103)</f>
        <v>0</v>
      </c>
      <c r="FD103" s="9" t="s">
        <v>1304</v>
      </c>
      <c r="FE103">
        <f>_xlfn.XLOOKUP(FD103,'KPI Impacts'!$B$2:$H$2,'KPI Impacts'!$B103:$H103)</f>
        <v>0</v>
      </c>
      <c r="FH103" s="12">
        <f>FH$4*FS103</f>
        <v>0</v>
      </c>
      <c r="FI103" s="12">
        <f>FI$4 * IF(AND(FH$4=1,FH$20=1), FU103, FS103)</f>
        <v>0</v>
      </c>
      <c r="FJ103" s="12">
        <f>FJ$4 * IF(AND(FI$4=1,FH$20=1), FU103, FS103)</f>
        <v>0</v>
      </c>
      <c r="FK103" s="12">
        <f>FK$4 * IF(AND(FJ$4=1,FH$20=1), FU103, FS103)</f>
        <v>0</v>
      </c>
      <c r="FL103" s="12">
        <f>FL$4 * IF(AND(FK$4=1,FH$20=1), FU103, FS103)</f>
        <v>0</v>
      </c>
      <c r="FM103" s="12">
        <f>FM$4 * IF(AND(FL$4=1,FH$20=1), FU103, FS103)</f>
        <v>0</v>
      </c>
      <c r="FN103" s="12">
        <f>FN$4 * IF(AND(FM$4=1,FH$20=1), FU103, FS103)</f>
        <v>0</v>
      </c>
      <c r="FO103" s="12">
        <f>FO$4 * IF(AND(FN$4=1,FH$20=1), FU103, FS103)</f>
        <v>0</v>
      </c>
      <c r="FP103" s="12">
        <f>FP$4 * IF(AND(FO$4=1,FH$20=1), FU103, FS103)</f>
        <v>0</v>
      </c>
      <c r="FR103" t="s">
        <v>1304</v>
      </c>
      <c r="FS103">
        <f>_xlfn.XLOOKUP(FR103,'KPI Impacts'!$B$2:$H$2,'KPI Impacts'!$B103:$H103)</f>
        <v>0</v>
      </c>
      <c r="FT103" s="9" t="s">
        <v>1304</v>
      </c>
      <c r="FU103">
        <f>_xlfn.XLOOKUP(FT103,'KPI Impacts'!$B$2:$H$2,'KPI Impacts'!$B103:$H103)</f>
        <v>0</v>
      </c>
      <c r="FX103" s="12">
        <f>FX$4*GI103</f>
        <v>0</v>
      </c>
      <c r="FY103" s="12">
        <f>FY$4 * IF(AND(FX$4=1,FX$20=1), GK103, GI103)</f>
        <v>0</v>
      </c>
      <c r="FZ103" s="12">
        <f>FZ$4 * IF(AND(FY$4=1,FX$20=1), GK103, GI103)</f>
        <v>0</v>
      </c>
      <c r="GA103" s="12">
        <f>GA$4 * IF(AND(FZ$4=1,FX$20=1), GK103, GI103)</f>
        <v>0</v>
      </c>
      <c r="GB103" s="12">
        <f>GB$4 * IF(AND(GA$4=1,FX$20=1), GK103, GI103)</f>
        <v>0</v>
      </c>
      <c r="GC103" s="12">
        <f>GC$4 * IF(AND(GB$4=1,FX$20=1), GK103, GI103)</f>
        <v>0</v>
      </c>
      <c r="GD103" s="12">
        <f>GD$4 * IF(AND(GC$4=1,FX$20=1), GK103, GI103)</f>
        <v>0</v>
      </c>
      <c r="GE103" s="12">
        <f>GE$4 * IF(AND(GD$4=1,FX$20=1), GK103, GI103)</f>
        <v>0</v>
      </c>
      <c r="GF103" s="12">
        <f>GF$4 * IF(AND(GE$4=1,FX$20=1), GK103, GI103)</f>
        <v>0</v>
      </c>
      <c r="GH103" t="s">
        <v>1304</v>
      </c>
      <c r="GI103">
        <f>_xlfn.XLOOKUP(GH103,'KPI Impacts'!$B$2:$H$2,'KPI Impacts'!$B103:$H103)</f>
        <v>0</v>
      </c>
      <c r="GJ103" s="9" t="s">
        <v>1304</v>
      </c>
      <c r="GK103">
        <f>_xlfn.XLOOKUP(GJ103,'KPI Impacts'!$B$2:$H$2,'KPI Impacts'!$B103:$H103)</f>
        <v>0</v>
      </c>
      <c r="GN103" s="12">
        <f>GN$4*GY103</f>
        <v>0</v>
      </c>
      <c r="GO103" s="12">
        <f>GO$4 * IF(AND(GN$4=1,GN$20=1), HA103, GY103)</f>
        <v>0</v>
      </c>
      <c r="GP103" s="12">
        <f>GP$4 * IF(AND(GO$4=1,GN$20=1), HA103, GY103)</f>
        <v>0</v>
      </c>
      <c r="GQ103" s="12">
        <f>GQ$4 * IF(AND(GP$4=1,GN$20=1), HA103, GY103)</f>
        <v>0</v>
      </c>
      <c r="GR103" s="12">
        <f>GR$4 * IF(AND(GQ$4=1,GN$20=1), HA103, GY103)</f>
        <v>0</v>
      </c>
      <c r="GS103" s="12">
        <f>GS$4 * IF(AND(GR$4=1,GN$20=1), HA103, GY103)</f>
        <v>0</v>
      </c>
      <c r="GT103" s="12">
        <f>GT$4 * IF(AND(GS$4=1,GN$20=1), HA103, GY103)</f>
        <v>0</v>
      </c>
      <c r="GU103" s="12">
        <f>GU$4 * IF(AND(GT$4=1,GN$20=1), HA103, GY103)</f>
        <v>0</v>
      </c>
      <c r="GV103" s="12">
        <f>GV$4 * IF(AND(GU$4=1,GN$20=1), HA103, GY103)</f>
        <v>0</v>
      </c>
      <c r="GX103" t="s">
        <v>1304</v>
      </c>
      <c r="GY103">
        <f>_xlfn.XLOOKUP(GX103,'KPI Impacts'!$B$2:$H$2,'KPI Impacts'!$B103:$H103)</f>
        <v>0</v>
      </c>
      <c r="GZ103" s="9" t="s">
        <v>1304</v>
      </c>
      <c r="HA103">
        <f>_xlfn.XLOOKUP(GZ103,'KPI Impacts'!$B$2:$H$2,'KPI Impacts'!$B103:$H103)</f>
        <v>0</v>
      </c>
      <c r="HD103" s="12">
        <f>HD$4*HO103</f>
        <v>0</v>
      </c>
      <c r="HE103" s="12">
        <f>HE$4 * IF(AND(HD$4=1,HD$20=1), HQ103, HO103)</f>
        <v>0</v>
      </c>
      <c r="HF103" s="12">
        <f>HF$4 * IF(AND(HE$4=1,HD$20=1), HQ103, HO103)</f>
        <v>0</v>
      </c>
      <c r="HG103" s="12">
        <f>HG$4 * IF(AND(HF$4=1,HD$20=1), HQ103, HO103)</f>
        <v>0</v>
      </c>
      <c r="HH103" s="12">
        <f>HH$4 * IF(AND(HG$4=1,HD$20=1), HQ103, HO103)</f>
        <v>0</v>
      </c>
      <c r="HI103" s="12">
        <f>HI$4 * IF(AND(HH$4=1,HD$20=1), HQ103, HO103)</f>
        <v>0</v>
      </c>
      <c r="HJ103" s="12">
        <f>HJ$4 * IF(AND(HI$4=1,HD$20=1), HQ103, HO103)</f>
        <v>0</v>
      </c>
      <c r="HK103" s="12">
        <f>HK$4 * IF(AND(HJ$4=1,HD$20=1), HQ103, HO103)</f>
        <v>0</v>
      </c>
      <c r="HL103" s="12">
        <f>HL$4 * IF(AND(HK$4=1,HD$20=1), HQ103, HO103)</f>
        <v>0</v>
      </c>
      <c r="HN103" t="s">
        <v>1304</v>
      </c>
      <c r="HO103">
        <f>_xlfn.XLOOKUP(HN103,'KPI Impacts'!$B$2:$H$2,'KPI Impacts'!$B103:$H103)</f>
        <v>0</v>
      </c>
      <c r="HP103" s="9" t="s">
        <v>1304</v>
      </c>
      <c r="HQ103">
        <f>_xlfn.XLOOKUP(HP103,'KPI Impacts'!$B$2:$H$2,'KPI Impacts'!$B103:$H103)</f>
        <v>0</v>
      </c>
      <c r="HT103" s="12">
        <f>HT$4*IE103</f>
        <v>0</v>
      </c>
      <c r="HU103" s="12">
        <f>HU$4 * IF(AND(HT$4=1,HT$20=1), IG103, IE103)</f>
        <v>0</v>
      </c>
      <c r="HV103" s="12">
        <f>HV$4 * IF(AND(HU$4=1,HT$20=1), IG103, IE103)</f>
        <v>0</v>
      </c>
      <c r="HW103" s="12">
        <f>HW$4 * IF(AND(HV$4=1,HT$20=1), IG103, IE103)</f>
        <v>0</v>
      </c>
      <c r="HX103" s="12">
        <f>HX$4 * IF(AND(HW$4=1,HT$20=1), IG103, IE103)</f>
        <v>0</v>
      </c>
      <c r="HY103" s="12">
        <f>HY$4 * IF(AND(HX$4=1,HT$20=1), IG103, IE103)</f>
        <v>0</v>
      </c>
      <c r="HZ103" s="12">
        <f>HZ$4 * IF(AND(HY$4=1,HT$20=1), IG103, IE103)</f>
        <v>0</v>
      </c>
      <c r="IA103" s="12">
        <f>IA$4 * IF(AND(HZ$4=1,HT$20=1), IG103, IE103)</f>
        <v>0</v>
      </c>
      <c r="IB103" s="12">
        <f>IB$4 * IF(AND(IA$4=1,HT$20=1), IG103, IE103)</f>
        <v>0</v>
      </c>
      <c r="ID103" t="s">
        <v>1304</v>
      </c>
      <c r="IE103">
        <f>_xlfn.XLOOKUP(ID103,'KPI Impacts'!$B$2:$H$2,'KPI Impacts'!$B103:$H103)</f>
        <v>0</v>
      </c>
      <c r="IF103" s="9" t="s">
        <v>1304</v>
      </c>
      <c r="IG103">
        <f>_xlfn.XLOOKUP(IF103,'KPI Impacts'!$B$2:$H$2,'KPI Impacts'!$B103:$H103)</f>
        <v>0</v>
      </c>
      <c r="IJ103" s="12">
        <f>IJ$4*IU103</f>
        <v>0</v>
      </c>
      <c r="IK103" s="12">
        <f>IK$4 * IF(AND(IJ$4=1,IJ$20=1), IW103, IU103)</f>
        <v>0</v>
      </c>
      <c r="IL103" s="12">
        <f>IL$4 * IF(AND(IK$4=1,IJ$20=1), IW103, IU103)</f>
        <v>0</v>
      </c>
      <c r="IM103" s="12">
        <f>IM$4 * IF(AND(IL$4=1,IJ$20=1), IW103, IU103)</f>
        <v>0</v>
      </c>
      <c r="IN103" s="12">
        <f>IN$4 * IF(AND(IM$4=1,IJ$20=1), IW103, IU103)</f>
        <v>0</v>
      </c>
      <c r="IO103" s="12">
        <f>IO$4 * IF(AND(IN$4=1,IJ$20=1), IW103, IU103)</f>
        <v>0</v>
      </c>
      <c r="IP103" s="12">
        <f>IP$4 * IF(AND(IO$4=1,IJ$20=1), IW103, IU103)</f>
        <v>0</v>
      </c>
      <c r="IQ103" s="12">
        <f>IQ$4 * IF(AND(IP$4=1,IJ$20=1), IW103, IU103)</f>
        <v>0</v>
      </c>
      <c r="IR103" s="12">
        <f>IR$4 * IF(AND(IQ$4=1,IJ$20=1), IW103, IU103)</f>
        <v>0</v>
      </c>
      <c r="IT103" t="s">
        <v>1304</v>
      </c>
      <c r="IU103">
        <f>_xlfn.XLOOKUP(IT103,'KPI Impacts'!$B$2:$H$2,'KPI Impacts'!$B103:$H103)</f>
        <v>0</v>
      </c>
      <c r="IV103" s="9" t="s">
        <v>1304</v>
      </c>
      <c r="IW103">
        <f>_xlfn.XLOOKUP(IV103,'KPI Impacts'!$B$2:$H$2,'KPI Impacts'!$B103:$H103)</f>
        <v>0</v>
      </c>
      <c r="IZ103" s="12">
        <f>IZ$4*JK103</f>
        <v>0</v>
      </c>
      <c r="JA103" s="12">
        <f>JA$4 * IF(AND(IZ$4=1,IZ$20=1), JM103, JK103)</f>
        <v>0</v>
      </c>
      <c r="JB103" s="12">
        <f>JB$4 * IF(AND(JA$4=1,IZ$20=1), JM103, JK103)</f>
        <v>0</v>
      </c>
      <c r="JC103" s="12">
        <f>JC$4 * IF(AND(JB$4=1,IZ$20=1), JM103, JK103)</f>
        <v>0</v>
      </c>
      <c r="JD103" s="12">
        <f>JD$4 * IF(AND(JC$4=1,IZ$20=1), JM103, JK103)</f>
        <v>0</v>
      </c>
      <c r="JE103" s="12">
        <f>JE$4 * IF(AND(JD$4=1,IZ$20=1), JM103, JK103)</f>
        <v>0</v>
      </c>
      <c r="JF103" s="12">
        <f>JF$4 * IF(AND(JE$4=1,IZ$20=1), JM103, JK103)</f>
        <v>0</v>
      </c>
      <c r="JG103" s="12">
        <f>JG$4 * IF(AND(JF$4=1,IZ$20=1), JM103, JK103)</f>
        <v>0</v>
      </c>
      <c r="JH103" s="12">
        <f>JH$4 * IF(AND(JG$4=1,IZ$20=1), JM103, JK103)</f>
        <v>0</v>
      </c>
      <c r="JJ103" t="s">
        <v>1304</v>
      </c>
      <c r="JK103">
        <f>_xlfn.XLOOKUP(JJ103,'KPI Impacts'!$B$2:$H$2,'KPI Impacts'!$B103:$H103)</f>
        <v>0</v>
      </c>
      <c r="JL103" s="9" t="s">
        <v>1304</v>
      </c>
      <c r="JM103">
        <f>_xlfn.XLOOKUP(JL103,'KPI Impacts'!$B$2:$H$2,'KPI Impacts'!$B103:$H103)</f>
        <v>0</v>
      </c>
      <c r="JP103" s="12">
        <f>JP$4*KA103</f>
        <v>0</v>
      </c>
      <c r="JQ103" s="12">
        <f>JQ$4 * IF(AND(JP$4=1,JP$20=1), KC103, KA103)</f>
        <v>0</v>
      </c>
      <c r="JR103" s="12">
        <f>JR$4 * IF(AND(JQ$4=1,JP$20=1), KC103, KA103)</f>
        <v>0</v>
      </c>
      <c r="JS103" s="12">
        <f>JS$4 * IF(AND(JR$4=1,JP$20=1), KC103, KA103)</f>
        <v>0</v>
      </c>
      <c r="JT103" s="12">
        <f>JT$4 * IF(AND(JS$4=1,JP$20=1), KC103, KA103)</f>
        <v>0</v>
      </c>
      <c r="JU103" s="12">
        <f>JU$4 * IF(AND(JT$4=1,JP$20=1), KC103, KA103)</f>
        <v>0</v>
      </c>
      <c r="JV103" s="12">
        <f>JV$4 * IF(AND(JU$4=1,JP$20=1), KC103, KA103)</f>
        <v>0</v>
      </c>
      <c r="JW103" s="12">
        <f>JW$4 * IF(AND(JV$4=1,JP$20=1), KC103, KA103)</f>
        <v>0</v>
      </c>
      <c r="JX103" s="12">
        <f>JX$4 * IF(AND(JW$4=1,JP$20=1), KC103, KA103)</f>
        <v>0</v>
      </c>
      <c r="JZ103" t="s">
        <v>1304</v>
      </c>
      <c r="KA103">
        <f>_xlfn.XLOOKUP(JZ103,'KPI Impacts'!$B$2:$H$2,'KPI Impacts'!$B103:$H103)</f>
        <v>0</v>
      </c>
      <c r="KB103" s="9" t="s">
        <v>1304</v>
      </c>
      <c r="KC103">
        <f>_xlfn.XLOOKUP(KB103,'KPI Impacts'!$B$2:$H$2,'KPI Impacts'!$B103:$H103)</f>
        <v>0</v>
      </c>
      <c r="KF103" s="12">
        <f>KF$4*KQ103</f>
        <v>0</v>
      </c>
      <c r="KG103" s="12">
        <f>KG$4 * IF(AND(KF$4=1,KF$20=1), KS103, KQ103)</f>
        <v>0</v>
      </c>
      <c r="KH103" s="12">
        <f>KH$4 * IF(AND(KG$4=1,KF$20=1), KS103, KQ103)</f>
        <v>0</v>
      </c>
      <c r="KI103" s="12">
        <f>KI$4 * IF(AND(KH$4=1,KF$20=1), KS103, KQ103)</f>
        <v>0</v>
      </c>
      <c r="KJ103" s="12">
        <f>KJ$4 * IF(AND(KI$4=1,KF$20=1), KS103, KQ103)</f>
        <v>0</v>
      </c>
      <c r="KK103" s="12">
        <f>KK$4 * IF(AND(KJ$4=1,KF$20=1), KS103, KQ103)</f>
        <v>0</v>
      </c>
      <c r="KL103" s="12">
        <f>KL$4 * IF(AND(KK$4=1,KF$20=1), KS103, KQ103)</f>
        <v>0</v>
      </c>
      <c r="KM103" s="12">
        <f>KM$4 * IF(AND(KL$4=1,KF$20=1), KS103, KQ103)</f>
        <v>0</v>
      </c>
      <c r="KN103" s="12">
        <f>KN$4 * IF(AND(KM$4=1,KF$20=1), KS103, KQ103)</f>
        <v>0</v>
      </c>
      <c r="KP103" t="s">
        <v>1304</v>
      </c>
      <c r="KQ103">
        <f>_xlfn.XLOOKUP(KP103,'KPI Impacts'!$B$2:$H$2,'KPI Impacts'!$B103:$H103)</f>
        <v>0</v>
      </c>
      <c r="KR103" s="9" t="s">
        <v>1304</v>
      </c>
      <c r="KS103">
        <f>_xlfn.XLOOKUP(KR103,'KPI Impacts'!$B$2:$H$2,'KPI Impacts'!$B103:$H103)</f>
        <v>0</v>
      </c>
      <c r="KV103" s="12">
        <f>KV$4*LG103</f>
        <v>0</v>
      </c>
      <c r="KW103" s="12">
        <f>KW$4 * IF(AND(KV$4=1,KV$20=1), LI103, LG103)</f>
        <v>0</v>
      </c>
      <c r="KX103" s="12">
        <f>KX$4 * IF(AND(KW$4=1,KV$20=1), LI103, LG103)</f>
        <v>0</v>
      </c>
      <c r="KY103" s="12">
        <f>KY$4 * IF(AND(KX$4=1,KV$20=1), LI103, LG103)</f>
        <v>0</v>
      </c>
      <c r="KZ103" s="12">
        <f>KZ$4 * IF(AND(KY$4=1,KV$20=1), LI103, LG103)</f>
        <v>0</v>
      </c>
      <c r="LA103" s="12">
        <f>LA$4 * IF(AND(KZ$4=1,KV$20=1), LI103, LG103)</f>
        <v>0</v>
      </c>
      <c r="LB103" s="12">
        <f>LB$4 * IF(AND(LA$4=1,KV$20=1), LI103, LG103)</f>
        <v>0</v>
      </c>
      <c r="LC103" s="12">
        <f>LC$4 * IF(AND(LB$4=1,KV$20=1), LI103, LG103)</f>
        <v>0</v>
      </c>
      <c r="LD103" s="12">
        <f>LD$4 * IF(AND(LC$4=1,KV$20=1), LI103, LG103)</f>
        <v>0</v>
      </c>
      <c r="LF103" t="s">
        <v>1304</v>
      </c>
      <c r="LG103">
        <f>_xlfn.XLOOKUP(LF103,'KPI Impacts'!$B$2:$H$2,'KPI Impacts'!$B103:$H103)</f>
        <v>0</v>
      </c>
      <c r="LH103" s="9" t="s">
        <v>1304</v>
      </c>
      <c r="LI103">
        <f>_xlfn.XLOOKUP(LH103,'KPI Impacts'!$B$2:$H$2,'KPI Impacts'!$B103:$H103)</f>
        <v>0</v>
      </c>
      <c r="LL103" s="12">
        <f>LL$4*LW103</f>
        <v>0</v>
      </c>
      <c r="LM103" s="12">
        <f>LM$4 * IF(AND(LL$4=1,LL$20=1), LY103, LW103)</f>
        <v>0</v>
      </c>
      <c r="LN103" s="12">
        <f>LN$4 * IF(AND(LM$4=1,LL$20=1), LY103, LW103)</f>
        <v>0</v>
      </c>
      <c r="LO103" s="12">
        <f>LO$4 * IF(AND(LN$4=1,LL$20=1), LY103, LW103)</f>
        <v>0</v>
      </c>
      <c r="LP103" s="12">
        <f>LP$4 * IF(AND(LO$4=1,LL$20=1), LY103, LW103)</f>
        <v>0</v>
      </c>
      <c r="LQ103" s="12">
        <f>LQ$4 * IF(AND(LP$4=1,LL$20=1), LY103, LW103)</f>
        <v>0</v>
      </c>
      <c r="LR103" s="12">
        <f>LR$4 * IF(AND(LQ$4=1,LL$20=1), LY103, LW103)</f>
        <v>0</v>
      </c>
      <c r="LS103" s="12">
        <f>LS$4 * IF(AND(LR$4=1,LL$20=1), LY103, LW103)</f>
        <v>0</v>
      </c>
      <c r="LT103" s="12">
        <f>LT$4 * IF(AND(LS$4=1,LL$20=1), LY103, LW103)</f>
        <v>0</v>
      </c>
      <c r="LV103" t="s">
        <v>1304</v>
      </c>
      <c r="LW103">
        <f>_xlfn.XLOOKUP(LV103,'KPI Impacts'!$B$2:$H$2,'KPI Impacts'!$B103:$H103)</f>
        <v>0</v>
      </c>
      <c r="LX103" s="9" t="s">
        <v>1304</v>
      </c>
      <c r="LY103">
        <f>_xlfn.XLOOKUP(LX103,'KPI Impacts'!$B$2:$H$2,'KPI Impacts'!$B103:$H103)</f>
        <v>0</v>
      </c>
      <c r="MB103" s="12">
        <f>MB$4*MM103</f>
        <v>0</v>
      </c>
      <c r="MC103" s="12">
        <f>MC$4 * IF(AND(MB$4=1,MB$20=1), MO103, MM103)</f>
        <v>0</v>
      </c>
      <c r="MD103" s="12">
        <f>MD$4 * IF(AND(MC$4=1,MB$20=1), MO103, MM103)</f>
        <v>0</v>
      </c>
      <c r="ME103" s="12">
        <f>ME$4 * IF(AND(MD$4=1,MB$20=1), MO103, MM103)</f>
        <v>0</v>
      </c>
      <c r="MF103" s="12">
        <f>MF$4 * IF(AND(ME$4=1,MB$20=1), MO103, MM103)</f>
        <v>0</v>
      </c>
      <c r="MG103" s="12">
        <f>MG$4 * IF(AND(MF$4=1,MB$20=1), MO103, MM103)</f>
        <v>0</v>
      </c>
      <c r="MH103" s="12">
        <f>MH$4 * IF(AND(MG$4=1,MB$20=1), MO103, MM103)</f>
        <v>0</v>
      </c>
      <c r="MI103" s="12">
        <f>MI$4 * IF(AND(MH$4=1,MB$20=1), MO103, MM103)</f>
        <v>0</v>
      </c>
      <c r="MJ103" s="12">
        <f>MJ$4 * IF(AND(MI$4=1,MB$20=1), MO103, MM103)</f>
        <v>0</v>
      </c>
      <c r="ML103" t="s">
        <v>1304</v>
      </c>
      <c r="MM103">
        <f>_xlfn.XLOOKUP(ML103,'KPI Impacts'!$B$2:$H$2,'KPI Impacts'!$B103:$H103)</f>
        <v>0</v>
      </c>
      <c r="MN103" s="9" t="s">
        <v>1304</v>
      </c>
      <c r="MO103">
        <f>_xlfn.XLOOKUP(MN103,'KPI Impacts'!$B$2:$H$2,'KPI Impacts'!$B103:$H103)</f>
        <v>0</v>
      </c>
      <c r="MR103" s="12">
        <f>MR$4*NC103</f>
        <v>0</v>
      </c>
      <c r="MS103" s="12">
        <f>MS$4 * IF(AND(MR$4=1,MR$20=1), NE103, NC103)</f>
        <v>0</v>
      </c>
      <c r="MT103" s="12">
        <f>MT$4 * IF(AND(MS$4=1,MR$20=1), NE103, NC103)</f>
        <v>0</v>
      </c>
      <c r="MU103" s="12">
        <f>MU$4 * IF(AND(MT$4=1,MR$20=1), NE103, NC103)</f>
        <v>0</v>
      </c>
      <c r="MV103" s="12">
        <f>MV$4 * IF(AND(MU$4=1,MR$20=1), NE103, NC103)</f>
        <v>0</v>
      </c>
      <c r="MW103" s="12">
        <f>MW$4 * IF(AND(MV$4=1,MR$20=1), NE103, NC103)</f>
        <v>0</v>
      </c>
      <c r="MX103" s="12">
        <f>MX$4 * IF(AND(MW$4=1,MR$20=1), NE103, NC103)</f>
        <v>0</v>
      </c>
      <c r="MY103" s="12">
        <f>MY$4 * IF(AND(MX$4=1,MR$20=1), NE103, NC103)</f>
        <v>0</v>
      </c>
      <c r="MZ103" s="12">
        <f>MZ$4 * IF(AND(MY$4=1,MR$20=1), NE103, NC103)</f>
        <v>0</v>
      </c>
      <c r="NB103" t="s">
        <v>1304</v>
      </c>
      <c r="NC103">
        <f>_xlfn.XLOOKUP(NB103,'KPI Impacts'!$B$2:$H$2,'KPI Impacts'!$B103:$H103)</f>
        <v>0</v>
      </c>
      <c r="ND103" s="9" t="s">
        <v>1304</v>
      </c>
      <c r="NE103">
        <f>_xlfn.XLOOKUP(ND103,'KPI Impacts'!$B$2:$H$2,'KPI Impacts'!$B103:$H103)</f>
        <v>0</v>
      </c>
      <c r="NH103" s="12">
        <f>NH$4*NS103</f>
        <v>0</v>
      </c>
      <c r="NI103" s="12">
        <f>NI$4 * IF(AND(NH$4=1,NH$20=1), NU103, NS103)</f>
        <v>0</v>
      </c>
      <c r="NJ103" s="12">
        <f>NJ$4 * IF(AND(NI$4=1,NH$20=1), NU103, NS103)</f>
        <v>0</v>
      </c>
      <c r="NK103" s="12">
        <f>NK$4 * IF(AND(NJ$4=1,NH$20=1), NU103, NS103)</f>
        <v>0</v>
      </c>
      <c r="NL103" s="12">
        <f>NL$4 * IF(AND(NK$4=1,NH$20=1), NU103, NS103)</f>
        <v>0</v>
      </c>
      <c r="NM103" s="12">
        <f>NM$4 * IF(AND(NL$4=1,NH$20=1), NU103, NS103)</f>
        <v>0</v>
      </c>
      <c r="NN103" s="12">
        <f>NN$4 * IF(AND(NM$4=1,NH$20=1), NU103, NS103)</f>
        <v>0</v>
      </c>
      <c r="NO103" s="12">
        <f>NO$4 * IF(AND(NN$4=1,NH$20=1), NU103, NS103)</f>
        <v>0</v>
      </c>
      <c r="NP103" s="12">
        <f>NP$4 * IF(AND(NO$4=1,NH$20=1), NU103, NS103)</f>
        <v>0</v>
      </c>
      <c r="NR103" t="s">
        <v>1304</v>
      </c>
      <c r="NS103">
        <f>_xlfn.XLOOKUP(NR103,'KPI Impacts'!$B$2:$H$2,'KPI Impacts'!$B103:$H103)</f>
        <v>0</v>
      </c>
      <c r="NT103" s="9" t="s">
        <v>1304</v>
      </c>
      <c r="NU103">
        <f>_xlfn.XLOOKUP(NT103,'KPI Impacts'!$B$2:$H$2,'KPI Impacts'!$B103:$H103)</f>
        <v>0</v>
      </c>
      <c r="NX103" s="12">
        <f>NX$4*OI103</f>
        <v>0</v>
      </c>
      <c r="NY103" s="12">
        <f>NY$4 * IF(AND(NX$4=1,NX$20=1), OK103, OI103)</f>
        <v>0</v>
      </c>
      <c r="NZ103" s="12">
        <f>NZ$4 * IF(AND(NY$4=1,NX$20=1), OK103, OI103)</f>
        <v>0</v>
      </c>
      <c r="OA103" s="12">
        <f>OA$4 * IF(AND(NZ$4=1,NX$20=1), OK103, OI103)</f>
        <v>0</v>
      </c>
      <c r="OB103" s="12">
        <f>OB$4 * IF(AND(OA$4=1,NX$20=1), OK103, OI103)</f>
        <v>0</v>
      </c>
      <c r="OC103" s="12">
        <f>OC$4 * IF(AND(OB$4=1,NX$20=1), OK103, OI103)</f>
        <v>0</v>
      </c>
      <c r="OD103" s="12">
        <f>OD$4 * IF(AND(OC$4=1,NX$20=1), OK103, OI103)</f>
        <v>0</v>
      </c>
      <c r="OE103" s="12">
        <f>OE$4 * IF(AND(OD$4=1,NX$20=1), OK103, OI103)</f>
        <v>0</v>
      </c>
      <c r="OF103" s="12">
        <f>OF$4 * IF(AND(OE$4=1,NX$20=1), OK103, OI103)</f>
        <v>0</v>
      </c>
      <c r="OH103" t="s">
        <v>1304</v>
      </c>
      <c r="OI103">
        <f>_xlfn.XLOOKUP(OH103,'KPI Impacts'!$B$2:$H$2,'KPI Impacts'!$B103:$H103)</f>
        <v>0</v>
      </c>
      <c r="OJ103" s="9" t="s">
        <v>1304</v>
      </c>
      <c r="OK103">
        <f>_xlfn.XLOOKUP(OJ103,'KPI Impacts'!$B$2:$H$2,'KPI Impacts'!$B103:$H103)</f>
        <v>0</v>
      </c>
    </row>
    <row r="104" spans="1:499" x14ac:dyDescent="0.2">
      <c r="A104" t="s">
        <v>1296</v>
      </c>
      <c r="B104" s="12">
        <f t="shared" si="514"/>
        <v>0</v>
      </c>
      <c r="C104" s="12">
        <f t="shared" si="514"/>
        <v>0</v>
      </c>
      <c r="D104" s="12">
        <f t="shared" si="514"/>
        <v>0</v>
      </c>
      <c r="E104" s="12">
        <f t="shared" si="514"/>
        <v>0</v>
      </c>
      <c r="F104" s="12">
        <f t="shared" si="514"/>
        <v>0</v>
      </c>
      <c r="G104" s="12">
        <f t="shared" si="514"/>
        <v>0</v>
      </c>
      <c r="H104" s="12">
        <f t="shared" si="514"/>
        <v>0</v>
      </c>
      <c r="I104" s="12">
        <f t="shared" si="514"/>
        <v>0</v>
      </c>
      <c r="J104" s="12">
        <f t="shared" si="514"/>
        <v>0</v>
      </c>
      <c r="P104" s="12" cm="1">
        <f t="array" ref="P104">_xlfn.SWITCH(P$4, 0,0, 1, AA104,2,AC104,3,AE104,0)</f>
        <v>0</v>
      </c>
      <c r="Q104" s="12" cm="1">
        <f t="array" ref="Q104">_xlfn.SWITCH(Q$4, 0,0, 1, AA104,2,AC104,3,AE104,0)+P104</f>
        <v>0</v>
      </c>
      <c r="R104" s="12" cm="1">
        <f t="array" ref="R104">_xlfn.SWITCH(R$4, 0,0, 1, AA104,2,AC104,3,AE104,0)+Q104</f>
        <v>0</v>
      </c>
      <c r="S104" s="12" cm="1">
        <f t="array" ref="S104">_xlfn.SWITCH(S$4, 0,0, 1, AA104,2,AC104,3,AE104,0)+R104</f>
        <v>0</v>
      </c>
      <c r="T104" s="12" cm="1">
        <f t="array" ref="T104">_xlfn.SWITCH(T$4, 0,0, 1, AA104,2,AC104,3,AE104,0)+S104</f>
        <v>0</v>
      </c>
      <c r="U104" s="12" cm="1">
        <f t="array" ref="U104">_xlfn.SWITCH(U$4, 0,0, 1, AA104,2,AC104,3,AE104,0)+T104</f>
        <v>0</v>
      </c>
      <c r="V104" s="12" cm="1">
        <f t="array" ref="V104">_xlfn.SWITCH(V$4, 0,0, 1, AA104,2,AC104,3,AE104,0)+U104</f>
        <v>0</v>
      </c>
      <c r="W104" s="12" cm="1">
        <f t="array" ref="W104">_xlfn.SWITCH(W$4, 0,0, 1, AA104,2,AC104,3,AE104,0)+V104</f>
        <v>0</v>
      </c>
      <c r="X104" s="12" cm="1">
        <f t="array" ref="X104">_xlfn.SWITCH(X$4, 0,0, 1, AA104,2,AC104,3,AE104,0)+W104</f>
        <v>0</v>
      </c>
      <c r="Z104" t="s">
        <v>1304</v>
      </c>
      <c r="AA104">
        <f>_xlfn.XLOOKUP(Z104,'KPI Impacts'!$K$2:$Q$2,'KPI Impacts'!$K104:$Q104)</f>
        <v>0</v>
      </c>
      <c r="AB104" t="s">
        <v>1304</v>
      </c>
      <c r="AC104">
        <f>_xlfn.XLOOKUP(AB104,'KPI Impacts'!$K$2:$Q$2,'KPI Impacts'!$K104:$Q104)</f>
        <v>0</v>
      </c>
      <c r="AD104" t="s">
        <v>1304</v>
      </c>
      <c r="AE104">
        <f>_xlfn.XLOOKUP(AD104,'KPI Impacts'!$K$2:$Q$2,'KPI Impacts'!$K104:$Q104)</f>
        <v>0</v>
      </c>
      <c r="AH104" s="12" cm="1">
        <f t="array" ref="AH104">_xlfn.SWITCH(AH$4, 0,0, 1, AS104,2,AU104,3,AW104,0)</f>
        <v>0</v>
      </c>
      <c r="AI104" s="12" cm="1">
        <f t="array" ref="AI104">_xlfn.SWITCH(AI$4, 0,0, 1, AS104,2,AU104,3,AW104,0)+AH104</f>
        <v>0</v>
      </c>
      <c r="AJ104" s="12" cm="1">
        <f t="array" ref="AJ104">_xlfn.SWITCH(AJ$4, 0,0, 1, AS104,2,AU104,3,AW104,0)+AI104</f>
        <v>0</v>
      </c>
      <c r="AK104" s="12" cm="1">
        <f t="array" ref="AK104">_xlfn.SWITCH(AK$4, 0,0, 1, AS104,2,AU104,3,AW104,0)+AJ104</f>
        <v>0</v>
      </c>
      <c r="AL104" s="12" cm="1">
        <f t="array" ref="AL104">_xlfn.SWITCH(AL$4, 0,0, 1, AS104,2,AU104,3,AW104,0)+AK104</f>
        <v>0</v>
      </c>
      <c r="AM104" s="12" cm="1">
        <f t="array" ref="AM104">_xlfn.SWITCH(AM$4, 0,0, 1, AS104,2,AU104,3,AW104,0)+AL104</f>
        <v>0</v>
      </c>
      <c r="AN104" s="12" cm="1">
        <f t="array" ref="AN104">_xlfn.SWITCH(AN$4, 0,0, 1, AS104,2,AU104,3,AW104,0)+AM104</f>
        <v>0</v>
      </c>
      <c r="AO104" s="12" cm="1">
        <f t="array" ref="AO104">_xlfn.SWITCH(AO$4, 0,0, 1, AS104,2,AU104,3,AW104,0)+AN104</f>
        <v>0</v>
      </c>
      <c r="AP104" s="12" cm="1">
        <f t="array" ref="AP104">_xlfn.SWITCH(AP$4, 0,0, 1, AS104,2,AU104,3,AW104,0)+AO104</f>
        <v>0</v>
      </c>
      <c r="AR104" t="s">
        <v>1304</v>
      </c>
      <c r="AS104">
        <f>_xlfn.XLOOKUP(AR104,'KPI Impacts'!$K$2:$Q$2,'KPI Impacts'!$K104:$Q104)</f>
        <v>0</v>
      </c>
      <c r="AT104" t="s">
        <v>1304</v>
      </c>
      <c r="AU104">
        <f>_xlfn.XLOOKUP(AT104,'KPI Impacts'!$K$2:$Q$2,'KPI Impacts'!$K104:$Q104)</f>
        <v>0</v>
      </c>
      <c r="AV104" t="s">
        <v>1304</v>
      </c>
      <c r="AW104">
        <f>_xlfn.XLOOKUP(AV104,'KPI Impacts'!$K$2:$Q$2,'KPI Impacts'!$K104:$Q104)</f>
        <v>0</v>
      </c>
      <c r="AZ104" s="12">
        <f>AZ$4*BK104</f>
        <v>0</v>
      </c>
      <c r="BA104" s="12">
        <f>BA$4 * IF(AND(AZ$4=1,AZ$20=1), BM104, BK104)</f>
        <v>0</v>
      </c>
      <c r="BB104" s="12">
        <f>BB$4 * IF(AND(BA$4=1,AZ$20=1), BM104, BK104)</f>
        <v>0</v>
      </c>
      <c r="BC104" s="12">
        <f>BC$4 * IF(AND(BB$4=1,AZ$20=1), BM104, BK104)</f>
        <v>0</v>
      </c>
      <c r="BD104" s="12">
        <f>BD$4 * IF(AND(BC$4=1,AZ$20=1), BM104, BK104)</f>
        <v>0</v>
      </c>
      <c r="BE104" s="12">
        <f>BE$4 * IF(AND(BD$4=1,AZ$20=1), BM104, BK104)</f>
        <v>0</v>
      </c>
      <c r="BF104" s="12">
        <f>BF$4 * IF(AND(BE$4=1,AZ$20=1), BM104, BK104)</f>
        <v>0</v>
      </c>
      <c r="BG104" s="12">
        <f>BG$4 * IF(AND(BF$4=1,AZ$20=1), BM104, BK104)</f>
        <v>0</v>
      </c>
      <c r="BH104" s="12">
        <f>BH$4 * IF(AND(BG$4=1,AZ$20=1), BM104, BK104)</f>
        <v>0</v>
      </c>
      <c r="BJ104" t="s">
        <v>1304</v>
      </c>
      <c r="BK104">
        <f>_xlfn.XLOOKUP(BJ104,'KPI Impacts'!$B$2:$H$2,'KPI Impacts'!$B104:$H104)</f>
        <v>0</v>
      </c>
      <c r="BL104" s="9" t="s">
        <v>1304</v>
      </c>
      <c r="BM104">
        <f>_xlfn.XLOOKUP(BL104,'KPI Impacts'!$B$2:$H$2,'KPI Impacts'!$B104:$H104)</f>
        <v>0</v>
      </c>
      <c r="BP104" s="12">
        <f>BP$4*CA104</f>
        <v>0</v>
      </c>
      <c r="BQ104" s="12">
        <f>BQ$4 * IF(AND(BP$4=1,BP$20=1), CC104, CA104)</f>
        <v>0</v>
      </c>
      <c r="BR104" s="12">
        <f>BR$4 * IF(AND(BQ$4=1,BP$20=1), CC104, CA104)</f>
        <v>0</v>
      </c>
      <c r="BS104" s="12">
        <f>BS$4 * IF(AND(BR$4=1,BP$20=1), CC104, CA104)</f>
        <v>0</v>
      </c>
      <c r="BT104" s="12">
        <f>BT$4 * IF(AND(BS$4=1,BP$20=1), CC104, CA104)</f>
        <v>0</v>
      </c>
      <c r="BU104" s="12">
        <f>BU$4 * IF(AND(BT$4=1,BP$20=1), CC104, CA104)</f>
        <v>0</v>
      </c>
      <c r="BV104" s="12">
        <f>BV$4 * IF(AND(BU$4=1,BP$20=1), CC104, CA104)</f>
        <v>0</v>
      </c>
      <c r="BW104" s="12">
        <f>BW$4 * IF(AND(BV$4=1,BP$20=1), CC104, CA104)</f>
        <v>0</v>
      </c>
      <c r="BX104" s="12">
        <f>BX$4 * IF(AND(BW$4=1,BP$20=1), CC104, CA104)</f>
        <v>0</v>
      </c>
      <c r="BZ104" t="s">
        <v>1304</v>
      </c>
      <c r="CA104">
        <f>_xlfn.XLOOKUP(BZ104,'KPI Impacts'!$B$2:$H$2,'KPI Impacts'!$B104:$H104)</f>
        <v>0</v>
      </c>
      <c r="CB104" s="9" t="s">
        <v>1304</v>
      </c>
      <c r="CC104">
        <f>_xlfn.XLOOKUP(CB104,'KPI Impacts'!$B$2:$H$2,'KPI Impacts'!$B104:$H104)</f>
        <v>0</v>
      </c>
      <c r="CF104" s="12">
        <f>CF$4*CQ104</f>
        <v>0</v>
      </c>
      <c r="CG104" s="12">
        <f>CG$4 * IF(AND(CF$4=1,CF$20=1), CS104, CQ104)</f>
        <v>0</v>
      </c>
      <c r="CH104" s="12">
        <f>CH$4 * IF(AND(CG$4=1,CF$20=1), CS104, CQ104)</f>
        <v>0</v>
      </c>
      <c r="CI104" s="12">
        <f>CI$4 * IF(AND(CH$4=1,CF$20=1), CS104, CQ104)</f>
        <v>0</v>
      </c>
      <c r="CJ104" s="12">
        <f>CJ$4 * IF(AND(CI$4=1,CF$20=1), CS104, CQ104)</f>
        <v>0</v>
      </c>
      <c r="CK104" s="12">
        <f>CK$4 * IF(AND(CJ$4=1,CF$20=1), CS104, CQ104)</f>
        <v>0</v>
      </c>
      <c r="CL104" s="12">
        <f>CL$4 * IF(AND(CK$4=1,CF$20=1), CS104, CQ104)</f>
        <v>0</v>
      </c>
      <c r="CM104" s="12">
        <f>CM$4 * IF(AND(CL$4=1,CF$20=1), CS104, CQ104)</f>
        <v>0</v>
      </c>
      <c r="CN104" s="12">
        <f>CN$4 * IF(AND(CM$4=1,CF$20=1), CS104, CQ104)</f>
        <v>0</v>
      </c>
      <c r="CP104" t="s">
        <v>1304</v>
      </c>
      <c r="CQ104">
        <f>_xlfn.XLOOKUP(CP104,'KPI Impacts'!$B$2:$H$2,'KPI Impacts'!$B104:$H104)</f>
        <v>0</v>
      </c>
      <c r="CR104" s="9" t="s">
        <v>1304</v>
      </c>
      <c r="CS104">
        <f>_xlfn.XLOOKUP(CR104,'KPI Impacts'!$B$2:$H$2,'KPI Impacts'!$B104:$H104)</f>
        <v>0</v>
      </c>
      <c r="CV104" s="12">
        <f>CV$4*DG104</f>
        <v>0</v>
      </c>
      <c r="CW104" s="12">
        <f>CW$4 * IF(AND(CV$4=1,CV$20=1), DI104, DG104)</f>
        <v>0</v>
      </c>
      <c r="CX104" s="12">
        <f>CX$4 * IF(AND(CW$4=1,CV$20=1), DI104, DG104)</f>
        <v>0</v>
      </c>
      <c r="CY104" s="12">
        <f>CY$4 * IF(AND(CX$4=1,CV$20=1), DI104, DG104)</f>
        <v>0</v>
      </c>
      <c r="CZ104" s="12">
        <f>CZ$4 * IF(AND(CY$4=1,CV$20=1), DI104, DG104)</f>
        <v>0</v>
      </c>
      <c r="DA104" s="12">
        <f>DA$4 * IF(AND(CZ$4=1,CV$20=1), DI104, DG104)</f>
        <v>0</v>
      </c>
      <c r="DB104" s="12">
        <f>DB$4 * IF(AND(DA$4=1,CV$20=1), DI104, DG104)</f>
        <v>0</v>
      </c>
      <c r="DC104" s="12">
        <f>DC$4 * IF(AND(DB$4=1,CV$20=1), DI104, DG104)</f>
        <v>0</v>
      </c>
      <c r="DD104" s="12">
        <f>DD$4 * IF(AND(DC$4=1,CV$20=1), DI104, DG104)</f>
        <v>0</v>
      </c>
      <c r="DF104" t="s">
        <v>1304</v>
      </c>
      <c r="DG104">
        <f>_xlfn.XLOOKUP(DF104,'KPI Impacts'!$B$2:$H$2,'KPI Impacts'!$B104:$H104)</f>
        <v>0</v>
      </c>
      <c r="DH104" s="9" t="s">
        <v>1304</v>
      </c>
      <c r="DI104">
        <f>_xlfn.XLOOKUP(DH104,'KPI Impacts'!$B$2:$H$2,'KPI Impacts'!$B104:$H104)</f>
        <v>0</v>
      </c>
      <c r="DL104" s="12">
        <f>DL$4*DW104</f>
        <v>0</v>
      </c>
      <c r="DM104" s="12">
        <f>DM$4 * IF(AND(DL$4=1,DL$20=1), DY104, DW104)</f>
        <v>0</v>
      </c>
      <c r="DN104" s="12">
        <f>DN$4 * IF(AND(DM$4=1,DL$20=1), DY104, DW104)</f>
        <v>0</v>
      </c>
      <c r="DO104" s="12">
        <f>DO$4 * IF(AND(DN$4=1,DL$20=1), DY104, DW104)</f>
        <v>0</v>
      </c>
      <c r="DP104" s="12">
        <f>DP$4 * IF(AND(DO$4=1,DL$20=1), DY104, DW104)</f>
        <v>0</v>
      </c>
      <c r="DQ104" s="12">
        <f>DQ$4 * IF(AND(DP$4=1,DL$20=1), DY104, DW104)</f>
        <v>0</v>
      </c>
      <c r="DR104" s="12">
        <f>DR$4 * IF(AND(DQ$4=1,DL$20=1), DY104, DW104)</f>
        <v>0</v>
      </c>
      <c r="DS104" s="12">
        <f>DS$4 * IF(AND(DR$4=1,DL$20=1), DY104, DW104)</f>
        <v>0</v>
      </c>
      <c r="DT104" s="12">
        <f>DT$4 * IF(AND(DS$4=1,DL$20=1), DY104, DW104)</f>
        <v>0</v>
      </c>
      <c r="DV104" t="s">
        <v>1304</v>
      </c>
      <c r="DW104">
        <f>_xlfn.XLOOKUP(DV104,'KPI Impacts'!$B$2:$H$2,'KPI Impacts'!$B104:$H104)</f>
        <v>0</v>
      </c>
      <c r="DX104" s="9" t="s">
        <v>1304</v>
      </c>
      <c r="DY104">
        <f>_xlfn.XLOOKUP(DX104,'KPI Impacts'!$B$2:$H$2,'KPI Impacts'!$B104:$H104)</f>
        <v>0</v>
      </c>
      <c r="EB104" s="12">
        <f>EB$4*EM104</f>
        <v>0</v>
      </c>
      <c r="EC104" s="12">
        <f>EC$4 * IF(AND(EB$4=1,EB$20=1), EO104, EM104)</f>
        <v>0</v>
      </c>
      <c r="ED104" s="12">
        <f>ED$4 * IF(AND(EC$4=1,EB$20=1), EO104, EM104)</f>
        <v>0</v>
      </c>
      <c r="EE104" s="12">
        <f>EE$4 * IF(AND(ED$4=1,EB$20=1), EO104, EM104)</f>
        <v>0</v>
      </c>
      <c r="EF104" s="12">
        <f>EF$4 * IF(AND(EE$4=1,EB$20=1), EO104, EM104)</f>
        <v>0</v>
      </c>
      <c r="EG104" s="12">
        <f>EG$4 * IF(AND(EF$4=1,EB$20=1), EO104, EM104)</f>
        <v>0</v>
      </c>
      <c r="EH104" s="12">
        <f>EH$4 * IF(AND(EG$4=1,EB$20=1), EO104, EM104)</f>
        <v>0</v>
      </c>
      <c r="EI104" s="12">
        <f>EI$4 * IF(AND(EH$4=1,EB$20=1), EO104, EM104)</f>
        <v>0</v>
      </c>
      <c r="EJ104" s="12">
        <f>EJ$4 * IF(AND(EI$4=1,EB$20=1), EO104, EM104)</f>
        <v>0</v>
      </c>
      <c r="EL104" t="s">
        <v>1304</v>
      </c>
      <c r="EM104">
        <f>_xlfn.XLOOKUP(EL104,'KPI Impacts'!$B$2:$H$2,'KPI Impacts'!$B104:$H104)</f>
        <v>0</v>
      </c>
      <c r="EN104" s="9" t="s">
        <v>1304</v>
      </c>
      <c r="EO104">
        <f>_xlfn.XLOOKUP(EN104,'KPI Impacts'!$B$2:$H$2,'KPI Impacts'!$B104:$H104)</f>
        <v>0</v>
      </c>
      <c r="ER104" s="12">
        <f>ER$4*FC104</f>
        <v>0</v>
      </c>
      <c r="ES104" s="12">
        <f>ES$4 * IF(AND(ER$4=1,ER$20=1), FE104, FC104)</f>
        <v>0</v>
      </c>
      <c r="ET104" s="12">
        <f>ET$4 * IF(AND(ES$4=1,ER$20=1), FE104, FC104)</f>
        <v>0</v>
      </c>
      <c r="EU104" s="12">
        <f>EU$4 * IF(AND(ET$4=1,ER$20=1), FE104, FC104)</f>
        <v>0</v>
      </c>
      <c r="EV104" s="12">
        <f>EV$4 * IF(AND(EU$4=1,ER$20=1), FE104, FC104)</f>
        <v>0</v>
      </c>
      <c r="EW104" s="12">
        <f>EW$4 * IF(AND(EV$4=1,ER$20=1), FE104, FC104)</f>
        <v>0</v>
      </c>
      <c r="EX104" s="12">
        <f>EX$4 * IF(AND(EW$4=1,ER$20=1), FE104, FC104)</f>
        <v>0</v>
      </c>
      <c r="EY104" s="12">
        <f>EY$4 * IF(AND(EX$4=1,ER$20=1), FE104, FC104)</f>
        <v>0</v>
      </c>
      <c r="EZ104" s="12">
        <f>EZ$4 * IF(AND(EY$4=1,ER$20=1), FE104, FC104)</f>
        <v>0</v>
      </c>
      <c r="FB104" t="s">
        <v>1304</v>
      </c>
      <c r="FC104">
        <f>_xlfn.XLOOKUP(FB104,'KPI Impacts'!$B$2:$H$2,'KPI Impacts'!$B104:$H104)</f>
        <v>0</v>
      </c>
      <c r="FD104" s="9" t="s">
        <v>1304</v>
      </c>
      <c r="FE104">
        <f>_xlfn.XLOOKUP(FD104,'KPI Impacts'!$B$2:$H$2,'KPI Impacts'!$B104:$H104)</f>
        <v>0</v>
      </c>
      <c r="FH104" s="12">
        <f>FH$4*FS104</f>
        <v>0</v>
      </c>
      <c r="FI104" s="12">
        <f>FI$4 * IF(AND(FH$4=1,FH$20=1), FU104, FS104)</f>
        <v>0</v>
      </c>
      <c r="FJ104" s="12">
        <f>FJ$4 * IF(AND(FI$4=1,FH$20=1), FU104, FS104)</f>
        <v>0</v>
      </c>
      <c r="FK104" s="12">
        <f>FK$4 * IF(AND(FJ$4=1,FH$20=1), FU104, FS104)</f>
        <v>0</v>
      </c>
      <c r="FL104" s="12">
        <f>FL$4 * IF(AND(FK$4=1,FH$20=1), FU104, FS104)</f>
        <v>0</v>
      </c>
      <c r="FM104" s="12">
        <f>FM$4 * IF(AND(FL$4=1,FH$20=1), FU104, FS104)</f>
        <v>0</v>
      </c>
      <c r="FN104" s="12">
        <f>FN$4 * IF(AND(FM$4=1,FH$20=1), FU104, FS104)</f>
        <v>0</v>
      </c>
      <c r="FO104" s="12">
        <f>FO$4 * IF(AND(FN$4=1,FH$20=1), FU104, FS104)</f>
        <v>0</v>
      </c>
      <c r="FP104" s="12">
        <f>FP$4 * IF(AND(FO$4=1,FH$20=1), FU104, FS104)</f>
        <v>0</v>
      </c>
      <c r="FR104" t="s">
        <v>1304</v>
      </c>
      <c r="FS104">
        <f>_xlfn.XLOOKUP(FR104,'KPI Impacts'!$B$2:$H$2,'KPI Impacts'!$B104:$H104)</f>
        <v>0</v>
      </c>
      <c r="FT104" s="9" t="s">
        <v>1304</v>
      </c>
      <c r="FU104">
        <f>_xlfn.XLOOKUP(FT104,'KPI Impacts'!$B$2:$H$2,'KPI Impacts'!$B104:$H104)</f>
        <v>0</v>
      </c>
      <c r="FX104" s="12">
        <f>FX$4*GI104</f>
        <v>0</v>
      </c>
      <c r="FY104" s="12">
        <f>FY$4 * IF(AND(FX$4=1,FX$20=1), GK104, GI104)</f>
        <v>0</v>
      </c>
      <c r="FZ104" s="12">
        <f>FZ$4 * IF(AND(FY$4=1,FX$20=1), GK104, GI104)</f>
        <v>0</v>
      </c>
      <c r="GA104" s="12">
        <f>GA$4 * IF(AND(FZ$4=1,FX$20=1), GK104, GI104)</f>
        <v>0</v>
      </c>
      <c r="GB104" s="12">
        <f>GB$4 * IF(AND(GA$4=1,FX$20=1), GK104, GI104)</f>
        <v>0</v>
      </c>
      <c r="GC104" s="12">
        <f>GC$4 * IF(AND(GB$4=1,FX$20=1), GK104, GI104)</f>
        <v>0</v>
      </c>
      <c r="GD104" s="12">
        <f>GD$4 * IF(AND(GC$4=1,FX$20=1), GK104, GI104)</f>
        <v>0</v>
      </c>
      <c r="GE104" s="12">
        <f>GE$4 * IF(AND(GD$4=1,FX$20=1), GK104, GI104)</f>
        <v>0</v>
      </c>
      <c r="GF104" s="12">
        <f>GF$4 * IF(AND(GE$4=1,FX$20=1), GK104, GI104)</f>
        <v>0</v>
      </c>
      <c r="GH104" t="s">
        <v>1304</v>
      </c>
      <c r="GI104">
        <f>_xlfn.XLOOKUP(GH104,'KPI Impacts'!$B$2:$H$2,'KPI Impacts'!$B104:$H104)</f>
        <v>0</v>
      </c>
      <c r="GJ104" s="9" t="s">
        <v>1304</v>
      </c>
      <c r="GK104">
        <f>_xlfn.XLOOKUP(GJ104,'KPI Impacts'!$B$2:$H$2,'KPI Impacts'!$B104:$H104)</f>
        <v>0</v>
      </c>
      <c r="GN104" s="12">
        <f>GN$4*GY104</f>
        <v>0</v>
      </c>
      <c r="GO104" s="12">
        <f>GO$4 * IF(AND(GN$4=1,GN$20=1), HA104, GY104)</f>
        <v>0</v>
      </c>
      <c r="GP104" s="12">
        <f>GP$4 * IF(AND(GO$4=1,GN$20=1), HA104, GY104)</f>
        <v>0</v>
      </c>
      <c r="GQ104" s="12">
        <f>GQ$4 * IF(AND(GP$4=1,GN$20=1), HA104, GY104)</f>
        <v>0</v>
      </c>
      <c r="GR104" s="12">
        <f>GR$4 * IF(AND(GQ$4=1,GN$20=1), HA104, GY104)</f>
        <v>0</v>
      </c>
      <c r="GS104" s="12">
        <f>GS$4 * IF(AND(GR$4=1,GN$20=1), HA104, GY104)</f>
        <v>0</v>
      </c>
      <c r="GT104" s="12">
        <f>GT$4 * IF(AND(GS$4=1,GN$20=1), HA104, GY104)</f>
        <v>0</v>
      </c>
      <c r="GU104" s="12">
        <f>GU$4 * IF(AND(GT$4=1,GN$20=1), HA104, GY104)</f>
        <v>0</v>
      </c>
      <c r="GV104" s="12">
        <f>GV$4 * IF(AND(GU$4=1,GN$20=1), HA104, GY104)</f>
        <v>0</v>
      </c>
      <c r="GX104" t="s">
        <v>1304</v>
      </c>
      <c r="GY104">
        <f>_xlfn.XLOOKUP(GX104,'KPI Impacts'!$B$2:$H$2,'KPI Impacts'!$B104:$H104)</f>
        <v>0</v>
      </c>
      <c r="GZ104" s="9" t="s">
        <v>1304</v>
      </c>
      <c r="HA104">
        <f>_xlfn.XLOOKUP(GZ104,'KPI Impacts'!$B$2:$H$2,'KPI Impacts'!$B104:$H104)</f>
        <v>0</v>
      </c>
      <c r="HD104" s="12">
        <f>HD$4*HO104</f>
        <v>0</v>
      </c>
      <c r="HE104" s="12">
        <f>HE$4 * IF(AND(HD$4=1,HD$20=1), HQ104, HO104)</f>
        <v>0</v>
      </c>
      <c r="HF104" s="12">
        <f>HF$4 * IF(AND(HE$4=1,HD$20=1), HQ104, HO104)</f>
        <v>0</v>
      </c>
      <c r="HG104" s="12">
        <f>HG$4 * IF(AND(HF$4=1,HD$20=1), HQ104, HO104)</f>
        <v>0</v>
      </c>
      <c r="HH104" s="12">
        <f>HH$4 * IF(AND(HG$4=1,HD$20=1), HQ104, HO104)</f>
        <v>0</v>
      </c>
      <c r="HI104" s="12">
        <f>HI$4 * IF(AND(HH$4=1,HD$20=1), HQ104, HO104)</f>
        <v>0</v>
      </c>
      <c r="HJ104" s="12">
        <f>HJ$4 * IF(AND(HI$4=1,HD$20=1), HQ104, HO104)</f>
        <v>0</v>
      </c>
      <c r="HK104" s="12">
        <f>HK$4 * IF(AND(HJ$4=1,HD$20=1), HQ104, HO104)</f>
        <v>0</v>
      </c>
      <c r="HL104" s="12">
        <f>HL$4 * IF(AND(HK$4=1,HD$20=1), HQ104, HO104)</f>
        <v>0</v>
      </c>
      <c r="HN104" t="s">
        <v>1304</v>
      </c>
      <c r="HO104">
        <f>_xlfn.XLOOKUP(HN104,'KPI Impacts'!$B$2:$H$2,'KPI Impacts'!$B104:$H104)</f>
        <v>0</v>
      </c>
      <c r="HP104" s="9" t="s">
        <v>1304</v>
      </c>
      <c r="HQ104">
        <f>_xlfn.XLOOKUP(HP104,'KPI Impacts'!$B$2:$H$2,'KPI Impacts'!$B104:$H104)</f>
        <v>0</v>
      </c>
      <c r="HT104" s="12">
        <f>HT$4*IE104</f>
        <v>0</v>
      </c>
      <c r="HU104" s="12">
        <f>HU$4 * IF(AND(HT$4=1,HT$20=1), IG104, IE104)</f>
        <v>0</v>
      </c>
      <c r="HV104" s="12">
        <f>HV$4 * IF(AND(HU$4=1,HT$20=1), IG104, IE104)</f>
        <v>0</v>
      </c>
      <c r="HW104" s="12">
        <f>HW$4 * IF(AND(HV$4=1,HT$20=1), IG104, IE104)</f>
        <v>0</v>
      </c>
      <c r="HX104" s="12">
        <f>HX$4 * IF(AND(HW$4=1,HT$20=1), IG104, IE104)</f>
        <v>0</v>
      </c>
      <c r="HY104" s="12">
        <f>HY$4 * IF(AND(HX$4=1,HT$20=1), IG104, IE104)</f>
        <v>0</v>
      </c>
      <c r="HZ104" s="12">
        <f>HZ$4 * IF(AND(HY$4=1,HT$20=1), IG104, IE104)</f>
        <v>0</v>
      </c>
      <c r="IA104" s="12">
        <f>IA$4 * IF(AND(HZ$4=1,HT$20=1), IG104, IE104)</f>
        <v>0</v>
      </c>
      <c r="IB104" s="12">
        <f>IB$4 * IF(AND(IA$4=1,HT$20=1), IG104, IE104)</f>
        <v>0</v>
      </c>
      <c r="ID104" t="s">
        <v>1304</v>
      </c>
      <c r="IE104">
        <f>_xlfn.XLOOKUP(ID104,'KPI Impacts'!$B$2:$H$2,'KPI Impacts'!$B104:$H104)</f>
        <v>0</v>
      </c>
      <c r="IF104" s="9" t="s">
        <v>1304</v>
      </c>
      <c r="IG104">
        <f>_xlfn.XLOOKUP(IF104,'KPI Impacts'!$B$2:$H$2,'KPI Impacts'!$B104:$H104)</f>
        <v>0</v>
      </c>
      <c r="IJ104" s="12">
        <f>IJ$4*IU104</f>
        <v>0</v>
      </c>
      <c r="IK104" s="12">
        <f>IK$4 * IF(AND(IJ$4=1,IJ$20=1), IW104, IU104)</f>
        <v>0</v>
      </c>
      <c r="IL104" s="12">
        <f>IL$4 * IF(AND(IK$4=1,IJ$20=1), IW104, IU104)</f>
        <v>0</v>
      </c>
      <c r="IM104" s="12">
        <f>IM$4 * IF(AND(IL$4=1,IJ$20=1), IW104, IU104)</f>
        <v>0</v>
      </c>
      <c r="IN104" s="12">
        <f>IN$4 * IF(AND(IM$4=1,IJ$20=1), IW104, IU104)</f>
        <v>0</v>
      </c>
      <c r="IO104" s="12">
        <f>IO$4 * IF(AND(IN$4=1,IJ$20=1), IW104, IU104)</f>
        <v>0</v>
      </c>
      <c r="IP104" s="12">
        <f>IP$4 * IF(AND(IO$4=1,IJ$20=1), IW104, IU104)</f>
        <v>0</v>
      </c>
      <c r="IQ104" s="12">
        <f>IQ$4 * IF(AND(IP$4=1,IJ$20=1), IW104, IU104)</f>
        <v>0</v>
      </c>
      <c r="IR104" s="12">
        <f>IR$4 * IF(AND(IQ$4=1,IJ$20=1), IW104, IU104)</f>
        <v>0</v>
      </c>
      <c r="IT104" t="s">
        <v>1304</v>
      </c>
      <c r="IU104">
        <f>_xlfn.XLOOKUP(IT104,'KPI Impacts'!$B$2:$H$2,'KPI Impacts'!$B104:$H104)</f>
        <v>0</v>
      </c>
      <c r="IV104" s="9" t="s">
        <v>1304</v>
      </c>
      <c r="IW104">
        <f>_xlfn.XLOOKUP(IV104,'KPI Impacts'!$B$2:$H$2,'KPI Impacts'!$B104:$H104)</f>
        <v>0</v>
      </c>
      <c r="IZ104" s="12">
        <f>IZ$4*JK104</f>
        <v>0</v>
      </c>
      <c r="JA104" s="12">
        <f>JA$4 * IF(AND(IZ$4=1,IZ$20=1), JM104, JK104)</f>
        <v>0</v>
      </c>
      <c r="JB104" s="12">
        <f>JB$4 * IF(AND(JA$4=1,IZ$20=1), JM104, JK104)</f>
        <v>0</v>
      </c>
      <c r="JC104" s="12">
        <f>JC$4 * IF(AND(JB$4=1,IZ$20=1), JM104, JK104)</f>
        <v>0</v>
      </c>
      <c r="JD104" s="12">
        <f>JD$4 * IF(AND(JC$4=1,IZ$20=1), JM104, JK104)</f>
        <v>0</v>
      </c>
      <c r="JE104" s="12">
        <f>JE$4 * IF(AND(JD$4=1,IZ$20=1), JM104, JK104)</f>
        <v>0</v>
      </c>
      <c r="JF104" s="12">
        <f>JF$4 * IF(AND(JE$4=1,IZ$20=1), JM104, JK104)</f>
        <v>0</v>
      </c>
      <c r="JG104" s="12">
        <f>JG$4 * IF(AND(JF$4=1,IZ$20=1), JM104, JK104)</f>
        <v>0</v>
      </c>
      <c r="JH104" s="12">
        <f>JH$4 * IF(AND(JG$4=1,IZ$20=1), JM104, JK104)</f>
        <v>0</v>
      </c>
      <c r="JJ104" t="s">
        <v>1304</v>
      </c>
      <c r="JK104">
        <f>_xlfn.XLOOKUP(JJ104,'KPI Impacts'!$B$2:$H$2,'KPI Impacts'!$B104:$H104)</f>
        <v>0</v>
      </c>
      <c r="JL104" s="9" t="s">
        <v>1304</v>
      </c>
      <c r="JM104">
        <f>_xlfn.XLOOKUP(JL104,'KPI Impacts'!$B$2:$H$2,'KPI Impacts'!$B104:$H104)</f>
        <v>0</v>
      </c>
      <c r="JP104" s="12">
        <f>JP$4*KA104</f>
        <v>0</v>
      </c>
      <c r="JQ104" s="12">
        <f>JQ$4 * IF(AND(JP$4=1,JP$20=1), KC104, KA104)</f>
        <v>0</v>
      </c>
      <c r="JR104" s="12">
        <f>JR$4 * IF(AND(JQ$4=1,JP$20=1), KC104, KA104)</f>
        <v>0</v>
      </c>
      <c r="JS104" s="12">
        <f>JS$4 * IF(AND(JR$4=1,JP$20=1), KC104, KA104)</f>
        <v>0</v>
      </c>
      <c r="JT104" s="12">
        <f>JT$4 * IF(AND(JS$4=1,JP$20=1), KC104, KA104)</f>
        <v>0</v>
      </c>
      <c r="JU104" s="12">
        <f>JU$4 * IF(AND(JT$4=1,JP$20=1), KC104, KA104)</f>
        <v>0</v>
      </c>
      <c r="JV104" s="12">
        <f>JV$4 * IF(AND(JU$4=1,JP$20=1), KC104, KA104)</f>
        <v>0</v>
      </c>
      <c r="JW104" s="12">
        <f>JW$4 * IF(AND(JV$4=1,JP$20=1), KC104, KA104)</f>
        <v>0</v>
      </c>
      <c r="JX104" s="12">
        <f>JX$4 * IF(AND(JW$4=1,JP$20=1), KC104, KA104)</f>
        <v>0</v>
      </c>
      <c r="JZ104" t="s">
        <v>1304</v>
      </c>
      <c r="KA104">
        <f>_xlfn.XLOOKUP(JZ104,'KPI Impacts'!$B$2:$H$2,'KPI Impacts'!$B104:$H104)</f>
        <v>0</v>
      </c>
      <c r="KB104" s="9" t="s">
        <v>1304</v>
      </c>
      <c r="KC104">
        <f>_xlfn.XLOOKUP(KB104,'KPI Impacts'!$B$2:$H$2,'KPI Impacts'!$B104:$H104)</f>
        <v>0</v>
      </c>
      <c r="KF104" s="12">
        <f>KF$4*KQ104</f>
        <v>0</v>
      </c>
      <c r="KG104" s="12">
        <f>KG$4 * IF(AND(KF$4=1,KF$20=1), KS104, KQ104)</f>
        <v>0</v>
      </c>
      <c r="KH104" s="12">
        <f>KH$4 * IF(AND(KG$4=1,KF$20=1), KS104, KQ104)</f>
        <v>0</v>
      </c>
      <c r="KI104" s="12">
        <f>KI$4 * IF(AND(KH$4=1,KF$20=1), KS104, KQ104)</f>
        <v>0</v>
      </c>
      <c r="KJ104" s="12">
        <f>KJ$4 * IF(AND(KI$4=1,KF$20=1), KS104, KQ104)</f>
        <v>0</v>
      </c>
      <c r="KK104" s="12">
        <f>KK$4 * IF(AND(KJ$4=1,KF$20=1), KS104, KQ104)</f>
        <v>0</v>
      </c>
      <c r="KL104" s="12">
        <f>KL$4 * IF(AND(KK$4=1,KF$20=1), KS104, KQ104)</f>
        <v>0</v>
      </c>
      <c r="KM104" s="12">
        <f>KM$4 * IF(AND(KL$4=1,KF$20=1), KS104, KQ104)</f>
        <v>0</v>
      </c>
      <c r="KN104" s="12">
        <f>KN$4 * IF(AND(KM$4=1,KF$20=1), KS104, KQ104)</f>
        <v>0</v>
      </c>
      <c r="KP104" t="s">
        <v>1304</v>
      </c>
      <c r="KQ104">
        <f>_xlfn.XLOOKUP(KP104,'KPI Impacts'!$B$2:$H$2,'KPI Impacts'!$B104:$H104)</f>
        <v>0</v>
      </c>
      <c r="KR104" s="9" t="s">
        <v>1304</v>
      </c>
      <c r="KS104">
        <f>_xlfn.XLOOKUP(KR104,'KPI Impacts'!$B$2:$H$2,'KPI Impacts'!$B104:$H104)</f>
        <v>0</v>
      </c>
      <c r="KV104" s="12">
        <f>KV$4*LG104</f>
        <v>0</v>
      </c>
      <c r="KW104" s="12">
        <f>KW$4 * IF(AND(KV$4=1,KV$20=1), LI104, LG104)</f>
        <v>0</v>
      </c>
      <c r="KX104" s="12">
        <f>KX$4 * IF(AND(KW$4=1,KV$20=1), LI104, LG104)</f>
        <v>0</v>
      </c>
      <c r="KY104" s="12">
        <f>KY$4 * IF(AND(KX$4=1,KV$20=1), LI104, LG104)</f>
        <v>0</v>
      </c>
      <c r="KZ104" s="12">
        <f>KZ$4 * IF(AND(KY$4=1,KV$20=1), LI104, LG104)</f>
        <v>0</v>
      </c>
      <c r="LA104" s="12">
        <f>LA$4 * IF(AND(KZ$4=1,KV$20=1), LI104, LG104)</f>
        <v>0</v>
      </c>
      <c r="LB104" s="12">
        <f>LB$4 * IF(AND(LA$4=1,KV$20=1), LI104, LG104)</f>
        <v>0</v>
      </c>
      <c r="LC104" s="12">
        <f>LC$4 * IF(AND(LB$4=1,KV$20=1), LI104, LG104)</f>
        <v>0</v>
      </c>
      <c r="LD104" s="12">
        <f>LD$4 * IF(AND(LC$4=1,KV$20=1), LI104, LG104)</f>
        <v>0</v>
      </c>
      <c r="LF104" t="s">
        <v>1304</v>
      </c>
      <c r="LG104">
        <f>_xlfn.XLOOKUP(LF104,'KPI Impacts'!$B$2:$H$2,'KPI Impacts'!$B104:$H104)</f>
        <v>0</v>
      </c>
      <c r="LH104" s="9" t="s">
        <v>1304</v>
      </c>
      <c r="LI104">
        <f>_xlfn.XLOOKUP(LH104,'KPI Impacts'!$B$2:$H$2,'KPI Impacts'!$B104:$H104)</f>
        <v>0</v>
      </c>
      <c r="LL104" s="12">
        <f>LL$4*LW104</f>
        <v>0</v>
      </c>
      <c r="LM104" s="12">
        <f>LM$4 * IF(AND(LL$4=1,LL$20=1), LY104, LW104)</f>
        <v>0</v>
      </c>
      <c r="LN104" s="12">
        <f>LN$4 * IF(AND(LM$4=1,LL$20=1), LY104, LW104)</f>
        <v>0</v>
      </c>
      <c r="LO104" s="12">
        <f>LO$4 * IF(AND(LN$4=1,LL$20=1), LY104, LW104)</f>
        <v>0</v>
      </c>
      <c r="LP104" s="12">
        <f>LP$4 * IF(AND(LO$4=1,LL$20=1), LY104, LW104)</f>
        <v>0</v>
      </c>
      <c r="LQ104" s="12">
        <f>LQ$4 * IF(AND(LP$4=1,LL$20=1), LY104, LW104)</f>
        <v>0</v>
      </c>
      <c r="LR104" s="12">
        <f>LR$4 * IF(AND(LQ$4=1,LL$20=1), LY104, LW104)</f>
        <v>0</v>
      </c>
      <c r="LS104" s="12">
        <f>LS$4 * IF(AND(LR$4=1,LL$20=1), LY104, LW104)</f>
        <v>0</v>
      </c>
      <c r="LT104" s="12">
        <f>LT$4 * IF(AND(LS$4=1,LL$20=1), LY104, LW104)</f>
        <v>0</v>
      </c>
      <c r="LV104" t="s">
        <v>1304</v>
      </c>
      <c r="LW104">
        <f>_xlfn.XLOOKUP(LV104,'KPI Impacts'!$B$2:$H$2,'KPI Impacts'!$B104:$H104)</f>
        <v>0</v>
      </c>
      <c r="LX104" s="9" t="s">
        <v>1304</v>
      </c>
      <c r="LY104">
        <f>_xlfn.XLOOKUP(LX104,'KPI Impacts'!$B$2:$H$2,'KPI Impacts'!$B104:$H104)</f>
        <v>0</v>
      </c>
      <c r="MB104" s="12">
        <f>MB$4*MM104</f>
        <v>0</v>
      </c>
      <c r="MC104" s="12">
        <f>MC$4 * IF(AND(MB$4=1,MB$20=1), MO104, MM104)</f>
        <v>0</v>
      </c>
      <c r="MD104" s="12">
        <f>MD$4 * IF(AND(MC$4=1,MB$20=1), MO104, MM104)</f>
        <v>0</v>
      </c>
      <c r="ME104" s="12">
        <f>ME$4 * IF(AND(MD$4=1,MB$20=1), MO104, MM104)</f>
        <v>0</v>
      </c>
      <c r="MF104" s="12">
        <f>MF$4 * IF(AND(ME$4=1,MB$20=1), MO104, MM104)</f>
        <v>0</v>
      </c>
      <c r="MG104" s="12">
        <f>MG$4 * IF(AND(MF$4=1,MB$20=1), MO104, MM104)</f>
        <v>0</v>
      </c>
      <c r="MH104" s="12">
        <f>MH$4 * IF(AND(MG$4=1,MB$20=1), MO104, MM104)</f>
        <v>0</v>
      </c>
      <c r="MI104" s="12">
        <f>MI$4 * IF(AND(MH$4=1,MB$20=1), MO104, MM104)</f>
        <v>0</v>
      </c>
      <c r="MJ104" s="12">
        <f>MJ$4 * IF(AND(MI$4=1,MB$20=1), MO104, MM104)</f>
        <v>0</v>
      </c>
      <c r="ML104" t="s">
        <v>1304</v>
      </c>
      <c r="MM104">
        <f>_xlfn.XLOOKUP(ML104,'KPI Impacts'!$B$2:$H$2,'KPI Impacts'!$B104:$H104)</f>
        <v>0</v>
      </c>
      <c r="MN104" s="9" t="s">
        <v>1304</v>
      </c>
      <c r="MO104">
        <f>_xlfn.XLOOKUP(MN104,'KPI Impacts'!$B$2:$H$2,'KPI Impacts'!$B104:$H104)</f>
        <v>0</v>
      </c>
      <c r="MR104" s="12">
        <f>MR$4*NC104</f>
        <v>0</v>
      </c>
      <c r="MS104" s="12">
        <f>MS$4 * IF(AND(MR$4=1,MR$20=1), NE104, NC104)</f>
        <v>0</v>
      </c>
      <c r="MT104" s="12">
        <f>MT$4 * IF(AND(MS$4=1,MR$20=1), NE104, NC104)</f>
        <v>0</v>
      </c>
      <c r="MU104" s="12">
        <f>MU$4 * IF(AND(MT$4=1,MR$20=1), NE104, NC104)</f>
        <v>0</v>
      </c>
      <c r="MV104" s="12">
        <f>MV$4 * IF(AND(MU$4=1,MR$20=1), NE104, NC104)</f>
        <v>0</v>
      </c>
      <c r="MW104" s="12">
        <f>MW$4 * IF(AND(MV$4=1,MR$20=1), NE104, NC104)</f>
        <v>0</v>
      </c>
      <c r="MX104" s="12">
        <f>MX$4 * IF(AND(MW$4=1,MR$20=1), NE104, NC104)</f>
        <v>0</v>
      </c>
      <c r="MY104" s="12">
        <f>MY$4 * IF(AND(MX$4=1,MR$20=1), NE104, NC104)</f>
        <v>0</v>
      </c>
      <c r="MZ104" s="12">
        <f>MZ$4 * IF(AND(MY$4=1,MR$20=1), NE104, NC104)</f>
        <v>0</v>
      </c>
      <c r="NB104" t="s">
        <v>1304</v>
      </c>
      <c r="NC104">
        <f>_xlfn.XLOOKUP(NB104,'KPI Impacts'!$B$2:$H$2,'KPI Impacts'!$B104:$H104)</f>
        <v>0</v>
      </c>
      <c r="ND104" s="9" t="s">
        <v>1304</v>
      </c>
      <c r="NE104">
        <f>_xlfn.XLOOKUP(ND104,'KPI Impacts'!$B$2:$H$2,'KPI Impacts'!$B104:$H104)</f>
        <v>0</v>
      </c>
      <c r="NH104" s="12">
        <f>NH$4*NS104</f>
        <v>0</v>
      </c>
      <c r="NI104" s="12">
        <f>NI$4 * IF(AND(NH$4=1,NH$20=1), NU104, NS104)</f>
        <v>0</v>
      </c>
      <c r="NJ104" s="12">
        <f>NJ$4 * IF(AND(NI$4=1,NH$20=1), NU104, NS104)</f>
        <v>0</v>
      </c>
      <c r="NK104" s="12">
        <f>NK$4 * IF(AND(NJ$4=1,NH$20=1), NU104, NS104)</f>
        <v>0</v>
      </c>
      <c r="NL104" s="12">
        <f>NL$4 * IF(AND(NK$4=1,NH$20=1), NU104, NS104)</f>
        <v>0</v>
      </c>
      <c r="NM104" s="12">
        <f>NM$4 * IF(AND(NL$4=1,NH$20=1), NU104, NS104)</f>
        <v>0</v>
      </c>
      <c r="NN104" s="12">
        <f>NN$4 * IF(AND(NM$4=1,NH$20=1), NU104, NS104)</f>
        <v>0</v>
      </c>
      <c r="NO104" s="12">
        <f>NO$4 * IF(AND(NN$4=1,NH$20=1), NU104, NS104)</f>
        <v>0</v>
      </c>
      <c r="NP104" s="12">
        <f>NP$4 * IF(AND(NO$4=1,NH$20=1), NU104, NS104)</f>
        <v>0</v>
      </c>
      <c r="NR104" t="s">
        <v>1304</v>
      </c>
      <c r="NS104">
        <f>_xlfn.XLOOKUP(NR104,'KPI Impacts'!$B$2:$H$2,'KPI Impacts'!$B104:$H104)</f>
        <v>0</v>
      </c>
      <c r="NT104" s="9" t="s">
        <v>1304</v>
      </c>
      <c r="NU104">
        <f>_xlfn.XLOOKUP(NT104,'KPI Impacts'!$B$2:$H$2,'KPI Impacts'!$B104:$H104)</f>
        <v>0</v>
      </c>
      <c r="NX104" s="12">
        <f>NX$4*OI104</f>
        <v>0</v>
      </c>
      <c r="NY104" s="12">
        <f>NY$4 * IF(AND(NX$4=1,NX$20=1), OK104, OI104)</f>
        <v>0</v>
      </c>
      <c r="NZ104" s="12">
        <f>NZ$4 * IF(AND(NY$4=1,NX$20=1), OK104, OI104)</f>
        <v>0</v>
      </c>
      <c r="OA104" s="12">
        <f>OA$4 * IF(AND(NZ$4=1,NX$20=1), OK104, OI104)</f>
        <v>0</v>
      </c>
      <c r="OB104" s="12">
        <f>OB$4 * IF(AND(OA$4=1,NX$20=1), OK104, OI104)</f>
        <v>0</v>
      </c>
      <c r="OC104" s="12">
        <f>OC$4 * IF(AND(OB$4=1,NX$20=1), OK104, OI104)</f>
        <v>0</v>
      </c>
      <c r="OD104" s="12">
        <f>OD$4 * IF(AND(OC$4=1,NX$20=1), OK104, OI104)</f>
        <v>0</v>
      </c>
      <c r="OE104" s="12">
        <f>OE$4 * IF(AND(OD$4=1,NX$20=1), OK104, OI104)</f>
        <v>0</v>
      </c>
      <c r="OF104" s="12">
        <f>OF$4 * IF(AND(OE$4=1,NX$20=1), OK104, OI104)</f>
        <v>0</v>
      </c>
      <c r="OH104" t="s">
        <v>1304</v>
      </c>
      <c r="OI104">
        <f>_xlfn.XLOOKUP(OH104,'KPI Impacts'!$B$2:$H$2,'KPI Impacts'!$B104:$H104)</f>
        <v>0</v>
      </c>
      <c r="OJ104" s="9" t="s">
        <v>1304</v>
      </c>
      <c r="OK104">
        <f>_xlfn.XLOOKUP(OJ104,'KPI Impacts'!$B$2:$H$2,'KPI Impacts'!$B104:$H104)</f>
        <v>0</v>
      </c>
    </row>
    <row r="105" spans="1:499" x14ac:dyDescent="0.2">
      <c r="B105" s="6"/>
      <c r="C105" s="6"/>
      <c r="D105" s="6"/>
      <c r="E105" s="6"/>
      <c r="F105" s="6"/>
      <c r="G105" s="6"/>
      <c r="H105" s="6"/>
      <c r="I105" s="6"/>
      <c r="J105" s="6"/>
      <c r="BL105" s="9"/>
      <c r="CB105" s="9"/>
      <c r="CR105" s="9"/>
      <c r="DH105" s="9"/>
      <c r="DX105" s="9"/>
      <c r="EN105" s="9"/>
      <c r="FD105" s="9"/>
      <c r="FT105" s="9"/>
      <c r="GJ105" s="9"/>
      <c r="GZ105" s="9"/>
      <c r="HP105" s="9"/>
      <c r="IF105" s="9"/>
      <c r="IV105" s="9"/>
      <c r="JL105" s="9"/>
      <c r="KB105" s="9"/>
      <c r="KR105" s="9"/>
      <c r="LH105" s="9"/>
      <c r="LX105" s="9"/>
      <c r="MN105" s="9"/>
      <c r="ND105" s="9"/>
      <c r="NT105" s="9"/>
      <c r="OJ105" s="9"/>
    </row>
    <row r="106" spans="1:499" x14ac:dyDescent="0.2">
      <c r="A106" s="3"/>
      <c r="BL106" s="9"/>
      <c r="CB106" s="9"/>
      <c r="CR106" s="9"/>
      <c r="DH106" s="9"/>
      <c r="DX106" s="9"/>
      <c r="EN106" s="9"/>
      <c r="FD106" s="9"/>
      <c r="FT106" s="9"/>
      <c r="GJ106" s="9"/>
      <c r="GM106" s="3"/>
      <c r="GZ106" s="9"/>
      <c r="HC106" s="3"/>
      <c r="HP106" s="9"/>
      <c r="HS106" s="3"/>
      <c r="IF106" s="9"/>
      <c r="II106" s="3"/>
      <c r="IV106" s="9"/>
      <c r="IY106" s="3"/>
      <c r="JL106" s="9"/>
      <c r="JO106" s="3"/>
      <c r="KB106" s="9"/>
      <c r="KE106" s="3"/>
      <c r="KR106" s="9"/>
      <c r="KU106" s="3"/>
      <c r="LH106" s="9"/>
      <c r="LK106" s="3"/>
      <c r="LX106" s="9"/>
      <c r="MA106" s="3"/>
      <c r="MN106" s="9"/>
      <c r="MQ106" s="3"/>
      <c r="ND106" s="9"/>
      <c r="NG106" s="3"/>
      <c r="NT106" s="9"/>
      <c r="NW106" s="3"/>
      <c r="OJ106" s="9"/>
      <c r="OY106" s="3"/>
      <c r="PM106" s="3"/>
      <c r="QA106" s="3"/>
      <c r="QO106" s="3"/>
      <c r="RC106" s="3"/>
      <c r="SE106" s="3"/>
    </row>
    <row r="107" spans="1:499" x14ac:dyDescent="0.2">
      <c r="A107" s="5" t="s">
        <v>42</v>
      </c>
      <c r="BL107" s="9"/>
      <c r="CB107" s="9"/>
      <c r="CR107" s="9"/>
      <c r="DH107" s="9"/>
      <c r="DX107" s="9"/>
      <c r="EN107" s="9"/>
      <c r="FD107" s="9"/>
      <c r="FT107" s="9"/>
      <c r="GJ107" s="9"/>
      <c r="GZ107" s="9"/>
      <c r="HP107" s="9"/>
      <c r="IF107" s="9"/>
      <c r="IV107" s="9"/>
      <c r="JL107" s="9"/>
      <c r="KB107" s="9"/>
      <c r="KR107" s="9"/>
      <c r="LH107" s="9"/>
      <c r="LX107" s="9"/>
      <c r="MN107" s="9"/>
      <c r="ND107" s="9"/>
      <c r="NT107" s="9"/>
      <c r="OJ107" s="9"/>
    </row>
    <row r="108" spans="1:499" x14ac:dyDescent="0.2">
      <c r="A108" t="s">
        <v>1615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BL108" s="9"/>
      <c r="CB108" s="9"/>
      <c r="CR108" s="9"/>
      <c r="DH108" s="9"/>
      <c r="DX108" s="9"/>
      <c r="EN108" s="9"/>
      <c r="FD108" s="9"/>
      <c r="FT108" s="9"/>
      <c r="GJ108" s="9"/>
      <c r="GZ108" s="9"/>
      <c r="HP108" s="9"/>
      <c r="IF108" s="9"/>
      <c r="IV108" s="9"/>
      <c r="JL108" s="9"/>
      <c r="KB108" s="9"/>
      <c r="KR108" s="9"/>
      <c r="LH108" s="9"/>
      <c r="LX108" s="9"/>
      <c r="MN108" s="9"/>
      <c r="ND108" s="9"/>
      <c r="NT108" s="9"/>
      <c r="OJ108" s="9"/>
    </row>
    <row r="109" spans="1:499" x14ac:dyDescent="0.2">
      <c r="A109" t="s">
        <v>1616</v>
      </c>
      <c r="B109" s="8">
        <f>P6+AH6+AZ11+BP11+CF11+CV11+DL11+EB11+ER11+FH11+FX11+GN11+HD11+HT11+IJ11+IZ11+JP11+KF11+KV11+LL11+MB11+MR11+NH11+NX11</f>
        <v>0</v>
      </c>
      <c r="C109" s="8">
        <f t="shared" ref="C109:J109" si="515">Q6+AI6+BA11+BQ11+CG11+CW11+DM11+EC11+ES11+FI11+FY11+GO11+HE11+HU11+IK11+JA11+JQ11+KG11+KW11+LM11+MC11+MS11+NI11+NY11</f>
        <v>0</v>
      </c>
      <c r="D109" s="8">
        <f t="shared" si="515"/>
        <v>0</v>
      </c>
      <c r="E109" s="8">
        <f t="shared" si="515"/>
        <v>0</v>
      </c>
      <c r="F109" s="8">
        <f t="shared" si="515"/>
        <v>0</v>
      </c>
      <c r="G109" s="8">
        <f t="shared" si="515"/>
        <v>0</v>
      </c>
      <c r="H109" s="8">
        <f t="shared" si="515"/>
        <v>0</v>
      </c>
      <c r="I109" s="8">
        <f>W6+AO6+BG11+BW11+CM11+DC11+DS11+EI11+EY11+FO11+GE11+GU11+HK11+IA11+IQ11+JG11+JW11+KM11+LC11+LS11+MI11+MY11+NO11+OE11</f>
        <v>0</v>
      </c>
      <c r="J109" s="8">
        <f t="shared" si="515"/>
        <v>0</v>
      </c>
      <c r="K109" s="8"/>
      <c r="L109" s="8"/>
      <c r="M109" s="8"/>
      <c r="BL109" s="9"/>
      <c r="CB109" s="9"/>
      <c r="CR109" s="9"/>
      <c r="DH109" s="9"/>
      <c r="DX109" s="9"/>
      <c r="EN109" s="9"/>
      <c r="FD109" s="9"/>
      <c r="FT109" s="9"/>
      <c r="GJ109" s="9"/>
      <c r="GZ109" s="9"/>
      <c r="HP109" s="9"/>
      <c r="IF109" s="9"/>
      <c r="IV109" s="9"/>
      <c r="JL109" s="9"/>
      <c r="KB109" s="9"/>
      <c r="KR109" s="9"/>
      <c r="LH109" s="9"/>
      <c r="LX109" s="9"/>
      <c r="MN109" s="9"/>
      <c r="ND109" s="9"/>
      <c r="NT109" s="9"/>
      <c r="OJ109" s="9"/>
    </row>
    <row r="110" spans="1:499" x14ac:dyDescent="0.2">
      <c r="A110" t="s">
        <v>1621</v>
      </c>
      <c r="B110" s="10">
        <f t="shared" ref="B110:J110" si="516">AZ13+BP13+CF13+CV13+DL13+EB13+ER13+FH13+FX13+GN13+HD13+HT13+IJ13+IZ13+JP13+KF13+KV13+LL13+MB13+MR13+NH13+NX13</f>
        <v>0</v>
      </c>
      <c r="C110" s="10">
        <f t="shared" si="516"/>
        <v>0</v>
      </c>
      <c r="D110" s="10">
        <f t="shared" si="516"/>
        <v>0</v>
      </c>
      <c r="E110" s="10">
        <f t="shared" si="516"/>
        <v>0</v>
      </c>
      <c r="F110" s="10">
        <f t="shared" si="516"/>
        <v>0</v>
      </c>
      <c r="G110" s="10">
        <f t="shared" si="516"/>
        <v>0</v>
      </c>
      <c r="H110" s="10">
        <f t="shared" si="516"/>
        <v>0</v>
      </c>
      <c r="I110" s="10">
        <f t="shared" si="516"/>
        <v>0</v>
      </c>
      <c r="J110" s="10">
        <f t="shared" si="516"/>
        <v>0</v>
      </c>
      <c r="BL110" s="9"/>
      <c r="CB110" s="9"/>
      <c r="CR110" s="9"/>
      <c r="DH110" s="9"/>
      <c r="DX110" s="9"/>
      <c r="EN110" s="9"/>
      <c r="FD110" s="9"/>
      <c r="FT110" s="9"/>
      <c r="GJ110" s="9"/>
      <c r="GZ110" s="9"/>
      <c r="HP110" s="9"/>
      <c r="IF110" s="9"/>
      <c r="IV110" s="9"/>
      <c r="JL110" s="9"/>
      <c r="KB110" s="9"/>
      <c r="KR110" s="9"/>
      <c r="LH110" s="9"/>
      <c r="LX110" s="9"/>
      <c r="MN110" s="9"/>
      <c r="ND110" s="9"/>
      <c r="NT110" s="9"/>
      <c r="OJ110" s="9"/>
    </row>
    <row r="111" spans="1:499" x14ac:dyDescent="0.2">
      <c r="A111" t="s">
        <v>1617</v>
      </c>
      <c r="B111" s="10">
        <f>B108-B110</f>
        <v>0</v>
      </c>
      <c r="C111" s="10">
        <f t="shared" ref="C111:J111" si="517">C108-C110</f>
        <v>100000000</v>
      </c>
      <c r="D111" s="10">
        <f t="shared" si="517"/>
        <v>100000000</v>
      </c>
      <c r="E111" s="10">
        <f t="shared" si="517"/>
        <v>100000000</v>
      </c>
      <c r="F111" s="10">
        <f t="shared" si="517"/>
        <v>100000000</v>
      </c>
      <c r="G111" s="10">
        <f t="shared" si="517"/>
        <v>100000000</v>
      </c>
      <c r="H111" s="10">
        <f t="shared" si="517"/>
        <v>100000000</v>
      </c>
      <c r="I111" s="10">
        <f t="shared" si="517"/>
        <v>100000000</v>
      </c>
      <c r="J111" s="10">
        <f t="shared" si="517"/>
        <v>100000000</v>
      </c>
      <c r="BL111" s="9"/>
      <c r="CB111" s="9"/>
      <c r="CR111" s="9"/>
      <c r="DH111" s="9"/>
      <c r="DX111" s="9"/>
      <c r="EN111" s="9"/>
      <c r="FD111" s="9"/>
      <c r="FT111" s="9"/>
      <c r="GJ111" s="9"/>
      <c r="GZ111" s="9"/>
      <c r="HP111" s="9"/>
      <c r="IF111" s="9"/>
      <c r="IV111" s="9"/>
      <c r="JL111" s="9"/>
      <c r="KB111" s="9"/>
      <c r="KR111" s="9"/>
      <c r="LH111" s="9"/>
      <c r="LX111" s="9"/>
      <c r="MN111" s="9"/>
      <c r="ND111" s="9"/>
      <c r="NT111" s="9"/>
      <c r="OJ111" s="9"/>
    </row>
    <row r="112" spans="1:499" x14ac:dyDescent="0.2">
      <c r="A112" t="s">
        <v>1618</v>
      </c>
      <c r="B112" s="8">
        <f>B109+B110</f>
        <v>0</v>
      </c>
      <c r="C112" s="8">
        <f t="shared" ref="C112:J112" si="518">C109+C110</f>
        <v>0</v>
      </c>
      <c r="D112" s="8">
        <f t="shared" si="518"/>
        <v>0</v>
      </c>
      <c r="E112" s="8">
        <f t="shared" si="518"/>
        <v>0</v>
      </c>
      <c r="F112" s="8">
        <f t="shared" si="518"/>
        <v>0</v>
      </c>
      <c r="G112" s="8">
        <f t="shared" si="518"/>
        <v>0</v>
      </c>
      <c r="H112" s="8">
        <f t="shared" si="518"/>
        <v>0</v>
      </c>
      <c r="I112" s="8">
        <f t="shared" si="518"/>
        <v>0</v>
      </c>
      <c r="J112" s="8">
        <f t="shared" si="518"/>
        <v>0</v>
      </c>
      <c r="O112" s="5"/>
      <c r="AG112" s="5"/>
      <c r="BL112" s="9"/>
      <c r="CB112" s="9"/>
      <c r="CR112" s="9"/>
      <c r="DH112" s="9"/>
      <c r="DX112" s="9"/>
      <c r="EN112" s="9"/>
      <c r="FD112" s="9"/>
      <c r="FT112" s="9"/>
      <c r="GJ112" s="9"/>
      <c r="GZ112" s="9"/>
      <c r="HP112" s="9"/>
      <c r="IF112" s="9"/>
      <c r="IV112" s="9"/>
      <c r="JL112" s="9"/>
      <c r="KB112" s="9"/>
      <c r="KR112" s="9"/>
      <c r="LH112" s="9"/>
      <c r="LX112" s="9"/>
      <c r="MN112" s="9"/>
      <c r="ND112" s="9"/>
      <c r="NT112" s="9"/>
      <c r="OJ112" s="9"/>
    </row>
    <row r="113" spans="1:400" x14ac:dyDescent="0.2">
      <c r="A113" t="s">
        <v>1619</v>
      </c>
      <c r="B113" s="8">
        <f>B108-B112</f>
        <v>0</v>
      </c>
      <c r="C113" s="8">
        <f t="shared" ref="C113:J113" si="519">C108-C112</f>
        <v>100000000</v>
      </c>
      <c r="D113" s="8">
        <f t="shared" si="519"/>
        <v>100000000</v>
      </c>
      <c r="E113" s="8">
        <f t="shared" si="519"/>
        <v>100000000</v>
      </c>
      <c r="F113" s="8">
        <f t="shared" si="519"/>
        <v>100000000</v>
      </c>
      <c r="G113" s="8">
        <f t="shared" si="519"/>
        <v>100000000</v>
      </c>
      <c r="H113" s="8">
        <f t="shared" si="519"/>
        <v>100000000</v>
      </c>
      <c r="I113" s="8">
        <f t="shared" si="519"/>
        <v>100000000</v>
      </c>
      <c r="J113" s="8">
        <f t="shared" si="519"/>
        <v>100000000</v>
      </c>
      <c r="K113" s="8"/>
      <c r="L113" s="8"/>
      <c r="M113" s="8"/>
      <c r="AY113" s="5"/>
      <c r="BL113" s="9"/>
      <c r="BO113" s="5"/>
      <c r="CB113" s="9"/>
      <c r="CE113" s="5"/>
      <c r="CR113" s="9"/>
      <c r="CU113" s="5"/>
      <c r="DH113" s="9"/>
      <c r="DK113" s="5"/>
      <c r="DX113" s="9"/>
      <c r="EA113" s="5"/>
      <c r="EN113" s="9"/>
      <c r="EQ113" s="5"/>
      <c r="FD113" s="9"/>
      <c r="FG113" s="5"/>
      <c r="FT113" s="9"/>
      <c r="FW113" s="5"/>
      <c r="GJ113" s="9"/>
      <c r="GZ113" s="9"/>
      <c r="HP113" s="9"/>
      <c r="IF113" s="9"/>
      <c r="IV113" s="9"/>
      <c r="JL113" s="9"/>
      <c r="KB113" s="9"/>
      <c r="KR113" s="9"/>
      <c r="LH113" s="9"/>
      <c r="LX113" s="9"/>
      <c r="MN113" s="9"/>
      <c r="ND113" s="9"/>
      <c r="NT113" s="9"/>
      <c r="OJ113" s="9"/>
    </row>
    <row r="114" spans="1:400" x14ac:dyDescent="0.2">
      <c r="A114" t="s">
        <v>1620</v>
      </c>
      <c r="B114" s="8">
        <f>C110</f>
        <v>0</v>
      </c>
      <c r="C114" s="8">
        <f t="shared" ref="C114:I114" si="520">D110</f>
        <v>0</v>
      </c>
      <c r="D114" s="8">
        <f t="shared" si="520"/>
        <v>0</v>
      </c>
      <c r="E114" s="8">
        <f t="shared" si="520"/>
        <v>0</v>
      </c>
      <c r="F114" s="8">
        <f t="shared" si="520"/>
        <v>0</v>
      </c>
      <c r="G114" s="8">
        <f t="shared" si="520"/>
        <v>0</v>
      </c>
      <c r="H114" s="8">
        <f t="shared" si="520"/>
        <v>0</v>
      </c>
      <c r="I114" s="8">
        <f t="shared" si="520"/>
        <v>0</v>
      </c>
      <c r="J114" s="8">
        <f>K110</f>
        <v>0</v>
      </c>
      <c r="K114" s="8"/>
      <c r="L114" s="8"/>
      <c r="M114" s="8"/>
      <c r="BL114" s="9"/>
      <c r="CB114" s="9"/>
      <c r="CR114" s="9"/>
      <c r="DH114" s="9"/>
      <c r="DX114" s="9"/>
      <c r="EN114" s="9"/>
      <c r="FD114" s="9"/>
      <c r="FT114" s="9"/>
      <c r="GJ114" s="9"/>
      <c r="GZ114" s="9"/>
      <c r="HP114" s="9"/>
      <c r="IF114" s="9"/>
      <c r="IV114" s="9"/>
      <c r="JL114" s="9"/>
      <c r="KB114" s="9"/>
      <c r="KR114" s="9"/>
      <c r="LH114" s="9"/>
      <c r="LX114" s="9"/>
      <c r="MN114" s="9"/>
      <c r="ND114" s="9"/>
      <c r="NT114" s="9"/>
      <c r="OJ114" s="9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B17B-E65F-774D-9FC2-CE5F8D209913}">
  <dimension ref="A1:SN114"/>
  <sheetViews>
    <sheetView zoomScaleNormal="100" workbookViewId="0">
      <pane xSplit="1" ySplit="20" topLeftCell="IG21" activePane="bottomRight" state="frozen"/>
      <selection pane="topRight" activeCell="B1" sqref="B1"/>
      <selection pane="bottomLeft" activeCell="A21" sqref="A21"/>
      <selection pane="bottomRight" activeCell="IY63" sqref="IY63"/>
    </sheetView>
  </sheetViews>
  <sheetFormatPr baseColWidth="10" defaultColWidth="13.83203125" defaultRowHeight="15" x14ac:dyDescent="0.2"/>
  <cols>
    <col min="1" max="1" width="25.83203125" customWidth="1"/>
    <col min="2" max="10" width="16.5" customWidth="1"/>
    <col min="15" max="15" width="25.83203125" customWidth="1"/>
    <col min="33" max="33" width="25.83203125" customWidth="1"/>
    <col min="51" max="51" width="25.83203125" customWidth="1"/>
    <col min="67" max="67" width="25.83203125" customWidth="1"/>
    <col min="83" max="83" width="25.83203125" customWidth="1"/>
    <col min="99" max="99" width="25.83203125" customWidth="1"/>
    <col min="115" max="115" width="25.83203125" customWidth="1"/>
    <col min="131" max="131" width="25.83203125" customWidth="1"/>
    <col min="147" max="147" width="25.83203125" customWidth="1"/>
    <col min="163" max="163" width="23.6640625" customWidth="1"/>
    <col min="179" max="179" width="23.6640625" customWidth="1"/>
    <col min="195" max="195" width="23.6640625" customWidth="1"/>
    <col min="211" max="211" width="23.6640625" customWidth="1"/>
    <col min="227" max="227" width="23.6640625" customWidth="1"/>
    <col min="243" max="243" width="23.6640625" customWidth="1"/>
    <col min="259" max="259" width="23.6640625" customWidth="1"/>
    <col min="275" max="275" width="23.6640625" customWidth="1"/>
    <col min="291" max="291" width="23.6640625" customWidth="1"/>
    <col min="307" max="307" width="23.6640625" customWidth="1"/>
    <col min="323" max="323" width="23.6640625" customWidth="1"/>
    <col min="339" max="339" width="23.6640625" customWidth="1"/>
    <col min="355" max="355" width="23.6640625" customWidth="1"/>
    <col min="371" max="371" width="23.6640625" customWidth="1"/>
    <col min="387" max="387" width="23.6640625" customWidth="1"/>
  </cols>
  <sheetData>
    <row r="1" spans="1:508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 s="9"/>
      <c r="P1">
        <v>0</v>
      </c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Z1" s="26" t="s">
        <v>10</v>
      </c>
      <c r="AA1" s="6"/>
      <c r="AB1" s="26" t="s">
        <v>7</v>
      </c>
      <c r="AC1" s="6"/>
      <c r="AD1" s="26" t="s">
        <v>11</v>
      </c>
      <c r="AE1" s="6"/>
      <c r="AH1">
        <v>0</v>
      </c>
      <c r="AI1">
        <v>1</v>
      </c>
      <c r="AJ1">
        <v>2</v>
      </c>
      <c r="AK1">
        <v>3</v>
      </c>
      <c r="AL1">
        <v>4</v>
      </c>
      <c r="AM1">
        <v>5</v>
      </c>
      <c r="AN1">
        <v>6</v>
      </c>
      <c r="AO1">
        <v>7</v>
      </c>
      <c r="AP1">
        <v>8</v>
      </c>
      <c r="AR1" s="26" t="s">
        <v>10</v>
      </c>
      <c r="AS1" s="6"/>
      <c r="AT1" s="26" t="s">
        <v>7</v>
      </c>
      <c r="AU1" s="6"/>
      <c r="AV1" s="26" t="s">
        <v>11</v>
      </c>
      <c r="AW1" s="6"/>
      <c r="AZ1">
        <v>0</v>
      </c>
      <c r="BA1">
        <v>1</v>
      </c>
      <c r="BB1">
        <v>2</v>
      </c>
      <c r="BC1">
        <v>3</v>
      </c>
      <c r="BD1">
        <v>4</v>
      </c>
      <c r="BE1">
        <v>5</v>
      </c>
      <c r="BF1">
        <v>6</v>
      </c>
      <c r="BG1">
        <v>7</v>
      </c>
      <c r="BH1">
        <v>8</v>
      </c>
      <c r="BJ1" s="34" t="s">
        <v>1870</v>
      </c>
      <c r="BK1" s="6"/>
      <c r="BL1" s="34" t="s">
        <v>1871</v>
      </c>
      <c r="BM1" s="6"/>
      <c r="BP1">
        <v>0</v>
      </c>
      <c r="BQ1">
        <v>1</v>
      </c>
      <c r="BR1">
        <v>2</v>
      </c>
      <c r="BS1">
        <v>3</v>
      </c>
      <c r="BT1">
        <v>4</v>
      </c>
      <c r="BU1">
        <v>5</v>
      </c>
      <c r="BV1">
        <v>6</v>
      </c>
      <c r="BW1">
        <v>7</v>
      </c>
      <c r="BX1">
        <v>8</v>
      </c>
      <c r="BZ1" s="34" t="s">
        <v>1870</v>
      </c>
      <c r="CA1" s="6"/>
      <c r="CB1" s="34" t="s">
        <v>1871</v>
      </c>
      <c r="CC1" s="6"/>
      <c r="CF1">
        <v>0</v>
      </c>
      <c r="CG1">
        <v>1</v>
      </c>
      <c r="CH1">
        <v>2</v>
      </c>
      <c r="CI1">
        <v>3</v>
      </c>
      <c r="CJ1">
        <v>4</v>
      </c>
      <c r="CK1">
        <v>5</v>
      </c>
      <c r="CL1">
        <v>6</v>
      </c>
      <c r="CM1">
        <v>7</v>
      </c>
      <c r="CN1">
        <v>8</v>
      </c>
      <c r="CP1" s="34" t="s">
        <v>1870</v>
      </c>
      <c r="CQ1" s="6"/>
      <c r="CR1" s="34" t="s">
        <v>1871</v>
      </c>
      <c r="CS1" s="6"/>
      <c r="CV1">
        <v>0</v>
      </c>
      <c r="CW1">
        <v>1</v>
      </c>
      <c r="CX1">
        <v>2</v>
      </c>
      <c r="CY1">
        <v>3</v>
      </c>
      <c r="CZ1">
        <v>4</v>
      </c>
      <c r="DA1">
        <v>5</v>
      </c>
      <c r="DB1">
        <v>6</v>
      </c>
      <c r="DC1">
        <v>7</v>
      </c>
      <c r="DD1">
        <v>8</v>
      </c>
      <c r="DF1" s="34" t="s">
        <v>1870</v>
      </c>
      <c r="DG1" s="6"/>
      <c r="DH1" s="34" t="s">
        <v>1871</v>
      </c>
      <c r="DI1" s="6"/>
      <c r="DL1">
        <v>0</v>
      </c>
      <c r="DM1">
        <v>1</v>
      </c>
      <c r="DN1">
        <v>2</v>
      </c>
      <c r="DO1">
        <v>3</v>
      </c>
      <c r="DP1">
        <v>4</v>
      </c>
      <c r="DQ1">
        <v>5</v>
      </c>
      <c r="DR1">
        <v>6</v>
      </c>
      <c r="DS1">
        <v>7</v>
      </c>
      <c r="DT1">
        <v>8</v>
      </c>
      <c r="DV1" s="34" t="s">
        <v>1870</v>
      </c>
      <c r="DW1" s="6"/>
      <c r="DX1" s="34" t="s">
        <v>1871</v>
      </c>
      <c r="DY1" s="6"/>
      <c r="EB1">
        <v>0</v>
      </c>
      <c r="EC1">
        <v>1</v>
      </c>
      <c r="ED1">
        <v>2</v>
      </c>
      <c r="EE1">
        <v>3</v>
      </c>
      <c r="EF1">
        <v>4</v>
      </c>
      <c r="EG1">
        <v>5</v>
      </c>
      <c r="EH1">
        <v>6</v>
      </c>
      <c r="EI1">
        <v>7</v>
      </c>
      <c r="EJ1">
        <v>8</v>
      </c>
      <c r="EL1" s="34" t="s">
        <v>1870</v>
      </c>
      <c r="EM1" s="6"/>
      <c r="EN1" s="34" t="s">
        <v>1871</v>
      </c>
      <c r="EO1" s="6"/>
      <c r="ER1">
        <v>0</v>
      </c>
      <c r="ES1">
        <v>1</v>
      </c>
      <c r="ET1">
        <v>2</v>
      </c>
      <c r="EU1">
        <v>3</v>
      </c>
      <c r="EV1">
        <v>4</v>
      </c>
      <c r="EW1">
        <v>5</v>
      </c>
      <c r="EX1">
        <v>6</v>
      </c>
      <c r="EY1">
        <v>7</v>
      </c>
      <c r="EZ1">
        <v>8</v>
      </c>
      <c r="FB1" s="5" t="s">
        <v>1870</v>
      </c>
      <c r="FC1" s="6"/>
      <c r="FD1" s="5" t="s">
        <v>1871</v>
      </c>
      <c r="FE1" s="6"/>
      <c r="FH1">
        <v>0</v>
      </c>
      <c r="FI1">
        <v>1</v>
      </c>
      <c r="FJ1">
        <v>2</v>
      </c>
      <c r="FK1">
        <v>3</v>
      </c>
      <c r="FL1">
        <v>4</v>
      </c>
      <c r="FM1">
        <v>5</v>
      </c>
      <c r="FN1">
        <v>6</v>
      </c>
      <c r="FO1">
        <v>7</v>
      </c>
      <c r="FP1">
        <v>8</v>
      </c>
      <c r="FR1" s="5" t="s">
        <v>1870</v>
      </c>
      <c r="FS1" s="6"/>
      <c r="FT1" s="5" t="s">
        <v>1871</v>
      </c>
      <c r="FU1" s="6"/>
      <c r="FX1">
        <v>0</v>
      </c>
      <c r="FY1">
        <v>1</v>
      </c>
      <c r="FZ1">
        <v>2</v>
      </c>
      <c r="GA1">
        <v>3</v>
      </c>
      <c r="GB1">
        <v>4</v>
      </c>
      <c r="GC1">
        <v>5</v>
      </c>
      <c r="GD1">
        <v>6</v>
      </c>
      <c r="GE1">
        <v>7</v>
      </c>
      <c r="GF1">
        <v>8</v>
      </c>
      <c r="GH1" s="5" t="s">
        <v>1870</v>
      </c>
      <c r="GJ1" s="5" t="s">
        <v>1871</v>
      </c>
      <c r="GN1">
        <v>0</v>
      </c>
      <c r="GO1">
        <v>1</v>
      </c>
      <c r="GP1">
        <v>2</v>
      </c>
      <c r="GQ1">
        <v>3</v>
      </c>
      <c r="GR1">
        <v>4</v>
      </c>
      <c r="GS1">
        <v>5</v>
      </c>
      <c r="GT1">
        <v>6</v>
      </c>
      <c r="GU1">
        <v>7</v>
      </c>
      <c r="GV1">
        <v>8</v>
      </c>
      <c r="GX1" s="5" t="s">
        <v>1870</v>
      </c>
      <c r="GZ1" s="5" t="s">
        <v>1871</v>
      </c>
      <c r="HD1">
        <v>0</v>
      </c>
      <c r="HE1">
        <v>1</v>
      </c>
      <c r="HF1">
        <v>2</v>
      </c>
      <c r="HG1">
        <v>3</v>
      </c>
      <c r="HH1">
        <v>4</v>
      </c>
      <c r="HI1">
        <v>5</v>
      </c>
      <c r="HJ1">
        <v>6</v>
      </c>
      <c r="HK1">
        <v>7</v>
      </c>
      <c r="HL1">
        <v>8</v>
      </c>
      <c r="HN1" s="5" t="s">
        <v>1870</v>
      </c>
      <c r="HP1" s="5" t="s">
        <v>1871</v>
      </c>
      <c r="HT1">
        <v>0</v>
      </c>
      <c r="HU1">
        <v>1</v>
      </c>
      <c r="HV1">
        <v>2</v>
      </c>
      <c r="HW1">
        <v>3</v>
      </c>
      <c r="HX1">
        <v>4</v>
      </c>
      <c r="HY1">
        <v>5</v>
      </c>
      <c r="HZ1">
        <v>6</v>
      </c>
      <c r="IA1">
        <v>7</v>
      </c>
      <c r="IB1">
        <v>8</v>
      </c>
      <c r="ID1" s="5" t="s">
        <v>1870</v>
      </c>
      <c r="IF1" s="5" t="s">
        <v>1871</v>
      </c>
      <c r="IJ1">
        <v>0</v>
      </c>
      <c r="IK1">
        <v>1</v>
      </c>
      <c r="IL1">
        <v>2</v>
      </c>
      <c r="IM1">
        <v>3</v>
      </c>
      <c r="IN1">
        <v>4</v>
      </c>
      <c r="IO1">
        <v>5</v>
      </c>
      <c r="IP1">
        <v>6</v>
      </c>
      <c r="IQ1">
        <v>7</v>
      </c>
      <c r="IR1">
        <v>8</v>
      </c>
      <c r="IT1" s="5" t="s">
        <v>1870</v>
      </c>
      <c r="IV1" s="5" t="s">
        <v>1871</v>
      </c>
      <c r="IZ1">
        <v>0</v>
      </c>
      <c r="JA1">
        <v>1</v>
      </c>
      <c r="JB1">
        <v>2</v>
      </c>
      <c r="JC1">
        <v>3</v>
      </c>
      <c r="JD1">
        <v>4</v>
      </c>
      <c r="JE1">
        <v>5</v>
      </c>
      <c r="JF1">
        <v>6</v>
      </c>
      <c r="JG1">
        <v>7</v>
      </c>
      <c r="JH1">
        <v>8</v>
      </c>
      <c r="JJ1" s="5" t="s">
        <v>1870</v>
      </c>
      <c r="JL1" s="5" t="s">
        <v>1871</v>
      </c>
      <c r="JP1">
        <v>0</v>
      </c>
      <c r="JQ1">
        <v>1</v>
      </c>
      <c r="JR1">
        <v>2</v>
      </c>
      <c r="JS1">
        <v>3</v>
      </c>
      <c r="JT1">
        <v>4</v>
      </c>
      <c r="JU1">
        <v>5</v>
      </c>
      <c r="JV1">
        <v>6</v>
      </c>
      <c r="JW1">
        <v>7</v>
      </c>
      <c r="JX1">
        <v>8</v>
      </c>
      <c r="JZ1" s="5" t="s">
        <v>1870</v>
      </c>
      <c r="KB1" s="5" t="s">
        <v>1871</v>
      </c>
      <c r="KF1">
        <v>0</v>
      </c>
      <c r="KG1">
        <v>1</v>
      </c>
      <c r="KH1">
        <v>2</v>
      </c>
      <c r="KI1">
        <v>3</v>
      </c>
      <c r="KJ1">
        <v>4</v>
      </c>
      <c r="KK1">
        <v>5</v>
      </c>
      <c r="KL1">
        <v>6</v>
      </c>
      <c r="KM1">
        <v>7</v>
      </c>
      <c r="KN1">
        <v>8</v>
      </c>
      <c r="KP1" s="5" t="s">
        <v>1870</v>
      </c>
      <c r="KR1" s="5" t="s">
        <v>1871</v>
      </c>
      <c r="KV1">
        <v>0</v>
      </c>
      <c r="KW1">
        <v>1</v>
      </c>
      <c r="KX1">
        <v>2</v>
      </c>
      <c r="KY1">
        <v>3</v>
      </c>
      <c r="KZ1">
        <v>4</v>
      </c>
      <c r="LA1">
        <v>5</v>
      </c>
      <c r="LB1">
        <v>6</v>
      </c>
      <c r="LC1">
        <v>7</v>
      </c>
      <c r="LD1">
        <v>8</v>
      </c>
      <c r="LF1" s="5" t="s">
        <v>1870</v>
      </c>
      <c r="LH1" s="5" t="s">
        <v>1871</v>
      </c>
      <c r="LL1">
        <v>0</v>
      </c>
      <c r="LM1">
        <v>1</v>
      </c>
      <c r="LN1">
        <v>2</v>
      </c>
      <c r="LO1">
        <v>3</v>
      </c>
      <c r="LP1">
        <v>4</v>
      </c>
      <c r="LQ1">
        <v>5</v>
      </c>
      <c r="LR1">
        <v>6</v>
      </c>
      <c r="LS1">
        <v>7</v>
      </c>
      <c r="LT1">
        <v>8</v>
      </c>
      <c r="LV1" s="5" t="s">
        <v>1870</v>
      </c>
      <c r="LX1" s="5" t="s">
        <v>1871</v>
      </c>
      <c r="MB1">
        <v>0</v>
      </c>
      <c r="MC1">
        <v>1</v>
      </c>
      <c r="MD1">
        <v>2</v>
      </c>
      <c r="ME1">
        <v>3</v>
      </c>
      <c r="MF1">
        <v>4</v>
      </c>
      <c r="MG1">
        <v>5</v>
      </c>
      <c r="MH1">
        <v>6</v>
      </c>
      <c r="MI1">
        <v>7</v>
      </c>
      <c r="MJ1">
        <v>8</v>
      </c>
      <c r="ML1" s="5" t="s">
        <v>1870</v>
      </c>
      <c r="MN1" s="5" t="s">
        <v>1871</v>
      </c>
      <c r="MR1">
        <v>0</v>
      </c>
      <c r="MS1">
        <v>1</v>
      </c>
      <c r="MT1">
        <v>2</v>
      </c>
      <c r="MU1">
        <v>3</v>
      </c>
      <c r="MV1">
        <v>4</v>
      </c>
      <c r="MW1">
        <v>5</v>
      </c>
      <c r="MX1">
        <v>6</v>
      </c>
      <c r="MY1">
        <v>7</v>
      </c>
      <c r="MZ1">
        <v>8</v>
      </c>
      <c r="NB1" s="5" t="s">
        <v>1870</v>
      </c>
      <c r="ND1" s="5" t="s">
        <v>1871</v>
      </c>
      <c r="NH1">
        <v>0</v>
      </c>
      <c r="NI1">
        <v>1</v>
      </c>
      <c r="NJ1">
        <v>2</v>
      </c>
      <c r="NK1">
        <v>3</v>
      </c>
      <c r="NL1">
        <v>4</v>
      </c>
      <c r="NM1">
        <v>5</v>
      </c>
      <c r="NN1">
        <v>6</v>
      </c>
      <c r="NO1">
        <v>7</v>
      </c>
      <c r="NP1">
        <v>8</v>
      </c>
      <c r="NR1" s="5" t="s">
        <v>1870</v>
      </c>
      <c r="NT1" s="5" t="s">
        <v>1871</v>
      </c>
      <c r="NX1">
        <v>0</v>
      </c>
      <c r="NY1">
        <v>1</v>
      </c>
      <c r="NZ1">
        <v>2</v>
      </c>
      <c r="OA1">
        <v>3</v>
      </c>
      <c r="OB1">
        <v>4</v>
      </c>
      <c r="OC1">
        <v>5</v>
      </c>
      <c r="OD1">
        <v>6</v>
      </c>
      <c r="OE1">
        <v>7</v>
      </c>
      <c r="OF1">
        <v>8</v>
      </c>
      <c r="OH1" s="5" t="s">
        <v>1870</v>
      </c>
      <c r="OJ1" s="5" t="s">
        <v>1871</v>
      </c>
    </row>
    <row r="2" spans="1:508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Z2" s="6" t="s">
        <v>1321</v>
      </c>
      <c r="AA2" s="6" t="s">
        <v>1320</v>
      </c>
      <c r="AB2" s="6" t="s">
        <v>1321</v>
      </c>
      <c r="AC2" s="6" t="s">
        <v>1320</v>
      </c>
      <c r="AD2" s="6" t="s">
        <v>1321</v>
      </c>
      <c r="AE2" s="6" t="s">
        <v>1320</v>
      </c>
      <c r="AR2" s="6" t="s">
        <v>1321</v>
      </c>
      <c r="AS2" s="6" t="s">
        <v>1320</v>
      </c>
      <c r="AT2" s="6" t="s">
        <v>1321</v>
      </c>
      <c r="AU2" s="6" t="s">
        <v>1320</v>
      </c>
      <c r="AV2" s="6" t="s">
        <v>1321</v>
      </c>
      <c r="AW2" s="6" t="s">
        <v>1320</v>
      </c>
      <c r="BJ2" s="6" t="s">
        <v>1321</v>
      </c>
      <c r="BK2" s="6" t="s">
        <v>1320</v>
      </c>
      <c r="BL2" s="6" t="s">
        <v>1321</v>
      </c>
      <c r="BM2" s="6" t="s">
        <v>1320</v>
      </c>
      <c r="BZ2" s="6" t="s">
        <v>1321</v>
      </c>
      <c r="CA2" s="6" t="s">
        <v>1320</v>
      </c>
      <c r="CB2" s="6" t="s">
        <v>1321</v>
      </c>
      <c r="CC2" s="6" t="s">
        <v>1320</v>
      </c>
      <c r="CP2" s="6" t="s">
        <v>1321</v>
      </c>
      <c r="CQ2" s="6" t="s">
        <v>1320</v>
      </c>
      <c r="CR2" s="6" t="s">
        <v>1321</v>
      </c>
      <c r="CS2" s="6" t="s">
        <v>1320</v>
      </c>
      <c r="DF2" s="6" t="s">
        <v>1321</v>
      </c>
      <c r="DG2" s="6" t="s">
        <v>1320</v>
      </c>
      <c r="DH2" s="6" t="s">
        <v>1321</v>
      </c>
      <c r="DI2" s="6" t="s">
        <v>1320</v>
      </c>
      <c r="DV2" s="6" t="s">
        <v>1321</v>
      </c>
      <c r="DW2" s="6" t="s">
        <v>1320</v>
      </c>
      <c r="DX2" s="6" t="s">
        <v>1321</v>
      </c>
      <c r="DY2" s="6" t="s">
        <v>1320</v>
      </c>
      <c r="EL2" s="6" t="s">
        <v>1321</v>
      </c>
      <c r="EM2" s="6" t="s">
        <v>1320</v>
      </c>
      <c r="EN2" s="6" t="s">
        <v>1321</v>
      </c>
      <c r="EO2" s="6" t="s">
        <v>1320</v>
      </c>
      <c r="FB2" t="s">
        <v>1321</v>
      </c>
      <c r="FC2" s="6" t="s">
        <v>1320</v>
      </c>
      <c r="FD2" t="s">
        <v>1321</v>
      </c>
      <c r="FE2" s="6" t="s">
        <v>1320</v>
      </c>
      <c r="FR2" t="s">
        <v>1321</v>
      </c>
      <c r="FS2" s="6" t="s">
        <v>1320</v>
      </c>
      <c r="FT2" t="s">
        <v>1321</v>
      </c>
      <c r="FU2" s="6" t="s">
        <v>1320</v>
      </c>
      <c r="GH2" t="s">
        <v>1321</v>
      </c>
      <c r="GI2" t="s">
        <v>1320</v>
      </c>
      <c r="GJ2" t="s">
        <v>1321</v>
      </c>
      <c r="GK2" t="s">
        <v>1320</v>
      </c>
      <c r="GX2" t="s">
        <v>1321</v>
      </c>
      <c r="GY2" t="s">
        <v>1320</v>
      </c>
      <c r="GZ2" t="s">
        <v>1321</v>
      </c>
      <c r="HA2" t="s">
        <v>1320</v>
      </c>
      <c r="HN2" t="s">
        <v>1321</v>
      </c>
      <c r="HO2" t="s">
        <v>1320</v>
      </c>
      <c r="HP2" t="s">
        <v>1321</v>
      </c>
      <c r="HQ2" t="s">
        <v>1320</v>
      </c>
      <c r="ID2" t="s">
        <v>1321</v>
      </c>
      <c r="IE2" t="s">
        <v>1320</v>
      </c>
      <c r="IF2" t="s">
        <v>1321</v>
      </c>
      <c r="IG2" t="s">
        <v>1320</v>
      </c>
      <c r="IT2" t="s">
        <v>1321</v>
      </c>
      <c r="IU2" t="s">
        <v>1320</v>
      </c>
      <c r="IV2" t="s">
        <v>1321</v>
      </c>
      <c r="IW2" t="s">
        <v>1320</v>
      </c>
      <c r="JJ2" t="s">
        <v>1321</v>
      </c>
      <c r="JK2" t="s">
        <v>1320</v>
      </c>
      <c r="JL2" t="s">
        <v>1321</v>
      </c>
      <c r="JM2" t="s">
        <v>1320</v>
      </c>
      <c r="JZ2" t="s">
        <v>1321</v>
      </c>
      <c r="KA2" t="s">
        <v>1320</v>
      </c>
      <c r="KB2" t="s">
        <v>1321</v>
      </c>
      <c r="KC2" t="s">
        <v>1320</v>
      </c>
      <c r="KP2" t="s">
        <v>1321</v>
      </c>
      <c r="KQ2" t="s">
        <v>1320</v>
      </c>
      <c r="KR2" t="s">
        <v>1321</v>
      </c>
      <c r="KS2" t="s">
        <v>1320</v>
      </c>
      <c r="LF2" t="s">
        <v>1321</v>
      </c>
      <c r="LG2" t="s">
        <v>1320</v>
      </c>
      <c r="LH2" t="s">
        <v>1321</v>
      </c>
      <c r="LI2" t="s">
        <v>1320</v>
      </c>
      <c r="LV2" t="s">
        <v>1321</v>
      </c>
      <c r="LW2" t="s">
        <v>1320</v>
      </c>
      <c r="LX2" t="s">
        <v>1321</v>
      </c>
      <c r="LY2" t="s">
        <v>1320</v>
      </c>
      <c r="ML2" t="s">
        <v>1321</v>
      </c>
      <c r="MM2" t="s">
        <v>1320</v>
      </c>
      <c r="MN2" t="s">
        <v>1321</v>
      </c>
      <c r="MO2" t="s">
        <v>1320</v>
      </c>
      <c r="NB2" t="s">
        <v>1321</v>
      </c>
      <c r="NC2" t="s">
        <v>1320</v>
      </c>
      <c r="ND2" t="s">
        <v>1321</v>
      </c>
      <c r="NE2" t="s">
        <v>1320</v>
      </c>
      <c r="NR2" t="s">
        <v>1321</v>
      </c>
      <c r="NS2" t="s">
        <v>1320</v>
      </c>
      <c r="NT2" t="s">
        <v>1321</v>
      </c>
      <c r="NU2" t="s">
        <v>1320</v>
      </c>
      <c r="OH2" t="s">
        <v>1321</v>
      </c>
      <c r="OI2" t="s">
        <v>1320</v>
      </c>
      <c r="OJ2" t="s">
        <v>1321</v>
      </c>
      <c r="OK2" t="s">
        <v>1320</v>
      </c>
    </row>
    <row r="3" spans="1:508" x14ac:dyDescent="0.2">
      <c r="O3" s="5" t="s">
        <v>334</v>
      </c>
      <c r="AG3" s="5" t="s">
        <v>333</v>
      </c>
      <c r="AY3" s="5" t="s">
        <v>1430</v>
      </c>
      <c r="BL3" s="9"/>
      <c r="CB3" s="9"/>
      <c r="CE3" s="5" t="s">
        <v>1431</v>
      </c>
      <c r="CR3" s="9"/>
      <c r="CU3" s="5" t="s">
        <v>1432</v>
      </c>
      <c r="DH3" s="9"/>
      <c r="DK3" s="5" t="s">
        <v>1433</v>
      </c>
      <c r="DX3" s="9"/>
      <c r="EA3" s="5" t="s">
        <v>1434</v>
      </c>
      <c r="EN3" s="9"/>
      <c r="EQ3" s="5" t="s">
        <v>1435</v>
      </c>
      <c r="FD3" s="9"/>
      <c r="FG3" s="11" t="s">
        <v>1723</v>
      </c>
      <c r="FT3" s="9"/>
      <c r="FW3" s="11" t="s">
        <v>1839</v>
      </c>
      <c r="GJ3" s="9"/>
      <c r="GM3" s="11" t="s">
        <v>1840</v>
      </c>
      <c r="GZ3" s="9"/>
      <c r="HC3" s="11" t="s">
        <v>1841</v>
      </c>
      <c r="HP3" s="9"/>
      <c r="HS3" s="11" t="s">
        <v>1842</v>
      </c>
      <c r="IF3" s="9"/>
      <c r="II3" s="11" t="s">
        <v>1843</v>
      </c>
      <c r="IV3" s="9"/>
      <c r="IY3" s="11" t="s">
        <v>383</v>
      </c>
      <c r="JL3" s="9"/>
      <c r="JO3" s="11" t="s">
        <v>384</v>
      </c>
      <c r="KB3" s="9"/>
      <c r="KE3" s="5"/>
      <c r="KR3" s="9"/>
      <c r="KU3" s="5"/>
      <c r="LH3" s="9"/>
      <c r="LK3" s="5"/>
      <c r="LX3" s="9"/>
      <c r="MA3" s="5"/>
      <c r="MN3" s="9"/>
      <c r="MQ3" s="5"/>
      <c r="ND3" s="9"/>
      <c r="NG3" s="5"/>
      <c r="NT3" s="9"/>
      <c r="NW3" s="5"/>
      <c r="OJ3" s="9"/>
      <c r="OY3" s="5"/>
      <c r="PM3" s="5"/>
      <c r="QA3" s="5"/>
      <c r="QO3" s="5"/>
      <c r="RC3" s="5"/>
      <c r="RQ3" s="5"/>
      <c r="SE3" s="5"/>
    </row>
    <row r="4" spans="1:508" x14ac:dyDescent="0.2">
      <c r="A4" s="2" t="s">
        <v>692</v>
      </c>
      <c r="O4" s="2" t="s">
        <v>1642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/>
      <c r="Z4" s="1"/>
      <c r="AG4" s="2" t="s">
        <v>1645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/>
      <c r="AR4" s="1"/>
      <c r="AY4" s="2" t="s">
        <v>693</v>
      </c>
      <c r="AZ4" s="1">
        <v>0</v>
      </c>
      <c r="BA4" s="1">
        <f>+AZ4</f>
        <v>0</v>
      </c>
      <c r="BB4" s="1">
        <f t="shared" ref="BB4:BH4" si="0">+BA4</f>
        <v>0</v>
      </c>
      <c r="BC4" s="1">
        <f t="shared" si="0"/>
        <v>0</v>
      </c>
      <c r="BD4" s="1">
        <f t="shared" si="0"/>
        <v>0</v>
      </c>
      <c r="BE4" s="1">
        <f t="shared" si="0"/>
        <v>0</v>
      </c>
      <c r="BF4" s="1">
        <f t="shared" si="0"/>
        <v>0</v>
      </c>
      <c r="BG4" s="1">
        <f t="shared" si="0"/>
        <v>0</v>
      </c>
      <c r="BH4" s="1">
        <f t="shared" si="0"/>
        <v>0</v>
      </c>
      <c r="BI4" s="1"/>
      <c r="BJ4" s="1"/>
      <c r="BL4" s="36"/>
      <c r="BO4" s="2" t="s">
        <v>1838</v>
      </c>
      <c r="BP4" s="1">
        <v>0</v>
      </c>
      <c r="BQ4" s="1">
        <f>+BP4</f>
        <v>0</v>
      </c>
      <c r="BR4" s="1">
        <f t="shared" ref="BR4:BX4" si="1">+BQ4</f>
        <v>0</v>
      </c>
      <c r="BS4" s="1">
        <f t="shared" si="1"/>
        <v>0</v>
      </c>
      <c r="BT4" s="1">
        <f t="shared" si="1"/>
        <v>0</v>
      </c>
      <c r="BU4" s="1">
        <f t="shared" si="1"/>
        <v>0</v>
      </c>
      <c r="BV4" s="1">
        <f t="shared" si="1"/>
        <v>0</v>
      </c>
      <c r="BW4" s="1">
        <f t="shared" si="1"/>
        <v>0</v>
      </c>
      <c r="BX4" s="1">
        <f t="shared" si="1"/>
        <v>0</v>
      </c>
      <c r="BY4" s="1"/>
      <c r="BZ4" s="1"/>
      <c r="CB4" s="36"/>
      <c r="CE4" s="2" t="s">
        <v>694</v>
      </c>
      <c r="CF4" s="1">
        <v>0</v>
      </c>
      <c r="CG4" s="1">
        <f>+CF4</f>
        <v>0</v>
      </c>
      <c r="CH4" s="1">
        <f t="shared" ref="CH4:CN4" si="2">+CG4</f>
        <v>0</v>
      </c>
      <c r="CI4" s="1">
        <f t="shared" si="2"/>
        <v>0</v>
      </c>
      <c r="CJ4" s="1">
        <f t="shared" si="2"/>
        <v>0</v>
      </c>
      <c r="CK4" s="1">
        <f t="shared" si="2"/>
        <v>0</v>
      </c>
      <c r="CL4" s="1">
        <f t="shared" si="2"/>
        <v>0</v>
      </c>
      <c r="CM4" s="1">
        <f t="shared" si="2"/>
        <v>0</v>
      </c>
      <c r="CN4" s="1">
        <f t="shared" si="2"/>
        <v>0</v>
      </c>
      <c r="CO4" s="1"/>
      <c r="CP4" s="1"/>
      <c r="CR4" s="36"/>
      <c r="CU4" s="2" t="s">
        <v>695</v>
      </c>
      <c r="CV4" s="1">
        <v>0</v>
      </c>
      <c r="CW4" s="1">
        <f>+CV4</f>
        <v>0</v>
      </c>
      <c r="CX4" s="1">
        <f t="shared" ref="CX4:DD4" si="3">+CW4</f>
        <v>0</v>
      </c>
      <c r="CY4" s="1">
        <f t="shared" si="3"/>
        <v>0</v>
      </c>
      <c r="CZ4" s="1">
        <f t="shared" si="3"/>
        <v>0</v>
      </c>
      <c r="DA4" s="1">
        <f t="shared" si="3"/>
        <v>0</v>
      </c>
      <c r="DB4" s="1">
        <f t="shared" si="3"/>
        <v>0</v>
      </c>
      <c r="DC4" s="1">
        <f t="shared" si="3"/>
        <v>0</v>
      </c>
      <c r="DD4" s="1">
        <f t="shared" si="3"/>
        <v>0</v>
      </c>
      <c r="DE4" s="1"/>
      <c r="DF4" s="1"/>
      <c r="DH4" s="36"/>
      <c r="DK4" s="2" t="s">
        <v>696</v>
      </c>
      <c r="DL4" s="1">
        <v>0</v>
      </c>
      <c r="DM4" s="1">
        <f>+DL4</f>
        <v>0</v>
      </c>
      <c r="DN4" s="1">
        <f t="shared" ref="DN4:DT4" si="4">+DM4</f>
        <v>0</v>
      </c>
      <c r="DO4" s="1">
        <f t="shared" si="4"/>
        <v>0</v>
      </c>
      <c r="DP4" s="1">
        <f t="shared" si="4"/>
        <v>0</v>
      </c>
      <c r="DQ4" s="1">
        <f t="shared" si="4"/>
        <v>0</v>
      </c>
      <c r="DR4" s="1">
        <f t="shared" si="4"/>
        <v>0</v>
      </c>
      <c r="DS4" s="1">
        <f t="shared" si="4"/>
        <v>0</v>
      </c>
      <c r="DT4" s="1">
        <f t="shared" si="4"/>
        <v>0</v>
      </c>
      <c r="DU4" s="1"/>
      <c r="DV4" s="1"/>
      <c r="DX4" s="36"/>
      <c r="EA4" s="2" t="s">
        <v>697</v>
      </c>
      <c r="EB4" s="1">
        <v>0</v>
      </c>
      <c r="EC4" s="1">
        <f>+EB4</f>
        <v>0</v>
      </c>
      <c r="ED4" s="1">
        <f t="shared" ref="ED4:EJ4" si="5">+EC4</f>
        <v>0</v>
      </c>
      <c r="EE4" s="1">
        <f t="shared" si="5"/>
        <v>0</v>
      </c>
      <c r="EF4" s="1">
        <f t="shared" si="5"/>
        <v>0</v>
      </c>
      <c r="EG4" s="1">
        <f t="shared" si="5"/>
        <v>0</v>
      </c>
      <c r="EH4" s="1">
        <f t="shared" si="5"/>
        <v>0</v>
      </c>
      <c r="EI4" s="1">
        <f t="shared" si="5"/>
        <v>0</v>
      </c>
      <c r="EJ4" s="1">
        <f t="shared" si="5"/>
        <v>0</v>
      </c>
      <c r="EK4" s="1"/>
      <c r="EL4" s="1"/>
      <c r="EN4" s="36"/>
      <c r="EQ4" s="2" t="s">
        <v>698</v>
      </c>
      <c r="ER4" s="1">
        <v>0</v>
      </c>
      <c r="ES4" s="1">
        <f>+ER4</f>
        <v>0</v>
      </c>
      <c r="ET4" s="1">
        <f t="shared" ref="ET4:EZ4" si="6">+ES4</f>
        <v>0</v>
      </c>
      <c r="EU4" s="1">
        <f t="shared" si="6"/>
        <v>0</v>
      </c>
      <c r="EV4" s="1">
        <f t="shared" si="6"/>
        <v>0</v>
      </c>
      <c r="EW4" s="1">
        <f t="shared" si="6"/>
        <v>0</v>
      </c>
      <c r="EX4" s="1">
        <f t="shared" si="6"/>
        <v>0</v>
      </c>
      <c r="EY4" s="1">
        <f t="shared" si="6"/>
        <v>0</v>
      </c>
      <c r="EZ4" s="1">
        <f t="shared" si="6"/>
        <v>0</v>
      </c>
      <c r="FA4" s="1"/>
      <c r="FB4" s="1"/>
      <c r="FD4" s="36"/>
      <c r="FG4" s="2" t="s">
        <v>699</v>
      </c>
      <c r="FH4" s="1">
        <v>0</v>
      </c>
      <c r="FI4" s="1">
        <f>+FH4</f>
        <v>0</v>
      </c>
      <c r="FJ4" s="1">
        <f t="shared" ref="FJ4:FP4" si="7">+FI4</f>
        <v>0</v>
      </c>
      <c r="FK4" s="1">
        <f t="shared" si="7"/>
        <v>0</v>
      </c>
      <c r="FL4" s="1">
        <f t="shared" si="7"/>
        <v>0</v>
      </c>
      <c r="FM4" s="1">
        <f t="shared" si="7"/>
        <v>0</v>
      </c>
      <c r="FN4" s="1">
        <f t="shared" si="7"/>
        <v>0</v>
      </c>
      <c r="FO4" s="1">
        <f t="shared" si="7"/>
        <v>0</v>
      </c>
      <c r="FP4" s="1">
        <f t="shared" si="7"/>
        <v>0</v>
      </c>
      <c r="FQ4" s="1"/>
      <c r="FR4" s="1"/>
      <c r="FT4" s="36"/>
      <c r="FW4" s="2" t="s">
        <v>700</v>
      </c>
      <c r="FX4" s="1">
        <v>0</v>
      </c>
      <c r="FY4" s="1">
        <f>+FX4</f>
        <v>0</v>
      </c>
      <c r="FZ4" s="1">
        <f t="shared" ref="FZ4:GF4" si="8">+FY4</f>
        <v>0</v>
      </c>
      <c r="GA4" s="1">
        <f t="shared" si="8"/>
        <v>0</v>
      </c>
      <c r="GB4" s="1">
        <f t="shared" si="8"/>
        <v>0</v>
      </c>
      <c r="GC4" s="1">
        <f t="shared" si="8"/>
        <v>0</v>
      </c>
      <c r="GD4" s="1">
        <f t="shared" si="8"/>
        <v>0</v>
      </c>
      <c r="GE4" s="1">
        <f t="shared" si="8"/>
        <v>0</v>
      </c>
      <c r="GF4" s="1">
        <f t="shared" si="8"/>
        <v>0</v>
      </c>
      <c r="GG4" s="1"/>
      <c r="GH4" s="1"/>
      <c r="GI4" s="1"/>
      <c r="GJ4" s="36"/>
      <c r="GK4" s="1"/>
      <c r="GM4" s="2" t="s">
        <v>701</v>
      </c>
      <c r="GN4" s="1">
        <v>0</v>
      </c>
      <c r="GO4" s="1">
        <f>+GN4</f>
        <v>0</v>
      </c>
      <c r="GP4" s="1">
        <f t="shared" ref="GP4:GV4" si="9">+GO4</f>
        <v>0</v>
      </c>
      <c r="GQ4" s="1">
        <f t="shared" si="9"/>
        <v>0</v>
      </c>
      <c r="GR4" s="1">
        <f t="shared" si="9"/>
        <v>0</v>
      </c>
      <c r="GS4" s="1">
        <f t="shared" si="9"/>
        <v>0</v>
      </c>
      <c r="GT4" s="1">
        <f t="shared" si="9"/>
        <v>0</v>
      </c>
      <c r="GU4" s="1">
        <f t="shared" si="9"/>
        <v>0</v>
      </c>
      <c r="GV4" s="1">
        <f t="shared" si="9"/>
        <v>0</v>
      </c>
      <c r="GW4" s="1"/>
      <c r="GX4" s="1"/>
      <c r="GY4" s="1"/>
      <c r="GZ4" s="36"/>
      <c r="HA4" s="1"/>
      <c r="HB4" s="1"/>
      <c r="HC4" s="2" t="s">
        <v>702</v>
      </c>
      <c r="HD4" s="1">
        <v>0</v>
      </c>
      <c r="HE4" s="1">
        <f>+HD4</f>
        <v>0</v>
      </c>
      <c r="HF4" s="1">
        <f t="shared" ref="HF4:HL4" si="10">+HE4</f>
        <v>0</v>
      </c>
      <c r="HG4" s="1">
        <f t="shared" si="10"/>
        <v>0</v>
      </c>
      <c r="HH4" s="1">
        <f t="shared" si="10"/>
        <v>0</v>
      </c>
      <c r="HI4" s="1">
        <f t="shared" si="10"/>
        <v>0</v>
      </c>
      <c r="HJ4" s="1">
        <f t="shared" si="10"/>
        <v>0</v>
      </c>
      <c r="HK4" s="1">
        <f t="shared" si="10"/>
        <v>0</v>
      </c>
      <c r="HL4" s="1">
        <f t="shared" si="10"/>
        <v>0</v>
      </c>
      <c r="HM4" s="1"/>
      <c r="HN4" s="1"/>
      <c r="HO4" s="1"/>
      <c r="HP4" s="36"/>
      <c r="HQ4" s="1"/>
      <c r="HR4" s="1"/>
      <c r="HS4" s="2" t="s">
        <v>703</v>
      </c>
      <c r="HT4" s="1">
        <v>0</v>
      </c>
      <c r="HU4" s="1">
        <f>+HT4</f>
        <v>0</v>
      </c>
      <c r="HV4" s="1">
        <f t="shared" ref="HV4:IB4" si="11">+HU4</f>
        <v>0</v>
      </c>
      <c r="HW4" s="1">
        <f t="shared" si="11"/>
        <v>0</v>
      </c>
      <c r="HX4" s="1">
        <f t="shared" si="11"/>
        <v>0</v>
      </c>
      <c r="HY4" s="1">
        <f t="shared" si="11"/>
        <v>0</v>
      </c>
      <c r="HZ4" s="1">
        <f t="shared" si="11"/>
        <v>0</v>
      </c>
      <c r="IA4" s="1">
        <f t="shared" si="11"/>
        <v>0</v>
      </c>
      <c r="IB4" s="1">
        <f t="shared" si="11"/>
        <v>0</v>
      </c>
      <c r="IC4" s="1"/>
      <c r="ID4" s="1"/>
      <c r="IE4" s="1"/>
      <c r="IF4" s="36"/>
      <c r="IG4" s="1"/>
      <c r="II4" s="2" t="s">
        <v>704</v>
      </c>
      <c r="IJ4" s="1">
        <v>0</v>
      </c>
      <c r="IK4" s="1">
        <f>+IJ4</f>
        <v>0</v>
      </c>
      <c r="IL4" s="1">
        <f t="shared" ref="IL4:IR4" si="12">+IK4</f>
        <v>0</v>
      </c>
      <c r="IM4" s="1">
        <f t="shared" si="12"/>
        <v>0</v>
      </c>
      <c r="IN4" s="1">
        <f t="shared" si="12"/>
        <v>0</v>
      </c>
      <c r="IO4" s="1">
        <f t="shared" si="12"/>
        <v>0</v>
      </c>
      <c r="IP4" s="1">
        <f t="shared" si="12"/>
        <v>0</v>
      </c>
      <c r="IQ4" s="1">
        <f t="shared" si="12"/>
        <v>0</v>
      </c>
      <c r="IR4" s="1">
        <f t="shared" si="12"/>
        <v>0</v>
      </c>
      <c r="IS4" s="1"/>
      <c r="IT4" s="1"/>
      <c r="IU4" s="1"/>
      <c r="IV4" s="36"/>
      <c r="IW4" s="1"/>
      <c r="IY4" s="2" t="s">
        <v>705</v>
      </c>
      <c r="IZ4" s="1">
        <v>0</v>
      </c>
      <c r="JA4" s="1">
        <f>+IZ4</f>
        <v>0</v>
      </c>
      <c r="JB4" s="1">
        <f t="shared" ref="JB4:JH4" si="13">+JA4</f>
        <v>0</v>
      </c>
      <c r="JC4" s="1">
        <f t="shared" si="13"/>
        <v>0</v>
      </c>
      <c r="JD4" s="1">
        <f t="shared" si="13"/>
        <v>0</v>
      </c>
      <c r="JE4" s="1">
        <f t="shared" si="13"/>
        <v>0</v>
      </c>
      <c r="JF4" s="1">
        <f t="shared" si="13"/>
        <v>0</v>
      </c>
      <c r="JG4" s="1">
        <f t="shared" si="13"/>
        <v>0</v>
      </c>
      <c r="JH4" s="1">
        <f t="shared" si="13"/>
        <v>0</v>
      </c>
      <c r="JI4" s="1"/>
      <c r="JJ4" s="1"/>
      <c r="JK4" s="1"/>
      <c r="JL4" s="36"/>
      <c r="JM4" s="1"/>
      <c r="JO4" s="2" t="s">
        <v>706</v>
      </c>
      <c r="JP4" s="1">
        <v>0</v>
      </c>
      <c r="JQ4" s="1">
        <f>+JP4</f>
        <v>0</v>
      </c>
      <c r="JR4" s="1">
        <f t="shared" ref="JR4:JX4" si="14">+JQ4</f>
        <v>0</v>
      </c>
      <c r="JS4" s="1">
        <f t="shared" si="14"/>
        <v>0</v>
      </c>
      <c r="JT4" s="1">
        <f t="shared" si="14"/>
        <v>0</v>
      </c>
      <c r="JU4" s="1">
        <f t="shared" si="14"/>
        <v>0</v>
      </c>
      <c r="JV4" s="1">
        <f t="shared" si="14"/>
        <v>0</v>
      </c>
      <c r="JW4" s="1">
        <f t="shared" si="14"/>
        <v>0</v>
      </c>
      <c r="JX4" s="1">
        <f t="shared" si="14"/>
        <v>0</v>
      </c>
      <c r="JY4" s="1"/>
      <c r="JZ4" s="1"/>
      <c r="KA4" s="1"/>
      <c r="KB4" s="36"/>
      <c r="KC4" s="1"/>
      <c r="KE4" s="2" t="s">
        <v>707</v>
      </c>
      <c r="KF4" s="1">
        <v>0</v>
      </c>
      <c r="KG4" s="1">
        <f>+KF4</f>
        <v>0</v>
      </c>
      <c r="KH4" s="1">
        <f t="shared" ref="KH4:KN4" si="15">+KG4</f>
        <v>0</v>
      </c>
      <c r="KI4" s="1">
        <f t="shared" si="15"/>
        <v>0</v>
      </c>
      <c r="KJ4" s="1">
        <f t="shared" si="15"/>
        <v>0</v>
      </c>
      <c r="KK4" s="1">
        <f t="shared" si="15"/>
        <v>0</v>
      </c>
      <c r="KL4" s="1">
        <f t="shared" si="15"/>
        <v>0</v>
      </c>
      <c r="KM4" s="1">
        <f t="shared" si="15"/>
        <v>0</v>
      </c>
      <c r="KN4" s="1">
        <f t="shared" si="15"/>
        <v>0</v>
      </c>
      <c r="KO4" s="1"/>
      <c r="KP4" s="1"/>
      <c r="KQ4" s="1"/>
      <c r="KR4" s="36"/>
      <c r="KS4" s="1"/>
      <c r="KU4" s="2" t="s">
        <v>708</v>
      </c>
      <c r="KV4" s="1">
        <v>0</v>
      </c>
      <c r="KW4" s="1">
        <f>+KV4</f>
        <v>0</v>
      </c>
      <c r="KX4" s="1">
        <f t="shared" ref="KX4:LD4" si="16">+KW4</f>
        <v>0</v>
      </c>
      <c r="KY4" s="1">
        <f t="shared" si="16"/>
        <v>0</v>
      </c>
      <c r="KZ4" s="1">
        <f t="shared" si="16"/>
        <v>0</v>
      </c>
      <c r="LA4" s="1">
        <f t="shared" si="16"/>
        <v>0</v>
      </c>
      <c r="LB4" s="1">
        <f t="shared" si="16"/>
        <v>0</v>
      </c>
      <c r="LC4" s="1">
        <f t="shared" si="16"/>
        <v>0</v>
      </c>
      <c r="LD4" s="1">
        <f t="shared" si="16"/>
        <v>0</v>
      </c>
      <c r="LE4" s="1"/>
      <c r="LF4" s="1"/>
      <c r="LG4" s="1"/>
      <c r="LH4" s="36"/>
      <c r="LI4" s="1"/>
      <c r="LK4" s="2" t="s">
        <v>709</v>
      </c>
      <c r="LL4" s="1">
        <v>0</v>
      </c>
      <c r="LM4" s="1">
        <f>+LL4</f>
        <v>0</v>
      </c>
      <c r="LN4" s="1">
        <f t="shared" ref="LN4:LT4" si="17">+LM4</f>
        <v>0</v>
      </c>
      <c r="LO4" s="1">
        <f t="shared" si="17"/>
        <v>0</v>
      </c>
      <c r="LP4" s="1">
        <f t="shared" si="17"/>
        <v>0</v>
      </c>
      <c r="LQ4" s="1">
        <f t="shared" si="17"/>
        <v>0</v>
      </c>
      <c r="LR4" s="1">
        <f t="shared" si="17"/>
        <v>0</v>
      </c>
      <c r="LS4" s="1">
        <f t="shared" si="17"/>
        <v>0</v>
      </c>
      <c r="LT4" s="1">
        <f t="shared" si="17"/>
        <v>0</v>
      </c>
      <c r="LU4" s="1"/>
      <c r="LV4" s="1"/>
      <c r="LW4" s="1"/>
      <c r="LX4" s="36"/>
      <c r="LY4" s="1"/>
      <c r="MA4" s="2" t="s">
        <v>710</v>
      </c>
      <c r="MB4" s="1">
        <v>0</v>
      </c>
      <c r="MC4" s="1">
        <f>+MB4</f>
        <v>0</v>
      </c>
      <c r="MD4" s="1">
        <f t="shared" ref="MD4:MJ4" si="18">+MC4</f>
        <v>0</v>
      </c>
      <c r="ME4" s="1">
        <f t="shared" si="18"/>
        <v>0</v>
      </c>
      <c r="MF4" s="1">
        <f t="shared" si="18"/>
        <v>0</v>
      </c>
      <c r="MG4" s="1">
        <f t="shared" si="18"/>
        <v>0</v>
      </c>
      <c r="MH4" s="1">
        <f t="shared" si="18"/>
        <v>0</v>
      </c>
      <c r="MI4" s="1">
        <f t="shared" si="18"/>
        <v>0</v>
      </c>
      <c r="MJ4" s="1">
        <f t="shared" si="18"/>
        <v>0</v>
      </c>
      <c r="MK4" s="1"/>
      <c r="ML4" s="1"/>
      <c r="MM4" s="1"/>
      <c r="MN4" s="36"/>
      <c r="MO4" s="1"/>
      <c r="MQ4" s="2" t="s">
        <v>711</v>
      </c>
      <c r="MR4" s="1">
        <v>0</v>
      </c>
      <c r="MS4" s="1">
        <f>+MR4</f>
        <v>0</v>
      </c>
      <c r="MT4" s="1">
        <f t="shared" ref="MT4:MZ4" si="19">+MS4</f>
        <v>0</v>
      </c>
      <c r="MU4" s="1">
        <f t="shared" si="19"/>
        <v>0</v>
      </c>
      <c r="MV4" s="1">
        <f t="shared" si="19"/>
        <v>0</v>
      </c>
      <c r="MW4" s="1">
        <f t="shared" si="19"/>
        <v>0</v>
      </c>
      <c r="MX4" s="1">
        <f t="shared" si="19"/>
        <v>0</v>
      </c>
      <c r="MY4" s="1">
        <f t="shared" si="19"/>
        <v>0</v>
      </c>
      <c r="MZ4" s="1">
        <f t="shared" si="19"/>
        <v>0</v>
      </c>
      <c r="NA4" s="1"/>
      <c r="NB4" s="1"/>
      <c r="NC4" s="1"/>
      <c r="ND4" s="36"/>
      <c r="NE4" s="1"/>
      <c r="NG4" s="2" t="s">
        <v>712</v>
      </c>
      <c r="NH4" s="1">
        <v>0</v>
      </c>
      <c r="NI4" s="1">
        <f>+NH4</f>
        <v>0</v>
      </c>
      <c r="NJ4" s="1">
        <f t="shared" ref="NJ4:NP4" si="20">+NI4</f>
        <v>0</v>
      </c>
      <c r="NK4" s="1">
        <f t="shared" si="20"/>
        <v>0</v>
      </c>
      <c r="NL4" s="1">
        <f t="shared" si="20"/>
        <v>0</v>
      </c>
      <c r="NM4" s="1">
        <f t="shared" si="20"/>
        <v>0</v>
      </c>
      <c r="NN4" s="1">
        <f t="shared" si="20"/>
        <v>0</v>
      </c>
      <c r="NO4" s="1">
        <f t="shared" si="20"/>
        <v>0</v>
      </c>
      <c r="NP4" s="1">
        <f t="shared" si="20"/>
        <v>0</v>
      </c>
      <c r="NQ4" s="1"/>
      <c r="NR4" s="1"/>
      <c r="NS4" s="1"/>
      <c r="NT4" s="36"/>
      <c r="NU4" s="1"/>
      <c r="NW4" s="2" t="s">
        <v>713</v>
      </c>
      <c r="NX4" s="1">
        <v>0</v>
      </c>
      <c r="NY4" s="1">
        <f>+NX4</f>
        <v>0</v>
      </c>
      <c r="NZ4" s="1">
        <f t="shared" ref="NZ4:OF4" si="21">+NY4</f>
        <v>0</v>
      </c>
      <c r="OA4" s="1">
        <f t="shared" si="21"/>
        <v>0</v>
      </c>
      <c r="OB4" s="1">
        <f t="shared" si="21"/>
        <v>0</v>
      </c>
      <c r="OC4" s="1">
        <f t="shared" si="21"/>
        <v>0</v>
      </c>
      <c r="OD4" s="1">
        <f t="shared" si="21"/>
        <v>0</v>
      </c>
      <c r="OE4" s="1">
        <f t="shared" si="21"/>
        <v>0</v>
      </c>
      <c r="OF4" s="1">
        <f t="shared" si="21"/>
        <v>0</v>
      </c>
      <c r="OG4" s="1"/>
      <c r="OH4" s="1"/>
      <c r="OJ4" s="36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Y4" s="2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M4" s="2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QA4" s="2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O4" s="2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C4" s="2"/>
      <c r="RD4" s="1"/>
      <c r="RE4" s="1"/>
      <c r="RF4" s="1"/>
      <c r="RG4" s="1"/>
      <c r="RH4" s="1"/>
      <c r="RI4" s="1"/>
      <c r="RJ4" s="1"/>
      <c r="RK4" s="1"/>
      <c r="RL4" s="1"/>
      <c r="RQ4" s="2"/>
      <c r="RR4" s="1"/>
      <c r="RS4" s="1"/>
      <c r="RT4" s="1"/>
      <c r="RU4" s="1"/>
      <c r="RV4" s="1"/>
      <c r="RW4" s="1"/>
      <c r="RX4" s="1"/>
      <c r="RY4" s="1"/>
      <c r="RZ4" s="1"/>
      <c r="SE4" s="2"/>
      <c r="SF4" s="1"/>
      <c r="SG4" s="1"/>
      <c r="SH4" s="1"/>
      <c r="SI4" s="1"/>
      <c r="SJ4" s="1"/>
      <c r="SK4" s="1"/>
      <c r="SL4" s="1"/>
      <c r="SM4" s="1"/>
      <c r="SN4" s="1"/>
    </row>
    <row r="5" spans="1:508" x14ac:dyDescent="0.2">
      <c r="A5" s="3" t="s">
        <v>714</v>
      </c>
      <c r="O5" s="3" t="s">
        <v>1643</v>
      </c>
      <c r="P5" s="6">
        <v>0</v>
      </c>
      <c r="Q5" s="6">
        <f t="shared" ref="Q5:X5" si="22">P4</f>
        <v>0</v>
      </c>
      <c r="R5" s="6">
        <f t="shared" si="22"/>
        <v>0</v>
      </c>
      <c r="S5" s="6">
        <f t="shared" si="22"/>
        <v>0</v>
      </c>
      <c r="T5" s="6">
        <f t="shared" si="22"/>
        <v>0</v>
      </c>
      <c r="U5" s="6">
        <f t="shared" si="22"/>
        <v>0</v>
      </c>
      <c r="V5" s="6">
        <f t="shared" si="22"/>
        <v>0</v>
      </c>
      <c r="W5" s="6">
        <f t="shared" si="22"/>
        <v>0</v>
      </c>
      <c r="X5" s="6">
        <f t="shared" si="22"/>
        <v>0</v>
      </c>
      <c r="Y5" s="1"/>
      <c r="Z5" s="1"/>
      <c r="AG5" s="3" t="s">
        <v>1646</v>
      </c>
      <c r="AH5" s="6">
        <v>0</v>
      </c>
      <c r="AI5" s="6">
        <f t="shared" ref="AI5:AP5" si="23">AH4</f>
        <v>0</v>
      </c>
      <c r="AJ5" s="6">
        <f t="shared" si="23"/>
        <v>0</v>
      </c>
      <c r="AK5" s="6">
        <f t="shared" si="23"/>
        <v>0</v>
      </c>
      <c r="AL5" s="6">
        <f t="shared" si="23"/>
        <v>0</v>
      </c>
      <c r="AM5" s="6">
        <f t="shared" si="23"/>
        <v>0</v>
      </c>
      <c r="AN5" s="6">
        <f t="shared" si="23"/>
        <v>0</v>
      </c>
      <c r="AO5" s="6">
        <f t="shared" si="23"/>
        <v>0</v>
      </c>
      <c r="AP5" s="6">
        <f t="shared" si="23"/>
        <v>0</v>
      </c>
      <c r="AQ5" s="1"/>
      <c r="AR5" s="1"/>
      <c r="AY5" s="3" t="s">
        <v>715</v>
      </c>
      <c r="AZ5" s="1">
        <f>AZ4</f>
        <v>0</v>
      </c>
      <c r="BA5" s="1">
        <f>IF(AZ5=1,1,BA4)</f>
        <v>0</v>
      </c>
      <c r="BB5" s="1">
        <f t="shared" ref="BB5:BH5" si="24">IF(BA5=1,1,BB4)</f>
        <v>0</v>
      </c>
      <c r="BC5" s="1">
        <f t="shared" si="24"/>
        <v>0</v>
      </c>
      <c r="BD5" s="1">
        <f t="shared" si="24"/>
        <v>0</v>
      </c>
      <c r="BE5" s="1">
        <f t="shared" si="24"/>
        <v>0</v>
      </c>
      <c r="BF5" s="1">
        <f t="shared" si="24"/>
        <v>0</v>
      </c>
      <c r="BG5" s="1">
        <f t="shared" si="24"/>
        <v>0</v>
      </c>
      <c r="BH5" s="1">
        <f t="shared" si="24"/>
        <v>0</v>
      </c>
      <c r="BI5" s="1"/>
      <c r="BJ5" s="1"/>
      <c r="BL5" s="36"/>
      <c r="BO5" s="3" t="s">
        <v>716</v>
      </c>
      <c r="BP5" s="1">
        <f>BP4</f>
        <v>0</v>
      </c>
      <c r="BQ5" s="1">
        <f>IF(BP5=1,1,BQ4)</f>
        <v>0</v>
      </c>
      <c r="BR5" s="1">
        <f t="shared" ref="BR5" si="25">IF(BQ5=1,1,BR4)</f>
        <v>0</v>
      </c>
      <c r="BS5" s="1">
        <f t="shared" ref="BS5" si="26">IF(BR5=1,1,BS4)</f>
        <v>0</v>
      </c>
      <c r="BT5" s="1">
        <f t="shared" ref="BT5" si="27">IF(BS5=1,1,BT4)</f>
        <v>0</v>
      </c>
      <c r="BU5" s="1">
        <f t="shared" ref="BU5" si="28">IF(BT5=1,1,BU4)</f>
        <v>0</v>
      </c>
      <c r="BV5" s="1">
        <f t="shared" ref="BV5" si="29">IF(BU5=1,1,BV4)</f>
        <v>0</v>
      </c>
      <c r="BW5" s="1">
        <f t="shared" ref="BW5" si="30">IF(BV5=1,1,BW4)</f>
        <v>0</v>
      </c>
      <c r="BX5" s="1">
        <f t="shared" ref="BX5" si="31">IF(BW5=1,1,BX4)</f>
        <v>0</v>
      </c>
      <c r="BY5" s="1"/>
      <c r="BZ5" s="1"/>
      <c r="CB5" s="36"/>
      <c r="CE5" s="3" t="s">
        <v>717</v>
      </c>
      <c r="CF5" s="1">
        <f>CF4</f>
        <v>0</v>
      </c>
      <c r="CG5" s="1">
        <f>IF(CF5=1,1,CG4)</f>
        <v>0</v>
      </c>
      <c r="CH5" s="1">
        <f t="shared" ref="CH5" si="32">IF(CG5=1,1,CH4)</f>
        <v>0</v>
      </c>
      <c r="CI5" s="1">
        <f t="shared" ref="CI5" si="33">IF(CH5=1,1,CI4)</f>
        <v>0</v>
      </c>
      <c r="CJ5" s="1">
        <f t="shared" ref="CJ5" si="34">IF(CI5=1,1,CJ4)</f>
        <v>0</v>
      </c>
      <c r="CK5" s="1">
        <f t="shared" ref="CK5" si="35">IF(CJ5=1,1,CK4)</f>
        <v>0</v>
      </c>
      <c r="CL5" s="1">
        <f t="shared" ref="CL5" si="36">IF(CK5=1,1,CL4)</f>
        <v>0</v>
      </c>
      <c r="CM5" s="1">
        <f t="shared" ref="CM5" si="37">IF(CL5=1,1,CM4)</f>
        <v>0</v>
      </c>
      <c r="CN5" s="1">
        <f t="shared" ref="CN5" si="38">IF(CM5=1,1,CN4)</f>
        <v>0</v>
      </c>
      <c r="CO5" s="1"/>
      <c r="CP5" s="1"/>
      <c r="CR5" s="36"/>
      <c r="CU5" s="3" t="s">
        <v>718</v>
      </c>
      <c r="CV5" s="1">
        <f>CV4</f>
        <v>0</v>
      </c>
      <c r="CW5" s="1">
        <f>IF(CV5=1,1,CW4)</f>
        <v>0</v>
      </c>
      <c r="CX5" s="1">
        <f t="shared" ref="CX5" si="39">IF(CW5=1,1,CX4)</f>
        <v>0</v>
      </c>
      <c r="CY5" s="1">
        <f t="shared" ref="CY5" si="40">IF(CX5=1,1,CY4)</f>
        <v>0</v>
      </c>
      <c r="CZ5" s="1">
        <f t="shared" ref="CZ5" si="41">IF(CY5=1,1,CZ4)</f>
        <v>0</v>
      </c>
      <c r="DA5" s="1">
        <f t="shared" ref="DA5" si="42">IF(CZ5=1,1,DA4)</f>
        <v>0</v>
      </c>
      <c r="DB5" s="1">
        <f t="shared" ref="DB5" si="43">IF(DA5=1,1,DB4)</f>
        <v>0</v>
      </c>
      <c r="DC5" s="1">
        <f t="shared" ref="DC5" si="44">IF(DB5=1,1,DC4)</f>
        <v>0</v>
      </c>
      <c r="DD5" s="1">
        <f t="shared" ref="DD5" si="45">IF(DC5=1,1,DD4)</f>
        <v>0</v>
      </c>
      <c r="DE5" s="1"/>
      <c r="DF5" s="1"/>
      <c r="DH5" s="36"/>
      <c r="DK5" s="3" t="s">
        <v>719</v>
      </c>
      <c r="DL5" s="1">
        <f>DL4</f>
        <v>0</v>
      </c>
      <c r="DM5" s="1">
        <f>IF(DL5=1,1,DM4)</f>
        <v>0</v>
      </c>
      <c r="DN5" s="1">
        <f t="shared" ref="DN5" si="46">IF(DM5=1,1,DN4)</f>
        <v>0</v>
      </c>
      <c r="DO5" s="1">
        <f t="shared" ref="DO5" si="47">IF(DN5=1,1,DO4)</f>
        <v>0</v>
      </c>
      <c r="DP5" s="1">
        <f t="shared" ref="DP5" si="48">IF(DO5=1,1,DP4)</f>
        <v>0</v>
      </c>
      <c r="DQ5" s="1">
        <f t="shared" ref="DQ5" si="49">IF(DP5=1,1,DQ4)</f>
        <v>0</v>
      </c>
      <c r="DR5" s="1">
        <f t="shared" ref="DR5" si="50">IF(DQ5=1,1,DR4)</f>
        <v>0</v>
      </c>
      <c r="DS5" s="1">
        <f t="shared" ref="DS5" si="51">IF(DR5=1,1,DS4)</f>
        <v>0</v>
      </c>
      <c r="DT5" s="1">
        <f t="shared" ref="DT5" si="52">IF(DS5=1,1,DT4)</f>
        <v>0</v>
      </c>
      <c r="DU5" s="1"/>
      <c r="DV5" s="1"/>
      <c r="DX5" s="36"/>
      <c r="EA5" s="3" t="s">
        <v>720</v>
      </c>
      <c r="EB5" s="1">
        <f>EB4</f>
        <v>0</v>
      </c>
      <c r="EC5" s="1">
        <f>IF(EB5=1,1,EC4)</f>
        <v>0</v>
      </c>
      <c r="ED5" s="1">
        <f t="shared" ref="ED5" si="53">IF(EC5=1,1,ED4)</f>
        <v>0</v>
      </c>
      <c r="EE5" s="1">
        <f t="shared" ref="EE5" si="54">IF(ED5=1,1,EE4)</f>
        <v>0</v>
      </c>
      <c r="EF5" s="1">
        <f t="shared" ref="EF5" si="55">IF(EE5=1,1,EF4)</f>
        <v>0</v>
      </c>
      <c r="EG5" s="1">
        <f t="shared" ref="EG5" si="56">IF(EF5=1,1,EG4)</f>
        <v>0</v>
      </c>
      <c r="EH5" s="1">
        <f t="shared" ref="EH5" si="57">IF(EG5=1,1,EH4)</f>
        <v>0</v>
      </c>
      <c r="EI5" s="1">
        <f t="shared" ref="EI5" si="58">IF(EH5=1,1,EI4)</f>
        <v>0</v>
      </c>
      <c r="EJ5" s="1">
        <f t="shared" ref="EJ5" si="59">IF(EI5=1,1,EJ4)</f>
        <v>0</v>
      </c>
      <c r="EK5" s="1"/>
      <c r="EL5" s="1"/>
      <c r="EN5" s="36"/>
      <c r="EQ5" s="3" t="s">
        <v>721</v>
      </c>
      <c r="ER5" s="1">
        <f>ER4</f>
        <v>0</v>
      </c>
      <c r="ES5" s="1">
        <f>IF(ER5=1,1,ES4)</f>
        <v>0</v>
      </c>
      <c r="ET5" s="1">
        <f t="shared" ref="ET5" si="60">IF(ES5=1,1,ET4)</f>
        <v>0</v>
      </c>
      <c r="EU5" s="1">
        <f t="shared" ref="EU5" si="61">IF(ET5=1,1,EU4)</f>
        <v>0</v>
      </c>
      <c r="EV5" s="1">
        <f t="shared" ref="EV5" si="62">IF(EU5=1,1,EV4)</f>
        <v>0</v>
      </c>
      <c r="EW5" s="1">
        <f t="shared" ref="EW5" si="63">IF(EV5=1,1,EW4)</f>
        <v>0</v>
      </c>
      <c r="EX5" s="1">
        <f t="shared" ref="EX5" si="64">IF(EW5=1,1,EX4)</f>
        <v>0</v>
      </c>
      <c r="EY5" s="1">
        <f t="shared" ref="EY5" si="65">IF(EX5=1,1,EY4)</f>
        <v>0</v>
      </c>
      <c r="EZ5" s="1">
        <f t="shared" ref="EZ5" si="66">IF(EY5=1,1,EZ4)</f>
        <v>0</v>
      </c>
      <c r="FA5" s="1"/>
      <c r="FB5" s="1"/>
      <c r="FD5" s="36"/>
      <c r="FG5" s="3" t="s">
        <v>722</v>
      </c>
      <c r="FH5" s="1">
        <f>FH4</f>
        <v>0</v>
      </c>
      <c r="FI5" s="1">
        <f>IF(FH5=1,1,FI4)</f>
        <v>0</v>
      </c>
      <c r="FJ5" s="1">
        <f t="shared" ref="FJ5" si="67">IF(FI5=1,1,FJ4)</f>
        <v>0</v>
      </c>
      <c r="FK5" s="1">
        <f t="shared" ref="FK5" si="68">IF(FJ5=1,1,FK4)</f>
        <v>0</v>
      </c>
      <c r="FL5" s="1">
        <f t="shared" ref="FL5" si="69">IF(FK5=1,1,FL4)</f>
        <v>0</v>
      </c>
      <c r="FM5" s="1">
        <f t="shared" ref="FM5" si="70">IF(FL5=1,1,FM4)</f>
        <v>0</v>
      </c>
      <c r="FN5" s="1">
        <f t="shared" ref="FN5" si="71">IF(FM5=1,1,FN4)</f>
        <v>0</v>
      </c>
      <c r="FO5" s="1">
        <f t="shared" ref="FO5" si="72">IF(FN5=1,1,FO4)</f>
        <v>0</v>
      </c>
      <c r="FP5" s="1">
        <f t="shared" ref="FP5" si="73">IF(FO5=1,1,FP4)</f>
        <v>0</v>
      </c>
      <c r="FQ5" s="1"/>
      <c r="FR5" s="1"/>
      <c r="FT5" s="36"/>
      <c r="FW5" s="3" t="s">
        <v>723</v>
      </c>
      <c r="FX5" s="1">
        <f>FX4</f>
        <v>0</v>
      </c>
      <c r="FY5" s="1">
        <f>IF(FX5=1,1,FY4)</f>
        <v>0</v>
      </c>
      <c r="FZ5" s="1">
        <f t="shared" ref="FZ5" si="74">IF(FY5=1,1,FZ4)</f>
        <v>0</v>
      </c>
      <c r="GA5" s="1">
        <f t="shared" ref="GA5" si="75">IF(FZ5=1,1,GA4)</f>
        <v>0</v>
      </c>
      <c r="GB5" s="1">
        <f t="shared" ref="GB5" si="76">IF(GA5=1,1,GB4)</f>
        <v>0</v>
      </c>
      <c r="GC5" s="1">
        <f t="shared" ref="GC5" si="77">IF(GB5=1,1,GC4)</f>
        <v>0</v>
      </c>
      <c r="GD5" s="1">
        <f t="shared" ref="GD5" si="78">IF(GC5=1,1,GD4)</f>
        <v>0</v>
      </c>
      <c r="GE5" s="1">
        <f t="shared" ref="GE5" si="79">IF(GD5=1,1,GE4)</f>
        <v>0</v>
      </c>
      <c r="GF5" s="1">
        <f t="shared" ref="GF5" si="80">IF(GE5=1,1,GF4)</f>
        <v>0</v>
      </c>
      <c r="GG5" s="1"/>
      <c r="GH5" s="1"/>
      <c r="GI5" s="1"/>
      <c r="GJ5" s="36"/>
      <c r="GK5" s="1"/>
      <c r="GM5" s="3" t="s">
        <v>724</v>
      </c>
      <c r="GN5" s="1">
        <f>GN4</f>
        <v>0</v>
      </c>
      <c r="GO5" s="1">
        <f>IF(GN5=1,1,GO4)</f>
        <v>0</v>
      </c>
      <c r="GP5" s="1">
        <f t="shared" ref="GP5" si="81">IF(GO5=1,1,GP4)</f>
        <v>0</v>
      </c>
      <c r="GQ5" s="1">
        <f t="shared" ref="GQ5" si="82">IF(GP5=1,1,GQ4)</f>
        <v>0</v>
      </c>
      <c r="GR5" s="1">
        <f t="shared" ref="GR5" si="83">IF(GQ5=1,1,GR4)</f>
        <v>0</v>
      </c>
      <c r="GS5" s="1">
        <f t="shared" ref="GS5" si="84">IF(GR5=1,1,GS4)</f>
        <v>0</v>
      </c>
      <c r="GT5" s="1">
        <f t="shared" ref="GT5" si="85">IF(GS5=1,1,GT4)</f>
        <v>0</v>
      </c>
      <c r="GU5" s="1">
        <f t="shared" ref="GU5" si="86">IF(GT5=1,1,GU4)</f>
        <v>0</v>
      </c>
      <c r="GV5" s="1">
        <f t="shared" ref="GV5" si="87">IF(GU5=1,1,GV4)</f>
        <v>0</v>
      </c>
      <c r="GW5" s="1"/>
      <c r="GX5" s="1"/>
      <c r="GY5" s="1"/>
      <c r="GZ5" s="36"/>
      <c r="HA5" s="1"/>
      <c r="HB5" s="1"/>
      <c r="HC5" s="3" t="s">
        <v>725</v>
      </c>
      <c r="HD5" s="1">
        <f>HD4</f>
        <v>0</v>
      </c>
      <c r="HE5" s="1">
        <f>IF(HD5=1,1,HE4)</f>
        <v>0</v>
      </c>
      <c r="HF5" s="1">
        <f t="shared" ref="HF5" si="88">IF(HE5=1,1,HF4)</f>
        <v>0</v>
      </c>
      <c r="HG5" s="1">
        <f t="shared" ref="HG5" si="89">IF(HF5=1,1,HG4)</f>
        <v>0</v>
      </c>
      <c r="HH5" s="1">
        <f t="shared" ref="HH5" si="90">IF(HG5=1,1,HH4)</f>
        <v>0</v>
      </c>
      <c r="HI5" s="1">
        <f t="shared" ref="HI5" si="91">IF(HH5=1,1,HI4)</f>
        <v>0</v>
      </c>
      <c r="HJ5" s="1">
        <f t="shared" ref="HJ5" si="92">IF(HI5=1,1,HJ4)</f>
        <v>0</v>
      </c>
      <c r="HK5" s="1">
        <f t="shared" ref="HK5" si="93">IF(HJ5=1,1,HK4)</f>
        <v>0</v>
      </c>
      <c r="HL5" s="1">
        <f t="shared" ref="HL5" si="94">IF(HK5=1,1,HL4)</f>
        <v>0</v>
      </c>
      <c r="HM5" s="1"/>
      <c r="HN5" s="1"/>
      <c r="HO5" s="1"/>
      <c r="HP5" s="36"/>
      <c r="HQ5" s="1"/>
      <c r="HR5" s="1"/>
      <c r="HS5" s="3" t="s">
        <v>726</v>
      </c>
      <c r="HT5" s="1">
        <f>HT4</f>
        <v>0</v>
      </c>
      <c r="HU5" s="1">
        <f>IF(HT5=1,1,HU4)</f>
        <v>0</v>
      </c>
      <c r="HV5" s="1">
        <f t="shared" ref="HV5" si="95">IF(HU5=1,1,HV4)</f>
        <v>0</v>
      </c>
      <c r="HW5" s="1">
        <f t="shared" ref="HW5" si="96">IF(HV5=1,1,HW4)</f>
        <v>0</v>
      </c>
      <c r="HX5" s="1">
        <f t="shared" ref="HX5" si="97">IF(HW5=1,1,HX4)</f>
        <v>0</v>
      </c>
      <c r="HY5" s="1">
        <f t="shared" ref="HY5" si="98">IF(HX5=1,1,HY4)</f>
        <v>0</v>
      </c>
      <c r="HZ5" s="1">
        <f t="shared" ref="HZ5" si="99">IF(HY5=1,1,HZ4)</f>
        <v>0</v>
      </c>
      <c r="IA5" s="1">
        <f t="shared" ref="IA5" si="100">IF(HZ5=1,1,IA4)</f>
        <v>0</v>
      </c>
      <c r="IB5" s="1">
        <f t="shared" ref="IB5" si="101">IF(IA5=1,1,IB4)</f>
        <v>0</v>
      </c>
      <c r="IC5" s="1"/>
      <c r="ID5" s="1"/>
      <c r="IE5" s="1"/>
      <c r="IF5" s="36"/>
      <c r="IG5" s="1"/>
      <c r="II5" s="3" t="s">
        <v>727</v>
      </c>
      <c r="IJ5" s="1">
        <f>IJ4</f>
        <v>0</v>
      </c>
      <c r="IK5" s="1">
        <f>IF(IJ5=1,1,IK4)</f>
        <v>0</v>
      </c>
      <c r="IL5" s="1">
        <f t="shared" ref="IL5" si="102">IF(IK5=1,1,IL4)</f>
        <v>0</v>
      </c>
      <c r="IM5" s="1">
        <f t="shared" ref="IM5" si="103">IF(IL5=1,1,IM4)</f>
        <v>0</v>
      </c>
      <c r="IN5" s="1">
        <f t="shared" ref="IN5" si="104">IF(IM5=1,1,IN4)</f>
        <v>0</v>
      </c>
      <c r="IO5" s="1">
        <f t="shared" ref="IO5" si="105">IF(IN5=1,1,IO4)</f>
        <v>0</v>
      </c>
      <c r="IP5" s="1">
        <f t="shared" ref="IP5" si="106">IF(IO5=1,1,IP4)</f>
        <v>0</v>
      </c>
      <c r="IQ5" s="1">
        <f t="shared" ref="IQ5" si="107">IF(IP5=1,1,IQ4)</f>
        <v>0</v>
      </c>
      <c r="IR5" s="1">
        <f t="shared" ref="IR5" si="108">IF(IQ5=1,1,IR4)</f>
        <v>0</v>
      </c>
      <c r="IS5" s="1"/>
      <c r="IT5" s="1"/>
      <c r="IU5" s="1"/>
      <c r="IV5" s="36"/>
      <c r="IW5" s="1"/>
      <c r="IY5" s="3" t="s">
        <v>728</v>
      </c>
      <c r="IZ5" s="1">
        <f>IZ4</f>
        <v>0</v>
      </c>
      <c r="JA5" s="1">
        <f>IF(IZ5=1,1,JA4)</f>
        <v>0</v>
      </c>
      <c r="JB5" s="1">
        <f t="shared" ref="JB5" si="109">IF(JA5=1,1,JB4)</f>
        <v>0</v>
      </c>
      <c r="JC5" s="1">
        <f t="shared" ref="JC5" si="110">IF(JB5=1,1,JC4)</f>
        <v>0</v>
      </c>
      <c r="JD5" s="1">
        <f t="shared" ref="JD5" si="111">IF(JC5=1,1,JD4)</f>
        <v>0</v>
      </c>
      <c r="JE5" s="1">
        <f t="shared" ref="JE5" si="112">IF(JD5=1,1,JE4)</f>
        <v>0</v>
      </c>
      <c r="JF5" s="1">
        <f t="shared" ref="JF5" si="113">IF(JE5=1,1,JF4)</f>
        <v>0</v>
      </c>
      <c r="JG5" s="1">
        <f t="shared" ref="JG5" si="114">IF(JF5=1,1,JG4)</f>
        <v>0</v>
      </c>
      <c r="JH5" s="1">
        <f t="shared" ref="JH5" si="115">IF(JG5=1,1,JH4)</f>
        <v>0</v>
      </c>
      <c r="JI5" s="1"/>
      <c r="JJ5" s="1"/>
      <c r="JK5" s="1"/>
      <c r="JL5" s="36"/>
      <c r="JM5" s="1"/>
      <c r="JO5" s="3" t="s">
        <v>729</v>
      </c>
      <c r="JP5" s="1">
        <f>JP4</f>
        <v>0</v>
      </c>
      <c r="JQ5" s="1">
        <f>IF(JP5=1,1,JQ4)</f>
        <v>0</v>
      </c>
      <c r="JR5" s="1">
        <f t="shared" ref="JR5" si="116">IF(JQ5=1,1,JR4)</f>
        <v>0</v>
      </c>
      <c r="JS5" s="1">
        <f t="shared" ref="JS5" si="117">IF(JR5=1,1,JS4)</f>
        <v>0</v>
      </c>
      <c r="JT5" s="1">
        <f t="shared" ref="JT5" si="118">IF(JS5=1,1,JT4)</f>
        <v>0</v>
      </c>
      <c r="JU5" s="1">
        <f t="shared" ref="JU5" si="119">IF(JT5=1,1,JU4)</f>
        <v>0</v>
      </c>
      <c r="JV5" s="1">
        <f t="shared" ref="JV5" si="120">IF(JU5=1,1,JV4)</f>
        <v>0</v>
      </c>
      <c r="JW5" s="1">
        <f t="shared" ref="JW5" si="121">IF(JV5=1,1,JW4)</f>
        <v>0</v>
      </c>
      <c r="JX5" s="1">
        <f t="shared" ref="JX5" si="122">IF(JW5=1,1,JX4)</f>
        <v>0</v>
      </c>
      <c r="JY5" s="1"/>
      <c r="JZ5" s="1"/>
      <c r="KA5" s="1"/>
      <c r="KB5" s="36"/>
      <c r="KC5" s="1"/>
      <c r="KE5" s="3" t="s">
        <v>1589</v>
      </c>
      <c r="KF5" s="1">
        <f>KF4</f>
        <v>0</v>
      </c>
      <c r="KG5" s="1">
        <f>IF(KF5=1,1,KG4)</f>
        <v>0</v>
      </c>
      <c r="KH5" s="1">
        <f t="shared" ref="KH5" si="123">IF(KG5=1,1,KH4)</f>
        <v>0</v>
      </c>
      <c r="KI5" s="1">
        <f t="shared" ref="KI5" si="124">IF(KH5=1,1,KI4)</f>
        <v>0</v>
      </c>
      <c r="KJ5" s="1">
        <f t="shared" ref="KJ5" si="125">IF(KI5=1,1,KJ4)</f>
        <v>0</v>
      </c>
      <c r="KK5" s="1">
        <f t="shared" ref="KK5" si="126">IF(KJ5=1,1,KK4)</f>
        <v>0</v>
      </c>
      <c r="KL5" s="1">
        <f t="shared" ref="KL5" si="127">IF(KK5=1,1,KL4)</f>
        <v>0</v>
      </c>
      <c r="KM5" s="1">
        <f t="shared" ref="KM5" si="128">IF(KL5=1,1,KM4)</f>
        <v>0</v>
      </c>
      <c r="KN5" s="1">
        <f t="shared" ref="KN5" si="129">IF(KM5=1,1,KN4)</f>
        <v>0</v>
      </c>
      <c r="KO5" s="1"/>
      <c r="KP5" s="1"/>
      <c r="KQ5" s="1"/>
      <c r="KR5" s="36"/>
      <c r="KS5" s="1"/>
      <c r="KU5" s="3" t="s">
        <v>1590</v>
      </c>
      <c r="KV5" s="1">
        <f>KV4</f>
        <v>0</v>
      </c>
      <c r="KW5" s="1">
        <f>IF(KV5=1,1,KW4)</f>
        <v>0</v>
      </c>
      <c r="KX5" s="1">
        <f t="shared" ref="KX5" si="130">IF(KW5=1,1,KX4)</f>
        <v>0</v>
      </c>
      <c r="KY5" s="1">
        <f t="shared" ref="KY5" si="131">IF(KX5=1,1,KY4)</f>
        <v>0</v>
      </c>
      <c r="KZ5" s="1">
        <f t="shared" ref="KZ5" si="132">IF(KY5=1,1,KZ4)</f>
        <v>0</v>
      </c>
      <c r="LA5" s="1">
        <f t="shared" ref="LA5" si="133">IF(KZ5=1,1,LA4)</f>
        <v>0</v>
      </c>
      <c r="LB5" s="1">
        <f t="shared" ref="LB5" si="134">IF(LA5=1,1,LB4)</f>
        <v>0</v>
      </c>
      <c r="LC5" s="1">
        <f t="shared" ref="LC5" si="135">IF(LB5=1,1,LC4)</f>
        <v>0</v>
      </c>
      <c r="LD5" s="1">
        <f t="shared" ref="LD5" si="136">IF(LC5=1,1,LD4)</f>
        <v>0</v>
      </c>
      <c r="LE5" s="1"/>
      <c r="LF5" s="1"/>
      <c r="LG5" s="1"/>
      <c r="LH5" s="36"/>
      <c r="LI5" s="1"/>
      <c r="LK5" s="3" t="s">
        <v>1591</v>
      </c>
      <c r="LL5" s="1">
        <f>LL4</f>
        <v>0</v>
      </c>
      <c r="LM5" s="1">
        <f>IF(LL5=1,1,LM4)</f>
        <v>0</v>
      </c>
      <c r="LN5" s="1">
        <f t="shared" ref="LN5" si="137">IF(LM5=1,1,LN4)</f>
        <v>0</v>
      </c>
      <c r="LO5" s="1">
        <f t="shared" ref="LO5" si="138">IF(LN5=1,1,LO4)</f>
        <v>0</v>
      </c>
      <c r="LP5" s="1">
        <f t="shared" ref="LP5" si="139">IF(LO5=1,1,LP4)</f>
        <v>0</v>
      </c>
      <c r="LQ5" s="1">
        <f t="shared" ref="LQ5" si="140">IF(LP5=1,1,LQ4)</f>
        <v>0</v>
      </c>
      <c r="LR5" s="1">
        <f t="shared" ref="LR5" si="141">IF(LQ5=1,1,LR4)</f>
        <v>0</v>
      </c>
      <c r="LS5" s="1">
        <f t="shared" ref="LS5" si="142">IF(LR5=1,1,LS4)</f>
        <v>0</v>
      </c>
      <c r="LT5" s="1">
        <f t="shared" ref="LT5" si="143">IF(LS5=1,1,LT4)</f>
        <v>0</v>
      </c>
      <c r="LU5" s="1"/>
      <c r="LV5" s="1"/>
      <c r="LW5" s="1"/>
      <c r="LX5" s="36"/>
      <c r="LY5" s="1"/>
      <c r="MA5" s="3" t="s">
        <v>1592</v>
      </c>
      <c r="MB5" s="1">
        <f>MB4</f>
        <v>0</v>
      </c>
      <c r="MC5" s="1">
        <f>IF(MB5=1,1,MC4)</f>
        <v>0</v>
      </c>
      <c r="MD5" s="1">
        <f t="shared" ref="MD5" si="144">IF(MC5=1,1,MD4)</f>
        <v>0</v>
      </c>
      <c r="ME5" s="1">
        <f t="shared" ref="ME5" si="145">IF(MD5=1,1,ME4)</f>
        <v>0</v>
      </c>
      <c r="MF5" s="1">
        <f t="shared" ref="MF5" si="146">IF(ME5=1,1,MF4)</f>
        <v>0</v>
      </c>
      <c r="MG5" s="1">
        <f t="shared" ref="MG5" si="147">IF(MF5=1,1,MG4)</f>
        <v>0</v>
      </c>
      <c r="MH5" s="1">
        <f t="shared" ref="MH5" si="148">IF(MG5=1,1,MH4)</f>
        <v>0</v>
      </c>
      <c r="MI5" s="1">
        <f t="shared" ref="MI5" si="149">IF(MH5=1,1,MI4)</f>
        <v>0</v>
      </c>
      <c r="MJ5" s="1">
        <f t="shared" ref="MJ5" si="150">IF(MI5=1,1,MJ4)</f>
        <v>0</v>
      </c>
      <c r="MK5" s="1"/>
      <c r="ML5" s="1"/>
      <c r="MM5" s="1"/>
      <c r="MN5" s="36"/>
      <c r="MO5" s="1"/>
      <c r="MQ5" s="3" t="s">
        <v>1593</v>
      </c>
      <c r="MR5" s="1">
        <f>MR4</f>
        <v>0</v>
      </c>
      <c r="MS5" s="1">
        <f>IF(MR5=1,1,MS4)</f>
        <v>0</v>
      </c>
      <c r="MT5" s="1">
        <f t="shared" ref="MT5" si="151">IF(MS5=1,1,MT4)</f>
        <v>0</v>
      </c>
      <c r="MU5" s="1">
        <f t="shared" ref="MU5" si="152">IF(MT5=1,1,MU4)</f>
        <v>0</v>
      </c>
      <c r="MV5" s="1">
        <f t="shared" ref="MV5" si="153">IF(MU5=1,1,MV4)</f>
        <v>0</v>
      </c>
      <c r="MW5" s="1">
        <f t="shared" ref="MW5" si="154">IF(MV5=1,1,MW4)</f>
        <v>0</v>
      </c>
      <c r="MX5" s="1">
        <f t="shared" ref="MX5" si="155">IF(MW5=1,1,MX4)</f>
        <v>0</v>
      </c>
      <c r="MY5" s="1">
        <f t="shared" ref="MY5" si="156">IF(MX5=1,1,MY4)</f>
        <v>0</v>
      </c>
      <c r="MZ5" s="1">
        <f t="shared" ref="MZ5" si="157">IF(MY5=1,1,MZ4)</f>
        <v>0</v>
      </c>
      <c r="NA5" s="1"/>
      <c r="NB5" s="1"/>
      <c r="NC5" s="1"/>
      <c r="ND5" s="36"/>
      <c r="NE5" s="1"/>
      <c r="NG5" s="3" t="s">
        <v>1594</v>
      </c>
      <c r="NH5" s="1">
        <f>NH4</f>
        <v>0</v>
      </c>
      <c r="NI5" s="1">
        <f>IF(NH5=1,1,NI4)</f>
        <v>0</v>
      </c>
      <c r="NJ5" s="1">
        <f t="shared" ref="NJ5" si="158">IF(NI5=1,1,NJ4)</f>
        <v>0</v>
      </c>
      <c r="NK5" s="1">
        <f t="shared" ref="NK5" si="159">IF(NJ5=1,1,NK4)</f>
        <v>0</v>
      </c>
      <c r="NL5" s="1">
        <f t="shared" ref="NL5" si="160">IF(NK5=1,1,NL4)</f>
        <v>0</v>
      </c>
      <c r="NM5" s="1">
        <f t="shared" ref="NM5" si="161">IF(NL5=1,1,NM4)</f>
        <v>0</v>
      </c>
      <c r="NN5" s="1">
        <f t="shared" ref="NN5" si="162">IF(NM5=1,1,NN4)</f>
        <v>0</v>
      </c>
      <c r="NO5" s="1">
        <f t="shared" ref="NO5" si="163">IF(NN5=1,1,NO4)</f>
        <v>0</v>
      </c>
      <c r="NP5" s="1">
        <f t="shared" ref="NP5" si="164">IF(NO5=1,1,NP4)</f>
        <v>0</v>
      </c>
      <c r="NQ5" s="1"/>
      <c r="NR5" s="1"/>
      <c r="NS5" s="1"/>
      <c r="NT5" s="36"/>
      <c r="NU5" s="1"/>
      <c r="NW5" s="3" t="s">
        <v>1588</v>
      </c>
      <c r="NX5" s="1">
        <f>NX4</f>
        <v>0</v>
      </c>
      <c r="NY5" s="1">
        <f>IF(NX5=1,1,NY4)</f>
        <v>0</v>
      </c>
      <c r="NZ5" s="1">
        <f t="shared" ref="NZ5" si="165">IF(NY5=1,1,NZ4)</f>
        <v>0</v>
      </c>
      <c r="OA5" s="1">
        <f t="shared" ref="OA5" si="166">IF(NZ5=1,1,OA4)</f>
        <v>0</v>
      </c>
      <c r="OB5" s="1">
        <f t="shared" ref="OB5" si="167">IF(OA5=1,1,OB4)</f>
        <v>0</v>
      </c>
      <c r="OC5" s="1">
        <f t="shared" ref="OC5" si="168">IF(OB5=1,1,OC4)</f>
        <v>0</v>
      </c>
      <c r="OD5" s="1">
        <f t="shared" ref="OD5" si="169">IF(OC5=1,1,OD4)</f>
        <v>0</v>
      </c>
      <c r="OE5" s="1">
        <f t="shared" ref="OE5" si="170">IF(OD5=1,1,OE4)</f>
        <v>0</v>
      </c>
      <c r="OF5" s="1">
        <f t="shared" ref="OF5" si="171">IF(OE5=1,1,OF4)</f>
        <v>0</v>
      </c>
      <c r="OG5" s="1"/>
      <c r="OH5" s="1"/>
      <c r="OJ5" s="36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Y5" s="2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M5" s="2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QA5" s="2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O5" s="2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C5" s="2"/>
      <c r="RD5" s="1"/>
      <c r="RE5" s="1"/>
      <c r="RF5" s="1"/>
      <c r="RG5" s="1"/>
      <c r="RH5" s="1"/>
      <c r="RI5" s="1"/>
      <c r="RJ5" s="1"/>
      <c r="RK5" s="1"/>
      <c r="RL5" s="1"/>
      <c r="RQ5" s="2"/>
      <c r="RR5" s="1"/>
      <c r="RS5" s="1"/>
      <c r="RT5" s="1"/>
      <c r="RU5" s="1"/>
      <c r="RV5" s="1"/>
      <c r="RW5" s="1"/>
      <c r="RX5" s="1"/>
      <c r="RY5" s="1"/>
      <c r="RZ5" s="1"/>
      <c r="SE5" s="2"/>
      <c r="SF5" s="1"/>
      <c r="SG5" s="1"/>
      <c r="SH5" s="1"/>
      <c r="SI5" s="1"/>
      <c r="SJ5" s="1"/>
      <c r="SK5" s="1"/>
      <c r="SL5" s="1"/>
      <c r="SM5" s="1"/>
      <c r="SN5" s="1"/>
    </row>
    <row r="6" spans="1:508" x14ac:dyDescent="0.2">
      <c r="A6" s="3" t="s">
        <v>730</v>
      </c>
      <c r="O6" s="3" t="s">
        <v>1644</v>
      </c>
      <c r="P6" s="1">
        <f>_xlfn.XLOOKUP(P4,'KPI Impacts'!$T$2:$W$2,'KPI Impacts'!$T$63:$W$63)</f>
        <v>0</v>
      </c>
      <c r="Q6" s="1">
        <f>_xlfn.XLOOKUP(Q4,'KPI Impacts'!$T$2:$W$2,'KPI Impacts'!$T$63:$W$63)</f>
        <v>0</v>
      </c>
      <c r="R6" s="1">
        <f>_xlfn.XLOOKUP(R4,'KPI Impacts'!$T$2:$W$2,'KPI Impacts'!$T$63:$W$63)</f>
        <v>0</v>
      </c>
      <c r="S6" s="1">
        <f>_xlfn.XLOOKUP(S4,'KPI Impacts'!$T$2:$W$2,'KPI Impacts'!$T$63:$W$63)</f>
        <v>0</v>
      </c>
      <c r="T6" s="1">
        <f>_xlfn.XLOOKUP(T4,'KPI Impacts'!$T$2:$W$2,'KPI Impacts'!$T$63:$W$63)</f>
        <v>0</v>
      </c>
      <c r="U6" s="1">
        <f>_xlfn.XLOOKUP(U4,'KPI Impacts'!$T$2:$W$2,'KPI Impacts'!$T$63:$W$63)</f>
        <v>0</v>
      </c>
      <c r="V6" s="1">
        <f>_xlfn.XLOOKUP(V4,'KPI Impacts'!$T$2:$W$2,'KPI Impacts'!$T$63:$W$63)</f>
        <v>0</v>
      </c>
      <c r="W6" s="1">
        <f>_xlfn.XLOOKUP(W4,'KPI Impacts'!$T$2:$W$2,'KPI Impacts'!$T$63:$W$63)</f>
        <v>0</v>
      </c>
      <c r="X6" s="1">
        <f>_xlfn.XLOOKUP(X4,'KPI Impacts'!$T$2:$W$2,'KPI Impacts'!$T$63:$W$63)</f>
        <v>0</v>
      </c>
      <c r="Y6" s="1"/>
      <c r="Z6" s="1"/>
      <c r="AG6" s="3" t="s">
        <v>1647</v>
      </c>
      <c r="AH6" s="1">
        <f>_xlfn.XLOOKUP(AH4,'KPI Impacts'!$T$2:$W$2,'KPI Impacts'!$T$63:$W$63)</f>
        <v>0</v>
      </c>
      <c r="AI6" s="1">
        <f>_xlfn.XLOOKUP(AI4,'KPI Impacts'!$T$2:$W$2,'KPI Impacts'!$T$63:$W$63)</f>
        <v>0</v>
      </c>
      <c r="AJ6" s="1">
        <f>_xlfn.XLOOKUP(AJ4,'KPI Impacts'!$T$2:$W$2,'KPI Impacts'!$T$63:$W$63)</f>
        <v>0</v>
      </c>
      <c r="AK6" s="1">
        <f>_xlfn.XLOOKUP(AK4,'KPI Impacts'!$T$2:$W$2,'KPI Impacts'!$T$63:$W$63)</f>
        <v>0</v>
      </c>
      <c r="AL6" s="1">
        <f>_xlfn.XLOOKUP(AL4,'KPI Impacts'!$T$2:$W$2,'KPI Impacts'!$T$63:$W$63)</f>
        <v>0</v>
      </c>
      <c r="AM6" s="1">
        <f>_xlfn.XLOOKUP(AM4,'KPI Impacts'!$T$2:$W$2,'KPI Impacts'!$T$63:$W$63)</f>
        <v>0</v>
      </c>
      <c r="AN6" s="1">
        <f>_xlfn.XLOOKUP(AN4,'KPI Impacts'!$T$2:$W$2,'KPI Impacts'!$T$63:$W$63)</f>
        <v>0</v>
      </c>
      <c r="AO6" s="1">
        <f>_xlfn.XLOOKUP(AO4,'KPI Impacts'!$T$2:$W$2,'KPI Impacts'!$T$63:$W$63)</f>
        <v>0</v>
      </c>
      <c r="AP6" s="1">
        <f>_xlfn.XLOOKUP(AP4,'KPI Impacts'!$T$2:$W$2,'KPI Impacts'!$T$63:$W$63)</f>
        <v>0</v>
      </c>
      <c r="AQ6" s="1"/>
      <c r="AR6" s="1"/>
      <c r="AY6" s="3" t="s">
        <v>731</v>
      </c>
      <c r="AZ6" s="1">
        <v>0</v>
      </c>
      <c r="BA6" s="1">
        <f>IF(AND(AZ4=1,AZ5=1),1,IF(AND(AZ4=0,AZ5=1),3,0))</f>
        <v>0</v>
      </c>
      <c r="BB6" s="1">
        <f t="shared" ref="BB6:BH6" si="172">IF(AND(BA4=1,BA5=1),1,IF(AND(BA4=0,BA5=1),3,0))</f>
        <v>0</v>
      </c>
      <c r="BC6" s="1">
        <f t="shared" si="172"/>
        <v>0</v>
      </c>
      <c r="BD6" s="1">
        <f t="shared" si="172"/>
        <v>0</v>
      </c>
      <c r="BE6" s="1">
        <f t="shared" si="172"/>
        <v>0</v>
      </c>
      <c r="BF6" s="1">
        <f t="shared" si="172"/>
        <v>0</v>
      </c>
      <c r="BG6" s="1">
        <f t="shared" si="172"/>
        <v>0</v>
      </c>
      <c r="BH6" s="1">
        <f t="shared" si="172"/>
        <v>0</v>
      </c>
      <c r="BI6" s="1"/>
      <c r="BJ6" s="1"/>
      <c r="BL6" s="36"/>
      <c r="BO6" s="3" t="s">
        <v>732</v>
      </c>
      <c r="BP6" s="1">
        <v>0</v>
      </c>
      <c r="BQ6" s="1">
        <f>IF(AND(BP4=1,BP5=1),1,IF(AND(BP4=0,BP5=1),3,0))</f>
        <v>0</v>
      </c>
      <c r="BR6" s="1">
        <f t="shared" ref="BR6" si="173">IF(AND(BQ4=1,BQ5=1),1,IF(AND(BQ4=0,BQ5=1),3,0))</f>
        <v>0</v>
      </c>
      <c r="BS6" s="1">
        <f t="shared" ref="BS6" si="174">IF(AND(BR4=1,BR5=1),1,IF(AND(BR4=0,BR5=1),3,0))</f>
        <v>0</v>
      </c>
      <c r="BT6" s="1">
        <f t="shared" ref="BT6" si="175">IF(AND(BS4=1,BS5=1),1,IF(AND(BS4=0,BS5=1),3,0))</f>
        <v>0</v>
      </c>
      <c r="BU6" s="1">
        <f t="shared" ref="BU6" si="176">IF(AND(BT4=1,BT5=1),1,IF(AND(BT4=0,BT5=1),3,0))</f>
        <v>0</v>
      </c>
      <c r="BV6" s="1">
        <f t="shared" ref="BV6" si="177">IF(AND(BU4=1,BU5=1),1,IF(AND(BU4=0,BU5=1),3,0))</f>
        <v>0</v>
      </c>
      <c r="BW6" s="1">
        <f t="shared" ref="BW6" si="178">IF(AND(BV4=1,BV5=1),1,IF(AND(BV4=0,BV5=1),3,0))</f>
        <v>0</v>
      </c>
      <c r="BX6" s="1">
        <f t="shared" ref="BX6" si="179">IF(AND(BW4=1,BW5=1),1,IF(AND(BW4=0,BW5=1),3,0))</f>
        <v>0</v>
      </c>
      <c r="BY6" s="1"/>
      <c r="BZ6" s="1"/>
      <c r="CB6" s="36"/>
      <c r="CE6" s="3" t="s">
        <v>733</v>
      </c>
      <c r="CF6" s="1">
        <v>0</v>
      </c>
      <c r="CG6" s="1">
        <f>IF(AND(CF4=1,CF5=1),1,IF(AND(CF4=0,CF5=1),3,0))</f>
        <v>0</v>
      </c>
      <c r="CH6" s="1">
        <f t="shared" ref="CH6:CN6" si="180">IF(AND(CG4=1,CG5=1),1,IF(AND(CG4=0,CG5=1),3,0))</f>
        <v>0</v>
      </c>
      <c r="CI6" s="1">
        <f t="shared" si="180"/>
        <v>0</v>
      </c>
      <c r="CJ6" s="1">
        <f t="shared" si="180"/>
        <v>0</v>
      </c>
      <c r="CK6" s="1">
        <f t="shared" si="180"/>
        <v>0</v>
      </c>
      <c r="CL6" s="1">
        <f t="shared" si="180"/>
        <v>0</v>
      </c>
      <c r="CM6" s="1">
        <f t="shared" si="180"/>
        <v>0</v>
      </c>
      <c r="CN6" s="1">
        <f t="shared" si="180"/>
        <v>0</v>
      </c>
      <c r="CO6" s="1"/>
      <c r="CP6" s="1"/>
      <c r="CR6" s="36"/>
      <c r="CU6" s="3" t="s">
        <v>734</v>
      </c>
      <c r="CV6" s="1">
        <v>0</v>
      </c>
      <c r="CW6" s="1">
        <f t="shared" ref="CW6" si="181">IF(AND(CV4=1,CV5=1),1,IF(AND(CV4=0,CV5=1),3,0))</f>
        <v>0</v>
      </c>
      <c r="CX6" s="1">
        <f t="shared" ref="CX6:DD6" si="182">IF(AND(CW4=1,CW5=1),1,IF(AND(CW4=0,CW5=1),3,0))</f>
        <v>0</v>
      </c>
      <c r="CY6" s="1">
        <f t="shared" si="182"/>
        <v>0</v>
      </c>
      <c r="CZ6" s="1">
        <f t="shared" si="182"/>
        <v>0</v>
      </c>
      <c r="DA6" s="1">
        <f t="shared" si="182"/>
        <v>0</v>
      </c>
      <c r="DB6" s="1">
        <f t="shared" si="182"/>
        <v>0</v>
      </c>
      <c r="DC6" s="1">
        <f t="shared" si="182"/>
        <v>0</v>
      </c>
      <c r="DD6" s="1">
        <f t="shared" si="182"/>
        <v>0</v>
      </c>
      <c r="DE6" s="1"/>
      <c r="DF6" s="1"/>
      <c r="DH6" s="36"/>
      <c r="DK6" s="3" t="s">
        <v>735</v>
      </c>
      <c r="DL6" s="1">
        <v>2</v>
      </c>
      <c r="DM6" s="1">
        <v>2</v>
      </c>
      <c r="DN6" s="1">
        <v>2</v>
      </c>
      <c r="DO6" s="1">
        <f t="shared" ref="DO6:DT6" si="183">IF(AND(DN4=1,DN5=1),1,IF(AND(DN4=0,DN5=1),3,0))</f>
        <v>0</v>
      </c>
      <c r="DP6" s="1">
        <f t="shared" si="183"/>
        <v>0</v>
      </c>
      <c r="DQ6" s="1">
        <f t="shared" si="183"/>
        <v>0</v>
      </c>
      <c r="DR6" s="1">
        <f t="shared" si="183"/>
        <v>0</v>
      </c>
      <c r="DS6" s="1">
        <f t="shared" si="183"/>
        <v>0</v>
      </c>
      <c r="DT6" s="1">
        <f t="shared" si="183"/>
        <v>0</v>
      </c>
      <c r="DU6" s="1"/>
      <c r="DV6" s="1"/>
      <c r="DX6" s="36"/>
      <c r="EA6" s="3" t="s">
        <v>736</v>
      </c>
      <c r="EB6" s="1">
        <v>2</v>
      </c>
      <c r="EC6" s="1">
        <v>2</v>
      </c>
      <c r="ED6" s="1">
        <f t="shared" ref="ED6:EJ6" si="184">IF(AND(EC4=1,EC5=1),1,IF(AND(EC4=0,EC5=1),3,0))</f>
        <v>0</v>
      </c>
      <c r="EE6" s="1">
        <f t="shared" si="184"/>
        <v>0</v>
      </c>
      <c r="EF6" s="1">
        <f t="shared" si="184"/>
        <v>0</v>
      </c>
      <c r="EG6" s="1">
        <f t="shared" si="184"/>
        <v>0</v>
      </c>
      <c r="EH6" s="1">
        <f t="shared" si="184"/>
        <v>0</v>
      </c>
      <c r="EI6" s="1">
        <f t="shared" si="184"/>
        <v>0</v>
      </c>
      <c r="EJ6" s="1">
        <f t="shared" si="184"/>
        <v>0</v>
      </c>
      <c r="EK6" s="1"/>
      <c r="EL6" s="1"/>
      <c r="EN6" s="36"/>
      <c r="EQ6" s="3" t="s">
        <v>737</v>
      </c>
      <c r="ER6" s="1">
        <v>2</v>
      </c>
      <c r="ES6" s="1">
        <v>2</v>
      </c>
      <c r="ET6" s="1">
        <v>2</v>
      </c>
      <c r="EU6" s="1">
        <f t="shared" ref="EU6:EZ6" si="185">IF(AND(ET4=1,ET5=1),1,IF(AND(ET4=0,ET5=1),3,0))</f>
        <v>0</v>
      </c>
      <c r="EV6" s="1">
        <f t="shared" si="185"/>
        <v>0</v>
      </c>
      <c r="EW6" s="1">
        <f t="shared" si="185"/>
        <v>0</v>
      </c>
      <c r="EX6" s="1">
        <f t="shared" si="185"/>
        <v>0</v>
      </c>
      <c r="EY6" s="1">
        <f t="shared" si="185"/>
        <v>0</v>
      </c>
      <c r="EZ6" s="1">
        <f t="shared" si="185"/>
        <v>0</v>
      </c>
      <c r="FA6" s="1"/>
      <c r="FB6" s="1"/>
      <c r="FD6" s="36"/>
      <c r="FG6" s="3" t="s">
        <v>738</v>
      </c>
      <c r="FH6" s="1">
        <v>2</v>
      </c>
      <c r="FI6" s="1">
        <v>2</v>
      </c>
      <c r="FJ6" s="1">
        <f t="shared" ref="FJ6:FP6" si="186">IF(AND(FI4=1,FI5=1),1,IF(AND(FI4=0,FI5=1),3,0))</f>
        <v>0</v>
      </c>
      <c r="FK6" s="1">
        <f t="shared" si="186"/>
        <v>0</v>
      </c>
      <c r="FL6" s="1">
        <f t="shared" si="186"/>
        <v>0</v>
      </c>
      <c r="FM6" s="1">
        <f t="shared" si="186"/>
        <v>0</v>
      </c>
      <c r="FN6" s="1">
        <f t="shared" si="186"/>
        <v>0</v>
      </c>
      <c r="FO6" s="1">
        <f t="shared" si="186"/>
        <v>0</v>
      </c>
      <c r="FP6" s="1">
        <f t="shared" si="186"/>
        <v>0</v>
      </c>
      <c r="FQ6" s="1"/>
      <c r="FR6" s="1"/>
      <c r="FT6" s="36"/>
      <c r="FW6" s="3" t="s">
        <v>739</v>
      </c>
      <c r="FX6" s="1">
        <v>2</v>
      </c>
      <c r="FY6" s="1">
        <v>2</v>
      </c>
      <c r="FZ6" s="1">
        <v>2</v>
      </c>
      <c r="GA6" s="1">
        <v>2</v>
      </c>
      <c r="GB6" s="1">
        <f t="shared" ref="GB6:GF6" si="187">IF(AND(GA4=1,GA5=1),1,IF(AND(GA4=0,GA5=1),3,0))</f>
        <v>0</v>
      </c>
      <c r="GC6" s="1">
        <f t="shared" si="187"/>
        <v>0</v>
      </c>
      <c r="GD6" s="1">
        <f t="shared" si="187"/>
        <v>0</v>
      </c>
      <c r="GE6" s="1">
        <f t="shared" si="187"/>
        <v>0</v>
      </c>
      <c r="GF6" s="1">
        <f t="shared" si="187"/>
        <v>0</v>
      </c>
      <c r="GG6" s="1"/>
      <c r="GH6" s="1"/>
      <c r="GI6" s="1"/>
      <c r="GJ6" s="36"/>
      <c r="GK6" s="1"/>
      <c r="GM6" s="3" t="s">
        <v>740</v>
      </c>
      <c r="GN6" s="1">
        <v>2</v>
      </c>
      <c r="GO6" s="1">
        <v>2</v>
      </c>
      <c r="GP6" s="1">
        <v>2</v>
      </c>
      <c r="GQ6" s="1">
        <v>2</v>
      </c>
      <c r="GR6" s="1">
        <f t="shared" ref="GR6:GV6" si="188">IF(AND(GQ4=1,GQ5=1),1,IF(AND(GQ4=0,GQ5=1),3,0))</f>
        <v>0</v>
      </c>
      <c r="GS6" s="1">
        <f t="shared" si="188"/>
        <v>0</v>
      </c>
      <c r="GT6" s="1">
        <f t="shared" si="188"/>
        <v>0</v>
      </c>
      <c r="GU6" s="1">
        <f t="shared" si="188"/>
        <v>0</v>
      </c>
      <c r="GV6" s="1">
        <f t="shared" si="188"/>
        <v>0</v>
      </c>
      <c r="GW6" s="1"/>
      <c r="GX6" s="1"/>
      <c r="GY6" s="1"/>
      <c r="GZ6" s="36"/>
      <c r="HA6" s="1"/>
      <c r="HB6" s="1"/>
      <c r="HC6" s="3" t="s">
        <v>741</v>
      </c>
      <c r="HD6" s="1">
        <v>2</v>
      </c>
      <c r="HE6" s="1">
        <v>2</v>
      </c>
      <c r="HF6" s="1">
        <v>2</v>
      </c>
      <c r="HG6" s="1">
        <v>2</v>
      </c>
      <c r="HH6" s="1">
        <v>2</v>
      </c>
      <c r="HI6" s="1">
        <f t="shared" ref="HI6:HL6" si="189">IF(AND(HH4=1,HH5=1),1,IF(AND(HH4=0,HH5=1),3,0))</f>
        <v>0</v>
      </c>
      <c r="HJ6" s="1">
        <f t="shared" si="189"/>
        <v>0</v>
      </c>
      <c r="HK6" s="1">
        <f t="shared" si="189"/>
        <v>0</v>
      </c>
      <c r="HL6" s="1">
        <f t="shared" si="189"/>
        <v>0</v>
      </c>
      <c r="HM6" s="1"/>
      <c r="HN6" s="1"/>
      <c r="HO6" s="1"/>
      <c r="HP6" s="36"/>
      <c r="HQ6" s="1"/>
      <c r="HR6" s="1"/>
      <c r="HS6" s="3" t="s">
        <v>742</v>
      </c>
      <c r="HT6" s="1">
        <v>2</v>
      </c>
      <c r="HU6" s="1">
        <v>2</v>
      </c>
      <c r="HV6" s="1">
        <v>2</v>
      </c>
      <c r="HW6" s="1">
        <v>2</v>
      </c>
      <c r="HX6" s="1">
        <v>2</v>
      </c>
      <c r="HY6" s="1">
        <f t="shared" ref="HY6:IB6" si="190">IF(AND(HX4=1,HX5=1),1,IF(AND(HX4=0,HX5=1),3,0))</f>
        <v>0</v>
      </c>
      <c r="HZ6" s="1">
        <f t="shared" si="190"/>
        <v>0</v>
      </c>
      <c r="IA6" s="1">
        <f t="shared" si="190"/>
        <v>0</v>
      </c>
      <c r="IB6" s="1">
        <f t="shared" si="190"/>
        <v>0</v>
      </c>
      <c r="IC6" s="1"/>
      <c r="ID6" s="1"/>
      <c r="IE6" s="1"/>
      <c r="IF6" s="36"/>
      <c r="IG6" s="1"/>
      <c r="II6" s="3" t="s">
        <v>743</v>
      </c>
      <c r="IJ6" s="1">
        <v>2</v>
      </c>
      <c r="IK6" s="1">
        <v>2</v>
      </c>
      <c r="IL6" s="1">
        <v>2</v>
      </c>
      <c r="IM6" s="1">
        <v>2</v>
      </c>
      <c r="IN6" s="1">
        <v>2</v>
      </c>
      <c r="IO6" s="1">
        <v>2</v>
      </c>
      <c r="IP6" s="1">
        <f t="shared" ref="IP6:IR6" si="191">IF(AND(IO4=1,IO5=1),1,IF(AND(IO4=0,IO5=1),3,0))</f>
        <v>0</v>
      </c>
      <c r="IQ6" s="1">
        <f t="shared" si="191"/>
        <v>0</v>
      </c>
      <c r="IR6" s="1">
        <f t="shared" si="191"/>
        <v>0</v>
      </c>
      <c r="IS6" s="1"/>
      <c r="IT6" s="1"/>
      <c r="IU6" s="1"/>
      <c r="IV6" s="36"/>
      <c r="IW6" s="1"/>
      <c r="IY6" s="3" t="s">
        <v>744</v>
      </c>
      <c r="IZ6" s="1">
        <v>2</v>
      </c>
      <c r="JA6" s="1">
        <v>2</v>
      </c>
      <c r="JB6" s="1">
        <v>2</v>
      </c>
      <c r="JC6" s="1">
        <v>2</v>
      </c>
      <c r="JD6" s="1">
        <f t="shared" ref="JD6:JH6" si="192">IF(AND(JC4=1,JC5=1),1,IF(AND(JC4=0,JC5=1),3,0))</f>
        <v>0</v>
      </c>
      <c r="JE6" s="1">
        <f t="shared" si="192"/>
        <v>0</v>
      </c>
      <c r="JF6" s="1">
        <f t="shared" si="192"/>
        <v>0</v>
      </c>
      <c r="JG6" s="1">
        <f t="shared" si="192"/>
        <v>0</v>
      </c>
      <c r="JH6" s="1">
        <f t="shared" si="192"/>
        <v>0</v>
      </c>
      <c r="JI6" s="1"/>
      <c r="JJ6" s="1"/>
      <c r="JK6" s="1"/>
      <c r="JL6" s="36"/>
      <c r="JM6" s="1"/>
      <c r="JO6" s="3" t="s">
        <v>745</v>
      </c>
      <c r="JP6" s="1">
        <v>2</v>
      </c>
      <c r="JQ6" s="1">
        <v>2</v>
      </c>
      <c r="JR6" s="1">
        <v>2</v>
      </c>
      <c r="JS6" s="1">
        <v>2</v>
      </c>
      <c r="JT6" s="1">
        <f t="shared" ref="JT6:JX6" si="193">IF(AND(JS4=1,JS5=1),1,IF(AND(JS4=0,JS5=1),3,0))</f>
        <v>0</v>
      </c>
      <c r="JU6" s="1">
        <f t="shared" si="193"/>
        <v>0</v>
      </c>
      <c r="JV6" s="1">
        <f t="shared" si="193"/>
        <v>0</v>
      </c>
      <c r="JW6" s="1">
        <f t="shared" si="193"/>
        <v>0</v>
      </c>
      <c r="JX6" s="1">
        <f t="shared" si="193"/>
        <v>0</v>
      </c>
      <c r="JY6" s="1"/>
      <c r="JZ6" s="1"/>
      <c r="KA6" s="1"/>
      <c r="KB6" s="36"/>
      <c r="KC6" s="1"/>
      <c r="KE6" s="3" t="s">
        <v>746</v>
      </c>
      <c r="KF6" s="1">
        <v>0</v>
      </c>
      <c r="KG6" s="1">
        <f>IF(AND(KF4=1,KF5=1),1,IF(AND(KF4=0,KF5=1),3,0))</f>
        <v>0</v>
      </c>
      <c r="KH6" s="1">
        <f t="shared" ref="KH6" si="194">IF(AND(KG4=1,KG5=1),1,IF(AND(KG4=0,KG5=1),3,0))</f>
        <v>0</v>
      </c>
      <c r="KI6" s="1">
        <f t="shared" ref="KI6" si="195">IF(AND(KH4=1,KH5=1),1,IF(AND(KH4=0,KH5=1),3,0))</f>
        <v>0</v>
      </c>
      <c r="KJ6" s="1">
        <f t="shared" ref="KJ6" si="196">IF(AND(KI4=1,KI5=1),1,IF(AND(KI4=0,KI5=1),3,0))</f>
        <v>0</v>
      </c>
      <c r="KK6" s="1">
        <f t="shared" ref="KK6" si="197">IF(AND(KJ4=1,KJ5=1),1,IF(AND(KJ4=0,KJ5=1),3,0))</f>
        <v>0</v>
      </c>
      <c r="KL6" s="1">
        <f t="shared" ref="KL6" si="198">IF(AND(KK4=1,KK5=1),1,IF(AND(KK4=0,KK5=1),3,0))</f>
        <v>0</v>
      </c>
      <c r="KM6" s="1">
        <f t="shared" ref="KM6" si="199">IF(AND(KL4=1,KL5=1),1,IF(AND(KL4=0,KL5=1),3,0))</f>
        <v>0</v>
      </c>
      <c r="KN6" s="1">
        <f t="shared" ref="KN6" si="200">IF(AND(KM4=1,KM5=1),1,IF(AND(KM4=0,KM5=1),3,0))</f>
        <v>0</v>
      </c>
      <c r="KO6" s="1"/>
      <c r="KP6" s="1"/>
      <c r="KQ6" s="1"/>
      <c r="KR6" s="36"/>
      <c r="KS6" s="1"/>
      <c r="KU6" s="3" t="s">
        <v>747</v>
      </c>
      <c r="KV6" s="1">
        <v>0</v>
      </c>
      <c r="KW6" s="1">
        <f>IF(AND(KV4=1,KV5=1),1,IF(AND(KV4=0,KV5=1),3,0))</f>
        <v>0</v>
      </c>
      <c r="KX6" s="1">
        <f t="shared" ref="KX6" si="201">IF(AND(KW4=1,KW5=1),1,IF(AND(KW4=0,KW5=1),3,0))</f>
        <v>0</v>
      </c>
      <c r="KY6" s="1">
        <f t="shared" ref="KY6" si="202">IF(AND(KX4=1,KX5=1),1,IF(AND(KX4=0,KX5=1),3,0))</f>
        <v>0</v>
      </c>
      <c r="KZ6" s="1">
        <f t="shared" ref="KZ6" si="203">IF(AND(KY4=1,KY5=1),1,IF(AND(KY4=0,KY5=1),3,0))</f>
        <v>0</v>
      </c>
      <c r="LA6" s="1">
        <f t="shared" ref="LA6" si="204">IF(AND(KZ4=1,KZ5=1),1,IF(AND(KZ4=0,KZ5=1),3,0))</f>
        <v>0</v>
      </c>
      <c r="LB6" s="1">
        <f t="shared" ref="LB6" si="205">IF(AND(LA4=1,LA5=1),1,IF(AND(LA4=0,LA5=1),3,0))</f>
        <v>0</v>
      </c>
      <c r="LC6" s="1">
        <f t="shared" ref="LC6" si="206">IF(AND(LB4=1,LB5=1),1,IF(AND(LB4=0,LB5=1),3,0))</f>
        <v>0</v>
      </c>
      <c r="LD6" s="1">
        <f t="shared" ref="LD6" si="207">IF(AND(LC4=1,LC5=1),1,IF(AND(LC4=0,LC5=1),3,0))</f>
        <v>0</v>
      </c>
      <c r="LE6" s="1"/>
      <c r="LF6" s="1"/>
      <c r="LG6" s="1"/>
      <c r="LH6" s="36"/>
      <c r="LI6" s="1"/>
      <c r="LK6" s="3" t="s">
        <v>748</v>
      </c>
      <c r="LL6" s="1">
        <v>0</v>
      </c>
      <c r="LM6" s="1">
        <f>IF(AND(LL4=1,LL5=1),1,IF(AND(LL4=0,LL5=1),3,0))</f>
        <v>0</v>
      </c>
      <c r="LN6" s="1">
        <f t="shared" ref="LN6" si="208">IF(AND(LM4=1,LM5=1),1,IF(AND(LM4=0,LM5=1),3,0))</f>
        <v>0</v>
      </c>
      <c r="LO6" s="1">
        <f t="shared" ref="LO6" si="209">IF(AND(LN4=1,LN5=1),1,IF(AND(LN4=0,LN5=1),3,0))</f>
        <v>0</v>
      </c>
      <c r="LP6" s="1">
        <f t="shared" ref="LP6" si="210">IF(AND(LO4=1,LO5=1),1,IF(AND(LO4=0,LO5=1),3,0))</f>
        <v>0</v>
      </c>
      <c r="LQ6" s="1">
        <f t="shared" ref="LQ6" si="211">IF(AND(LP4=1,LP5=1),1,IF(AND(LP4=0,LP5=1),3,0))</f>
        <v>0</v>
      </c>
      <c r="LR6" s="1">
        <f t="shared" ref="LR6" si="212">IF(AND(LQ4=1,LQ5=1),1,IF(AND(LQ4=0,LQ5=1),3,0))</f>
        <v>0</v>
      </c>
      <c r="LS6" s="1">
        <f t="shared" ref="LS6" si="213">IF(AND(LR4=1,LR5=1),1,IF(AND(LR4=0,LR5=1),3,0))</f>
        <v>0</v>
      </c>
      <c r="LT6" s="1">
        <f t="shared" ref="LT6" si="214">IF(AND(LS4=1,LS5=1),1,IF(AND(LS4=0,LS5=1),3,0))</f>
        <v>0</v>
      </c>
      <c r="LU6" s="1"/>
      <c r="LV6" s="1"/>
      <c r="LW6" s="1"/>
      <c r="LX6" s="36"/>
      <c r="LY6" s="1"/>
      <c r="MA6" s="3" t="s">
        <v>749</v>
      </c>
      <c r="MB6" s="1">
        <v>0</v>
      </c>
      <c r="MC6" s="1">
        <f>IF(AND(MB4=1,MB5=1),1,IF(AND(MB4=0,MB5=1),3,0))</f>
        <v>0</v>
      </c>
      <c r="MD6" s="1">
        <f t="shared" ref="MD6" si="215">IF(AND(MC4=1,MC5=1),1,IF(AND(MC4=0,MC5=1),3,0))</f>
        <v>0</v>
      </c>
      <c r="ME6" s="1">
        <f t="shared" ref="ME6" si="216">IF(AND(MD4=1,MD5=1),1,IF(AND(MD4=0,MD5=1),3,0))</f>
        <v>0</v>
      </c>
      <c r="MF6" s="1">
        <f t="shared" ref="MF6" si="217">IF(AND(ME4=1,ME5=1),1,IF(AND(ME4=0,ME5=1),3,0))</f>
        <v>0</v>
      </c>
      <c r="MG6" s="1">
        <f t="shared" ref="MG6" si="218">IF(AND(MF4=1,MF5=1),1,IF(AND(MF4=0,MF5=1),3,0))</f>
        <v>0</v>
      </c>
      <c r="MH6" s="1">
        <f t="shared" ref="MH6" si="219">IF(AND(MG4=1,MG5=1),1,IF(AND(MG4=0,MG5=1),3,0))</f>
        <v>0</v>
      </c>
      <c r="MI6" s="1">
        <f t="shared" ref="MI6" si="220">IF(AND(MH4=1,MH5=1),1,IF(AND(MH4=0,MH5=1),3,0))</f>
        <v>0</v>
      </c>
      <c r="MJ6" s="1">
        <f t="shared" ref="MJ6" si="221">IF(AND(MI4=1,MI5=1),1,IF(AND(MI4=0,MI5=1),3,0))</f>
        <v>0</v>
      </c>
      <c r="MK6" s="1"/>
      <c r="ML6" s="1"/>
      <c r="MM6" s="1"/>
      <c r="MN6" s="36"/>
      <c r="MO6" s="1"/>
      <c r="MQ6" s="3" t="s">
        <v>750</v>
      </c>
      <c r="MR6" s="1">
        <v>0</v>
      </c>
      <c r="MS6" s="1">
        <f>IF(AND(MR4=1,MR5=1),1,IF(AND(MR4=0,MR5=1),3,0))</f>
        <v>0</v>
      </c>
      <c r="MT6" s="1">
        <f t="shared" ref="MT6" si="222">IF(AND(MS4=1,MS5=1),1,IF(AND(MS4=0,MS5=1),3,0))</f>
        <v>0</v>
      </c>
      <c r="MU6" s="1">
        <f t="shared" ref="MU6" si="223">IF(AND(MT4=1,MT5=1),1,IF(AND(MT4=0,MT5=1),3,0))</f>
        <v>0</v>
      </c>
      <c r="MV6" s="1">
        <f t="shared" ref="MV6" si="224">IF(AND(MU4=1,MU5=1),1,IF(AND(MU4=0,MU5=1),3,0))</f>
        <v>0</v>
      </c>
      <c r="MW6" s="1">
        <f t="shared" ref="MW6" si="225">IF(AND(MV4=1,MV5=1),1,IF(AND(MV4=0,MV5=1),3,0))</f>
        <v>0</v>
      </c>
      <c r="MX6" s="1">
        <f t="shared" ref="MX6" si="226">IF(AND(MW4=1,MW5=1),1,IF(AND(MW4=0,MW5=1),3,0))</f>
        <v>0</v>
      </c>
      <c r="MY6" s="1">
        <f t="shared" ref="MY6" si="227">IF(AND(MX4=1,MX5=1),1,IF(AND(MX4=0,MX5=1),3,0))</f>
        <v>0</v>
      </c>
      <c r="MZ6" s="1">
        <f t="shared" ref="MZ6" si="228">IF(AND(MY4=1,MY5=1),1,IF(AND(MY4=0,MY5=1),3,0))</f>
        <v>0</v>
      </c>
      <c r="NA6" s="1"/>
      <c r="NB6" s="1"/>
      <c r="NC6" s="1"/>
      <c r="ND6" s="36"/>
      <c r="NE6" s="1"/>
      <c r="NG6" s="3" t="s">
        <v>751</v>
      </c>
      <c r="NH6" s="1">
        <v>0</v>
      </c>
      <c r="NI6" s="1">
        <f>IF(AND(NH4=1,NH5=1),1,IF(AND(NH4=0,NH5=1),3,0))</f>
        <v>0</v>
      </c>
      <c r="NJ6" s="1">
        <f t="shared" ref="NJ6" si="229">IF(AND(NI4=1,NI5=1),1,IF(AND(NI4=0,NI5=1),3,0))</f>
        <v>0</v>
      </c>
      <c r="NK6" s="1">
        <f t="shared" ref="NK6" si="230">IF(AND(NJ4=1,NJ5=1),1,IF(AND(NJ4=0,NJ5=1),3,0))</f>
        <v>0</v>
      </c>
      <c r="NL6" s="1">
        <f t="shared" ref="NL6" si="231">IF(AND(NK4=1,NK5=1),1,IF(AND(NK4=0,NK5=1),3,0))</f>
        <v>0</v>
      </c>
      <c r="NM6" s="1">
        <f t="shared" ref="NM6" si="232">IF(AND(NL4=1,NL5=1),1,IF(AND(NL4=0,NL5=1),3,0))</f>
        <v>0</v>
      </c>
      <c r="NN6" s="1">
        <f t="shared" ref="NN6" si="233">IF(AND(NM4=1,NM5=1),1,IF(AND(NM4=0,NM5=1),3,0))</f>
        <v>0</v>
      </c>
      <c r="NO6" s="1">
        <f t="shared" ref="NO6" si="234">IF(AND(NN4=1,NN5=1),1,IF(AND(NN4=0,NN5=1),3,0))</f>
        <v>0</v>
      </c>
      <c r="NP6" s="1">
        <f t="shared" ref="NP6" si="235">IF(AND(NO4=1,NO5=1),1,IF(AND(NO4=0,NO5=1),3,0))</f>
        <v>0</v>
      </c>
      <c r="NQ6" s="1"/>
      <c r="NR6" s="1"/>
      <c r="NS6" s="1"/>
      <c r="NT6" s="36"/>
      <c r="NU6" s="1"/>
      <c r="NW6" s="3" t="s">
        <v>752</v>
      </c>
      <c r="NX6" s="1">
        <v>0</v>
      </c>
      <c r="NY6" s="1">
        <f>IF(AND(NX4=1,NX5=1),1,IF(AND(NX4=0,NX5=1),3,0))</f>
        <v>0</v>
      </c>
      <c r="NZ6" s="1">
        <f t="shared" ref="NZ6" si="236">IF(AND(NY4=1,NY5=1),1,IF(AND(NY4=0,NY5=1),3,0))</f>
        <v>0</v>
      </c>
      <c r="OA6" s="1">
        <f t="shared" ref="OA6" si="237">IF(AND(NZ4=1,NZ5=1),1,IF(AND(NZ4=0,NZ5=1),3,0))</f>
        <v>0</v>
      </c>
      <c r="OB6" s="1">
        <f t="shared" ref="OB6" si="238">IF(AND(OA4=1,OA5=1),1,IF(AND(OA4=0,OA5=1),3,0))</f>
        <v>0</v>
      </c>
      <c r="OC6" s="1">
        <f t="shared" ref="OC6" si="239">IF(AND(OB4=1,OB5=1),1,IF(AND(OB4=0,OB5=1),3,0))</f>
        <v>0</v>
      </c>
      <c r="OD6" s="1">
        <f t="shared" ref="OD6" si="240">IF(AND(OC4=1,OC5=1),1,IF(AND(OC4=0,OC5=1),3,0))</f>
        <v>0</v>
      </c>
      <c r="OE6" s="1">
        <f t="shared" ref="OE6" si="241">IF(AND(OD4=1,OD5=1),1,IF(AND(OD4=0,OD5=1),3,0))</f>
        <v>0</v>
      </c>
      <c r="OF6" s="1">
        <f t="shared" ref="OF6" si="242">IF(AND(OE4=1,OE5=1),1,IF(AND(OE4=0,OE5=1),3,0))</f>
        <v>0</v>
      </c>
      <c r="OG6" s="1"/>
      <c r="OH6" s="1"/>
      <c r="OJ6" s="36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Y6" s="3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M6" s="3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QA6" s="3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O6" s="3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C6" s="3"/>
      <c r="RD6" s="1"/>
      <c r="RE6" s="1"/>
      <c r="RF6" s="1"/>
      <c r="RG6" s="1"/>
      <c r="RH6" s="1"/>
      <c r="RI6" s="1"/>
      <c r="RJ6" s="1"/>
      <c r="RK6" s="1"/>
      <c r="RL6" s="1"/>
      <c r="RQ6" s="3"/>
      <c r="RR6" s="1"/>
      <c r="RS6" s="1"/>
      <c r="RT6" s="1"/>
      <c r="RU6" s="1"/>
      <c r="RV6" s="1"/>
      <c r="RW6" s="1"/>
      <c r="RX6" s="1"/>
      <c r="RY6" s="1"/>
      <c r="RZ6" s="1"/>
      <c r="SE6" s="3"/>
      <c r="SF6" s="1"/>
      <c r="SG6" s="1"/>
      <c r="SH6" s="1"/>
      <c r="SI6" s="1"/>
      <c r="SJ6" s="1"/>
      <c r="SK6" s="1"/>
      <c r="SL6" s="1"/>
      <c r="SM6" s="1"/>
      <c r="SN6" s="1"/>
    </row>
    <row r="7" spans="1:508" x14ac:dyDescent="0.2">
      <c r="A7" s="3" t="s">
        <v>753</v>
      </c>
      <c r="O7" s="3"/>
      <c r="P7" s="22"/>
      <c r="Q7" s="1"/>
      <c r="R7" s="1"/>
      <c r="S7" s="1"/>
      <c r="T7" s="1"/>
      <c r="U7" s="1"/>
      <c r="V7" s="1"/>
      <c r="W7" s="1"/>
      <c r="X7" s="1"/>
      <c r="Y7" s="1"/>
      <c r="Z7" s="1"/>
      <c r="AG7" s="3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Y7" s="3" t="s">
        <v>754</v>
      </c>
      <c r="AZ7" s="1">
        <v>0</v>
      </c>
      <c r="BA7" s="1">
        <f>IF(AND(AZ6=2,BA6&lt;&gt;2),1,0)</f>
        <v>0</v>
      </c>
      <c r="BB7" s="1">
        <f t="shared" ref="BB7:BH7" si="243">IF(AND(BA6=2,BB6&lt;&gt;2),1,0)</f>
        <v>0</v>
      </c>
      <c r="BC7" s="1">
        <f t="shared" si="243"/>
        <v>0</v>
      </c>
      <c r="BD7" s="1">
        <f t="shared" si="243"/>
        <v>0</v>
      </c>
      <c r="BE7" s="1">
        <f t="shared" si="243"/>
        <v>0</v>
      </c>
      <c r="BF7" s="1">
        <f t="shared" si="243"/>
        <v>0</v>
      </c>
      <c r="BG7" s="1">
        <f t="shared" si="243"/>
        <v>0</v>
      </c>
      <c r="BH7" s="1">
        <f t="shared" si="243"/>
        <v>0</v>
      </c>
      <c r="BI7" s="1"/>
      <c r="BJ7" s="1"/>
      <c r="BL7" s="36"/>
      <c r="BO7" s="3" t="s">
        <v>755</v>
      </c>
      <c r="BP7" s="1">
        <v>0</v>
      </c>
      <c r="BQ7" s="1">
        <f>IF(AND(BP6=2,BQ6&lt;&gt;2),1,0)</f>
        <v>0</v>
      </c>
      <c r="BR7" s="1">
        <f t="shared" ref="BR7:BX7" si="244">IF(AND(BQ6=2,BR6&lt;&gt;2),1,0)</f>
        <v>0</v>
      </c>
      <c r="BS7" s="1">
        <f t="shared" si="244"/>
        <v>0</v>
      </c>
      <c r="BT7" s="1">
        <f t="shared" si="244"/>
        <v>0</v>
      </c>
      <c r="BU7" s="1">
        <f t="shared" si="244"/>
        <v>0</v>
      </c>
      <c r="BV7" s="1">
        <f t="shared" si="244"/>
        <v>0</v>
      </c>
      <c r="BW7" s="1">
        <f t="shared" si="244"/>
        <v>0</v>
      </c>
      <c r="BX7" s="1">
        <f t="shared" si="244"/>
        <v>0</v>
      </c>
      <c r="BY7" s="1"/>
      <c r="BZ7" s="1"/>
      <c r="CB7" s="36"/>
      <c r="CE7" s="3" t="s">
        <v>756</v>
      </c>
      <c r="CF7" s="1">
        <v>0</v>
      </c>
      <c r="CG7" s="1">
        <f>IF(AND(CF6=2,CG6&lt;&gt;2),1,0)</f>
        <v>0</v>
      </c>
      <c r="CH7" s="1">
        <f t="shared" ref="CH7:CN7" si="245">IF(AND(CG6=2,CH6&lt;&gt;2),1,0)</f>
        <v>0</v>
      </c>
      <c r="CI7" s="1">
        <f t="shared" si="245"/>
        <v>0</v>
      </c>
      <c r="CJ7" s="1">
        <f t="shared" si="245"/>
        <v>0</v>
      </c>
      <c r="CK7" s="1">
        <f t="shared" si="245"/>
        <v>0</v>
      </c>
      <c r="CL7" s="1">
        <f t="shared" si="245"/>
        <v>0</v>
      </c>
      <c r="CM7" s="1">
        <f t="shared" si="245"/>
        <v>0</v>
      </c>
      <c r="CN7" s="1">
        <f t="shared" si="245"/>
        <v>0</v>
      </c>
      <c r="CO7" s="1"/>
      <c r="CP7" s="1"/>
      <c r="CR7" s="36"/>
      <c r="CU7" s="3" t="s">
        <v>757</v>
      </c>
      <c r="CV7" s="1">
        <v>0</v>
      </c>
      <c r="CW7" s="1">
        <f>IF(AND(CV6=2,CW6&lt;&gt;2),1,0)</f>
        <v>0</v>
      </c>
      <c r="CX7" s="1">
        <f>IF(AND(CW6=2,CX6&lt;&gt;2),1,0)</f>
        <v>0</v>
      </c>
      <c r="CY7" s="1">
        <f t="shared" ref="CY7:DD7" si="246">IF(AND(CX6=2,CY6&lt;&gt;2),1,0)</f>
        <v>0</v>
      </c>
      <c r="CZ7" s="1">
        <f t="shared" si="246"/>
        <v>0</v>
      </c>
      <c r="DA7" s="1">
        <f t="shared" si="246"/>
        <v>0</v>
      </c>
      <c r="DB7" s="1">
        <f t="shared" si="246"/>
        <v>0</v>
      </c>
      <c r="DC7" s="1">
        <f t="shared" si="246"/>
        <v>0</v>
      </c>
      <c r="DD7" s="1">
        <f t="shared" si="246"/>
        <v>0</v>
      </c>
      <c r="DE7" s="1"/>
      <c r="DF7" s="1"/>
      <c r="DH7" s="36"/>
      <c r="DK7" s="3" t="s">
        <v>758</v>
      </c>
      <c r="DL7" s="1">
        <v>0</v>
      </c>
      <c r="DM7" s="1">
        <f>IF(AND(DL6=2,DM6&lt;&gt;2),1,0)</f>
        <v>0</v>
      </c>
      <c r="DN7" s="1">
        <f t="shared" ref="DN7:DT7" si="247">IF(AND(DM6=2,DN6&lt;&gt;2),1,0)</f>
        <v>0</v>
      </c>
      <c r="DO7" s="1">
        <f t="shared" si="247"/>
        <v>1</v>
      </c>
      <c r="DP7" s="1">
        <f t="shared" si="247"/>
        <v>0</v>
      </c>
      <c r="DQ7" s="1">
        <f t="shared" si="247"/>
        <v>0</v>
      </c>
      <c r="DR7" s="1">
        <f t="shared" si="247"/>
        <v>0</v>
      </c>
      <c r="DS7" s="1">
        <f t="shared" si="247"/>
        <v>0</v>
      </c>
      <c r="DT7" s="1">
        <f t="shared" si="247"/>
        <v>0</v>
      </c>
      <c r="DU7" s="1"/>
      <c r="DV7" s="1"/>
      <c r="DX7" s="36"/>
      <c r="EA7" s="3" t="s">
        <v>759</v>
      </c>
      <c r="EB7" s="1">
        <v>0</v>
      </c>
      <c r="EC7" s="1">
        <f>IF(AND(EB6=2,EC6&lt;&gt;2),1,0)</f>
        <v>0</v>
      </c>
      <c r="ED7" s="1">
        <f t="shared" ref="ED7:EJ7" si="248">IF(AND(EC6=2,ED6&lt;&gt;2),1,0)</f>
        <v>1</v>
      </c>
      <c r="EE7" s="1">
        <f t="shared" si="248"/>
        <v>0</v>
      </c>
      <c r="EF7" s="1">
        <f t="shared" si="248"/>
        <v>0</v>
      </c>
      <c r="EG7" s="1">
        <f t="shared" si="248"/>
        <v>0</v>
      </c>
      <c r="EH7" s="1">
        <f t="shared" si="248"/>
        <v>0</v>
      </c>
      <c r="EI7" s="1">
        <f t="shared" si="248"/>
        <v>0</v>
      </c>
      <c r="EJ7" s="1">
        <f t="shared" si="248"/>
        <v>0</v>
      </c>
      <c r="EK7" s="1"/>
      <c r="EL7" s="1"/>
      <c r="EN7" s="36"/>
      <c r="EQ7" s="3" t="s">
        <v>760</v>
      </c>
      <c r="ER7" s="1">
        <v>0</v>
      </c>
      <c r="ES7" s="1">
        <f>IF(AND(ER6=2,ES6&lt;&gt;2),1,0)</f>
        <v>0</v>
      </c>
      <c r="ET7" s="1">
        <f t="shared" ref="ET7:EZ7" si="249">IF(AND(ES6=2,ET6&lt;&gt;2),1,0)</f>
        <v>0</v>
      </c>
      <c r="EU7" s="1">
        <f t="shared" si="249"/>
        <v>1</v>
      </c>
      <c r="EV7" s="1">
        <f t="shared" si="249"/>
        <v>0</v>
      </c>
      <c r="EW7" s="1">
        <f t="shared" si="249"/>
        <v>0</v>
      </c>
      <c r="EX7" s="1">
        <f t="shared" si="249"/>
        <v>0</v>
      </c>
      <c r="EY7" s="1">
        <f t="shared" si="249"/>
        <v>0</v>
      </c>
      <c r="EZ7" s="1">
        <f t="shared" si="249"/>
        <v>0</v>
      </c>
      <c r="FA7" s="1"/>
      <c r="FB7" s="1"/>
      <c r="FD7" s="36"/>
      <c r="FG7" s="3" t="s">
        <v>761</v>
      </c>
      <c r="FH7" s="1">
        <v>0</v>
      </c>
      <c r="FI7" s="1">
        <f>IF(AND(FH6=2,FI6&lt;&gt;2),1,0)</f>
        <v>0</v>
      </c>
      <c r="FJ7" s="1">
        <f t="shared" ref="FJ7:FP7" si="250">IF(AND(FI6=2,FJ6&lt;&gt;2),1,0)</f>
        <v>1</v>
      </c>
      <c r="FK7" s="1">
        <f t="shared" si="250"/>
        <v>0</v>
      </c>
      <c r="FL7" s="1">
        <f t="shared" si="250"/>
        <v>0</v>
      </c>
      <c r="FM7" s="1">
        <f t="shared" si="250"/>
        <v>0</v>
      </c>
      <c r="FN7" s="1">
        <f t="shared" si="250"/>
        <v>0</v>
      </c>
      <c r="FO7" s="1">
        <f t="shared" si="250"/>
        <v>0</v>
      </c>
      <c r="FP7" s="1">
        <f t="shared" si="250"/>
        <v>0</v>
      </c>
      <c r="FQ7" s="1"/>
      <c r="FR7" s="1"/>
      <c r="FT7" s="36"/>
      <c r="FW7" s="3" t="s">
        <v>762</v>
      </c>
      <c r="FX7" s="1">
        <v>0</v>
      </c>
      <c r="FY7" s="1">
        <f>IF(AND(FX6=2,FY6&lt;&gt;2),1,0)</f>
        <v>0</v>
      </c>
      <c r="FZ7" s="1">
        <f t="shared" ref="FZ7:GF7" si="251">IF(AND(FY6=2,FZ6&lt;&gt;2),1,0)</f>
        <v>0</v>
      </c>
      <c r="GA7" s="1">
        <f t="shared" si="251"/>
        <v>0</v>
      </c>
      <c r="GB7" s="1">
        <f t="shared" si="251"/>
        <v>1</v>
      </c>
      <c r="GC7" s="1">
        <f t="shared" si="251"/>
        <v>0</v>
      </c>
      <c r="GD7" s="1">
        <f t="shared" si="251"/>
        <v>0</v>
      </c>
      <c r="GE7" s="1">
        <f t="shared" si="251"/>
        <v>0</v>
      </c>
      <c r="GF7" s="1">
        <f t="shared" si="251"/>
        <v>0</v>
      </c>
      <c r="GG7" s="1"/>
      <c r="GH7" s="1"/>
      <c r="GI7" s="1"/>
      <c r="GJ7" s="36"/>
      <c r="GK7" s="1"/>
      <c r="GM7" s="3" t="s">
        <v>763</v>
      </c>
      <c r="GN7" s="1">
        <v>0</v>
      </c>
      <c r="GO7" s="1">
        <f>IF(AND(GN6=2,GO6&lt;&gt;2),1,0)</f>
        <v>0</v>
      </c>
      <c r="GP7" s="1">
        <f t="shared" ref="GP7:GV7" si="252">IF(AND(GO6=2,GP6&lt;&gt;2),1,0)</f>
        <v>0</v>
      </c>
      <c r="GQ7" s="1">
        <f t="shared" si="252"/>
        <v>0</v>
      </c>
      <c r="GR7" s="1">
        <f t="shared" si="252"/>
        <v>1</v>
      </c>
      <c r="GS7" s="1">
        <f t="shared" si="252"/>
        <v>0</v>
      </c>
      <c r="GT7" s="1">
        <f t="shared" si="252"/>
        <v>0</v>
      </c>
      <c r="GU7" s="1">
        <f t="shared" si="252"/>
        <v>0</v>
      </c>
      <c r="GV7" s="1">
        <f t="shared" si="252"/>
        <v>0</v>
      </c>
      <c r="GW7" s="1"/>
      <c r="GX7" s="1"/>
      <c r="GY7" s="1"/>
      <c r="GZ7" s="36"/>
      <c r="HA7" s="1"/>
      <c r="HB7" s="1"/>
      <c r="HC7" s="3" t="s">
        <v>764</v>
      </c>
      <c r="HD7" s="1">
        <v>0</v>
      </c>
      <c r="HE7" s="1">
        <f>IF(AND(HD6=2,HE6&lt;&gt;2),1,0)</f>
        <v>0</v>
      </c>
      <c r="HF7" s="1">
        <f t="shared" ref="HF7:HL7" si="253">IF(AND(HE6=2,HF6&lt;&gt;2),1,0)</f>
        <v>0</v>
      </c>
      <c r="HG7" s="1">
        <f t="shared" si="253"/>
        <v>0</v>
      </c>
      <c r="HH7" s="1">
        <f t="shared" si="253"/>
        <v>0</v>
      </c>
      <c r="HI7" s="1">
        <f t="shared" si="253"/>
        <v>1</v>
      </c>
      <c r="HJ7" s="1">
        <f t="shared" si="253"/>
        <v>0</v>
      </c>
      <c r="HK7" s="1">
        <f t="shared" si="253"/>
        <v>0</v>
      </c>
      <c r="HL7" s="1">
        <f t="shared" si="253"/>
        <v>0</v>
      </c>
      <c r="HM7" s="1"/>
      <c r="HN7" s="1"/>
      <c r="HO7" s="1"/>
      <c r="HP7" s="36"/>
      <c r="HQ7" s="1"/>
      <c r="HR7" s="1"/>
      <c r="HS7" s="3" t="s">
        <v>765</v>
      </c>
      <c r="HT7" s="1">
        <v>0</v>
      </c>
      <c r="HU7" s="1">
        <f>IF(AND(HT6=2,HU6&lt;&gt;2),1,0)</f>
        <v>0</v>
      </c>
      <c r="HV7" s="1">
        <f t="shared" ref="HV7:IB7" si="254">IF(AND(HU6=2,HV6&lt;&gt;2),1,0)</f>
        <v>0</v>
      </c>
      <c r="HW7" s="1">
        <f t="shared" si="254"/>
        <v>0</v>
      </c>
      <c r="HX7" s="1">
        <f t="shared" si="254"/>
        <v>0</v>
      </c>
      <c r="HY7" s="1">
        <f t="shared" si="254"/>
        <v>1</v>
      </c>
      <c r="HZ7" s="1">
        <f t="shared" si="254"/>
        <v>0</v>
      </c>
      <c r="IA7" s="1">
        <f t="shared" si="254"/>
        <v>0</v>
      </c>
      <c r="IB7" s="1">
        <f t="shared" si="254"/>
        <v>0</v>
      </c>
      <c r="IC7" s="1"/>
      <c r="ID7" s="1"/>
      <c r="IE7" s="1"/>
      <c r="IF7" s="36"/>
      <c r="IG7" s="1"/>
      <c r="II7" s="3" t="s">
        <v>766</v>
      </c>
      <c r="IJ7" s="1">
        <v>0</v>
      </c>
      <c r="IK7" s="1">
        <f>IF(AND(IJ6=2,IK6&lt;&gt;2),1,0)</f>
        <v>0</v>
      </c>
      <c r="IL7" s="1">
        <f t="shared" ref="IL7:IR7" si="255">IF(AND(IK6=2,IL6&lt;&gt;2),1,0)</f>
        <v>0</v>
      </c>
      <c r="IM7" s="1">
        <f t="shared" si="255"/>
        <v>0</v>
      </c>
      <c r="IN7" s="1">
        <f t="shared" si="255"/>
        <v>0</v>
      </c>
      <c r="IO7" s="1">
        <f t="shared" si="255"/>
        <v>0</v>
      </c>
      <c r="IP7" s="1">
        <f t="shared" si="255"/>
        <v>1</v>
      </c>
      <c r="IQ7" s="1">
        <f t="shared" si="255"/>
        <v>0</v>
      </c>
      <c r="IR7" s="1">
        <f t="shared" si="255"/>
        <v>0</v>
      </c>
      <c r="IS7" s="1"/>
      <c r="IT7" s="1"/>
      <c r="IU7" s="1"/>
      <c r="IV7" s="36"/>
      <c r="IW7" s="1"/>
      <c r="IY7" s="3" t="s">
        <v>767</v>
      </c>
      <c r="IZ7" s="1">
        <v>0</v>
      </c>
      <c r="JA7" s="1">
        <f>IF(AND(IZ6=2,JA6&lt;&gt;2),1,0)</f>
        <v>0</v>
      </c>
      <c r="JB7" s="1">
        <f t="shared" ref="JB7:JH7" si="256">IF(AND(JA6=2,JB6&lt;&gt;2),1,0)</f>
        <v>0</v>
      </c>
      <c r="JC7" s="1">
        <f t="shared" si="256"/>
        <v>0</v>
      </c>
      <c r="JD7" s="1">
        <f t="shared" si="256"/>
        <v>1</v>
      </c>
      <c r="JE7" s="1">
        <f t="shared" si="256"/>
        <v>0</v>
      </c>
      <c r="JF7" s="1">
        <f t="shared" si="256"/>
        <v>0</v>
      </c>
      <c r="JG7" s="1">
        <f t="shared" si="256"/>
        <v>0</v>
      </c>
      <c r="JH7" s="1">
        <f t="shared" si="256"/>
        <v>0</v>
      </c>
      <c r="JI7" s="1"/>
      <c r="JJ7" s="1"/>
      <c r="JK7" s="1"/>
      <c r="JL7" s="36"/>
      <c r="JM7" s="1"/>
      <c r="JO7" s="3" t="s">
        <v>768</v>
      </c>
      <c r="JP7" s="1">
        <v>0</v>
      </c>
      <c r="JQ7" s="1">
        <f>IF(AND(JP6=2,JQ6&lt;&gt;2),1,0)</f>
        <v>0</v>
      </c>
      <c r="JR7" s="1">
        <f t="shared" ref="JR7:JX7" si="257">IF(AND(JQ6=2,JR6&lt;&gt;2),1,0)</f>
        <v>0</v>
      </c>
      <c r="JS7" s="1">
        <f t="shared" si="257"/>
        <v>0</v>
      </c>
      <c r="JT7" s="1">
        <f t="shared" si="257"/>
        <v>1</v>
      </c>
      <c r="JU7" s="1">
        <f t="shared" si="257"/>
        <v>0</v>
      </c>
      <c r="JV7" s="1">
        <f t="shared" si="257"/>
        <v>0</v>
      </c>
      <c r="JW7" s="1">
        <f t="shared" si="257"/>
        <v>0</v>
      </c>
      <c r="JX7" s="1">
        <f t="shared" si="257"/>
        <v>0</v>
      </c>
      <c r="JY7" s="1"/>
      <c r="JZ7" s="1"/>
      <c r="KA7" s="1"/>
      <c r="KB7" s="36"/>
      <c r="KC7" s="1"/>
      <c r="KE7" s="3" t="s">
        <v>769</v>
      </c>
      <c r="KF7" s="1">
        <v>0</v>
      </c>
      <c r="KG7" s="1">
        <f>IF(AND(KF6=2,KG6&lt;&gt;2),1,0)</f>
        <v>0</v>
      </c>
      <c r="KH7" s="1">
        <f t="shared" ref="KH7:KN7" si="258">IF(AND(KG6=2,KH6&lt;&gt;2),1,0)</f>
        <v>0</v>
      </c>
      <c r="KI7" s="1">
        <f t="shared" si="258"/>
        <v>0</v>
      </c>
      <c r="KJ7" s="1">
        <f t="shared" si="258"/>
        <v>0</v>
      </c>
      <c r="KK7" s="1">
        <f t="shared" si="258"/>
        <v>0</v>
      </c>
      <c r="KL7" s="1">
        <f t="shared" si="258"/>
        <v>0</v>
      </c>
      <c r="KM7" s="1">
        <f t="shared" si="258"/>
        <v>0</v>
      </c>
      <c r="KN7" s="1">
        <f t="shared" si="258"/>
        <v>0</v>
      </c>
      <c r="KO7" s="1"/>
      <c r="KP7" s="1"/>
      <c r="KQ7" s="1"/>
      <c r="KR7" s="36"/>
      <c r="KS7" s="1"/>
      <c r="KU7" s="3" t="s">
        <v>770</v>
      </c>
      <c r="KV7" s="1">
        <v>0</v>
      </c>
      <c r="KW7" s="1">
        <f>IF(AND(KV6=2,KW6&lt;&gt;2),1,0)</f>
        <v>0</v>
      </c>
      <c r="KX7" s="1">
        <f t="shared" ref="KX7:LD7" si="259">IF(AND(KW6=2,KX6&lt;&gt;2),1,0)</f>
        <v>0</v>
      </c>
      <c r="KY7" s="1">
        <f t="shared" si="259"/>
        <v>0</v>
      </c>
      <c r="KZ7" s="1">
        <f t="shared" si="259"/>
        <v>0</v>
      </c>
      <c r="LA7" s="1">
        <f t="shared" si="259"/>
        <v>0</v>
      </c>
      <c r="LB7" s="1">
        <f t="shared" si="259"/>
        <v>0</v>
      </c>
      <c r="LC7" s="1">
        <f t="shared" si="259"/>
        <v>0</v>
      </c>
      <c r="LD7" s="1">
        <f t="shared" si="259"/>
        <v>0</v>
      </c>
      <c r="LE7" s="1"/>
      <c r="LF7" s="1"/>
      <c r="LG7" s="1"/>
      <c r="LH7" s="36"/>
      <c r="LI7" s="1"/>
      <c r="LK7" s="3" t="s">
        <v>771</v>
      </c>
      <c r="LL7" s="1">
        <v>0</v>
      </c>
      <c r="LM7" s="1">
        <f>IF(AND(LL6=2,LM6&lt;&gt;2),1,0)</f>
        <v>0</v>
      </c>
      <c r="LN7" s="1">
        <f t="shared" ref="LN7:LT7" si="260">IF(AND(LM6=2,LN6&lt;&gt;2),1,0)</f>
        <v>0</v>
      </c>
      <c r="LO7" s="1">
        <f t="shared" si="260"/>
        <v>0</v>
      </c>
      <c r="LP7" s="1">
        <f t="shared" si="260"/>
        <v>0</v>
      </c>
      <c r="LQ7" s="1">
        <f t="shared" si="260"/>
        <v>0</v>
      </c>
      <c r="LR7" s="1">
        <f t="shared" si="260"/>
        <v>0</v>
      </c>
      <c r="LS7" s="1">
        <f t="shared" si="260"/>
        <v>0</v>
      </c>
      <c r="LT7" s="1">
        <f t="shared" si="260"/>
        <v>0</v>
      </c>
      <c r="LU7" s="1"/>
      <c r="LV7" s="1"/>
      <c r="LW7" s="1"/>
      <c r="LX7" s="36"/>
      <c r="LY7" s="1"/>
      <c r="MA7" s="3" t="s">
        <v>772</v>
      </c>
      <c r="MB7" s="1">
        <v>0</v>
      </c>
      <c r="MC7" s="1">
        <f>IF(AND(MB6=2,MC6&lt;&gt;2),1,0)</f>
        <v>0</v>
      </c>
      <c r="MD7" s="1">
        <f t="shared" ref="MD7:MJ7" si="261">IF(AND(MC6=2,MD6&lt;&gt;2),1,0)</f>
        <v>0</v>
      </c>
      <c r="ME7" s="1">
        <f t="shared" si="261"/>
        <v>0</v>
      </c>
      <c r="MF7" s="1">
        <f t="shared" si="261"/>
        <v>0</v>
      </c>
      <c r="MG7" s="1">
        <f t="shared" si="261"/>
        <v>0</v>
      </c>
      <c r="MH7" s="1">
        <f t="shared" si="261"/>
        <v>0</v>
      </c>
      <c r="MI7" s="1">
        <f t="shared" si="261"/>
        <v>0</v>
      </c>
      <c r="MJ7" s="1">
        <f t="shared" si="261"/>
        <v>0</v>
      </c>
      <c r="MK7" s="1"/>
      <c r="ML7" s="1"/>
      <c r="MM7" s="1"/>
      <c r="MN7" s="36"/>
      <c r="MO7" s="1"/>
      <c r="MQ7" s="3" t="s">
        <v>773</v>
      </c>
      <c r="MR7" s="1">
        <v>0</v>
      </c>
      <c r="MS7" s="1">
        <f>IF(AND(MR6=2,MS6&lt;&gt;2),1,0)</f>
        <v>0</v>
      </c>
      <c r="MT7" s="1">
        <f t="shared" ref="MT7:MZ7" si="262">IF(AND(MS6=2,MT6&lt;&gt;2),1,0)</f>
        <v>0</v>
      </c>
      <c r="MU7" s="1">
        <f t="shared" si="262"/>
        <v>0</v>
      </c>
      <c r="MV7" s="1">
        <f t="shared" si="262"/>
        <v>0</v>
      </c>
      <c r="MW7" s="1">
        <f t="shared" si="262"/>
        <v>0</v>
      </c>
      <c r="MX7" s="1">
        <f t="shared" si="262"/>
        <v>0</v>
      </c>
      <c r="MY7" s="1">
        <f t="shared" si="262"/>
        <v>0</v>
      </c>
      <c r="MZ7" s="1">
        <f t="shared" si="262"/>
        <v>0</v>
      </c>
      <c r="NA7" s="1"/>
      <c r="NB7" s="1"/>
      <c r="NC7" s="1"/>
      <c r="ND7" s="36"/>
      <c r="NE7" s="1"/>
      <c r="NG7" s="3" t="s">
        <v>774</v>
      </c>
      <c r="NH7" s="1">
        <v>0</v>
      </c>
      <c r="NI7" s="1">
        <f>IF(AND(NH6=2,NI6&lt;&gt;2),1,0)</f>
        <v>0</v>
      </c>
      <c r="NJ7" s="1">
        <f t="shared" ref="NJ7:NP7" si="263">IF(AND(NI6=2,NJ6&lt;&gt;2),1,0)</f>
        <v>0</v>
      </c>
      <c r="NK7" s="1">
        <f t="shared" si="263"/>
        <v>0</v>
      </c>
      <c r="NL7" s="1">
        <f t="shared" si="263"/>
        <v>0</v>
      </c>
      <c r="NM7" s="1">
        <f t="shared" si="263"/>
        <v>0</v>
      </c>
      <c r="NN7" s="1">
        <f t="shared" si="263"/>
        <v>0</v>
      </c>
      <c r="NO7" s="1">
        <f t="shared" si="263"/>
        <v>0</v>
      </c>
      <c r="NP7" s="1">
        <f t="shared" si="263"/>
        <v>0</v>
      </c>
      <c r="NQ7" s="1"/>
      <c r="NR7" s="1"/>
      <c r="NS7" s="1"/>
      <c r="NT7" s="36"/>
      <c r="NU7" s="1"/>
      <c r="NW7" s="3" t="s">
        <v>775</v>
      </c>
      <c r="NX7" s="1">
        <v>0</v>
      </c>
      <c r="NY7" s="1">
        <f>IF(AND(NX6=2,NY6&lt;&gt;2),1,0)</f>
        <v>0</v>
      </c>
      <c r="NZ7" s="1">
        <f t="shared" ref="NZ7:OF7" si="264">IF(AND(NY6=2,NZ6&lt;&gt;2),1,0)</f>
        <v>0</v>
      </c>
      <c r="OA7" s="1">
        <f t="shared" si="264"/>
        <v>0</v>
      </c>
      <c r="OB7" s="1">
        <f t="shared" si="264"/>
        <v>0</v>
      </c>
      <c r="OC7" s="1">
        <f t="shared" si="264"/>
        <v>0</v>
      </c>
      <c r="OD7" s="1">
        <f t="shared" si="264"/>
        <v>0</v>
      </c>
      <c r="OE7" s="1">
        <f t="shared" si="264"/>
        <v>0</v>
      </c>
      <c r="OF7" s="1">
        <f t="shared" si="264"/>
        <v>0</v>
      </c>
      <c r="OG7" s="1"/>
      <c r="OH7" s="1"/>
      <c r="OJ7" s="36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Y7" s="3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M7" s="3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QA7" s="3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O7" s="3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C7" s="3"/>
      <c r="RD7" s="1"/>
      <c r="RE7" s="1"/>
      <c r="RF7" s="1"/>
      <c r="RG7" s="1"/>
      <c r="RH7" s="1"/>
      <c r="RI7" s="1"/>
      <c r="RJ7" s="1"/>
      <c r="RK7" s="1"/>
      <c r="RL7" s="1"/>
      <c r="RQ7" s="3"/>
      <c r="RR7" s="1"/>
      <c r="RS7" s="1"/>
      <c r="RT7" s="1"/>
      <c r="RU7" s="1"/>
      <c r="RV7" s="1"/>
      <c r="RW7" s="1"/>
      <c r="RX7" s="1"/>
      <c r="RY7" s="1"/>
      <c r="RZ7" s="1"/>
      <c r="SE7" s="3"/>
      <c r="SF7" s="1"/>
      <c r="SG7" s="1"/>
      <c r="SH7" s="1"/>
      <c r="SI7" s="1"/>
      <c r="SJ7" s="1"/>
      <c r="SK7" s="1"/>
      <c r="SL7" s="1"/>
      <c r="SM7" s="1"/>
      <c r="SN7" s="1"/>
    </row>
    <row r="8" spans="1:508" x14ac:dyDescent="0.2">
      <c r="A8" s="3" t="s">
        <v>776</v>
      </c>
      <c r="O8" s="3"/>
      <c r="P8" s="22"/>
      <c r="Q8" s="4"/>
      <c r="R8" s="4"/>
      <c r="S8" s="4"/>
      <c r="T8" s="4"/>
      <c r="U8" s="4"/>
      <c r="V8" s="4"/>
      <c r="W8" s="4"/>
      <c r="X8" s="4"/>
      <c r="Y8" s="4"/>
      <c r="Z8" s="4"/>
      <c r="AG8" s="3"/>
      <c r="AH8" s="1"/>
      <c r="AI8" s="1"/>
      <c r="AJ8" s="1"/>
      <c r="AK8" s="1"/>
      <c r="AL8" s="1"/>
      <c r="AM8" s="1"/>
      <c r="AN8" s="1"/>
      <c r="AO8" s="1"/>
      <c r="AP8" s="1"/>
      <c r="AQ8" s="4"/>
      <c r="AR8" s="4"/>
      <c r="AY8" s="3" t="s">
        <v>777</v>
      </c>
      <c r="AZ8" s="1">
        <v>0</v>
      </c>
      <c r="BA8" s="1">
        <f>IF(BA7=1,Results!C5+1,AZ8)</f>
        <v>0</v>
      </c>
      <c r="BB8" s="1">
        <f>IF(BB7=1,Results!D5+1,BA8)</f>
        <v>0</v>
      </c>
      <c r="BC8" s="1">
        <f>IF(BC7=1,Results!E5+1,BB8)</f>
        <v>0</v>
      </c>
      <c r="BD8" s="1">
        <f>IF(BD7=1,Results!F5+1,BC8)</f>
        <v>0</v>
      </c>
      <c r="BE8" s="1">
        <f>IF(BE7=1,Results!G5+1,BD8)</f>
        <v>0</v>
      </c>
      <c r="BF8" s="1">
        <f>IF(BF7=1,Results!H5+1,BE8)</f>
        <v>0</v>
      </c>
      <c r="BG8" s="1">
        <f>IF(BG7=1,Results!I5+1,BF8)</f>
        <v>0</v>
      </c>
      <c r="BH8" s="1">
        <f>IF(BH7=1,Results!J5+1,BG8)</f>
        <v>0</v>
      </c>
      <c r="BI8" s="4"/>
      <c r="BJ8" s="4"/>
      <c r="BL8" s="36"/>
      <c r="BO8" s="3" t="s">
        <v>778</v>
      </c>
      <c r="BP8" s="1">
        <v>0</v>
      </c>
      <c r="BQ8" s="4">
        <f>IF(BQ7=1,Results!C5+1,BP8)</f>
        <v>0</v>
      </c>
      <c r="BR8" s="4">
        <f>IF(BR7=1,Results!D5+1,BQ8)</f>
        <v>0</v>
      </c>
      <c r="BS8" s="4">
        <f>IF(BS7=1,Results!E5+1,BR8)</f>
        <v>0</v>
      </c>
      <c r="BT8" s="4">
        <f>IF(BT7=1,Results!F5+1,BS8)</f>
        <v>0</v>
      </c>
      <c r="BU8" s="4">
        <f>IF(BU7=1,Results!G5+1,BT8)</f>
        <v>0</v>
      </c>
      <c r="BV8" s="4">
        <f>IF(BV7=1,Results!H5+1,BU8)</f>
        <v>0</v>
      </c>
      <c r="BW8" s="4">
        <f>IF(BW7=1,Results!I5+1,BV8)</f>
        <v>0</v>
      </c>
      <c r="BX8" s="4">
        <f>IF(BX7=1,Results!J5+1,BW8)</f>
        <v>0</v>
      </c>
      <c r="BY8" s="4"/>
      <c r="BZ8" s="4"/>
      <c r="CB8" s="36"/>
      <c r="CE8" s="3" t="s">
        <v>779</v>
      </c>
      <c r="CF8" s="1">
        <v>0</v>
      </c>
      <c r="CG8" s="4">
        <f>IF(CG7=1,Results!C5+1,CF8)</f>
        <v>0</v>
      </c>
      <c r="CH8" s="4">
        <f>IF(CH7=1,Results!D5+1,CG8)</f>
        <v>0</v>
      </c>
      <c r="CI8" s="4">
        <f>IF(CI7=1,Results!E5+1,CH8)</f>
        <v>0</v>
      </c>
      <c r="CJ8" s="4">
        <f>IF(CJ7=1,Results!F5+1,CI8)</f>
        <v>0</v>
      </c>
      <c r="CK8" s="4">
        <f>IF(CK7=1,Results!G5+1,CJ8)</f>
        <v>0</v>
      </c>
      <c r="CL8" s="4">
        <f>IF(CL7=1,Results!H5+1,CK8)</f>
        <v>0</v>
      </c>
      <c r="CM8" s="4">
        <f>IF(CM7=1,Results!I5+1,CL8)</f>
        <v>0</v>
      </c>
      <c r="CN8" s="4">
        <f>IF(CN7=1,Results!J5+1,CM8)</f>
        <v>0</v>
      </c>
      <c r="CO8" s="4"/>
      <c r="CP8" s="4"/>
      <c r="CR8" s="36"/>
      <c r="CU8" s="3" t="s">
        <v>780</v>
      </c>
      <c r="CV8" s="1">
        <v>0</v>
      </c>
      <c r="CW8" s="4">
        <f>IF(CW7=1,Results!C5+1,CV8)</f>
        <v>0</v>
      </c>
      <c r="CX8" s="4">
        <f>IF(CX7=1,Results!D5+1,CW8)</f>
        <v>0</v>
      </c>
      <c r="CY8" s="4">
        <f>IF(CY7=1,Results!E5+1,CX8)</f>
        <v>0</v>
      </c>
      <c r="CZ8" s="4">
        <f>IF(CZ7=1,Results!F5+1,CY8)</f>
        <v>0</v>
      </c>
      <c r="DA8" s="4">
        <f>IF(DA7=1,Results!G5+1,CZ8)</f>
        <v>0</v>
      </c>
      <c r="DB8" s="4">
        <f>IF(DB7=1,Results!H5+1,DA8)</f>
        <v>0</v>
      </c>
      <c r="DC8" s="4">
        <f>IF(DC7=1,Results!I5+1,DB8)</f>
        <v>0</v>
      </c>
      <c r="DD8" s="4">
        <f>IF(DD7=1,Results!J5+1,DC8)</f>
        <v>0</v>
      </c>
      <c r="DE8" s="4"/>
      <c r="DF8" s="4"/>
      <c r="DH8" s="36"/>
      <c r="DK8" s="3" t="s">
        <v>781</v>
      </c>
      <c r="DL8" s="1">
        <v>0</v>
      </c>
      <c r="DM8" s="4">
        <f>IF(DM7=1,Results!C5+1,DL8)</f>
        <v>0</v>
      </c>
      <c r="DN8" s="4">
        <f>IF(DN7=1,Results!D5+1,DM8)</f>
        <v>0</v>
      </c>
      <c r="DO8" s="4">
        <f>IF(DO7=1,Results!E5+1,DN8)</f>
        <v>4</v>
      </c>
      <c r="DP8" s="4">
        <f>IF(DP7=1,Results!F5+1,DO8)</f>
        <v>4</v>
      </c>
      <c r="DQ8" s="4">
        <f>IF(DQ7=1,Results!G5+1,DP8)</f>
        <v>4</v>
      </c>
      <c r="DR8" s="4">
        <f>IF(DR7=1,Results!H5+1,DQ8)</f>
        <v>4</v>
      </c>
      <c r="DS8" s="4">
        <f>IF(DS7=1,Results!I5+1,DR8)</f>
        <v>4</v>
      </c>
      <c r="DT8" s="4">
        <f>IF(DT7=1,Results!J5+1,DS8)</f>
        <v>4</v>
      </c>
      <c r="DU8" s="4"/>
      <c r="DV8" s="4"/>
      <c r="DX8" s="36"/>
      <c r="EA8" s="3" t="s">
        <v>782</v>
      </c>
      <c r="EB8" s="1">
        <v>0</v>
      </c>
      <c r="EC8" s="4">
        <f>IF(EC7=1,Results!C5+1,EB8)</f>
        <v>0</v>
      </c>
      <c r="ED8" s="4">
        <f>IF(ED7=1,Results!D5+1,EC8)</f>
        <v>3</v>
      </c>
      <c r="EE8" s="4">
        <f>IF(EE7=1,Results!E5+1,ED8)</f>
        <v>3</v>
      </c>
      <c r="EF8" s="4">
        <f>IF(EF7=1,Results!F5+1,EE8)</f>
        <v>3</v>
      </c>
      <c r="EG8" s="4">
        <f>IF(EG7=1,Results!G5+1,EF8)</f>
        <v>3</v>
      </c>
      <c r="EH8" s="4">
        <f>IF(EH7=1,Results!H5+1,EG8)</f>
        <v>3</v>
      </c>
      <c r="EI8" s="4">
        <f>IF(EI7=1,Results!I5+1,EH8)</f>
        <v>3</v>
      </c>
      <c r="EJ8" s="4">
        <f>IF(EJ7=1,Results!J5+1,EI8)</f>
        <v>3</v>
      </c>
      <c r="EK8" s="4"/>
      <c r="EL8" s="4"/>
      <c r="EN8" s="36"/>
      <c r="EQ8" s="3" t="s">
        <v>783</v>
      </c>
      <c r="ER8" s="1">
        <v>0</v>
      </c>
      <c r="ES8" s="4">
        <f>IF(ES7=1,Results!C5+1,ER8)</f>
        <v>0</v>
      </c>
      <c r="ET8" s="4">
        <f>IF(ET7=1,Results!D5+1,ES8)</f>
        <v>0</v>
      </c>
      <c r="EU8" s="4">
        <f>IF(EU7=1,Results!E5+1,ET8)</f>
        <v>4</v>
      </c>
      <c r="EV8" s="4">
        <f>IF(EV7=1,Results!F5+1,EU8)</f>
        <v>4</v>
      </c>
      <c r="EW8" s="4">
        <f>IF(EW7=1,Results!G5+1,EV8)</f>
        <v>4</v>
      </c>
      <c r="EX8" s="4">
        <f>IF(EX7=1,Results!H5+1,EW8)</f>
        <v>4</v>
      </c>
      <c r="EY8" s="4">
        <f>IF(EY7=1,Results!I5+1,EX8)</f>
        <v>4</v>
      </c>
      <c r="EZ8" s="1">
        <f>IF(EZ7=1,Results!J5+1,EY8)</f>
        <v>4</v>
      </c>
      <c r="FA8" s="4"/>
      <c r="FB8" s="1"/>
      <c r="FD8" s="36"/>
      <c r="FG8" s="3" t="s">
        <v>784</v>
      </c>
      <c r="FH8" s="1">
        <v>0</v>
      </c>
      <c r="FI8" s="4">
        <f>IF(FI7=1,Results!C5+1,FH8)</f>
        <v>0</v>
      </c>
      <c r="FJ8" s="4">
        <f>IF(FJ7=1,Results!D5+1,FI8)</f>
        <v>3</v>
      </c>
      <c r="FK8" s="4">
        <f>IF(FK7=1,Results!E5+1,FJ8)</f>
        <v>3</v>
      </c>
      <c r="FL8" s="4">
        <f>IF(FL7=1,Results!F5+1,FK8)</f>
        <v>3</v>
      </c>
      <c r="FM8" s="4">
        <f>IF(FM7=1,Results!G5+1,FL8)</f>
        <v>3</v>
      </c>
      <c r="FN8" s="4">
        <f>IF(FN7=1,Results!H5+1,FM8)</f>
        <v>3</v>
      </c>
      <c r="FO8" s="4">
        <f>IF(FO7=1,Results!I5+1,FN8)</f>
        <v>3</v>
      </c>
      <c r="FP8" s="1">
        <f>IF(FP7=1,Results!J5+1,FO8)</f>
        <v>3</v>
      </c>
      <c r="FQ8" s="4"/>
      <c r="FR8" s="1"/>
      <c r="FT8" s="36"/>
      <c r="FW8" s="3" t="s">
        <v>785</v>
      </c>
      <c r="FX8" s="1">
        <v>0</v>
      </c>
      <c r="FY8" s="4">
        <f>IF(FY7=1,Results!C5+1,FX8)</f>
        <v>0</v>
      </c>
      <c r="FZ8" s="4">
        <f>IF(FZ7=1,Results!D5+1,FY8)</f>
        <v>0</v>
      </c>
      <c r="GA8" s="4">
        <f>IF(GA7=1,Results!E5+1,FZ8)</f>
        <v>0</v>
      </c>
      <c r="GB8" s="4">
        <f>IF(GB7=1,Results!F5+1,GA8)</f>
        <v>5</v>
      </c>
      <c r="GC8" s="4">
        <f>IF(GC7=1,Results!G5+1,GB8)</f>
        <v>5</v>
      </c>
      <c r="GD8" s="4">
        <f>IF(GD7=1,Results!H5+1,GC8)</f>
        <v>5</v>
      </c>
      <c r="GE8" s="4">
        <f>IF(GE7=1,Results!I5+1,GD8)</f>
        <v>5</v>
      </c>
      <c r="GF8" s="1">
        <f>IF(GF7=1,Results!J5+1,GE8)</f>
        <v>5</v>
      </c>
      <c r="GG8" s="4"/>
      <c r="GH8" s="4"/>
      <c r="GI8" s="4"/>
      <c r="GJ8" s="36"/>
      <c r="GK8" s="4"/>
      <c r="GM8" s="3" t="s">
        <v>786</v>
      </c>
      <c r="GN8" s="1">
        <v>0</v>
      </c>
      <c r="GO8" s="4">
        <f>IF(GO7=1,Results!C5+1,GN8)</f>
        <v>0</v>
      </c>
      <c r="GP8" s="1">
        <f>IF(GP7=1,Results!D5+1,GO8)</f>
        <v>0</v>
      </c>
      <c r="GQ8" s="1">
        <f>IF(GQ7=1,Results!E5+1,GP8)</f>
        <v>0</v>
      </c>
      <c r="GR8" s="1">
        <f>IF(GR7=1,Results!F5+1,GQ8)</f>
        <v>5</v>
      </c>
      <c r="GS8" s="1">
        <f>IF(GS7=1,Results!G5+1,GR8)</f>
        <v>5</v>
      </c>
      <c r="GT8" s="1">
        <f>IF(GT7=1,Results!H5+1,GS8)</f>
        <v>5</v>
      </c>
      <c r="GU8" s="1">
        <f>IF(GU7=1,Results!I5+1,GT8)</f>
        <v>5</v>
      </c>
      <c r="GV8" s="1">
        <f>IF(GV7=1,Results!J5+1,GU8)</f>
        <v>5</v>
      </c>
      <c r="GW8" s="1"/>
      <c r="GX8" s="1"/>
      <c r="GY8" s="1"/>
      <c r="GZ8" s="36"/>
      <c r="HA8" s="1"/>
      <c r="HB8" s="1"/>
      <c r="HC8" s="3" t="s">
        <v>787</v>
      </c>
      <c r="HD8" s="1">
        <v>0</v>
      </c>
      <c r="HE8" s="1">
        <f>IF(HE7=1,Results!C5+1,HD8)</f>
        <v>0</v>
      </c>
      <c r="HF8" s="1">
        <f>IF(HF7=1,Results!D5+1,HE8)</f>
        <v>0</v>
      </c>
      <c r="HG8" s="1">
        <f>IF(HG7=1,Results!E5+1,HF8)</f>
        <v>0</v>
      </c>
      <c r="HH8" s="1">
        <f>IF(HH7=1,Results!F5+1,HG8)</f>
        <v>0</v>
      </c>
      <c r="HI8" s="1">
        <f>IF(HI7=1,Results!G5+1,HH8)</f>
        <v>6</v>
      </c>
      <c r="HJ8" s="1">
        <f>IF(HJ7=1,Results!H5+1,HI8)</f>
        <v>6</v>
      </c>
      <c r="HK8" s="1">
        <f>IF(HK7=1,Results!I5+1,HJ8)</f>
        <v>6</v>
      </c>
      <c r="HL8" s="1">
        <f>IF(HL7=1,Results!J5+1,HK8)</f>
        <v>6</v>
      </c>
      <c r="HM8" s="1"/>
      <c r="HN8" s="1"/>
      <c r="HO8" s="1"/>
      <c r="HP8" s="36"/>
      <c r="HQ8" s="1"/>
      <c r="HR8" s="1"/>
      <c r="HS8" s="3" t="s">
        <v>788</v>
      </c>
      <c r="HT8" s="1">
        <v>0</v>
      </c>
      <c r="HU8" s="1">
        <f>IF(HU7=1,Results!C5+1,HT8)</f>
        <v>0</v>
      </c>
      <c r="HV8" s="1">
        <f>IF(HV7=1,Results!D5+1,HU8)</f>
        <v>0</v>
      </c>
      <c r="HW8" s="4">
        <f>IF(HW7=1,Results!E5+1,HV8)</f>
        <v>0</v>
      </c>
      <c r="HX8" s="4">
        <f>IF(HX7=1,Results!F5+1,HW8)</f>
        <v>0</v>
      </c>
      <c r="HY8" s="4">
        <f>IF(HY7=1,Results!G5+1,HX8)</f>
        <v>6</v>
      </c>
      <c r="HZ8" s="4">
        <f>IF(HZ7=1,Results!H5+1,HY8)</f>
        <v>6</v>
      </c>
      <c r="IA8" s="4">
        <f>IF(IA7=1,Results!I5+1,HZ8)</f>
        <v>6</v>
      </c>
      <c r="IB8" s="4">
        <f>IF(IB7=1,Results!J5+1,IA8)</f>
        <v>6</v>
      </c>
      <c r="IC8" s="4"/>
      <c r="ID8" s="4"/>
      <c r="IE8" s="4"/>
      <c r="IF8" s="36"/>
      <c r="IG8" s="4"/>
      <c r="II8" s="3" t="s">
        <v>789</v>
      </c>
      <c r="IJ8" s="1">
        <v>0</v>
      </c>
      <c r="IK8" s="4">
        <f>IF(IK7=1,Results!$C5+1,IJ8)</f>
        <v>0</v>
      </c>
      <c r="IL8" s="4">
        <f>IF(IL7=1,Results!$D5+1,IK8)</f>
        <v>0</v>
      </c>
      <c r="IM8" s="4">
        <f>IF(IM7=1,Results!$E5+1,IL8)</f>
        <v>0</v>
      </c>
      <c r="IN8" s="4">
        <f>IF(IN7=1,Results!$F5+1,IM8)</f>
        <v>0</v>
      </c>
      <c r="IO8" s="4">
        <f>IF(IO7=1,Results!$G5+1,IN8)</f>
        <v>0</v>
      </c>
      <c r="IP8" s="4">
        <f>IF(IP7=1,Results!$H5+1,IO8)</f>
        <v>7</v>
      </c>
      <c r="IQ8" s="4">
        <f>IF(IQ7=1,Results!$I5+1,IP8)</f>
        <v>7</v>
      </c>
      <c r="IR8" s="4">
        <f>IF(IR7=1,Results!$J5+1,IQ8)</f>
        <v>7</v>
      </c>
      <c r="IS8" s="4"/>
      <c r="IT8" s="4"/>
      <c r="IU8" s="4"/>
      <c r="IV8" s="36"/>
      <c r="IW8" s="4"/>
      <c r="IY8" s="3" t="s">
        <v>790</v>
      </c>
      <c r="IZ8" s="1">
        <v>0</v>
      </c>
      <c r="JA8" s="4">
        <f>IF(JA7=1,Results!$C5+1,IZ8)</f>
        <v>0</v>
      </c>
      <c r="JB8" s="4">
        <f>IF(JB7=1,Results!$D5+1,JA8)</f>
        <v>0</v>
      </c>
      <c r="JC8" s="4">
        <f>IF(JC7=1,Results!$E5+1,JB8)</f>
        <v>0</v>
      </c>
      <c r="JD8" s="4">
        <f>IF(JD7=1,Results!$F5+1,JC8)</f>
        <v>5</v>
      </c>
      <c r="JE8" s="4">
        <f>IF(JE7=1,Results!$G5+1,JD8)</f>
        <v>5</v>
      </c>
      <c r="JF8" s="4">
        <f>IF(JF7=1,Results!$H5+1,JE8)</f>
        <v>5</v>
      </c>
      <c r="JG8" s="4">
        <f>IF(JG7=1,Results!$I5+1,JF8)</f>
        <v>5</v>
      </c>
      <c r="JH8" s="4">
        <f>IF(JH7=1,Results!$J5+1,JG8)</f>
        <v>5</v>
      </c>
      <c r="JI8" s="4"/>
      <c r="JJ8" s="4"/>
      <c r="JK8" s="4"/>
      <c r="JL8" s="36"/>
      <c r="JM8" s="4"/>
      <c r="JO8" s="3" t="s">
        <v>791</v>
      </c>
      <c r="JP8" s="1">
        <v>0</v>
      </c>
      <c r="JQ8" s="4">
        <f>IF(JQ7=1,Results!$C5+1,JP8)</f>
        <v>0</v>
      </c>
      <c r="JR8" s="4">
        <f>IF(JR7=1,Results!$D5+1,JQ8)</f>
        <v>0</v>
      </c>
      <c r="JS8" s="4">
        <f>IF(JS7=1,Results!$E5+1,JR8)</f>
        <v>0</v>
      </c>
      <c r="JT8" s="4">
        <f>IF(JT7=1,Results!$F5+1,JS8)</f>
        <v>5</v>
      </c>
      <c r="JU8" s="4">
        <f>IF(JU7=1,Results!$G5+1,JT8)</f>
        <v>5</v>
      </c>
      <c r="JV8" s="4">
        <f>IF(JV7=1,Results!$H5+1,JU8)</f>
        <v>5</v>
      </c>
      <c r="JW8" s="4">
        <f>IF(JW7=1,Results!$I5+1,JV8)</f>
        <v>5</v>
      </c>
      <c r="JX8" s="4">
        <f>IF(JX7=1,Results!$J5+1,JW8)</f>
        <v>5</v>
      </c>
      <c r="JY8" s="4"/>
      <c r="JZ8" s="4"/>
      <c r="KA8" s="4"/>
      <c r="KB8" s="36"/>
      <c r="KC8" s="4"/>
      <c r="KE8" s="3" t="s">
        <v>792</v>
      </c>
      <c r="KF8" s="1">
        <v>0</v>
      </c>
      <c r="KG8" s="4">
        <f>IF(KG7=1,Results!C5+1,KF8)</f>
        <v>0</v>
      </c>
      <c r="KH8" s="4">
        <f>IF(KH7=1,Results!D5+1,KG8)</f>
        <v>0</v>
      </c>
      <c r="KI8" s="4">
        <f>IF(KI7=1,Results!E5+1,KH8)</f>
        <v>0</v>
      </c>
      <c r="KJ8" s="4">
        <f>IF(KJ7=1,Results!F5+1,KI8)</f>
        <v>0</v>
      </c>
      <c r="KK8" s="4">
        <f>IF(KK7=1,Results!G5+1,KJ8)</f>
        <v>0</v>
      </c>
      <c r="KL8" s="4">
        <f>IF(KL7=1,Results!H5+1,KK8)</f>
        <v>0</v>
      </c>
      <c r="KM8" s="4">
        <f>IF(KM7=1,Results!I5+1,KL8)</f>
        <v>0</v>
      </c>
      <c r="KN8" s="4">
        <f>IF(KN7=1,Results!J5+1,KM8)</f>
        <v>0</v>
      </c>
      <c r="KO8" s="4"/>
      <c r="KP8" s="4"/>
      <c r="KQ8" s="4"/>
      <c r="KR8" s="36"/>
      <c r="KS8" s="4"/>
      <c r="KU8" s="3" t="s">
        <v>793</v>
      </c>
      <c r="KV8" s="1">
        <v>0</v>
      </c>
      <c r="KW8" s="4">
        <f>IF(KW7=1,Results!C5+1,KV8)</f>
        <v>0</v>
      </c>
      <c r="KX8" s="4">
        <f>IF(KX7=1,Results!D5+1,KW8)</f>
        <v>0</v>
      </c>
      <c r="KY8" s="4">
        <f>IF(KY7=1,Results!E5+1,KX8)</f>
        <v>0</v>
      </c>
      <c r="KZ8" s="4">
        <f>IF(KZ7=1,Results!F5+1,KY8)</f>
        <v>0</v>
      </c>
      <c r="LA8" s="4">
        <f>IF(LA7=1,Results!G5+1,KZ8)</f>
        <v>0</v>
      </c>
      <c r="LB8" s="4">
        <f>IF(LB7=1,Results!H5+1,LA8)</f>
        <v>0</v>
      </c>
      <c r="LC8" s="4">
        <f>IF(LC7=1,Results!I5+1,LB8)</f>
        <v>0</v>
      </c>
      <c r="LD8" s="4">
        <f>IF(LD7=1,Results!J5+1,LC8)</f>
        <v>0</v>
      </c>
      <c r="LE8" s="4"/>
      <c r="LF8" s="4"/>
      <c r="LG8" s="4"/>
      <c r="LH8" s="36"/>
      <c r="LI8" s="4"/>
      <c r="LK8" s="3" t="s">
        <v>794</v>
      </c>
      <c r="LL8" s="1">
        <v>0</v>
      </c>
      <c r="LM8" s="4">
        <f>IF(LM7=1,Results!C5+1,LL8)</f>
        <v>0</v>
      </c>
      <c r="LN8" s="4">
        <f>IF(LN7=1,Results!D5+1,LM8)</f>
        <v>0</v>
      </c>
      <c r="LO8" s="4">
        <f>IF(LO7=1,Results!E5+1,LN8)</f>
        <v>0</v>
      </c>
      <c r="LP8" s="4">
        <f>IF(LP7=1,Results!F5+1,LO8)</f>
        <v>0</v>
      </c>
      <c r="LQ8" s="4">
        <f>IF(LQ7=1,Results!G5+1,LP8)</f>
        <v>0</v>
      </c>
      <c r="LR8" s="4">
        <f>IF(LR7=1,Results!H5+1,LQ8)</f>
        <v>0</v>
      </c>
      <c r="LS8" s="4">
        <f>IF(LS7=1,Results!I5+1,LR8)</f>
        <v>0</v>
      </c>
      <c r="LT8" s="4">
        <f>IF(LT7=1,Results!J5+1,LS8)</f>
        <v>0</v>
      </c>
      <c r="LU8" s="4"/>
      <c r="LV8" s="4"/>
      <c r="LW8" s="4"/>
      <c r="LX8" s="36"/>
      <c r="LY8" s="4"/>
      <c r="MA8" s="3" t="s">
        <v>795</v>
      </c>
      <c r="MB8" s="1">
        <v>0</v>
      </c>
      <c r="MC8" s="4">
        <f>IF(MC7=1,Results!C5+1,MB8)</f>
        <v>0</v>
      </c>
      <c r="MD8" s="4">
        <f>IF(MD7=1,Results!D5+1,MC8)</f>
        <v>0</v>
      </c>
      <c r="ME8" s="4">
        <f>IF(ME7=1,Results!E5+1,MD8)</f>
        <v>0</v>
      </c>
      <c r="MF8" s="4">
        <f>IF(MF7=1,Results!F5+1,ME8)</f>
        <v>0</v>
      </c>
      <c r="MG8" s="4">
        <f>IF(MG7=1,Results!G5+1,MF8)</f>
        <v>0</v>
      </c>
      <c r="MH8" s="4">
        <f>IF(MH7=1,Results!H5+1,MG8)</f>
        <v>0</v>
      </c>
      <c r="MI8" s="4">
        <f>IF(MI7=1,Results!I5+1,MH8)</f>
        <v>0</v>
      </c>
      <c r="MJ8" s="4">
        <f>IF(MJ7=1,Results!J5+1,MI8)</f>
        <v>0</v>
      </c>
      <c r="MK8" s="4"/>
      <c r="ML8" s="4"/>
      <c r="MM8" s="4"/>
      <c r="MN8" s="36"/>
      <c r="MO8" s="4"/>
      <c r="MQ8" s="3" t="s">
        <v>796</v>
      </c>
      <c r="MR8" s="1">
        <v>0</v>
      </c>
      <c r="MS8" s="4">
        <f>IF(MS7=1,Results!C5+1,MR8)</f>
        <v>0</v>
      </c>
      <c r="MT8" s="4">
        <f>IF(MT7=1,Results!D5+1,MS8)</f>
        <v>0</v>
      </c>
      <c r="MU8" s="4">
        <f>IF(MU7=1,Results!E5+1,MT8)</f>
        <v>0</v>
      </c>
      <c r="MV8" s="4">
        <f>IF(MV7=1,Results!F5+1,MU8)</f>
        <v>0</v>
      </c>
      <c r="MW8" s="4">
        <f>IF(MW7=1,Results!G5+1,MV8)</f>
        <v>0</v>
      </c>
      <c r="MX8" s="4">
        <f>IF(MX7=1,Results!H5+1,MW8)</f>
        <v>0</v>
      </c>
      <c r="MY8" s="4">
        <f>IF(MY7=1,Results!I5+1,MX8)</f>
        <v>0</v>
      </c>
      <c r="MZ8" s="4">
        <f>IF(MZ7=1,Results!J5+1,MY8)</f>
        <v>0</v>
      </c>
      <c r="NA8" s="4"/>
      <c r="NB8" s="4"/>
      <c r="NC8" s="4"/>
      <c r="ND8" s="36"/>
      <c r="NE8" s="4"/>
      <c r="NG8" s="3" t="s">
        <v>797</v>
      </c>
      <c r="NH8" s="1">
        <v>0</v>
      </c>
      <c r="NI8" s="4">
        <f>IF(NI7=1,Results!C5+1,NH8)</f>
        <v>0</v>
      </c>
      <c r="NJ8" s="4">
        <f>IF(NJ7=1,Results!D5+1,NI8)</f>
        <v>0</v>
      </c>
      <c r="NK8" s="4">
        <f>IF(NK7=1,Results!E5+1,NJ8)</f>
        <v>0</v>
      </c>
      <c r="NL8" s="4">
        <f>IF(NL7=1,Results!F5+1,NK8)</f>
        <v>0</v>
      </c>
      <c r="NM8" s="4">
        <f>IF(NM7=1,Results!G5+1,NL8)</f>
        <v>0</v>
      </c>
      <c r="NN8" s="4">
        <f>IF(NN7=1,Results!H5+1,NM8)</f>
        <v>0</v>
      </c>
      <c r="NO8" s="4">
        <f>IF(NO7=1,Results!I5+1,NN8)</f>
        <v>0</v>
      </c>
      <c r="NP8" s="4">
        <f>IF(NP7=1,Results!J5+1,NO8)</f>
        <v>0</v>
      </c>
      <c r="NQ8" s="4"/>
      <c r="NR8" s="4"/>
      <c r="NS8" s="4"/>
      <c r="NT8" s="36"/>
      <c r="NU8" s="4"/>
      <c r="NW8" s="3" t="s">
        <v>798</v>
      </c>
      <c r="NX8" s="1">
        <v>0</v>
      </c>
      <c r="NY8" s="4">
        <f>IF(NY7=1,Results!C5+1,NX8)</f>
        <v>0</v>
      </c>
      <c r="NZ8" s="4">
        <f>IF(NZ7=1,Results!D5+1,NY8)</f>
        <v>0</v>
      </c>
      <c r="OA8" s="4">
        <f>IF(OA7=1,Results!E5+1,NZ8)</f>
        <v>0</v>
      </c>
      <c r="OB8" s="4">
        <f>IF(OB7=1,Results!F5+1,OA8)</f>
        <v>0</v>
      </c>
      <c r="OC8" s="4">
        <f>IF(OC7=1,Results!G5+1,OB8)</f>
        <v>0</v>
      </c>
      <c r="OD8" s="4">
        <f>IF(OD7=1,Results!H5+1,OC8)</f>
        <v>0</v>
      </c>
      <c r="OE8" s="4">
        <f>IF(OE7=1,Results!I5+1,OD8)</f>
        <v>0</v>
      </c>
      <c r="OF8" s="4">
        <f>IF(OF7=1,Results!J5+1,OE8)</f>
        <v>0</v>
      </c>
      <c r="OG8" s="4"/>
      <c r="OH8" s="4"/>
      <c r="OJ8" s="36"/>
      <c r="OL8" s="1"/>
      <c r="OM8" s="4"/>
      <c r="ON8" s="4"/>
      <c r="OO8" s="4"/>
      <c r="OP8" s="4"/>
      <c r="OQ8" s="4"/>
      <c r="OR8" s="4"/>
      <c r="OS8" s="4"/>
      <c r="OT8" s="4"/>
      <c r="OU8" s="4"/>
      <c r="OV8" s="4"/>
      <c r="OY8" s="3"/>
      <c r="OZ8" s="1"/>
      <c r="PA8" s="4"/>
      <c r="PB8" s="4"/>
      <c r="PC8" s="4"/>
      <c r="PD8" s="4"/>
      <c r="PE8" s="4"/>
      <c r="PF8" s="4"/>
      <c r="PG8" s="4"/>
      <c r="PH8" s="4"/>
      <c r="PI8" s="4"/>
      <c r="PJ8" s="4"/>
      <c r="PM8" s="3"/>
      <c r="PN8" s="1"/>
      <c r="PO8" s="4"/>
      <c r="PP8" s="4"/>
      <c r="PQ8" s="4"/>
      <c r="PR8" s="4"/>
      <c r="PS8" s="4"/>
      <c r="PT8" s="4"/>
      <c r="PU8" s="4"/>
      <c r="PV8" s="4"/>
      <c r="PW8" s="4"/>
      <c r="PX8" s="4"/>
      <c r="QA8" s="3"/>
      <c r="QB8" s="1"/>
      <c r="QC8" s="4"/>
      <c r="QD8" s="4"/>
      <c r="QE8" s="4"/>
      <c r="QF8" s="4"/>
      <c r="QG8" s="4"/>
      <c r="QH8" s="4"/>
      <c r="QI8" s="4"/>
      <c r="QJ8" s="4"/>
      <c r="QK8" s="4"/>
      <c r="QL8" s="4"/>
      <c r="QO8" s="3"/>
      <c r="QP8" s="1"/>
      <c r="QQ8" s="4"/>
      <c r="QR8" s="4"/>
      <c r="QS8" s="4"/>
      <c r="QT8" s="4"/>
      <c r="QU8" s="4"/>
      <c r="QV8" s="4"/>
      <c r="QW8" s="4"/>
      <c r="QX8" s="4"/>
      <c r="QY8" s="4"/>
      <c r="QZ8" s="4"/>
      <c r="RC8" s="3"/>
      <c r="RD8" s="1"/>
      <c r="RE8" s="4"/>
      <c r="RF8" s="4"/>
      <c r="RG8" s="4"/>
      <c r="RH8" s="4"/>
      <c r="RI8" s="4"/>
      <c r="RJ8" s="4"/>
      <c r="RK8" s="4"/>
      <c r="RL8" s="4"/>
      <c r="RQ8" s="3"/>
      <c r="RR8" s="1"/>
      <c r="RS8" s="4"/>
      <c r="RT8" s="4"/>
      <c r="RU8" s="4"/>
      <c r="RV8" s="4"/>
      <c r="RW8" s="4"/>
      <c r="RX8" s="4"/>
      <c r="RY8" s="4"/>
      <c r="RZ8" s="4"/>
      <c r="SE8" s="3"/>
      <c r="SF8" s="1"/>
      <c r="SG8" s="4"/>
      <c r="SH8" s="4"/>
      <c r="SI8" s="4"/>
      <c r="SJ8" s="4"/>
      <c r="SK8" s="4"/>
      <c r="SL8" s="4"/>
      <c r="SM8" s="4"/>
      <c r="SN8" s="4"/>
    </row>
    <row r="9" spans="1:508" x14ac:dyDescent="0.2">
      <c r="A9" s="3" t="s">
        <v>799</v>
      </c>
      <c r="O9" s="3"/>
      <c r="P9" s="23"/>
      <c r="Q9" s="4"/>
      <c r="R9" s="4"/>
      <c r="S9" s="4"/>
      <c r="T9" s="4"/>
      <c r="U9" s="4"/>
      <c r="V9" s="4"/>
      <c r="W9" s="4"/>
      <c r="X9" s="4"/>
      <c r="Y9" s="4"/>
      <c r="Z9" s="4"/>
      <c r="AG9" s="3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Y9" s="3" t="s">
        <v>800</v>
      </c>
      <c r="AZ9" s="4">
        <v>0</v>
      </c>
      <c r="BA9" s="4">
        <f>+AZ4</f>
        <v>0</v>
      </c>
      <c r="BB9" s="4">
        <f t="shared" ref="BB9:BH9" si="265">+BA4-AZ4</f>
        <v>0</v>
      </c>
      <c r="BC9" s="4">
        <f t="shared" si="265"/>
        <v>0</v>
      </c>
      <c r="BD9" s="4">
        <f t="shared" si="265"/>
        <v>0</v>
      </c>
      <c r="BE9" s="4">
        <f t="shared" si="265"/>
        <v>0</v>
      </c>
      <c r="BF9" s="4">
        <f t="shared" si="265"/>
        <v>0</v>
      </c>
      <c r="BG9" s="4">
        <f t="shared" si="265"/>
        <v>0</v>
      </c>
      <c r="BH9" s="4">
        <f t="shared" si="265"/>
        <v>0</v>
      </c>
      <c r="BI9" s="4"/>
      <c r="BJ9" s="4"/>
      <c r="BL9" s="36"/>
      <c r="BO9" s="3" t="s">
        <v>801</v>
      </c>
      <c r="BP9" s="4">
        <v>0</v>
      </c>
      <c r="BQ9" s="4">
        <f>+BP4</f>
        <v>0</v>
      </c>
      <c r="BR9" s="4">
        <f t="shared" ref="BR9:BX9" si="266">+BQ4-BP4</f>
        <v>0</v>
      </c>
      <c r="BS9" s="4">
        <f t="shared" si="266"/>
        <v>0</v>
      </c>
      <c r="BT9" s="4">
        <f t="shared" si="266"/>
        <v>0</v>
      </c>
      <c r="BU9" s="4">
        <f t="shared" si="266"/>
        <v>0</v>
      </c>
      <c r="BV9" s="4">
        <f t="shared" si="266"/>
        <v>0</v>
      </c>
      <c r="BW9" s="4">
        <f t="shared" si="266"/>
        <v>0</v>
      </c>
      <c r="BX9" s="4">
        <f t="shared" si="266"/>
        <v>0</v>
      </c>
      <c r="BY9" s="4"/>
      <c r="BZ9" s="4"/>
      <c r="CB9" s="36"/>
      <c r="CE9" s="3" t="s">
        <v>802</v>
      </c>
      <c r="CF9" s="4">
        <v>0</v>
      </c>
      <c r="CG9" s="4">
        <f>+CF4</f>
        <v>0</v>
      </c>
      <c r="CH9" s="4">
        <f t="shared" ref="CH9:CN9" si="267">+CG4-CF4</f>
        <v>0</v>
      </c>
      <c r="CI9" s="4">
        <f t="shared" si="267"/>
        <v>0</v>
      </c>
      <c r="CJ9" s="4">
        <f t="shared" si="267"/>
        <v>0</v>
      </c>
      <c r="CK9" s="4">
        <f t="shared" si="267"/>
        <v>0</v>
      </c>
      <c r="CL9" s="4">
        <f t="shared" si="267"/>
        <v>0</v>
      </c>
      <c r="CM9" s="4">
        <f t="shared" si="267"/>
        <v>0</v>
      </c>
      <c r="CN9" s="4">
        <f t="shared" si="267"/>
        <v>0</v>
      </c>
      <c r="CO9" s="4"/>
      <c r="CP9" s="4"/>
      <c r="CR9" s="36"/>
      <c r="CU9" s="3" t="s">
        <v>803</v>
      </c>
      <c r="CV9" s="4">
        <v>0</v>
      </c>
      <c r="CW9" s="4">
        <f>+CV4</f>
        <v>0</v>
      </c>
      <c r="CX9" s="4">
        <f t="shared" ref="CX9:DD9" si="268">+CW4-CV4</f>
        <v>0</v>
      </c>
      <c r="CY9" s="4">
        <f t="shared" si="268"/>
        <v>0</v>
      </c>
      <c r="CZ9" s="4">
        <f t="shared" si="268"/>
        <v>0</v>
      </c>
      <c r="DA9" s="4">
        <f t="shared" si="268"/>
        <v>0</v>
      </c>
      <c r="DB9" s="4">
        <f t="shared" si="268"/>
        <v>0</v>
      </c>
      <c r="DC9" s="4">
        <f t="shared" si="268"/>
        <v>0</v>
      </c>
      <c r="DD9" s="4">
        <f t="shared" si="268"/>
        <v>0</v>
      </c>
      <c r="DE9" s="4"/>
      <c r="DF9" s="4"/>
      <c r="DH9" s="36"/>
      <c r="DK9" s="3" t="s">
        <v>804</v>
      </c>
      <c r="DL9" s="4">
        <v>0</v>
      </c>
      <c r="DM9" s="4">
        <f>+DL4</f>
        <v>0</v>
      </c>
      <c r="DN9" s="4">
        <f t="shared" ref="DN9:DT9" si="269">+DM4-DL4</f>
        <v>0</v>
      </c>
      <c r="DO9" s="4">
        <f t="shared" si="269"/>
        <v>0</v>
      </c>
      <c r="DP9" s="4">
        <f t="shared" si="269"/>
        <v>0</v>
      </c>
      <c r="DQ9" s="4">
        <f t="shared" si="269"/>
        <v>0</v>
      </c>
      <c r="DR9" s="4">
        <f t="shared" si="269"/>
        <v>0</v>
      </c>
      <c r="DS9" s="4">
        <f t="shared" si="269"/>
        <v>0</v>
      </c>
      <c r="DT9" s="4">
        <f t="shared" si="269"/>
        <v>0</v>
      </c>
      <c r="DU9" s="4"/>
      <c r="DV9" s="4"/>
      <c r="DX9" s="36"/>
      <c r="EA9" s="3" t="s">
        <v>805</v>
      </c>
      <c r="EB9" s="4">
        <v>0</v>
      </c>
      <c r="EC9" s="4">
        <f>+EB4</f>
        <v>0</v>
      </c>
      <c r="ED9" s="4">
        <f t="shared" ref="ED9:EJ9" si="270">+EC4-EB4</f>
        <v>0</v>
      </c>
      <c r="EE9" s="4">
        <f t="shared" si="270"/>
        <v>0</v>
      </c>
      <c r="EF9" s="4">
        <f t="shared" si="270"/>
        <v>0</v>
      </c>
      <c r="EG9" s="4">
        <f t="shared" si="270"/>
        <v>0</v>
      </c>
      <c r="EH9" s="4">
        <f t="shared" si="270"/>
        <v>0</v>
      </c>
      <c r="EI9" s="4">
        <f t="shared" si="270"/>
        <v>0</v>
      </c>
      <c r="EJ9" s="4">
        <f t="shared" si="270"/>
        <v>0</v>
      </c>
      <c r="EK9" s="4"/>
      <c r="EL9" s="4"/>
      <c r="EN9" s="36"/>
      <c r="EQ9" s="3" t="s">
        <v>806</v>
      </c>
      <c r="ER9" s="4">
        <v>0</v>
      </c>
      <c r="ES9" s="4">
        <f>+ER4</f>
        <v>0</v>
      </c>
      <c r="ET9" s="4">
        <f t="shared" ref="ET9:EZ9" si="271">+ES4-ER4</f>
        <v>0</v>
      </c>
      <c r="EU9" s="4">
        <f t="shared" si="271"/>
        <v>0</v>
      </c>
      <c r="EV9" s="4">
        <f t="shared" si="271"/>
        <v>0</v>
      </c>
      <c r="EW9" s="4">
        <f t="shared" si="271"/>
        <v>0</v>
      </c>
      <c r="EX9" s="4">
        <f t="shared" si="271"/>
        <v>0</v>
      </c>
      <c r="EY9" s="4">
        <f t="shared" si="271"/>
        <v>0</v>
      </c>
      <c r="EZ9" s="4">
        <f t="shared" si="271"/>
        <v>0</v>
      </c>
      <c r="FA9" s="4"/>
      <c r="FB9" s="4"/>
      <c r="FD9" s="36"/>
      <c r="FG9" s="3" t="s">
        <v>807</v>
      </c>
      <c r="FH9" s="4">
        <v>0</v>
      </c>
      <c r="FI9" s="4">
        <f>+FH4</f>
        <v>0</v>
      </c>
      <c r="FJ9" s="4">
        <f t="shared" ref="FJ9:FP9" si="272">+FI4-FH4</f>
        <v>0</v>
      </c>
      <c r="FK9" s="4">
        <f t="shared" si="272"/>
        <v>0</v>
      </c>
      <c r="FL9" s="4">
        <f t="shared" si="272"/>
        <v>0</v>
      </c>
      <c r="FM9" s="4">
        <f t="shared" si="272"/>
        <v>0</v>
      </c>
      <c r="FN9" s="4">
        <f t="shared" si="272"/>
        <v>0</v>
      </c>
      <c r="FO9" s="4">
        <f t="shared" si="272"/>
        <v>0</v>
      </c>
      <c r="FP9" s="4">
        <f t="shared" si="272"/>
        <v>0</v>
      </c>
      <c r="FQ9" s="4"/>
      <c r="FR9" s="4"/>
      <c r="FT9" s="36"/>
      <c r="FW9" s="3" t="s">
        <v>808</v>
      </c>
      <c r="FX9" s="4">
        <v>0</v>
      </c>
      <c r="FY9" s="4">
        <f>+FX4</f>
        <v>0</v>
      </c>
      <c r="FZ9" s="4">
        <f t="shared" ref="FZ9:GF9" si="273">+FY4-FX4</f>
        <v>0</v>
      </c>
      <c r="GA9" s="4">
        <f t="shared" si="273"/>
        <v>0</v>
      </c>
      <c r="GB9" s="4">
        <f t="shared" si="273"/>
        <v>0</v>
      </c>
      <c r="GC9" s="4">
        <f t="shared" si="273"/>
        <v>0</v>
      </c>
      <c r="GD9" s="4">
        <f t="shared" si="273"/>
        <v>0</v>
      </c>
      <c r="GE9" s="4">
        <f t="shared" si="273"/>
        <v>0</v>
      </c>
      <c r="GF9" s="4">
        <f t="shared" si="273"/>
        <v>0</v>
      </c>
      <c r="GG9" s="4"/>
      <c r="GH9" s="4"/>
      <c r="GI9" s="4"/>
      <c r="GJ9" s="36"/>
      <c r="GK9" s="4"/>
      <c r="GM9" s="3" t="s">
        <v>809</v>
      </c>
      <c r="GN9" s="4">
        <v>0</v>
      </c>
      <c r="GO9" s="4">
        <f>+GN4</f>
        <v>0</v>
      </c>
      <c r="GP9" s="4">
        <f t="shared" ref="GP9:GV9" si="274">+GO4-GN4</f>
        <v>0</v>
      </c>
      <c r="GQ9" s="4">
        <f t="shared" si="274"/>
        <v>0</v>
      </c>
      <c r="GR9" s="4">
        <f t="shared" si="274"/>
        <v>0</v>
      </c>
      <c r="GS9" s="4">
        <f t="shared" si="274"/>
        <v>0</v>
      </c>
      <c r="GT9" s="4">
        <f t="shared" si="274"/>
        <v>0</v>
      </c>
      <c r="GU9" s="4">
        <f t="shared" si="274"/>
        <v>0</v>
      </c>
      <c r="GV9" s="4">
        <f t="shared" si="274"/>
        <v>0</v>
      </c>
      <c r="GW9" s="4"/>
      <c r="GX9" s="4"/>
      <c r="GY9" s="4"/>
      <c r="GZ9" s="36"/>
      <c r="HA9" s="4"/>
      <c r="HB9" s="4"/>
      <c r="HC9" s="3" t="s">
        <v>810</v>
      </c>
      <c r="HD9" s="4">
        <v>0</v>
      </c>
      <c r="HE9" s="4">
        <f>+HD4</f>
        <v>0</v>
      </c>
      <c r="HF9" s="4">
        <f t="shared" ref="HF9:HL9" si="275">+HE4-HD4</f>
        <v>0</v>
      </c>
      <c r="HG9" s="4">
        <f t="shared" si="275"/>
        <v>0</v>
      </c>
      <c r="HH9" s="4">
        <f t="shared" si="275"/>
        <v>0</v>
      </c>
      <c r="HI9" s="4">
        <f t="shared" si="275"/>
        <v>0</v>
      </c>
      <c r="HJ9" s="4">
        <f t="shared" si="275"/>
        <v>0</v>
      </c>
      <c r="HK9" s="4">
        <f t="shared" si="275"/>
        <v>0</v>
      </c>
      <c r="HL9" s="4">
        <f t="shared" si="275"/>
        <v>0</v>
      </c>
      <c r="HM9" s="4"/>
      <c r="HN9" s="4"/>
      <c r="HO9" s="4"/>
      <c r="HP9" s="36"/>
      <c r="HQ9" s="4"/>
      <c r="HR9" s="4"/>
      <c r="HS9" s="3" t="s">
        <v>811</v>
      </c>
      <c r="HT9" s="4">
        <v>0</v>
      </c>
      <c r="HU9" s="4">
        <f>+HT4</f>
        <v>0</v>
      </c>
      <c r="HV9" s="4">
        <f t="shared" ref="HV9:IB9" si="276">+HU4-HT4</f>
        <v>0</v>
      </c>
      <c r="HW9" s="4">
        <f t="shared" si="276"/>
        <v>0</v>
      </c>
      <c r="HX9" s="4">
        <f t="shared" si="276"/>
        <v>0</v>
      </c>
      <c r="HY9" s="4">
        <f t="shared" si="276"/>
        <v>0</v>
      </c>
      <c r="HZ9" s="4">
        <f t="shared" si="276"/>
        <v>0</v>
      </c>
      <c r="IA9" s="4">
        <f t="shared" si="276"/>
        <v>0</v>
      </c>
      <c r="IB9" s="4">
        <f t="shared" si="276"/>
        <v>0</v>
      </c>
      <c r="IC9" s="4"/>
      <c r="ID9" s="4"/>
      <c r="IE9" s="4"/>
      <c r="IF9" s="36"/>
      <c r="IG9" s="4"/>
      <c r="II9" s="3" t="s">
        <v>812</v>
      </c>
      <c r="IJ9" s="4">
        <v>0</v>
      </c>
      <c r="IK9" s="4">
        <f>+IJ4</f>
        <v>0</v>
      </c>
      <c r="IL9" s="4">
        <f t="shared" ref="IL9:IR9" si="277">+IK4-IJ4</f>
        <v>0</v>
      </c>
      <c r="IM9" s="4">
        <f t="shared" si="277"/>
        <v>0</v>
      </c>
      <c r="IN9" s="4">
        <f t="shared" si="277"/>
        <v>0</v>
      </c>
      <c r="IO9" s="4">
        <f t="shared" si="277"/>
        <v>0</v>
      </c>
      <c r="IP9" s="4">
        <f t="shared" si="277"/>
        <v>0</v>
      </c>
      <c r="IQ9" s="4">
        <f t="shared" si="277"/>
        <v>0</v>
      </c>
      <c r="IR9" s="4">
        <f t="shared" si="277"/>
        <v>0</v>
      </c>
      <c r="IS9" s="4"/>
      <c r="IT9" s="4"/>
      <c r="IU9" s="4"/>
      <c r="IV9" s="36"/>
      <c r="IW9" s="4"/>
      <c r="IY9" s="3" t="s">
        <v>813</v>
      </c>
      <c r="IZ9" s="4">
        <v>0</v>
      </c>
      <c r="JA9" s="4">
        <f>+IZ4</f>
        <v>0</v>
      </c>
      <c r="JB9" s="4">
        <f t="shared" ref="JB9:JH9" si="278">+JA4-IZ4</f>
        <v>0</v>
      </c>
      <c r="JC9" s="4">
        <f t="shared" si="278"/>
        <v>0</v>
      </c>
      <c r="JD9" s="4">
        <f t="shared" si="278"/>
        <v>0</v>
      </c>
      <c r="JE9" s="4">
        <f t="shared" si="278"/>
        <v>0</v>
      </c>
      <c r="JF9" s="4">
        <f t="shared" si="278"/>
        <v>0</v>
      </c>
      <c r="JG9" s="4">
        <f t="shared" si="278"/>
        <v>0</v>
      </c>
      <c r="JH9" s="4">
        <f t="shared" si="278"/>
        <v>0</v>
      </c>
      <c r="JI9" s="4"/>
      <c r="JJ9" s="4"/>
      <c r="JK9" s="4"/>
      <c r="JL9" s="36"/>
      <c r="JM9" s="4"/>
      <c r="JO9" s="3" t="s">
        <v>814</v>
      </c>
      <c r="JP9" s="4">
        <v>0</v>
      </c>
      <c r="JQ9" s="4">
        <f>+JP4</f>
        <v>0</v>
      </c>
      <c r="JR9" s="4">
        <f t="shared" ref="JR9:JX9" si="279">+JQ4-JP4</f>
        <v>0</v>
      </c>
      <c r="JS9" s="4">
        <f t="shared" si="279"/>
        <v>0</v>
      </c>
      <c r="JT9" s="4">
        <f t="shared" si="279"/>
        <v>0</v>
      </c>
      <c r="JU9" s="4">
        <f t="shared" si="279"/>
        <v>0</v>
      </c>
      <c r="JV9" s="4">
        <f t="shared" si="279"/>
        <v>0</v>
      </c>
      <c r="JW9" s="4">
        <f t="shared" si="279"/>
        <v>0</v>
      </c>
      <c r="JX9" s="4">
        <f t="shared" si="279"/>
        <v>0</v>
      </c>
      <c r="JY9" s="4"/>
      <c r="JZ9" s="4"/>
      <c r="KA9" s="4"/>
      <c r="KB9" s="36"/>
      <c r="KC9" s="4"/>
      <c r="KE9" s="3" t="s">
        <v>815</v>
      </c>
      <c r="KF9" s="4">
        <v>0</v>
      </c>
      <c r="KG9" s="4">
        <f>+KF4</f>
        <v>0</v>
      </c>
      <c r="KH9" s="4">
        <f t="shared" ref="KH9:KN9" si="280">+KG4-KF4</f>
        <v>0</v>
      </c>
      <c r="KI9" s="4">
        <f t="shared" si="280"/>
        <v>0</v>
      </c>
      <c r="KJ9" s="4">
        <f t="shared" si="280"/>
        <v>0</v>
      </c>
      <c r="KK9" s="4">
        <f t="shared" si="280"/>
        <v>0</v>
      </c>
      <c r="KL9" s="4">
        <f t="shared" si="280"/>
        <v>0</v>
      </c>
      <c r="KM9" s="4">
        <f t="shared" si="280"/>
        <v>0</v>
      </c>
      <c r="KN9" s="4">
        <f t="shared" si="280"/>
        <v>0</v>
      </c>
      <c r="KO9" s="4"/>
      <c r="KP9" s="4"/>
      <c r="KQ9" s="4"/>
      <c r="KR9" s="36"/>
      <c r="KS9" s="4"/>
      <c r="KU9" s="3" t="s">
        <v>816</v>
      </c>
      <c r="KV9" s="4">
        <v>0</v>
      </c>
      <c r="KW9" s="4">
        <f>+KV4</f>
        <v>0</v>
      </c>
      <c r="KX9" s="4">
        <f t="shared" ref="KX9:LD9" si="281">+KW4-KV4</f>
        <v>0</v>
      </c>
      <c r="KY9" s="4">
        <f t="shared" si="281"/>
        <v>0</v>
      </c>
      <c r="KZ9" s="4">
        <f t="shared" si="281"/>
        <v>0</v>
      </c>
      <c r="LA9" s="4">
        <f t="shared" si="281"/>
        <v>0</v>
      </c>
      <c r="LB9" s="4">
        <f t="shared" si="281"/>
        <v>0</v>
      </c>
      <c r="LC9" s="4">
        <f t="shared" si="281"/>
        <v>0</v>
      </c>
      <c r="LD9" s="4">
        <f t="shared" si="281"/>
        <v>0</v>
      </c>
      <c r="LE9" s="4"/>
      <c r="LF9" s="4"/>
      <c r="LG9" s="4"/>
      <c r="LH9" s="36"/>
      <c r="LI9" s="4"/>
      <c r="LK9" s="3" t="s">
        <v>817</v>
      </c>
      <c r="LL9" s="4">
        <v>0</v>
      </c>
      <c r="LM9" s="4">
        <f>+LL4</f>
        <v>0</v>
      </c>
      <c r="LN9" s="4">
        <f t="shared" ref="LN9:LT9" si="282">+LM4-LL4</f>
        <v>0</v>
      </c>
      <c r="LO9" s="4">
        <f t="shared" si="282"/>
        <v>0</v>
      </c>
      <c r="LP9" s="4">
        <f t="shared" si="282"/>
        <v>0</v>
      </c>
      <c r="LQ9" s="4">
        <f t="shared" si="282"/>
        <v>0</v>
      </c>
      <c r="LR9" s="4">
        <f t="shared" si="282"/>
        <v>0</v>
      </c>
      <c r="LS9" s="4">
        <f t="shared" si="282"/>
        <v>0</v>
      </c>
      <c r="LT9" s="4">
        <f t="shared" si="282"/>
        <v>0</v>
      </c>
      <c r="LU9" s="4"/>
      <c r="LV9" s="4"/>
      <c r="LW9" s="4"/>
      <c r="LX9" s="36"/>
      <c r="LY9" s="4"/>
      <c r="MA9" s="3" t="s">
        <v>818</v>
      </c>
      <c r="MB9" s="4">
        <v>0</v>
      </c>
      <c r="MC9" s="4">
        <f>+MB4</f>
        <v>0</v>
      </c>
      <c r="MD9" s="4">
        <f t="shared" ref="MD9:MJ9" si="283">+MC4-MB4</f>
        <v>0</v>
      </c>
      <c r="ME9" s="4">
        <f t="shared" si="283"/>
        <v>0</v>
      </c>
      <c r="MF9" s="4">
        <f t="shared" si="283"/>
        <v>0</v>
      </c>
      <c r="MG9" s="4">
        <f t="shared" si="283"/>
        <v>0</v>
      </c>
      <c r="MH9" s="4">
        <f t="shared" si="283"/>
        <v>0</v>
      </c>
      <c r="MI9" s="4">
        <f t="shared" si="283"/>
        <v>0</v>
      </c>
      <c r="MJ9" s="4">
        <f t="shared" si="283"/>
        <v>0</v>
      </c>
      <c r="MK9" s="4"/>
      <c r="ML9" s="4"/>
      <c r="MM9" s="4"/>
      <c r="MN9" s="36"/>
      <c r="MO9" s="4"/>
      <c r="MQ9" s="3" t="s">
        <v>819</v>
      </c>
      <c r="MR9" s="4">
        <v>0</v>
      </c>
      <c r="MS9" s="4">
        <f>+MR4</f>
        <v>0</v>
      </c>
      <c r="MT9" s="4">
        <f t="shared" ref="MT9:MZ9" si="284">+MS4-MR4</f>
        <v>0</v>
      </c>
      <c r="MU9" s="4">
        <f t="shared" si="284"/>
        <v>0</v>
      </c>
      <c r="MV9" s="4">
        <f t="shared" si="284"/>
        <v>0</v>
      </c>
      <c r="MW9" s="4">
        <f t="shared" si="284"/>
        <v>0</v>
      </c>
      <c r="MX9" s="4">
        <f t="shared" si="284"/>
        <v>0</v>
      </c>
      <c r="MY9" s="4">
        <f t="shared" si="284"/>
        <v>0</v>
      </c>
      <c r="MZ9" s="4">
        <f t="shared" si="284"/>
        <v>0</v>
      </c>
      <c r="NA9" s="4"/>
      <c r="NB9" s="4"/>
      <c r="NC9" s="4"/>
      <c r="ND9" s="36"/>
      <c r="NE9" s="4"/>
      <c r="NG9" s="3" t="s">
        <v>820</v>
      </c>
      <c r="NH9" s="4">
        <v>0</v>
      </c>
      <c r="NI9" s="4">
        <f>+NH4</f>
        <v>0</v>
      </c>
      <c r="NJ9" s="4">
        <f t="shared" ref="NJ9:NP9" si="285">+NI4-NH4</f>
        <v>0</v>
      </c>
      <c r="NK9" s="4">
        <f t="shared" si="285"/>
        <v>0</v>
      </c>
      <c r="NL9" s="4">
        <f t="shared" si="285"/>
        <v>0</v>
      </c>
      <c r="NM9" s="4">
        <f t="shared" si="285"/>
        <v>0</v>
      </c>
      <c r="NN9" s="4">
        <f t="shared" si="285"/>
        <v>0</v>
      </c>
      <c r="NO9" s="4">
        <f t="shared" si="285"/>
        <v>0</v>
      </c>
      <c r="NP9" s="4">
        <f t="shared" si="285"/>
        <v>0</v>
      </c>
      <c r="NQ9" s="4"/>
      <c r="NR9" s="4"/>
      <c r="NS9" s="4"/>
      <c r="NT9" s="36"/>
      <c r="NU9" s="4"/>
      <c r="NW9" s="3" t="s">
        <v>821</v>
      </c>
      <c r="NX9" s="4">
        <v>0</v>
      </c>
      <c r="NY9" s="4">
        <f>+NX4</f>
        <v>0</v>
      </c>
      <c r="NZ9" s="4">
        <f t="shared" ref="NZ9:OF9" si="286">+NY4-NX4</f>
        <v>0</v>
      </c>
      <c r="OA9" s="4">
        <f t="shared" si="286"/>
        <v>0</v>
      </c>
      <c r="OB9" s="4">
        <f t="shared" si="286"/>
        <v>0</v>
      </c>
      <c r="OC9" s="4">
        <f t="shared" si="286"/>
        <v>0</v>
      </c>
      <c r="OD9" s="4">
        <f t="shared" si="286"/>
        <v>0</v>
      </c>
      <c r="OE9" s="4">
        <f t="shared" si="286"/>
        <v>0</v>
      </c>
      <c r="OF9" s="4">
        <f t="shared" si="286"/>
        <v>0</v>
      </c>
      <c r="OG9" s="4"/>
      <c r="OH9" s="4"/>
      <c r="OJ9" s="36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Y9" s="3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M9" s="3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QA9" s="3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O9" s="3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C9" s="3"/>
      <c r="RD9" s="4"/>
      <c r="RE9" s="4"/>
      <c r="RF9" s="4"/>
      <c r="RG9" s="4"/>
      <c r="RH9" s="4"/>
      <c r="RI9" s="4"/>
      <c r="RJ9" s="4"/>
      <c r="RK9" s="4"/>
      <c r="RL9" s="4"/>
      <c r="RQ9" s="3"/>
      <c r="RR9" s="4"/>
      <c r="RS9" s="4"/>
      <c r="RT9" s="4"/>
      <c r="RU9" s="4"/>
      <c r="RV9" s="4"/>
      <c r="RW9" s="4"/>
      <c r="RX9" s="4"/>
      <c r="RY9" s="4"/>
      <c r="RZ9" s="4"/>
      <c r="SE9" s="3"/>
      <c r="SF9" s="4"/>
      <c r="SG9" s="4"/>
      <c r="SH9" s="4"/>
      <c r="SI9" s="4"/>
      <c r="SJ9" s="4"/>
      <c r="SK9" s="4"/>
      <c r="SL9" s="4"/>
      <c r="SM9" s="4"/>
      <c r="SN9" s="4"/>
    </row>
    <row r="10" spans="1:508" x14ac:dyDescent="0.2">
      <c r="A10" s="3" t="s">
        <v>822</v>
      </c>
      <c r="O10" s="3"/>
      <c r="P10" s="23"/>
      <c r="Q10" s="4"/>
      <c r="R10" s="4"/>
      <c r="S10" s="4"/>
      <c r="T10" s="4"/>
      <c r="U10" s="4"/>
      <c r="V10" s="4"/>
      <c r="W10" s="4"/>
      <c r="X10" s="4"/>
      <c r="Y10" s="4"/>
      <c r="Z10" s="4"/>
      <c r="AG10" s="3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Y10" s="3" t="s">
        <v>823</v>
      </c>
      <c r="AZ10" s="4">
        <v>0</v>
      </c>
      <c r="BA10" s="4">
        <f>AZ9</f>
        <v>0</v>
      </c>
      <c r="BB10" s="4">
        <f t="shared" ref="BB10:BH10" si="287">BA9</f>
        <v>0</v>
      </c>
      <c r="BC10" s="4">
        <f t="shared" si="287"/>
        <v>0</v>
      </c>
      <c r="BD10" s="4">
        <f t="shared" si="287"/>
        <v>0</v>
      </c>
      <c r="BE10" s="4">
        <f t="shared" si="287"/>
        <v>0</v>
      </c>
      <c r="BF10" s="4">
        <f t="shared" si="287"/>
        <v>0</v>
      </c>
      <c r="BG10" s="4">
        <f t="shared" si="287"/>
        <v>0</v>
      </c>
      <c r="BH10" s="4">
        <f t="shared" si="287"/>
        <v>0</v>
      </c>
      <c r="BI10" s="4"/>
      <c r="BJ10" s="4"/>
      <c r="BL10" s="36"/>
      <c r="BO10" s="3" t="s">
        <v>824</v>
      </c>
      <c r="BP10" s="4">
        <v>0</v>
      </c>
      <c r="BQ10" s="4">
        <f>BP9</f>
        <v>0</v>
      </c>
      <c r="BR10" s="4">
        <f t="shared" ref="BR10:BX10" si="288">BQ9</f>
        <v>0</v>
      </c>
      <c r="BS10" s="4">
        <f t="shared" si="288"/>
        <v>0</v>
      </c>
      <c r="BT10" s="4">
        <f t="shared" si="288"/>
        <v>0</v>
      </c>
      <c r="BU10" s="4">
        <f t="shared" si="288"/>
        <v>0</v>
      </c>
      <c r="BV10" s="4">
        <f t="shared" si="288"/>
        <v>0</v>
      </c>
      <c r="BW10" s="4">
        <f t="shared" si="288"/>
        <v>0</v>
      </c>
      <c r="BX10" s="4">
        <f t="shared" si="288"/>
        <v>0</v>
      </c>
      <c r="BY10" s="4"/>
      <c r="BZ10" s="4"/>
      <c r="CB10" s="36"/>
      <c r="CE10" s="3" t="s">
        <v>825</v>
      </c>
      <c r="CF10" s="4">
        <v>0</v>
      </c>
      <c r="CG10" s="4">
        <f>CF9</f>
        <v>0</v>
      </c>
      <c r="CH10" s="4">
        <f t="shared" ref="CH10:CN10" si="289">CG9</f>
        <v>0</v>
      </c>
      <c r="CI10" s="4">
        <f t="shared" si="289"/>
        <v>0</v>
      </c>
      <c r="CJ10" s="4">
        <f t="shared" si="289"/>
        <v>0</v>
      </c>
      <c r="CK10" s="4">
        <f t="shared" si="289"/>
        <v>0</v>
      </c>
      <c r="CL10" s="4">
        <f t="shared" si="289"/>
        <v>0</v>
      </c>
      <c r="CM10" s="4">
        <f t="shared" si="289"/>
        <v>0</v>
      </c>
      <c r="CN10" s="4">
        <f t="shared" si="289"/>
        <v>0</v>
      </c>
      <c r="CO10" s="4"/>
      <c r="CP10" s="4"/>
      <c r="CR10" s="36"/>
      <c r="CU10" s="3" t="s">
        <v>826</v>
      </c>
      <c r="CV10" s="4">
        <v>0</v>
      </c>
      <c r="CW10" s="4">
        <f>CV9</f>
        <v>0</v>
      </c>
      <c r="CX10" s="4">
        <f t="shared" ref="CX10:DD10" si="290">CW9</f>
        <v>0</v>
      </c>
      <c r="CY10" s="4">
        <f t="shared" si="290"/>
        <v>0</v>
      </c>
      <c r="CZ10" s="4">
        <f t="shared" si="290"/>
        <v>0</v>
      </c>
      <c r="DA10" s="4">
        <f t="shared" si="290"/>
        <v>0</v>
      </c>
      <c r="DB10" s="4">
        <f t="shared" si="290"/>
        <v>0</v>
      </c>
      <c r="DC10" s="4">
        <f t="shared" si="290"/>
        <v>0</v>
      </c>
      <c r="DD10" s="4">
        <f t="shared" si="290"/>
        <v>0</v>
      </c>
      <c r="DE10" s="4"/>
      <c r="DF10" s="4"/>
      <c r="DH10" s="36"/>
      <c r="DK10" s="3" t="s">
        <v>827</v>
      </c>
      <c r="DL10" s="4">
        <v>0</v>
      </c>
      <c r="DM10" s="4">
        <f>DL9</f>
        <v>0</v>
      </c>
      <c r="DN10" s="4">
        <f t="shared" ref="DN10:DT10" si="291">DM9</f>
        <v>0</v>
      </c>
      <c r="DO10" s="4">
        <f t="shared" si="291"/>
        <v>0</v>
      </c>
      <c r="DP10" s="4">
        <f t="shared" si="291"/>
        <v>0</v>
      </c>
      <c r="DQ10" s="4">
        <f t="shared" si="291"/>
        <v>0</v>
      </c>
      <c r="DR10" s="4">
        <f t="shared" si="291"/>
        <v>0</v>
      </c>
      <c r="DS10" s="4">
        <f t="shared" si="291"/>
        <v>0</v>
      </c>
      <c r="DT10" s="4">
        <f t="shared" si="291"/>
        <v>0</v>
      </c>
      <c r="DU10" s="4"/>
      <c r="DV10" s="4"/>
      <c r="DX10" s="36"/>
      <c r="EA10" s="3" t="s">
        <v>828</v>
      </c>
      <c r="EB10" s="4">
        <v>0</v>
      </c>
      <c r="EC10" s="4">
        <f>EB9</f>
        <v>0</v>
      </c>
      <c r="ED10" s="4">
        <f t="shared" ref="ED10:EJ10" si="292">EC9</f>
        <v>0</v>
      </c>
      <c r="EE10" s="4">
        <f t="shared" si="292"/>
        <v>0</v>
      </c>
      <c r="EF10" s="4">
        <f t="shared" si="292"/>
        <v>0</v>
      </c>
      <c r="EG10" s="4">
        <f t="shared" si="292"/>
        <v>0</v>
      </c>
      <c r="EH10" s="4">
        <f t="shared" si="292"/>
        <v>0</v>
      </c>
      <c r="EI10" s="4">
        <f t="shared" si="292"/>
        <v>0</v>
      </c>
      <c r="EJ10" s="4">
        <f t="shared" si="292"/>
        <v>0</v>
      </c>
      <c r="EK10" s="4"/>
      <c r="EL10" s="4"/>
      <c r="EN10" s="36"/>
      <c r="EQ10" s="3" t="s">
        <v>829</v>
      </c>
      <c r="ER10" s="4">
        <v>0</v>
      </c>
      <c r="ES10" s="4">
        <f>ER9</f>
        <v>0</v>
      </c>
      <c r="ET10" s="4">
        <f t="shared" ref="ET10:EZ10" si="293">ES9</f>
        <v>0</v>
      </c>
      <c r="EU10" s="4">
        <f t="shared" si="293"/>
        <v>0</v>
      </c>
      <c r="EV10" s="4">
        <f t="shared" si="293"/>
        <v>0</v>
      </c>
      <c r="EW10" s="4">
        <f t="shared" si="293"/>
        <v>0</v>
      </c>
      <c r="EX10" s="4">
        <f t="shared" si="293"/>
        <v>0</v>
      </c>
      <c r="EY10" s="4">
        <f t="shared" si="293"/>
        <v>0</v>
      </c>
      <c r="EZ10" s="4">
        <f t="shared" si="293"/>
        <v>0</v>
      </c>
      <c r="FA10" s="4"/>
      <c r="FB10" s="4"/>
      <c r="FD10" s="36"/>
      <c r="FG10" s="3" t="s">
        <v>830</v>
      </c>
      <c r="FH10" s="4">
        <v>0</v>
      </c>
      <c r="FI10" s="4">
        <f>FH9</f>
        <v>0</v>
      </c>
      <c r="FJ10" s="4">
        <f t="shared" ref="FJ10:FP10" si="294">FI9</f>
        <v>0</v>
      </c>
      <c r="FK10" s="4">
        <f t="shared" si="294"/>
        <v>0</v>
      </c>
      <c r="FL10" s="4">
        <f t="shared" si="294"/>
        <v>0</v>
      </c>
      <c r="FM10" s="4">
        <f t="shared" si="294"/>
        <v>0</v>
      </c>
      <c r="FN10" s="4">
        <f t="shared" si="294"/>
        <v>0</v>
      </c>
      <c r="FO10" s="4">
        <f t="shared" si="294"/>
        <v>0</v>
      </c>
      <c r="FP10" s="4">
        <f t="shared" si="294"/>
        <v>0</v>
      </c>
      <c r="FQ10" s="4"/>
      <c r="FR10" s="4"/>
      <c r="FT10" s="36"/>
      <c r="FW10" s="3" t="s">
        <v>831</v>
      </c>
      <c r="FX10" s="4">
        <v>0</v>
      </c>
      <c r="FY10" s="4">
        <f>FX9</f>
        <v>0</v>
      </c>
      <c r="FZ10" s="4">
        <f t="shared" ref="FZ10:GF10" si="295">FY9</f>
        <v>0</v>
      </c>
      <c r="GA10" s="4">
        <f t="shared" si="295"/>
        <v>0</v>
      </c>
      <c r="GB10" s="4">
        <f t="shared" si="295"/>
        <v>0</v>
      </c>
      <c r="GC10" s="4">
        <f t="shared" si="295"/>
        <v>0</v>
      </c>
      <c r="GD10" s="4">
        <f t="shared" si="295"/>
        <v>0</v>
      </c>
      <c r="GE10" s="4">
        <f t="shared" si="295"/>
        <v>0</v>
      </c>
      <c r="GF10" s="4">
        <f t="shared" si="295"/>
        <v>0</v>
      </c>
      <c r="GG10" s="4"/>
      <c r="GH10" s="4"/>
      <c r="GI10" s="4"/>
      <c r="GJ10" s="36"/>
      <c r="GK10" s="4"/>
      <c r="GM10" s="3" t="s">
        <v>832</v>
      </c>
      <c r="GN10" s="4">
        <v>0</v>
      </c>
      <c r="GO10" s="4">
        <f>GN9</f>
        <v>0</v>
      </c>
      <c r="GP10" s="4">
        <f t="shared" ref="GP10:GV10" si="296">GO9</f>
        <v>0</v>
      </c>
      <c r="GQ10" s="4">
        <f t="shared" si="296"/>
        <v>0</v>
      </c>
      <c r="GR10" s="4">
        <f t="shared" si="296"/>
        <v>0</v>
      </c>
      <c r="GS10" s="4">
        <f t="shared" si="296"/>
        <v>0</v>
      </c>
      <c r="GT10" s="4">
        <f t="shared" si="296"/>
        <v>0</v>
      </c>
      <c r="GU10" s="4">
        <f t="shared" si="296"/>
        <v>0</v>
      </c>
      <c r="GV10" s="4">
        <f t="shared" si="296"/>
        <v>0</v>
      </c>
      <c r="GW10" s="4"/>
      <c r="GX10" s="4"/>
      <c r="GY10" s="4"/>
      <c r="GZ10" s="36"/>
      <c r="HA10" s="4"/>
      <c r="HB10" s="4"/>
      <c r="HC10" s="3" t="s">
        <v>833</v>
      </c>
      <c r="HD10" s="4">
        <v>0</v>
      </c>
      <c r="HE10" s="4">
        <f>HD9</f>
        <v>0</v>
      </c>
      <c r="HF10" s="4">
        <f t="shared" ref="HF10:HL10" si="297">HE9</f>
        <v>0</v>
      </c>
      <c r="HG10" s="4">
        <f t="shared" si="297"/>
        <v>0</v>
      </c>
      <c r="HH10" s="4">
        <f t="shared" si="297"/>
        <v>0</v>
      </c>
      <c r="HI10" s="4">
        <f t="shared" si="297"/>
        <v>0</v>
      </c>
      <c r="HJ10" s="4">
        <f t="shared" si="297"/>
        <v>0</v>
      </c>
      <c r="HK10" s="4">
        <f t="shared" si="297"/>
        <v>0</v>
      </c>
      <c r="HL10" s="4">
        <f t="shared" si="297"/>
        <v>0</v>
      </c>
      <c r="HM10" s="4"/>
      <c r="HN10" s="4"/>
      <c r="HO10" s="4"/>
      <c r="HP10" s="36"/>
      <c r="HQ10" s="4"/>
      <c r="HR10" s="4"/>
      <c r="HS10" s="3" t="s">
        <v>834</v>
      </c>
      <c r="HT10" s="4">
        <v>0</v>
      </c>
      <c r="HU10" s="4">
        <f>HT9</f>
        <v>0</v>
      </c>
      <c r="HV10" s="4">
        <f t="shared" ref="HV10:IB10" si="298">HU9</f>
        <v>0</v>
      </c>
      <c r="HW10" s="4">
        <f t="shared" si="298"/>
        <v>0</v>
      </c>
      <c r="HX10" s="4">
        <f t="shared" si="298"/>
        <v>0</v>
      </c>
      <c r="HY10" s="4">
        <f t="shared" si="298"/>
        <v>0</v>
      </c>
      <c r="HZ10" s="4">
        <f t="shared" si="298"/>
        <v>0</v>
      </c>
      <c r="IA10" s="4">
        <f t="shared" si="298"/>
        <v>0</v>
      </c>
      <c r="IB10" s="4">
        <f t="shared" si="298"/>
        <v>0</v>
      </c>
      <c r="IC10" s="4"/>
      <c r="ID10" s="4"/>
      <c r="IE10" s="4"/>
      <c r="IF10" s="36"/>
      <c r="IG10" s="4"/>
      <c r="II10" s="3" t="s">
        <v>835</v>
      </c>
      <c r="IJ10" s="4">
        <v>0</v>
      </c>
      <c r="IK10" s="4">
        <f>IJ9</f>
        <v>0</v>
      </c>
      <c r="IL10" s="4">
        <f t="shared" ref="IL10:IR10" si="299">IK9</f>
        <v>0</v>
      </c>
      <c r="IM10" s="4">
        <f t="shared" si="299"/>
        <v>0</v>
      </c>
      <c r="IN10" s="4">
        <f t="shared" si="299"/>
        <v>0</v>
      </c>
      <c r="IO10" s="4">
        <f t="shared" si="299"/>
        <v>0</v>
      </c>
      <c r="IP10" s="4">
        <f t="shared" si="299"/>
        <v>0</v>
      </c>
      <c r="IQ10" s="4">
        <f t="shared" si="299"/>
        <v>0</v>
      </c>
      <c r="IR10" s="4">
        <f t="shared" si="299"/>
        <v>0</v>
      </c>
      <c r="IS10" s="4"/>
      <c r="IT10" s="4"/>
      <c r="IU10" s="4"/>
      <c r="IV10" s="36"/>
      <c r="IW10" s="4"/>
      <c r="IY10" s="3" t="s">
        <v>836</v>
      </c>
      <c r="IZ10" s="4">
        <v>0</v>
      </c>
      <c r="JA10" s="4">
        <f>IZ9</f>
        <v>0</v>
      </c>
      <c r="JB10" s="4">
        <f t="shared" ref="JB10:JH10" si="300">JA9</f>
        <v>0</v>
      </c>
      <c r="JC10" s="4">
        <f t="shared" si="300"/>
        <v>0</v>
      </c>
      <c r="JD10" s="4">
        <f t="shared" si="300"/>
        <v>0</v>
      </c>
      <c r="JE10" s="4">
        <f t="shared" si="300"/>
        <v>0</v>
      </c>
      <c r="JF10" s="4">
        <f t="shared" si="300"/>
        <v>0</v>
      </c>
      <c r="JG10" s="4">
        <f t="shared" si="300"/>
        <v>0</v>
      </c>
      <c r="JH10" s="4">
        <f t="shared" si="300"/>
        <v>0</v>
      </c>
      <c r="JI10" s="4"/>
      <c r="JJ10" s="4"/>
      <c r="JK10" s="4"/>
      <c r="JL10" s="36"/>
      <c r="JM10" s="4"/>
      <c r="JO10" s="3" t="s">
        <v>837</v>
      </c>
      <c r="JP10" s="4">
        <v>0</v>
      </c>
      <c r="JQ10" s="4">
        <f>JP9</f>
        <v>0</v>
      </c>
      <c r="JR10" s="4">
        <f t="shared" ref="JR10:JX10" si="301">JQ9</f>
        <v>0</v>
      </c>
      <c r="JS10" s="4">
        <f t="shared" si="301"/>
        <v>0</v>
      </c>
      <c r="JT10" s="4">
        <f t="shared" si="301"/>
        <v>0</v>
      </c>
      <c r="JU10" s="4">
        <f t="shared" si="301"/>
        <v>0</v>
      </c>
      <c r="JV10" s="4">
        <f t="shared" si="301"/>
        <v>0</v>
      </c>
      <c r="JW10" s="4">
        <f t="shared" si="301"/>
        <v>0</v>
      </c>
      <c r="JX10" s="4">
        <f t="shared" si="301"/>
        <v>0</v>
      </c>
      <c r="JY10" s="4"/>
      <c r="JZ10" s="4"/>
      <c r="KA10" s="4"/>
      <c r="KB10" s="36"/>
      <c r="KC10" s="4"/>
      <c r="KE10" s="3" t="s">
        <v>838</v>
      </c>
      <c r="KF10" s="4">
        <v>0</v>
      </c>
      <c r="KG10" s="4">
        <f>KF9</f>
        <v>0</v>
      </c>
      <c r="KH10" s="4">
        <f t="shared" ref="KH10:KN10" si="302">KG9</f>
        <v>0</v>
      </c>
      <c r="KI10" s="4">
        <f t="shared" si="302"/>
        <v>0</v>
      </c>
      <c r="KJ10" s="4">
        <f t="shared" si="302"/>
        <v>0</v>
      </c>
      <c r="KK10" s="4">
        <f t="shared" si="302"/>
        <v>0</v>
      </c>
      <c r="KL10" s="4">
        <f t="shared" si="302"/>
        <v>0</v>
      </c>
      <c r="KM10" s="4">
        <f t="shared" si="302"/>
        <v>0</v>
      </c>
      <c r="KN10" s="4">
        <f t="shared" si="302"/>
        <v>0</v>
      </c>
      <c r="KO10" s="4"/>
      <c r="KP10" s="4"/>
      <c r="KQ10" s="4"/>
      <c r="KR10" s="36"/>
      <c r="KS10" s="4"/>
      <c r="KU10" s="3" t="s">
        <v>839</v>
      </c>
      <c r="KV10" s="4">
        <v>0</v>
      </c>
      <c r="KW10" s="4">
        <f>KV9</f>
        <v>0</v>
      </c>
      <c r="KX10" s="4">
        <f t="shared" ref="KX10:LD10" si="303">KW9</f>
        <v>0</v>
      </c>
      <c r="KY10" s="4">
        <f t="shared" si="303"/>
        <v>0</v>
      </c>
      <c r="KZ10" s="4">
        <f t="shared" si="303"/>
        <v>0</v>
      </c>
      <c r="LA10" s="4">
        <f t="shared" si="303"/>
        <v>0</v>
      </c>
      <c r="LB10" s="4">
        <f t="shared" si="303"/>
        <v>0</v>
      </c>
      <c r="LC10" s="4">
        <f t="shared" si="303"/>
        <v>0</v>
      </c>
      <c r="LD10" s="4">
        <f t="shared" si="303"/>
        <v>0</v>
      </c>
      <c r="LE10" s="4"/>
      <c r="LF10" s="4"/>
      <c r="LG10" s="4"/>
      <c r="LH10" s="36"/>
      <c r="LI10" s="4"/>
      <c r="LK10" s="3" t="s">
        <v>840</v>
      </c>
      <c r="LL10" s="4">
        <v>0</v>
      </c>
      <c r="LM10" s="4">
        <f>LL9</f>
        <v>0</v>
      </c>
      <c r="LN10" s="4">
        <f t="shared" ref="LN10:LT10" si="304">LM9</f>
        <v>0</v>
      </c>
      <c r="LO10" s="4">
        <f t="shared" si="304"/>
        <v>0</v>
      </c>
      <c r="LP10" s="4">
        <f t="shared" si="304"/>
        <v>0</v>
      </c>
      <c r="LQ10" s="4">
        <f t="shared" si="304"/>
        <v>0</v>
      </c>
      <c r="LR10" s="4">
        <f t="shared" si="304"/>
        <v>0</v>
      </c>
      <c r="LS10" s="4">
        <f t="shared" si="304"/>
        <v>0</v>
      </c>
      <c r="LT10" s="4">
        <f t="shared" si="304"/>
        <v>0</v>
      </c>
      <c r="LU10" s="4"/>
      <c r="LV10" s="4"/>
      <c r="LW10" s="4"/>
      <c r="LX10" s="36"/>
      <c r="LY10" s="4"/>
      <c r="MA10" s="3" t="s">
        <v>841</v>
      </c>
      <c r="MB10" s="4">
        <v>0</v>
      </c>
      <c r="MC10" s="4">
        <f>MB9</f>
        <v>0</v>
      </c>
      <c r="MD10" s="4">
        <f t="shared" ref="MD10:MJ10" si="305">MC9</f>
        <v>0</v>
      </c>
      <c r="ME10" s="4">
        <f t="shared" si="305"/>
        <v>0</v>
      </c>
      <c r="MF10" s="4">
        <f t="shared" si="305"/>
        <v>0</v>
      </c>
      <c r="MG10" s="4">
        <f t="shared" si="305"/>
        <v>0</v>
      </c>
      <c r="MH10" s="4">
        <f t="shared" si="305"/>
        <v>0</v>
      </c>
      <c r="MI10" s="4">
        <f t="shared" si="305"/>
        <v>0</v>
      </c>
      <c r="MJ10" s="4">
        <f t="shared" si="305"/>
        <v>0</v>
      </c>
      <c r="MK10" s="4"/>
      <c r="ML10" s="4"/>
      <c r="MM10" s="4"/>
      <c r="MN10" s="36"/>
      <c r="MO10" s="4"/>
      <c r="MQ10" s="3" t="s">
        <v>842</v>
      </c>
      <c r="MR10" s="4">
        <v>0</v>
      </c>
      <c r="MS10" s="4">
        <f>MR9</f>
        <v>0</v>
      </c>
      <c r="MT10" s="4">
        <f t="shared" ref="MT10:MZ10" si="306">MS9</f>
        <v>0</v>
      </c>
      <c r="MU10" s="4">
        <f t="shared" si="306"/>
        <v>0</v>
      </c>
      <c r="MV10" s="4">
        <f t="shared" si="306"/>
        <v>0</v>
      </c>
      <c r="MW10" s="4">
        <f t="shared" si="306"/>
        <v>0</v>
      </c>
      <c r="MX10" s="4">
        <f t="shared" si="306"/>
        <v>0</v>
      </c>
      <c r="MY10" s="4">
        <f t="shared" si="306"/>
        <v>0</v>
      </c>
      <c r="MZ10" s="4">
        <f t="shared" si="306"/>
        <v>0</v>
      </c>
      <c r="NA10" s="4"/>
      <c r="NB10" s="4"/>
      <c r="NC10" s="4"/>
      <c r="ND10" s="36"/>
      <c r="NE10" s="4"/>
      <c r="NG10" s="3" t="s">
        <v>843</v>
      </c>
      <c r="NH10" s="4">
        <v>0</v>
      </c>
      <c r="NI10" s="4">
        <f>NH9</f>
        <v>0</v>
      </c>
      <c r="NJ10" s="4">
        <f t="shared" ref="NJ10:NP10" si="307">NI9</f>
        <v>0</v>
      </c>
      <c r="NK10" s="4">
        <f t="shared" si="307"/>
        <v>0</v>
      </c>
      <c r="NL10" s="4">
        <f t="shared" si="307"/>
        <v>0</v>
      </c>
      <c r="NM10" s="4">
        <f t="shared" si="307"/>
        <v>0</v>
      </c>
      <c r="NN10" s="4">
        <f t="shared" si="307"/>
        <v>0</v>
      </c>
      <c r="NO10" s="4">
        <f t="shared" si="307"/>
        <v>0</v>
      </c>
      <c r="NP10" s="4">
        <f t="shared" si="307"/>
        <v>0</v>
      </c>
      <c r="NQ10" s="4"/>
      <c r="NR10" s="4"/>
      <c r="NS10" s="4"/>
      <c r="NT10" s="36"/>
      <c r="NU10" s="4"/>
      <c r="NW10" s="3" t="s">
        <v>844</v>
      </c>
      <c r="NX10" s="4">
        <v>0</v>
      </c>
      <c r="NY10" s="4">
        <f>NX9</f>
        <v>0</v>
      </c>
      <c r="NZ10" s="4">
        <f t="shared" ref="NZ10:OF10" si="308">NY9</f>
        <v>0</v>
      </c>
      <c r="OA10" s="4">
        <f t="shared" si="308"/>
        <v>0</v>
      </c>
      <c r="OB10" s="4">
        <f t="shared" si="308"/>
        <v>0</v>
      </c>
      <c r="OC10" s="4">
        <f t="shared" si="308"/>
        <v>0</v>
      </c>
      <c r="OD10" s="4">
        <f t="shared" si="308"/>
        <v>0</v>
      </c>
      <c r="OE10" s="4">
        <f t="shared" si="308"/>
        <v>0</v>
      </c>
      <c r="OF10" s="4">
        <f t="shared" si="308"/>
        <v>0</v>
      </c>
      <c r="OG10" s="4"/>
      <c r="OH10" s="4"/>
      <c r="OJ10" s="36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Y10" s="3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M10" s="3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QA10" s="3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O10" s="3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C10" s="3"/>
      <c r="RD10" s="4"/>
      <c r="RE10" s="4"/>
      <c r="RF10" s="4"/>
      <c r="RG10" s="4"/>
      <c r="RH10" s="4"/>
      <c r="RI10" s="4"/>
      <c r="RJ10" s="4"/>
      <c r="RK10" s="4"/>
      <c r="RL10" s="4"/>
      <c r="RQ10" s="3"/>
      <c r="RR10" s="4"/>
      <c r="RS10" s="4"/>
      <c r="RT10" s="4"/>
      <c r="RU10" s="4"/>
      <c r="RV10" s="4"/>
      <c r="RW10" s="4"/>
      <c r="RX10" s="4"/>
      <c r="RY10" s="4"/>
      <c r="RZ10" s="4"/>
      <c r="SE10" s="3"/>
      <c r="SF10" s="4"/>
      <c r="SG10" s="4"/>
      <c r="SH10" s="4"/>
      <c r="SI10" s="4"/>
      <c r="SJ10" s="4"/>
      <c r="SK10" s="4"/>
      <c r="SL10" s="4"/>
      <c r="SM10" s="4"/>
      <c r="SN10" s="4"/>
    </row>
    <row r="11" spans="1:508" x14ac:dyDescent="0.2">
      <c r="A11" s="3" t="s">
        <v>1511</v>
      </c>
      <c r="O11" s="3"/>
      <c r="P11" s="24"/>
      <c r="Q11" s="6"/>
      <c r="R11" s="6"/>
      <c r="S11" s="6"/>
      <c r="T11" s="6"/>
      <c r="U11" s="6"/>
      <c r="V11" s="6"/>
      <c r="W11" s="6"/>
      <c r="X11" s="6"/>
      <c r="AG11" s="3"/>
      <c r="AH11" s="6"/>
      <c r="AI11" s="6"/>
      <c r="AJ11" s="6"/>
      <c r="AK11" s="6"/>
      <c r="AL11" s="6"/>
      <c r="AM11" s="6"/>
      <c r="AN11" s="6"/>
      <c r="AO11" s="6"/>
      <c r="AP11" s="6"/>
      <c r="AY11" s="3" t="s">
        <v>845</v>
      </c>
      <c r="AZ11" s="6">
        <f>IF(AZ18=1,MAX((AZ4-AZ6)*AZ12,0),MAX((AZ4-AZ6),0))</f>
        <v>0</v>
      </c>
      <c r="BA11" s="6">
        <f>IF(AZ18=1,MAX((BA4-BA6)*AZ12,0),MAX((BA4-BA6),0))</f>
        <v>0</v>
      </c>
      <c r="BB11" s="6">
        <f>IF(AZ18=1,MAX((BB4-BB6)*AZ12,0),MAX((BB4-BB6),0))</f>
        <v>0</v>
      </c>
      <c r="BC11" s="6">
        <f>IF(AZ18=1,MAX((BC4-BC6)*AZ12,0),MAX((BC4-BC6),0))</f>
        <v>0</v>
      </c>
      <c r="BD11" s="6">
        <f>IF(AZ18=1,MAX((BD4-BD6)*AZ12,0),MAX((BD4-BD6),0))</f>
        <v>0</v>
      </c>
      <c r="BE11" s="6">
        <f>IF(AZ18=1,MAX((BE4-BE6)*AZ12,0),MAX((BE4-BE6),0))</f>
        <v>0</v>
      </c>
      <c r="BF11" s="6">
        <f>IF(AZ18=1,MAX((BF4-BF6)*AZ12,0),MAX((BF4-BF6),0))</f>
        <v>0</v>
      </c>
      <c r="BG11" s="6">
        <f>IF(AZ18=1,MAX((BG4-BG6)*AZ12,0),MAX((BG4-BG6),0))</f>
        <v>0</v>
      </c>
      <c r="BH11" s="6">
        <f>IF(AZ18=1,MAX((BH4-BH6)*AZ12,0),MAX((BH4-BH6),0))</f>
        <v>0</v>
      </c>
      <c r="BL11" s="9"/>
      <c r="BO11" s="3" t="s">
        <v>846</v>
      </c>
      <c r="BP11" s="6">
        <f>IF(BP18=1,MAX((BP4-BP6)*BP12,0),MAX((BP4-BP6),0))</f>
        <v>0</v>
      </c>
      <c r="BQ11" s="6">
        <f>IF(BP18=1,MAX((BQ4-BQ6)*BP12,0),MAX((BQ4-BQ6),0))</f>
        <v>0</v>
      </c>
      <c r="BR11" s="6">
        <f>IF(BP18=1,MAX((BR4-BR6)*BP12,0),MAX((BR4-BR6),0))</f>
        <v>0</v>
      </c>
      <c r="BS11" s="6">
        <f>IF(BP18=1,MAX((BS4-BS6)*BP12,0),MAX((BS4-BS6),0))</f>
        <v>0</v>
      </c>
      <c r="BT11" s="6">
        <f>IF(BP18=1,MAX((BT4-BT6)*BP12,0),MAX((BT4-BT6),0))</f>
        <v>0</v>
      </c>
      <c r="BU11" s="6">
        <f>IF(BP18=1,MAX((BU4-BU6)*BP12,0),MAX((BU4-BU6),0))</f>
        <v>0</v>
      </c>
      <c r="BV11" s="6">
        <f>IF(BP18=1,MAX((BV4-BV6)*BP12,0),MAX((BV4-BV6),0))</f>
        <v>0</v>
      </c>
      <c r="BW11" s="6">
        <f>IF(BP18=1,MAX((BW4-BW6)*BP12,0),MAX((BW4-BW6),0))</f>
        <v>0</v>
      </c>
      <c r="BX11" s="6">
        <f>IF(BP18=1,MAX((BX4-BX6)*BP12,0),MAX((BX4-BX6),0))</f>
        <v>0</v>
      </c>
      <c r="CB11" s="9"/>
      <c r="CE11" s="3" t="s">
        <v>847</v>
      </c>
      <c r="CF11" s="6">
        <f>IF(CF18=1,MAX((CF4-CF6)*CF12,0),MAX((CF4-CF6),0))</f>
        <v>0</v>
      </c>
      <c r="CG11" s="6">
        <f>IF(CF18=1,MAX((CG4-CG6)*CF12,0),MAX((CG4-CG6),0))</f>
        <v>0</v>
      </c>
      <c r="CH11" s="6">
        <f>IF(CF18=1,MAX((CH4-CH6)*CF12,0),MAX((CH4-CH6),0))</f>
        <v>0</v>
      </c>
      <c r="CI11" s="6">
        <f>IF(CF18=1,MAX((CI4-CI6)*CF12,0),MAX((CI4-CI6),0))</f>
        <v>0</v>
      </c>
      <c r="CJ11" s="6">
        <f>IF(CF18=1,MAX((CJ4-CJ6)*CF12,0),MAX((CJ4-CJ6),0))</f>
        <v>0</v>
      </c>
      <c r="CK11" s="6">
        <f>IF(CF18=1,MAX((CK4-CK6)*CF12,0),MAX((CK4-CK6),0))</f>
        <v>0</v>
      </c>
      <c r="CL11" s="6">
        <f>IF(CF18=1,MAX((CL4-CL6)*CF12,0),MAX((CL4-CL6),0))</f>
        <v>0</v>
      </c>
      <c r="CM11" s="6">
        <f>IF(CF18=1,MAX((CM4-CM6)*CF12,0),MAX((CM4-CM6),0))</f>
        <v>0</v>
      </c>
      <c r="CN11" s="6">
        <f>IF(CF18=1,MAX((CN4-CN6)*CF12,0),MAX((CN4-CN6),0))</f>
        <v>0</v>
      </c>
      <c r="CR11" s="9"/>
      <c r="CU11" s="3" t="s">
        <v>848</v>
      </c>
      <c r="CV11" s="6">
        <f>IF(CV18=1,MAX((CV4-CV6)*CV12,0),MAX((CV4-CV6),0))</f>
        <v>0</v>
      </c>
      <c r="CW11" s="6">
        <f>IF(CV18=1,MAX((CW4-CW6)*CV12,0),MAX((CW4-CW6),0))</f>
        <v>0</v>
      </c>
      <c r="CX11" s="6">
        <f>IF(CV18=1,MAX((CX4-CX6)*CV12,0),MAX((CX4-CX6),0))</f>
        <v>0</v>
      </c>
      <c r="CY11" s="6">
        <f>IF(CV18=1,MAX((CY4-CY6)*CV12,0),MAX((CY4-CY6),0))</f>
        <v>0</v>
      </c>
      <c r="CZ11" s="6">
        <f>IF(CV18=1,MAX((CZ4-CZ6)*CV12,0),MAX((CZ4-CZ6),0))</f>
        <v>0</v>
      </c>
      <c r="DA11" s="6">
        <f>IF(CV18=1,MAX((DA4-DA6)*CV12,0),MAX((DA4-DA6),0))</f>
        <v>0</v>
      </c>
      <c r="DB11" s="6">
        <f>IF(CV18=1,MAX((DB4-DB6)*CV12,0),MAX((DB4-DB6),0))</f>
        <v>0</v>
      </c>
      <c r="DC11" s="6">
        <f>IF(CV18=1,MAX((DC4-DC6)*CV12,0),MAX((DC4-DC6),0))</f>
        <v>0</v>
      </c>
      <c r="DD11" s="6">
        <f>IF(CV18=1,MAX((DD4-DD6)*CV12,0),MAX((DD4-DD6),0))</f>
        <v>0</v>
      </c>
      <c r="DH11" s="9"/>
      <c r="DK11" s="3" t="s">
        <v>849</v>
      </c>
      <c r="DL11" s="6">
        <f>IF(DL18=1,MAX((DL4-DL6)*DL12,0),MAX((DL4-DL6),0))</f>
        <v>0</v>
      </c>
      <c r="DM11" s="6">
        <f>IF(DL18=1,MAX((DM4-DM6)*DL12,0),MAX((DM4-DM6),0))</f>
        <v>0</v>
      </c>
      <c r="DN11" s="6">
        <f>IF(DL18=1,MAX((DN4-DN6)*DL12,0),MAX((DN4-DN6),0))</f>
        <v>0</v>
      </c>
      <c r="DO11" s="6">
        <f>IF(DL18=1,MAX((DO4-DO6)*DL12,0),MAX((DO4-DO6),0))</f>
        <v>0</v>
      </c>
      <c r="DP11" s="6">
        <f>IF(DL18=1,MAX((DP4-DP6)*DL12,0),MAX((DP4-DP6),0))</f>
        <v>0</v>
      </c>
      <c r="DQ11" s="6">
        <f>IF(DL18=1,MAX((DQ4-DQ6)*DL12,0),MAX((DQ4-DQ6),0))</f>
        <v>0</v>
      </c>
      <c r="DR11" s="6">
        <f>IF(DL18=1,MAX((DR4-DR6)*DL12,0),MAX((DR4-DR6),0))</f>
        <v>0</v>
      </c>
      <c r="DS11" s="6">
        <f>IF(DL18=1,MAX((DS4-DS6)*DL12,0),MAX((DS4-DS6),0))</f>
        <v>0</v>
      </c>
      <c r="DT11" s="6">
        <f>IF(DL18=1,MAX((DT4-DT6)*DL12,0),MAX((DT4-DT6),0))</f>
        <v>0</v>
      </c>
      <c r="DX11" s="9"/>
      <c r="EA11" s="3" t="s">
        <v>850</v>
      </c>
      <c r="EB11" s="6">
        <f>IF(EB18=1,MAX((EB4-EB6)*EB12,0),MAX((EB4-EB6),0))</f>
        <v>0</v>
      </c>
      <c r="EC11" s="6">
        <f>IF(EB18=1,MAX((EC4-EC6)*EB12,0),MAX((EC4-EC6),0))</f>
        <v>0</v>
      </c>
      <c r="ED11" s="6">
        <f>IF(EB18=1,MAX((ED4-ED6)*EB12,0),MAX((ED4-ED6),0))</f>
        <v>0</v>
      </c>
      <c r="EE11" s="6">
        <f>IF(EB18=1,MAX((EE4-EE6)*EB12,0),MAX((EE4-EE6),0))</f>
        <v>0</v>
      </c>
      <c r="EF11" s="6">
        <f>IF(EB18=1,MAX((EF4-EF6)*EB12,0),MAX((EF4-EF6),0))</f>
        <v>0</v>
      </c>
      <c r="EG11" s="6">
        <f>IF(EB18=1,MAX((EG4-EG6)*EB12,0),MAX((EG4-EG6),0))</f>
        <v>0</v>
      </c>
      <c r="EH11" s="6">
        <f>IF(EB18=1,MAX((EH4-EH6)*EB12,0),MAX((EH4-EH6),0))</f>
        <v>0</v>
      </c>
      <c r="EI11" s="6">
        <f>IF(EB18=1,MAX((EI4-EI6)*EB12,0),MAX((EI4-EI6),0))</f>
        <v>0</v>
      </c>
      <c r="EJ11" s="6">
        <f>IF(EB18=1,MAX((EJ4-EJ6)*EB12,0),MAX((EJ4-EJ6),0))</f>
        <v>0</v>
      </c>
      <c r="EN11" s="9"/>
      <c r="EQ11" s="3" t="s">
        <v>851</v>
      </c>
      <c r="ER11" s="6">
        <f>IF(ER18=1,MAX((ER4-ER6)*ER12,0),MAX((ER4-ER6),0))</f>
        <v>0</v>
      </c>
      <c r="ES11" s="6">
        <f>IF(ER18=1,MAX((ES4-ES6)*ER12,0),MAX((ES4-ES6),0))</f>
        <v>0</v>
      </c>
      <c r="ET11" s="6">
        <f>IF(ER18=1,MAX((ET4-ET6)*ER12,0),MAX((ET4-ET6),0))</f>
        <v>0</v>
      </c>
      <c r="EU11" s="6">
        <f>IF(ER18=1,MAX((EU4-EU6)*ER12,0),MAX((EU4-EU6),0))</f>
        <v>0</v>
      </c>
      <c r="EV11" s="6">
        <f>IF(ER18=1,MAX((EV4-EV6)*ER12,0),MAX((EV4-EV6),0))</f>
        <v>0</v>
      </c>
      <c r="EW11" s="6">
        <f>IF(ER18=1,MAX((EW4-EW6)*ER12,0),MAX((EW4-EW6),0))</f>
        <v>0</v>
      </c>
      <c r="EX11" s="6">
        <f>IF(ER18=1,MAX((EX4-EX6)*ER12,0),MAX((EX4-EX6),0))</f>
        <v>0</v>
      </c>
      <c r="EY11" s="6">
        <f>IF(ER18=1,MAX((EY4-EY6)*ER12,0),MAX((EY4-EY6),0))</f>
        <v>0</v>
      </c>
      <c r="EZ11" s="6">
        <f>IF(ER18=1,MAX((EZ4-EZ6)*ER12,0),MAX((EZ4-EZ6),0))</f>
        <v>0</v>
      </c>
      <c r="FD11" s="9"/>
      <c r="FG11" s="3" t="s">
        <v>852</v>
      </c>
      <c r="FH11" s="6">
        <f>IF(FH18=1,MAX((FH4-FH6)*FH12,0),MAX((FH4-FH6),0))</f>
        <v>0</v>
      </c>
      <c r="FI11" s="6">
        <f>IF(FH18=1,MAX((FI4-FI6)*FH12,0),MAX((FI4-FI6),0))</f>
        <v>0</v>
      </c>
      <c r="FJ11" s="6">
        <f>IF(FH18=1,MAX((FJ4-FJ6)*FH12,0),MAX((FJ4-FJ6),0))</f>
        <v>0</v>
      </c>
      <c r="FK11" s="6">
        <f>IF(FH18=1,MAX((FK4-FK6)*FH12,0),MAX((FK4-FK6),0))</f>
        <v>0</v>
      </c>
      <c r="FL11" s="6">
        <f>IF(FH18=1,MAX((FL4-FL6)*FH12,0),MAX((FL4-FL6),0))</f>
        <v>0</v>
      </c>
      <c r="FM11" s="6">
        <f>IF(FH18=1,MAX((FM4-FM6)*FH12,0),MAX((FM4-FM6),0))</f>
        <v>0</v>
      </c>
      <c r="FN11" s="6">
        <f>IF(FH18=1,MAX((FN4-FN6)*FH12,0),MAX((FN4-FN6),0))</f>
        <v>0</v>
      </c>
      <c r="FO11" s="6">
        <f>IF(FH18=1,MAX((FO4-FO6)*FH12,0),MAX((FO4-FO6),0))</f>
        <v>0</v>
      </c>
      <c r="FP11" s="6">
        <f>IF(FH18=1,MAX((FP4-FP6)*FH12,0),MAX((FP4-FP6),0))</f>
        <v>0</v>
      </c>
      <c r="FT11" s="9"/>
      <c r="FW11" s="3" t="s">
        <v>853</v>
      </c>
      <c r="FX11" s="6">
        <f>IF(FX18=1,MAX((FX4-FX6)*FX12,0),MAX((FX4-FX6),0))</f>
        <v>0</v>
      </c>
      <c r="FY11" s="6">
        <f>IF(FX18=1,MAX((FY4-FY6)*FX12,0),MAX((FY4-FY6),0))</f>
        <v>0</v>
      </c>
      <c r="FZ11" s="6">
        <f>IF(FX18=1,MAX((FZ4-FZ6)*FX12,0),MAX((FZ4-FZ6),0))</f>
        <v>0</v>
      </c>
      <c r="GA11" s="6">
        <f>IF(FX18=1,MAX((GA4-GA6)*FX12,0),MAX((GA4-GA6),0))</f>
        <v>0</v>
      </c>
      <c r="GB11" s="6">
        <f>IF(FX18=1,MAX((GB4-GB6)*FX12,0),MAX((GB4-GB6),0))</f>
        <v>0</v>
      </c>
      <c r="GC11" s="6">
        <f>IF(FX18=1,MAX((GC4-GC6)*FX12,0),MAX((GC4-GC6),0))</f>
        <v>0</v>
      </c>
      <c r="GD11" s="6">
        <f>IF(FX18=1,MAX((GD4-GD6)*FX12,0),MAX((GD4-GD6),0))</f>
        <v>0</v>
      </c>
      <c r="GE11" s="6">
        <f>IF(FX18=1,MAX((GE4-GE6)*FX12,0),MAX((GE4-GE6),0))</f>
        <v>0</v>
      </c>
      <c r="GF11" s="6">
        <f>IF(FX18=1,MAX((GF4-GF6)*FX12,0),MAX((GF4-GF6),0))</f>
        <v>0</v>
      </c>
      <c r="GJ11" s="9"/>
      <c r="GM11" s="3" t="s">
        <v>854</v>
      </c>
      <c r="GN11" s="6">
        <f>IF(GN18=1,MAX((GN4-GN6)*GN12,0),MAX((GN4-GN6),0))</f>
        <v>0</v>
      </c>
      <c r="GO11" s="6">
        <f>IF(GN18=1,MAX((GO4-GO6)*GN12,0),MAX((GO4-GO6),0))</f>
        <v>0</v>
      </c>
      <c r="GP11" s="6">
        <f>IF(GN18=1,MAX((GP4-GP6)*GN12,0),MAX((GP4-GP6),0))</f>
        <v>0</v>
      </c>
      <c r="GQ11" s="6">
        <f>IF(GN18=1,MAX((GQ4-GQ6)*GN12,0),MAX((GQ4-GQ6),0))</f>
        <v>0</v>
      </c>
      <c r="GR11" s="6">
        <f>IF(GN18=1,MAX((GR4-GR6)*GN12,0),MAX((GR4-GR6),0))</f>
        <v>0</v>
      </c>
      <c r="GS11" s="6">
        <f>IF(GN18=1,MAX((GS4-GS6)*GN12,0),MAX((GS4-GS6),0))</f>
        <v>0</v>
      </c>
      <c r="GT11" s="6">
        <f>IF(GN18=1,MAX((GT4-GT6)*GN12,0),MAX((GT4-GT6),0))</f>
        <v>0</v>
      </c>
      <c r="GU11" s="6">
        <f>IF(GN18=1,MAX((GU4-GU6)*GN12,0),MAX((GU4-GU6),0))</f>
        <v>0</v>
      </c>
      <c r="GV11" s="6">
        <f>IF(GN18=1,MAX((GV4-GV6)*GN12,0),MAX((GV4-GV6),0))</f>
        <v>0</v>
      </c>
      <c r="GZ11" s="9"/>
      <c r="HC11" s="3" t="s">
        <v>855</v>
      </c>
      <c r="HD11" s="6">
        <f>IF(HD18=1,MAX((HD4-HD6)*HD12,0),MAX((HD4-HD6),0))</f>
        <v>0</v>
      </c>
      <c r="HE11" s="6">
        <f>IF(HD18=1,MAX((HE4-HE6)*HD12,0),MAX((HE4-HE6),0))</f>
        <v>0</v>
      </c>
      <c r="HF11" s="6">
        <f>IF(HD18=1,MAX((HF4-HF6)*HD12,0),MAX((HF4-HF6),0))</f>
        <v>0</v>
      </c>
      <c r="HG11" s="6">
        <f>IF(HD18=1,MAX((HG4-HG6)*HD12,0),MAX((HG4-HG6),0))</f>
        <v>0</v>
      </c>
      <c r="HH11" s="6">
        <f>IF(HD18=1,MAX((HH4-HH6)*HD12,0),MAX((HH4-HH6),0))</f>
        <v>0</v>
      </c>
      <c r="HI11" s="6">
        <f>IF(HD18=1,MAX((HI4-HI6)*HD12,0),MAX((HI4-HI6),0))</f>
        <v>0</v>
      </c>
      <c r="HJ11" s="6">
        <f>IF(HD18=1,MAX((HJ4-HJ6)*HD12,0),MAX((HJ4-HJ6),0))</f>
        <v>0</v>
      </c>
      <c r="HK11" s="6">
        <f>IF(HD18=1,MAX((HK4-HK6)*HD12,0),MAX((HK4-HK6),0))</f>
        <v>0</v>
      </c>
      <c r="HL11" s="6">
        <f>IF(HD18=1,MAX((HL4-HL6)*HD12,0),MAX((HL4-HL6),0))</f>
        <v>0</v>
      </c>
      <c r="HP11" s="9"/>
      <c r="HS11" s="3" t="s">
        <v>856</v>
      </c>
      <c r="HT11" s="6">
        <f>IF(HT18=1,MAX((HT4-HT6)*HT12,0),MAX((HT4-HT6),0))</f>
        <v>0</v>
      </c>
      <c r="HU11" s="6">
        <f>IF(HT18=1,MAX((HU4-HU6)*HT12,0),MAX((HU4-HU6),0))</f>
        <v>0</v>
      </c>
      <c r="HV11" s="6">
        <f>IF(HT18=1,MAX((HV4-HV6)*HT12,0),MAX((HV4-HV6),0))</f>
        <v>0</v>
      </c>
      <c r="HW11" s="6">
        <f>IF(HT18=1,MAX((HW4-HW6)*HT12,0),MAX((HW4-HW6),0))</f>
        <v>0</v>
      </c>
      <c r="HX11" s="6">
        <f>IF(HT18=1,MAX((HX4-HX6)*HT12,0),MAX((HX4-HX6),0))</f>
        <v>0</v>
      </c>
      <c r="HY11" s="6">
        <f>IF(HT18=1,MAX((HY4-HY6)*HT12,0),MAX((HY4-HY6),0))</f>
        <v>0</v>
      </c>
      <c r="HZ11" s="6">
        <f>IF(HT18=1,MAX((HZ4-HZ6)*HT12,0),MAX((HZ4-HZ6),0))</f>
        <v>0</v>
      </c>
      <c r="IA11" s="6">
        <f>IF(HT18=1,MAX((IA4-IA6)*HT12,0),MAX((IA4-IA6),0))</f>
        <v>0</v>
      </c>
      <c r="IB11" s="6">
        <f>IF(HT18=1,MAX((IB4-IB6)*HT12,0),MAX((IB4-IB6),0))</f>
        <v>0</v>
      </c>
      <c r="IF11" s="9"/>
      <c r="II11" s="3" t="s">
        <v>857</v>
      </c>
      <c r="IJ11" s="6">
        <f>IF(IJ18=1,MAX((IJ4-IJ6)*IJ12,0),MAX((IJ4-IJ6),0))</f>
        <v>0</v>
      </c>
      <c r="IK11" s="6">
        <f>IF(IJ18=1,MAX((IK4-IK6)*IJ12,0),MAX((IK4-IK6),0))</f>
        <v>0</v>
      </c>
      <c r="IL11" s="6">
        <f>IF(IJ18=1,MAX((IL4-IL6)*IJ12,0),MAX((IL4-IL6),0))</f>
        <v>0</v>
      </c>
      <c r="IM11" s="6">
        <f>IF(IJ18=1,MAX((IM4-IM6)*IJ12,0),MAX((IM4-IM6),0))</f>
        <v>0</v>
      </c>
      <c r="IN11" s="6">
        <f>IF(IJ18=1,MAX((IN4-IN6)*IJ12,0),MAX((IN4-IN6),0))</f>
        <v>0</v>
      </c>
      <c r="IO11" s="6">
        <f>IF(IJ18=1,MAX((IO4-IO6)*IJ12,0),MAX((IO4-IO6),0))</f>
        <v>0</v>
      </c>
      <c r="IP11" s="6">
        <f>IF(IJ18=1,MAX((IP4-IP6)*IJ12,0),MAX((IP4-IP6),0))</f>
        <v>0</v>
      </c>
      <c r="IQ11" s="6">
        <f>IF(IJ18=1,MAX((IQ4-IQ6)*IJ12,0),MAX((IQ4-IQ6),0))</f>
        <v>0</v>
      </c>
      <c r="IR11" s="6">
        <f>IF(IJ18=1,MAX((IR4-IR6)*IJ12,0),MAX((IR4-IR6),0))</f>
        <v>0</v>
      </c>
      <c r="IV11" s="9"/>
      <c r="IY11" s="3" t="s">
        <v>858</v>
      </c>
      <c r="IZ11" s="6">
        <f>IF(IZ18=1,MAX((IZ4-IZ6)*IZ12,0),MAX((IZ4-IZ6),0))</f>
        <v>0</v>
      </c>
      <c r="JA11" s="6">
        <f>IF(IZ18=1,MAX((JA4-JA6)*IZ12,0),MAX((JA4-JA6),0))</f>
        <v>0</v>
      </c>
      <c r="JB11" s="6">
        <f>IF(IZ18=1,MAX((JB4-JB6)*IZ12,0),MAX((JB4-JB6),0))</f>
        <v>0</v>
      </c>
      <c r="JC11" s="6">
        <f>IF(IZ18=1,MAX((JC4-JC6)*IZ12,0),MAX((JC4-JC6),0))</f>
        <v>0</v>
      </c>
      <c r="JD11" s="6">
        <f>IF(IZ18=1,MAX((JD4-JD6)*IZ12,0),MAX((JD4-JD6),0))</f>
        <v>0</v>
      </c>
      <c r="JE11" s="6">
        <f>IF(IZ18=1,MAX((JE4-JE6)*IZ12,0),MAX((JE4-JE6),0))</f>
        <v>0</v>
      </c>
      <c r="JF11" s="6">
        <f>IF(IZ18=1,MAX((JF4-JF6)*IZ12,0),MAX((JF4-JF6),0))</f>
        <v>0</v>
      </c>
      <c r="JG11" s="6">
        <f>IF(IZ18=1,MAX((JG4-JG6)*IZ12,0),MAX((JG4-JG6),0))</f>
        <v>0</v>
      </c>
      <c r="JH11" s="6">
        <f>IF(IZ18=1,MAX((JH4-JH6)*IZ12,0),MAX((JH4-JH6),0))</f>
        <v>0</v>
      </c>
      <c r="JL11" s="9"/>
      <c r="JO11" s="3" t="s">
        <v>859</v>
      </c>
      <c r="JP11" s="6">
        <f>IF(JP18=1,MAX((JP4-JP6)*JP12,0),MAX((JP4-JP6),0))</f>
        <v>0</v>
      </c>
      <c r="JQ11" s="6">
        <f>IF(JP18=1,MAX((JQ4-JQ6)*JP12,0),MAX((JQ4-JQ6),0))</f>
        <v>0</v>
      </c>
      <c r="JR11" s="6">
        <f>IF(JP18=1,MAX((JR4-JR6)*JP12,0),MAX((JR4-JR6),0))</f>
        <v>0</v>
      </c>
      <c r="JS11" s="6">
        <f>IF(JP18=1,MAX((JS4-JS6)*JP12,0),MAX((JS4-JS6),0))</f>
        <v>0</v>
      </c>
      <c r="JT11" s="6">
        <f>IF(JP18=1,MAX((JT4-JT6)*JP12,0),MAX((JT4-JT6),0))</f>
        <v>0</v>
      </c>
      <c r="JU11" s="6">
        <f>IF(JP18=1,MAX((JU4-JU6)*JP12,0),MAX((JU4-JU6),0))</f>
        <v>0</v>
      </c>
      <c r="JV11" s="6">
        <f>IF(JP18=1,MAX((JV4-JV6)*JP12,0),MAX((JV4-JV6),0))</f>
        <v>0</v>
      </c>
      <c r="JW11" s="6">
        <f>IF(JP18=1,MAX((JW4-JW6)*JP12,0),MAX((JW4-JW6),0))</f>
        <v>0</v>
      </c>
      <c r="JX11" s="6">
        <f>IF(JP18=1,MAX((JX4-JX6)*JP12,0),MAX((JX4-JX6),0))</f>
        <v>0</v>
      </c>
      <c r="KB11" s="9"/>
      <c r="KE11" s="3" t="s">
        <v>860</v>
      </c>
      <c r="KF11">
        <f t="shared" ref="KF11:KN11" si="309">+MAX((KF4-KF6)*$KF12,0)</f>
        <v>0</v>
      </c>
      <c r="KG11">
        <f t="shared" si="309"/>
        <v>0</v>
      </c>
      <c r="KH11">
        <f t="shared" si="309"/>
        <v>0</v>
      </c>
      <c r="KI11">
        <f t="shared" si="309"/>
        <v>0</v>
      </c>
      <c r="KJ11">
        <f t="shared" si="309"/>
        <v>0</v>
      </c>
      <c r="KK11">
        <f t="shared" si="309"/>
        <v>0</v>
      </c>
      <c r="KL11">
        <f t="shared" si="309"/>
        <v>0</v>
      </c>
      <c r="KM11">
        <f t="shared" si="309"/>
        <v>0</v>
      </c>
      <c r="KN11">
        <f t="shared" si="309"/>
        <v>0</v>
      </c>
      <c r="KR11" s="9"/>
      <c r="KU11" s="3" t="s">
        <v>861</v>
      </c>
      <c r="KV11">
        <f t="shared" ref="KV11:LD11" si="310">+MAX((KV4-KV6)*$KV12,0)</f>
        <v>0</v>
      </c>
      <c r="KW11">
        <f t="shared" si="310"/>
        <v>0</v>
      </c>
      <c r="KX11">
        <f t="shared" si="310"/>
        <v>0</v>
      </c>
      <c r="KY11">
        <f t="shared" si="310"/>
        <v>0</v>
      </c>
      <c r="KZ11">
        <f t="shared" si="310"/>
        <v>0</v>
      </c>
      <c r="LA11">
        <f t="shared" si="310"/>
        <v>0</v>
      </c>
      <c r="LB11">
        <f t="shared" si="310"/>
        <v>0</v>
      </c>
      <c r="LC11">
        <f t="shared" si="310"/>
        <v>0</v>
      </c>
      <c r="LD11">
        <f t="shared" si="310"/>
        <v>0</v>
      </c>
      <c r="LH11" s="9"/>
      <c r="LK11" s="3" t="s">
        <v>862</v>
      </c>
      <c r="LL11">
        <f t="shared" ref="LL11:LT11" si="311">+MAX((LL4-LL6)*$LL12,0)</f>
        <v>0</v>
      </c>
      <c r="LM11">
        <f t="shared" si="311"/>
        <v>0</v>
      </c>
      <c r="LN11">
        <f t="shared" si="311"/>
        <v>0</v>
      </c>
      <c r="LO11">
        <f t="shared" si="311"/>
        <v>0</v>
      </c>
      <c r="LP11">
        <f t="shared" si="311"/>
        <v>0</v>
      </c>
      <c r="LQ11">
        <f t="shared" si="311"/>
        <v>0</v>
      </c>
      <c r="LR11">
        <f t="shared" si="311"/>
        <v>0</v>
      </c>
      <c r="LS11">
        <f t="shared" si="311"/>
        <v>0</v>
      </c>
      <c r="LT11">
        <f t="shared" si="311"/>
        <v>0</v>
      </c>
      <c r="LX11" s="9"/>
      <c r="MA11" s="3" t="s">
        <v>863</v>
      </c>
      <c r="MB11">
        <f t="shared" ref="MB11:MJ11" si="312">+MAX((MB4-MB6)*$MB12,0)</f>
        <v>0</v>
      </c>
      <c r="MC11">
        <f t="shared" si="312"/>
        <v>0</v>
      </c>
      <c r="MD11">
        <f t="shared" si="312"/>
        <v>0</v>
      </c>
      <c r="ME11">
        <f t="shared" si="312"/>
        <v>0</v>
      </c>
      <c r="MF11">
        <f t="shared" si="312"/>
        <v>0</v>
      </c>
      <c r="MG11">
        <f t="shared" si="312"/>
        <v>0</v>
      </c>
      <c r="MH11">
        <f t="shared" si="312"/>
        <v>0</v>
      </c>
      <c r="MI11">
        <f t="shared" si="312"/>
        <v>0</v>
      </c>
      <c r="MJ11">
        <f t="shared" si="312"/>
        <v>0</v>
      </c>
      <c r="MN11" s="9"/>
      <c r="MQ11" s="3" t="s">
        <v>864</v>
      </c>
      <c r="MR11">
        <f t="shared" ref="MR11:MZ11" si="313">+MAX((MR4-MR6)*$MR12,0)</f>
        <v>0</v>
      </c>
      <c r="MS11">
        <f t="shared" si="313"/>
        <v>0</v>
      </c>
      <c r="MT11">
        <f t="shared" si="313"/>
        <v>0</v>
      </c>
      <c r="MU11">
        <f t="shared" si="313"/>
        <v>0</v>
      </c>
      <c r="MV11">
        <f t="shared" si="313"/>
        <v>0</v>
      </c>
      <c r="MW11">
        <f t="shared" si="313"/>
        <v>0</v>
      </c>
      <c r="MX11">
        <f t="shared" si="313"/>
        <v>0</v>
      </c>
      <c r="MY11">
        <f t="shared" si="313"/>
        <v>0</v>
      </c>
      <c r="MZ11">
        <f t="shared" si="313"/>
        <v>0</v>
      </c>
      <c r="ND11" s="9"/>
      <c r="NG11" s="3" t="s">
        <v>865</v>
      </c>
      <c r="NH11">
        <f t="shared" ref="NH11:NP11" si="314">+MAX((NH4-NH6)*$NH12,0)</f>
        <v>0</v>
      </c>
      <c r="NI11">
        <f t="shared" si="314"/>
        <v>0</v>
      </c>
      <c r="NJ11">
        <f t="shared" si="314"/>
        <v>0</v>
      </c>
      <c r="NK11">
        <f t="shared" si="314"/>
        <v>0</v>
      </c>
      <c r="NL11">
        <f t="shared" si="314"/>
        <v>0</v>
      </c>
      <c r="NM11">
        <f t="shared" si="314"/>
        <v>0</v>
      </c>
      <c r="NN11">
        <f t="shared" si="314"/>
        <v>0</v>
      </c>
      <c r="NO11">
        <f t="shared" si="314"/>
        <v>0</v>
      </c>
      <c r="NP11">
        <f t="shared" si="314"/>
        <v>0</v>
      </c>
      <c r="NT11" s="9"/>
      <c r="NW11" s="3" t="s">
        <v>866</v>
      </c>
      <c r="NX11">
        <f t="shared" ref="NX11:OF11" si="315">+MAX((NX4-NX6)*$NX12,0)</f>
        <v>0</v>
      </c>
      <c r="NY11">
        <f t="shared" si="315"/>
        <v>0</v>
      </c>
      <c r="NZ11">
        <f t="shared" si="315"/>
        <v>0</v>
      </c>
      <c r="OA11">
        <f t="shared" si="315"/>
        <v>0</v>
      </c>
      <c r="OB11">
        <f t="shared" si="315"/>
        <v>0</v>
      </c>
      <c r="OC11">
        <f t="shared" si="315"/>
        <v>0</v>
      </c>
      <c r="OD11">
        <f t="shared" si="315"/>
        <v>0</v>
      </c>
      <c r="OE11">
        <f t="shared" si="315"/>
        <v>0</v>
      </c>
      <c r="OF11">
        <f t="shared" si="315"/>
        <v>0</v>
      </c>
      <c r="OJ11" s="9"/>
      <c r="OY11" s="3"/>
      <c r="PM11" s="3"/>
      <c r="QA11" s="3"/>
      <c r="QO11" s="3"/>
      <c r="RC11" s="3"/>
      <c r="RQ11" s="3"/>
      <c r="SE11" s="3"/>
    </row>
    <row r="12" spans="1:508" x14ac:dyDescent="0.2">
      <c r="A12" s="3" t="s">
        <v>867</v>
      </c>
      <c r="O12" s="3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G12" s="3"/>
      <c r="AH12" s="21"/>
      <c r="AI12" s="6"/>
      <c r="AJ12" s="6"/>
      <c r="AK12" s="6"/>
      <c r="AL12" s="6"/>
      <c r="AM12" s="6"/>
      <c r="AN12" s="6"/>
      <c r="AO12" s="6"/>
      <c r="AP12" s="6"/>
      <c r="AQ12" s="4"/>
      <c r="AR12" s="4"/>
      <c r="AY12" s="3" t="s">
        <v>868</v>
      </c>
      <c r="AZ12" s="31">
        <v>20000000</v>
      </c>
      <c r="BA12" s="6"/>
      <c r="BB12" s="6"/>
      <c r="BC12" s="6"/>
      <c r="BD12" s="6"/>
      <c r="BE12" s="6"/>
      <c r="BF12" s="6"/>
      <c r="BG12" s="6"/>
      <c r="BH12" s="6"/>
      <c r="BI12" s="4"/>
      <c r="BJ12" s="4"/>
      <c r="BL12" s="36"/>
      <c r="BO12" s="3" t="s">
        <v>869</v>
      </c>
      <c r="BP12" s="31">
        <v>20000000</v>
      </c>
      <c r="BQ12" s="4"/>
      <c r="BR12" s="4"/>
      <c r="BS12" s="4"/>
      <c r="BT12" s="4"/>
      <c r="BU12" s="4"/>
      <c r="BV12" s="4"/>
      <c r="BW12" s="4"/>
      <c r="BX12" s="4"/>
      <c r="BY12" s="4"/>
      <c r="BZ12" s="4"/>
      <c r="CB12" s="36"/>
      <c r="CE12" s="3" t="s">
        <v>870</v>
      </c>
      <c r="CF12" s="31">
        <v>20000000</v>
      </c>
      <c r="CG12" s="4"/>
      <c r="CH12" s="4"/>
      <c r="CI12" s="4"/>
      <c r="CJ12" s="4"/>
      <c r="CK12" s="4"/>
      <c r="CL12" s="4"/>
      <c r="CM12" s="4"/>
      <c r="CN12" s="4"/>
      <c r="CO12" s="4"/>
      <c r="CP12" s="4"/>
      <c r="CR12" s="36"/>
      <c r="CU12" s="3" t="s">
        <v>871</v>
      </c>
      <c r="CV12" s="31">
        <v>20000000</v>
      </c>
      <c r="CW12" s="4"/>
      <c r="CX12" s="4"/>
      <c r="CY12" s="4"/>
      <c r="CZ12" s="4"/>
      <c r="DA12" s="4"/>
      <c r="DB12" s="4"/>
      <c r="DC12" s="4"/>
      <c r="DD12" s="4"/>
      <c r="DE12" s="4"/>
      <c r="DF12" s="4"/>
      <c r="DH12" s="36"/>
      <c r="DK12" s="3" t="s">
        <v>872</v>
      </c>
      <c r="DL12" s="21">
        <v>20000000</v>
      </c>
      <c r="DM12" s="4"/>
      <c r="DN12" s="4"/>
      <c r="DO12" s="4"/>
      <c r="DP12" s="4"/>
      <c r="DQ12" s="4"/>
      <c r="DR12" s="4"/>
      <c r="DS12" s="4"/>
      <c r="DT12" s="4"/>
      <c r="DU12" s="4"/>
      <c r="DV12" s="4"/>
      <c r="DX12" s="36"/>
      <c r="EA12" s="3" t="s">
        <v>873</v>
      </c>
      <c r="EB12" s="21">
        <v>20000000</v>
      </c>
      <c r="EC12" s="4"/>
      <c r="ED12" s="4"/>
      <c r="EE12" s="4"/>
      <c r="EF12" s="4"/>
      <c r="EG12" s="4"/>
      <c r="EH12" s="4"/>
      <c r="EI12" s="4"/>
      <c r="EJ12" s="4"/>
      <c r="EK12" s="4"/>
      <c r="EL12" s="4"/>
      <c r="EN12" s="36"/>
      <c r="EQ12" s="3" t="s">
        <v>874</v>
      </c>
      <c r="ER12" s="21">
        <v>40000000</v>
      </c>
      <c r="ES12" s="4"/>
      <c r="ET12" s="4"/>
      <c r="EU12" s="4"/>
      <c r="EV12" s="4"/>
      <c r="EW12" s="4"/>
      <c r="EX12" s="4"/>
      <c r="EY12" s="4"/>
      <c r="EZ12" s="6"/>
      <c r="FA12" s="4"/>
      <c r="FB12" s="6"/>
      <c r="FD12" s="37"/>
      <c r="FG12" s="3" t="s">
        <v>875</v>
      </c>
      <c r="FH12" s="31">
        <v>20000000</v>
      </c>
      <c r="FI12" s="4"/>
      <c r="FJ12" s="4"/>
      <c r="FK12" s="4"/>
      <c r="FL12" s="4"/>
      <c r="FM12" s="4"/>
      <c r="FN12" s="4"/>
      <c r="FO12" s="4"/>
      <c r="FP12" s="6"/>
      <c r="FQ12" s="4"/>
      <c r="FR12" s="6"/>
      <c r="FT12" s="37"/>
      <c r="FW12" s="3" t="s">
        <v>876</v>
      </c>
      <c r="FX12" s="31">
        <v>40000000</v>
      </c>
      <c r="FY12" s="4"/>
      <c r="FZ12" s="4"/>
      <c r="GA12" s="4"/>
      <c r="GB12" s="4"/>
      <c r="GC12" s="4"/>
      <c r="GD12" s="4"/>
      <c r="GE12" s="4"/>
      <c r="GF12" s="6"/>
      <c r="GG12" s="4"/>
      <c r="GH12" s="4"/>
      <c r="GI12" s="4"/>
      <c r="GJ12" s="36"/>
      <c r="GK12" s="4"/>
      <c r="GM12" s="3" t="s">
        <v>877</v>
      </c>
      <c r="GN12" s="31">
        <v>20000000</v>
      </c>
      <c r="GO12" s="4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37"/>
      <c r="HA12" s="6"/>
      <c r="HB12" s="6"/>
      <c r="HC12" s="3" t="s">
        <v>878</v>
      </c>
      <c r="HD12" s="31">
        <v>40000000</v>
      </c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37"/>
      <c r="HQ12" s="6"/>
      <c r="HR12" s="6"/>
      <c r="HS12" s="3" t="s">
        <v>879</v>
      </c>
      <c r="HT12" s="31">
        <v>10000000</v>
      </c>
      <c r="HU12" s="6"/>
      <c r="HV12" s="6"/>
      <c r="HW12" s="4"/>
      <c r="HX12" s="4"/>
      <c r="HY12" s="4"/>
      <c r="HZ12" s="4"/>
      <c r="IA12" s="4"/>
      <c r="IB12" s="4"/>
      <c r="IC12" s="4"/>
      <c r="ID12" s="4"/>
      <c r="IE12" s="4"/>
      <c r="IF12" s="36"/>
      <c r="IG12" s="4"/>
      <c r="II12" s="3" t="s">
        <v>880</v>
      </c>
      <c r="IJ12" s="31">
        <v>40000000</v>
      </c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36"/>
      <c r="IW12" s="4"/>
      <c r="IY12" s="3" t="s">
        <v>881</v>
      </c>
      <c r="IZ12" s="8">
        <v>20000000</v>
      </c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36"/>
      <c r="JM12" s="4"/>
      <c r="JO12" s="3" t="s">
        <v>882</v>
      </c>
      <c r="JP12" s="8">
        <v>20000000</v>
      </c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36"/>
      <c r="KC12" s="4"/>
      <c r="KE12" s="3" t="s">
        <v>883</v>
      </c>
      <c r="KF12" s="8">
        <v>20000000</v>
      </c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36"/>
      <c r="KS12" s="4"/>
      <c r="KU12" s="3" t="s">
        <v>884</v>
      </c>
      <c r="KV12" s="8">
        <v>20000000</v>
      </c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36"/>
      <c r="LI12" s="4"/>
      <c r="LK12" s="3" t="s">
        <v>885</v>
      </c>
      <c r="LL12" s="8">
        <v>20000000</v>
      </c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36"/>
      <c r="LY12" s="4"/>
      <c r="MA12" s="3" t="s">
        <v>886</v>
      </c>
      <c r="MB12" s="8">
        <v>20000000</v>
      </c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36"/>
      <c r="MO12" s="4"/>
      <c r="MQ12" s="3" t="s">
        <v>887</v>
      </c>
      <c r="MR12" s="8">
        <v>20000000</v>
      </c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36"/>
      <c r="NE12" s="4"/>
      <c r="NG12" s="3" t="s">
        <v>888</v>
      </c>
      <c r="NH12" s="8">
        <v>20000000</v>
      </c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36"/>
      <c r="NU12" s="4"/>
      <c r="NW12" s="3" t="s">
        <v>889</v>
      </c>
      <c r="NX12" s="8">
        <v>20000000</v>
      </c>
      <c r="NY12" s="4"/>
      <c r="NZ12" s="4"/>
      <c r="OA12" s="4"/>
      <c r="OB12" s="4"/>
      <c r="OC12" s="4"/>
      <c r="OD12" s="4"/>
      <c r="OE12" s="4"/>
      <c r="OF12" s="4"/>
      <c r="OG12" s="4"/>
      <c r="OH12" s="4"/>
      <c r="OJ12" s="36"/>
      <c r="OL12" s="8"/>
      <c r="OM12" s="4"/>
      <c r="ON12" s="4"/>
      <c r="OO12" s="4"/>
      <c r="OP12" s="4"/>
      <c r="OQ12" s="4"/>
      <c r="OR12" s="4"/>
      <c r="OS12" s="4"/>
      <c r="OT12" s="4"/>
      <c r="OU12" s="4"/>
      <c r="OV12" s="4"/>
      <c r="OY12" s="3"/>
      <c r="OZ12" s="8"/>
      <c r="PA12" s="4"/>
      <c r="PB12" s="4"/>
      <c r="PC12" s="4"/>
      <c r="PD12" s="4"/>
      <c r="PE12" s="4"/>
      <c r="PF12" s="4"/>
      <c r="PG12" s="4"/>
      <c r="PH12" s="4"/>
      <c r="PI12" s="4"/>
      <c r="PJ12" s="4"/>
      <c r="PM12" s="3"/>
      <c r="PN12" s="8"/>
      <c r="PO12" s="4"/>
      <c r="PP12" s="4"/>
      <c r="PQ12" s="4"/>
      <c r="PR12" s="4"/>
      <c r="PS12" s="4"/>
      <c r="PT12" s="4"/>
      <c r="PU12" s="4"/>
      <c r="PV12" s="4"/>
      <c r="PW12" s="4"/>
      <c r="PX12" s="4"/>
      <c r="QA12" s="3"/>
      <c r="QB12" s="8"/>
      <c r="QC12" s="4"/>
      <c r="QD12" s="4"/>
      <c r="QE12" s="4"/>
      <c r="QF12" s="4"/>
      <c r="QG12" s="4"/>
      <c r="QH12" s="4"/>
      <c r="QI12" s="4"/>
      <c r="QJ12" s="4"/>
      <c r="QK12" s="4"/>
      <c r="QL12" s="4"/>
      <c r="QO12" s="3"/>
      <c r="QP12" s="8"/>
      <c r="QQ12" s="4"/>
      <c r="QR12" s="4"/>
      <c r="QS12" s="4"/>
      <c r="QT12" s="4"/>
      <c r="QU12" s="4"/>
      <c r="QV12" s="4"/>
      <c r="QW12" s="4"/>
      <c r="QX12" s="4"/>
      <c r="QY12" s="4"/>
      <c r="QZ12" s="4"/>
      <c r="RC12" s="3"/>
      <c r="RD12" s="8"/>
      <c r="RE12" s="4"/>
      <c r="RF12" s="4"/>
      <c r="RG12" s="4"/>
      <c r="RH12" s="4"/>
      <c r="RI12" s="4"/>
      <c r="RJ12" s="4"/>
      <c r="RK12" s="4"/>
      <c r="RL12" s="4"/>
      <c r="RQ12" s="3"/>
      <c r="RR12" s="8"/>
      <c r="RS12" s="4"/>
      <c r="RT12" s="4"/>
      <c r="RU12" s="4"/>
      <c r="RV12" s="4"/>
      <c r="RW12" s="4"/>
      <c r="RX12" s="4"/>
      <c r="RY12" s="4"/>
      <c r="RZ12" s="4"/>
      <c r="SE12" s="3"/>
      <c r="SF12" s="8"/>
      <c r="SG12" s="4"/>
      <c r="SH12" s="4"/>
      <c r="SI12" s="4"/>
      <c r="SJ12" s="4"/>
      <c r="SK12" s="4"/>
      <c r="SL12" s="4"/>
      <c r="SM12" s="4"/>
      <c r="SN12" s="4"/>
    </row>
    <row r="13" spans="1:508" x14ac:dyDescent="0.2">
      <c r="A13" s="3" t="s">
        <v>1407</v>
      </c>
      <c r="O13" s="3"/>
      <c r="P13" s="6"/>
      <c r="Q13" s="6"/>
      <c r="R13" s="6"/>
      <c r="S13" s="6"/>
      <c r="T13" s="6"/>
      <c r="U13" s="6"/>
      <c r="V13" s="6"/>
      <c r="W13" s="6"/>
      <c r="X13" s="6"/>
      <c r="Y13" s="4"/>
      <c r="Z13" s="4"/>
      <c r="AG13" s="3"/>
      <c r="AH13" s="21"/>
      <c r="AI13" s="6"/>
      <c r="AJ13" s="6"/>
      <c r="AK13" s="6"/>
      <c r="AL13" s="6"/>
      <c r="AM13" s="6"/>
      <c r="AN13" s="6"/>
      <c r="AO13" s="6"/>
      <c r="AP13" s="6"/>
      <c r="AQ13" s="4"/>
      <c r="AR13" s="4"/>
      <c r="AY13" s="3" t="s">
        <v>1409</v>
      </c>
      <c r="AZ13" s="6">
        <f>IF(AND(AZ6=1,AZ4=1),AZ14,0)</f>
        <v>0</v>
      </c>
      <c r="BA13" s="6">
        <f>IF(AND(BA6=1,BA4=1),AZ14,0)</f>
        <v>0</v>
      </c>
      <c r="BB13" s="6">
        <f>IF(AND(BB6=1,BB4=1),AZ14,0)</f>
        <v>0</v>
      </c>
      <c r="BC13" s="6">
        <f>IF(AND(BC6=1,BC4=1),AZ14,0)</f>
        <v>0</v>
      </c>
      <c r="BD13" s="6">
        <f>IF(AND(BD6=1,BD4=1),AZ14,0)</f>
        <v>0</v>
      </c>
      <c r="BE13" s="6">
        <f>IF(AND(BE6=1,BE4=1),AZ14,0)</f>
        <v>0</v>
      </c>
      <c r="BF13" s="6">
        <f>IF(AND(BF6=1,BF4=1),AZ14,0)</f>
        <v>0</v>
      </c>
      <c r="BG13" s="6">
        <f>IF(AND(BG6=1,BG4=1),AZ14,0)</f>
        <v>0</v>
      </c>
      <c r="BH13" s="6">
        <f>IF(AND(BH6=1,BH4=1),AZ14,0)</f>
        <v>0</v>
      </c>
      <c r="BI13" s="4"/>
      <c r="BJ13" s="4"/>
      <c r="BL13" s="36"/>
      <c r="BO13" s="3" t="s">
        <v>1411</v>
      </c>
      <c r="BP13" s="6">
        <f>IF(AND(BP6=1,BP4=1),BP14,0)</f>
        <v>0</v>
      </c>
      <c r="BQ13" s="6">
        <f>IF(AND(BQ6=1,BQ4=1),BP14,0)</f>
        <v>0</v>
      </c>
      <c r="BR13" s="6">
        <f>IF(AND(BR6=1,BR4=1),BP14,0)</f>
        <v>0</v>
      </c>
      <c r="BS13" s="6">
        <f>IF(AND(BS6=1,BS4=1),BP14,0)</f>
        <v>0</v>
      </c>
      <c r="BT13" s="6">
        <f>IF(AND(BT6=1,BT4=1),BP14,0)</f>
        <v>0</v>
      </c>
      <c r="BU13" s="6">
        <f>IF(AND(BU6=1,BU4=1),BP14,0)</f>
        <v>0</v>
      </c>
      <c r="BV13" s="6">
        <f>IF(AND(BV6=1,BV4=1),BP14,0)</f>
        <v>0</v>
      </c>
      <c r="BW13" s="6">
        <f>IF(AND(BW6=1,BW4=1),BP14,0)</f>
        <v>0</v>
      </c>
      <c r="BX13" s="6">
        <f>IF(AND(BX6=1,BX4=1),BP14,0)</f>
        <v>0</v>
      </c>
      <c r="BY13" s="4"/>
      <c r="BZ13" s="4"/>
      <c r="CB13" s="36"/>
      <c r="CE13" s="3" t="s">
        <v>1413</v>
      </c>
      <c r="CF13" s="6">
        <f>IF(AND(CF6=1,CF4=1),CF14,0)</f>
        <v>0</v>
      </c>
      <c r="CG13" s="6">
        <f>IF(AND(CG6=1,CG4=1),CF14,0)</f>
        <v>0</v>
      </c>
      <c r="CH13" s="6">
        <f>IF(AND(CH6=1,CH4=1),CF14,0)</f>
        <v>0</v>
      </c>
      <c r="CI13" s="6">
        <f>IF(AND(CI6=1,CI4=1),CF14,0)</f>
        <v>0</v>
      </c>
      <c r="CJ13" s="6">
        <f>IF(AND(CJ6=1,CJ4=1),CF14,0)</f>
        <v>0</v>
      </c>
      <c r="CK13" s="6">
        <f>IF(AND(CK6=1,CK4=1),CF14,0)</f>
        <v>0</v>
      </c>
      <c r="CL13" s="6">
        <f>IF(AND(CL6=1,CL4=1),CF14,0)</f>
        <v>0</v>
      </c>
      <c r="CM13" s="6">
        <f>IF(AND(CM6=1,CM4=1),CF14,0)</f>
        <v>0</v>
      </c>
      <c r="CN13" s="6">
        <f>IF(AND(CN6=1,CN4=1),CF14,0)</f>
        <v>0</v>
      </c>
      <c r="CO13" s="4"/>
      <c r="CP13" s="4"/>
      <c r="CR13" s="36"/>
      <c r="CU13" s="3" t="s">
        <v>1415</v>
      </c>
      <c r="CV13" s="6">
        <f>IF(AND(CV6=1,CV4=1),CV14,0)</f>
        <v>0</v>
      </c>
      <c r="CW13" s="6">
        <f>IF(AND(CW6=1,CW4=1),CV14,0)</f>
        <v>0</v>
      </c>
      <c r="CX13" s="6">
        <f>IF(AND(CX6=1,CX4=1),CV14,0)</f>
        <v>0</v>
      </c>
      <c r="CY13" s="6">
        <f>IF(AND(CY6=1,CY4=1),CV14,0)</f>
        <v>0</v>
      </c>
      <c r="CZ13" s="6">
        <f>IF(AND(CZ6=1,CZ4=1),CV14,0)</f>
        <v>0</v>
      </c>
      <c r="DA13" s="6">
        <f>IF(AND(DA6=1,DA4=1),CV14,0)</f>
        <v>0</v>
      </c>
      <c r="DB13" s="6">
        <f>IF(AND(DB6=1,DB4=1),CV14,0)</f>
        <v>0</v>
      </c>
      <c r="DC13" s="6">
        <f>IF(AND(DC6=1,DC4=1),CV14,0)</f>
        <v>0</v>
      </c>
      <c r="DD13" s="6">
        <f>IF(AND(DD6=1,DD4=1),CV14,0)</f>
        <v>0</v>
      </c>
      <c r="DE13" s="4"/>
      <c r="DF13" s="4"/>
      <c r="DH13" s="36"/>
      <c r="DK13" s="3" t="s">
        <v>1417</v>
      </c>
      <c r="DL13" s="6">
        <f>IF(AND(DL6=1,DL4=1),DL14,0)</f>
        <v>0</v>
      </c>
      <c r="DM13" s="6">
        <f>IF(AND(DM6=1,DM4=1),DL14,0)</f>
        <v>0</v>
      </c>
      <c r="DN13" s="6">
        <f>IF(AND(DN6=1,DN4=1),DL14,0)</f>
        <v>0</v>
      </c>
      <c r="DO13" s="6">
        <f>IF(AND(DO6=1,DO4=1),DL14,0)</f>
        <v>0</v>
      </c>
      <c r="DP13" s="6">
        <f>IF(AND(DP6=1,DP4=1),DL14,0)</f>
        <v>0</v>
      </c>
      <c r="DQ13" s="6">
        <f>IF(AND(DQ6=1,DQ4=1),DL14,0)</f>
        <v>0</v>
      </c>
      <c r="DR13" s="6">
        <f>IF(AND(DR6=1,DR4=1),DL14,0)</f>
        <v>0</v>
      </c>
      <c r="DS13" s="6">
        <f>IF(AND(DS6=1,DS4=1),DL14,0)</f>
        <v>0</v>
      </c>
      <c r="DT13" s="6">
        <f>IF(AND(DT6=1,DT4=1),DL14,0)</f>
        <v>0</v>
      </c>
      <c r="DU13" s="4"/>
      <c r="DV13" s="4"/>
      <c r="DX13" s="36"/>
      <c r="EA13" s="3" t="s">
        <v>1419</v>
      </c>
      <c r="EB13" s="6">
        <f>IF(AND(EB6=1,EB4=1),EB14,0)</f>
        <v>0</v>
      </c>
      <c r="EC13" s="6">
        <f>IF(AND(EC6=1,EC4=1),EB14,0)</f>
        <v>0</v>
      </c>
      <c r="ED13" s="6">
        <f>IF(AND(ED6=1,ED4=1),EB14,0)</f>
        <v>0</v>
      </c>
      <c r="EE13" s="6">
        <f>IF(AND(EE6=1,EE4=1),EB14,0)</f>
        <v>0</v>
      </c>
      <c r="EF13" s="6">
        <f>IF(AND(EF6=1,EF4=1),EB14,0)</f>
        <v>0</v>
      </c>
      <c r="EG13" s="6">
        <f>IF(AND(EG6=1,EG4=1),EB14,0)</f>
        <v>0</v>
      </c>
      <c r="EH13" s="6">
        <f>IF(AND(EH6=1,EH4=1),EB14,0)</f>
        <v>0</v>
      </c>
      <c r="EI13" s="6">
        <f>IF(AND(EI6=1,EI4=1),EB14,0)</f>
        <v>0</v>
      </c>
      <c r="EJ13" s="6">
        <f>IF(AND(EJ6=1,EJ4=1),EB14,0)</f>
        <v>0</v>
      </c>
      <c r="EK13" s="4"/>
      <c r="EL13" s="4"/>
      <c r="EN13" s="36"/>
      <c r="EQ13" s="3" t="s">
        <v>1421</v>
      </c>
      <c r="ER13" s="6">
        <f>IF(AND(ER6=1,ER4=1),ER14,0)</f>
        <v>0</v>
      </c>
      <c r="ES13" s="6">
        <f>IF(AND(ES6=1,ES4=1),ER14,0)</f>
        <v>0</v>
      </c>
      <c r="ET13" s="6">
        <f>IF(AND(ET6=1,ET4=1),ER14,0)</f>
        <v>0</v>
      </c>
      <c r="EU13" s="6">
        <f>IF(AND(EU6=1,EU4=1),ER14,0)</f>
        <v>0</v>
      </c>
      <c r="EV13" s="6">
        <f>IF(AND(EV6=1,EV4=1),ER14,0)</f>
        <v>0</v>
      </c>
      <c r="EW13" s="6">
        <f>IF(AND(EW6=1,EW4=1),ER14,0)</f>
        <v>0</v>
      </c>
      <c r="EX13" s="6">
        <f>IF(AND(EX6=1,EX4=1),ER14,0)</f>
        <v>0</v>
      </c>
      <c r="EY13" s="6">
        <f>IF(AND(EY6=1,EY4=1),ER14,0)</f>
        <v>0</v>
      </c>
      <c r="EZ13" s="6">
        <f>IF(AND(EZ6=1,EZ4=1),ER14,0)</f>
        <v>0</v>
      </c>
      <c r="FA13" s="4"/>
      <c r="FB13" s="6"/>
      <c r="FD13" s="37"/>
      <c r="FG13" s="3" t="s">
        <v>1512</v>
      </c>
      <c r="FH13" s="6">
        <f>IF(AND(FH6=1,FH4=1),FH14,0)</f>
        <v>0</v>
      </c>
      <c r="FI13" s="6">
        <f>IF(AND(FI6=1,FI4=1),FH14,0)</f>
        <v>0</v>
      </c>
      <c r="FJ13" s="6">
        <f>IF(AND(FJ6=1,FJ4=1),FH14,0)</f>
        <v>0</v>
      </c>
      <c r="FK13" s="6">
        <f>IF(AND(FK6=1,FK4=1),FH14,0)</f>
        <v>0</v>
      </c>
      <c r="FL13" s="6">
        <f>IF(AND(FL6=1,FL4=1),FH14,0)</f>
        <v>0</v>
      </c>
      <c r="FM13" s="6">
        <f>IF(AND(FM6=1,FM4=1),FH14,0)</f>
        <v>0</v>
      </c>
      <c r="FN13" s="6">
        <f>IF(AND(FN6=1,FN4=1),FH14,0)</f>
        <v>0</v>
      </c>
      <c r="FO13" s="6">
        <f>IF(AND(FO6=1,FO4=1),FH14,0)</f>
        <v>0</v>
      </c>
      <c r="FP13" s="6">
        <f>IF(AND(FP6=1,FP4=1),FH14,0)</f>
        <v>0</v>
      </c>
      <c r="FQ13" s="4"/>
      <c r="FR13" s="6"/>
      <c r="FT13" s="37"/>
      <c r="FW13" s="3" t="s">
        <v>1514</v>
      </c>
      <c r="FX13" s="6">
        <f>IF(AND(FX6=1,FX4=1),FX14,0)</f>
        <v>0</v>
      </c>
      <c r="FY13" s="6">
        <f>IF(AND(FY6=1,FY4=1),FX14,0)</f>
        <v>0</v>
      </c>
      <c r="FZ13" s="6">
        <f>IF(AND(FZ6=1,FZ4=1),FX14,0)</f>
        <v>0</v>
      </c>
      <c r="GA13" s="6">
        <f>IF(AND(GA6=1,GA4=1),FX14,0)</f>
        <v>0</v>
      </c>
      <c r="GB13" s="6">
        <f>IF(AND(GB6=1,GB4=1),FX14,0)</f>
        <v>0</v>
      </c>
      <c r="GC13" s="6">
        <f>IF(AND(GC6=1,GC4=1),FX14,0)</f>
        <v>0</v>
      </c>
      <c r="GD13" s="6">
        <f>IF(AND(GD6=1,GD4=1),FX14,0)</f>
        <v>0</v>
      </c>
      <c r="GE13" s="6">
        <f>IF(AND(GE6=1,GE4=1),FX14,0)</f>
        <v>0</v>
      </c>
      <c r="GF13" s="6">
        <f>IF(AND(GF6=1,GF4=1),FX14,0)</f>
        <v>0</v>
      </c>
      <c r="GG13" s="4"/>
      <c r="GH13" s="4"/>
      <c r="GI13" s="4"/>
      <c r="GJ13" s="36"/>
      <c r="GK13" s="4"/>
      <c r="GM13" s="3" t="s">
        <v>1516</v>
      </c>
      <c r="GN13" s="6">
        <f>IF(AND(GN6=1,GN4=1),GN14,0)</f>
        <v>0</v>
      </c>
      <c r="GO13" s="6">
        <f>IF(AND(GO6=1,GO4=1),GN14,0)</f>
        <v>0</v>
      </c>
      <c r="GP13" s="6">
        <f>IF(AND(GP6=1,GP4=1),GN14,0)</f>
        <v>0</v>
      </c>
      <c r="GQ13" s="6">
        <f>IF(AND(GQ6=1,GQ4=1),GN14,0)</f>
        <v>0</v>
      </c>
      <c r="GR13" s="6">
        <f>IF(AND(GR6=1,GR4=1),GN14,0)</f>
        <v>0</v>
      </c>
      <c r="GS13" s="6">
        <f>IF(AND(GS6=1,GS4=1),GN14,0)</f>
        <v>0</v>
      </c>
      <c r="GT13" s="6">
        <f>IF(AND(GT6=1,GT4=1),GN14,0)</f>
        <v>0</v>
      </c>
      <c r="GU13" s="6">
        <f>IF(AND(GU6=1,GU4=1),GN14,0)</f>
        <v>0</v>
      </c>
      <c r="GV13" s="6">
        <f>IF(AND(GV6=1,GV4=1),GN14,0)</f>
        <v>0</v>
      </c>
      <c r="GW13" s="6"/>
      <c r="GX13" s="6"/>
      <c r="GY13" s="6"/>
      <c r="GZ13" s="37"/>
      <c r="HA13" s="6"/>
      <c r="HB13" s="6"/>
      <c r="HC13" s="3" t="s">
        <v>1518</v>
      </c>
      <c r="HD13" s="6">
        <f>IF(AND(HD6=1,HD4=1),HD14,0)</f>
        <v>0</v>
      </c>
      <c r="HE13" s="6">
        <f>IF(AND(HE6=1,HE4=1),HD14,0)</f>
        <v>0</v>
      </c>
      <c r="HF13" s="6">
        <f>IF(AND(HF6=1,HF4=1),HD14,0)</f>
        <v>0</v>
      </c>
      <c r="HG13" s="6">
        <f>IF(AND(HG6=1,HG4=1),HD14,0)</f>
        <v>0</v>
      </c>
      <c r="HH13" s="6">
        <f>IF(AND(HH6=1,HH4=1),HD14,0)</f>
        <v>0</v>
      </c>
      <c r="HI13" s="6">
        <f>IF(AND(HI6=1,HI4=1),HD14,0)</f>
        <v>0</v>
      </c>
      <c r="HJ13" s="6">
        <f>IF(AND(HJ6=1,HJ4=1),HD14,0)</f>
        <v>0</v>
      </c>
      <c r="HK13" s="6">
        <f>IF(AND(HK6=1,HK4=1),HD14,0)</f>
        <v>0</v>
      </c>
      <c r="HL13" s="6">
        <f>IF(AND(HL6=1,HL4=1),HD14,0)</f>
        <v>0</v>
      </c>
      <c r="HM13" s="6"/>
      <c r="HN13" s="6"/>
      <c r="HO13" s="6"/>
      <c r="HP13" s="37"/>
      <c r="HQ13" s="6"/>
      <c r="HR13" s="6"/>
      <c r="HS13" s="3" t="s">
        <v>1520</v>
      </c>
      <c r="HT13" s="6">
        <f>IF(AND(HT6=1,HT4=1),HT14,0)</f>
        <v>0</v>
      </c>
      <c r="HU13" s="6">
        <f>IF(AND(HU6=1,HU4=1),HT14,0)</f>
        <v>0</v>
      </c>
      <c r="HV13" s="6">
        <f>IF(AND(HV6=1,HV4=1),HT14,0)</f>
        <v>0</v>
      </c>
      <c r="HW13" s="6">
        <f>IF(AND(HW6=1,HW4=1),HT14,0)</f>
        <v>0</v>
      </c>
      <c r="HX13" s="6">
        <f>IF(AND(HX6=1,HX4=1),HT14,0)</f>
        <v>0</v>
      </c>
      <c r="HY13" s="6">
        <f>IF(AND(HY6=1,HY4=1),HT14,0)</f>
        <v>0</v>
      </c>
      <c r="HZ13" s="6">
        <f>IF(AND(HZ6=1,HZ4=1),HT14,0)</f>
        <v>0</v>
      </c>
      <c r="IA13" s="6">
        <f>IF(AND(IA6=1,IA4=1),HT14,0)</f>
        <v>0</v>
      </c>
      <c r="IB13" s="6">
        <f>IF(AND(IB6=1,IB4=1),HT14,0)</f>
        <v>0</v>
      </c>
      <c r="IC13" s="4"/>
      <c r="ID13" s="4"/>
      <c r="IE13" s="4"/>
      <c r="IF13" s="36"/>
      <c r="IG13" s="4"/>
      <c r="II13" s="3" t="s">
        <v>1522</v>
      </c>
      <c r="IJ13" s="6">
        <f>IF(AND(IJ6=1,IJ4=1),IJ14,0)</f>
        <v>0</v>
      </c>
      <c r="IK13" s="6">
        <f>IF(AND(IK6=1,IK4=1),IJ14,0)</f>
        <v>0</v>
      </c>
      <c r="IL13" s="6">
        <f>IF(AND(IL6=1,IL4=1),IJ14,0)</f>
        <v>0</v>
      </c>
      <c r="IM13" s="6">
        <f>IF(AND(IM6=1,IM4=1),IJ14,0)</f>
        <v>0</v>
      </c>
      <c r="IN13" s="6">
        <f>IF(AND(IN6=1,IN4=1),IJ14,0)</f>
        <v>0</v>
      </c>
      <c r="IO13" s="6">
        <f>IF(AND(IO6=1,IO4=1),IJ14,0)</f>
        <v>0</v>
      </c>
      <c r="IP13" s="6">
        <f>IF(AND(IP6=1,IP4=1),IJ14,0)</f>
        <v>0</v>
      </c>
      <c r="IQ13" s="6">
        <f>IF(AND(IQ6=1,IQ4=1),IJ14,0)</f>
        <v>0</v>
      </c>
      <c r="IR13" s="6">
        <f>IF(AND(IR6=1,IR4=1),IJ14,0)</f>
        <v>0</v>
      </c>
      <c r="IS13" s="4"/>
      <c r="IT13" s="4"/>
      <c r="IU13" s="4"/>
      <c r="IV13" s="36"/>
      <c r="IW13" s="4"/>
      <c r="IY13" s="3" t="s">
        <v>1524</v>
      </c>
      <c r="IZ13" s="6">
        <f>IF(AND(IZ6=1,IZ4=1),IZ14,0)</f>
        <v>0</v>
      </c>
      <c r="JA13" s="6">
        <f>IF(AND(JA6=1,JA4=1),IZ14,0)</f>
        <v>0</v>
      </c>
      <c r="JB13" s="6">
        <f>IF(AND(JB6=1,JB4=1),IZ14,0)</f>
        <v>0</v>
      </c>
      <c r="JC13" s="6">
        <f>IF(AND(JC6=1,JC4=1),IZ14,0)</f>
        <v>0</v>
      </c>
      <c r="JD13" s="6">
        <f>IF(AND(JD6=1,JD4=1),IZ14,0)</f>
        <v>0</v>
      </c>
      <c r="JE13" s="6">
        <f>IF(AND(JE6=1,JE4=1),IZ14,0)</f>
        <v>0</v>
      </c>
      <c r="JF13" s="6">
        <f>IF(AND(JF6=1,JF4=1),IZ14,0)</f>
        <v>0</v>
      </c>
      <c r="JG13" s="6">
        <f>IF(AND(JG6=1,JG4=1),IZ14,0)</f>
        <v>0</v>
      </c>
      <c r="JH13" s="6">
        <f>IF(AND(JH6=1,JH4=1),IZ14,0)</f>
        <v>0</v>
      </c>
      <c r="JI13" s="4"/>
      <c r="JJ13" s="4"/>
      <c r="JK13" s="4"/>
      <c r="JL13" s="36"/>
      <c r="JM13" s="4"/>
      <c r="JO13" s="3" t="s">
        <v>1526</v>
      </c>
      <c r="JP13" s="6">
        <f>IF(AND(JP6=1,JP4=1),JP14,0)</f>
        <v>0</v>
      </c>
      <c r="JQ13" s="6">
        <f>IF(AND(JQ6=1,JQ4=1),JP14,0)</f>
        <v>0</v>
      </c>
      <c r="JR13" s="6">
        <f>IF(AND(JR6=1,JR4=1),JP14,0)</f>
        <v>0</v>
      </c>
      <c r="JS13" s="6">
        <f>IF(AND(JS6=1,JS4=1),JP14,0)</f>
        <v>0</v>
      </c>
      <c r="JT13" s="6">
        <f>IF(AND(JT6=1,JT4=1),JP14,0)</f>
        <v>0</v>
      </c>
      <c r="JU13" s="6">
        <f>IF(AND(JU6=1,JU4=1),JP14,0)</f>
        <v>0</v>
      </c>
      <c r="JV13" s="6">
        <f>IF(AND(JV6=1,JV4=1),JP14,0)</f>
        <v>0</v>
      </c>
      <c r="JW13" s="6">
        <f>IF(AND(JW6=1,JW4=1),JP14,0)</f>
        <v>0</v>
      </c>
      <c r="JX13" s="6">
        <f>IF(AND(JX6=1,JX4=1),JP14,0)</f>
        <v>0</v>
      </c>
      <c r="JY13" s="4"/>
      <c r="JZ13" s="4"/>
      <c r="KA13" s="4"/>
      <c r="KB13" s="36"/>
      <c r="KC13" s="4"/>
      <c r="KE13" s="3" t="s">
        <v>1528</v>
      </c>
      <c r="KF13" s="6">
        <f>IF(AND(KF6=1,KF4=1),KF14,0)</f>
        <v>0</v>
      </c>
      <c r="KG13" s="6">
        <f>IF(AND(KG6=1,KG4=1),KF14,0)</f>
        <v>0</v>
      </c>
      <c r="KH13" s="6">
        <f>IF(AND(KH6=1,KH4=1),KF14,0)</f>
        <v>0</v>
      </c>
      <c r="KI13" s="6">
        <f>IF(AND(KI6=1,KI4=1),KF14,0)</f>
        <v>0</v>
      </c>
      <c r="KJ13" s="6">
        <f>IF(AND(KJ6=1,KJ4=1),KF14,0)</f>
        <v>0</v>
      </c>
      <c r="KK13" s="6">
        <f>IF(AND(KK6=1,KK4=1),KF14,0)</f>
        <v>0</v>
      </c>
      <c r="KL13" s="6">
        <f>IF(AND(KL6=1,KL4=1),KF14,0)</f>
        <v>0</v>
      </c>
      <c r="KM13" s="6">
        <f>IF(AND(KM6=1,KM4=1),KF14,0)</f>
        <v>0</v>
      </c>
      <c r="KN13" s="6">
        <f>IF(AND(KN6=1,KN4=1),KF14,0)</f>
        <v>0</v>
      </c>
      <c r="KO13" s="4"/>
      <c r="KP13" s="4"/>
      <c r="KQ13" s="4"/>
      <c r="KR13" s="36"/>
      <c r="KS13" s="4"/>
      <c r="KU13" s="3" t="s">
        <v>1530</v>
      </c>
      <c r="KV13" s="6">
        <f>IF(AND(KV6=1,KV4=1),KV14,0)</f>
        <v>0</v>
      </c>
      <c r="KW13" s="6">
        <f>IF(AND(KW6=1,KW4=1),KV14,0)</f>
        <v>0</v>
      </c>
      <c r="KX13" s="6">
        <f>IF(AND(KX6=1,KX4=1),KV14,0)</f>
        <v>0</v>
      </c>
      <c r="KY13" s="6">
        <f>IF(AND(KY6=1,KY4=1),KV14,0)</f>
        <v>0</v>
      </c>
      <c r="KZ13" s="6">
        <f>IF(AND(KZ6=1,KZ4=1),KV14,0)</f>
        <v>0</v>
      </c>
      <c r="LA13" s="6">
        <f>IF(AND(LA6=1,LA4=1),KV14,0)</f>
        <v>0</v>
      </c>
      <c r="LB13" s="6">
        <f>IF(AND(LB6=1,LB4=1),KV14,0)</f>
        <v>0</v>
      </c>
      <c r="LC13" s="6">
        <f>IF(AND(LC6=1,LC4=1),KV14,0)</f>
        <v>0</v>
      </c>
      <c r="LD13" s="6">
        <f>IF(AND(LD6=1,LD4=1),KV14,0)</f>
        <v>0</v>
      </c>
      <c r="LE13" s="4"/>
      <c r="LF13" s="4"/>
      <c r="LG13" s="4"/>
      <c r="LH13" s="36"/>
      <c r="LI13" s="4"/>
      <c r="LK13" s="3" t="s">
        <v>1532</v>
      </c>
      <c r="LL13" s="6">
        <f>IF(AND(LL6=1,LL4=1),LL14,0)</f>
        <v>0</v>
      </c>
      <c r="LM13" s="6">
        <f>IF(AND(LM6=1,LM4=1),LL14,0)</f>
        <v>0</v>
      </c>
      <c r="LN13" s="6">
        <f>IF(AND(LN6=1,LN4=1),LL14,0)</f>
        <v>0</v>
      </c>
      <c r="LO13" s="6">
        <f>IF(AND(LO6=1,LO4=1),LL14,0)</f>
        <v>0</v>
      </c>
      <c r="LP13" s="6">
        <f>IF(AND(LP6=1,LP4=1),LL14,0)</f>
        <v>0</v>
      </c>
      <c r="LQ13" s="6">
        <f>IF(AND(LQ6=1,LQ4=1),LL14,0)</f>
        <v>0</v>
      </c>
      <c r="LR13" s="6">
        <f>IF(AND(LR6=1,LR4=1),LL14,0)</f>
        <v>0</v>
      </c>
      <c r="LS13" s="6">
        <f>IF(AND(LS6=1,LS4=1),LL14,0)</f>
        <v>0</v>
      </c>
      <c r="LT13" s="6">
        <f>IF(AND(LT6=1,LT4=1),LL14,0)</f>
        <v>0</v>
      </c>
      <c r="LU13" s="4"/>
      <c r="LV13" s="4"/>
      <c r="LW13" s="4"/>
      <c r="LX13" s="36"/>
      <c r="LY13" s="4"/>
      <c r="MA13" s="3" t="s">
        <v>1534</v>
      </c>
      <c r="MB13" s="6">
        <f>IF(AND(MB6=1,MB4=1),MB14,0)</f>
        <v>0</v>
      </c>
      <c r="MC13" s="6">
        <f>IF(AND(MC6=1,MC4=1),MB14,0)</f>
        <v>0</v>
      </c>
      <c r="MD13" s="6">
        <f>IF(AND(MD6=1,MD4=1),MB14,0)</f>
        <v>0</v>
      </c>
      <c r="ME13" s="6">
        <f>IF(AND(ME6=1,ME4=1),MB14,0)</f>
        <v>0</v>
      </c>
      <c r="MF13" s="6">
        <f>IF(AND(MF6=1,MF4=1),MB14,0)</f>
        <v>0</v>
      </c>
      <c r="MG13" s="6">
        <f>IF(AND(MG6=1,MG4=1),MB14,0)</f>
        <v>0</v>
      </c>
      <c r="MH13" s="6">
        <f>IF(AND(MH6=1,MH4=1),MB14,0)</f>
        <v>0</v>
      </c>
      <c r="MI13" s="6">
        <f>IF(AND(MI6=1,MI4=1),MB14,0)</f>
        <v>0</v>
      </c>
      <c r="MJ13" s="6">
        <f>IF(AND(MJ6=1,MJ4=1),MB14,0)</f>
        <v>0</v>
      </c>
      <c r="MK13" s="4"/>
      <c r="ML13" s="4"/>
      <c r="MM13" s="4"/>
      <c r="MN13" s="36"/>
      <c r="MO13" s="4"/>
      <c r="MQ13" s="3" t="s">
        <v>1536</v>
      </c>
      <c r="MR13" s="6">
        <f>IF(AND(MR6=1,MR4=1),MR14,0)</f>
        <v>0</v>
      </c>
      <c r="MS13" s="6">
        <f>IF(AND(MS6=1,MS4=1),MR14,0)</f>
        <v>0</v>
      </c>
      <c r="MT13" s="6">
        <f>IF(AND(MT6=1,MT4=1),MR14,0)</f>
        <v>0</v>
      </c>
      <c r="MU13" s="6">
        <f>IF(AND(MU6=1,MU4=1),MR14,0)</f>
        <v>0</v>
      </c>
      <c r="MV13" s="6">
        <f>IF(AND(MV6=1,MV4=1),MR14,0)</f>
        <v>0</v>
      </c>
      <c r="MW13" s="6">
        <f>IF(AND(MW6=1,MW4=1),MR14,0)</f>
        <v>0</v>
      </c>
      <c r="MX13" s="6">
        <f>IF(AND(MX6=1,MX4=1),MR14,0)</f>
        <v>0</v>
      </c>
      <c r="MY13" s="6">
        <f>IF(AND(MY6=1,MY4=1),MR14,0)</f>
        <v>0</v>
      </c>
      <c r="MZ13" s="6">
        <f>IF(AND(MZ6=1,MZ4=1),MR14,0)</f>
        <v>0</v>
      </c>
      <c r="NA13" s="4"/>
      <c r="NB13" s="4"/>
      <c r="NC13" s="4"/>
      <c r="ND13" s="36"/>
      <c r="NE13" s="4"/>
      <c r="NG13" s="3" t="s">
        <v>1538</v>
      </c>
      <c r="NH13" s="6">
        <f>IF(AND(NH6=1,NH4=1),NH14,0)</f>
        <v>0</v>
      </c>
      <c r="NI13" s="6">
        <f>IF(AND(NI6=1,NI4=1),NH14,0)</f>
        <v>0</v>
      </c>
      <c r="NJ13" s="6">
        <f>IF(AND(NJ6=1,NJ4=1),NH14,0)</f>
        <v>0</v>
      </c>
      <c r="NK13" s="6">
        <f>IF(AND(NK6=1,NK4=1),NH14,0)</f>
        <v>0</v>
      </c>
      <c r="NL13" s="6">
        <f>IF(AND(NL6=1,NL4=1),NH14,0)</f>
        <v>0</v>
      </c>
      <c r="NM13" s="6">
        <f>IF(AND(NM6=1,NM4=1),NH14,0)</f>
        <v>0</v>
      </c>
      <c r="NN13" s="6">
        <f>IF(AND(NN6=1,NN4=1),NH14,0)</f>
        <v>0</v>
      </c>
      <c r="NO13" s="6">
        <f>IF(AND(NO6=1,NO4=1),NH14,0)</f>
        <v>0</v>
      </c>
      <c r="NP13" s="6">
        <f>IF(AND(NP6=1,NP4=1),NH14,0)</f>
        <v>0</v>
      </c>
      <c r="NQ13" s="4"/>
      <c r="NR13" s="4"/>
      <c r="NS13" s="4"/>
      <c r="NT13" s="36"/>
      <c r="NU13" s="4"/>
      <c r="NW13" s="3" t="s">
        <v>1540</v>
      </c>
      <c r="NX13" s="6">
        <f>IF(AND(NX6=1,NX4=1),NX14,0)</f>
        <v>0</v>
      </c>
      <c r="NY13" s="6">
        <f>IF(AND(NY6=1,NY4=1),NX14,0)</f>
        <v>0</v>
      </c>
      <c r="NZ13" s="6">
        <f>IF(AND(NZ6=1,NZ4=1),NX14,0)</f>
        <v>0</v>
      </c>
      <c r="OA13" s="6">
        <f>IF(AND(OA6=1,OA4=1),NX14,0)</f>
        <v>0</v>
      </c>
      <c r="OB13" s="6">
        <f>IF(AND(OB6=1,OB4=1),NX14,0)</f>
        <v>0</v>
      </c>
      <c r="OC13" s="6">
        <f>IF(AND(OC6=1,OC4=1),NX14,0)</f>
        <v>0</v>
      </c>
      <c r="OD13" s="6">
        <f>IF(AND(OD6=1,OD4=1),NX14,0)</f>
        <v>0</v>
      </c>
      <c r="OE13" s="6">
        <f>IF(AND(OE6=1,OE4=1),NX14,0)</f>
        <v>0</v>
      </c>
      <c r="OF13" s="6">
        <f>IF(AND(OF6=1,OF4=1),NX14,0)</f>
        <v>0</v>
      </c>
      <c r="OG13" s="4"/>
      <c r="OH13" s="4"/>
      <c r="OJ13" s="36"/>
      <c r="OL13" s="8"/>
      <c r="OM13" s="4"/>
      <c r="ON13" s="4"/>
      <c r="OO13" s="4"/>
      <c r="OP13" s="4"/>
      <c r="OQ13" s="4"/>
      <c r="OR13" s="4"/>
      <c r="OS13" s="4"/>
      <c r="OT13" s="4"/>
      <c r="OU13" s="4"/>
      <c r="OV13" s="4"/>
      <c r="OY13" s="3"/>
      <c r="OZ13" s="8"/>
      <c r="PA13" s="4"/>
      <c r="PB13" s="4"/>
      <c r="PC13" s="4"/>
      <c r="PD13" s="4"/>
      <c r="PE13" s="4"/>
      <c r="PF13" s="4"/>
      <c r="PG13" s="4"/>
      <c r="PH13" s="4"/>
      <c r="PI13" s="4"/>
      <c r="PJ13" s="4"/>
      <c r="PM13" s="3"/>
      <c r="PN13" s="8"/>
      <c r="PO13" s="4"/>
      <c r="PP13" s="4"/>
      <c r="PQ13" s="4"/>
      <c r="PR13" s="4"/>
      <c r="PS13" s="4"/>
      <c r="PT13" s="4"/>
      <c r="PU13" s="4"/>
      <c r="PV13" s="4"/>
      <c r="PW13" s="4"/>
      <c r="PX13" s="4"/>
      <c r="QA13" s="3"/>
      <c r="QB13" s="8"/>
      <c r="QC13" s="4"/>
      <c r="QD13" s="4"/>
      <c r="QE13" s="4"/>
      <c r="QF13" s="4"/>
      <c r="QG13" s="4"/>
      <c r="QH13" s="4"/>
      <c r="QI13" s="4"/>
      <c r="QJ13" s="4"/>
      <c r="QK13" s="4"/>
      <c r="QL13" s="4"/>
      <c r="QO13" s="3"/>
      <c r="QP13" s="8"/>
      <c r="QQ13" s="4"/>
      <c r="QR13" s="4"/>
      <c r="QS13" s="4"/>
      <c r="QT13" s="4"/>
      <c r="QU13" s="4"/>
      <c r="QV13" s="4"/>
      <c r="QW13" s="4"/>
      <c r="QX13" s="4"/>
      <c r="QY13" s="4"/>
      <c r="QZ13" s="4"/>
      <c r="RC13" s="3"/>
      <c r="RD13" s="8"/>
      <c r="RE13" s="4"/>
      <c r="RF13" s="4"/>
      <c r="RG13" s="4"/>
      <c r="RH13" s="4"/>
      <c r="RI13" s="4"/>
      <c r="RJ13" s="4"/>
      <c r="RK13" s="4"/>
      <c r="RL13" s="4"/>
      <c r="RQ13" s="3"/>
      <c r="RR13" s="8"/>
      <c r="RS13" s="4"/>
      <c r="RT13" s="4"/>
      <c r="RU13" s="4"/>
      <c r="RV13" s="4"/>
      <c r="RW13" s="4"/>
      <c r="RX13" s="4"/>
      <c r="RY13" s="4"/>
      <c r="RZ13" s="4"/>
      <c r="SE13" s="3"/>
      <c r="SF13" s="8"/>
      <c r="SG13" s="4"/>
      <c r="SH13" s="4"/>
      <c r="SI13" s="4"/>
      <c r="SJ13" s="4"/>
      <c r="SK13" s="4"/>
      <c r="SL13" s="4"/>
      <c r="SM13" s="4"/>
      <c r="SN13" s="4"/>
    </row>
    <row r="14" spans="1:508" x14ac:dyDescent="0.2">
      <c r="A14" s="3" t="s">
        <v>1408</v>
      </c>
      <c r="O14" s="3"/>
      <c r="P14" s="25"/>
      <c r="Q14" s="4"/>
      <c r="R14" s="4"/>
      <c r="S14" s="4"/>
      <c r="T14" s="4"/>
      <c r="U14" s="4"/>
      <c r="V14" s="4"/>
      <c r="W14" s="4"/>
      <c r="X14" s="4"/>
      <c r="Y14" s="4"/>
      <c r="Z14" s="4"/>
      <c r="AG14" s="3"/>
      <c r="AH14" s="21"/>
      <c r="AI14" s="6"/>
      <c r="AJ14" s="6"/>
      <c r="AK14" s="6"/>
      <c r="AL14" s="6"/>
      <c r="AM14" s="6"/>
      <c r="AN14" s="6"/>
      <c r="AO14" s="6"/>
      <c r="AP14" s="6"/>
      <c r="AQ14" s="4"/>
      <c r="AR14" s="4"/>
      <c r="AY14" s="3" t="s">
        <v>1410</v>
      </c>
      <c r="AZ14" s="21">
        <f>AZ12/5</f>
        <v>4000000</v>
      </c>
      <c r="BA14" s="6"/>
      <c r="BB14" s="6"/>
      <c r="BC14" s="6"/>
      <c r="BD14" s="6"/>
      <c r="BE14" s="6"/>
      <c r="BF14" s="6"/>
      <c r="BG14" s="6"/>
      <c r="BH14" s="6"/>
      <c r="BI14" s="4"/>
      <c r="BJ14" s="4"/>
      <c r="BL14" s="36"/>
      <c r="BO14" s="3" t="s">
        <v>1412</v>
      </c>
      <c r="BP14" s="21">
        <f>BP12/5</f>
        <v>4000000</v>
      </c>
      <c r="BQ14" s="4"/>
      <c r="BR14" s="4"/>
      <c r="BS14" s="4"/>
      <c r="BT14" s="4"/>
      <c r="BU14" s="4"/>
      <c r="BV14" s="4"/>
      <c r="BW14" s="4"/>
      <c r="BX14" s="4"/>
      <c r="BY14" s="4"/>
      <c r="BZ14" s="4"/>
      <c r="CB14" s="36"/>
      <c r="CE14" s="3" t="s">
        <v>1414</v>
      </c>
      <c r="CF14" s="21">
        <f>CF12/5</f>
        <v>4000000</v>
      </c>
      <c r="CG14" s="4"/>
      <c r="CH14" s="4"/>
      <c r="CI14" s="4"/>
      <c r="CJ14" s="4"/>
      <c r="CK14" s="4"/>
      <c r="CL14" s="4"/>
      <c r="CM14" s="4"/>
      <c r="CN14" s="4"/>
      <c r="CO14" s="4"/>
      <c r="CP14" s="4"/>
      <c r="CR14" s="36"/>
      <c r="CU14" s="3" t="s">
        <v>1416</v>
      </c>
      <c r="CV14" s="21">
        <f>CV12/5</f>
        <v>4000000</v>
      </c>
      <c r="CW14" s="4"/>
      <c r="CX14" s="4"/>
      <c r="CY14" s="4"/>
      <c r="CZ14" s="4"/>
      <c r="DA14" s="4"/>
      <c r="DB14" s="4"/>
      <c r="DC14" s="4"/>
      <c r="DD14" s="4"/>
      <c r="DE14" s="4"/>
      <c r="DF14" s="4"/>
      <c r="DH14" s="36"/>
      <c r="DK14" s="3" t="s">
        <v>1418</v>
      </c>
      <c r="DL14" s="21">
        <f>DL12/5</f>
        <v>4000000</v>
      </c>
      <c r="DM14" s="4"/>
      <c r="DN14" s="4"/>
      <c r="DO14" s="4"/>
      <c r="DP14" s="4"/>
      <c r="DQ14" s="4"/>
      <c r="DR14" s="4"/>
      <c r="DS14" s="4"/>
      <c r="DT14" s="4"/>
      <c r="DU14" s="4"/>
      <c r="DV14" s="4"/>
      <c r="DX14" s="36"/>
      <c r="EA14" s="3" t="s">
        <v>1420</v>
      </c>
      <c r="EB14" s="21">
        <f>EB12/5</f>
        <v>4000000</v>
      </c>
      <c r="EC14" s="4"/>
      <c r="ED14" s="4"/>
      <c r="EE14" s="4"/>
      <c r="EF14" s="4"/>
      <c r="EG14" s="4"/>
      <c r="EH14" s="4"/>
      <c r="EI14" s="4"/>
      <c r="EJ14" s="4"/>
      <c r="EK14" s="4"/>
      <c r="EL14" s="4"/>
      <c r="EN14" s="36"/>
      <c r="EQ14" s="3" t="s">
        <v>1422</v>
      </c>
      <c r="ER14" s="21">
        <f>ER12/5</f>
        <v>8000000</v>
      </c>
      <c r="ES14" s="4"/>
      <c r="ET14" s="4"/>
      <c r="EU14" s="4"/>
      <c r="EV14" s="4"/>
      <c r="EW14" s="4"/>
      <c r="EX14" s="4"/>
      <c r="EY14" s="4"/>
      <c r="EZ14" s="6"/>
      <c r="FA14" s="4"/>
      <c r="FB14" s="6"/>
      <c r="FD14" s="37"/>
      <c r="FG14" s="3" t="s">
        <v>1513</v>
      </c>
      <c r="FH14" s="21">
        <f>FH12/5</f>
        <v>4000000</v>
      </c>
      <c r="FI14" s="4"/>
      <c r="FJ14" s="4"/>
      <c r="FK14" s="4"/>
      <c r="FL14" s="4"/>
      <c r="FM14" s="4"/>
      <c r="FN14" s="4"/>
      <c r="FO14" s="4"/>
      <c r="FP14" s="6"/>
      <c r="FQ14" s="4"/>
      <c r="FR14" s="6"/>
      <c r="FT14" s="37"/>
      <c r="FW14" s="3" t="s">
        <v>1515</v>
      </c>
      <c r="FX14" s="21">
        <f>FX12/5</f>
        <v>8000000</v>
      </c>
      <c r="FY14" s="4"/>
      <c r="FZ14" s="4"/>
      <c r="GA14" s="4"/>
      <c r="GB14" s="4"/>
      <c r="GC14" s="4"/>
      <c r="GD14" s="4"/>
      <c r="GE14" s="4"/>
      <c r="GF14" s="6"/>
      <c r="GG14" s="4"/>
      <c r="GH14" s="4"/>
      <c r="GI14" s="4"/>
      <c r="GJ14" s="36"/>
      <c r="GK14" s="4"/>
      <c r="GM14" s="3" t="s">
        <v>1517</v>
      </c>
      <c r="GN14" s="21">
        <f>GN12/5</f>
        <v>4000000</v>
      </c>
      <c r="GO14" s="4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37"/>
      <c r="HA14" s="6"/>
      <c r="HB14" s="6"/>
      <c r="HC14" s="3" t="s">
        <v>1519</v>
      </c>
      <c r="HD14" s="21">
        <f>HD12/5</f>
        <v>8000000</v>
      </c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37"/>
      <c r="HQ14" s="6"/>
      <c r="HR14" s="6"/>
      <c r="HS14" s="3" t="s">
        <v>1521</v>
      </c>
      <c r="HT14" s="21">
        <f>HT12/5</f>
        <v>2000000</v>
      </c>
      <c r="HU14" s="6"/>
      <c r="HV14" s="6"/>
      <c r="HW14" s="4"/>
      <c r="HX14" s="4"/>
      <c r="HY14" s="4"/>
      <c r="HZ14" s="4"/>
      <c r="IA14" s="4"/>
      <c r="IB14" s="4"/>
      <c r="IC14" s="4"/>
      <c r="ID14" s="4"/>
      <c r="IE14" s="4"/>
      <c r="IF14" s="36"/>
      <c r="IG14" s="4"/>
      <c r="II14" s="3" t="s">
        <v>1523</v>
      </c>
      <c r="IJ14" s="21">
        <f>IJ12/5</f>
        <v>8000000</v>
      </c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36"/>
      <c r="IW14" s="4"/>
      <c r="IY14" s="3" t="s">
        <v>1525</v>
      </c>
      <c r="IZ14" s="21">
        <f>IZ12/5</f>
        <v>4000000</v>
      </c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36"/>
      <c r="JM14" s="4"/>
      <c r="JO14" s="3" t="s">
        <v>1527</v>
      </c>
      <c r="JP14" s="21">
        <f>JP12/5</f>
        <v>4000000</v>
      </c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36"/>
      <c r="KC14" s="4"/>
      <c r="KE14" s="3" t="s">
        <v>1529</v>
      </c>
      <c r="KF14" s="21">
        <f>KF12/5</f>
        <v>4000000</v>
      </c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36"/>
      <c r="KS14" s="4"/>
      <c r="KU14" s="3" t="s">
        <v>1531</v>
      </c>
      <c r="KV14" s="21">
        <f>KV12/5</f>
        <v>4000000</v>
      </c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36"/>
      <c r="LI14" s="4"/>
      <c r="LK14" s="3" t="s">
        <v>1533</v>
      </c>
      <c r="LL14" s="21">
        <f>LL12/5</f>
        <v>4000000</v>
      </c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36"/>
      <c r="LY14" s="4"/>
      <c r="MA14" s="3" t="s">
        <v>1535</v>
      </c>
      <c r="MB14" s="21">
        <f>MB12/5</f>
        <v>4000000</v>
      </c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36"/>
      <c r="MO14" s="4"/>
      <c r="MQ14" s="3" t="s">
        <v>1537</v>
      </c>
      <c r="MR14" s="21">
        <f>MR12/5</f>
        <v>4000000</v>
      </c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36"/>
      <c r="NE14" s="4"/>
      <c r="NG14" s="3" t="s">
        <v>1539</v>
      </c>
      <c r="NH14" s="21">
        <f>NH12/5</f>
        <v>4000000</v>
      </c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36"/>
      <c r="NU14" s="4"/>
      <c r="NW14" s="3" t="s">
        <v>1541</v>
      </c>
      <c r="NX14" s="21">
        <f>NX12/5</f>
        <v>4000000</v>
      </c>
      <c r="NY14" s="4"/>
      <c r="NZ14" s="4"/>
      <c r="OA14" s="4"/>
      <c r="OB14" s="4"/>
      <c r="OC14" s="4"/>
      <c r="OD14" s="4"/>
      <c r="OE14" s="4"/>
      <c r="OF14" s="4"/>
      <c r="OG14" s="4"/>
      <c r="OH14" s="4"/>
      <c r="OJ14" s="36"/>
      <c r="OL14" s="8"/>
      <c r="OM14" s="4"/>
      <c r="ON14" s="4"/>
      <c r="OO14" s="4"/>
      <c r="OP14" s="4"/>
      <c r="OQ14" s="4"/>
      <c r="OR14" s="4"/>
      <c r="OS14" s="4"/>
      <c r="OT14" s="4"/>
      <c r="OU14" s="4"/>
      <c r="OV14" s="4"/>
      <c r="OY14" s="3"/>
      <c r="OZ14" s="8"/>
      <c r="PA14" s="4"/>
      <c r="PB14" s="4"/>
      <c r="PC14" s="4"/>
      <c r="PD14" s="4"/>
      <c r="PE14" s="4"/>
      <c r="PF14" s="4"/>
      <c r="PG14" s="4"/>
      <c r="PH14" s="4"/>
      <c r="PI14" s="4"/>
      <c r="PJ14" s="4"/>
      <c r="PM14" s="3"/>
      <c r="PN14" s="8"/>
      <c r="PO14" s="4"/>
      <c r="PP14" s="4"/>
      <c r="PQ14" s="4"/>
      <c r="PR14" s="4"/>
      <c r="PS14" s="4"/>
      <c r="PT14" s="4"/>
      <c r="PU14" s="4"/>
      <c r="PV14" s="4"/>
      <c r="PW14" s="4"/>
      <c r="PX14" s="4"/>
      <c r="QA14" s="3"/>
      <c r="QB14" s="8"/>
      <c r="QC14" s="4"/>
      <c r="QD14" s="4"/>
      <c r="QE14" s="4"/>
      <c r="QF14" s="4"/>
      <c r="QG14" s="4"/>
      <c r="QH14" s="4"/>
      <c r="QI14" s="4"/>
      <c r="QJ14" s="4"/>
      <c r="QK14" s="4"/>
      <c r="QL14" s="4"/>
      <c r="QO14" s="3"/>
      <c r="QP14" s="8"/>
      <c r="QQ14" s="4"/>
      <c r="QR14" s="4"/>
      <c r="QS14" s="4"/>
      <c r="QT14" s="4"/>
      <c r="QU14" s="4"/>
      <c r="QV14" s="4"/>
      <c r="QW14" s="4"/>
      <c r="QX14" s="4"/>
      <c r="QY14" s="4"/>
      <c r="QZ14" s="4"/>
      <c r="RC14" s="3"/>
      <c r="RD14" s="8"/>
      <c r="RE14" s="4"/>
      <c r="RF14" s="4"/>
      <c r="RG14" s="4"/>
      <c r="RH14" s="4"/>
      <c r="RI14" s="4"/>
      <c r="RJ14" s="4"/>
      <c r="RK14" s="4"/>
      <c r="RL14" s="4"/>
      <c r="RQ14" s="3"/>
      <c r="RR14" s="8"/>
      <c r="RS14" s="4"/>
      <c r="RT14" s="4"/>
      <c r="RU14" s="4"/>
      <c r="RV14" s="4"/>
      <c r="RW14" s="4"/>
      <c r="RX14" s="4"/>
      <c r="RY14" s="4"/>
      <c r="RZ14" s="4"/>
      <c r="SE14" s="3"/>
      <c r="SF14" s="8"/>
      <c r="SG14" s="4"/>
      <c r="SH14" s="4"/>
      <c r="SI14" s="4"/>
      <c r="SJ14" s="4"/>
      <c r="SK14" s="4"/>
      <c r="SL14" s="4"/>
      <c r="SM14" s="4"/>
      <c r="SN14" s="4"/>
    </row>
    <row r="15" spans="1:508" x14ac:dyDescent="0.2">
      <c r="A15" s="3" t="s">
        <v>890</v>
      </c>
      <c r="O15" s="3"/>
      <c r="P15" s="7"/>
      <c r="AG15" s="3"/>
      <c r="AH15" s="7"/>
      <c r="AI15" s="7"/>
      <c r="AJ15" s="7"/>
      <c r="AK15" s="7"/>
      <c r="AL15" s="7"/>
      <c r="AM15" s="7"/>
      <c r="AN15" s="7"/>
      <c r="AO15" s="7"/>
      <c r="AP15" s="7"/>
      <c r="AY15" s="3" t="s">
        <v>891</v>
      </c>
      <c r="AZ15" s="7" t="s">
        <v>6</v>
      </c>
      <c r="BA15" s="7"/>
      <c r="BB15" s="7"/>
      <c r="BC15" s="7"/>
      <c r="BD15" s="7"/>
      <c r="BE15" s="7"/>
      <c r="BF15" s="7"/>
      <c r="BG15" s="7"/>
      <c r="BH15" s="7"/>
      <c r="BL15" s="9"/>
      <c r="BO15" s="3" t="s">
        <v>892</v>
      </c>
      <c r="BP15" s="7" t="s">
        <v>6</v>
      </c>
      <c r="CB15" s="9"/>
      <c r="CE15" s="3" t="s">
        <v>893</v>
      </c>
      <c r="CF15" s="7" t="s">
        <v>6</v>
      </c>
      <c r="CR15" s="9"/>
      <c r="CU15" s="3" t="s">
        <v>894</v>
      </c>
      <c r="CV15" s="7" t="s">
        <v>6</v>
      </c>
      <c r="DH15" s="9"/>
      <c r="DK15" s="3" t="s">
        <v>895</v>
      </c>
      <c r="DL15" s="7" t="s">
        <v>6</v>
      </c>
      <c r="DX15" s="9"/>
      <c r="EA15" s="3" t="s">
        <v>896</v>
      </c>
      <c r="EB15" s="7" t="s">
        <v>6</v>
      </c>
      <c r="EN15" s="9"/>
      <c r="EQ15" s="3" t="s">
        <v>897</v>
      </c>
      <c r="ER15" s="7" t="s">
        <v>6</v>
      </c>
      <c r="EZ15" s="7"/>
      <c r="FB15" s="7"/>
      <c r="FD15" s="38"/>
      <c r="FG15" s="3" t="s">
        <v>898</v>
      </c>
      <c r="FH15" s="7" t="s">
        <v>6</v>
      </c>
      <c r="FP15" s="7"/>
      <c r="FR15" s="7"/>
      <c r="FT15" s="38"/>
      <c r="FW15" s="3" t="s">
        <v>899</v>
      </c>
      <c r="FX15" s="7" t="s">
        <v>6</v>
      </c>
      <c r="GF15" s="7"/>
      <c r="GJ15" s="9"/>
      <c r="GM15" s="3" t="s">
        <v>900</v>
      </c>
      <c r="GN15" s="7" t="s">
        <v>6</v>
      </c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38"/>
      <c r="HA15" s="7"/>
      <c r="HB15" s="7"/>
      <c r="HC15" s="3" t="s">
        <v>901</v>
      </c>
      <c r="HD15" s="7" t="s">
        <v>6</v>
      </c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38"/>
      <c r="HQ15" s="7"/>
      <c r="HR15" s="7"/>
      <c r="HS15" s="3" t="s">
        <v>902</v>
      </c>
      <c r="HT15" s="7" t="s">
        <v>6</v>
      </c>
      <c r="HU15" s="7"/>
      <c r="HV15" s="7"/>
      <c r="IF15" s="9"/>
      <c r="II15" s="3" t="s">
        <v>903</v>
      </c>
      <c r="IJ15" s="7" t="s">
        <v>6</v>
      </c>
      <c r="IV15" s="9"/>
      <c r="IY15" s="3" t="s">
        <v>904</v>
      </c>
      <c r="IZ15" s="7" t="s">
        <v>6</v>
      </c>
      <c r="JL15" s="9"/>
      <c r="JO15" s="3" t="s">
        <v>905</v>
      </c>
      <c r="JP15" s="7" t="s">
        <v>6</v>
      </c>
      <c r="KB15" s="9"/>
      <c r="KE15" s="3" t="s">
        <v>906</v>
      </c>
      <c r="KF15" s="7" t="s">
        <v>6</v>
      </c>
      <c r="KR15" s="9"/>
      <c r="KU15" s="3" t="s">
        <v>907</v>
      </c>
      <c r="KV15" s="7" t="s">
        <v>6</v>
      </c>
      <c r="LH15" s="9"/>
      <c r="LK15" s="3" t="s">
        <v>908</v>
      </c>
      <c r="LL15" s="7" t="s">
        <v>6</v>
      </c>
      <c r="LX15" s="9"/>
      <c r="MA15" s="3" t="s">
        <v>909</v>
      </c>
      <c r="MB15" s="7" t="s">
        <v>6</v>
      </c>
      <c r="MN15" s="9"/>
      <c r="MQ15" s="3" t="s">
        <v>910</v>
      </c>
      <c r="MR15" s="7" t="s">
        <v>6</v>
      </c>
      <c r="ND15" s="9"/>
      <c r="NG15" s="3" t="s">
        <v>911</v>
      </c>
      <c r="NH15" s="7" t="s">
        <v>6</v>
      </c>
      <c r="NT15" s="9"/>
      <c r="NW15" s="3" t="s">
        <v>912</v>
      </c>
      <c r="NX15" s="7" t="s">
        <v>6</v>
      </c>
      <c r="OJ15" s="9"/>
      <c r="OL15" s="7"/>
      <c r="OY15" s="3"/>
      <c r="OZ15" s="7"/>
      <c r="PM15" s="3"/>
      <c r="PN15" s="7"/>
      <c r="QA15" s="3"/>
      <c r="QB15" s="7"/>
      <c r="QO15" s="3"/>
      <c r="QP15" s="7"/>
      <c r="RC15" s="3"/>
      <c r="RD15" s="7"/>
      <c r="RQ15" s="3"/>
      <c r="RR15" s="7"/>
      <c r="SE15" s="3"/>
      <c r="SF15" s="7"/>
    </row>
    <row r="16" spans="1:508" x14ac:dyDescent="0.2">
      <c r="A16" s="3" t="s">
        <v>913</v>
      </c>
      <c r="O16" s="3"/>
      <c r="P16" s="7"/>
      <c r="AG16" s="3"/>
      <c r="AH16" s="7"/>
      <c r="AI16" s="7"/>
      <c r="AJ16" s="7"/>
      <c r="AK16" s="7"/>
      <c r="AL16" s="7"/>
      <c r="AM16" s="7"/>
      <c r="AN16" s="7"/>
      <c r="AO16" s="7"/>
      <c r="AP16" s="7"/>
      <c r="AY16" s="3" t="s">
        <v>914</v>
      </c>
      <c r="AZ16" s="7" t="s">
        <v>6</v>
      </c>
      <c r="BA16" s="7"/>
      <c r="BB16" s="7"/>
      <c r="BC16" s="7"/>
      <c r="BD16" s="7"/>
      <c r="BE16" s="7"/>
      <c r="BF16" s="7"/>
      <c r="BG16" s="7"/>
      <c r="BH16" s="7"/>
      <c r="BL16" s="9"/>
      <c r="BO16" s="3" t="s">
        <v>915</v>
      </c>
      <c r="BP16" s="7" t="s">
        <v>6</v>
      </c>
      <c r="CB16" s="9"/>
      <c r="CE16" s="3" t="s">
        <v>916</v>
      </c>
      <c r="CF16" s="7" t="s">
        <v>6</v>
      </c>
      <c r="CR16" s="9"/>
      <c r="CU16" s="3" t="s">
        <v>917</v>
      </c>
      <c r="CV16" s="7" t="s">
        <v>6</v>
      </c>
      <c r="DH16" s="9"/>
      <c r="DK16" s="3" t="s">
        <v>918</v>
      </c>
      <c r="DL16" s="7" t="s">
        <v>6</v>
      </c>
      <c r="DX16" s="9"/>
      <c r="EA16" s="3" t="s">
        <v>919</v>
      </c>
      <c r="EB16" s="7" t="s">
        <v>6</v>
      </c>
      <c r="EN16" s="9"/>
      <c r="EQ16" s="3" t="s">
        <v>920</v>
      </c>
      <c r="ER16" s="7" t="s">
        <v>6</v>
      </c>
      <c r="EZ16" s="7"/>
      <c r="FB16" s="7"/>
      <c r="FD16" s="38"/>
      <c r="FG16" s="3" t="s">
        <v>921</v>
      </c>
      <c r="FH16" s="7" t="s">
        <v>6</v>
      </c>
      <c r="FP16" s="7"/>
      <c r="FR16" s="7"/>
      <c r="FT16" s="38"/>
      <c r="FW16" s="3" t="s">
        <v>922</v>
      </c>
      <c r="FX16" s="7" t="s">
        <v>6</v>
      </c>
      <c r="GF16" s="7"/>
      <c r="GJ16" s="9"/>
      <c r="GM16" s="3" t="s">
        <v>923</v>
      </c>
      <c r="GN16" s="7" t="s">
        <v>6</v>
      </c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38"/>
      <c r="HA16" s="7"/>
      <c r="HB16" s="7"/>
      <c r="HC16" s="3" t="s">
        <v>924</v>
      </c>
      <c r="HD16" s="7" t="s">
        <v>6</v>
      </c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38"/>
      <c r="HQ16" s="7"/>
      <c r="HR16" s="7"/>
      <c r="HS16" s="3" t="s">
        <v>925</v>
      </c>
      <c r="HT16" s="7" t="s">
        <v>6</v>
      </c>
      <c r="HU16" s="7"/>
      <c r="HV16" s="7"/>
      <c r="IF16" s="9"/>
      <c r="II16" s="3" t="s">
        <v>926</v>
      </c>
      <c r="IJ16" s="7" t="s">
        <v>6</v>
      </c>
      <c r="IV16" s="9"/>
      <c r="IY16" s="3" t="s">
        <v>927</v>
      </c>
      <c r="IZ16" s="7" t="s">
        <v>6</v>
      </c>
      <c r="JL16" s="9"/>
      <c r="JO16" s="3" t="s">
        <v>928</v>
      </c>
      <c r="JP16" s="7" t="s">
        <v>6</v>
      </c>
      <c r="KB16" s="9"/>
      <c r="KE16" s="3" t="s">
        <v>929</v>
      </c>
      <c r="KF16" s="7" t="s">
        <v>6</v>
      </c>
      <c r="KR16" s="9"/>
      <c r="KU16" s="3" t="s">
        <v>930</v>
      </c>
      <c r="KV16" s="7" t="s">
        <v>6</v>
      </c>
      <c r="LH16" s="9"/>
      <c r="LK16" s="3" t="s">
        <v>931</v>
      </c>
      <c r="LL16" s="7" t="s">
        <v>6</v>
      </c>
      <c r="LX16" s="9"/>
      <c r="MA16" s="3" t="s">
        <v>932</v>
      </c>
      <c r="MB16" s="7" t="s">
        <v>6</v>
      </c>
      <c r="MN16" s="9"/>
      <c r="MQ16" s="3" t="s">
        <v>933</v>
      </c>
      <c r="MR16" s="7" t="s">
        <v>6</v>
      </c>
      <c r="ND16" s="9"/>
      <c r="NG16" s="3" t="s">
        <v>934</v>
      </c>
      <c r="NH16" s="7" t="s">
        <v>6</v>
      </c>
      <c r="NT16" s="9"/>
      <c r="NW16" s="3" t="s">
        <v>935</v>
      </c>
      <c r="NX16" s="7" t="s">
        <v>6</v>
      </c>
      <c r="OJ16" s="9"/>
      <c r="OL16" s="7"/>
      <c r="OY16" s="3"/>
      <c r="OZ16" s="7"/>
      <c r="PM16" s="3"/>
      <c r="PN16" s="7"/>
      <c r="QA16" s="3"/>
      <c r="QB16" s="7"/>
      <c r="QO16" s="3"/>
      <c r="QP16" s="7"/>
      <c r="RC16" s="3"/>
      <c r="RD16" s="7"/>
      <c r="RQ16" s="3"/>
      <c r="RR16" s="7"/>
      <c r="SE16" s="3"/>
      <c r="SF16" s="7"/>
    </row>
    <row r="17" spans="1:499" x14ac:dyDescent="0.2">
      <c r="A17" s="3" t="s">
        <v>936</v>
      </c>
      <c r="O17" s="3"/>
      <c r="AG17" s="3"/>
      <c r="AY17" s="3" t="s">
        <v>937</v>
      </c>
      <c r="AZ17">
        <f>IF(AZ4=1,1,IF(AND(AZ4=0,BA4=1),2,IF(AND(BA4=0,BB4=1),3,IF(AND(BB4=0,BC4=1),4,IF(AND(BC4=0,BD4=1),5,IF(AND(BD4=0,BE4=1),6,IF(AND(BE4=0,BF4=1),7,IF(AND(BF4=0,BG4=1),8,-1))))))))</f>
        <v>-1</v>
      </c>
      <c r="BL17" s="9"/>
      <c r="BO17" s="3" t="s">
        <v>938</v>
      </c>
      <c r="BP17">
        <f>IF(BP4=1,1,IF(AND(BP4=0,BQ4=1),2,IF(AND(BQ4=0,BR4=1),3,IF(AND(BR4=0,BS4=1),4,IF(AND(BS4=0,BT4=1),5,IF(AND(BT4=0,BU4=1),6,IF(AND(BU4=0,BV4=1),7,IF(AND(BV4=0,BW4=1),8,-1))))))))</f>
        <v>-1</v>
      </c>
      <c r="CB17" s="9"/>
      <c r="CE17" s="3" t="s">
        <v>939</v>
      </c>
      <c r="CF17">
        <f>IF(CF4=1,1,IF(AND(CF4=0,CG4=1),2,IF(AND(CG4=0,CH4=1),3,IF(AND(CH4=0,CI4=1),4,IF(AND(CI4=0,CJ4=1),5,IF(AND(CJ4=0,CK4=1),6,IF(AND(CK4=0,CL4=1),7,IF(AND(CL4=0,CM4=1),8,-1))))))))</f>
        <v>-1</v>
      </c>
      <c r="CR17" s="9"/>
      <c r="CU17" s="3" t="s">
        <v>940</v>
      </c>
      <c r="CV17">
        <f>IF(CV4=1,1,IF(AND(CV4=0,CW4=1),2,IF(AND(CW4=0,CX4=1),3,IF(AND(CX4=0,CY4=1),4,IF(AND(CY4=0,CZ4=1),5,IF(AND(CZ4=0,DA4=1),6,IF(AND(DA4=0,DB4=1),7,IF(AND(DB4=0,DC4=1),8,-1))))))))</f>
        <v>-1</v>
      </c>
      <c r="DH17" s="9"/>
      <c r="DK17" s="3" t="s">
        <v>941</v>
      </c>
      <c r="DL17">
        <f>IF(DL4=1,1,IF(AND(DL4=0,DM4=1),2,IF(AND(DM4=0,DN4=1),3,IF(AND(DN4=0,DO4=1),4,IF(AND(DO4=0,DP4=1),5,IF(AND(DP4=0,DQ4=1),6,IF(AND(DQ4=0,DR4=1),7,IF(AND(DR4=0,DS4=1),8,-1))))))))</f>
        <v>-1</v>
      </c>
      <c r="DX17" s="9"/>
      <c r="EA17" s="3" t="s">
        <v>942</v>
      </c>
      <c r="EB17">
        <f>IF(EB4=1,1,IF(AND(EB4=0,EC4=1),2,IF(AND(EC4=0,ED4=1),3,IF(AND(ED4=0,EE4=1),4,IF(AND(EE4=0,EF4=1),5,IF(AND(EF4=0,EG4=1),6,IF(AND(EG4=0,EH4=1),7,IF(AND(EH4=0,EI4=1),8,-1))))))))</f>
        <v>-1</v>
      </c>
      <c r="EN17" s="9"/>
      <c r="EQ17" s="3" t="s">
        <v>943</v>
      </c>
      <c r="ER17">
        <f>IF(ER4=1,1,IF(AND(ER4=0,ES4=1),2,IF(AND(ES4=0,ET4=1),3,IF(AND(ET4=0,EU4=1),4,IF(AND(EU4=0,EV4=1),5,IF(AND(EV4=0,EW4=1),6,IF(AND(EW4=0,EX4=1),7,IF(AND(EX4=0,EY4=1),8,-1))))))))</f>
        <v>-1</v>
      </c>
      <c r="FD17" s="9"/>
      <c r="FG17" s="3" t="s">
        <v>944</v>
      </c>
      <c r="FH17">
        <f>IF(FH4=1,1,IF(AND(FH4=0,FI4=1),2,IF(AND(FI4=0,FJ4=1),3,IF(AND(FJ4=0,FK4=1),4,IF(AND(FK4=0,FL4=1),5,IF(AND(FL4=0,FM4=1),6,IF(AND(FM4=0,FN4=1),7,IF(AND(FN4=0,FO4=1),8,-1))))))))</f>
        <v>-1</v>
      </c>
      <c r="FT17" s="9"/>
      <c r="FW17" s="3" t="s">
        <v>945</v>
      </c>
      <c r="FX17">
        <f>IF(FX4=1,1,IF(AND(FX4=0,FY4=1),2,IF(AND(FY4=0,FZ4=1),3,IF(AND(FZ4=0,GA4=1),4,IF(AND(GA4=0,GB4=1),5,IF(AND(GB4=0,GC4=1),6,IF(AND(GC4=0,GD4=1),7,IF(AND(GD4=0,GE4=1),8,-1))))))))</f>
        <v>-1</v>
      </c>
      <c r="GJ17" s="9"/>
      <c r="GM17" s="3" t="s">
        <v>946</v>
      </c>
      <c r="GN17">
        <f>IF(GN4=1,1,IF(AND(GN4=0,GO4=1),2,IF(AND(GO4=0,GP4=1),3,IF(AND(GP4=0,GQ4=1),4,IF(AND(GQ4=0,GR4=1),5,IF(AND(GR4=0,GS4=1),6,IF(AND(GS4=0,GT4=1),7,IF(AND(GT4=0,GU4=1),8,-1))))))))</f>
        <v>-1</v>
      </c>
      <c r="GZ17" s="9"/>
      <c r="HC17" s="3" t="s">
        <v>947</v>
      </c>
      <c r="HD17">
        <f>IF(HD4=1,1,IF(AND(HD4=0,HE4=1),2,IF(AND(HE4=0,HF4=1),3,IF(AND(HF4=0,HG4=1),4,IF(AND(HG4=0,HH4=1),5,IF(AND(HH4=0,HI4=1),6,IF(AND(HI4=0,HJ4=1),7,IF(AND(HJ4=0,HK4=1),8,-1))))))))</f>
        <v>-1</v>
      </c>
      <c r="HP17" s="9"/>
      <c r="HS17" s="3" t="s">
        <v>948</v>
      </c>
      <c r="HT17">
        <f>IF(HT4=1,1,IF(AND(HT4=0,HU4=1),2,IF(AND(HU4=0,HV4=1),3,IF(AND(HV4=0,HW4=1),4,IF(AND(HW4=0,HX4=1),5,IF(AND(HX4=0,HY4=1),6,IF(AND(HY4=0,HZ4=1),7,IF(AND(HZ4=0,IA4=1),8,-1))))))))</f>
        <v>-1</v>
      </c>
      <c r="IF17" s="9"/>
      <c r="II17" s="3" t="s">
        <v>949</v>
      </c>
      <c r="IJ17">
        <f>IF(IJ4=1,1,IF(AND(IJ4=0,IK4=1),2,IF(AND(IK4=0,IL4=1),3,IF(AND(IL4=0,IM4=1),4,IF(AND(IM4=0,IN4=1),5,IF(AND(IN4=0,IO4=1),6,IF(AND(IO4=0,IP4=1),7,IF(AND(IP4=0,IQ4=1),8,-1))))))))</f>
        <v>-1</v>
      </c>
      <c r="IV17" s="9"/>
      <c r="IY17" s="3" t="s">
        <v>950</v>
      </c>
      <c r="IZ17">
        <f>IF(IZ4=1,1,IF(AND(IZ4=0,JA4=1),2,IF(AND(JA4=0,JB4=1),3,IF(AND(JB4=0,JC4=1),4,IF(AND(JC4=0,JD4=1),5,IF(AND(JD4=0,JE4=1),6,IF(AND(JE4=0,JF4=1),7,IF(AND(JF4=0,JG4=1),8,-1))))))))</f>
        <v>-1</v>
      </c>
      <c r="JL17" s="9"/>
      <c r="JO17" s="3" t="s">
        <v>951</v>
      </c>
      <c r="JP17">
        <f>IF(JP4=1,1,IF(AND(JP4=0,JQ4=1),2,IF(AND(JQ4=0,JR4=1),3,IF(AND(JR4=0,JS4=1),4,IF(AND(JS4=0,JT4=1),5,IF(AND(JT4=0,JU4=1),6,IF(AND(JU4=0,JV4=1),7,IF(AND(JV4=0,JW4=1),8,-1))))))))</f>
        <v>-1</v>
      </c>
      <c r="KB17" s="9"/>
      <c r="KE17" s="3" t="s">
        <v>952</v>
      </c>
      <c r="KF17">
        <f>IF(KF4=1,1,IF(AND(KF4=0,KG4=1),2,IF(AND(KG4=0,KH4=1),3,IF(AND(KH4=0,KI4=1),4,IF(AND(KI4=0,KJ4=1),5,IF(AND(KJ4=0,KK4=1),6,IF(AND(KK4=0,KL4=1),7,IF(AND(KL4=0,KM4=1),8,-1))))))))</f>
        <v>-1</v>
      </c>
      <c r="KR17" s="9"/>
      <c r="KU17" s="3" t="s">
        <v>953</v>
      </c>
      <c r="KV17">
        <f>IF(KV4=1,1,IF(AND(KV4=0,KW4=1),2,IF(AND(KW4=0,KX4=1),3,IF(AND(KX4=0,KY4=1),4,IF(AND(KY4=0,KZ4=1),5,IF(AND(KZ4=0,LA4=1),6,IF(AND(LA4=0,LB4=1),7,IF(AND(LB4=0,LC4=1),8,-1))))))))</f>
        <v>-1</v>
      </c>
      <c r="LH17" s="9"/>
      <c r="LK17" s="3" t="s">
        <v>954</v>
      </c>
      <c r="LL17">
        <f>IF(LL4=1,1,IF(AND(LL4=0,LM4=1),2,IF(AND(LM4=0,LN4=1),3,IF(AND(LN4=0,LO4=1),4,IF(AND(LO4=0,LP4=1),5,IF(AND(LP4=0,LQ4=1),6,IF(AND(LQ4=0,LR4=1),7,IF(AND(LR4=0,LS4=1),8,-1))))))))</f>
        <v>-1</v>
      </c>
      <c r="LX17" s="9"/>
      <c r="MA17" s="3" t="s">
        <v>955</v>
      </c>
      <c r="MB17">
        <f>IF(MB4=1,1,IF(AND(MB4=0,MC4=1),2,IF(AND(MC4=0,MD4=1),3,IF(AND(MD4=0,ME4=1),4,IF(AND(ME4=0,MF4=1),5,IF(AND(MF4=0,MG4=1),6,IF(AND(MG4=0,MH4=1),7,IF(AND(MH4=0,MI4=1),8,-1))))))))</f>
        <v>-1</v>
      </c>
      <c r="MN17" s="9"/>
      <c r="MQ17" s="3" t="s">
        <v>956</v>
      </c>
      <c r="MR17">
        <f>IF(MR4=1,1,IF(AND(MR4=0,MS4=1),2,IF(AND(MS4=0,MT4=1),3,IF(AND(MT4=0,MU4=1),4,IF(AND(MU4=0,MV4=1),5,IF(AND(MV4=0,MW4=1),6,IF(AND(MW4=0,MX4=1),7,IF(AND(MX4=0,MY4=1),8,-1))))))))</f>
        <v>-1</v>
      </c>
      <c r="ND17" s="9"/>
      <c r="NG17" s="3" t="s">
        <v>957</v>
      </c>
      <c r="NH17">
        <f>IF(NH4=1,1,IF(AND(NH4=0,NI4=1),2,IF(AND(NI4=0,NJ4=1),3,IF(AND(NJ4=0,NK4=1),4,IF(AND(NK4=0,NL4=1),5,IF(AND(NL4=0,NM4=1),6,IF(AND(NM4=0,NN4=1),7,IF(AND(NN4=0,NO4=1),8,-1))))))))</f>
        <v>-1</v>
      </c>
      <c r="NT17" s="9"/>
      <c r="NW17" s="3" t="s">
        <v>958</v>
      </c>
      <c r="NX17">
        <f>IF(NX4=1,1,IF(AND(NX4=0,NY4=1),2,IF(AND(NY4=0,NZ4=1),3,IF(AND(NZ4=0,OA4=1),4,IF(AND(OA4=0,OB4=1),5,IF(AND(OB4=0,OC4=1),6,IF(AND(OC4=0,OD4=1),7,IF(AND(OD4=0,OE4=1),8,-1))))))))</f>
        <v>-1</v>
      </c>
      <c r="OJ17" s="9"/>
      <c r="OY17" s="3"/>
      <c r="PM17" s="3"/>
      <c r="QA17" s="3"/>
      <c r="QO17" s="3"/>
      <c r="RC17" s="3"/>
      <c r="RQ17" s="3"/>
      <c r="SE17" s="3"/>
    </row>
    <row r="18" spans="1:499" x14ac:dyDescent="0.2">
      <c r="A18" s="3" t="s">
        <v>959</v>
      </c>
      <c r="K18" t="s">
        <v>320</v>
      </c>
      <c r="O18" s="3"/>
      <c r="AG18" s="3"/>
      <c r="AY18" s="3" t="s">
        <v>960</v>
      </c>
      <c r="AZ18">
        <v>1</v>
      </c>
      <c r="BL18" s="9"/>
      <c r="BO18" s="3" t="s">
        <v>961</v>
      </c>
      <c r="BP18">
        <v>1</v>
      </c>
      <c r="CB18" s="9"/>
      <c r="CE18" s="3" t="s">
        <v>962</v>
      </c>
      <c r="CF18">
        <v>1</v>
      </c>
      <c r="CR18" s="9"/>
      <c r="CU18" s="3" t="s">
        <v>963</v>
      </c>
      <c r="CV18">
        <v>1</v>
      </c>
      <c r="DH18" s="9"/>
      <c r="DK18" s="3" t="s">
        <v>964</v>
      </c>
      <c r="DL18">
        <v>1</v>
      </c>
      <c r="DX18" s="9"/>
      <c r="EA18" s="3" t="s">
        <v>965</v>
      </c>
      <c r="EB18">
        <v>1</v>
      </c>
      <c r="EN18" s="9"/>
      <c r="EQ18" s="3" t="s">
        <v>966</v>
      </c>
      <c r="ER18">
        <v>1</v>
      </c>
      <c r="FD18" s="9"/>
      <c r="FG18" s="3" t="s">
        <v>967</v>
      </c>
      <c r="FH18">
        <v>1</v>
      </c>
      <c r="FT18" s="9"/>
      <c r="FW18" s="3" t="s">
        <v>968</v>
      </c>
      <c r="FX18">
        <v>1</v>
      </c>
      <c r="GJ18" s="9"/>
      <c r="GM18" s="3" t="s">
        <v>969</v>
      </c>
      <c r="GN18">
        <v>1</v>
      </c>
      <c r="GZ18" s="9"/>
      <c r="HC18" s="3" t="s">
        <v>970</v>
      </c>
      <c r="HD18">
        <v>1</v>
      </c>
      <c r="HP18" s="9"/>
      <c r="HS18" s="3" t="s">
        <v>971</v>
      </c>
      <c r="HT18">
        <v>1</v>
      </c>
      <c r="IF18" s="9"/>
      <c r="II18" s="3" t="s">
        <v>972</v>
      </c>
      <c r="IJ18">
        <v>1</v>
      </c>
      <c r="IV18" s="9"/>
      <c r="IY18" s="3" t="s">
        <v>973</v>
      </c>
      <c r="IZ18">
        <v>1</v>
      </c>
      <c r="JL18" s="9"/>
      <c r="JO18" s="3" t="s">
        <v>974</v>
      </c>
      <c r="JP18">
        <v>1</v>
      </c>
      <c r="KB18" s="9"/>
      <c r="KE18" s="3"/>
      <c r="KR18" s="9"/>
      <c r="KU18" s="3"/>
      <c r="LH18" s="9"/>
      <c r="LK18" s="3"/>
      <c r="LX18" s="9"/>
      <c r="MA18" s="3"/>
      <c r="MN18" s="9"/>
      <c r="MQ18" s="3"/>
      <c r="ND18" s="9"/>
      <c r="NG18" s="3"/>
      <c r="NT18" s="9"/>
      <c r="NW18" s="3"/>
      <c r="OJ18" s="9"/>
      <c r="OY18" s="3"/>
      <c r="PM18" s="3"/>
      <c r="QA18" s="3"/>
      <c r="QO18" s="3"/>
      <c r="RC18" s="3"/>
      <c r="SE18" s="3"/>
    </row>
    <row r="19" spans="1:499" x14ac:dyDescent="0.2">
      <c r="A19" s="3" t="s">
        <v>975</v>
      </c>
      <c r="O19" s="3"/>
      <c r="AG19" s="3"/>
      <c r="AY19" s="3" t="s">
        <v>976</v>
      </c>
      <c r="AZ19">
        <v>1</v>
      </c>
      <c r="BL19" s="9"/>
      <c r="BO19" s="3" t="s">
        <v>977</v>
      </c>
      <c r="BP19">
        <v>1</v>
      </c>
      <c r="CB19" s="9"/>
      <c r="CE19" s="3" t="s">
        <v>978</v>
      </c>
      <c r="CF19">
        <v>1</v>
      </c>
      <c r="CR19" s="9"/>
      <c r="CU19" s="3" t="s">
        <v>979</v>
      </c>
      <c r="CV19">
        <v>1</v>
      </c>
      <c r="DH19" s="9"/>
      <c r="DK19" s="3" t="s">
        <v>980</v>
      </c>
      <c r="DL19">
        <v>1</v>
      </c>
      <c r="DX19" s="9"/>
      <c r="EA19" s="3" t="s">
        <v>981</v>
      </c>
      <c r="EB19">
        <v>1</v>
      </c>
      <c r="EN19" s="9"/>
      <c r="EQ19" s="3" t="s">
        <v>982</v>
      </c>
      <c r="ER19">
        <v>1</v>
      </c>
      <c r="FD19" s="9"/>
      <c r="FG19" s="3" t="s">
        <v>983</v>
      </c>
      <c r="FH19">
        <v>1</v>
      </c>
      <c r="FT19" s="9"/>
      <c r="FW19" s="3" t="s">
        <v>984</v>
      </c>
      <c r="FX19">
        <v>1</v>
      </c>
      <c r="GJ19" s="9"/>
      <c r="GM19" s="3" t="s">
        <v>985</v>
      </c>
      <c r="GN19">
        <v>1</v>
      </c>
      <c r="GZ19" s="9"/>
      <c r="HC19" s="3" t="s">
        <v>986</v>
      </c>
      <c r="HD19">
        <v>1</v>
      </c>
      <c r="HP19" s="9"/>
      <c r="HS19" s="3" t="s">
        <v>987</v>
      </c>
      <c r="HT19">
        <v>1</v>
      </c>
      <c r="IF19" s="9"/>
      <c r="II19" s="3" t="s">
        <v>988</v>
      </c>
      <c r="IJ19">
        <v>1</v>
      </c>
      <c r="IV19" s="9"/>
      <c r="IY19" s="3" t="s">
        <v>989</v>
      </c>
      <c r="IZ19">
        <v>1</v>
      </c>
      <c r="JL19" s="9"/>
      <c r="JO19" s="3" t="s">
        <v>990</v>
      </c>
      <c r="JP19">
        <v>1</v>
      </c>
      <c r="KB19" s="9"/>
      <c r="KE19" s="3" t="s">
        <v>1542</v>
      </c>
      <c r="KF19">
        <v>1</v>
      </c>
      <c r="KR19" s="9"/>
      <c r="KU19" s="3" t="s">
        <v>1543</v>
      </c>
      <c r="KV19">
        <v>1</v>
      </c>
      <c r="LH19" s="9"/>
      <c r="LK19" s="3" t="s">
        <v>1544</v>
      </c>
      <c r="LL19">
        <v>1</v>
      </c>
      <c r="LX19" s="9"/>
      <c r="MA19" s="3" t="s">
        <v>1545</v>
      </c>
      <c r="MB19">
        <v>1</v>
      </c>
      <c r="MN19" s="9"/>
      <c r="MQ19" s="3" t="s">
        <v>1546</v>
      </c>
      <c r="MR19">
        <v>1</v>
      </c>
      <c r="ND19" s="9"/>
      <c r="NG19" s="3" t="s">
        <v>1547</v>
      </c>
      <c r="NH19">
        <v>1</v>
      </c>
      <c r="NT19" s="9"/>
      <c r="NW19" s="3" t="s">
        <v>1548</v>
      </c>
      <c r="NX19">
        <v>1</v>
      </c>
      <c r="OJ19" s="9"/>
      <c r="OY19" s="3"/>
      <c r="PM19" s="3"/>
      <c r="QA19" s="3"/>
      <c r="QO19" s="3"/>
      <c r="RC19" s="3"/>
      <c r="SE19" s="3"/>
    </row>
    <row r="20" spans="1:499" x14ac:dyDescent="0.2">
      <c r="A20" s="3" t="s">
        <v>1962</v>
      </c>
      <c r="AY20" s="3" t="s">
        <v>1917</v>
      </c>
      <c r="AZ20">
        <v>0</v>
      </c>
      <c r="BL20" s="9"/>
      <c r="BO20" s="3" t="s">
        <v>1918</v>
      </c>
      <c r="BP20">
        <v>0</v>
      </c>
      <c r="CB20" s="9"/>
      <c r="CE20" s="3" t="s">
        <v>1919</v>
      </c>
      <c r="CF20">
        <v>0</v>
      </c>
      <c r="CR20" s="9"/>
      <c r="CU20" s="3" t="s">
        <v>1920</v>
      </c>
      <c r="CV20">
        <v>0</v>
      </c>
      <c r="DH20" s="9"/>
      <c r="DK20" s="3" t="s">
        <v>1921</v>
      </c>
      <c r="DL20">
        <v>0</v>
      </c>
      <c r="DX20" s="9"/>
      <c r="EA20" s="3" t="s">
        <v>1922</v>
      </c>
      <c r="EB20">
        <v>0</v>
      </c>
      <c r="EN20" s="9"/>
      <c r="EQ20" s="3" t="s">
        <v>1923</v>
      </c>
      <c r="ER20">
        <v>0</v>
      </c>
      <c r="FD20" s="9"/>
      <c r="FG20" s="3" t="s">
        <v>1924</v>
      </c>
      <c r="FH20">
        <v>0</v>
      </c>
      <c r="FT20" s="9"/>
      <c r="FW20" s="3" t="s">
        <v>1925</v>
      </c>
      <c r="FX20">
        <v>0</v>
      </c>
      <c r="GJ20" s="9"/>
      <c r="GM20" s="3" t="s">
        <v>1926</v>
      </c>
      <c r="GN20">
        <v>0</v>
      </c>
      <c r="GZ20" s="9"/>
      <c r="HC20" s="3" t="s">
        <v>1927</v>
      </c>
      <c r="HD20">
        <v>0</v>
      </c>
      <c r="HP20" s="9"/>
      <c r="HS20" s="3" t="s">
        <v>1928</v>
      </c>
      <c r="HT20">
        <v>0</v>
      </c>
      <c r="IF20" s="9"/>
      <c r="II20" s="3" t="s">
        <v>1929</v>
      </c>
      <c r="IJ20">
        <v>0</v>
      </c>
      <c r="IV20" s="9"/>
      <c r="IY20" s="3" t="s">
        <v>1930</v>
      </c>
      <c r="IZ20">
        <v>0</v>
      </c>
      <c r="JL20" s="9"/>
      <c r="JO20" s="3" t="s">
        <v>1931</v>
      </c>
      <c r="JP20">
        <v>0</v>
      </c>
      <c r="KB20" s="9"/>
      <c r="KE20" s="3" t="s">
        <v>1932</v>
      </c>
      <c r="KF20">
        <v>0</v>
      </c>
      <c r="KR20" s="9"/>
      <c r="KU20" s="3" t="s">
        <v>1933</v>
      </c>
      <c r="KV20">
        <v>0</v>
      </c>
      <c r="LH20" s="9"/>
      <c r="LK20" s="3" t="s">
        <v>1934</v>
      </c>
      <c r="LL20">
        <v>0</v>
      </c>
      <c r="LX20" s="9"/>
      <c r="MA20" s="3" t="s">
        <v>1935</v>
      </c>
      <c r="MB20">
        <v>0</v>
      </c>
      <c r="MN20" s="9"/>
      <c r="MQ20" s="3" t="s">
        <v>1936</v>
      </c>
      <c r="MR20">
        <v>0</v>
      </c>
      <c r="ND20" s="9"/>
      <c r="NG20" s="3" t="s">
        <v>1937</v>
      </c>
      <c r="NH20">
        <v>0</v>
      </c>
      <c r="NT20" s="9"/>
      <c r="NW20" s="3" t="s">
        <v>1938</v>
      </c>
      <c r="NX20">
        <v>0</v>
      </c>
      <c r="OJ20" s="9"/>
    </row>
    <row r="21" spans="1:499" x14ac:dyDescent="0.2">
      <c r="BL21" s="9"/>
      <c r="CB21" s="9"/>
      <c r="CR21" s="9"/>
      <c r="DH21" s="9"/>
      <c r="DX21" s="9"/>
      <c r="EN21" s="9"/>
      <c r="FD21" s="9"/>
      <c r="FT21" s="9"/>
      <c r="GJ21" s="9"/>
      <c r="GZ21" s="9"/>
      <c r="HP21" s="9"/>
      <c r="IF21" s="9"/>
      <c r="IV21" s="9"/>
      <c r="JL21" s="9"/>
      <c r="KB21" s="9"/>
      <c r="KR21" s="9"/>
      <c r="LH21" s="9"/>
      <c r="LX21" s="9"/>
      <c r="MN21" s="9"/>
      <c r="ND21" s="9"/>
      <c r="NT21" s="9"/>
      <c r="OJ21" s="9"/>
    </row>
    <row r="22" spans="1:499" hidden="1" x14ac:dyDescent="0.2">
      <c r="BL22" s="9"/>
      <c r="CB22" s="9"/>
      <c r="CR22" s="9"/>
      <c r="DH22" s="9"/>
      <c r="DX22" s="9"/>
      <c r="EN22" s="9"/>
      <c r="FD22" s="9"/>
      <c r="FT22" s="9"/>
      <c r="GJ22" s="9"/>
      <c r="GZ22" s="9"/>
      <c r="HP22" s="9"/>
      <c r="IF22" s="9"/>
      <c r="IV22" s="9"/>
      <c r="JL22" s="9"/>
      <c r="KB22" s="9"/>
      <c r="KR22" s="9"/>
      <c r="LH22" s="9"/>
      <c r="LX22" s="9"/>
      <c r="MN22" s="9"/>
      <c r="ND22" s="9"/>
      <c r="NT22" s="9"/>
      <c r="OJ22" s="9"/>
    </row>
    <row r="23" spans="1:499" hidden="1" x14ac:dyDescent="0.2">
      <c r="BL23" s="9"/>
      <c r="CB23" s="9"/>
      <c r="CR23" s="9"/>
      <c r="DH23" s="9"/>
      <c r="DX23" s="9"/>
      <c r="EN23" s="9"/>
      <c r="FD23" s="9"/>
      <c r="FT23" s="9"/>
      <c r="GJ23" s="9"/>
      <c r="GZ23" s="9"/>
      <c r="HP23" s="9"/>
      <c r="IF23" s="9"/>
      <c r="IV23" s="9"/>
      <c r="JL23" s="9"/>
      <c r="KB23" s="9"/>
      <c r="KR23" s="9"/>
      <c r="LH23" s="9"/>
      <c r="LX23" s="9"/>
      <c r="MN23" s="9"/>
      <c r="ND23" s="9"/>
      <c r="NT23" s="9"/>
      <c r="OJ23" s="9"/>
    </row>
    <row r="24" spans="1:499" hidden="1" x14ac:dyDescent="0.2">
      <c r="BL24" s="9"/>
      <c r="CB24" s="9"/>
      <c r="CR24" s="9"/>
      <c r="DH24" s="9"/>
      <c r="DX24" s="9"/>
      <c r="EN24" s="9"/>
      <c r="FD24" s="9"/>
      <c r="FT24" s="9"/>
      <c r="GJ24" s="9"/>
      <c r="GZ24" s="9"/>
      <c r="HP24" s="9"/>
      <c r="IF24" s="9"/>
      <c r="IV24" s="9"/>
      <c r="JL24" s="9"/>
      <c r="KB24" s="9"/>
      <c r="KR24" s="9"/>
      <c r="LH24" s="9"/>
      <c r="LX24" s="9"/>
      <c r="MN24" s="9"/>
      <c r="ND24" s="9"/>
      <c r="NT24" s="9"/>
      <c r="OJ24" s="9"/>
    </row>
    <row r="25" spans="1:499" hidden="1" x14ac:dyDescent="0.2">
      <c r="BL25" s="9"/>
      <c r="CB25" s="9"/>
      <c r="CR25" s="9"/>
      <c r="DH25" s="9"/>
      <c r="DX25" s="9"/>
      <c r="EN25" s="9"/>
      <c r="FD25" s="9"/>
      <c r="FT25" s="9"/>
      <c r="GJ25" s="9"/>
      <c r="GZ25" s="9"/>
      <c r="HP25" s="9"/>
      <c r="IF25" s="9"/>
      <c r="IV25" s="9"/>
      <c r="JL25" s="9"/>
      <c r="KB25" s="9"/>
      <c r="KR25" s="9"/>
      <c r="LH25" s="9"/>
      <c r="LX25" s="9"/>
      <c r="MN25" s="9"/>
      <c r="ND25" s="9"/>
      <c r="NT25" s="9"/>
      <c r="OJ25" s="9"/>
    </row>
    <row r="26" spans="1:499" hidden="1" x14ac:dyDescent="0.2">
      <c r="BL26" s="9"/>
      <c r="CB26" s="9"/>
      <c r="CR26" s="9"/>
      <c r="DH26" s="9"/>
      <c r="DX26" s="9"/>
      <c r="EN26" s="9"/>
      <c r="FD26" s="9"/>
      <c r="FT26" s="9"/>
      <c r="GJ26" s="9"/>
      <c r="GZ26" s="9"/>
      <c r="HP26" s="9"/>
      <c r="IF26" s="9"/>
      <c r="IV26" s="9"/>
      <c r="JL26" s="9"/>
      <c r="KB26" s="9"/>
      <c r="KR26" s="9"/>
      <c r="LH26" s="9"/>
      <c r="LX26" s="9"/>
      <c r="MN26" s="9"/>
      <c r="ND26" s="9"/>
      <c r="NT26" s="9"/>
      <c r="OJ26" s="9"/>
    </row>
    <row r="27" spans="1:499" hidden="1" x14ac:dyDescent="0.2">
      <c r="BL27" s="9"/>
      <c r="CB27" s="9"/>
      <c r="CR27" s="9"/>
      <c r="DH27" s="9"/>
      <c r="DX27" s="9"/>
      <c r="EN27" s="9"/>
      <c r="FD27" s="9"/>
      <c r="FT27" s="9"/>
      <c r="GJ27" s="9"/>
      <c r="GZ27" s="9"/>
      <c r="HP27" s="9"/>
      <c r="IF27" s="9"/>
      <c r="IV27" s="9"/>
      <c r="JL27" s="9"/>
      <c r="KB27" s="9"/>
      <c r="KR27" s="9"/>
      <c r="LH27" s="9"/>
      <c r="LX27" s="9"/>
      <c r="MN27" s="9"/>
      <c r="ND27" s="9"/>
      <c r="NT27" s="9"/>
      <c r="OJ27" s="9"/>
    </row>
    <row r="28" spans="1:499" hidden="1" x14ac:dyDescent="0.2">
      <c r="BL28" s="9"/>
      <c r="CB28" s="9"/>
      <c r="CR28" s="9"/>
      <c r="DH28" s="9"/>
      <c r="DX28" s="9"/>
      <c r="EN28" s="9"/>
      <c r="FD28" s="9"/>
      <c r="FT28" s="9"/>
      <c r="GJ28" s="9"/>
      <c r="GZ28" s="9"/>
      <c r="HP28" s="9"/>
      <c r="IF28" s="9"/>
      <c r="IV28" s="9"/>
      <c r="JL28" s="9"/>
      <c r="KB28" s="9"/>
      <c r="KR28" s="9"/>
      <c r="LH28" s="9"/>
      <c r="LX28" s="9"/>
      <c r="MN28" s="9"/>
      <c r="ND28" s="9"/>
      <c r="NT28" s="9"/>
      <c r="OJ28" s="9"/>
    </row>
    <row r="29" spans="1:499" hidden="1" x14ac:dyDescent="0.2">
      <c r="BL29" s="9"/>
      <c r="CB29" s="9"/>
      <c r="CR29" s="9"/>
      <c r="DH29" s="9"/>
      <c r="DX29" s="9"/>
      <c r="EN29" s="9"/>
      <c r="FD29" s="9"/>
      <c r="FT29" s="9"/>
      <c r="GJ29" s="9"/>
      <c r="GZ29" s="9"/>
      <c r="HP29" s="9"/>
      <c r="IF29" s="9"/>
      <c r="IV29" s="9"/>
      <c r="JL29" s="9"/>
      <c r="KB29" s="9"/>
      <c r="KR29" s="9"/>
      <c r="LH29" s="9"/>
      <c r="LX29" s="9"/>
      <c r="MN29" s="9"/>
      <c r="ND29" s="9"/>
      <c r="NT29" s="9"/>
      <c r="OJ29" s="9"/>
    </row>
    <row r="30" spans="1:499" hidden="1" x14ac:dyDescent="0.2">
      <c r="BL30" s="9"/>
      <c r="CB30" s="9"/>
      <c r="CR30" s="9"/>
      <c r="DH30" s="9"/>
      <c r="DX30" s="9"/>
      <c r="EN30" s="9"/>
      <c r="FD30" s="9"/>
      <c r="FT30" s="9"/>
      <c r="GJ30" s="9"/>
      <c r="GZ30" s="9"/>
      <c r="HP30" s="9"/>
      <c r="IF30" s="9"/>
      <c r="IV30" s="9"/>
      <c r="JL30" s="9"/>
      <c r="KB30" s="9"/>
      <c r="KR30" s="9"/>
      <c r="LH30" s="9"/>
      <c r="LX30" s="9"/>
      <c r="MN30" s="9"/>
      <c r="ND30" s="9"/>
      <c r="NT30" s="9"/>
      <c r="OJ30" s="9"/>
    </row>
    <row r="31" spans="1:499" hidden="1" x14ac:dyDescent="0.2">
      <c r="BL31" s="9"/>
      <c r="CB31" s="9"/>
      <c r="CR31" s="9"/>
      <c r="DH31" s="9"/>
      <c r="DX31" s="9"/>
      <c r="EN31" s="9"/>
      <c r="FD31" s="9"/>
      <c r="FT31" s="9"/>
      <c r="GJ31" s="9"/>
      <c r="GZ31" s="9"/>
      <c r="HP31" s="9"/>
      <c r="IF31" s="9"/>
      <c r="IV31" s="9"/>
      <c r="JL31" s="9"/>
      <c r="KB31" s="9"/>
      <c r="KR31" s="9"/>
      <c r="LH31" s="9"/>
      <c r="LX31" s="9"/>
      <c r="MN31" s="9"/>
      <c r="ND31" s="9"/>
      <c r="NT31" s="9"/>
      <c r="OJ31" s="9"/>
    </row>
    <row r="32" spans="1:499" hidden="1" x14ac:dyDescent="0.2">
      <c r="BL32" s="9"/>
      <c r="CB32" s="9"/>
      <c r="CR32" s="9"/>
      <c r="DH32" s="9"/>
      <c r="DX32" s="9"/>
      <c r="EN32" s="9"/>
      <c r="FD32" s="9"/>
      <c r="FT32" s="9"/>
      <c r="GJ32" s="9"/>
      <c r="GZ32" s="9"/>
      <c r="HP32" s="9"/>
      <c r="IF32" s="9"/>
      <c r="IV32" s="9"/>
      <c r="JL32" s="9"/>
      <c r="KB32" s="9"/>
      <c r="KR32" s="9"/>
      <c r="LH32" s="9"/>
      <c r="LX32" s="9"/>
      <c r="MN32" s="9"/>
      <c r="ND32" s="9"/>
      <c r="NT32" s="9"/>
      <c r="OJ32" s="9"/>
    </row>
    <row r="33" spans="64:400" hidden="1" x14ac:dyDescent="0.2">
      <c r="BL33" s="9"/>
      <c r="CB33" s="9"/>
      <c r="CR33" s="9"/>
      <c r="DH33" s="9"/>
      <c r="DX33" s="9"/>
      <c r="EN33" s="9"/>
      <c r="FD33" s="9"/>
      <c r="FT33" s="9"/>
      <c r="GJ33" s="9"/>
      <c r="GZ33" s="9"/>
      <c r="HP33" s="9"/>
      <c r="IF33" s="9"/>
      <c r="IV33" s="9"/>
      <c r="JL33" s="9"/>
      <c r="KB33" s="9"/>
      <c r="KR33" s="9"/>
      <c r="LH33" s="9"/>
      <c r="LX33" s="9"/>
      <c r="MN33" s="9"/>
      <c r="ND33" s="9"/>
      <c r="NT33" s="9"/>
      <c r="OJ33" s="9"/>
    </row>
    <row r="34" spans="64:400" hidden="1" x14ac:dyDescent="0.2">
      <c r="BL34" s="9"/>
      <c r="CB34" s="9"/>
      <c r="CR34" s="9"/>
      <c r="DH34" s="9"/>
      <c r="DX34" s="9"/>
      <c r="EN34" s="9"/>
      <c r="FD34" s="9"/>
      <c r="FT34" s="9"/>
      <c r="GJ34" s="9"/>
      <c r="GZ34" s="9"/>
      <c r="HP34" s="9"/>
      <c r="IF34" s="9"/>
      <c r="IV34" s="9"/>
      <c r="JL34" s="9"/>
      <c r="KB34" s="9"/>
      <c r="KR34" s="9"/>
      <c r="LH34" s="9"/>
      <c r="LX34" s="9"/>
      <c r="MN34" s="9"/>
      <c r="ND34" s="9"/>
      <c r="NT34" s="9"/>
      <c r="OJ34" s="9"/>
    </row>
    <row r="35" spans="64:400" hidden="1" x14ac:dyDescent="0.2">
      <c r="BL35" s="9"/>
      <c r="CB35" s="9"/>
      <c r="CR35" s="9"/>
      <c r="DH35" s="9"/>
      <c r="DX35" s="9"/>
      <c r="EN35" s="9"/>
      <c r="FD35" s="9"/>
      <c r="FT35" s="9"/>
      <c r="GJ35" s="9"/>
      <c r="GZ35" s="9"/>
      <c r="HP35" s="9"/>
      <c r="IF35" s="9"/>
      <c r="IV35" s="9"/>
      <c r="JL35" s="9"/>
      <c r="KB35" s="9"/>
      <c r="KR35" s="9"/>
      <c r="LH35" s="9"/>
      <c r="LX35" s="9"/>
      <c r="MN35" s="9"/>
      <c r="ND35" s="9"/>
      <c r="NT35" s="9"/>
      <c r="OJ35" s="9"/>
    </row>
    <row r="36" spans="64:400" hidden="1" x14ac:dyDescent="0.2">
      <c r="BL36" s="9"/>
      <c r="CB36" s="9"/>
      <c r="CR36" s="9"/>
      <c r="DH36" s="9"/>
      <c r="DX36" s="9"/>
      <c r="EN36" s="9"/>
      <c r="FD36" s="9"/>
      <c r="FT36" s="9"/>
      <c r="GJ36" s="9"/>
      <c r="GZ36" s="9"/>
      <c r="HP36" s="9"/>
      <c r="IF36" s="9"/>
      <c r="IV36" s="9"/>
      <c r="JL36" s="9"/>
      <c r="KB36" s="9"/>
      <c r="KR36" s="9"/>
      <c r="LH36" s="9"/>
      <c r="LX36" s="9"/>
      <c r="MN36" s="9"/>
      <c r="ND36" s="9"/>
      <c r="NT36" s="9"/>
      <c r="OJ36" s="9"/>
    </row>
    <row r="37" spans="64:400" hidden="1" x14ac:dyDescent="0.2">
      <c r="BL37" s="9"/>
      <c r="CB37" s="9"/>
      <c r="CR37" s="9"/>
      <c r="DH37" s="9"/>
      <c r="DX37" s="9"/>
      <c r="EN37" s="9"/>
      <c r="FD37" s="9"/>
      <c r="FT37" s="9"/>
      <c r="GJ37" s="9"/>
      <c r="GZ37" s="9"/>
      <c r="HP37" s="9"/>
      <c r="IF37" s="9"/>
      <c r="IV37" s="9"/>
      <c r="JL37" s="9"/>
      <c r="KB37" s="9"/>
      <c r="KR37" s="9"/>
      <c r="LH37" s="9"/>
      <c r="LX37" s="9"/>
      <c r="MN37" s="9"/>
      <c r="ND37" s="9"/>
      <c r="NT37" s="9"/>
      <c r="OJ37" s="9"/>
    </row>
    <row r="38" spans="64:400" hidden="1" x14ac:dyDescent="0.2">
      <c r="BL38" s="9"/>
      <c r="CB38" s="9"/>
      <c r="CR38" s="9"/>
      <c r="DH38" s="9"/>
      <c r="DX38" s="9"/>
      <c r="EN38" s="9"/>
      <c r="FD38" s="9"/>
      <c r="FT38" s="9"/>
      <c r="GJ38" s="9"/>
      <c r="GZ38" s="9"/>
      <c r="HP38" s="9"/>
      <c r="IF38" s="9"/>
      <c r="IV38" s="9"/>
      <c r="JL38" s="9"/>
      <c r="KB38" s="9"/>
      <c r="KR38" s="9"/>
      <c r="LH38" s="9"/>
      <c r="LX38" s="9"/>
      <c r="MN38" s="9"/>
      <c r="ND38" s="9"/>
      <c r="NT38" s="9"/>
      <c r="OJ38" s="9"/>
    </row>
    <row r="39" spans="64:400" hidden="1" x14ac:dyDescent="0.2">
      <c r="BL39" s="9"/>
      <c r="CB39" s="9"/>
      <c r="CR39" s="9"/>
      <c r="DH39" s="9"/>
      <c r="DX39" s="9"/>
      <c r="EN39" s="9"/>
      <c r="FD39" s="9"/>
      <c r="FT39" s="9"/>
      <c r="GJ39" s="9"/>
      <c r="GZ39" s="9"/>
      <c r="HP39" s="9"/>
      <c r="IF39" s="9"/>
      <c r="IV39" s="9"/>
      <c r="JL39" s="9"/>
      <c r="KB39" s="9"/>
      <c r="KR39" s="9"/>
      <c r="LH39" s="9"/>
      <c r="LX39" s="9"/>
      <c r="MN39" s="9"/>
      <c r="ND39" s="9"/>
      <c r="NT39" s="9"/>
      <c r="OJ39" s="9"/>
    </row>
    <row r="40" spans="64:400" hidden="1" x14ac:dyDescent="0.2">
      <c r="BL40" s="9"/>
      <c r="CB40" s="9"/>
      <c r="CR40" s="9"/>
      <c r="DH40" s="9"/>
      <c r="DX40" s="9"/>
      <c r="EN40" s="9"/>
      <c r="FD40" s="9"/>
      <c r="FT40" s="9"/>
      <c r="GJ40" s="9"/>
      <c r="GZ40" s="9"/>
      <c r="HP40" s="9"/>
      <c r="IF40" s="9"/>
      <c r="IV40" s="9"/>
      <c r="JL40" s="9"/>
      <c r="KB40" s="9"/>
      <c r="KR40" s="9"/>
      <c r="LH40" s="9"/>
      <c r="LX40" s="9"/>
      <c r="MN40" s="9"/>
      <c r="ND40" s="9"/>
      <c r="NT40" s="9"/>
      <c r="OJ40" s="9"/>
    </row>
    <row r="41" spans="64:400" hidden="1" x14ac:dyDescent="0.2">
      <c r="BL41" s="9"/>
      <c r="CB41" s="9"/>
      <c r="CR41" s="9"/>
      <c r="DH41" s="9"/>
      <c r="DX41" s="9"/>
      <c r="EN41" s="9"/>
      <c r="FD41" s="9"/>
      <c r="FT41" s="9"/>
      <c r="GJ41" s="9"/>
      <c r="GZ41" s="9"/>
      <c r="HP41" s="9"/>
      <c r="IF41" s="9"/>
      <c r="IV41" s="9"/>
      <c r="JL41" s="9"/>
      <c r="KB41" s="9"/>
      <c r="KR41" s="9"/>
      <c r="LH41" s="9"/>
      <c r="LX41" s="9"/>
      <c r="MN41" s="9"/>
      <c r="ND41" s="9"/>
      <c r="NT41" s="9"/>
      <c r="OJ41" s="9"/>
    </row>
    <row r="42" spans="64:400" hidden="1" x14ac:dyDescent="0.2">
      <c r="BL42" s="9"/>
      <c r="CB42" s="9"/>
      <c r="CR42" s="9"/>
      <c r="DH42" s="9"/>
      <c r="DX42" s="9"/>
      <c r="EN42" s="9"/>
      <c r="FD42" s="9"/>
      <c r="FT42" s="9"/>
      <c r="GJ42" s="9"/>
      <c r="GZ42" s="9"/>
      <c r="HP42" s="9"/>
      <c r="IF42" s="9"/>
      <c r="IV42" s="9"/>
      <c r="JL42" s="9"/>
      <c r="KB42" s="9"/>
      <c r="KR42" s="9"/>
      <c r="LH42" s="9"/>
      <c r="LX42" s="9"/>
      <c r="MN42" s="9"/>
      <c r="ND42" s="9"/>
      <c r="NT42" s="9"/>
      <c r="OJ42" s="9"/>
    </row>
    <row r="43" spans="64:400" hidden="1" x14ac:dyDescent="0.2">
      <c r="BL43" s="9"/>
      <c r="CB43" s="9"/>
      <c r="CR43" s="9"/>
      <c r="DH43" s="9"/>
      <c r="DX43" s="9"/>
      <c r="EN43" s="9"/>
      <c r="FD43" s="9"/>
      <c r="FT43" s="9"/>
      <c r="GJ43" s="9"/>
      <c r="GZ43" s="9"/>
      <c r="HP43" s="9"/>
      <c r="IF43" s="9"/>
      <c r="IV43" s="9"/>
      <c r="JL43" s="9"/>
      <c r="KB43" s="9"/>
      <c r="KR43" s="9"/>
      <c r="LH43" s="9"/>
      <c r="LX43" s="9"/>
      <c r="MN43" s="9"/>
      <c r="ND43" s="9"/>
      <c r="NT43" s="9"/>
      <c r="OJ43" s="9"/>
    </row>
    <row r="44" spans="64:400" hidden="1" x14ac:dyDescent="0.2">
      <c r="BL44" s="9"/>
      <c r="CB44" s="9"/>
      <c r="CR44" s="9"/>
      <c r="DH44" s="9"/>
      <c r="DX44" s="9"/>
      <c r="EN44" s="9"/>
      <c r="FD44" s="9"/>
      <c r="FT44" s="9"/>
      <c r="GJ44" s="9"/>
      <c r="GZ44" s="9"/>
      <c r="HP44" s="9"/>
      <c r="IF44" s="9"/>
      <c r="IV44" s="9"/>
      <c r="JL44" s="9"/>
      <c r="KB44" s="9"/>
      <c r="KR44" s="9"/>
      <c r="LH44" s="9"/>
      <c r="LX44" s="9"/>
      <c r="MN44" s="9"/>
      <c r="ND44" s="9"/>
      <c r="NT44" s="9"/>
      <c r="OJ44" s="9"/>
    </row>
    <row r="45" spans="64:400" hidden="1" x14ac:dyDescent="0.2">
      <c r="BL45" s="9"/>
      <c r="CB45" s="9"/>
      <c r="CR45" s="9"/>
      <c r="DH45" s="9"/>
      <c r="DX45" s="9"/>
      <c r="EN45" s="9"/>
      <c r="FD45" s="9"/>
      <c r="FT45" s="9"/>
      <c r="GJ45" s="9"/>
      <c r="GZ45" s="9"/>
      <c r="HP45" s="9"/>
      <c r="IF45" s="9"/>
      <c r="IV45" s="9"/>
      <c r="JL45" s="9"/>
      <c r="KB45" s="9"/>
      <c r="KR45" s="9"/>
      <c r="LH45" s="9"/>
      <c r="LX45" s="9"/>
      <c r="MN45" s="9"/>
      <c r="ND45" s="9"/>
      <c r="NT45" s="9"/>
      <c r="OJ45" s="9"/>
    </row>
    <row r="46" spans="64:400" hidden="1" x14ac:dyDescent="0.2">
      <c r="BL46" s="9"/>
      <c r="CB46" s="9"/>
      <c r="CR46" s="9"/>
      <c r="DH46" s="9"/>
      <c r="DX46" s="9"/>
      <c r="EN46" s="9"/>
      <c r="FD46" s="9"/>
      <c r="FT46" s="9"/>
      <c r="GJ46" s="9"/>
      <c r="GZ46" s="9"/>
      <c r="HP46" s="9"/>
      <c r="IF46" s="9"/>
      <c r="IV46" s="9"/>
      <c r="JL46" s="9"/>
      <c r="KB46" s="9"/>
      <c r="KR46" s="9"/>
      <c r="LH46" s="9"/>
      <c r="LX46" s="9"/>
      <c r="MN46" s="9"/>
      <c r="ND46" s="9"/>
      <c r="NT46" s="9"/>
      <c r="OJ46" s="9"/>
    </row>
    <row r="47" spans="64:400" hidden="1" x14ac:dyDescent="0.2">
      <c r="BL47" s="9"/>
      <c r="CB47" s="9"/>
      <c r="CR47" s="9"/>
      <c r="DH47" s="9"/>
      <c r="DX47" s="9"/>
      <c r="EN47" s="9"/>
      <c r="FD47" s="9"/>
      <c r="FT47" s="9"/>
      <c r="GJ47" s="9"/>
      <c r="GZ47" s="9"/>
      <c r="HP47" s="9"/>
      <c r="IF47" s="9"/>
      <c r="IV47" s="9"/>
      <c r="JL47" s="9"/>
      <c r="KB47" s="9"/>
      <c r="KR47" s="9"/>
      <c r="LH47" s="9"/>
      <c r="LX47" s="9"/>
      <c r="MN47" s="9"/>
      <c r="ND47" s="9"/>
      <c r="NT47" s="9"/>
      <c r="OJ47" s="9"/>
    </row>
    <row r="48" spans="64:400" hidden="1" x14ac:dyDescent="0.2">
      <c r="BL48" s="9"/>
      <c r="CB48" s="9"/>
      <c r="CR48" s="9"/>
      <c r="DH48" s="9"/>
      <c r="DX48" s="9"/>
      <c r="EN48" s="9"/>
      <c r="FD48" s="9"/>
      <c r="FT48" s="9"/>
      <c r="GJ48" s="9"/>
      <c r="GZ48" s="9"/>
      <c r="HP48" s="9"/>
      <c r="IF48" s="9"/>
      <c r="IV48" s="9"/>
      <c r="JL48" s="9"/>
      <c r="KB48" s="9"/>
      <c r="KR48" s="9"/>
      <c r="LH48" s="9"/>
      <c r="LX48" s="9"/>
      <c r="MN48" s="9"/>
      <c r="ND48" s="9"/>
      <c r="NT48" s="9"/>
      <c r="OJ48" s="9"/>
    </row>
    <row r="49" spans="1:401" hidden="1" x14ac:dyDescent="0.2">
      <c r="BL49" s="9"/>
      <c r="CB49" s="9"/>
      <c r="CR49" s="9"/>
      <c r="DH49" s="9"/>
      <c r="DX49" s="9"/>
      <c r="EN49" s="9"/>
      <c r="FD49" s="9"/>
      <c r="FT49" s="9"/>
      <c r="GJ49" s="9"/>
      <c r="GZ49" s="9"/>
      <c r="HP49" s="9"/>
      <c r="IF49" s="9"/>
      <c r="IV49" s="9"/>
      <c r="JL49" s="9"/>
      <c r="KB49" s="9"/>
      <c r="KR49" s="9"/>
      <c r="LH49" s="9"/>
      <c r="LX49" s="9"/>
      <c r="MN49" s="9"/>
      <c r="ND49" s="9"/>
      <c r="NT49" s="9"/>
      <c r="OJ49" s="9"/>
    </row>
    <row r="50" spans="1:401" hidden="1" x14ac:dyDescent="0.2">
      <c r="BL50" s="9"/>
      <c r="CB50" s="9"/>
      <c r="CR50" s="9"/>
      <c r="DH50" s="9"/>
      <c r="DX50" s="9"/>
      <c r="EN50" s="9"/>
      <c r="FD50" s="9"/>
      <c r="FT50" s="9"/>
      <c r="GJ50" s="9"/>
      <c r="GZ50" s="9"/>
      <c r="HP50" s="9"/>
      <c r="IF50" s="9"/>
      <c r="IV50" s="9"/>
      <c r="JL50" s="9"/>
      <c r="KB50" s="9"/>
      <c r="KR50" s="9"/>
      <c r="LH50" s="9"/>
      <c r="LX50" s="9"/>
      <c r="MN50" s="9"/>
      <c r="ND50" s="9"/>
      <c r="NT50" s="9"/>
      <c r="OJ50" s="9"/>
    </row>
    <row r="51" spans="1:401" hidden="1" x14ac:dyDescent="0.2">
      <c r="BL51" s="9"/>
      <c r="CB51" s="9"/>
      <c r="CR51" s="9"/>
      <c r="DH51" s="9"/>
      <c r="DX51" s="9"/>
      <c r="EN51" s="9"/>
      <c r="FD51" s="9"/>
      <c r="FT51" s="9"/>
      <c r="GJ51" s="9"/>
      <c r="GZ51" s="9"/>
      <c r="HP51" s="9"/>
      <c r="IF51" s="9"/>
      <c r="IV51" s="9"/>
      <c r="JL51" s="9"/>
      <c r="KB51" s="9"/>
      <c r="KR51" s="9"/>
      <c r="LH51" s="9"/>
      <c r="LX51" s="9"/>
      <c r="MN51" s="9"/>
      <c r="ND51" s="9"/>
      <c r="NT51" s="9"/>
      <c r="OJ51" s="9"/>
    </row>
    <row r="52" spans="1:401" hidden="1" x14ac:dyDescent="0.2">
      <c r="BL52" s="9"/>
      <c r="CB52" s="9"/>
      <c r="CR52" s="9"/>
      <c r="DH52" s="9"/>
      <c r="DX52" s="9"/>
      <c r="EN52" s="9"/>
      <c r="FD52" s="9"/>
      <c r="FT52" s="9"/>
      <c r="GJ52" s="9"/>
      <c r="GZ52" s="9"/>
      <c r="HP52" s="9"/>
      <c r="IF52" s="9"/>
      <c r="IV52" s="9"/>
      <c r="JL52" s="9"/>
      <c r="KB52" s="9"/>
      <c r="KR52" s="9"/>
      <c r="LH52" s="9"/>
      <c r="LX52" s="9"/>
      <c r="MN52" s="9"/>
      <c r="ND52" s="9"/>
      <c r="NT52" s="9"/>
      <c r="OJ52" s="9"/>
    </row>
    <row r="53" spans="1:401" hidden="1" x14ac:dyDescent="0.2">
      <c r="BL53" s="9"/>
      <c r="CB53" s="9"/>
      <c r="CR53" s="9"/>
      <c r="DH53" s="9"/>
      <c r="DX53" s="9"/>
      <c r="EN53" s="9"/>
      <c r="FD53" s="9"/>
      <c r="FT53" s="9"/>
      <c r="GJ53" s="9"/>
      <c r="GZ53" s="9"/>
      <c r="HP53" s="9"/>
      <c r="IF53" s="9"/>
      <c r="IV53" s="9"/>
      <c r="JL53" s="9"/>
      <c r="KB53" s="9"/>
      <c r="KR53" s="9"/>
      <c r="LH53" s="9"/>
      <c r="LX53" s="9"/>
      <c r="MN53" s="9"/>
      <c r="ND53" s="9"/>
      <c r="NT53" s="9"/>
      <c r="OJ53" s="9"/>
    </row>
    <row r="54" spans="1:401" hidden="1" x14ac:dyDescent="0.2">
      <c r="BL54" s="9"/>
      <c r="CB54" s="9"/>
      <c r="CR54" s="9"/>
      <c r="DH54" s="9"/>
      <c r="DX54" s="9"/>
      <c r="EN54" s="9"/>
      <c r="FD54" s="9"/>
      <c r="FT54" s="9"/>
      <c r="GJ54" s="9"/>
      <c r="GZ54" s="9"/>
      <c r="HP54" s="9"/>
      <c r="IF54" s="9"/>
      <c r="IV54" s="9"/>
      <c r="JL54" s="9"/>
      <c r="KB54" s="9"/>
      <c r="KR54" s="9"/>
      <c r="LH54" s="9"/>
      <c r="LX54" s="9"/>
      <c r="MN54" s="9"/>
      <c r="ND54" s="9"/>
      <c r="NT54" s="9"/>
      <c r="OJ54" s="9"/>
    </row>
    <row r="55" spans="1:401" hidden="1" x14ac:dyDescent="0.2">
      <c r="BL55" s="9"/>
      <c r="CB55" s="9"/>
      <c r="CR55" s="9"/>
      <c r="DH55" s="9"/>
      <c r="DX55" s="9"/>
      <c r="EN55" s="9"/>
      <c r="FD55" s="9"/>
      <c r="FT55" s="9"/>
      <c r="GJ55" s="9"/>
      <c r="GZ55" s="9"/>
      <c r="HP55" s="9"/>
      <c r="IF55" s="9"/>
      <c r="IV55" s="9"/>
      <c r="JL55" s="9"/>
      <c r="KB55" s="9"/>
      <c r="KR55" s="9"/>
      <c r="LH55" s="9"/>
      <c r="LX55" s="9"/>
      <c r="MN55" s="9"/>
      <c r="ND55" s="9"/>
      <c r="NT55" s="9"/>
      <c r="OJ55" s="9"/>
    </row>
    <row r="56" spans="1:401" hidden="1" x14ac:dyDescent="0.2">
      <c r="BL56" s="9"/>
      <c r="CB56" s="9"/>
      <c r="CR56" s="9"/>
      <c r="DH56" s="9"/>
      <c r="DX56" s="9"/>
      <c r="EN56" s="9"/>
      <c r="FD56" s="9"/>
      <c r="FT56" s="9"/>
      <c r="GJ56" s="9"/>
      <c r="GZ56" s="9"/>
      <c r="HP56" s="9"/>
      <c r="IF56" s="9"/>
      <c r="IV56" s="9"/>
      <c r="JL56" s="9"/>
      <c r="KB56" s="9"/>
      <c r="KR56" s="9"/>
      <c r="LH56" s="9"/>
      <c r="LX56" s="9"/>
      <c r="MN56" s="9"/>
      <c r="ND56" s="9"/>
      <c r="NT56" s="9"/>
      <c r="OJ56" s="9"/>
    </row>
    <row r="57" spans="1:401" hidden="1" x14ac:dyDescent="0.2">
      <c r="BL57" s="9"/>
      <c r="CB57" s="9"/>
      <c r="CR57" s="9"/>
      <c r="DH57" s="9"/>
      <c r="DX57" s="9"/>
      <c r="EN57" s="9"/>
      <c r="FD57" s="9"/>
      <c r="FT57" s="9"/>
      <c r="GJ57" s="9"/>
      <c r="GZ57" s="9"/>
      <c r="HP57" s="9"/>
      <c r="IF57" s="9"/>
      <c r="IV57" s="9"/>
      <c r="JL57" s="9"/>
      <c r="KB57" s="9"/>
      <c r="KR57" s="9"/>
      <c r="LH57" s="9"/>
      <c r="LX57" s="9"/>
      <c r="MN57" s="9"/>
      <c r="ND57" s="9"/>
      <c r="NT57" s="9"/>
      <c r="OJ57" s="9"/>
    </row>
    <row r="58" spans="1:401" hidden="1" x14ac:dyDescent="0.2">
      <c r="BL58" s="9"/>
      <c r="CB58" s="9"/>
      <c r="CR58" s="9"/>
      <c r="DH58" s="9"/>
      <c r="DX58" s="9"/>
      <c r="EN58" s="9"/>
      <c r="FD58" s="9"/>
      <c r="FT58" s="9"/>
      <c r="GJ58" s="9"/>
      <c r="GZ58" s="9"/>
      <c r="HP58" s="9"/>
      <c r="IF58" s="9"/>
      <c r="IV58" s="9"/>
      <c r="JL58" s="9"/>
      <c r="KB58" s="9"/>
      <c r="KR58" s="9"/>
      <c r="LH58" s="9"/>
      <c r="LX58" s="9"/>
      <c r="MN58" s="9"/>
      <c r="ND58" s="9"/>
      <c r="NT58" s="9"/>
      <c r="OJ58" s="9"/>
    </row>
    <row r="59" spans="1:401" hidden="1" x14ac:dyDescent="0.2">
      <c r="BL59" s="9"/>
      <c r="CB59" s="9"/>
      <c r="CR59" s="9"/>
      <c r="DH59" s="9"/>
      <c r="DX59" s="9"/>
      <c r="EN59" s="9"/>
      <c r="FD59" s="9"/>
      <c r="FT59" s="9"/>
      <c r="GJ59" s="9"/>
      <c r="GZ59" s="9"/>
      <c r="HP59" s="9"/>
      <c r="IF59" s="9"/>
      <c r="IV59" s="9"/>
      <c r="JL59" s="9"/>
      <c r="KB59" s="9"/>
      <c r="KR59" s="9"/>
      <c r="LH59" s="9"/>
      <c r="LX59" s="9"/>
      <c r="MN59" s="9"/>
      <c r="ND59" s="9"/>
      <c r="NT59" s="9"/>
      <c r="OJ59" s="9"/>
    </row>
    <row r="60" spans="1:401" hidden="1" x14ac:dyDescent="0.2">
      <c r="BL60" s="9"/>
      <c r="CB60" s="9"/>
      <c r="CR60" s="9"/>
      <c r="DH60" s="9"/>
      <c r="DX60" s="9"/>
      <c r="EN60" s="9"/>
      <c r="FD60" s="9"/>
      <c r="FT60" s="9"/>
      <c r="GJ60" s="9"/>
      <c r="GZ60" s="9"/>
      <c r="HP60" s="9"/>
      <c r="IF60" s="9"/>
      <c r="IV60" s="9"/>
      <c r="JL60" s="9"/>
      <c r="KB60" s="9"/>
      <c r="KR60" s="9"/>
      <c r="LH60" s="9"/>
      <c r="LX60" s="9"/>
      <c r="MN60" s="9"/>
      <c r="ND60" s="9"/>
      <c r="NT60" s="9"/>
      <c r="OJ60" s="9"/>
    </row>
    <row r="61" spans="1:401" hidden="1" x14ac:dyDescent="0.2">
      <c r="BL61" s="9"/>
      <c r="CB61" s="9"/>
      <c r="CR61" s="9"/>
      <c r="DH61" s="9"/>
      <c r="DX61" s="9"/>
      <c r="EN61" s="9"/>
      <c r="FD61" s="9"/>
      <c r="FT61" s="9"/>
      <c r="GJ61" s="9"/>
      <c r="GZ61" s="9"/>
      <c r="HP61" s="9"/>
      <c r="IF61" s="9"/>
      <c r="IV61" s="9"/>
      <c r="JL61" s="9"/>
      <c r="KB61" s="9"/>
      <c r="KR61" s="9"/>
      <c r="LH61" s="9"/>
      <c r="LX61" s="9"/>
      <c r="MN61" s="9"/>
      <c r="ND61" s="9"/>
      <c r="NT61" s="9"/>
      <c r="OJ61" s="9"/>
    </row>
    <row r="62" spans="1:401" x14ac:dyDescent="0.2">
      <c r="AZ62" s="16"/>
      <c r="BA62" s="30"/>
      <c r="BB62" s="16"/>
      <c r="BC62" s="30"/>
      <c r="BD62" s="16"/>
      <c r="BE62" s="30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30"/>
      <c r="BS62" s="16"/>
      <c r="BT62" s="30"/>
      <c r="BU62" s="30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30"/>
      <c r="CH62" s="16"/>
      <c r="CI62" s="16"/>
      <c r="CJ62" s="30"/>
      <c r="CK62" s="30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30"/>
      <c r="CY62" s="30"/>
      <c r="CZ62" s="30"/>
      <c r="DA62" s="30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30"/>
      <c r="DM62" s="16"/>
      <c r="DN62" s="16"/>
      <c r="DO62" s="16"/>
      <c r="DP62" s="30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30"/>
      <c r="ED62" s="16"/>
      <c r="EE62" s="30"/>
      <c r="EF62" s="30"/>
      <c r="EG62" s="30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29"/>
      <c r="ES62" s="29"/>
      <c r="ET62" s="29"/>
      <c r="EU62" s="29"/>
      <c r="EV62" s="30"/>
      <c r="EW62" s="29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30"/>
      <c r="FL62" s="30"/>
      <c r="FM62" s="30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29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29"/>
      <c r="GQ62" s="16"/>
      <c r="GR62" s="30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30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30"/>
      <c r="HU62" s="16"/>
      <c r="HV62" s="29"/>
      <c r="HW62" s="16"/>
      <c r="HX62" s="30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29"/>
      <c r="IK62" s="16"/>
      <c r="IL62" s="16"/>
      <c r="IM62" s="16"/>
      <c r="IN62" s="30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30"/>
      <c r="JN62" s="30"/>
      <c r="JO62" s="16"/>
      <c r="JP62" s="29"/>
      <c r="KB62" s="9"/>
      <c r="KR62" s="9"/>
      <c r="LH62" s="9"/>
      <c r="LX62" s="9"/>
      <c r="MN62" s="9"/>
      <c r="ND62" s="9"/>
      <c r="NT62" s="9"/>
      <c r="OJ62" s="9"/>
    </row>
    <row r="63" spans="1:401" x14ac:dyDescent="0.2">
      <c r="A63" s="5" t="s">
        <v>45</v>
      </c>
      <c r="AH63" s="12"/>
      <c r="AI63" s="12"/>
      <c r="AJ63" s="12"/>
      <c r="AK63" s="12"/>
      <c r="AL63" s="12"/>
      <c r="AM63" s="12"/>
      <c r="AN63" s="12"/>
      <c r="AO63" s="12"/>
      <c r="AP63" s="12"/>
      <c r="BL63" s="9"/>
      <c r="CB63" s="9"/>
      <c r="CR63" s="9"/>
      <c r="DH63" s="9"/>
      <c r="DX63" s="9"/>
      <c r="EN63" s="9"/>
      <c r="FD63" s="9"/>
      <c r="FT63" s="9"/>
      <c r="GJ63" s="9"/>
      <c r="GZ63" s="9"/>
      <c r="HP63" s="9"/>
      <c r="IF63" s="9"/>
      <c r="IV63" s="9"/>
      <c r="JL63" s="9"/>
      <c r="KB63" s="9"/>
      <c r="KR63" s="9"/>
      <c r="LH63" s="9"/>
      <c r="LX63" s="9"/>
      <c r="MN63" s="9"/>
      <c r="ND63" s="9"/>
      <c r="NT63" s="9"/>
      <c r="OJ63" s="9"/>
    </row>
    <row r="64" spans="1:401" x14ac:dyDescent="0.2">
      <c r="A64" t="s">
        <v>1292</v>
      </c>
      <c r="B64" s="12">
        <f>P64+AH64+AZ64+BP64+CF64+CV64+DL64+EB64+ER64+FH64+FX64+GN64+HD64+HT64+IJ64+IZ64+JP64+KF64+KV64+LL64+MB64+MR64+NH64+NX64</f>
        <v>0</v>
      </c>
      <c r="C64" s="12">
        <f t="shared" ref="C64:J69" si="316">Q64+AI64+BA64+BQ64+CG64+CW64+DM64+EC64+ES64+FI64+FY64+GO64+HE64+HU64+IK64+JA64+JQ64+KG64+KW64+LM64+MC64+MS64+NI64+NY64</f>
        <v>0</v>
      </c>
      <c r="D64" s="12">
        <f t="shared" si="316"/>
        <v>0</v>
      </c>
      <c r="E64" s="12">
        <f t="shared" si="316"/>
        <v>0</v>
      </c>
      <c r="F64" s="12">
        <f t="shared" si="316"/>
        <v>0</v>
      </c>
      <c r="G64" s="12">
        <f t="shared" si="316"/>
        <v>0</v>
      </c>
      <c r="H64" s="12">
        <f t="shared" si="316"/>
        <v>0</v>
      </c>
      <c r="I64" s="12">
        <f t="shared" si="316"/>
        <v>0</v>
      </c>
      <c r="J64" s="12">
        <f t="shared" si="316"/>
        <v>0</v>
      </c>
      <c r="P64" s="12" cm="1">
        <f t="array" ref="P64">_xlfn.SWITCH(P$4, 0,0, 1, AA64,2,AC64,3,AE64,0)</f>
        <v>0</v>
      </c>
      <c r="Q64" s="12" cm="1">
        <f t="array" ref="Q64">_xlfn.SWITCH(Q$4, 0,0, 1, AA64,2,AC64,3,AE64,0)+P64</f>
        <v>0</v>
      </c>
      <c r="R64" s="12" cm="1">
        <f t="array" ref="R64">_xlfn.SWITCH(R$4, 0,0, 1, AA64,2,AC64,3,AE64,0)+Q64</f>
        <v>0</v>
      </c>
      <c r="S64" s="12" cm="1">
        <f t="array" ref="S64">_xlfn.SWITCH(S$4, 0,0, 1, AA64,2,AC64,3,AE64,0)+R64</f>
        <v>0</v>
      </c>
      <c r="T64" s="12" cm="1">
        <f t="array" ref="T64">_xlfn.SWITCH(T$4, 0,0, 1, AA64,2,AC64,3,AE64,0)+S64</f>
        <v>0</v>
      </c>
      <c r="U64" s="12" cm="1">
        <f t="array" ref="U64">_xlfn.SWITCH(U$4, 0,0, 1, AA64,2,AC64,3,AE64,0)+T64</f>
        <v>0</v>
      </c>
      <c r="V64" s="12" cm="1">
        <f t="array" ref="V64">_xlfn.SWITCH(V$4, 0,0, 1, AA64,2,AC64,3,AE64,0)+U64</f>
        <v>0</v>
      </c>
      <c r="W64" s="12" cm="1">
        <f t="array" ref="W64">_xlfn.SWITCH(W$4, 0,0, 1, AA64,2,AC64,3,AE64,0)+V64</f>
        <v>0</v>
      </c>
      <c r="X64" s="12" cm="1">
        <f t="array" ref="X64">_xlfn.SWITCH(X$4, 0,0, 1, AA64,2,AC64,3,AE64,0)+W64</f>
        <v>0</v>
      </c>
      <c r="Z64" t="s">
        <v>1304</v>
      </c>
      <c r="AA64">
        <f>_xlfn.XLOOKUP(Z64,'KPI Impacts'!$K$2:$Q$2,'KPI Impacts'!$K64:$Q64)</f>
        <v>0</v>
      </c>
      <c r="AB64" t="s">
        <v>1304</v>
      </c>
      <c r="AC64">
        <f>_xlfn.XLOOKUP(AB64,'KPI Impacts'!$K$2:$Q$2,'KPI Impacts'!$K64:$Q64)</f>
        <v>0</v>
      </c>
      <c r="AD64" t="s">
        <v>1304</v>
      </c>
      <c r="AE64">
        <f>_xlfn.XLOOKUP(AD64,'KPI Impacts'!$K$2:$Q$2,'KPI Impacts'!$K64:$Q64)</f>
        <v>0</v>
      </c>
      <c r="AH64" s="12" cm="1">
        <f t="array" ref="AH64">_xlfn.SWITCH(AH$4, 0,0, 1, AS64,2,AU64,3,AW64,0)</f>
        <v>0</v>
      </c>
      <c r="AI64" s="12" cm="1">
        <f t="array" ref="AI64">_xlfn.SWITCH(AI$4, 0,0, 1, AS64,2,AU64,3,AW64,0)+AH64</f>
        <v>0</v>
      </c>
      <c r="AJ64" s="12" cm="1">
        <f t="array" ref="AJ64">_xlfn.SWITCH(AJ$4, 0,0, 1, AS64,2,AU64,3,AW64,0)+AI64</f>
        <v>0</v>
      </c>
      <c r="AK64" s="12" cm="1">
        <f t="array" ref="AK64">_xlfn.SWITCH(AK$4, 0,0, 1, AS64,2,AU64,3,AW64,0)+AJ64</f>
        <v>0</v>
      </c>
      <c r="AL64" s="12" cm="1">
        <f t="array" ref="AL64">_xlfn.SWITCH(AL$4, 0,0, 1, AS64,2,AU64,3,AW64,0)+AK64</f>
        <v>0</v>
      </c>
      <c r="AM64" s="12" cm="1">
        <f t="array" ref="AM64">_xlfn.SWITCH(AM$4, 0,0, 1, AS64,2,AU64,3,AW64,0)+AL64</f>
        <v>0</v>
      </c>
      <c r="AN64" s="12" cm="1">
        <f t="array" ref="AN64">_xlfn.SWITCH(AN$4, 0,0, 1, AS64,2,AU64,3,AW64,0)+AM64</f>
        <v>0</v>
      </c>
      <c r="AO64" s="12" cm="1">
        <f t="array" ref="AO64">_xlfn.SWITCH(AO$4, 0,0, 1, AS64,2,AU64,3,AW64,0)+AN64</f>
        <v>0</v>
      </c>
      <c r="AP64" s="12" cm="1">
        <f t="array" ref="AP64">_xlfn.SWITCH(AP$4, 0,0, 1, AS64,2,AU64,3,AW64,0)+AO64</f>
        <v>0</v>
      </c>
      <c r="AR64" t="s">
        <v>1308</v>
      </c>
      <c r="AS64">
        <f>_xlfn.XLOOKUP(AR64,'KPI Impacts'!$K$2:$Q$2,'KPI Impacts'!$K64:$Q64)</f>
        <v>0.3</v>
      </c>
      <c r="AT64" t="s">
        <v>1310</v>
      </c>
      <c r="AU64">
        <f>_xlfn.XLOOKUP(AT64,'KPI Impacts'!$K$2:$Q$2,'KPI Impacts'!$K64:$Q64)</f>
        <v>0.44999999999999996</v>
      </c>
      <c r="AV64" t="s">
        <v>1309</v>
      </c>
      <c r="AW64">
        <f>_xlfn.XLOOKUP(AV64,'KPI Impacts'!$K$2:$Q$2,'KPI Impacts'!$K64:$Q64)</f>
        <v>0.6</v>
      </c>
      <c r="AZ64" s="12">
        <f t="shared" ref="AZ64:AZ69" si="317">AZ$4*BK64</f>
        <v>0</v>
      </c>
      <c r="BA64" s="12">
        <f t="shared" ref="BA64:BA69" si="318">BA$4 * IF(AND(AZ$4=1,AZ$20=1), BM64, BK64)</f>
        <v>0</v>
      </c>
      <c r="BB64" s="12">
        <f t="shared" ref="BB64:BB69" si="319">BB$4 * IF(AND(BA$4=1,AZ$20=1), BM64, BK64)</f>
        <v>0</v>
      </c>
      <c r="BC64" s="12">
        <f t="shared" ref="BC64:BC69" si="320">BC$4 * IF(AND(BB$4=1,AZ$20=1), BM64, BK64)</f>
        <v>0</v>
      </c>
      <c r="BD64" s="12">
        <f t="shared" ref="BD64:BD69" si="321">BD$4 * IF(AND(BC$4=1,AZ$20=1), BM64, BK64)</f>
        <v>0</v>
      </c>
      <c r="BE64" s="12">
        <f t="shared" ref="BE64:BE69" si="322">BE$4 * IF(AND(BD$4=1,AZ$20=1), BM64, BK64)</f>
        <v>0</v>
      </c>
      <c r="BF64" s="12">
        <f t="shared" ref="BF64:BF69" si="323">BF$4 * IF(AND(BE$4=1,AZ$20=1), BM64, BK64)</f>
        <v>0</v>
      </c>
      <c r="BG64" s="12">
        <f t="shared" ref="BG64:BG69" si="324">BG$4 * IF(AND(BF$4=1,AZ$20=1), BM64, BK64)</f>
        <v>0</v>
      </c>
      <c r="BH64" s="12">
        <f t="shared" ref="BH64:BH69" si="325">BH$4 * IF(AND(BG$4=1,AZ$20=1), BM64, BK64)</f>
        <v>0</v>
      </c>
      <c r="BJ64" s="16" t="s">
        <v>1304</v>
      </c>
      <c r="BK64">
        <f>_xlfn.XLOOKUP(BJ64,'KPI Impacts'!$B$2:$H$2,'KPI Impacts'!$B64:$H64)</f>
        <v>0</v>
      </c>
      <c r="BL64" s="35" t="s">
        <v>1304</v>
      </c>
      <c r="BM64">
        <f>_xlfn.XLOOKUP(BL64,'KPI Impacts'!$B$2:$H$2,'KPI Impacts'!$B64:$H64)</f>
        <v>0</v>
      </c>
      <c r="BP64" s="12">
        <f t="shared" ref="BP64:BP69" si="326">BP$4*CA64</f>
        <v>0</v>
      </c>
      <c r="BQ64" s="12">
        <f t="shared" ref="BQ64:BQ69" si="327">BQ$4 * IF(AND(BP$4=1,BP$20=1), CC64, CA64)</f>
        <v>0</v>
      </c>
      <c r="BR64" s="12">
        <f t="shared" ref="BR64:BR69" si="328">BR$4 * IF(AND(BQ$4=1,BP$20=1), CC64, CA64)</f>
        <v>0</v>
      </c>
      <c r="BS64" s="12">
        <f t="shared" ref="BS64:BS69" si="329">BS$4 * IF(AND(BR$4=1,BP$20=1), CC64, CA64)</f>
        <v>0</v>
      </c>
      <c r="BT64" s="12">
        <f t="shared" ref="BT64:BT69" si="330">BT$4 * IF(AND(BS$4=1,BP$20=1), CC64, CA64)</f>
        <v>0</v>
      </c>
      <c r="BU64" s="12">
        <f t="shared" ref="BU64:BU69" si="331">BU$4 * IF(AND(BT$4=1,BP$20=1), CC64, CA64)</f>
        <v>0</v>
      </c>
      <c r="BV64" s="12">
        <f t="shared" ref="BV64:BV69" si="332">BV$4 * IF(AND(BU$4=1,BP$20=1), CC64, CA64)</f>
        <v>0</v>
      </c>
      <c r="BW64" s="12">
        <f t="shared" ref="BW64:BW69" si="333">BW$4 * IF(AND(BV$4=1,BP$20=1), CC64, CA64)</f>
        <v>0</v>
      </c>
      <c r="BX64" s="12">
        <f t="shared" ref="BX64:BX69" si="334">BX$4 * IF(AND(BW$4=1,BP$20=1), CC64, CA64)</f>
        <v>0</v>
      </c>
      <c r="BZ64" s="16" t="s">
        <v>1304</v>
      </c>
      <c r="CA64">
        <f>_xlfn.XLOOKUP(BZ64,'KPI Impacts'!$B$2:$H$2,'KPI Impacts'!$B64:$H64)</f>
        <v>0</v>
      </c>
      <c r="CB64" s="9" t="s">
        <v>1304</v>
      </c>
      <c r="CC64">
        <f>_xlfn.XLOOKUP(CB64,'KPI Impacts'!$B$2:$H$2,'KPI Impacts'!$B64:$H64)</f>
        <v>0</v>
      </c>
      <c r="CF64" s="12">
        <f t="shared" ref="CF64:CF69" si="335">CF$4*CQ64</f>
        <v>0</v>
      </c>
      <c r="CG64" s="12">
        <f t="shared" ref="CG64:CG69" si="336">CG$4 * IF(AND(CF$4=1,CF$20=1), CS64, CQ64)</f>
        <v>0</v>
      </c>
      <c r="CH64" s="12">
        <f t="shared" ref="CH64:CH69" si="337">CH$4 * IF(AND(CG$4=1,CF$20=1), CS64, CQ64)</f>
        <v>0</v>
      </c>
      <c r="CI64" s="12">
        <f t="shared" ref="CI64:CI69" si="338">CI$4 * IF(AND(CH$4=1,CF$20=1), CS64, CQ64)</f>
        <v>0</v>
      </c>
      <c r="CJ64" s="12">
        <f t="shared" ref="CJ64:CJ69" si="339">CJ$4 * IF(AND(CI$4=1,CF$20=1), CS64, CQ64)</f>
        <v>0</v>
      </c>
      <c r="CK64" s="12">
        <f t="shared" ref="CK64:CK69" si="340">CK$4 * IF(AND(CJ$4=1,CF$20=1), CS64, CQ64)</f>
        <v>0</v>
      </c>
      <c r="CL64" s="12">
        <f t="shared" ref="CL64:CL69" si="341">CL$4 * IF(AND(CK$4=1,CF$20=1), CS64, CQ64)</f>
        <v>0</v>
      </c>
      <c r="CM64" s="12">
        <f t="shared" ref="CM64:CM69" si="342">CM$4 * IF(AND(CL$4=1,CF$20=1), CS64, CQ64)</f>
        <v>0</v>
      </c>
      <c r="CN64" s="12">
        <f t="shared" ref="CN64:CN69" si="343">CN$4 * IF(AND(CM$4=1,CF$20=1), CS64, CQ64)</f>
        <v>0</v>
      </c>
      <c r="CP64" s="16" t="s">
        <v>1304</v>
      </c>
      <c r="CQ64">
        <f>_xlfn.XLOOKUP(CP64,'KPI Impacts'!$B$2:$H$2,'KPI Impacts'!$B64:$H64)</f>
        <v>0</v>
      </c>
      <c r="CR64" s="35" t="s">
        <v>1304</v>
      </c>
      <c r="CS64">
        <f>_xlfn.XLOOKUP(CR64,'KPI Impacts'!$B$2:$H$2,'KPI Impacts'!$B64:$H64)</f>
        <v>0</v>
      </c>
      <c r="CV64" s="12">
        <f t="shared" ref="CV64:CV69" si="344">CV$4*DG64</f>
        <v>0</v>
      </c>
      <c r="CW64" s="12">
        <f t="shared" ref="CW64:CW69" si="345">CW$4 * IF(AND(CV$4=1,CV$20=1), DI64, DG64)</f>
        <v>0</v>
      </c>
      <c r="CX64" s="12">
        <f t="shared" ref="CX64:CX69" si="346">CX$4 * IF(AND(CW$4=1,CV$20=1), DI64, DG64)</f>
        <v>0</v>
      </c>
      <c r="CY64" s="12">
        <f t="shared" ref="CY64:CY69" si="347">CY$4 * IF(AND(CX$4=1,CV$20=1), DI64, DG64)</f>
        <v>0</v>
      </c>
      <c r="CZ64" s="12">
        <f t="shared" ref="CZ64:CZ69" si="348">CZ$4 * IF(AND(CY$4=1,CV$20=1), DI64, DG64)</f>
        <v>0</v>
      </c>
      <c r="DA64" s="12">
        <f t="shared" ref="DA64:DA69" si="349">DA$4 * IF(AND(CZ$4=1,CV$20=1), DI64, DG64)</f>
        <v>0</v>
      </c>
      <c r="DB64" s="12">
        <f t="shared" ref="DB64:DB69" si="350">DB$4 * IF(AND(DA$4=1,CV$20=1), DI64, DG64)</f>
        <v>0</v>
      </c>
      <c r="DC64" s="12">
        <f t="shared" ref="DC64:DC69" si="351">DC$4 * IF(AND(DB$4=1,CV$20=1), DI64, DG64)</f>
        <v>0</v>
      </c>
      <c r="DD64" s="12">
        <f t="shared" ref="DD64:DD69" si="352">DD$4 * IF(AND(DC$4=1,CV$20=1), DI64, DG64)</f>
        <v>0</v>
      </c>
      <c r="DF64" s="16" t="s">
        <v>1304</v>
      </c>
      <c r="DG64">
        <f>_xlfn.XLOOKUP(DF64,'KPI Impacts'!$B$2:$H$2,'KPI Impacts'!$B64:$H64)</f>
        <v>0</v>
      </c>
      <c r="DH64" s="35" t="s">
        <v>1304</v>
      </c>
      <c r="DI64">
        <f>_xlfn.XLOOKUP(DH64,'KPI Impacts'!$B$2:$H$2,'KPI Impacts'!$B64:$H64)</f>
        <v>0</v>
      </c>
      <c r="DL64" s="12">
        <f t="shared" ref="DL64:DL69" si="353">DL$4*DW64</f>
        <v>0</v>
      </c>
      <c r="DM64" s="12">
        <f t="shared" ref="DM64:DM69" si="354">DM$4 * IF(AND(DL$4=1,DL$20=1), DY64, DW64)</f>
        <v>0</v>
      </c>
      <c r="DN64" s="12">
        <f t="shared" ref="DN64:DN69" si="355">DN$4 * IF(AND(DM$4=1,DL$20=1), DY64, DW64)</f>
        <v>0</v>
      </c>
      <c r="DO64" s="12">
        <f t="shared" ref="DO64:DO69" si="356">DO$4 * IF(AND(DN$4=1,DL$20=1), DY64, DW64)</f>
        <v>0</v>
      </c>
      <c r="DP64" s="12">
        <f t="shared" ref="DP64:DP69" si="357">DP$4 * IF(AND(DO$4=1,DL$20=1), DY64, DW64)</f>
        <v>0</v>
      </c>
      <c r="DQ64" s="12">
        <f t="shared" ref="DQ64:DQ69" si="358">DQ$4 * IF(AND(DP$4=1,DL$20=1), DY64, DW64)</f>
        <v>0</v>
      </c>
      <c r="DR64" s="12">
        <f t="shared" ref="DR64:DR69" si="359">DR$4 * IF(AND(DQ$4=1,DL$20=1), DY64, DW64)</f>
        <v>0</v>
      </c>
      <c r="DS64" s="12">
        <f t="shared" ref="DS64:DS69" si="360">DS$4 * IF(AND(DR$4=1,DL$20=1), DY64, DW64)</f>
        <v>0</v>
      </c>
      <c r="DT64" s="12">
        <f t="shared" ref="DT64:DT69" si="361">DT$4 * IF(AND(DS$4=1,DL$20=1), DY64, DW64)</f>
        <v>0</v>
      </c>
      <c r="DV64" s="30" t="s">
        <v>1308</v>
      </c>
      <c r="DW64">
        <f>_xlfn.XLOOKUP(DV64,'KPI Impacts'!$B$2:$H$2,'KPI Impacts'!$B64:$H64)</f>
        <v>1</v>
      </c>
      <c r="DX64" s="35" t="s">
        <v>1304</v>
      </c>
      <c r="DY64">
        <f>_xlfn.XLOOKUP(DX64,'KPI Impacts'!$B$2:$H$2,'KPI Impacts'!$B64:$H64)</f>
        <v>0</v>
      </c>
      <c r="EB64" s="12">
        <f t="shared" ref="EB64:EB69" si="362">EB$4*EM64</f>
        <v>0</v>
      </c>
      <c r="EC64" s="12">
        <f t="shared" ref="EC64:EC69" si="363">EC$4 * IF(AND(EB$4=1,EB$20=1), EO64, EM64)</f>
        <v>0</v>
      </c>
      <c r="ED64" s="12">
        <f t="shared" ref="ED64:ED69" si="364">ED$4 * IF(AND(EC$4=1,EB$20=1), EO64, EM64)</f>
        <v>0</v>
      </c>
      <c r="EE64" s="12">
        <f t="shared" ref="EE64:EE69" si="365">EE$4 * IF(AND(ED$4=1,EB$20=1), EO64, EM64)</f>
        <v>0</v>
      </c>
      <c r="EF64" s="12">
        <f t="shared" ref="EF64:EF69" si="366">EF$4 * IF(AND(EE$4=1,EB$20=1), EO64, EM64)</f>
        <v>0</v>
      </c>
      <c r="EG64" s="12">
        <f t="shared" ref="EG64:EG69" si="367">EG$4 * IF(AND(EF$4=1,EB$20=1), EO64, EM64)</f>
        <v>0</v>
      </c>
      <c r="EH64" s="12">
        <f t="shared" ref="EH64:EH69" si="368">EH$4 * IF(AND(EG$4=1,EB$20=1), EO64, EM64)</f>
        <v>0</v>
      </c>
      <c r="EI64" s="12">
        <f t="shared" ref="EI64:EI69" si="369">EI$4 * IF(AND(EH$4=1,EB$20=1), EO64, EM64)</f>
        <v>0</v>
      </c>
      <c r="EJ64" s="12">
        <f t="shared" ref="EJ64:EJ69" si="370">EJ$4 * IF(AND(EI$4=1,EB$20=1), EO64, EM64)</f>
        <v>0</v>
      </c>
      <c r="EL64" s="16" t="s">
        <v>1304</v>
      </c>
      <c r="EM64">
        <f>_xlfn.XLOOKUP(EL64,'KPI Impacts'!$B$2:$H$2,'KPI Impacts'!$B64:$H64)</f>
        <v>0</v>
      </c>
      <c r="EN64" s="35" t="s">
        <v>1304</v>
      </c>
      <c r="EO64">
        <f>_xlfn.XLOOKUP(EN64,'KPI Impacts'!$B$2:$H$2,'KPI Impacts'!$B64:$H64)</f>
        <v>0</v>
      </c>
      <c r="ER64" s="12">
        <f t="shared" ref="ER64:ER69" si="371">ER$4*FC64</f>
        <v>0</v>
      </c>
      <c r="ES64" s="12">
        <f t="shared" ref="ES64:ES69" si="372">ES$4 * IF(AND(ER$4=1,ER$20=1), FE64, FC64)</f>
        <v>0</v>
      </c>
      <c r="ET64" s="12">
        <f t="shared" ref="ET64:ET69" si="373">ET$4 * IF(AND(ES$4=1,ER$20=1), FE64, FC64)</f>
        <v>0</v>
      </c>
      <c r="EU64" s="12">
        <f t="shared" ref="EU64:EU69" si="374">EU$4 * IF(AND(ET$4=1,ER$20=1), FE64, FC64)</f>
        <v>0</v>
      </c>
      <c r="EV64" s="12">
        <f t="shared" ref="EV64:EV69" si="375">EV$4 * IF(AND(EU$4=1,ER$20=1), FE64, FC64)</f>
        <v>0</v>
      </c>
      <c r="EW64" s="12">
        <f t="shared" ref="EW64:EW69" si="376">EW$4 * IF(AND(EV$4=1,ER$20=1), FE64, FC64)</f>
        <v>0</v>
      </c>
      <c r="EX64" s="12">
        <f t="shared" ref="EX64:EX69" si="377">EX$4 * IF(AND(EW$4=1,ER$20=1), FE64, FC64)</f>
        <v>0</v>
      </c>
      <c r="EY64" s="12">
        <f t="shared" ref="EY64:EY69" si="378">EY$4 * IF(AND(EX$4=1,ER$20=1), FE64, FC64)</f>
        <v>0</v>
      </c>
      <c r="EZ64" s="12">
        <f t="shared" ref="EZ64:EZ69" si="379">EZ$4 * IF(AND(EY$4=1,ER$20=1), FE64, FC64)</f>
        <v>0</v>
      </c>
      <c r="FB64" s="29" t="s">
        <v>1305</v>
      </c>
      <c r="FC64">
        <f>_xlfn.XLOOKUP(FB64,'KPI Impacts'!$B$2:$H$2,'KPI Impacts'!$B64:$H64)</f>
        <v>-0.8</v>
      </c>
      <c r="FD64" s="35" t="s">
        <v>1304</v>
      </c>
      <c r="FE64">
        <f>_xlfn.XLOOKUP(FD64,'KPI Impacts'!$B$2:$H$2,'KPI Impacts'!$B64:$H64)</f>
        <v>0</v>
      </c>
      <c r="FH64" s="12">
        <f t="shared" ref="FH64:FH69" si="380">FH$4*FS64</f>
        <v>0</v>
      </c>
      <c r="FI64" s="12">
        <f t="shared" ref="FI64:FI69" si="381">FI$4 * IF(AND(FH$4=1,FH$20=1), FU64, FS64)</f>
        <v>0</v>
      </c>
      <c r="FJ64" s="12">
        <f t="shared" ref="FJ64:FJ69" si="382">FJ$4 * IF(AND(FI$4=1,FH$20=1), FU64, FS64)</f>
        <v>0</v>
      </c>
      <c r="FK64" s="12">
        <f t="shared" ref="FK64:FK69" si="383">FK$4 * IF(AND(FJ$4=1,FH$20=1), FU64, FS64)</f>
        <v>0</v>
      </c>
      <c r="FL64" s="12">
        <f t="shared" ref="FL64:FL69" si="384">FL$4 * IF(AND(FK$4=1,FH$20=1), FU64, FS64)</f>
        <v>0</v>
      </c>
      <c r="FM64" s="12">
        <f t="shared" ref="FM64:FM69" si="385">FM$4 * IF(AND(FL$4=1,FH$20=1), FU64, FS64)</f>
        <v>0</v>
      </c>
      <c r="FN64" s="12">
        <f t="shared" ref="FN64:FN69" si="386">FN$4 * IF(AND(FM$4=1,FH$20=1), FU64, FS64)</f>
        <v>0</v>
      </c>
      <c r="FO64" s="12">
        <f t="shared" ref="FO64:FO69" si="387">FO$4 * IF(AND(FN$4=1,FH$20=1), FU64, FS64)</f>
        <v>0</v>
      </c>
      <c r="FP64" s="12">
        <f t="shared" ref="FP64:FP69" si="388">FP$4 * IF(AND(FO$4=1,FH$20=1), FU64, FS64)</f>
        <v>0</v>
      </c>
      <c r="FR64" s="16" t="s">
        <v>1304</v>
      </c>
      <c r="FS64">
        <f>_xlfn.XLOOKUP(FR64,'KPI Impacts'!$B$2:$H$2,'KPI Impacts'!$B64:$H64)</f>
        <v>0</v>
      </c>
      <c r="FT64" s="35" t="s">
        <v>1304</v>
      </c>
      <c r="FU64">
        <f>_xlfn.XLOOKUP(FT64,'KPI Impacts'!$B$2:$H$2,'KPI Impacts'!$B64:$H64)</f>
        <v>0</v>
      </c>
      <c r="FX64" s="12">
        <f t="shared" ref="FX64:FX69" si="389">FX$4*GI64</f>
        <v>0</v>
      </c>
      <c r="FY64" s="12">
        <f t="shared" ref="FY64:FY69" si="390">FY$4 * IF(AND(FX$4=1,FX$20=1), GK64, GI64)</f>
        <v>0</v>
      </c>
      <c r="FZ64" s="12">
        <f t="shared" ref="FZ64:FZ69" si="391">FZ$4 * IF(AND(FY$4=1,FX$20=1), GK64, GI64)</f>
        <v>0</v>
      </c>
      <c r="GA64" s="12">
        <f t="shared" ref="GA64:GA69" si="392">GA$4 * IF(AND(FZ$4=1,FX$20=1), GK64, GI64)</f>
        <v>0</v>
      </c>
      <c r="GB64" s="12">
        <f t="shared" ref="GB64:GB69" si="393">GB$4 * IF(AND(GA$4=1,FX$20=1), GK64, GI64)</f>
        <v>0</v>
      </c>
      <c r="GC64" s="12">
        <f t="shared" ref="GC64:GC69" si="394">GC$4 * IF(AND(GB$4=1,FX$20=1), GK64, GI64)</f>
        <v>0</v>
      </c>
      <c r="GD64" s="12">
        <f t="shared" ref="GD64:GD69" si="395">GD$4 * IF(AND(GC$4=1,FX$20=1), GK64, GI64)</f>
        <v>0</v>
      </c>
      <c r="GE64" s="12">
        <f t="shared" ref="GE64:GE69" si="396">GE$4 * IF(AND(GD$4=1,FX$20=1), GK64, GI64)</f>
        <v>0</v>
      </c>
      <c r="GF64" s="12">
        <f t="shared" ref="GF64:GF69" si="397">GF$4 * IF(AND(GE$4=1,FX$20=1), GK64, GI64)</f>
        <v>0</v>
      </c>
      <c r="GH64" s="16" t="s">
        <v>1304</v>
      </c>
      <c r="GI64">
        <f>_xlfn.XLOOKUP(GH64,'KPI Impacts'!$B$2:$H$2,'KPI Impacts'!$B64:$H64)</f>
        <v>0</v>
      </c>
      <c r="GJ64" s="35" t="s">
        <v>1304</v>
      </c>
      <c r="GK64">
        <f>_xlfn.XLOOKUP(GJ64,'KPI Impacts'!$B$2:$H$2,'KPI Impacts'!$B64:$H64)</f>
        <v>0</v>
      </c>
      <c r="GN64" s="12">
        <f t="shared" ref="GN64:GN69" si="398">GN$4*GY64</f>
        <v>0</v>
      </c>
      <c r="GO64" s="12">
        <f t="shared" ref="GO64:GO69" si="399">GO$4 * IF(AND(GN$4=1,GN$20=1), HA64, GY64)</f>
        <v>0</v>
      </c>
      <c r="GP64" s="12">
        <f t="shared" ref="GP64:GP69" si="400">GP$4 * IF(AND(GO$4=1,GN$20=1), HA64, GY64)</f>
        <v>0</v>
      </c>
      <c r="GQ64" s="12">
        <f t="shared" ref="GQ64:GQ69" si="401">GQ$4 * IF(AND(GP$4=1,GN$20=1), HA64, GY64)</f>
        <v>0</v>
      </c>
      <c r="GR64" s="12">
        <f t="shared" ref="GR64:GR69" si="402">GR$4 * IF(AND(GQ$4=1,GN$20=1), HA64, GY64)</f>
        <v>0</v>
      </c>
      <c r="GS64" s="12">
        <f t="shared" ref="GS64:GS69" si="403">GS$4 * IF(AND(GR$4=1,GN$20=1), HA64, GY64)</f>
        <v>0</v>
      </c>
      <c r="GT64" s="12">
        <f t="shared" ref="GT64:GT69" si="404">GT$4 * IF(AND(GS$4=1,GN$20=1), HA64, GY64)</f>
        <v>0</v>
      </c>
      <c r="GU64" s="12">
        <f t="shared" ref="GU64:GU69" si="405">GU$4 * IF(AND(GT$4=1,GN$20=1), HA64, GY64)</f>
        <v>0</v>
      </c>
      <c r="GV64" s="12">
        <f t="shared" ref="GV64:GV69" si="406">GV$4 * IF(AND(GU$4=1,GN$20=1), HA64, GY64)</f>
        <v>0</v>
      </c>
      <c r="GX64" s="16" t="s">
        <v>1304</v>
      </c>
      <c r="GY64">
        <f>_xlfn.XLOOKUP(GX64,'KPI Impacts'!$B$2:$H$2,'KPI Impacts'!$B64:$H64)</f>
        <v>0</v>
      </c>
      <c r="GZ64" s="35" t="s">
        <v>1304</v>
      </c>
      <c r="HA64">
        <f>_xlfn.XLOOKUP(GZ64,'KPI Impacts'!$B$2:$H$2,'KPI Impacts'!$B64:$H64)</f>
        <v>0</v>
      </c>
      <c r="HD64" s="12">
        <f t="shared" ref="HD64:HD69" si="407">HD$4*HO64</f>
        <v>0</v>
      </c>
      <c r="HE64" s="12">
        <f t="shared" ref="HE64:HE69" si="408">HE$4 * IF(AND(HD$4=1,HD$20=1), HQ64, HO64)</f>
        <v>0</v>
      </c>
      <c r="HF64" s="12">
        <f t="shared" ref="HF64:HF69" si="409">HF$4 * IF(AND(HE$4=1,HD$20=1), HQ64, HO64)</f>
        <v>0</v>
      </c>
      <c r="HG64" s="12">
        <f t="shared" ref="HG64:HG69" si="410">HG$4 * IF(AND(HF$4=1,HD$20=1), HQ64, HO64)</f>
        <v>0</v>
      </c>
      <c r="HH64" s="12">
        <f t="shared" ref="HH64:HH69" si="411">HH$4 * IF(AND(HG$4=1,HD$20=1), HQ64, HO64)</f>
        <v>0</v>
      </c>
      <c r="HI64" s="12">
        <f t="shared" ref="HI64:HI69" si="412">HI$4 * IF(AND(HH$4=1,HD$20=1), HQ64, HO64)</f>
        <v>0</v>
      </c>
      <c r="HJ64" s="12">
        <f t="shared" ref="HJ64:HJ69" si="413">HJ$4 * IF(AND(HI$4=1,HD$20=1), HQ64, HO64)</f>
        <v>0</v>
      </c>
      <c r="HK64" s="12">
        <f t="shared" ref="HK64:HK69" si="414">HK$4 * IF(AND(HJ$4=1,HD$20=1), HQ64, HO64)</f>
        <v>0</v>
      </c>
      <c r="HL64" s="12">
        <f t="shared" ref="HL64:HL69" si="415">HL$4 * IF(AND(HK$4=1,HD$20=1), HQ64, HO64)</f>
        <v>0</v>
      </c>
      <c r="HN64" s="16" t="s">
        <v>1304</v>
      </c>
      <c r="HO64">
        <f>_xlfn.XLOOKUP(HN64,'KPI Impacts'!$B$2:$H$2,'KPI Impacts'!$B64:$H64)</f>
        <v>0</v>
      </c>
      <c r="HP64" s="35" t="s">
        <v>1304</v>
      </c>
      <c r="HQ64">
        <f>_xlfn.XLOOKUP(HP64,'KPI Impacts'!$B$2:$H$2,'KPI Impacts'!$B64:$H64)</f>
        <v>0</v>
      </c>
      <c r="HT64" s="12">
        <f t="shared" ref="HT64:HT69" si="416">HT$4*IE64</f>
        <v>0</v>
      </c>
      <c r="HU64" s="12">
        <f t="shared" ref="HU64:HU69" si="417">HU$4 * IF(AND(HT$4=1,HT$20=1), IG64, IE64)</f>
        <v>0</v>
      </c>
      <c r="HV64" s="12">
        <f t="shared" ref="HV64:HV69" si="418">HV$4 * IF(AND(HU$4=1,HT$20=1), IG64, IE64)</f>
        <v>0</v>
      </c>
      <c r="HW64" s="12">
        <f t="shared" ref="HW64:HW69" si="419">HW$4 * IF(AND(HV$4=1,HT$20=1), IG64, IE64)</f>
        <v>0</v>
      </c>
      <c r="HX64" s="12">
        <f t="shared" ref="HX64:HX69" si="420">HX$4 * IF(AND(HW$4=1,HT$20=1), IG64, IE64)</f>
        <v>0</v>
      </c>
      <c r="HY64" s="12">
        <f t="shared" ref="HY64:HY69" si="421">HY$4 * IF(AND(HX$4=1,HT$20=1), IG64, IE64)</f>
        <v>0</v>
      </c>
      <c r="HZ64" s="12">
        <f t="shared" ref="HZ64:HZ69" si="422">HZ$4 * IF(AND(HY$4=1,HT$20=1), IG64, IE64)</f>
        <v>0</v>
      </c>
      <c r="IA64" s="12">
        <f t="shared" ref="IA64:IA69" si="423">IA$4 * IF(AND(HZ$4=1,HT$20=1), IG64, IE64)</f>
        <v>0</v>
      </c>
      <c r="IB64" s="12">
        <f t="shared" ref="IB64:IB69" si="424">IB$4 * IF(AND(IA$4=1,HT$20=1), IG64, IE64)</f>
        <v>0</v>
      </c>
      <c r="ID64" s="30" t="s">
        <v>1308</v>
      </c>
      <c r="IE64">
        <f>_xlfn.XLOOKUP(ID64,'KPI Impacts'!$B$2:$H$2,'KPI Impacts'!$B64:$H64)</f>
        <v>1</v>
      </c>
      <c r="IF64" s="35" t="s">
        <v>1304</v>
      </c>
      <c r="IG64">
        <f>_xlfn.XLOOKUP(IF64,'KPI Impacts'!$B$2:$H$2,'KPI Impacts'!$B64:$H64)</f>
        <v>0</v>
      </c>
      <c r="IJ64" s="12">
        <f t="shared" ref="IJ64:IJ69" si="425">IJ$4*IU64</f>
        <v>0</v>
      </c>
      <c r="IK64" s="12">
        <f t="shared" ref="IK64:IK69" si="426">IK$4 * IF(AND(IJ$4=1,IJ$20=1), IW64, IU64)</f>
        <v>0</v>
      </c>
      <c r="IL64" s="12">
        <f t="shared" ref="IL64:IL69" si="427">IL$4 * IF(AND(IK$4=1,IJ$20=1), IW64, IU64)</f>
        <v>0</v>
      </c>
      <c r="IM64" s="12">
        <f t="shared" ref="IM64:IM69" si="428">IM$4 * IF(AND(IL$4=1,IJ$20=1), IW64, IU64)</f>
        <v>0</v>
      </c>
      <c r="IN64" s="12">
        <f t="shared" ref="IN64:IN69" si="429">IN$4 * IF(AND(IM$4=1,IJ$20=1), IW64, IU64)</f>
        <v>0</v>
      </c>
      <c r="IO64" s="12">
        <f t="shared" ref="IO64:IO69" si="430">IO$4 * IF(AND(IN$4=1,IJ$20=1), IW64, IU64)</f>
        <v>0</v>
      </c>
      <c r="IP64" s="12">
        <f t="shared" ref="IP64:IP69" si="431">IP$4 * IF(AND(IO$4=1,IJ$20=1), IW64, IU64)</f>
        <v>0</v>
      </c>
      <c r="IQ64" s="12">
        <f t="shared" ref="IQ64:IQ69" si="432">IQ$4 * IF(AND(IP$4=1,IJ$20=1), IW64, IU64)</f>
        <v>0</v>
      </c>
      <c r="IR64" s="12">
        <f t="shared" ref="IR64:IR69" si="433">IR$4 * IF(AND(IQ$4=1,IJ$20=1), IW64, IU64)</f>
        <v>0</v>
      </c>
      <c r="IT64" s="29" t="s">
        <v>1305</v>
      </c>
      <c r="IU64">
        <f>_xlfn.XLOOKUP(IT64,'KPI Impacts'!$B$2:$H$2,'KPI Impacts'!$B64:$H64)</f>
        <v>-0.8</v>
      </c>
      <c r="IV64" s="35" t="s">
        <v>1304</v>
      </c>
      <c r="IW64">
        <f>_xlfn.XLOOKUP(IV64,'KPI Impacts'!$B$2:$H$2,'KPI Impacts'!$B64:$H64)</f>
        <v>0</v>
      </c>
      <c r="IZ64" s="12">
        <f t="shared" ref="IZ64:IZ69" si="434">IZ$4*JK64</f>
        <v>0</v>
      </c>
      <c r="JA64" s="12">
        <f t="shared" ref="JA64:JA69" si="435">JA$4 * IF(AND(IZ$4=1,IZ$20=1), JM64, JK64)</f>
        <v>0</v>
      </c>
      <c r="JB64" s="12">
        <f t="shared" ref="JB64:JB69" si="436">JB$4 * IF(AND(JA$4=1,IZ$20=1), JM64, JK64)</f>
        <v>0</v>
      </c>
      <c r="JC64" s="12">
        <f t="shared" ref="JC64:JC69" si="437">JC$4 * IF(AND(JB$4=1,IZ$20=1), JM64, JK64)</f>
        <v>0</v>
      </c>
      <c r="JD64" s="12">
        <f t="shared" ref="JD64:JD69" si="438">JD$4 * IF(AND(JC$4=1,IZ$20=1), JM64, JK64)</f>
        <v>0</v>
      </c>
      <c r="JE64" s="12">
        <f t="shared" ref="JE64:JE69" si="439">JE$4 * IF(AND(JD$4=1,IZ$20=1), JM64, JK64)</f>
        <v>0</v>
      </c>
      <c r="JF64" s="12">
        <f t="shared" ref="JF64:JF69" si="440">JF$4 * IF(AND(JE$4=1,IZ$20=1), JM64, JK64)</f>
        <v>0</v>
      </c>
      <c r="JG64" s="12">
        <f t="shared" ref="JG64:JG69" si="441">JG$4 * IF(AND(JF$4=1,IZ$20=1), JM64, JK64)</f>
        <v>0</v>
      </c>
      <c r="JH64" s="12">
        <f t="shared" ref="JH64:JH69" si="442">JH$4 * IF(AND(JG$4=1,IZ$20=1), JM64, JK64)</f>
        <v>0</v>
      </c>
      <c r="JJ64" t="s">
        <v>1304</v>
      </c>
      <c r="JK64">
        <f>_xlfn.XLOOKUP(JJ64,'KPI Impacts'!$B$2:$H$2,'KPI Impacts'!$B64:$H64)</f>
        <v>0</v>
      </c>
      <c r="JL64" s="9" t="s">
        <v>1304</v>
      </c>
      <c r="JM64">
        <f>_xlfn.XLOOKUP(JL64,'KPI Impacts'!$B$2:$H$2,'KPI Impacts'!$B64:$H64)</f>
        <v>0</v>
      </c>
      <c r="JP64" s="12">
        <f t="shared" ref="JP64:JP69" si="443">JP$4*KA64</f>
        <v>0</v>
      </c>
      <c r="JQ64" s="12">
        <f t="shared" ref="JQ64:JQ69" si="444">JQ$4 * IF(AND(JP$4=1,JP$20=1), KC64, KA64)</f>
        <v>0</v>
      </c>
      <c r="JR64" s="12">
        <f t="shared" ref="JR64:JR69" si="445">JR$4 * IF(AND(JQ$4=1,JP$20=1), KC64, KA64)</f>
        <v>0</v>
      </c>
      <c r="JS64" s="12">
        <f t="shared" ref="JS64:JS69" si="446">JS$4 * IF(AND(JR$4=1,JP$20=1), KC64, KA64)</f>
        <v>0</v>
      </c>
      <c r="JT64" s="12">
        <f t="shared" ref="JT64:JT69" si="447">JT$4 * IF(AND(JS$4=1,JP$20=1), KC64, KA64)</f>
        <v>0</v>
      </c>
      <c r="JU64" s="12">
        <f t="shared" ref="JU64:JU69" si="448">JU$4 * IF(AND(JT$4=1,JP$20=1), KC64, KA64)</f>
        <v>0</v>
      </c>
      <c r="JV64" s="12">
        <f t="shared" ref="JV64:JV69" si="449">JV$4 * IF(AND(JU$4=1,JP$20=1), KC64, KA64)</f>
        <v>0</v>
      </c>
      <c r="JW64" s="12">
        <f t="shared" ref="JW64:JW69" si="450">JW$4 * IF(AND(JV$4=1,JP$20=1), KC64, KA64)</f>
        <v>0</v>
      </c>
      <c r="JX64" s="12">
        <f t="shared" ref="JX64:JX69" si="451">JX$4 * IF(AND(JW$4=1,JP$20=1), KC64, KA64)</f>
        <v>0</v>
      </c>
      <c r="JZ64" t="s">
        <v>1304</v>
      </c>
      <c r="KA64">
        <f>_xlfn.XLOOKUP(JZ64,'KPI Impacts'!$B$2:$H$2,'KPI Impacts'!$B64:$H64)</f>
        <v>0</v>
      </c>
      <c r="KB64" s="9" t="s">
        <v>1304</v>
      </c>
      <c r="KC64">
        <f>_xlfn.XLOOKUP(KB64,'KPI Impacts'!$B$2:$H$2,'KPI Impacts'!$B64:$H64)</f>
        <v>0</v>
      </c>
      <c r="KF64" s="12">
        <f t="shared" ref="KF64:KF69" si="452">KF$4*KQ64</f>
        <v>0</v>
      </c>
      <c r="KG64" s="12">
        <f t="shared" ref="KG64:KG69" si="453">KG$4 * IF(AND(KF$4=1,KF$20=1), KS64, KQ64)</f>
        <v>0</v>
      </c>
      <c r="KH64" s="12">
        <f t="shared" ref="KH64:KH69" si="454">KH$4 * IF(AND(KG$4=1,KF$20=1), KS64, KQ64)</f>
        <v>0</v>
      </c>
      <c r="KI64" s="12">
        <f t="shared" ref="KI64:KI69" si="455">KI$4 * IF(AND(KH$4=1,KF$20=1), KS64, KQ64)</f>
        <v>0</v>
      </c>
      <c r="KJ64" s="12">
        <f t="shared" ref="KJ64:KJ69" si="456">KJ$4 * IF(AND(KI$4=1,KF$20=1), KS64, KQ64)</f>
        <v>0</v>
      </c>
      <c r="KK64" s="12">
        <f t="shared" ref="KK64:KK69" si="457">KK$4 * IF(AND(KJ$4=1,KF$20=1), KS64, KQ64)</f>
        <v>0</v>
      </c>
      <c r="KL64" s="12">
        <f t="shared" ref="KL64:KL69" si="458">KL$4 * IF(AND(KK$4=1,KF$20=1), KS64, KQ64)</f>
        <v>0</v>
      </c>
      <c r="KM64" s="12">
        <f t="shared" ref="KM64:KM69" si="459">KM$4 * IF(AND(KL$4=1,KF$20=1), KS64, KQ64)</f>
        <v>0</v>
      </c>
      <c r="KN64" s="12">
        <f t="shared" ref="KN64:KN69" si="460">KN$4 * IF(AND(KM$4=1,KF$20=1), KS64, KQ64)</f>
        <v>0</v>
      </c>
      <c r="KP64" t="s">
        <v>1304</v>
      </c>
      <c r="KQ64">
        <f>_xlfn.XLOOKUP(KP64,'KPI Impacts'!$B$2:$H$2,'KPI Impacts'!$B64:$H64)</f>
        <v>0</v>
      </c>
      <c r="KR64" s="9" t="s">
        <v>1304</v>
      </c>
      <c r="KS64">
        <f>_xlfn.XLOOKUP(KR64,'KPI Impacts'!$B$2:$H$2,'KPI Impacts'!$B64:$H64)</f>
        <v>0</v>
      </c>
      <c r="KV64" s="12">
        <f t="shared" ref="KV64:KV69" si="461">KV$4*LG64</f>
        <v>0</v>
      </c>
      <c r="KW64" s="12">
        <f t="shared" ref="KW64:KW69" si="462">KW$4 * IF(AND(KV$4=1,KV$20=1), LI64, LG64)</f>
        <v>0</v>
      </c>
      <c r="KX64" s="12">
        <f t="shared" ref="KX64:KX69" si="463">KX$4 * IF(AND(KW$4=1,KV$20=1), LI64, LG64)</f>
        <v>0</v>
      </c>
      <c r="KY64" s="12">
        <f t="shared" ref="KY64:KY69" si="464">KY$4 * IF(AND(KX$4=1,KV$20=1), LI64, LG64)</f>
        <v>0</v>
      </c>
      <c r="KZ64" s="12">
        <f t="shared" ref="KZ64:KZ69" si="465">KZ$4 * IF(AND(KY$4=1,KV$20=1), LI64, LG64)</f>
        <v>0</v>
      </c>
      <c r="LA64" s="12">
        <f t="shared" ref="LA64:LA69" si="466">LA$4 * IF(AND(KZ$4=1,KV$20=1), LI64, LG64)</f>
        <v>0</v>
      </c>
      <c r="LB64" s="12">
        <f t="shared" ref="LB64:LB69" si="467">LB$4 * IF(AND(LA$4=1,KV$20=1), LI64, LG64)</f>
        <v>0</v>
      </c>
      <c r="LC64" s="12">
        <f t="shared" ref="LC64:LC69" si="468">LC$4 * IF(AND(LB$4=1,KV$20=1), LI64, LG64)</f>
        <v>0</v>
      </c>
      <c r="LD64" s="12">
        <f t="shared" ref="LD64:LD69" si="469">LD$4 * IF(AND(LC$4=1,KV$20=1), LI64, LG64)</f>
        <v>0</v>
      </c>
      <c r="LF64" t="s">
        <v>1304</v>
      </c>
      <c r="LG64">
        <f>_xlfn.XLOOKUP(LF64,'KPI Impacts'!$B$2:$H$2,'KPI Impacts'!$B64:$H64)</f>
        <v>0</v>
      </c>
      <c r="LH64" s="9" t="s">
        <v>1304</v>
      </c>
      <c r="LI64">
        <f>_xlfn.XLOOKUP(LH64,'KPI Impacts'!$B$2:$H$2,'KPI Impacts'!$B64:$H64)</f>
        <v>0</v>
      </c>
      <c r="LL64" s="12">
        <f t="shared" ref="LL64:LL69" si="470">LL$4*LW64</f>
        <v>0</v>
      </c>
      <c r="LM64" s="12">
        <f t="shared" ref="LM64:LM69" si="471">LM$4 * IF(AND(LL$4=1,LL$20=1), LY64, LW64)</f>
        <v>0</v>
      </c>
      <c r="LN64" s="12">
        <f t="shared" ref="LN64:LN69" si="472">LN$4 * IF(AND(LM$4=1,LL$20=1), LY64, LW64)</f>
        <v>0</v>
      </c>
      <c r="LO64" s="12">
        <f t="shared" ref="LO64:LO69" si="473">LO$4 * IF(AND(LN$4=1,LL$20=1), LY64, LW64)</f>
        <v>0</v>
      </c>
      <c r="LP64" s="12">
        <f t="shared" ref="LP64:LP69" si="474">LP$4 * IF(AND(LO$4=1,LL$20=1), LY64, LW64)</f>
        <v>0</v>
      </c>
      <c r="LQ64" s="12">
        <f t="shared" ref="LQ64:LQ69" si="475">LQ$4 * IF(AND(LP$4=1,LL$20=1), LY64, LW64)</f>
        <v>0</v>
      </c>
      <c r="LR64" s="12">
        <f t="shared" ref="LR64:LR69" si="476">LR$4 * IF(AND(LQ$4=1,LL$20=1), LY64, LW64)</f>
        <v>0</v>
      </c>
      <c r="LS64" s="12">
        <f t="shared" ref="LS64:LS69" si="477">LS$4 * IF(AND(LR$4=1,LL$20=1), LY64, LW64)</f>
        <v>0</v>
      </c>
      <c r="LT64" s="12">
        <f t="shared" ref="LT64:LT69" si="478">LT$4 * IF(AND(LS$4=1,LL$20=1), LY64, LW64)</f>
        <v>0</v>
      </c>
      <c r="LV64" t="s">
        <v>1304</v>
      </c>
      <c r="LW64">
        <f>_xlfn.XLOOKUP(LV64,'KPI Impacts'!$B$2:$H$2,'KPI Impacts'!$B64:$H64)</f>
        <v>0</v>
      </c>
      <c r="LX64" s="9" t="s">
        <v>1304</v>
      </c>
      <c r="LY64">
        <f>_xlfn.XLOOKUP(LX64,'KPI Impacts'!$B$2:$H$2,'KPI Impacts'!$B64:$H64)</f>
        <v>0</v>
      </c>
      <c r="MB64" s="12">
        <f t="shared" ref="MB64:MB69" si="479">MB$4*MM64</f>
        <v>0</v>
      </c>
      <c r="MC64" s="12">
        <f t="shared" ref="MC64:MC69" si="480">MC$4 * IF(AND(MB$4=1,MB$20=1), MO64, MM64)</f>
        <v>0</v>
      </c>
      <c r="MD64" s="12">
        <f t="shared" ref="MD64:MD69" si="481">MD$4 * IF(AND(MC$4=1,MB$20=1), MO64, MM64)</f>
        <v>0</v>
      </c>
      <c r="ME64" s="12">
        <f t="shared" ref="ME64:ME69" si="482">ME$4 * IF(AND(MD$4=1,MB$20=1), MO64, MM64)</f>
        <v>0</v>
      </c>
      <c r="MF64" s="12">
        <f t="shared" ref="MF64:MF69" si="483">MF$4 * IF(AND(ME$4=1,MB$20=1), MO64, MM64)</f>
        <v>0</v>
      </c>
      <c r="MG64" s="12">
        <f t="shared" ref="MG64:MG69" si="484">MG$4 * IF(AND(MF$4=1,MB$20=1), MO64, MM64)</f>
        <v>0</v>
      </c>
      <c r="MH64" s="12">
        <f t="shared" ref="MH64:MH69" si="485">MH$4 * IF(AND(MG$4=1,MB$20=1), MO64, MM64)</f>
        <v>0</v>
      </c>
      <c r="MI64" s="12">
        <f t="shared" ref="MI64:MI69" si="486">MI$4 * IF(AND(MH$4=1,MB$20=1), MO64, MM64)</f>
        <v>0</v>
      </c>
      <c r="MJ64" s="12">
        <f t="shared" ref="MJ64:MJ69" si="487">MJ$4 * IF(AND(MI$4=1,MB$20=1), MO64, MM64)</f>
        <v>0</v>
      </c>
      <c r="ML64" t="s">
        <v>1304</v>
      </c>
      <c r="MM64">
        <f>_xlfn.XLOOKUP(ML64,'KPI Impacts'!$B$2:$H$2,'KPI Impacts'!$B64:$H64)</f>
        <v>0</v>
      </c>
      <c r="MN64" s="9" t="s">
        <v>1304</v>
      </c>
      <c r="MO64">
        <f>_xlfn.XLOOKUP(MN64,'KPI Impacts'!$B$2:$H$2,'KPI Impacts'!$B64:$H64)</f>
        <v>0</v>
      </c>
      <c r="MR64" s="12">
        <f t="shared" ref="MR64:MR69" si="488">MR$4*NC64</f>
        <v>0</v>
      </c>
      <c r="MS64" s="12">
        <f t="shared" ref="MS64:MS69" si="489">MS$4 * IF(AND(MR$4=1,MR$20=1), NE64, NC64)</f>
        <v>0</v>
      </c>
      <c r="MT64" s="12">
        <f t="shared" ref="MT64:MT69" si="490">MT$4 * IF(AND(MS$4=1,MR$20=1), NE64, NC64)</f>
        <v>0</v>
      </c>
      <c r="MU64" s="12">
        <f t="shared" ref="MU64:MU69" si="491">MU$4 * IF(AND(MT$4=1,MR$20=1), NE64, NC64)</f>
        <v>0</v>
      </c>
      <c r="MV64" s="12">
        <f t="shared" ref="MV64:MV69" si="492">MV$4 * IF(AND(MU$4=1,MR$20=1), NE64, NC64)</f>
        <v>0</v>
      </c>
      <c r="MW64" s="12">
        <f t="shared" ref="MW64:MW69" si="493">MW$4 * IF(AND(MV$4=1,MR$20=1), NE64, NC64)</f>
        <v>0</v>
      </c>
      <c r="MX64" s="12">
        <f t="shared" ref="MX64:MX69" si="494">MX$4 * IF(AND(MW$4=1,MR$20=1), NE64, NC64)</f>
        <v>0</v>
      </c>
      <c r="MY64" s="12">
        <f t="shared" ref="MY64:MY69" si="495">MY$4 * IF(AND(MX$4=1,MR$20=1), NE64, NC64)</f>
        <v>0</v>
      </c>
      <c r="MZ64" s="12">
        <f t="shared" ref="MZ64:MZ69" si="496">MZ$4 * IF(AND(MY$4=1,MR$20=1), NE64, NC64)</f>
        <v>0</v>
      </c>
      <c r="NB64" t="s">
        <v>1304</v>
      </c>
      <c r="NC64">
        <f>_xlfn.XLOOKUP(NB64,'KPI Impacts'!$B$2:$H$2,'KPI Impacts'!$B64:$H64)</f>
        <v>0</v>
      </c>
      <c r="ND64" s="9" t="s">
        <v>1304</v>
      </c>
      <c r="NE64">
        <f>_xlfn.XLOOKUP(ND64,'KPI Impacts'!$B$2:$H$2,'KPI Impacts'!$B64:$H64)</f>
        <v>0</v>
      </c>
      <c r="NH64" s="12">
        <f t="shared" ref="NH64:NH69" si="497">NH$4*NS64</f>
        <v>0</v>
      </c>
      <c r="NI64" s="12">
        <f t="shared" ref="NI64:NI69" si="498">NI$4 * IF(AND(NH$4=1,NH$20=1), NU64, NS64)</f>
        <v>0</v>
      </c>
      <c r="NJ64" s="12">
        <f t="shared" ref="NJ64:NJ69" si="499">NJ$4 * IF(AND(NI$4=1,NH$20=1), NU64, NS64)</f>
        <v>0</v>
      </c>
      <c r="NK64" s="12">
        <f t="shared" ref="NK64:NK69" si="500">NK$4 * IF(AND(NJ$4=1,NH$20=1), NU64, NS64)</f>
        <v>0</v>
      </c>
      <c r="NL64" s="12">
        <f t="shared" ref="NL64:NL69" si="501">NL$4 * IF(AND(NK$4=1,NH$20=1), NU64, NS64)</f>
        <v>0</v>
      </c>
      <c r="NM64" s="12">
        <f t="shared" ref="NM64:NM69" si="502">NM$4 * IF(AND(NL$4=1,NH$20=1), NU64, NS64)</f>
        <v>0</v>
      </c>
      <c r="NN64" s="12">
        <f t="shared" ref="NN64:NN69" si="503">NN$4 * IF(AND(NM$4=1,NH$20=1), NU64, NS64)</f>
        <v>0</v>
      </c>
      <c r="NO64" s="12">
        <f t="shared" ref="NO64:NO69" si="504">NO$4 * IF(AND(NN$4=1,NH$20=1), NU64, NS64)</f>
        <v>0</v>
      </c>
      <c r="NP64" s="12">
        <f t="shared" ref="NP64:NP69" si="505">NP$4 * IF(AND(NO$4=1,NH$20=1), NU64, NS64)</f>
        <v>0</v>
      </c>
      <c r="NR64" t="s">
        <v>1304</v>
      </c>
      <c r="NS64">
        <f>_xlfn.XLOOKUP(NR64,'KPI Impacts'!$B$2:$H$2,'KPI Impacts'!$B64:$H64)</f>
        <v>0</v>
      </c>
      <c r="NT64" s="9" t="s">
        <v>1304</v>
      </c>
      <c r="NU64">
        <f>_xlfn.XLOOKUP(NT64,'KPI Impacts'!$B$2:$H$2,'KPI Impacts'!$B64:$H64)</f>
        <v>0</v>
      </c>
      <c r="NX64" s="12">
        <f t="shared" ref="NX64:NX69" si="506">NX$4*OI64</f>
        <v>0</v>
      </c>
      <c r="NY64" s="12">
        <f t="shared" ref="NY64:NY69" si="507">NY$4 * IF(AND(NX$4=1,NX$20=1), OK64, OI64)</f>
        <v>0</v>
      </c>
      <c r="NZ64" s="12">
        <f t="shared" ref="NZ64:NZ69" si="508">NZ$4 * IF(AND(NY$4=1,NX$20=1), OK64, OI64)</f>
        <v>0</v>
      </c>
      <c r="OA64" s="12">
        <f t="shared" ref="OA64:OA69" si="509">OA$4 * IF(AND(NZ$4=1,NX$20=1), OK64, OI64)</f>
        <v>0</v>
      </c>
      <c r="OB64" s="12">
        <f t="shared" ref="OB64:OB69" si="510">OB$4 * IF(AND(OA$4=1,NX$20=1), OK64, OI64)</f>
        <v>0</v>
      </c>
      <c r="OC64" s="12">
        <f t="shared" ref="OC64:OC69" si="511">OC$4 * IF(AND(OB$4=1,NX$20=1), OK64, OI64)</f>
        <v>0</v>
      </c>
      <c r="OD64" s="12">
        <f t="shared" ref="OD64:OD69" si="512">OD$4 * IF(AND(OC$4=1,NX$20=1), OK64, OI64)</f>
        <v>0</v>
      </c>
      <c r="OE64" s="12">
        <f t="shared" ref="OE64:OE69" si="513">OE$4 * IF(AND(OD$4=1,NX$20=1), OK64, OI64)</f>
        <v>0</v>
      </c>
      <c r="OF64" s="12">
        <f t="shared" ref="OF64:OF69" si="514">OF$4 * IF(AND(OE$4=1,NX$20=1), OK64, OI64)</f>
        <v>0</v>
      </c>
      <c r="OH64" t="s">
        <v>1304</v>
      </c>
      <c r="OI64">
        <f>_xlfn.XLOOKUP(OH64,'KPI Impacts'!$B$2:$H$2,'KPI Impacts'!$B64:$H64)</f>
        <v>0</v>
      </c>
      <c r="OJ64" s="9" t="s">
        <v>1304</v>
      </c>
      <c r="OK64">
        <f>_xlfn.XLOOKUP(OJ64,'KPI Impacts'!$B$2:$H$2,'KPI Impacts'!$B64:$H64)</f>
        <v>0</v>
      </c>
    </row>
    <row r="65" spans="1:401" x14ac:dyDescent="0.2">
      <c r="A65" t="s">
        <v>47</v>
      </c>
      <c r="B65" s="12">
        <f t="shared" ref="B65:B69" si="515">P65+AH65+AZ65+BP65+CF65+CV65+DL65+EB65+ER65+FH65+FX65+GN65+HD65+HT65+IJ65+IZ65+JP65+KF65+KV65+LL65+MB65+MR65+NH65+NX65</f>
        <v>0</v>
      </c>
      <c r="C65" s="12">
        <f t="shared" si="316"/>
        <v>0</v>
      </c>
      <c r="D65" s="12">
        <f t="shared" si="316"/>
        <v>0</v>
      </c>
      <c r="E65" s="12">
        <f t="shared" si="316"/>
        <v>0</v>
      </c>
      <c r="F65" s="12">
        <f t="shared" si="316"/>
        <v>0</v>
      </c>
      <c r="G65" s="12">
        <f t="shared" si="316"/>
        <v>0</v>
      </c>
      <c r="H65" s="12">
        <f t="shared" si="316"/>
        <v>0</v>
      </c>
      <c r="I65" s="12">
        <f t="shared" si="316"/>
        <v>0</v>
      </c>
      <c r="J65" s="12">
        <f t="shared" si="316"/>
        <v>0</v>
      </c>
      <c r="P65" s="12" cm="1">
        <f t="array" ref="P65">_xlfn.SWITCH(P$4, 0,0, 1, AA65,2,AC65,3,AE65,0)</f>
        <v>0</v>
      </c>
      <c r="Q65" s="12" cm="1">
        <f t="array" ref="Q65">_xlfn.SWITCH(Q$4, 0,0, 1, AA65,2,AC65,3,AE65,0)+P65</f>
        <v>0</v>
      </c>
      <c r="R65" s="12" cm="1">
        <f t="array" ref="R65">_xlfn.SWITCH(R$4, 0,0, 1, AA65,2,AC65,3,AE65,0)+Q65</f>
        <v>0</v>
      </c>
      <c r="S65" s="12" cm="1">
        <f t="array" ref="S65">_xlfn.SWITCH(S$4, 0,0, 1, AA65,2,AC65,3,AE65,0)+R65</f>
        <v>0</v>
      </c>
      <c r="T65" s="12" cm="1">
        <f t="array" ref="T65">_xlfn.SWITCH(T$4, 0,0, 1, AA65,2,AC65,3,AE65,0)+S65</f>
        <v>0</v>
      </c>
      <c r="U65" s="12" cm="1">
        <f t="array" ref="U65">_xlfn.SWITCH(U$4, 0,0, 1, AA65,2,AC65,3,AE65,0)+T65</f>
        <v>0</v>
      </c>
      <c r="V65" s="12" cm="1">
        <f t="array" ref="V65">_xlfn.SWITCH(V$4, 0,0, 1, AA65,2,AC65,3,AE65,0)+U65</f>
        <v>0</v>
      </c>
      <c r="W65" s="12" cm="1">
        <f t="array" ref="W65">_xlfn.SWITCH(W$4, 0,0, 1, AA65,2,AC65,3,AE65,0)+V65</f>
        <v>0</v>
      </c>
      <c r="X65" s="12" cm="1">
        <f t="array" ref="X65">_xlfn.SWITCH(X$4, 0,0, 1, AA65,2,AC65,3,AE65,0)+W65</f>
        <v>0</v>
      </c>
      <c r="Z65" t="s">
        <v>1304</v>
      </c>
      <c r="AA65">
        <f>_xlfn.XLOOKUP(Z65,'KPI Impacts'!$K$2:$Q$2,'KPI Impacts'!$K65:$Q65)</f>
        <v>0</v>
      </c>
      <c r="AB65" t="s">
        <v>1304</v>
      </c>
      <c r="AC65">
        <f>_xlfn.XLOOKUP(AB65,'KPI Impacts'!$K$2:$Q$2,'KPI Impacts'!$K65:$Q65)</f>
        <v>0</v>
      </c>
      <c r="AD65" t="s">
        <v>1304</v>
      </c>
      <c r="AE65">
        <f>_xlfn.XLOOKUP(AD65,'KPI Impacts'!$K$2:$Q$2,'KPI Impacts'!$K65:$Q65)</f>
        <v>0</v>
      </c>
      <c r="AH65" s="12" cm="1">
        <f t="array" ref="AH65">_xlfn.SWITCH(AH$4, 0,0, 1, AS65,2,AU65,3,AW65,0)</f>
        <v>0</v>
      </c>
      <c r="AI65" s="12" cm="1">
        <f t="array" ref="AI65">_xlfn.SWITCH(AI$4, 0,0, 1, AS65,2,AU65,3,AW65,0)+AH65</f>
        <v>0</v>
      </c>
      <c r="AJ65" s="12" cm="1">
        <f t="array" ref="AJ65">_xlfn.SWITCH(AJ$4, 0,0, 1, AS65,2,AU65,3,AW65,0)+AI65</f>
        <v>0</v>
      </c>
      <c r="AK65" s="12" cm="1">
        <f t="array" ref="AK65">_xlfn.SWITCH(AK$4, 0,0, 1, AS65,2,AU65,3,AW65,0)+AJ65</f>
        <v>0</v>
      </c>
      <c r="AL65" s="12" cm="1">
        <f t="array" ref="AL65">_xlfn.SWITCH(AL$4, 0,0, 1, AS65,2,AU65,3,AW65,0)+AK65</f>
        <v>0</v>
      </c>
      <c r="AM65" s="12" cm="1">
        <f t="array" ref="AM65">_xlfn.SWITCH(AM$4, 0,0, 1, AS65,2,AU65,3,AW65,0)+AL65</f>
        <v>0</v>
      </c>
      <c r="AN65" s="12" cm="1">
        <f t="array" ref="AN65">_xlfn.SWITCH(AN$4, 0,0, 1, AS65,2,AU65,3,AW65,0)+AM65</f>
        <v>0</v>
      </c>
      <c r="AO65" s="12" cm="1">
        <f t="array" ref="AO65">_xlfn.SWITCH(AO$4, 0,0, 1, AS65,2,AU65,3,AW65,0)+AN65</f>
        <v>0</v>
      </c>
      <c r="AP65" s="12" cm="1">
        <f t="array" ref="AP65">_xlfn.SWITCH(AP$4, 0,0, 1, AS65,2,AU65,3,AW65,0)+AO65</f>
        <v>0</v>
      </c>
      <c r="AR65" t="s">
        <v>1304</v>
      </c>
      <c r="AS65">
        <f>_xlfn.XLOOKUP(AR65,'KPI Impacts'!$K$2:$Q$2,'KPI Impacts'!$K65:$Q65)</f>
        <v>0</v>
      </c>
      <c r="AT65" t="s">
        <v>1304</v>
      </c>
      <c r="AU65">
        <f>_xlfn.XLOOKUP(AT65,'KPI Impacts'!$K$2:$Q$2,'KPI Impacts'!$K65:$Q65)</f>
        <v>0</v>
      </c>
      <c r="AV65" t="s">
        <v>1304</v>
      </c>
      <c r="AW65">
        <f>_xlfn.XLOOKUP(AV65,'KPI Impacts'!$K$2:$Q$2,'KPI Impacts'!$K65:$Q65)</f>
        <v>0</v>
      </c>
      <c r="AZ65" s="12">
        <f t="shared" si="317"/>
        <v>0</v>
      </c>
      <c r="BA65" s="12">
        <f t="shared" si="318"/>
        <v>0</v>
      </c>
      <c r="BB65" s="12">
        <f t="shared" si="319"/>
        <v>0</v>
      </c>
      <c r="BC65" s="12">
        <f t="shared" si="320"/>
        <v>0</v>
      </c>
      <c r="BD65" s="12">
        <f t="shared" si="321"/>
        <v>0</v>
      </c>
      <c r="BE65" s="12">
        <f t="shared" si="322"/>
        <v>0</v>
      </c>
      <c r="BF65" s="12">
        <f t="shared" si="323"/>
        <v>0</v>
      </c>
      <c r="BG65" s="12">
        <f t="shared" si="324"/>
        <v>0</v>
      </c>
      <c r="BH65" s="12">
        <f t="shared" si="325"/>
        <v>0</v>
      </c>
      <c r="BJ65" s="30" t="s">
        <v>1310</v>
      </c>
      <c r="BK65">
        <f>_xlfn.XLOOKUP(BJ65,'KPI Impacts'!$B$2:$H$2,'KPI Impacts'!$B65:$H65)</f>
        <v>2</v>
      </c>
      <c r="BL65" s="35" t="s">
        <v>1304</v>
      </c>
      <c r="BM65">
        <f>_xlfn.XLOOKUP(BL65,'KPI Impacts'!$B$2:$H$2,'KPI Impacts'!$B65:$H65)</f>
        <v>0</v>
      </c>
      <c r="BP65" s="12">
        <f t="shared" si="326"/>
        <v>0</v>
      </c>
      <c r="BQ65" s="12">
        <f t="shared" si="327"/>
        <v>0</v>
      </c>
      <c r="BR65" s="12">
        <f t="shared" si="328"/>
        <v>0</v>
      </c>
      <c r="BS65" s="12">
        <f t="shared" si="329"/>
        <v>0</v>
      </c>
      <c r="BT65" s="12">
        <f t="shared" si="330"/>
        <v>0</v>
      </c>
      <c r="BU65" s="12">
        <f t="shared" si="331"/>
        <v>0</v>
      </c>
      <c r="BV65" s="12">
        <f t="shared" si="332"/>
        <v>0</v>
      </c>
      <c r="BW65" s="12">
        <f t="shared" si="333"/>
        <v>0</v>
      </c>
      <c r="BX65" s="12">
        <f t="shared" si="334"/>
        <v>0</v>
      </c>
      <c r="BZ65" s="16" t="s">
        <v>1304</v>
      </c>
      <c r="CA65">
        <f>_xlfn.XLOOKUP(BZ65,'KPI Impacts'!$B$2:$H$2,'KPI Impacts'!$B65:$H65)</f>
        <v>0</v>
      </c>
      <c r="CB65" s="9" t="s">
        <v>1304</v>
      </c>
      <c r="CC65">
        <f>_xlfn.XLOOKUP(CB65,'KPI Impacts'!$B$2:$H$2,'KPI Impacts'!$B65:$H65)</f>
        <v>0</v>
      </c>
      <c r="CF65" s="12">
        <f t="shared" si="335"/>
        <v>0</v>
      </c>
      <c r="CG65" s="12">
        <f t="shared" si="336"/>
        <v>0</v>
      </c>
      <c r="CH65" s="12">
        <f t="shared" si="337"/>
        <v>0</v>
      </c>
      <c r="CI65" s="12">
        <f t="shared" si="338"/>
        <v>0</v>
      </c>
      <c r="CJ65" s="12">
        <f t="shared" si="339"/>
        <v>0</v>
      </c>
      <c r="CK65" s="12">
        <f t="shared" si="340"/>
        <v>0</v>
      </c>
      <c r="CL65" s="12">
        <f t="shared" si="341"/>
        <v>0</v>
      </c>
      <c r="CM65" s="12">
        <f t="shared" si="342"/>
        <v>0</v>
      </c>
      <c r="CN65" s="12">
        <f t="shared" si="343"/>
        <v>0</v>
      </c>
      <c r="CP65" s="30" t="s">
        <v>1310</v>
      </c>
      <c r="CQ65">
        <f>_xlfn.XLOOKUP(CP65,'KPI Impacts'!$B$2:$H$2,'KPI Impacts'!$B65:$H65)</f>
        <v>2</v>
      </c>
      <c r="CR65" s="35" t="s">
        <v>1304</v>
      </c>
      <c r="CS65">
        <f>_xlfn.XLOOKUP(CR65,'KPI Impacts'!$B$2:$H$2,'KPI Impacts'!$B65:$H65)</f>
        <v>0</v>
      </c>
      <c r="CV65" s="12">
        <f t="shared" si="344"/>
        <v>0</v>
      </c>
      <c r="CW65" s="12">
        <f t="shared" si="345"/>
        <v>0</v>
      </c>
      <c r="CX65" s="12">
        <f t="shared" si="346"/>
        <v>0</v>
      </c>
      <c r="CY65" s="12">
        <f t="shared" si="347"/>
        <v>0</v>
      </c>
      <c r="CZ65" s="12">
        <f t="shared" si="348"/>
        <v>0</v>
      </c>
      <c r="DA65" s="12">
        <f t="shared" si="349"/>
        <v>0</v>
      </c>
      <c r="DB65" s="12">
        <f t="shared" si="350"/>
        <v>0</v>
      </c>
      <c r="DC65" s="12">
        <f t="shared" si="351"/>
        <v>0</v>
      </c>
      <c r="DD65" s="12">
        <f t="shared" si="352"/>
        <v>0</v>
      </c>
      <c r="DF65" s="16" t="s">
        <v>1304</v>
      </c>
      <c r="DG65">
        <f>_xlfn.XLOOKUP(DF65,'KPI Impacts'!$B$2:$H$2,'KPI Impacts'!$B65:$H65)</f>
        <v>0</v>
      </c>
      <c r="DH65" s="35" t="s">
        <v>1304</v>
      </c>
      <c r="DI65">
        <f>_xlfn.XLOOKUP(DH65,'KPI Impacts'!$B$2:$H$2,'KPI Impacts'!$B65:$H65)</f>
        <v>0</v>
      </c>
      <c r="DL65" s="12">
        <f t="shared" si="353"/>
        <v>0</v>
      </c>
      <c r="DM65" s="12">
        <f t="shared" si="354"/>
        <v>0</v>
      </c>
      <c r="DN65" s="12">
        <f t="shared" si="355"/>
        <v>0</v>
      </c>
      <c r="DO65" s="12">
        <f t="shared" si="356"/>
        <v>0</v>
      </c>
      <c r="DP65" s="12">
        <f t="shared" si="357"/>
        <v>0</v>
      </c>
      <c r="DQ65" s="12">
        <f t="shared" si="358"/>
        <v>0</v>
      </c>
      <c r="DR65" s="12">
        <f t="shared" si="359"/>
        <v>0</v>
      </c>
      <c r="DS65" s="12">
        <f t="shared" si="360"/>
        <v>0</v>
      </c>
      <c r="DT65" s="12">
        <f t="shared" si="361"/>
        <v>0</v>
      </c>
      <c r="DV65" s="16" t="s">
        <v>1304</v>
      </c>
      <c r="DW65">
        <f>_xlfn.XLOOKUP(DV65,'KPI Impacts'!$B$2:$H$2,'KPI Impacts'!$B65:$H65)</f>
        <v>0</v>
      </c>
      <c r="DX65" s="35" t="s">
        <v>1304</v>
      </c>
      <c r="DY65">
        <f>_xlfn.XLOOKUP(DX65,'KPI Impacts'!$B$2:$H$2,'KPI Impacts'!$B65:$H65)</f>
        <v>0</v>
      </c>
      <c r="EB65" s="12">
        <f t="shared" si="362"/>
        <v>0</v>
      </c>
      <c r="EC65" s="12">
        <f t="shared" si="363"/>
        <v>0</v>
      </c>
      <c r="ED65" s="12">
        <f t="shared" si="364"/>
        <v>0</v>
      </c>
      <c r="EE65" s="12">
        <f t="shared" si="365"/>
        <v>0</v>
      </c>
      <c r="EF65" s="12">
        <f t="shared" si="366"/>
        <v>0</v>
      </c>
      <c r="EG65" s="12">
        <f t="shared" si="367"/>
        <v>0</v>
      </c>
      <c r="EH65" s="12">
        <f t="shared" si="368"/>
        <v>0</v>
      </c>
      <c r="EI65" s="12">
        <f t="shared" si="369"/>
        <v>0</v>
      </c>
      <c r="EJ65" s="12">
        <f t="shared" si="370"/>
        <v>0</v>
      </c>
      <c r="EL65" s="30" t="s">
        <v>1309</v>
      </c>
      <c r="EM65">
        <f>_xlfn.XLOOKUP(EL65,'KPI Impacts'!$B$2:$H$2,'KPI Impacts'!$B65:$H65)</f>
        <v>3</v>
      </c>
      <c r="EN65" s="35" t="s">
        <v>1304</v>
      </c>
      <c r="EO65">
        <f>_xlfn.XLOOKUP(EN65,'KPI Impacts'!$B$2:$H$2,'KPI Impacts'!$B65:$H65)</f>
        <v>0</v>
      </c>
      <c r="ER65" s="12">
        <f t="shared" si="371"/>
        <v>0</v>
      </c>
      <c r="ES65" s="12">
        <f t="shared" si="372"/>
        <v>0</v>
      </c>
      <c r="ET65" s="12">
        <f t="shared" si="373"/>
        <v>0</v>
      </c>
      <c r="EU65" s="12">
        <f t="shared" si="374"/>
        <v>0</v>
      </c>
      <c r="EV65" s="12">
        <f t="shared" si="375"/>
        <v>0</v>
      </c>
      <c r="EW65" s="12">
        <f t="shared" si="376"/>
        <v>0</v>
      </c>
      <c r="EX65" s="12">
        <f t="shared" si="377"/>
        <v>0</v>
      </c>
      <c r="EY65" s="12">
        <f t="shared" si="378"/>
        <v>0</v>
      </c>
      <c r="EZ65" s="12">
        <f t="shared" si="379"/>
        <v>0</v>
      </c>
      <c r="FB65" s="29" t="s">
        <v>1307</v>
      </c>
      <c r="FC65">
        <f>_xlfn.XLOOKUP(FB65,'KPI Impacts'!$B$2:$H$2,'KPI Impacts'!$B65:$H65)</f>
        <v>-1.6</v>
      </c>
      <c r="FD65" s="35" t="s">
        <v>1304</v>
      </c>
      <c r="FE65">
        <f>_xlfn.XLOOKUP(FD65,'KPI Impacts'!$B$2:$H$2,'KPI Impacts'!$B65:$H65)</f>
        <v>0</v>
      </c>
      <c r="FH65" s="12">
        <f t="shared" si="380"/>
        <v>0</v>
      </c>
      <c r="FI65" s="12">
        <f t="shared" si="381"/>
        <v>0</v>
      </c>
      <c r="FJ65" s="12">
        <f t="shared" si="382"/>
        <v>0</v>
      </c>
      <c r="FK65" s="12">
        <f t="shared" si="383"/>
        <v>0</v>
      </c>
      <c r="FL65" s="12">
        <f t="shared" si="384"/>
        <v>0</v>
      </c>
      <c r="FM65" s="12">
        <f t="shared" si="385"/>
        <v>0</v>
      </c>
      <c r="FN65" s="12">
        <f t="shared" si="386"/>
        <v>0</v>
      </c>
      <c r="FO65" s="12">
        <f t="shared" si="387"/>
        <v>0</v>
      </c>
      <c r="FP65" s="12">
        <f t="shared" si="388"/>
        <v>0</v>
      </c>
      <c r="FR65" s="16" t="s">
        <v>1304</v>
      </c>
      <c r="FS65">
        <f>_xlfn.XLOOKUP(FR65,'KPI Impacts'!$B$2:$H$2,'KPI Impacts'!$B65:$H65)</f>
        <v>0</v>
      </c>
      <c r="FT65" s="35" t="s">
        <v>1304</v>
      </c>
      <c r="FU65">
        <f>_xlfn.XLOOKUP(FT65,'KPI Impacts'!$B$2:$H$2,'KPI Impacts'!$B65:$H65)</f>
        <v>0</v>
      </c>
      <c r="FX65" s="12">
        <f t="shared" si="389"/>
        <v>0</v>
      </c>
      <c r="FY65" s="12">
        <f t="shared" si="390"/>
        <v>0</v>
      </c>
      <c r="FZ65" s="12">
        <f t="shared" si="391"/>
        <v>0</v>
      </c>
      <c r="GA65" s="12">
        <f t="shared" si="392"/>
        <v>0</v>
      </c>
      <c r="GB65" s="12">
        <f t="shared" si="393"/>
        <v>0</v>
      </c>
      <c r="GC65" s="12">
        <f t="shared" si="394"/>
        <v>0</v>
      </c>
      <c r="GD65" s="12">
        <f t="shared" si="395"/>
        <v>0</v>
      </c>
      <c r="GE65" s="12">
        <f t="shared" si="396"/>
        <v>0</v>
      </c>
      <c r="GF65" s="12">
        <f t="shared" si="397"/>
        <v>0</v>
      </c>
      <c r="GH65" s="16" t="s">
        <v>1304</v>
      </c>
      <c r="GI65">
        <f>_xlfn.XLOOKUP(GH65,'KPI Impacts'!$B$2:$H$2,'KPI Impacts'!$B65:$H65)</f>
        <v>0</v>
      </c>
      <c r="GJ65" s="35" t="s">
        <v>1304</v>
      </c>
      <c r="GK65">
        <f>_xlfn.XLOOKUP(GJ65,'KPI Impacts'!$B$2:$H$2,'KPI Impacts'!$B65:$H65)</f>
        <v>0</v>
      </c>
      <c r="GN65" s="12">
        <f t="shared" si="398"/>
        <v>0</v>
      </c>
      <c r="GO65" s="12">
        <f t="shared" si="399"/>
        <v>0</v>
      </c>
      <c r="GP65" s="12">
        <f t="shared" si="400"/>
        <v>0</v>
      </c>
      <c r="GQ65" s="12">
        <f t="shared" si="401"/>
        <v>0</v>
      </c>
      <c r="GR65" s="12">
        <f t="shared" si="402"/>
        <v>0</v>
      </c>
      <c r="GS65" s="12">
        <f t="shared" si="403"/>
        <v>0</v>
      </c>
      <c r="GT65" s="12">
        <f t="shared" si="404"/>
        <v>0</v>
      </c>
      <c r="GU65" s="12">
        <f t="shared" si="405"/>
        <v>0</v>
      </c>
      <c r="GV65" s="12">
        <f t="shared" si="406"/>
        <v>0</v>
      </c>
      <c r="GX65" s="16" t="s">
        <v>1304</v>
      </c>
      <c r="GY65">
        <f>_xlfn.XLOOKUP(GX65,'KPI Impacts'!$B$2:$H$2,'KPI Impacts'!$B65:$H65)</f>
        <v>0</v>
      </c>
      <c r="GZ65" s="35" t="s">
        <v>1304</v>
      </c>
      <c r="HA65">
        <f>_xlfn.XLOOKUP(GZ65,'KPI Impacts'!$B$2:$H$2,'KPI Impacts'!$B65:$H65)</f>
        <v>0</v>
      </c>
      <c r="HD65" s="12">
        <f t="shared" si="407"/>
        <v>0</v>
      </c>
      <c r="HE65" s="12">
        <f t="shared" si="408"/>
        <v>0</v>
      </c>
      <c r="HF65" s="12">
        <f t="shared" si="409"/>
        <v>0</v>
      </c>
      <c r="HG65" s="12">
        <f t="shared" si="410"/>
        <v>0</v>
      </c>
      <c r="HH65" s="12">
        <f t="shared" si="411"/>
        <v>0</v>
      </c>
      <c r="HI65" s="12">
        <f t="shared" si="412"/>
        <v>0</v>
      </c>
      <c r="HJ65" s="12">
        <f t="shared" si="413"/>
        <v>0</v>
      </c>
      <c r="HK65" s="12">
        <f t="shared" si="414"/>
        <v>0</v>
      </c>
      <c r="HL65" s="12">
        <f t="shared" si="415"/>
        <v>0</v>
      </c>
      <c r="HN65" s="16" t="s">
        <v>1304</v>
      </c>
      <c r="HO65">
        <f>_xlfn.XLOOKUP(HN65,'KPI Impacts'!$B$2:$H$2,'KPI Impacts'!$B65:$H65)</f>
        <v>0</v>
      </c>
      <c r="HP65" s="35" t="s">
        <v>1304</v>
      </c>
      <c r="HQ65">
        <f>_xlfn.XLOOKUP(HP65,'KPI Impacts'!$B$2:$H$2,'KPI Impacts'!$B65:$H65)</f>
        <v>0</v>
      </c>
      <c r="HT65" s="12">
        <f t="shared" si="416"/>
        <v>0</v>
      </c>
      <c r="HU65" s="12">
        <f t="shared" si="417"/>
        <v>0</v>
      </c>
      <c r="HV65" s="12">
        <f t="shared" si="418"/>
        <v>0</v>
      </c>
      <c r="HW65" s="12">
        <f t="shared" si="419"/>
        <v>0</v>
      </c>
      <c r="HX65" s="12">
        <f t="shared" si="420"/>
        <v>0</v>
      </c>
      <c r="HY65" s="12">
        <f t="shared" si="421"/>
        <v>0</v>
      </c>
      <c r="HZ65" s="12">
        <f t="shared" si="422"/>
        <v>0</v>
      </c>
      <c r="IA65" s="12">
        <f t="shared" si="423"/>
        <v>0</v>
      </c>
      <c r="IB65" s="12">
        <f t="shared" si="424"/>
        <v>0</v>
      </c>
      <c r="ID65" s="16" t="s">
        <v>1304</v>
      </c>
      <c r="IE65">
        <f>_xlfn.XLOOKUP(ID65,'KPI Impacts'!$B$2:$H$2,'KPI Impacts'!$B65:$H65)</f>
        <v>0</v>
      </c>
      <c r="IF65" s="35" t="s">
        <v>1304</v>
      </c>
      <c r="IG65">
        <f>_xlfn.XLOOKUP(IF65,'KPI Impacts'!$B$2:$H$2,'KPI Impacts'!$B65:$H65)</f>
        <v>0</v>
      </c>
      <c r="IJ65" s="12">
        <f t="shared" si="425"/>
        <v>0</v>
      </c>
      <c r="IK65" s="12">
        <f t="shared" si="426"/>
        <v>0</v>
      </c>
      <c r="IL65" s="12">
        <f t="shared" si="427"/>
        <v>0</v>
      </c>
      <c r="IM65" s="12">
        <f t="shared" si="428"/>
        <v>0</v>
      </c>
      <c r="IN65" s="12">
        <f t="shared" si="429"/>
        <v>0</v>
      </c>
      <c r="IO65" s="12">
        <f t="shared" si="430"/>
        <v>0</v>
      </c>
      <c r="IP65" s="12">
        <f t="shared" si="431"/>
        <v>0</v>
      </c>
      <c r="IQ65" s="12">
        <f t="shared" si="432"/>
        <v>0</v>
      </c>
      <c r="IR65" s="12">
        <f t="shared" si="433"/>
        <v>0</v>
      </c>
      <c r="IT65" s="16" t="s">
        <v>1304</v>
      </c>
      <c r="IU65">
        <f>_xlfn.XLOOKUP(IT65,'KPI Impacts'!$B$2:$H$2,'KPI Impacts'!$B65:$H65)</f>
        <v>0</v>
      </c>
      <c r="IV65" s="35" t="s">
        <v>1304</v>
      </c>
      <c r="IW65">
        <f>_xlfn.XLOOKUP(IV65,'KPI Impacts'!$B$2:$H$2,'KPI Impacts'!$B65:$H65)</f>
        <v>0</v>
      </c>
      <c r="IZ65" s="12">
        <f t="shared" si="434"/>
        <v>0</v>
      </c>
      <c r="JA65" s="12">
        <f t="shared" si="435"/>
        <v>0</v>
      </c>
      <c r="JB65" s="12">
        <f t="shared" si="436"/>
        <v>0</v>
      </c>
      <c r="JC65" s="12">
        <f t="shared" si="437"/>
        <v>0</v>
      </c>
      <c r="JD65" s="12">
        <f t="shared" si="438"/>
        <v>0</v>
      </c>
      <c r="JE65" s="12">
        <f t="shared" si="439"/>
        <v>0</v>
      </c>
      <c r="JF65" s="12">
        <f t="shared" si="440"/>
        <v>0</v>
      </c>
      <c r="JG65" s="12">
        <f t="shared" si="441"/>
        <v>0</v>
      </c>
      <c r="JH65" s="12">
        <f t="shared" si="442"/>
        <v>0</v>
      </c>
      <c r="JJ65" t="s">
        <v>1304</v>
      </c>
      <c r="JK65">
        <f>_xlfn.XLOOKUP(JJ65,'KPI Impacts'!$B$2:$H$2,'KPI Impacts'!$B65:$H65)</f>
        <v>0</v>
      </c>
      <c r="JL65" s="9" t="s">
        <v>1304</v>
      </c>
      <c r="JM65">
        <f>_xlfn.XLOOKUP(JL65,'KPI Impacts'!$B$2:$H$2,'KPI Impacts'!$B65:$H65)</f>
        <v>0</v>
      </c>
      <c r="JP65" s="12">
        <f t="shared" si="443"/>
        <v>0</v>
      </c>
      <c r="JQ65" s="12">
        <f t="shared" si="444"/>
        <v>0</v>
      </c>
      <c r="JR65" s="12">
        <f t="shared" si="445"/>
        <v>0</v>
      </c>
      <c r="JS65" s="12">
        <f t="shared" si="446"/>
        <v>0</v>
      </c>
      <c r="JT65" s="12">
        <f t="shared" si="447"/>
        <v>0</v>
      </c>
      <c r="JU65" s="12">
        <f t="shared" si="448"/>
        <v>0</v>
      </c>
      <c r="JV65" s="12">
        <f t="shared" si="449"/>
        <v>0</v>
      </c>
      <c r="JW65" s="12">
        <f t="shared" si="450"/>
        <v>0</v>
      </c>
      <c r="JX65" s="12">
        <f t="shared" si="451"/>
        <v>0</v>
      </c>
      <c r="JZ65" t="s">
        <v>1304</v>
      </c>
      <c r="KA65">
        <f>_xlfn.XLOOKUP(JZ65,'KPI Impacts'!$B$2:$H$2,'KPI Impacts'!$B65:$H65)</f>
        <v>0</v>
      </c>
      <c r="KB65" s="9" t="s">
        <v>1304</v>
      </c>
      <c r="KC65">
        <f>_xlfn.XLOOKUP(KB65,'KPI Impacts'!$B$2:$H$2,'KPI Impacts'!$B65:$H65)</f>
        <v>0</v>
      </c>
      <c r="KF65" s="12">
        <f t="shared" si="452"/>
        <v>0</v>
      </c>
      <c r="KG65" s="12">
        <f t="shared" si="453"/>
        <v>0</v>
      </c>
      <c r="KH65" s="12">
        <f t="shared" si="454"/>
        <v>0</v>
      </c>
      <c r="KI65" s="12">
        <f t="shared" si="455"/>
        <v>0</v>
      </c>
      <c r="KJ65" s="12">
        <f t="shared" si="456"/>
        <v>0</v>
      </c>
      <c r="KK65" s="12">
        <f t="shared" si="457"/>
        <v>0</v>
      </c>
      <c r="KL65" s="12">
        <f t="shared" si="458"/>
        <v>0</v>
      </c>
      <c r="KM65" s="12">
        <f t="shared" si="459"/>
        <v>0</v>
      </c>
      <c r="KN65" s="12">
        <f t="shared" si="460"/>
        <v>0</v>
      </c>
      <c r="KP65" t="s">
        <v>1304</v>
      </c>
      <c r="KQ65">
        <f>_xlfn.XLOOKUP(KP65,'KPI Impacts'!$B$2:$H$2,'KPI Impacts'!$B65:$H65)</f>
        <v>0</v>
      </c>
      <c r="KR65" s="9" t="s">
        <v>1304</v>
      </c>
      <c r="KS65">
        <f>_xlfn.XLOOKUP(KR65,'KPI Impacts'!$B$2:$H$2,'KPI Impacts'!$B65:$H65)</f>
        <v>0</v>
      </c>
      <c r="KV65" s="12">
        <f t="shared" si="461"/>
        <v>0</v>
      </c>
      <c r="KW65" s="12">
        <f t="shared" si="462"/>
        <v>0</v>
      </c>
      <c r="KX65" s="12">
        <f t="shared" si="463"/>
        <v>0</v>
      </c>
      <c r="KY65" s="12">
        <f t="shared" si="464"/>
        <v>0</v>
      </c>
      <c r="KZ65" s="12">
        <f t="shared" si="465"/>
        <v>0</v>
      </c>
      <c r="LA65" s="12">
        <f t="shared" si="466"/>
        <v>0</v>
      </c>
      <c r="LB65" s="12">
        <f t="shared" si="467"/>
        <v>0</v>
      </c>
      <c r="LC65" s="12">
        <f t="shared" si="468"/>
        <v>0</v>
      </c>
      <c r="LD65" s="12">
        <f t="shared" si="469"/>
        <v>0</v>
      </c>
      <c r="LF65" t="s">
        <v>1304</v>
      </c>
      <c r="LG65">
        <f>_xlfn.XLOOKUP(LF65,'KPI Impacts'!$B$2:$H$2,'KPI Impacts'!$B65:$H65)</f>
        <v>0</v>
      </c>
      <c r="LH65" s="9" t="s">
        <v>1304</v>
      </c>
      <c r="LI65">
        <f>_xlfn.XLOOKUP(LH65,'KPI Impacts'!$B$2:$H$2,'KPI Impacts'!$B65:$H65)</f>
        <v>0</v>
      </c>
      <c r="LL65" s="12">
        <f t="shared" si="470"/>
        <v>0</v>
      </c>
      <c r="LM65" s="12">
        <f t="shared" si="471"/>
        <v>0</v>
      </c>
      <c r="LN65" s="12">
        <f t="shared" si="472"/>
        <v>0</v>
      </c>
      <c r="LO65" s="12">
        <f t="shared" si="473"/>
        <v>0</v>
      </c>
      <c r="LP65" s="12">
        <f t="shared" si="474"/>
        <v>0</v>
      </c>
      <c r="LQ65" s="12">
        <f t="shared" si="475"/>
        <v>0</v>
      </c>
      <c r="LR65" s="12">
        <f t="shared" si="476"/>
        <v>0</v>
      </c>
      <c r="LS65" s="12">
        <f t="shared" si="477"/>
        <v>0</v>
      </c>
      <c r="LT65" s="12">
        <f t="shared" si="478"/>
        <v>0</v>
      </c>
      <c r="LV65" t="s">
        <v>1304</v>
      </c>
      <c r="LW65">
        <f>_xlfn.XLOOKUP(LV65,'KPI Impacts'!$B$2:$H$2,'KPI Impacts'!$B65:$H65)</f>
        <v>0</v>
      </c>
      <c r="LX65" s="9" t="s">
        <v>1304</v>
      </c>
      <c r="LY65">
        <f>_xlfn.XLOOKUP(LX65,'KPI Impacts'!$B$2:$H$2,'KPI Impacts'!$B65:$H65)</f>
        <v>0</v>
      </c>
      <c r="MB65" s="12">
        <f t="shared" si="479"/>
        <v>0</v>
      </c>
      <c r="MC65" s="12">
        <f t="shared" si="480"/>
        <v>0</v>
      </c>
      <c r="MD65" s="12">
        <f t="shared" si="481"/>
        <v>0</v>
      </c>
      <c r="ME65" s="12">
        <f t="shared" si="482"/>
        <v>0</v>
      </c>
      <c r="MF65" s="12">
        <f t="shared" si="483"/>
        <v>0</v>
      </c>
      <c r="MG65" s="12">
        <f t="shared" si="484"/>
        <v>0</v>
      </c>
      <c r="MH65" s="12">
        <f t="shared" si="485"/>
        <v>0</v>
      </c>
      <c r="MI65" s="12">
        <f t="shared" si="486"/>
        <v>0</v>
      </c>
      <c r="MJ65" s="12">
        <f t="shared" si="487"/>
        <v>0</v>
      </c>
      <c r="ML65" t="s">
        <v>1304</v>
      </c>
      <c r="MM65">
        <f>_xlfn.XLOOKUP(ML65,'KPI Impacts'!$B$2:$H$2,'KPI Impacts'!$B65:$H65)</f>
        <v>0</v>
      </c>
      <c r="MN65" s="9" t="s">
        <v>1304</v>
      </c>
      <c r="MO65">
        <f>_xlfn.XLOOKUP(MN65,'KPI Impacts'!$B$2:$H$2,'KPI Impacts'!$B65:$H65)</f>
        <v>0</v>
      </c>
      <c r="MR65" s="12">
        <f t="shared" si="488"/>
        <v>0</v>
      </c>
      <c r="MS65" s="12">
        <f t="shared" si="489"/>
        <v>0</v>
      </c>
      <c r="MT65" s="12">
        <f t="shared" si="490"/>
        <v>0</v>
      </c>
      <c r="MU65" s="12">
        <f t="shared" si="491"/>
        <v>0</v>
      </c>
      <c r="MV65" s="12">
        <f t="shared" si="492"/>
        <v>0</v>
      </c>
      <c r="MW65" s="12">
        <f t="shared" si="493"/>
        <v>0</v>
      </c>
      <c r="MX65" s="12">
        <f t="shared" si="494"/>
        <v>0</v>
      </c>
      <c r="MY65" s="12">
        <f t="shared" si="495"/>
        <v>0</v>
      </c>
      <c r="MZ65" s="12">
        <f t="shared" si="496"/>
        <v>0</v>
      </c>
      <c r="NB65" t="s">
        <v>1304</v>
      </c>
      <c r="NC65">
        <f>_xlfn.XLOOKUP(NB65,'KPI Impacts'!$B$2:$H$2,'KPI Impacts'!$B65:$H65)</f>
        <v>0</v>
      </c>
      <c r="ND65" s="9" t="s">
        <v>1304</v>
      </c>
      <c r="NE65">
        <f>_xlfn.XLOOKUP(ND65,'KPI Impacts'!$B$2:$H$2,'KPI Impacts'!$B65:$H65)</f>
        <v>0</v>
      </c>
      <c r="NH65" s="12">
        <f t="shared" si="497"/>
        <v>0</v>
      </c>
      <c r="NI65" s="12">
        <f t="shared" si="498"/>
        <v>0</v>
      </c>
      <c r="NJ65" s="12">
        <f t="shared" si="499"/>
        <v>0</v>
      </c>
      <c r="NK65" s="12">
        <f t="shared" si="500"/>
        <v>0</v>
      </c>
      <c r="NL65" s="12">
        <f t="shared" si="501"/>
        <v>0</v>
      </c>
      <c r="NM65" s="12">
        <f t="shared" si="502"/>
        <v>0</v>
      </c>
      <c r="NN65" s="12">
        <f t="shared" si="503"/>
        <v>0</v>
      </c>
      <c r="NO65" s="12">
        <f t="shared" si="504"/>
        <v>0</v>
      </c>
      <c r="NP65" s="12">
        <f t="shared" si="505"/>
        <v>0</v>
      </c>
      <c r="NR65" t="s">
        <v>1304</v>
      </c>
      <c r="NS65">
        <f>_xlfn.XLOOKUP(NR65,'KPI Impacts'!$B$2:$H$2,'KPI Impacts'!$B65:$H65)</f>
        <v>0</v>
      </c>
      <c r="NT65" s="9" t="s">
        <v>1304</v>
      </c>
      <c r="NU65">
        <f>_xlfn.XLOOKUP(NT65,'KPI Impacts'!$B$2:$H$2,'KPI Impacts'!$B65:$H65)</f>
        <v>0</v>
      </c>
      <c r="NX65" s="12">
        <f t="shared" si="506"/>
        <v>0</v>
      </c>
      <c r="NY65" s="12">
        <f t="shared" si="507"/>
        <v>0</v>
      </c>
      <c r="NZ65" s="12">
        <f t="shared" si="508"/>
        <v>0</v>
      </c>
      <c r="OA65" s="12">
        <f t="shared" si="509"/>
        <v>0</v>
      </c>
      <c r="OB65" s="12">
        <f t="shared" si="510"/>
        <v>0</v>
      </c>
      <c r="OC65" s="12">
        <f t="shared" si="511"/>
        <v>0</v>
      </c>
      <c r="OD65" s="12">
        <f t="shared" si="512"/>
        <v>0</v>
      </c>
      <c r="OE65" s="12">
        <f t="shared" si="513"/>
        <v>0</v>
      </c>
      <c r="OF65" s="12">
        <f t="shared" si="514"/>
        <v>0</v>
      </c>
      <c r="OH65" t="s">
        <v>1304</v>
      </c>
      <c r="OI65">
        <f>_xlfn.XLOOKUP(OH65,'KPI Impacts'!$B$2:$H$2,'KPI Impacts'!$B65:$H65)</f>
        <v>0</v>
      </c>
      <c r="OJ65" s="9" t="s">
        <v>1304</v>
      </c>
      <c r="OK65">
        <f>_xlfn.XLOOKUP(OJ65,'KPI Impacts'!$B$2:$H$2,'KPI Impacts'!$B65:$H65)</f>
        <v>0</v>
      </c>
    </row>
    <row r="66" spans="1:401" x14ac:dyDescent="0.2">
      <c r="A66" t="s">
        <v>1293</v>
      </c>
      <c r="B66" s="12">
        <f t="shared" si="515"/>
        <v>0</v>
      </c>
      <c r="C66" s="12">
        <f t="shared" si="316"/>
        <v>0</v>
      </c>
      <c r="D66" s="12">
        <f t="shared" si="316"/>
        <v>0</v>
      </c>
      <c r="E66" s="12">
        <f t="shared" si="316"/>
        <v>0</v>
      </c>
      <c r="F66" s="12">
        <f t="shared" si="316"/>
        <v>0</v>
      </c>
      <c r="G66" s="12">
        <f t="shared" si="316"/>
        <v>0</v>
      </c>
      <c r="H66" s="12">
        <f t="shared" si="316"/>
        <v>0</v>
      </c>
      <c r="I66" s="12">
        <f t="shared" si="316"/>
        <v>0</v>
      </c>
      <c r="J66" s="12">
        <f t="shared" si="316"/>
        <v>0</v>
      </c>
      <c r="P66" s="12" cm="1">
        <f t="array" ref="P66">_xlfn.SWITCH(P$4, 0,0, 1, AA66,2,AC66,3,AE66,0)</f>
        <v>0</v>
      </c>
      <c r="Q66" s="12" cm="1">
        <f t="array" ref="Q66">_xlfn.SWITCH(Q$4, 0,0, 1, AA66,2,AC66,3,AE66,0)+P66</f>
        <v>0</v>
      </c>
      <c r="R66" s="12" cm="1">
        <f t="array" ref="R66">_xlfn.SWITCH(R$4, 0,0, 1, AA66,2,AC66,3,AE66,0)+Q66</f>
        <v>0</v>
      </c>
      <c r="S66" s="12" cm="1">
        <f t="array" ref="S66">_xlfn.SWITCH(S$4, 0,0, 1, AA66,2,AC66,3,AE66,0)+R66</f>
        <v>0</v>
      </c>
      <c r="T66" s="12" cm="1">
        <f t="array" ref="T66">_xlfn.SWITCH(T$4, 0,0, 1, AA66,2,AC66,3,AE66,0)+S66</f>
        <v>0</v>
      </c>
      <c r="U66" s="12" cm="1">
        <f t="array" ref="U66">_xlfn.SWITCH(U$4, 0,0, 1, AA66,2,AC66,3,AE66,0)+T66</f>
        <v>0</v>
      </c>
      <c r="V66" s="12" cm="1">
        <f t="array" ref="V66">_xlfn.SWITCH(V$4, 0,0, 1, AA66,2,AC66,3,AE66,0)+U66</f>
        <v>0</v>
      </c>
      <c r="W66" s="12" cm="1">
        <f t="array" ref="W66">_xlfn.SWITCH(W$4, 0,0, 1, AA66,2,AC66,3,AE66,0)+V66</f>
        <v>0</v>
      </c>
      <c r="X66" s="12" cm="1">
        <f t="array" ref="X66">_xlfn.SWITCH(X$4, 0,0, 1, AA66,2,AC66,3,AE66,0)+W66</f>
        <v>0</v>
      </c>
      <c r="Z66" t="s">
        <v>1304</v>
      </c>
      <c r="AA66">
        <f>_xlfn.XLOOKUP(Z66,'KPI Impacts'!$K$2:$Q$2,'KPI Impacts'!$K66:$Q66)</f>
        <v>0</v>
      </c>
      <c r="AB66" t="s">
        <v>1304</v>
      </c>
      <c r="AC66">
        <f>_xlfn.XLOOKUP(AB66,'KPI Impacts'!$K$2:$Q$2,'KPI Impacts'!$K66:$Q66)</f>
        <v>0</v>
      </c>
      <c r="AD66" t="s">
        <v>1304</v>
      </c>
      <c r="AE66">
        <f>_xlfn.XLOOKUP(AD66,'KPI Impacts'!$K$2:$Q$2,'KPI Impacts'!$K66:$Q66)</f>
        <v>0</v>
      </c>
      <c r="AH66" s="12" cm="1">
        <f t="array" ref="AH66">_xlfn.SWITCH(AH$4, 0,0, 1, AS66,2,AU66,3,AW66,0)</f>
        <v>0</v>
      </c>
      <c r="AI66" s="12" cm="1">
        <f t="array" ref="AI66">_xlfn.SWITCH(AI$4, 0,0, 1, AS66,2,AU66,3,AW66,0)+AH66</f>
        <v>0</v>
      </c>
      <c r="AJ66" s="12" cm="1">
        <f t="array" ref="AJ66">_xlfn.SWITCH(AJ$4, 0,0, 1, AS66,2,AU66,3,AW66,0)+AI66</f>
        <v>0</v>
      </c>
      <c r="AK66" s="12" cm="1">
        <f t="array" ref="AK66">_xlfn.SWITCH(AK$4, 0,0, 1, AS66,2,AU66,3,AW66,0)+AJ66</f>
        <v>0</v>
      </c>
      <c r="AL66" s="12" cm="1">
        <f t="array" ref="AL66">_xlfn.SWITCH(AL$4, 0,0, 1, AS66,2,AU66,3,AW66,0)+AK66</f>
        <v>0</v>
      </c>
      <c r="AM66" s="12" cm="1">
        <f t="array" ref="AM66">_xlfn.SWITCH(AM$4, 0,0, 1, AS66,2,AU66,3,AW66,0)+AL66</f>
        <v>0</v>
      </c>
      <c r="AN66" s="12" cm="1">
        <f t="array" ref="AN66">_xlfn.SWITCH(AN$4, 0,0, 1, AS66,2,AU66,3,AW66,0)+AM66</f>
        <v>0</v>
      </c>
      <c r="AO66" s="12" cm="1">
        <f t="array" ref="AO66">_xlfn.SWITCH(AO$4, 0,0, 1, AS66,2,AU66,3,AW66,0)+AN66</f>
        <v>0</v>
      </c>
      <c r="AP66" s="12" cm="1">
        <f t="array" ref="AP66">_xlfn.SWITCH(AP$4, 0,0, 1, AS66,2,AU66,3,AW66,0)+AO66</f>
        <v>0</v>
      </c>
      <c r="AR66" t="s">
        <v>1304</v>
      </c>
      <c r="AS66">
        <f>_xlfn.XLOOKUP(AR66,'KPI Impacts'!$K$2:$Q$2,'KPI Impacts'!$K66:$Q66)</f>
        <v>0</v>
      </c>
      <c r="AT66" t="s">
        <v>1304</v>
      </c>
      <c r="AU66">
        <f>_xlfn.XLOOKUP(AT66,'KPI Impacts'!$K$2:$Q$2,'KPI Impacts'!$K66:$Q66)</f>
        <v>0</v>
      </c>
      <c r="AV66" t="s">
        <v>1304</v>
      </c>
      <c r="AW66">
        <f>_xlfn.XLOOKUP(AV66,'KPI Impacts'!$K$2:$Q$2,'KPI Impacts'!$K66:$Q66)</f>
        <v>0</v>
      </c>
      <c r="AZ66" s="12">
        <f t="shared" si="317"/>
        <v>0</v>
      </c>
      <c r="BA66" s="12">
        <f t="shared" si="318"/>
        <v>0</v>
      </c>
      <c r="BB66" s="12">
        <f t="shared" si="319"/>
        <v>0</v>
      </c>
      <c r="BC66" s="12">
        <f t="shared" si="320"/>
        <v>0</v>
      </c>
      <c r="BD66" s="12">
        <f t="shared" si="321"/>
        <v>0</v>
      </c>
      <c r="BE66" s="12">
        <f t="shared" si="322"/>
        <v>0</v>
      </c>
      <c r="BF66" s="12">
        <f t="shared" si="323"/>
        <v>0</v>
      </c>
      <c r="BG66" s="12">
        <f t="shared" si="324"/>
        <v>0</v>
      </c>
      <c r="BH66" s="12">
        <f t="shared" si="325"/>
        <v>0</v>
      </c>
      <c r="BJ66" s="16" t="s">
        <v>1304</v>
      </c>
      <c r="BK66">
        <f>_xlfn.XLOOKUP(BJ66,'KPI Impacts'!$B$2:$H$2,'KPI Impacts'!$B66:$H66)</f>
        <v>0</v>
      </c>
      <c r="BL66" s="35" t="s">
        <v>1304</v>
      </c>
      <c r="BM66">
        <f>_xlfn.XLOOKUP(BL66,'KPI Impacts'!$B$2:$H$2,'KPI Impacts'!$B66:$H66)</f>
        <v>0</v>
      </c>
      <c r="BP66" s="12">
        <f t="shared" si="326"/>
        <v>0</v>
      </c>
      <c r="BQ66" s="12">
        <f t="shared" si="327"/>
        <v>0</v>
      </c>
      <c r="BR66" s="12">
        <f t="shared" si="328"/>
        <v>0</v>
      </c>
      <c r="BS66" s="12">
        <f t="shared" si="329"/>
        <v>0</v>
      </c>
      <c r="BT66" s="12">
        <f t="shared" si="330"/>
        <v>0</v>
      </c>
      <c r="BU66" s="12">
        <f t="shared" si="331"/>
        <v>0</v>
      </c>
      <c r="BV66" s="12">
        <f t="shared" si="332"/>
        <v>0</v>
      </c>
      <c r="BW66" s="12">
        <f t="shared" si="333"/>
        <v>0</v>
      </c>
      <c r="BX66" s="12">
        <f t="shared" si="334"/>
        <v>0</v>
      </c>
      <c r="BZ66" s="30" t="s">
        <v>1310</v>
      </c>
      <c r="CA66">
        <f>_xlfn.XLOOKUP(BZ66,'KPI Impacts'!$B$2:$H$2,'KPI Impacts'!$B66:$H66)</f>
        <v>4</v>
      </c>
      <c r="CB66" s="9" t="s">
        <v>1304</v>
      </c>
      <c r="CC66">
        <f>_xlfn.XLOOKUP(CB66,'KPI Impacts'!$B$2:$H$2,'KPI Impacts'!$B66:$H66)</f>
        <v>0</v>
      </c>
      <c r="CF66" s="12">
        <f t="shared" si="335"/>
        <v>0</v>
      </c>
      <c r="CG66" s="12">
        <f t="shared" si="336"/>
        <v>0</v>
      </c>
      <c r="CH66" s="12">
        <f t="shared" si="337"/>
        <v>0</v>
      </c>
      <c r="CI66" s="12">
        <f t="shared" si="338"/>
        <v>0</v>
      </c>
      <c r="CJ66" s="12">
        <f t="shared" si="339"/>
        <v>0</v>
      </c>
      <c r="CK66" s="12">
        <f t="shared" si="340"/>
        <v>0</v>
      </c>
      <c r="CL66" s="12">
        <f t="shared" si="341"/>
        <v>0</v>
      </c>
      <c r="CM66" s="12">
        <f t="shared" si="342"/>
        <v>0</v>
      </c>
      <c r="CN66" s="12">
        <f t="shared" si="343"/>
        <v>0</v>
      </c>
      <c r="CP66" s="16" t="s">
        <v>1304</v>
      </c>
      <c r="CQ66">
        <f>_xlfn.XLOOKUP(CP66,'KPI Impacts'!$B$2:$H$2,'KPI Impacts'!$B66:$H66)</f>
        <v>0</v>
      </c>
      <c r="CR66" s="35" t="s">
        <v>1304</v>
      </c>
      <c r="CS66">
        <f>_xlfn.XLOOKUP(CR66,'KPI Impacts'!$B$2:$H$2,'KPI Impacts'!$B66:$H66)</f>
        <v>0</v>
      </c>
      <c r="CV66" s="12">
        <f t="shared" si="344"/>
        <v>0</v>
      </c>
      <c r="CW66" s="12">
        <f t="shared" si="345"/>
        <v>0</v>
      </c>
      <c r="CX66" s="12">
        <f t="shared" si="346"/>
        <v>0</v>
      </c>
      <c r="CY66" s="12">
        <f t="shared" si="347"/>
        <v>0</v>
      </c>
      <c r="CZ66" s="12">
        <f t="shared" si="348"/>
        <v>0</v>
      </c>
      <c r="DA66" s="12">
        <f t="shared" si="349"/>
        <v>0</v>
      </c>
      <c r="DB66" s="12">
        <f t="shared" si="350"/>
        <v>0</v>
      </c>
      <c r="DC66" s="12">
        <f t="shared" si="351"/>
        <v>0</v>
      </c>
      <c r="DD66" s="12">
        <f t="shared" si="352"/>
        <v>0</v>
      </c>
      <c r="DF66" s="30" t="s">
        <v>1308</v>
      </c>
      <c r="DG66">
        <f>_xlfn.XLOOKUP(DF66,'KPI Impacts'!$B$2:$H$2,'KPI Impacts'!$B66:$H66)</f>
        <v>2</v>
      </c>
      <c r="DH66" s="35" t="s">
        <v>1304</v>
      </c>
      <c r="DI66">
        <f>_xlfn.XLOOKUP(DH66,'KPI Impacts'!$B$2:$H$2,'KPI Impacts'!$B66:$H66)</f>
        <v>0</v>
      </c>
      <c r="DL66" s="12">
        <f t="shared" si="353"/>
        <v>0</v>
      </c>
      <c r="DM66" s="12">
        <f t="shared" si="354"/>
        <v>0</v>
      </c>
      <c r="DN66" s="12">
        <f t="shared" si="355"/>
        <v>0</v>
      </c>
      <c r="DO66" s="12">
        <f t="shared" si="356"/>
        <v>0</v>
      </c>
      <c r="DP66" s="12">
        <f t="shared" si="357"/>
        <v>0</v>
      </c>
      <c r="DQ66" s="12">
        <f t="shared" si="358"/>
        <v>0</v>
      </c>
      <c r="DR66" s="12">
        <f t="shared" si="359"/>
        <v>0</v>
      </c>
      <c r="DS66" s="12">
        <f t="shared" si="360"/>
        <v>0</v>
      </c>
      <c r="DT66" s="12">
        <f t="shared" si="361"/>
        <v>0</v>
      </c>
      <c r="DV66" s="16" t="s">
        <v>1304</v>
      </c>
      <c r="DW66">
        <f>_xlfn.XLOOKUP(DV66,'KPI Impacts'!$B$2:$H$2,'KPI Impacts'!$B66:$H66)</f>
        <v>0</v>
      </c>
      <c r="DX66" s="35" t="s">
        <v>1304</v>
      </c>
      <c r="DY66">
        <f>_xlfn.XLOOKUP(DX66,'KPI Impacts'!$B$2:$H$2,'KPI Impacts'!$B66:$H66)</f>
        <v>0</v>
      </c>
      <c r="EB66" s="12">
        <f t="shared" si="362"/>
        <v>0</v>
      </c>
      <c r="EC66" s="12">
        <f t="shared" si="363"/>
        <v>0</v>
      </c>
      <c r="ED66" s="12">
        <f t="shared" si="364"/>
        <v>0</v>
      </c>
      <c r="EE66" s="12">
        <f t="shared" si="365"/>
        <v>0</v>
      </c>
      <c r="EF66" s="12">
        <f t="shared" si="366"/>
        <v>0</v>
      </c>
      <c r="EG66" s="12">
        <f t="shared" si="367"/>
        <v>0</v>
      </c>
      <c r="EH66" s="12">
        <f t="shared" si="368"/>
        <v>0</v>
      </c>
      <c r="EI66" s="12">
        <f t="shared" si="369"/>
        <v>0</v>
      </c>
      <c r="EJ66" s="12">
        <f t="shared" si="370"/>
        <v>0</v>
      </c>
      <c r="EL66" s="16" t="s">
        <v>1304</v>
      </c>
      <c r="EM66">
        <f>_xlfn.XLOOKUP(EL66,'KPI Impacts'!$B$2:$H$2,'KPI Impacts'!$B66:$H66)</f>
        <v>0</v>
      </c>
      <c r="EN66" s="35" t="s">
        <v>1304</v>
      </c>
      <c r="EO66">
        <f>_xlfn.XLOOKUP(EN66,'KPI Impacts'!$B$2:$H$2,'KPI Impacts'!$B66:$H66)</f>
        <v>0</v>
      </c>
      <c r="ER66" s="12">
        <f t="shared" si="371"/>
        <v>0</v>
      </c>
      <c r="ES66" s="12">
        <f t="shared" si="372"/>
        <v>0</v>
      </c>
      <c r="ET66" s="12">
        <f t="shared" si="373"/>
        <v>0</v>
      </c>
      <c r="EU66" s="12">
        <f t="shared" si="374"/>
        <v>0</v>
      </c>
      <c r="EV66" s="12">
        <f t="shared" si="375"/>
        <v>0</v>
      </c>
      <c r="EW66" s="12">
        <f t="shared" si="376"/>
        <v>0</v>
      </c>
      <c r="EX66" s="12">
        <f t="shared" si="377"/>
        <v>0</v>
      </c>
      <c r="EY66" s="12">
        <f t="shared" si="378"/>
        <v>0</v>
      </c>
      <c r="EZ66" s="12">
        <f t="shared" si="379"/>
        <v>0</v>
      </c>
      <c r="FB66" s="29" t="s">
        <v>1306</v>
      </c>
      <c r="FC66">
        <f>_xlfn.XLOOKUP(FB66,'KPI Impacts'!$B$2:$H$2,'KPI Impacts'!$B66:$H66)</f>
        <v>-4.8000000000000007</v>
      </c>
      <c r="FD66" s="35" t="s">
        <v>1304</v>
      </c>
      <c r="FE66">
        <f>_xlfn.XLOOKUP(FD66,'KPI Impacts'!$B$2:$H$2,'KPI Impacts'!$B66:$H66)</f>
        <v>0</v>
      </c>
      <c r="FH66" s="12">
        <f t="shared" si="380"/>
        <v>0</v>
      </c>
      <c r="FI66" s="12">
        <f t="shared" si="381"/>
        <v>0</v>
      </c>
      <c r="FJ66" s="12">
        <f t="shared" si="382"/>
        <v>0</v>
      </c>
      <c r="FK66" s="12">
        <f t="shared" si="383"/>
        <v>0</v>
      </c>
      <c r="FL66" s="12">
        <f t="shared" si="384"/>
        <v>0</v>
      </c>
      <c r="FM66" s="12">
        <f t="shared" si="385"/>
        <v>0</v>
      </c>
      <c r="FN66" s="12">
        <f t="shared" si="386"/>
        <v>0</v>
      </c>
      <c r="FO66" s="12">
        <f t="shared" si="387"/>
        <v>0</v>
      </c>
      <c r="FP66" s="12">
        <f t="shared" si="388"/>
        <v>0</v>
      </c>
      <c r="FR66" s="16" t="s">
        <v>1304</v>
      </c>
      <c r="FS66">
        <f>_xlfn.XLOOKUP(FR66,'KPI Impacts'!$B$2:$H$2,'KPI Impacts'!$B66:$H66)</f>
        <v>0</v>
      </c>
      <c r="FT66" s="35" t="s">
        <v>1304</v>
      </c>
      <c r="FU66">
        <f>_xlfn.XLOOKUP(FT66,'KPI Impacts'!$B$2:$H$2,'KPI Impacts'!$B66:$H66)</f>
        <v>0</v>
      </c>
      <c r="FX66" s="12">
        <f t="shared" si="389"/>
        <v>0</v>
      </c>
      <c r="FY66" s="12">
        <f t="shared" si="390"/>
        <v>0</v>
      </c>
      <c r="FZ66" s="12">
        <f t="shared" si="391"/>
        <v>0</v>
      </c>
      <c r="GA66" s="12">
        <f t="shared" si="392"/>
        <v>0</v>
      </c>
      <c r="GB66" s="12">
        <f t="shared" si="393"/>
        <v>0</v>
      </c>
      <c r="GC66" s="12">
        <f t="shared" si="394"/>
        <v>0</v>
      </c>
      <c r="GD66" s="12">
        <f t="shared" si="395"/>
        <v>0</v>
      </c>
      <c r="GE66" s="12">
        <f t="shared" si="396"/>
        <v>0</v>
      </c>
      <c r="GF66" s="12">
        <f t="shared" si="397"/>
        <v>0</v>
      </c>
      <c r="GH66" s="29" t="s">
        <v>1305</v>
      </c>
      <c r="GI66">
        <f>_xlfn.XLOOKUP(GH66,'KPI Impacts'!$B$2:$H$2,'KPI Impacts'!$B66:$H66)</f>
        <v>-1.6</v>
      </c>
      <c r="GJ66" s="35" t="s">
        <v>1304</v>
      </c>
      <c r="GK66">
        <f>_xlfn.XLOOKUP(GJ66,'KPI Impacts'!$B$2:$H$2,'KPI Impacts'!$B66:$H66)</f>
        <v>0</v>
      </c>
      <c r="GN66" s="12">
        <f t="shared" si="398"/>
        <v>0</v>
      </c>
      <c r="GO66" s="12">
        <f t="shared" si="399"/>
        <v>0</v>
      </c>
      <c r="GP66" s="12">
        <f t="shared" si="400"/>
        <v>0</v>
      </c>
      <c r="GQ66" s="12">
        <f t="shared" si="401"/>
        <v>0</v>
      </c>
      <c r="GR66" s="12">
        <f t="shared" si="402"/>
        <v>0</v>
      </c>
      <c r="GS66" s="12">
        <f t="shared" si="403"/>
        <v>0</v>
      </c>
      <c r="GT66" s="12">
        <f t="shared" si="404"/>
        <v>0</v>
      </c>
      <c r="GU66" s="12">
        <f t="shared" si="405"/>
        <v>0</v>
      </c>
      <c r="GV66" s="12">
        <f t="shared" si="406"/>
        <v>0</v>
      </c>
      <c r="GX66" s="29" t="s">
        <v>1307</v>
      </c>
      <c r="GY66">
        <f>_xlfn.XLOOKUP(GX66,'KPI Impacts'!$B$2:$H$2,'KPI Impacts'!$B66:$H66)</f>
        <v>-3.2</v>
      </c>
      <c r="GZ66" s="35" t="s">
        <v>1304</v>
      </c>
      <c r="HA66">
        <f>_xlfn.XLOOKUP(GZ66,'KPI Impacts'!$B$2:$H$2,'KPI Impacts'!$B66:$H66)</f>
        <v>0</v>
      </c>
      <c r="HD66" s="12">
        <f t="shared" si="407"/>
        <v>0</v>
      </c>
      <c r="HE66" s="12">
        <f t="shared" si="408"/>
        <v>0</v>
      </c>
      <c r="HF66" s="12">
        <f t="shared" si="409"/>
        <v>0</v>
      </c>
      <c r="HG66" s="12">
        <f t="shared" si="410"/>
        <v>0</v>
      </c>
      <c r="HH66" s="12">
        <f t="shared" si="411"/>
        <v>0</v>
      </c>
      <c r="HI66" s="12">
        <f t="shared" si="412"/>
        <v>0</v>
      </c>
      <c r="HJ66" s="12">
        <f t="shared" si="413"/>
        <v>0</v>
      </c>
      <c r="HK66" s="12">
        <f t="shared" si="414"/>
        <v>0</v>
      </c>
      <c r="HL66" s="12">
        <f t="shared" si="415"/>
        <v>0</v>
      </c>
      <c r="HN66" s="16" t="s">
        <v>1304</v>
      </c>
      <c r="HO66">
        <f>_xlfn.XLOOKUP(HN66,'KPI Impacts'!$B$2:$H$2,'KPI Impacts'!$B66:$H66)</f>
        <v>0</v>
      </c>
      <c r="HP66" s="35" t="s">
        <v>1304</v>
      </c>
      <c r="HQ66">
        <f>_xlfn.XLOOKUP(HP66,'KPI Impacts'!$B$2:$H$2,'KPI Impacts'!$B66:$H66)</f>
        <v>0</v>
      </c>
      <c r="HT66" s="12">
        <f t="shared" si="416"/>
        <v>0</v>
      </c>
      <c r="HU66" s="12">
        <f t="shared" si="417"/>
        <v>0</v>
      </c>
      <c r="HV66" s="12">
        <f t="shared" si="418"/>
        <v>0</v>
      </c>
      <c r="HW66" s="12">
        <f t="shared" si="419"/>
        <v>0</v>
      </c>
      <c r="HX66" s="12">
        <f t="shared" si="420"/>
        <v>0</v>
      </c>
      <c r="HY66" s="12">
        <f t="shared" si="421"/>
        <v>0</v>
      </c>
      <c r="HZ66" s="12">
        <f t="shared" si="422"/>
        <v>0</v>
      </c>
      <c r="IA66" s="12">
        <f t="shared" si="423"/>
        <v>0</v>
      </c>
      <c r="IB66" s="12">
        <f t="shared" si="424"/>
        <v>0</v>
      </c>
      <c r="ID66" s="29" t="s">
        <v>1307</v>
      </c>
      <c r="IE66">
        <f>_xlfn.XLOOKUP(ID66,'KPI Impacts'!$B$2:$H$2,'KPI Impacts'!$B66:$H66)</f>
        <v>-3.2</v>
      </c>
      <c r="IF66" s="35" t="s">
        <v>1304</v>
      </c>
      <c r="IG66">
        <f>_xlfn.XLOOKUP(IF66,'KPI Impacts'!$B$2:$H$2,'KPI Impacts'!$B66:$H66)</f>
        <v>0</v>
      </c>
      <c r="IJ66" s="12">
        <f t="shared" si="425"/>
        <v>0</v>
      </c>
      <c r="IK66" s="12">
        <f t="shared" si="426"/>
        <v>0</v>
      </c>
      <c r="IL66" s="12">
        <f t="shared" si="427"/>
        <v>0</v>
      </c>
      <c r="IM66" s="12">
        <f t="shared" si="428"/>
        <v>0</v>
      </c>
      <c r="IN66" s="12">
        <f t="shared" si="429"/>
        <v>0</v>
      </c>
      <c r="IO66" s="12">
        <f t="shared" si="430"/>
        <v>0</v>
      </c>
      <c r="IP66" s="12">
        <f t="shared" si="431"/>
        <v>0</v>
      </c>
      <c r="IQ66" s="12">
        <f t="shared" si="432"/>
        <v>0</v>
      </c>
      <c r="IR66" s="12">
        <f t="shared" si="433"/>
        <v>0</v>
      </c>
      <c r="IT66" s="16" t="s">
        <v>1304</v>
      </c>
      <c r="IU66">
        <f>_xlfn.XLOOKUP(IT66,'KPI Impacts'!$B$2:$H$2,'KPI Impacts'!$B66:$H66)</f>
        <v>0</v>
      </c>
      <c r="IV66" s="35" t="s">
        <v>1304</v>
      </c>
      <c r="IW66">
        <f>_xlfn.XLOOKUP(IV66,'KPI Impacts'!$B$2:$H$2,'KPI Impacts'!$B66:$H66)</f>
        <v>0</v>
      </c>
      <c r="IZ66" s="12">
        <f t="shared" si="434"/>
        <v>0</v>
      </c>
      <c r="JA66" s="12">
        <f t="shared" si="435"/>
        <v>0</v>
      </c>
      <c r="JB66" s="12">
        <f t="shared" si="436"/>
        <v>0</v>
      </c>
      <c r="JC66" s="12">
        <f t="shared" si="437"/>
        <v>0</v>
      </c>
      <c r="JD66" s="12">
        <f t="shared" si="438"/>
        <v>0</v>
      </c>
      <c r="JE66" s="12">
        <f t="shared" si="439"/>
        <v>0</v>
      </c>
      <c r="JF66" s="12">
        <f t="shared" si="440"/>
        <v>0</v>
      </c>
      <c r="JG66" s="12">
        <f t="shared" si="441"/>
        <v>0</v>
      </c>
      <c r="JH66" s="12">
        <f t="shared" si="442"/>
        <v>0</v>
      </c>
      <c r="JJ66" t="s">
        <v>1304</v>
      </c>
      <c r="JK66">
        <f>_xlfn.XLOOKUP(JJ66,'KPI Impacts'!$B$2:$H$2,'KPI Impacts'!$B66:$H66)</f>
        <v>0</v>
      </c>
      <c r="JL66" s="9" t="s">
        <v>1304</v>
      </c>
      <c r="JM66">
        <f>_xlfn.XLOOKUP(JL66,'KPI Impacts'!$B$2:$H$2,'KPI Impacts'!$B66:$H66)</f>
        <v>0</v>
      </c>
      <c r="JP66" s="12">
        <f t="shared" si="443"/>
        <v>0</v>
      </c>
      <c r="JQ66" s="12">
        <f t="shared" si="444"/>
        <v>0</v>
      </c>
      <c r="JR66" s="12">
        <f t="shared" si="445"/>
        <v>0</v>
      </c>
      <c r="JS66" s="12">
        <f t="shared" si="446"/>
        <v>0</v>
      </c>
      <c r="JT66" s="12">
        <f t="shared" si="447"/>
        <v>0</v>
      </c>
      <c r="JU66" s="12">
        <f t="shared" si="448"/>
        <v>0</v>
      </c>
      <c r="JV66" s="12">
        <f t="shared" si="449"/>
        <v>0</v>
      </c>
      <c r="JW66" s="12">
        <f t="shared" si="450"/>
        <v>0</v>
      </c>
      <c r="JX66" s="12">
        <f t="shared" si="451"/>
        <v>0</v>
      </c>
      <c r="JZ66" t="s">
        <v>1304</v>
      </c>
      <c r="KA66">
        <f>_xlfn.XLOOKUP(JZ66,'KPI Impacts'!$B$2:$H$2,'KPI Impacts'!$B66:$H66)</f>
        <v>0</v>
      </c>
      <c r="KB66" s="9" t="s">
        <v>1304</v>
      </c>
      <c r="KC66">
        <f>_xlfn.XLOOKUP(KB66,'KPI Impacts'!$B$2:$H$2,'KPI Impacts'!$B66:$H66)</f>
        <v>0</v>
      </c>
      <c r="KF66" s="12">
        <f t="shared" si="452"/>
        <v>0</v>
      </c>
      <c r="KG66" s="12">
        <f t="shared" si="453"/>
        <v>0</v>
      </c>
      <c r="KH66" s="12">
        <f t="shared" si="454"/>
        <v>0</v>
      </c>
      <c r="KI66" s="12">
        <f t="shared" si="455"/>
        <v>0</v>
      </c>
      <c r="KJ66" s="12">
        <f t="shared" si="456"/>
        <v>0</v>
      </c>
      <c r="KK66" s="12">
        <f t="shared" si="457"/>
        <v>0</v>
      </c>
      <c r="KL66" s="12">
        <f t="shared" si="458"/>
        <v>0</v>
      </c>
      <c r="KM66" s="12">
        <f t="shared" si="459"/>
        <v>0</v>
      </c>
      <c r="KN66" s="12">
        <f t="shared" si="460"/>
        <v>0</v>
      </c>
      <c r="KP66" t="s">
        <v>1304</v>
      </c>
      <c r="KQ66">
        <f>_xlfn.XLOOKUP(KP66,'KPI Impacts'!$B$2:$H$2,'KPI Impacts'!$B66:$H66)</f>
        <v>0</v>
      </c>
      <c r="KR66" s="9" t="s">
        <v>1304</v>
      </c>
      <c r="KS66">
        <f>_xlfn.XLOOKUP(KR66,'KPI Impacts'!$B$2:$H$2,'KPI Impacts'!$B66:$H66)</f>
        <v>0</v>
      </c>
      <c r="KV66" s="12">
        <f t="shared" si="461"/>
        <v>0</v>
      </c>
      <c r="KW66" s="12">
        <f t="shared" si="462"/>
        <v>0</v>
      </c>
      <c r="KX66" s="12">
        <f t="shared" si="463"/>
        <v>0</v>
      </c>
      <c r="KY66" s="12">
        <f t="shared" si="464"/>
        <v>0</v>
      </c>
      <c r="KZ66" s="12">
        <f t="shared" si="465"/>
        <v>0</v>
      </c>
      <c r="LA66" s="12">
        <f t="shared" si="466"/>
        <v>0</v>
      </c>
      <c r="LB66" s="12">
        <f t="shared" si="467"/>
        <v>0</v>
      </c>
      <c r="LC66" s="12">
        <f t="shared" si="468"/>
        <v>0</v>
      </c>
      <c r="LD66" s="12">
        <f t="shared" si="469"/>
        <v>0</v>
      </c>
      <c r="LF66" t="s">
        <v>1304</v>
      </c>
      <c r="LG66">
        <f>_xlfn.XLOOKUP(LF66,'KPI Impacts'!$B$2:$H$2,'KPI Impacts'!$B66:$H66)</f>
        <v>0</v>
      </c>
      <c r="LH66" s="9" t="s">
        <v>1304</v>
      </c>
      <c r="LI66">
        <f>_xlfn.XLOOKUP(LH66,'KPI Impacts'!$B$2:$H$2,'KPI Impacts'!$B66:$H66)</f>
        <v>0</v>
      </c>
      <c r="LL66" s="12">
        <f t="shared" si="470"/>
        <v>0</v>
      </c>
      <c r="LM66" s="12">
        <f t="shared" si="471"/>
        <v>0</v>
      </c>
      <c r="LN66" s="12">
        <f t="shared" si="472"/>
        <v>0</v>
      </c>
      <c r="LO66" s="12">
        <f t="shared" si="473"/>
        <v>0</v>
      </c>
      <c r="LP66" s="12">
        <f t="shared" si="474"/>
        <v>0</v>
      </c>
      <c r="LQ66" s="12">
        <f t="shared" si="475"/>
        <v>0</v>
      </c>
      <c r="LR66" s="12">
        <f t="shared" si="476"/>
        <v>0</v>
      </c>
      <c r="LS66" s="12">
        <f t="shared" si="477"/>
        <v>0</v>
      </c>
      <c r="LT66" s="12">
        <f t="shared" si="478"/>
        <v>0</v>
      </c>
      <c r="LV66" t="s">
        <v>1304</v>
      </c>
      <c r="LW66">
        <f>_xlfn.XLOOKUP(LV66,'KPI Impacts'!$B$2:$H$2,'KPI Impacts'!$B66:$H66)</f>
        <v>0</v>
      </c>
      <c r="LX66" s="9" t="s">
        <v>1304</v>
      </c>
      <c r="LY66">
        <f>_xlfn.XLOOKUP(LX66,'KPI Impacts'!$B$2:$H$2,'KPI Impacts'!$B66:$H66)</f>
        <v>0</v>
      </c>
      <c r="MB66" s="12">
        <f t="shared" si="479"/>
        <v>0</v>
      </c>
      <c r="MC66" s="12">
        <f t="shared" si="480"/>
        <v>0</v>
      </c>
      <c r="MD66" s="12">
        <f t="shared" si="481"/>
        <v>0</v>
      </c>
      <c r="ME66" s="12">
        <f t="shared" si="482"/>
        <v>0</v>
      </c>
      <c r="MF66" s="12">
        <f t="shared" si="483"/>
        <v>0</v>
      </c>
      <c r="MG66" s="12">
        <f t="shared" si="484"/>
        <v>0</v>
      </c>
      <c r="MH66" s="12">
        <f t="shared" si="485"/>
        <v>0</v>
      </c>
      <c r="MI66" s="12">
        <f t="shared" si="486"/>
        <v>0</v>
      </c>
      <c r="MJ66" s="12">
        <f t="shared" si="487"/>
        <v>0</v>
      </c>
      <c r="ML66" t="s">
        <v>1304</v>
      </c>
      <c r="MM66">
        <f>_xlfn.XLOOKUP(ML66,'KPI Impacts'!$B$2:$H$2,'KPI Impacts'!$B66:$H66)</f>
        <v>0</v>
      </c>
      <c r="MN66" s="9" t="s">
        <v>1304</v>
      </c>
      <c r="MO66">
        <f>_xlfn.XLOOKUP(MN66,'KPI Impacts'!$B$2:$H$2,'KPI Impacts'!$B66:$H66)</f>
        <v>0</v>
      </c>
      <c r="MR66" s="12">
        <f t="shared" si="488"/>
        <v>0</v>
      </c>
      <c r="MS66" s="12">
        <f t="shared" si="489"/>
        <v>0</v>
      </c>
      <c r="MT66" s="12">
        <f t="shared" si="490"/>
        <v>0</v>
      </c>
      <c r="MU66" s="12">
        <f t="shared" si="491"/>
        <v>0</v>
      </c>
      <c r="MV66" s="12">
        <f t="shared" si="492"/>
        <v>0</v>
      </c>
      <c r="MW66" s="12">
        <f t="shared" si="493"/>
        <v>0</v>
      </c>
      <c r="MX66" s="12">
        <f t="shared" si="494"/>
        <v>0</v>
      </c>
      <c r="MY66" s="12">
        <f t="shared" si="495"/>
        <v>0</v>
      </c>
      <c r="MZ66" s="12">
        <f t="shared" si="496"/>
        <v>0</v>
      </c>
      <c r="NB66" t="s">
        <v>1304</v>
      </c>
      <c r="NC66">
        <f>_xlfn.XLOOKUP(NB66,'KPI Impacts'!$B$2:$H$2,'KPI Impacts'!$B66:$H66)</f>
        <v>0</v>
      </c>
      <c r="ND66" s="9" t="s">
        <v>1304</v>
      </c>
      <c r="NE66">
        <f>_xlfn.XLOOKUP(ND66,'KPI Impacts'!$B$2:$H$2,'KPI Impacts'!$B66:$H66)</f>
        <v>0</v>
      </c>
      <c r="NH66" s="12">
        <f t="shared" si="497"/>
        <v>0</v>
      </c>
      <c r="NI66" s="12">
        <f t="shared" si="498"/>
        <v>0</v>
      </c>
      <c r="NJ66" s="12">
        <f t="shared" si="499"/>
        <v>0</v>
      </c>
      <c r="NK66" s="12">
        <f t="shared" si="500"/>
        <v>0</v>
      </c>
      <c r="NL66" s="12">
        <f t="shared" si="501"/>
        <v>0</v>
      </c>
      <c r="NM66" s="12">
        <f t="shared" si="502"/>
        <v>0</v>
      </c>
      <c r="NN66" s="12">
        <f t="shared" si="503"/>
        <v>0</v>
      </c>
      <c r="NO66" s="12">
        <f t="shared" si="504"/>
        <v>0</v>
      </c>
      <c r="NP66" s="12">
        <f t="shared" si="505"/>
        <v>0</v>
      </c>
      <c r="NR66" t="s">
        <v>1304</v>
      </c>
      <c r="NS66">
        <f>_xlfn.XLOOKUP(NR66,'KPI Impacts'!$B$2:$H$2,'KPI Impacts'!$B66:$H66)</f>
        <v>0</v>
      </c>
      <c r="NT66" s="9" t="s">
        <v>1304</v>
      </c>
      <c r="NU66">
        <f>_xlfn.XLOOKUP(NT66,'KPI Impacts'!$B$2:$H$2,'KPI Impacts'!$B66:$H66)</f>
        <v>0</v>
      </c>
      <c r="NX66" s="12">
        <f t="shared" si="506"/>
        <v>0</v>
      </c>
      <c r="NY66" s="12">
        <f t="shared" si="507"/>
        <v>0</v>
      </c>
      <c r="NZ66" s="12">
        <f t="shared" si="508"/>
        <v>0</v>
      </c>
      <c r="OA66" s="12">
        <f t="shared" si="509"/>
        <v>0</v>
      </c>
      <c r="OB66" s="12">
        <f t="shared" si="510"/>
        <v>0</v>
      </c>
      <c r="OC66" s="12">
        <f t="shared" si="511"/>
        <v>0</v>
      </c>
      <c r="OD66" s="12">
        <f t="shared" si="512"/>
        <v>0</v>
      </c>
      <c r="OE66" s="12">
        <f t="shared" si="513"/>
        <v>0</v>
      </c>
      <c r="OF66" s="12">
        <f t="shared" si="514"/>
        <v>0</v>
      </c>
      <c r="OH66" t="s">
        <v>1304</v>
      </c>
      <c r="OI66">
        <f>_xlfn.XLOOKUP(OH66,'KPI Impacts'!$B$2:$H$2,'KPI Impacts'!$B66:$H66)</f>
        <v>0</v>
      </c>
      <c r="OJ66" s="9" t="s">
        <v>1304</v>
      </c>
      <c r="OK66">
        <f>_xlfn.XLOOKUP(OJ66,'KPI Impacts'!$B$2:$H$2,'KPI Impacts'!$B66:$H66)</f>
        <v>0</v>
      </c>
    </row>
    <row r="67" spans="1:401" x14ac:dyDescent="0.2">
      <c r="A67" t="s">
        <v>48</v>
      </c>
      <c r="B67" s="12">
        <f t="shared" si="515"/>
        <v>0</v>
      </c>
      <c r="C67" s="12">
        <f t="shared" si="316"/>
        <v>0</v>
      </c>
      <c r="D67" s="12">
        <f t="shared" si="316"/>
        <v>0</v>
      </c>
      <c r="E67" s="12">
        <f t="shared" si="316"/>
        <v>0</v>
      </c>
      <c r="F67" s="12">
        <f t="shared" si="316"/>
        <v>0</v>
      </c>
      <c r="G67" s="12">
        <f t="shared" si="316"/>
        <v>0</v>
      </c>
      <c r="H67" s="12">
        <f t="shared" si="316"/>
        <v>0</v>
      </c>
      <c r="I67" s="12">
        <f t="shared" si="316"/>
        <v>0</v>
      </c>
      <c r="J67" s="12">
        <f t="shared" si="316"/>
        <v>0</v>
      </c>
      <c r="P67" s="12" cm="1">
        <f t="array" ref="P67">_xlfn.SWITCH(P$4, 0,0, 1, AA67,2,AC67,3,AE67,0)</f>
        <v>0</v>
      </c>
      <c r="Q67" s="12" cm="1">
        <f t="array" ref="Q67">_xlfn.SWITCH(Q$4, 0,0, 1, AA67,2,AC67,3,AE67,0)+P67</f>
        <v>0</v>
      </c>
      <c r="R67" s="12" cm="1">
        <f t="array" ref="R67">_xlfn.SWITCH(R$4, 0,0, 1, AA67,2,AC67,3,AE67,0)+Q67</f>
        <v>0</v>
      </c>
      <c r="S67" s="12" cm="1">
        <f t="array" ref="S67">_xlfn.SWITCH(S$4, 0,0, 1, AA67,2,AC67,3,AE67,0)+R67</f>
        <v>0</v>
      </c>
      <c r="T67" s="12" cm="1">
        <f t="array" ref="T67">_xlfn.SWITCH(T$4, 0,0, 1, AA67,2,AC67,3,AE67,0)+S67</f>
        <v>0</v>
      </c>
      <c r="U67" s="12" cm="1">
        <f t="array" ref="U67">_xlfn.SWITCH(U$4, 0,0, 1, AA67,2,AC67,3,AE67,0)+T67</f>
        <v>0</v>
      </c>
      <c r="V67" s="12" cm="1">
        <f t="array" ref="V67">_xlfn.SWITCH(V$4, 0,0, 1, AA67,2,AC67,3,AE67,0)+U67</f>
        <v>0</v>
      </c>
      <c r="W67" s="12" cm="1">
        <f t="array" ref="W67">_xlfn.SWITCH(W$4, 0,0, 1, AA67,2,AC67,3,AE67,0)+V67</f>
        <v>0</v>
      </c>
      <c r="X67" s="12" cm="1">
        <f t="array" ref="X67">_xlfn.SWITCH(X$4, 0,0, 1, AA67,2,AC67,3,AE67,0)+W67</f>
        <v>0</v>
      </c>
      <c r="Z67" t="s">
        <v>1304</v>
      </c>
      <c r="AA67">
        <f>_xlfn.XLOOKUP(Z67,'KPI Impacts'!$K$2:$Q$2,'KPI Impacts'!$K67:$Q67)</f>
        <v>0</v>
      </c>
      <c r="AB67" t="s">
        <v>1304</v>
      </c>
      <c r="AC67">
        <f>_xlfn.XLOOKUP(AB67,'KPI Impacts'!$K$2:$Q$2,'KPI Impacts'!$K67:$Q67)</f>
        <v>0</v>
      </c>
      <c r="AD67" t="s">
        <v>1304</v>
      </c>
      <c r="AE67">
        <f>_xlfn.XLOOKUP(AD67,'KPI Impacts'!$K$2:$Q$2,'KPI Impacts'!$K67:$Q67)</f>
        <v>0</v>
      </c>
      <c r="AH67" s="12" cm="1">
        <f t="array" ref="AH67">_xlfn.SWITCH(AH$4, 0,0, 1, AS67,2,AU67,3,AW67,0)</f>
        <v>0</v>
      </c>
      <c r="AI67" s="12" cm="1">
        <f t="array" ref="AI67">_xlfn.SWITCH(AI$4, 0,0, 1, AS67,2,AU67,3,AW67,0)+AH67</f>
        <v>0</v>
      </c>
      <c r="AJ67" s="12" cm="1">
        <f t="array" ref="AJ67">_xlfn.SWITCH(AJ$4, 0,0, 1, AS67,2,AU67,3,AW67,0)+AI67</f>
        <v>0</v>
      </c>
      <c r="AK67" s="12" cm="1">
        <f t="array" ref="AK67">_xlfn.SWITCH(AK$4, 0,0, 1, AS67,2,AU67,3,AW67,0)+AJ67</f>
        <v>0</v>
      </c>
      <c r="AL67" s="12" cm="1">
        <f t="array" ref="AL67">_xlfn.SWITCH(AL$4, 0,0, 1, AS67,2,AU67,3,AW67,0)+AK67</f>
        <v>0</v>
      </c>
      <c r="AM67" s="12" cm="1">
        <f t="array" ref="AM67">_xlfn.SWITCH(AM$4, 0,0, 1, AS67,2,AU67,3,AW67,0)+AL67</f>
        <v>0</v>
      </c>
      <c r="AN67" s="12" cm="1">
        <f t="array" ref="AN67">_xlfn.SWITCH(AN$4, 0,0, 1, AS67,2,AU67,3,AW67,0)+AM67</f>
        <v>0</v>
      </c>
      <c r="AO67" s="12" cm="1">
        <f t="array" ref="AO67">_xlfn.SWITCH(AO$4, 0,0, 1, AS67,2,AU67,3,AW67,0)+AN67</f>
        <v>0</v>
      </c>
      <c r="AP67" s="12" cm="1">
        <f t="array" ref="AP67">_xlfn.SWITCH(AP$4, 0,0, 1, AS67,2,AU67,3,AW67,0)+AO67</f>
        <v>0</v>
      </c>
      <c r="AR67" t="s">
        <v>1304</v>
      </c>
      <c r="AS67">
        <f>_xlfn.XLOOKUP(AR67,'KPI Impacts'!$K$2:$Q$2,'KPI Impacts'!$K67:$Q67)</f>
        <v>0</v>
      </c>
      <c r="AT67" t="s">
        <v>1304</v>
      </c>
      <c r="AU67">
        <f>_xlfn.XLOOKUP(AT67,'KPI Impacts'!$K$2:$Q$2,'KPI Impacts'!$K67:$Q67)</f>
        <v>0</v>
      </c>
      <c r="AV67" t="s">
        <v>1304</v>
      </c>
      <c r="AW67">
        <f>_xlfn.XLOOKUP(AV67,'KPI Impacts'!$K$2:$Q$2,'KPI Impacts'!$K67:$Q67)</f>
        <v>0</v>
      </c>
      <c r="AZ67" s="12">
        <f t="shared" si="317"/>
        <v>0</v>
      </c>
      <c r="BA67" s="12">
        <f t="shared" si="318"/>
        <v>0</v>
      </c>
      <c r="BB67" s="12">
        <f t="shared" si="319"/>
        <v>0</v>
      </c>
      <c r="BC67" s="12">
        <f t="shared" si="320"/>
        <v>0</v>
      </c>
      <c r="BD67" s="12">
        <f t="shared" si="321"/>
        <v>0</v>
      </c>
      <c r="BE67" s="12">
        <f t="shared" si="322"/>
        <v>0</v>
      </c>
      <c r="BF67" s="12">
        <f t="shared" si="323"/>
        <v>0</v>
      </c>
      <c r="BG67" s="12">
        <f t="shared" si="324"/>
        <v>0</v>
      </c>
      <c r="BH67" s="12">
        <f t="shared" si="325"/>
        <v>0</v>
      </c>
      <c r="BJ67" s="30" t="s">
        <v>1310</v>
      </c>
      <c r="BK67">
        <f>_xlfn.XLOOKUP(BJ67,'KPI Impacts'!$B$2:$H$2,'KPI Impacts'!$B67:$H67)</f>
        <v>4</v>
      </c>
      <c r="BL67" s="35" t="s">
        <v>1304</v>
      </c>
      <c r="BM67">
        <f>_xlfn.XLOOKUP(BL67,'KPI Impacts'!$B$2:$H$2,'KPI Impacts'!$B67:$H67)</f>
        <v>0</v>
      </c>
      <c r="BP67" s="12">
        <f t="shared" si="326"/>
        <v>0</v>
      </c>
      <c r="BQ67" s="12">
        <f t="shared" si="327"/>
        <v>0</v>
      </c>
      <c r="BR67" s="12">
        <f t="shared" si="328"/>
        <v>0</v>
      </c>
      <c r="BS67" s="12">
        <f t="shared" si="329"/>
        <v>0</v>
      </c>
      <c r="BT67" s="12">
        <f t="shared" si="330"/>
        <v>0</v>
      </c>
      <c r="BU67" s="12">
        <f t="shared" si="331"/>
        <v>0</v>
      </c>
      <c r="BV67" s="12">
        <f t="shared" si="332"/>
        <v>0</v>
      </c>
      <c r="BW67" s="12">
        <f t="shared" si="333"/>
        <v>0</v>
      </c>
      <c r="BX67" s="12">
        <f t="shared" si="334"/>
        <v>0</v>
      </c>
      <c r="BZ67" s="16" t="s">
        <v>1304</v>
      </c>
      <c r="CA67">
        <f>_xlfn.XLOOKUP(BZ67,'KPI Impacts'!$B$2:$H$2,'KPI Impacts'!$B67:$H67)</f>
        <v>0</v>
      </c>
      <c r="CB67" s="9" t="s">
        <v>1304</v>
      </c>
      <c r="CC67">
        <f>_xlfn.XLOOKUP(CB67,'KPI Impacts'!$B$2:$H$2,'KPI Impacts'!$B67:$H67)</f>
        <v>0</v>
      </c>
      <c r="CF67" s="12">
        <f t="shared" si="335"/>
        <v>0</v>
      </c>
      <c r="CG67" s="12">
        <f t="shared" si="336"/>
        <v>0</v>
      </c>
      <c r="CH67" s="12">
        <f t="shared" si="337"/>
        <v>0</v>
      </c>
      <c r="CI67" s="12">
        <f t="shared" si="338"/>
        <v>0</v>
      </c>
      <c r="CJ67" s="12">
        <f t="shared" si="339"/>
        <v>0</v>
      </c>
      <c r="CK67" s="12">
        <f t="shared" si="340"/>
        <v>0</v>
      </c>
      <c r="CL67" s="12">
        <f t="shared" si="341"/>
        <v>0</v>
      </c>
      <c r="CM67" s="12">
        <f t="shared" si="342"/>
        <v>0</v>
      </c>
      <c r="CN67" s="12">
        <f t="shared" si="343"/>
        <v>0</v>
      </c>
      <c r="CP67" s="16" t="s">
        <v>1304</v>
      </c>
      <c r="CQ67">
        <f>_xlfn.XLOOKUP(CP67,'KPI Impacts'!$B$2:$H$2,'KPI Impacts'!$B67:$H67)</f>
        <v>0</v>
      </c>
      <c r="CR67" s="35" t="s">
        <v>1304</v>
      </c>
      <c r="CS67">
        <f>_xlfn.XLOOKUP(CR67,'KPI Impacts'!$B$2:$H$2,'KPI Impacts'!$B67:$H67)</f>
        <v>0</v>
      </c>
      <c r="CV67" s="12">
        <f t="shared" si="344"/>
        <v>0</v>
      </c>
      <c r="CW67" s="12">
        <f t="shared" si="345"/>
        <v>0</v>
      </c>
      <c r="CX67" s="12">
        <f t="shared" si="346"/>
        <v>0</v>
      </c>
      <c r="CY67" s="12">
        <f t="shared" si="347"/>
        <v>0</v>
      </c>
      <c r="CZ67" s="12">
        <f t="shared" si="348"/>
        <v>0</v>
      </c>
      <c r="DA67" s="12">
        <f t="shared" si="349"/>
        <v>0</v>
      </c>
      <c r="DB67" s="12">
        <f t="shared" si="350"/>
        <v>0</v>
      </c>
      <c r="DC67" s="12">
        <f t="shared" si="351"/>
        <v>0</v>
      </c>
      <c r="DD67" s="12">
        <f t="shared" si="352"/>
        <v>0</v>
      </c>
      <c r="DF67" s="30" t="s">
        <v>1310</v>
      </c>
      <c r="DG67">
        <f>_xlfn.XLOOKUP(DF67,'KPI Impacts'!$B$2:$H$2,'KPI Impacts'!$B67:$H67)</f>
        <v>4</v>
      </c>
      <c r="DH67" s="35" t="s">
        <v>1304</v>
      </c>
      <c r="DI67">
        <f>_xlfn.XLOOKUP(DH67,'KPI Impacts'!$B$2:$H$2,'KPI Impacts'!$B67:$H67)</f>
        <v>0</v>
      </c>
      <c r="DL67" s="12">
        <f t="shared" si="353"/>
        <v>0</v>
      </c>
      <c r="DM67" s="12">
        <f t="shared" si="354"/>
        <v>0</v>
      </c>
      <c r="DN67" s="12">
        <f t="shared" si="355"/>
        <v>0</v>
      </c>
      <c r="DO67" s="12">
        <f t="shared" si="356"/>
        <v>0</v>
      </c>
      <c r="DP67" s="12">
        <f t="shared" si="357"/>
        <v>0</v>
      </c>
      <c r="DQ67" s="12">
        <f t="shared" si="358"/>
        <v>0</v>
      </c>
      <c r="DR67" s="12">
        <f t="shared" si="359"/>
        <v>0</v>
      </c>
      <c r="DS67" s="12">
        <f t="shared" si="360"/>
        <v>0</v>
      </c>
      <c r="DT67" s="12">
        <f t="shared" si="361"/>
        <v>0</v>
      </c>
      <c r="DV67" s="16" t="s">
        <v>1304</v>
      </c>
      <c r="DW67">
        <f>_xlfn.XLOOKUP(DV67,'KPI Impacts'!$B$2:$H$2,'KPI Impacts'!$B67:$H67)</f>
        <v>0</v>
      </c>
      <c r="DX67" s="35" t="s">
        <v>1304</v>
      </c>
      <c r="DY67">
        <f>_xlfn.XLOOKUP(DX67,'KPI Impacts'!$B$2:$H$2,'KPI Impacts'!$B67:$H67)</f>
        <v>0</v>
      </c>
      <c r="EB67" s="12">
        <f t="shared" si="362"/>
        <v>0</v>
      </c>
      <c r="EC67" s="12">
        <f t="shared" si="363"/>
        <v>0</v>
      </c>
      <c r="ED67" s="12">
        <f t="shared" si="364"/>
        <v>0</v>
      </c>
      <c r="EE67" s="12">
        <f t="shared" si="365"/>
        <v>0</v>
      </c>
      <c r="EF67" s="12">
        <f t="shared" si="366"/>
        <v>0</v>
      </c>
      <c r="EG67" s="12">
        <f t="shared" si="367"/>
        <v>0</v>
      </c>
      <c r="EH67" s="12">
        <f t="shared" si="368"/>
        <v>0</v>
      </c>
      <c r="EI67" s="12">
        <f t="shared" si="369"/>
        <v>0</v>
      </c>
      <c r="EJ67" s="12">
        <f t="shared" si="370"/>
        <v>0</v>
      </c>
      <c r="EL67" s="30" t="s">
        <v>1308</v>
      </c>
      <c r="EM67">
        <f>_xlfn.XLOOKUP(EL67,'KPI Impacts'!$B$2:$H$2,'KPI Impacts'!$B67:$H67)</f>
        <v>2</v>
      </c>
      <c r="EN67" s="35" t="s">
        <v>1304</v>
      </c>
      <c r="EO67">
        <f>_xlfn.XLOOKUP(EN67,'KPI Impacts'!$B$2:$H$2,'KPI Impacts'!$B67:$H67)</f>
        <v>0</v>
      </c>
      <c r="ER67" s="12">
        <f t="shared" si="371"/>
        <v>0</v>
      </c>
      <c r="ES67" s="12">
        <f t="shared" si="372"/>
        <v>0</v>
      </c>
      <c r="ET67" s="12">
        <f t="shared" si="373"/>
        <v>0</v>
      </c>
      <c r="EU67" s="12">
        <f t="shared" si="374"/>
        <v>0</v>
      </c>
      <c r="EV67" s="12">
        <f t="shared" si="375"/>
        <v>0</v>
      </c>
      <c r="EW67" s="12">
        <f t="shared" si="376"/>
        <v>0</v>
      </c>
      <c r="EX67" s="12">
        <f t="shared" si="377"/>
        <v>0</v>
      </c>
      <c r="EY67" s="12">
        <f t="shared" si="378"/>
        <v>0</v>
      </c>
      <c r="EZ67" s="12">
        <f t="shared" si="379"/>
        <v>0</v>
      </c>
      <c r="FB67" s="29" t="s">
        <v>1307</v>
      </c>
      <c r="FC67">
        <f>_xlfn.XLOOKUP(FB67,'KPI Impacts'!$B$2:$H$2,'KPI Impacts'!$B67:$H67)</f>
        <v>-3.2</v>
      </c>
      <c r="FD67" s="35" t="s">
        <v>1304</v>
      </c>
      <c r="FE67">
        <f>_xlfn.XLOOKUP(FD67,'KPI Impacts'!$B$2:$H$2,'KPI Impacts'!$B67:$H67)</f>
        <v>0</v>
      </c>
      <c r="FH67" s="12">
        <f t="shared" si="380"/>
        <v>0</v>
      </c>
      <c r="FI67" s="12">
        <f t="shared" si="381"/>
        <v>0</v>
      </c>
      <c r="FJ67" s="12">
        <f t="shared" si="382"/>
        <v>0</v>
      </c>
      <c r="FK67" s="12">
        <f t="shared" si="383"/>
        <v>0</v>
      </c>
      <c r="FL67" s="12">
        <f t="shared" si="384"/>
        <v>0</v>
      </c>
      <c r="FM67" s="12">
        <f t="shared" si="385"/>
        <v>0</v>
      </c>
      <c r="FN67" s="12">
        <f t="shared" si="386"/>
        <v>0</v>
      </c>
      <c r="FO67" s="12">
        <f t="shared" si="387"/>
        <v>0</v>
      </c>
      <c r="FP67" s="12">
        <f t="shared" si="388"/>
        <v>0</v>
      </c>
      <c r="FR67" s="30" t="s">
        <v>1308</v>
      </c>
      <c r="FS67">
        <f>_xlfn.XLOOKUP(FR67,'KPI Impacts'!$B$2:$H$2,'KPI Impacts'!$B67:$H67)</f>
        <v>2</v>
      </c>
      <c r="FT67" s="35" t="s">
        <v>1304</v>
      </c>
      <c r="FU67">
        <f>_xlfn.XLOOKUP(FT67,'KPI Impacts'!$B$2:$H$2,'KPI Impacts'!$B67:$H67)</f>
        <v>0</v>
      </c>
      <c r="FX67" s="12">
        <f t="shared" si="389"/>
        <v>0</v>
      </c>
      <c r="FY67" s="12">
        <f t="shared" si="390"/>
        <v>0</v>
      </c>
      <c r="FZ67" s="12">
        <f t="shared" si="391"/>
        <v>0</v>
      </c>
      <c r="GA67" s="12">
        <f t="shared" si="392"/>
        <v>0</v>
      </c>
      <c r="GB67" s="12">
        <f t="shared" si="393"/>
        <v>0</v>
      </c>
      <c r="GC67" s="12">
        <f t="shared" si="394"/>
        <v>0</v>
      </c>
      <c r="GD67" s="12">
        <f t="shared" si="395"/>
        <v>0</v>
      </c>
      <c r="GE67" s="12">
        <f t="shared" si="396"/>
        <v>0</v>
      </c>
      <c r="GF67" s="12">
        <f t="shared" si="397"/>
        <v>0</v>
      </c>
      <c r="GH67" s="16" t="s">
        <v>1304</v>
      </c>
      <c r="GI67">
        <f>_xlfn.XLOOKUP(GH67,'KPI Impacts'!$B$2:$H$2,'KPI Impacts'!$B67:$H67)</f>
        <v>0</v>
      </c>
      <c r="GJ67" s="35" t="s">
        <v>1304</v>
      </c>
      <c r="GK67">
        <f>_xlfn.XLOOKUP(GJ67,'KPI Impacts'!$B$2:$H$2,'KPI Impacts'!$B67:$H67)</f>
        <v>0</v>
      </c>
      <c r="GN67" s="12">
        <f t="shared" si="398"/>
        <v>0</v>
      </c>
      <c r="GO67" s="12">
        <f t="shared" si="399"/>
        <v>0</v>
      </c>
      <c r="GP67" s="12">
        <f t="shared" si="400"/>
        <v>0</v>
      </c>
      <c r="GQ67" s="12">
        <f t="shared" si="401"/>
        <v>0</v>
      </c>
      <c r="GR67" s="12">
        <f t="shared" si="402"/>
        <v>0</v>
      </c>
      <c r="GS67" s="12">
        <f t="shared" si="403"/>
        <v>0</v>
      </c>
      <c r="GT67" s="12">
        <f t="shared" si="404"/>
        <v>0</v>
      </c>
      <c r="GU67" s="12">
        <f t="shared" si="405"/>
        <v>0</v>
      </c>
      <c r="GV67" s="12">
        <f t="shared" si="406"/>
        <v>0</v>
      </c>
      <c r="GX67" s="16" t="s">
        <v>1304</v>
      </c>
      <c r="GY67">
        <f>_xlfn.XLOOKUP(GX67,'KPI Impacts'!$B$2:$H$2,'KPI Impacts'!$B67:$H67)</f>
        <v>0</v>
      </c>
      <c r="GZ67" s="35" t="s">
        <v>1304</v>
      </c>
      <c r="HA67">
        <f>_xlfn.XLOOKUP(GZ67,'KPI Impacts'!$B$2:$H$2,'KPI Impacts'!$B67:$H67)</f>
        <v>0</v>
      </c>
      <c r="HD67" s="12">
        <f t="shared" si="407"/>
        <v>0</v>
      </c>
      <c r="HE67" s="12">
        <f t="shared" si="408"/>
        <v>0</v>
      </c>
      <c r="HF67" s="12">
        <f t="shared" si="409"/>
        <v>0</v>
      </c>
      <c r="HG67" s="12">
        <f t="shared" si="410"/>
        <v>0</v>
      </c>
      <c r="HH67" s="12">
        <f t="shared" si="411"/>
        <v>0</v>
      </c>
      <c r="HI67" s="12">
        <f t="shared" si="412"/>
        <v>0</v>
      </c>
      <c r="HJ67" s="12">
        <f t="shared" si="413"/>
        <v>0</v>
      </c>
      <c r="HK67" s="12">
        <f t="shared" si="414"/>
        <v>0</v>
      </c>
      <c r="HL67" s="12">
        <f t="shared" si="415"/>
        <v>0</v>
      </c>
      <c r="HN67" s="16" t="s">
        <v>1304</v>
      </c>
      <c r="HO67">
        <f>_xlfn.XLOOKUP(HN67,'KPI Impacts'!$B$2:$H$2,'KPI Impacts'!$B67:$H67)</f>
        <v>0</v>
      </c>
      <c r="HP67" s="35" t="s">
        <v>1304</v>
      </c>
      <c r="HQ67">
        <f>_xlfn.XLOOKUP(HP67,'KPI Impacts'!$B$2:$H$2,'KPI Impacts'!$B67:$H67)</f>
        <v>0</v>
      </c>
      <c r="HT67" s="12">
        <f t="shared" si="416"/>
        <v>0</v>
      </c>
      <c r="HU67" s="12">
        <f t="shared" si="417"/>
        <v>0</v>
      </c>
      <c r="HV67" s="12">
        <f t="shared" si="418"/>
        <v>0</v>
      </c>
      <c r="HW67" s="12">
        <f t="shared" si="419"/>
        <v>0</v>
      </c>
      <c r="HX67" s="12">
        <f t="shared" si="420"/>
        <v>0</v>
      </c>
      <c r="HY67" s="12">
        <f t="shared" si="421"/>
        <v>0</v>
      </c>
      <c r="HZ67" s="12">
        <f t="shared" si="422"/>
        <v>0</v>
      </c>
      <c r="IA67" s="12">
        <f t="shared" si="423"/>
        <v>0</v>
      </c>
      <c r="IB67" s="12">
        <f t="shared" si="424"/>
        <v>0</v>
      </c>
      <c r="ID67" s="16" t="s">
        <v>1304</v>
      </c>
      <c r="IE67">
        <f>_xlfn.XLOOKUP(ID67,'KPI Impacts'!$B$2:$H$2,'KPI Impacts'!$B67:$H67)</f>
        <v>0</v>
      </c>
      <c r="IF67" s="35" t="s">
        <v>1304</v>
      </c>
      <c r="IG67">
        <f>_xlfn.XLOOKUP(IF67,'KPI Impacts'!$B$2:$H$2,'KPI Impacts'!$B67:$H67)</f>
        <v>0</v>
      </c>
      <c r="IJ67" s="12">
        <f t="shared" si="425"/>
        <v>0</v>
      </c>
      <c r="IK67" s="12">
        <f t="shared" si="426"/>
        <v>0</v>
      </c>
      <c r="IL67" s="12">
        <f t="shared" si="427"/>
        <v>0</v>
      </c>
      <c r="IM67" s="12">
        <f t="shared" si="428"/>
        <v>0</v>
      </c>
      <c r="IN67" s="12">
        <f t="shared" si="429"/>
        <v>0</v>
      </c>
      <c r="IO67" s="12">
        <f t="shared" si="430"/>
        <v>0</v>
      </c>
      <c r="IP67" s="12">
        <f t="shared" si="431"/>
        <v>0</v>
      </c>
      <c r="IQ67" s="12">
        <f t="shared" si="432"/>
        <v>0</v>
      </c>
      <c r="IR67" s="12">
        <f t="shared" si="433"/>
        <v>0</v>
      </c>
      <c r="IT67" s="16" t="s">
        <v>1304</v>
      </c>
      <c r="IU67">
        <f>_xlfn.XLOOKUP(IT67,'KPI Impacts'!$B$2:$H$2,'KPI Impacts'!$B67:$H67)</f>
        <v>0</v>
      </c>
      <c r="IV67" s="35" t="s">
        <v>1304</v>
      </c>
      <c r="IW67">
        <f>_xlfn.XLOOKUP(IV67,'KPI Impacts'!$B$2:$H$2,'KPI Impacts'!$B67:$H67)</f>
        <v>0</v>
      </c>
      <c r="IZ67" s="12">
        <f t="shared" si="434"/>
        <v>0</v>
      </c>
      <c r="JA67" s="12">
        <f t="shared" si="435"/>
        <v>0</v>
      </c>
      <c r="JB67" s="12">
        <f t="shared" si="436"/>
        <v>0</v>
      </c>
      <c r="JC67" s="12">
        <f t="shared" si="437"/>
        <v>0</v>
      </c>
      <c r="JD67" s="12">
        <f t="shared" si="438"/>
        <v>0</v>
      </c>
      <c r="JE67" s="12">
        <f t="shared" si="439"/>
        <v>0</v>
      </c>
      <c r="JF67" s="12">
        <f t="shared" si="440"/>
        <v>0</v>
      </c>
      <c r="JG67" s="12">
        <f t="shared" si="441"/>
        <v>0</v>
      </c>
      <c r="JH67" s="12">
        <f t="shared" si="442"/>
        <v>0</v>
      </c>
      <c r="JJ67" t="s">
        <v>1304</v>
      </c>
      <c r="JK67">
        <f>_xlfn.XLOOKUP(JJ67,'KPI Impacts'!$B$2:$H$2,'KPI Impacts'!$B67:$H67)</f>
        <v>0</v>
      </c>
      <c r="JL67" s="9" t="s">
        <v>1304</v>
      </c>
      <c r="JM67">
        <f>_xlfn.XLOOKUP(JL67,'KPI Impacts'!$B$2:$H$2,'KPI Impacts'!$B67:$H67)</f>
        <v>0</v>
      </c>
      <c r="JP67" s="12">
        <f t="shared" si="443"/>
        <v>0</v>
      </c>
      <c r="JQ67" s="12">
        <f t="shared" si="444"/>
        <v>0</v>
      </c>
      <c r="JR67" s="12">
        <f t="shared" si="445"/>
        <v>0</v>
      </c>
      <c r="JS67" s="12">
        <f t="shared" si="446"/>
        <v>0</v>
      </c>
      <c r="JT67" s="12">
        <f t="shared" si="447"/>
        <v>0</v>
      </c>
      <c r="JU67" s="12">
        <f t="shared" si="448"/>
        <v>0</v>
      </c>
      <c r="JV67" s="12">
        <f t="shared" si="449"/>
        <v>0</v>
      </c>
      <c r="JW67" s="12">
        <f t="shared" si="450"/>
        <v>0</v>
      </c>
      <c r="JX67" s="12">
        <f t="shared" si="451"/>
        <v>0</v>
      </c>
      <c r="JZ67" t="s">
        <v>1304</v>
      </c>
      <c r="KA67">
        <f>_xlfn.XLOOKUP(JZ67,'KPI Impacts'!$B$2:$H$2,'KPI Impacts'!$B67:$H67)</f>
        <v>0</v>
      </c>
      <c r="KB67" s="9" t="s">
        <v>1304</v>
      </c>
      <c r="KC67">
        <f>_xlfn.XLOOKUP(KB67,'KPI Impacts'!$B$2:$H$2,'KPI Impacts'!$B67:$H67)</f>
        <v>0</v>
      </c>
      <c r="KF67" s="12">
        <f t="shared" si="452"/>
        <v>0</v>
      </c>
      <c r="KG67" s="12">
        <f t="shared" si="453"/>
        <v>0</v>
      </c>
      <c r="KH67" s="12">
        <f t="shared" si="454"/>
        <v>0</v>
      </c>
      <c r="KI67" s="12">
        <f t="shared" si="455"/>
        <v>0</v>
      </c>
      <c r="KJ67" s="12">
        <f t="shared" si="456"/>
        <v>0</v>
      </c>
      <c r="KK67" s="12">
        <f t="shared" si="457"/>
        <v>0</v>
      </c>
      <c r="KL67" s="12">
        <f t="shared" si="458"/>
        <v>0</v>
      </c>
      <c r="KM67" s="12">
        <f t="shared" si="459"/>
        <v>0</v>
      </c>
      <c r="KN67" s="12">
        <f t="shared" si="460"/>
        <v>0</v>
      </c>
      <c r="KP67" t="s">
        <v>1304</v>
      </c>
      <c r="KQ67">
        <f>_xlfn.XLOOKUP(KP67,'KPI Impacts'!$B$2:$H$2,'KPI Impacts'!$B67:$H67)</f>
        <v>0</v>
      </c>
      <c r="KR67" s="9" t="s">
        <v>1304</v>
      </c>
      <c r="KS67">
        <f>_xlfn.XLOOKUP(KR67,'KPI Impacts'!$B$2:$H$2,'KPI Impacts'!$B67:$H67)</f>
        <v>0</v>
      </c>
      <c r="KV67" s="12">
        <f t="shared" si="461"/>
        <v>0</v>
      </c>
      <c r="KW67" s="12">
        <f t="shared" si="462"/>
        <v>0</v>
      </c>
      <c r="KX67" s="12">
        <f t="shared" si="463"/>
        <v>0</v>
      </c>
      <c r="KY67" s="12">
        <f t="shared" si="464"/>
        <v>0</v>
      </c>
      <c r="KZ67" s="12">
        <f t="shared" si="465"/>
        <v>0</v>
      </c>
      <c r="LA67" s="12">
        <f t="shared" si="466"/>
        <v>0</v>
      </c>
      <c r="LB67" s="12">
        <f t="shared" si="467"/>
        <v>0</v>
      </c>
      <c r="LC67" s="12">
        <f t="shared" si="468"/>
        <v>0</v>
      </c>
      <c r="LD67" s="12">
        <f t="shared" si="469"/>
        <v>0</v>
      </c>
      <c r="LF67" t="s">
        <v>1304</v>
      </c>
      <c r="LG67">
        <f>_xlfn.XLOOKUP(LF67,'KPI Impacts'!$B$2:$H$2,'KPI Impacts'!$B67:$H67)</f>
        <v>0</v>
      </c>
      <c r="LH67" s="9" t="s">
        <v>1304</v>
      </c>
      <c r="LI67">
        <f>_xlfn.XLOOKUP(LH67,'KPI Impacts'!$B$2:$H$2,'KPI Impacts'!$B67:$H67)</f>
        <v>0</v>
      </c>
      <c r="LL67" s="12">
        <f t="shared" si="470"/>
        <v>0</v>
      </c>
      <c r="LM67" s="12">
        <f t="shared" si="471"/>
        <v>0</v>
      </c>
      <c r="LN67" s="12">
        <f t="shared" si="472"/>
        <v>0</v>
      </c>
      <c r="LO67" s="12">
        <f t="shared" si="473"/>
        <v>0</v>
      </c>
      <c r="LP67" s="12">
        <f t="shared" si="474"/>
        <v>0</v>
      </c>
      <c r="LQ67" s="12">
        <f t="shared" si="475"/>
        <v>0</v>
      </c>
      <c r="LR67" s="12">
        <f t="shared" si="476"/>
        <v>0</v>
      </c>
      <c r="LS67" s="12">
        <f t="shared" si="477"/>
        <v>0</v>
      </c>
      <c r="LT67" s="12">
        <f t="shared" si="478"/>
        <v>0</v>
      </c>
      <c r="LV67" t="s">
        <v>1304</v>
      </c>
      <c r="LW67">
        <f>_xlfn.XLOOKUP(LV67,'KPI Impacts'!$B$2:$H$2,'KPI Impacts'!$B67:$H67)</f>
        <v>0</v>
      </c>
      <c r="LX67" s="9" t="s">
        <v>1304</v>
      </c>
      <c r="LY67">
        <f>_xlfn.XLOOKUP(LX67,'KPI Impacts'!$B$2:$H$2,'KPI Impacts'!$B67:$H67)</f>
        <v>0</v>
      </c>
      <c r="MB67" s="12">
        <f t="shared" si="479"/>
        <v>0</v>
      </c>
      <c r="MC67" s="12">
        <f t="shared" si="480"/>
        <v>0</v>
      </c>
      <c r="MD67" s="12">
        <f t="shared" si="481"/>
        <v>0</v>
      </c>
      <c r="ME67" s="12">
        <f t="shared" si="482"/>
        <v>0</v>
      </c>
      <c r="MF67" s="12">
        <f t="shared" si="483"/>
        <v>0</v>
      </c>
      <c r="MG67" s="12">
        <f t="shared" si="484"/>
        <v>0</v>
      </c>
      <c r="MH67" s="12">
        <f t="shared" si="485"/>
        <v>0</v>
      </c>
      <c r="MI67" s="12">
        <f t="shared" si="486"/>
        <v>0</v>
      </c>
      <c r="MJ67" s="12">
        <f t="shared" si="487"/>
        <v>0</v>
      </c>
      <c r="ML67" t="s">
        <v>1304</v>
      </c>
      <c r="MM67">
        <f>_xlfn.XLOOKUP(ML67,'KPI Impacts'!$B$2:$H$2,'KPI Impacts'!$B67:$H67)</f>
        <v>0</v>
      </c>
      <c r="MN67" s="9" t="s">
        <v>1304</v>
      </c>
      <c r="MO67">
        <f>_xlfn.XLOOKUP(MN67,'KPI Impacts'!$B$2:$H$2,'KPI Impacts'!$B67:$H67)</f>
        <v>0</v>
      </c>
      <c r="MR67" s="12">
        <f t="shared" si="488"/>
        <v>0</v>
      </c>
      <c r="MS67" s="12">
        <f t="shared" si="489"/>
        <v>0</v>
      </c>
      <c r="MT67" s="12">
        <f t="shared" si="490"/>
        <v>0</v>
      </c>
      <c r="MU67" s="12">
        <f t="shared" si="491"/>
        <v>0</v>
      </c>
      <c r="MV67" s="12">
        <f t="shared" si="492"/>
        <v>0</v>
      </c>
      <c r="MW67" s="12">
        <f t="shared" si="493"/>
        <v>0</v>
      </c>
      <c r="MX67" s="12">
        <f t="shared" si="494"/>
        <v>0</v>
      </c>
      <c r="MY67" s="12">
        <f t="shared" si="495"/>
        <v>0</v>
      </c>
      <c r="MZ67" s="12">
        <f t="shared" si="496"/>
        <v>0</v>
      </c>
      <c r="NB67" t="s">
        <v>1304</v>
      </c>
      <c r="NC67">
        <f>_xlfn.XLOOKUP(NB67,'KPI Impacts'!$B$2:$H$2,'KPI Impacts'!$B67:$H67)</f>
        <v>0</v>
      </c>
      <c r="ND67" s="9" t="s">
        <v>1304</v>
      </c>
      <c r="NE67">
        <f>_xlfn.XLOOKUP(ND67,'KPI Impacts'!$B$2:$H$2,'KPI Impacts'!$B67:$H67)</f>
        <v>0</v>
      </c>
      <c r="NH67" s="12">
        <f t="shared" si="497"/>
        <v>0</v>
      </c>
      <c r="NI67" s="12">
        <f t="shared" si="498"/>
        <v>0</v>
      </c>
      <c r="NJ67" s="12">
        <f t="shared" si="499"/>
        <v>0</v>
      </c>
      <c r="NK67" s="12">
        <f t="shared" si="500"/>
        <v>0</v>
      </c>
      <c r="NL67" s="12">
        <f t="shared" si="501"/>
        <v>0</v>
      </c>
      <c r="NM67" s="12">
        <f t="shared" si="502"/>
        <v>0</v>
      </c>
      <c r="NN67" s="12">
        <f t="shared" si="503"/>
        <v>0</v>
      </c>
      <c r="NO67" s="12">
        <f t="shared" si="504"/>
        <v>0</v>
      </c>
      <c r="NP67" s="12">
        <f t="shared" si="505"/>
        <v>0</v>
      </c>
      <c r="NR67" t="s">
        <v>1304</v>
      </c>
      <c r="NS67">
        <f>_xlfn.XLOOKUP(NR67,'KPI Impacts'!$B$2:$H$2,'KPI Impacts'!$B67:$H67)</f>
        <v>0</v>
      </c>
      <c r="NT67" s="9" t="s">
        <v>1304</v>
      </c>
      <c r="NU67">
        <f>_xlfn.XLOOKUP(NT67,'KPI Impacts'!$B$2:$H$2,'KPI Impacts'!$B67:$H67)</f>
        <v>0</v>
      </c>
      <c r="NX67" s="12">
        <f t="shared" si="506"/>
        <v>0</v>
      </c>
      <c r="NY67" s="12">
        <f t="shared" si="507"/>
        <v>0</v>
      </c>
      <c r="NZ67" s="12">
        <f t="shared" si="508"/>
        <v>0</v>
      </c>
      <c r="OA67" s="12">
        <f t="shared" si="509"/>
        <v>0</v>
      </c>
      <c r="OB67" s="12">
        <f t="shared" si="510"/>
        <v>0</v>
      </c>
      <c r="OC67" s="12">
        <f t="shared" si="511"/>
        <v>0</v>
      </c>
      <c r="OD67" s="12">
        <f t="shared" si="512"/>
        <v>0</v>
      </c>
      <c r="OE67" s="12">
        <f t="shared" si="513"/>
        <v>0</v>
      </c>
      <c r="OF67" s="12">
        <f t="shared" si="514"/>
        <v>0</v>
      </c>
      <c r="OH67" t="s">
        <v>1304</v>
      </c>
      <c r="OI67">
        <f>_xlfn.XLOOKUP(OH67,'KPI Impacts'!$B$2:$H$2,'KPI Impacts'!$B67:$H67)</f>
        <v>0</v>
      </c>
      <c r="OJ67" s="9" t="s">
        <v>1304</v>
      </c>
      <c r="OK67">
        <f>_xlfn.XLOOKUP(OJ67,'KPI Impacts'!$B$2:$H$2,'KPI Impacts'!$B67:$H67)</f>
        <v>0</v>
      </c>
    </row>
    <row r="68" spans="1:401" x14ac:dyDescent="0.2">
      <c r="A68" t="s">
        <v>49</v>
      </c>
      <c r="B68" s="12">
        <f t="shared" si="515"/>
        <v>0</v>
      </c>
      <c r="C68" s="12">
        <f t="shared" si="316"/>
        <v>0</v>
      </c>
      <c r="D68" s="12">
        <f t="shared" si="316"/>
        <v>0</v>
      </c>
      <c r="E68" s="12">
        <f t="shared" si="316"/>
        <v>0</v>
      </c>
      <c r="F68" s="12">
        <f t="shared" si="316"/>
        <v>0</v>
      </c>
      <c r="G68" s="12">
        <f t="shared" si="316"/>
        <v>0</v>
      </c>
      <c r="H68" s="12">
        <f t="shared" si="316"/>
        <v>0</v>
      </c>
      <c r="I68" s="12">
        <f t="shared" si="316"/>
        <v>0</v>
      </c>
      <c r="J68" s="12">
        <f t="shared" si="316"/>
        <v>0</v>
      </c>
      <c r="P68" s="12" cm="1">
        <f t="array" ref="P68">_xlfn.SWITCH(P$4, 0,0, 1, AA68,2,AC68,3,AE68,0)</f>
        <v>0</v>
      </c>
      <c r="Q68" s="12" cm="1">
        <f t="array" ref="Q68">_xlfn.SWITCH(Q$4, 0,0, 1, AA68,2,AC68,3,AE68,0)+P68</f>
        <v>0</v>
      </c>
      <c r="R68" s="12" cm="1">
        <f t="array" ref="R68">_xlfn.SWITCH(R$4, 0,0, 1, AA68,2,AC68,3,AE68,0)+Q68</f>
        <v>0</v>
      </c>
      <c r="S68" s="12" cm="1">
        <f t="array" ref="S68">_xlfn.SWITCH(S$4, 0,0, 1, AA68,2,AC68,3,AE68,0)+R68</f>
        <v>0</v>
      </c>
      <c r="T68" s="12" cm="1">
        <f t="array" ref="T68">_xlfn.SWITCH(T$4, 0,0, 1, AA68,2,AC68,3,AE68,0)+S68</f>
        <v>0</v>
      </c>
      <c r="U68" s="12" cm="1">
        <f t="array" ref="U68">_xlfn.SWITCH(U$4, 0,0, 1, AA68,2,AC68,3,AE68,0)+T68</f>
        <v>0</v>
      </c>
      <c r="V68" s="12" cm="1">
        <f t="array" ref="V68">_xlfn.SWITCH(V$4, 0,0, 1, AA68,2,AC68,3,AE68,0)+U68</f>
        <v>0</v>
      </c>
      <c r="W68" s="12" cm="1">
        <f t="array" ref="W68">_xlfn.SWITCH(W$4, 0,0, 1, AA68,2,AC68,3,AE68,0)+V68</f>
        <v>0</v>
      </c>
      <c r="X68" s="12" cm="1">
        <f t="array" ref="X68">_xlfn.SWITCH(X$4, 0,0, 1, AA68,2,AC68,3,AE68,0)+W68</f>
        <v>0</v>
      </c>
      <c r="Z68" t="s">
        <v>1304</v>
      </c>
      <c r="AA68">
        <f>_xlfn.XLOOKUP(Z68,'KPI Impacts'!$K$2:$Q$2,'KPI Impacts'!$K68:$Q68)</f>
        <v>0</v>
      </c>
      <c r="AB68" t="s">
        <v>1304</v>
      </c>
      <c r="AC68">
        <f>_xlfn.XLOOKUP(AB68,'KPI Impacts'!$K$2:$Q$2,'KPI Impacts'!$K68:$Q68)</f>
        <v>0</v>
      </c>
      <c r="AD68" t="s">
        <v>1304</v>
      </c>
      <c r="AE68">
        <f>_xlfn.XLOOKUP(AD68,'KPI Impacts'!$K$2:$Q$2,'KPI Impacts'!$K68:$Q68)</f>
        <v>0</v>
      </c>
      <c r="AH68" s="12" cm="1">
        <f t="array" ref="AH68">_xlfn.SWITCH(AH$4, 0,0, 1, AS68,2,AU68,3,AW68,0)</f>
        <v>0</v>
      </c>
      <c r="AI68" s="12" cm="1">
        <f t="array" ref="AI68">_xlfn.SWITCH(AI$4, 0,0, 1, AS68,2,AU68,3,AW68,0)+AH68</f>
        <v>0</v>
      </c>
      <c r="AJ68" s="12" cm="1">
        <f t="array" ref="AJ68">_xlfn.SWITCH(AJ$4, 0,0, 1, AS68,2,AU68,3,AW68,0)+AI68</f>
        <v>0</v>
      </c>
      <c r="AK68" s="12" cm="1">
        <f t="array" ref="AK68">_xlfn.SWITCH(AK$4, 0,0, 1, AS68,2,AU68,3,AW68,0)+AJ68</f>
        <v>0</v>
      </c>
      <c r="AL68" s="12" cm="1">
        <f t="array" ref="AL68">_xlfn.SWITCH(AL$4, 0,0, 1, AS68,2,AU68,3,AW68,0)+AK68</f>
        <v>0</v>
      </c>
      <c r="AM68" s="12" cm="1">
        <f t="array" ref="AM68">_xlfn.SWITCH(AM$4, 0,0, 1, AS68,2,AU68,3,AW68,0)+AL68</f>
        <v>0</v>
      </c>
      <c r="AN68" s="12" cm="1">
        <f t="array" ref="AN68">_xlfn.SWITCH(AN$4, 0,0, 1, AS68,2,AU68,3,AW68,0)+AM68</f>
        <v>0</v>
      </c>
      <c r="AO68" s="12" cm="1">
        <f t="array" ref="AO68">_xlfn.SWITCH(AO$4, 0,0, 1, AS68,2,AU68,3,AW68,0)+AN68</f>
        <v>0</v>
      </c>
      <c r="AP68" s="12" cm="1">
        <f t="array" ref="AP68">_xlfn.SWITCH(AP$4, 0,0, 1, AS68,2,AU68,3,AW68,0)+AO68</f>
        <v>0</v>
      </c>
      <c r="AR68" t="s">
        <v>1304</v>
      </c>
      <c r="AS68">
        <f>_xlfn.XLOOKUP(AR68,'KPI Impacts'!$K$2:$Q$2,'KPI Impacts'!$K68:$Q68)</f>
        <v>0</v>
      </c>
      <c r="AT68" t="s">
        <v>1304</v>
      </c>
      <c r="AU68">
        <f>_xlfn.XLOOKUP(AT68,'KPI Impacts'!$K$2:$Q$2,'KPI Impacts'!$K68:$Q68)</f>
        <v>0</v>
      </c>
      <c r="AV68" t="s">
        <v>1304</v>
      </c>
      <c r="AW68">
        <f>_xlfn.XLOOKUP(AV68,'KPI Impacts'!$K$2:$Q$2,'KPI Impacts'!$K68:$Q68)</f>
        <v>0</v>
      </c>
      <c r="AZ68" s="12">
        <f t="shared" si="317"/>
        <v>0</v>
      </c>
      <c r="BA68" s="12">
        <f t="shared" si="318"/>
        <v>0</v>
      </c>
      <c r="BB68" s="12">
        <f t="shared" si="319"/>
        <v>0</v>
      </c>
      <c r="BC68" s="12">
        <f t="shared" si="320"/>
        <v>0</v>
      </c>
      <c r="BD68" s="12">
        <f t="shared" si="321"/>
        <v>0</v>
      </c>
      <c r="BE68" s="12">
        <f t="shared" si="322"/>
        <v>0</v>
      </c>
      <c r="BF68" s="12">
        <f t="shared" si="323"/>
        <v>0</v>
      </c>
      <c r="BG68" s="12">
        <f t="shared" si="324"/>
        <v>0</v>
      </c>
      <c r="BH68" s="12">
        <f t="shared" si="325"/>
        <v>0</v>
      </c>
      <c r="BJ68" s="16" t="s">
        <v>1304</v>
      </c>
      <c r="BK68">
        <f>_xlfn.XLOOKUP(BJ68,'KPI Impacts'!$B$2:$H$2,'KPI Impacts'!$B68:$H68)</f>
        <v>0</v>
      </c>
      <c r="BL68" s="35" t="s">
        <v>1304</v>
      </c>
      <c r="BM68">
        <f>_xlfn.XLOOKUP(BL68,'KPI Impacts'!$B$2:$H$2,'KPI Impacts'!$B68:$H68)</f>
        <v>0</v>
      </c>
      <c r="BP68" s="12">
        <f t="shared" si="326"/>
        <v>0</v>
      </c>
      <c r="BQ68" s="12">
        <f t="shared" si="327"/>
        <v>0</v>
      </c>
      <c r="BR68" s="12">
        <f t="shared" si="328"/>
        <v>0</v>
      </c>
      <c r="BS68" s="12">
        <f t="shared" si="329"/>
        <v>0</v>
      </c>
      <c r="BT68" s="12">
        <f t="shared" si="330"/>
        <v>0</v>
      </c>
      <c r="BU68" s="12">
        <f t="shared" si="331"/>
        <v>0</v>
      </c>
      <c r="BV68" s="12">
        <f t="shared" si="332"/>
        <v>0</v>
      </c>
      <c r="BW68" s="12">
        <f t="shared" si="333"/>
        <v>0</v>
      </c>
      <c r="BX68" s="12">
        <f t="shared" si="334"/>
        <v>0</v>
      </c>
      <c r="BZ68" s="30" t="s">
        <v>1310</v>
      </c>
      <c r="CA68">
        <f>_xlfn.XLOOKUP(BZ68,'KPI Impacts'!$B$2:$H$2,'KPI Impacts'!$B68:$H68)</f>
        <v>4</v>
      </c>
      <c r="CB68" s="9" t="s">
        <v>1304</v>
      </c>
      <c r="CC68">
        <f>_xlfn.XLOOKUP(CB68,'KPI Impacts'!$B$2:$H$2,'KPI Impacts'!$B68:$H68)</f>
        <v>0</v>
      </c>
      <c r="CF68" s="12">
        <f t="shared" si="335"/>
        <v>0</v>
      </c>
      <c r="CG68" s="12">
        <f t="shared" si="336"/>
        <v>0</v>
      </c>
      <c r="CH68" s="12">
        <f t="shared" si="337"/>
        <v>0</v>
      </c>
      <c r="CI68" s="12">
        <f t="shared" si="338"/>
        <v>0</v>
      </c>
      <c r="CJ68" s="12">
        <f t="shared" si="339"/>
        <v>0</v>
      </c>
      <c r="CK68" s="12">
        <f t="shared" si="340"/>
        <v>0</v>
      </c>
      <c r="CL68" s="12">
        <f t="shared" si="341"/>
        <v>0</v>
      </c>
      <c r="CM68" s="12">
        <f t="shared" si="342"/>
        <v>0</v>
      </c>
      <c r="CN68" s="12">
        <f t="shared" si="343"/>
        <v>0</v>
      </c>
      <c r="CP68" s="30" t="s">
        <v>1308</v>
      </c>
      <c r="CQ68">
        <f>_xlfn.XLOOKUP(CP68,'KPI Impacts'!$B$2:$H$2,'KPI Impacts'!$B68:$H68)</f>
        <v>2</v>
      </c>
      <c r="CR68" s="35" t="s">
        <v>1304</v>
      </c>
      <c r="CS68">
        <f>_xlfn.XLOOKUP(CR68,'KPI Impacts'!$B$2:$H$2,'KPI Impacts'!$B68:$H68)</f>
        <v>0</v>
      </c>
      <c r="CV68" s="12">
        <f t="shared" si="344"/>
        <v>0</v>
      </c>
      <c r="CW68" s="12">
        <f t="shared" si="345"/>
        <v>0</v>
      </c>
      <c r="CX68" s="12">
        <f t="shared" si="346"/>
        <v>0</v>
      </c>
      <c r="CY68" s="12">
        <f t="shared" si="347"/>
        <v>0</v>
      </c>
      <c r="CZ68" s="12">
        <f t="shared" si="348"/>
        <v>0</v>
      </c>
      <c r="DA68" s="12">
        <f t="shared" si="349"/>
        <v>0</v>
      </c>
      <c r="DB68" s="12">
        <f t="shared" si="350"/>
        <v>0</v>
      </c>
      <c r="DC68" s="12">
        <f t="shared" si="351"/>
        <v>0</v>
      </c>
      <c r="DD68" s="12">
        <f t="shared" si="352"/>
        <v>0</v>
      </c>
      <c r="DF68" s="30" t="s">
        <v>1308</v>
      </c>
      <c r="DG68">
        <f>_xlfn.XLOOKUP(DF68,'KPI Impacts'!$B$2:$H$2,'KPI Impacts'!$B68:$H68)</f>
        <v>2</v>
      </c>
      <c r="DH68" s="35" t="s">
        <v>1304</v>
      </c>
      <c r="DI68">
        <f>_xlfn.XLOOKUP(DH68,'KPI Impacts'!$B$2:$H$2,'KPI Impacts'!$B68:$H68)</f>
        <v>0</v>
      </c>
      <c r="DL68" s="12">
        <f t="shared" si="353"/>
        <v>0</v>
      </c>
      <c r="DM68" s="12">
        <f t="shared" si="354"/>
        <v>0</v>
      </c>
      <c r="DN68" s="12">
        <f t="shared" si="355"/>
        <v>0</v>
      </c>
      <c r="DO68" s="12">
        <f t="shared" si="356"/>
        <v>0</v>
      </c>
      <c r="DP68" s="12">
        <f t="shared" si="357"/>
        <v>0</v>
      </c>
      <c r="DQ68" s="12">
        <f t="shared" si="358"/>
        <v>0</v>
      </c>
      <c r="DR68" s="12">
        <f t="shared" si="359"/>
        <v>0</v>
      </c>
      <c r="DS68" s="12">
        <f t="shared" si="360"/>
        <v>0</v>
      </c>
      <c r="DT68" s="12">
        <f t="shared" si="361"/>
        <v>0</v>
      </c>
      <c r="DV68" s="30" t="s">
        <v>1310</v>
      </c>
      <c r="DW68">
        <f>_xlfn.XLOOKUP(DV68,'KPI Impacts'!$B$2:$H$2,'KPI Impacts'!$B68:$H68)</f>
        <v>4</v>
      </c>
      <c r="DX68" s="35" t="s">
        <v>1304</v>
      </c>
      <c r="DY68">
        <f>_xlfn.XLOOKUP(DX68,'KPI Impacts'!$B$2:$H$2,'KPI Impacts'!$B68:$H68)</f>
        <v>0</v>
      </c>
      <c r="EB68" s="12">
        <f t="shared" si="362"/>
        <v>0</v>
      </c>
      <c r="EC68" s="12">
        <f t="shared" si="363"/>
        <v>0</v>
      </c>
      <c r="ED68" s="12">
        <f t="shared" si="364"/>
        <v>0</v>
      </c>
      <c r="EE68" s="12">
        <f t="shared" si="365"/>
        <v>0</v>
      </c>
      <c r="EF68" s="12">
        <f t="shared" si="366"/>
        <v>0</v>
      </c>
      <c r="EG68" s="12">
        <f t="shared" si="367"/>
        <v>0</v>
      </c>
      <c r="EH68" s="12">
        <f t="shared" si="368"/>
        <v>0</v>
      </c>
      <c r="EI68" s="12">
        <f t="shared" si="369"/>
        <v>0</v>
      </c>
      <c r="EJ68" s="12">
        <f t="shared" si="370"/>
        <v>0</v>
      </c>
      <c r="EL68" s="30" t="s">
        <v>1308</v>
      </c>
      <c r="EM68">
        <f>_xlfn.XLOOKUP(EL68,'KPI Impacts'!$B$2:$H$2,'KPI Impacts'!$B68:$H68)</f>
        <v>2</v>
      </c>
      <c r="EN68" s="35" t="s">
        <v>1304</v>
      </c>
      <c r="EO68">
        <f>_xlfn.XLOOKUP(EN68,'KPI Impacts'!$B$2:$H$2,'KPI Impacts'!$B68:$H68)</f>
        <v>0</v>
      </c>
      <c r="ER68" s="12">
        <f t="shared" si="371"/>
        <v>0</v>
      </c>
      <c r="ES68" s="12">
        <f t="shared" si="372"/>
        <v>0</v>
      </c>
      <c r="ET68" s="12">
        <f t="shared" si="373"/>
        <v>0</v>
      </c>
      <c r="EU68" s="12">
        <f t="shared" si="374"/>
        <v>0</v>
      </c>
      <c r="EV68" s="12">
        <f t="shared" si="375"/>
        <v>0</v>
      </c>
      <c r="EW68" s="12">
        <f t="shared" si="376"/>
        <v>0</v>
      </c>
      <c r="EX68" s="12">
        <f t="shared" si="377"/>
        <v>0</v>
      </c>
      <c r="EY68" s="12">
        <f t="shared" si="378"/>
        <v>0</v>
      </c>
      <c r="EZ68" s="12">
        <f t="shared" si="379"/>
        <v>0</v>
      </c>
      <c r="FB68" s="30" t="s">
        <v>1310</v>
      </c>
      <c r="FC68">
        <f>_xlfn.XLOOKUP(FB68,'KPI Impacts'!$B$2:$H$2,'KPI Impacts'!$B68:$H68)</f>
        <v>4</v>
      </c>
      <c r="FD68" s="35" t="s">
        <v>1304</v>
      </c>
      <c r="FE68">
        <f>_xlfn.XLOOKUP(FD68,'KPI Impacts'!$B$2:$H$2,'KPI Impacts'!$B68:$H68)</f>
        <v>0</v>
      </c>
      <c r="FH68" s="12">
        <f t="shared" si="380"/>
        <v>0</v>
      </c>
      <c r="FI68" s="12">
        <f t="shared" si="381"/>
        <v>0</v>
      </c>
      <c r="FJ68" s="12">
        <f t="shared" si="382"/>
        <v>0</v>
      </c>
      <c r="FK68" s="12">
        <f t="shared" si="383"/>
        <v>0</v>
      </c>
      <c r="FL68" s="12">
        <f t="shared" si="384"/>
        <v>0</v>
      </c>
      <c r="FM68" s="12">
        <f t="shared" si="385"/>
        <v>0</v>
      </c>
      <c r="FN68" s="12">
        <f t="shared" si="386"/>
        <v>0</v>
      </c>
      <c r="FO68" s="12">
        <f t="shared" si="387"/>
        <v>0</v>
      </c>
      <c r="FP68" s="12">
        <f t="shared" si="388"/>
        <v>0</v>
      </c>
      <c r="FR68" s="30" t="s">
        <v>1310</v>
      </c>
      <c r="FS68">
        <f>_xlfn.XLOOKUP(FR68,'KPI Impacts'!$B$2:$H$2,'KPI Impacts'!$B68:$H68)</f>
        <v>4</v>
      </c>
      <c r="FT68" s="35" t="s">
        <v>1304</v>
      </c>
      <c r="FU68">
        <f>_xlfn.XLOOKUP(FT68,'KPI Impacts'!$B$2:$H$2,'KPI Impacts'!$B68:$H68)</f>
        <v>0</v>
      </c>
      <c r="FX68" s="12">
        <f t="shared" si="389"/>
        <v>0</v>
      </c>
      <c r="FY68" s="12">
        <f t="shared" si="390"/>
        <v>0</v>
      </c>
      <c r="FZ68" s="12">
        <f t="shared" si="391"/>
        <v>0</v>
      </c>
      <c r="GA68" s="12">
        <f t="shared" si="392"/>
        <v>0</v>
      </c>
      <c r="GB68" s="12">
        <f t="shared" si="393"/>
        <v>0</v>
      </c>
      <c r="GC68" s="12">
        <f t="shared" si="394"/>
        <v>0</v>
      </c>
      <c r="GD68" s="12">
        <f t="shared" si="395"/>
        <v>0</v>
      </c>
      <c r="GE68" s="12">
        <f t="shared" si="396"/>
        <v>0</v>
      </c>
      <c r="GF68" s="12">
        <f t="shared" si="397"/>
        <v>0</v>
      </c>
      <c r="GH68" s="16" t="s">
        <v>1304</v>
      </c>
      <c r="GI68">
        <f>_xlfn.XLOOKUP(GH68,'KPI Impacts'!$B$2:$H$2,'KPI Impacts'!$B68:$H68)</f>
        <v>0</v>
      </c>
      <c r="GJ68" s="35" t="s">
        <v>1304</v>
      </c>
      <c r="GK68">
        <f>_xlfn.XLOOKUP(GJ68,'KPI Impacts'!$B$2:$H$2,'KPI Impacts'!$B68:$H68)</f>
        <v>0</v>
      </c>
      <c r="GN68" s="12">
        <f t="shared" si="398"/>
        <v>0</v>
      </c>
      <c r="GO68" s="12">
        <f t="shared" si="399"/>
        <v>0</v>
      </c>
      <c r="GP68" s="12">
        <f t="shared" si="400"/>
        <v>0</v>
      </c>
      <c r="GQ68" s="12">
        <f t="shared" si="401"/>
        <v>0</v>
      </c>
      <c r="GR68" s="12">
        <f t="shared" si="402"/>
        <v>0</v>
      </c>
      <c r="GS68" s="12">
        <f t="shared" si="403"/>
        <v>0</v>
      </c>
      <c r="GT68" s="12">
        <f t="shared" si="404"/>
        <v>0</v>
      </c>
      <c r="GU68" s="12">
        <f t="shared" si="405"/>
        <v>0</v>
      </c>
      <c r="GV68" s="12">
        <f t="shared" si="406"/>
        <v>0</v>
      </c>
      <c r="GX68" s="30" t="s">
        <v>1308</v>
      </c>
      <c r="GY68">
        <f>_xlfn.XLOOKUP(GX68,'KPI Impacts'!$B$2:$H$2,'KPI Impacts'!$B68:$H68)</f>
        <v>2</v>
      </c>
      <c r="GZ68" s="35" t="s">
        <v>1304</v>
      </c>
      <c r="HA68">
        <f>_xlfn.XLOOKUP(GZ68,'KPI Impacts'!$B$2:$H$2,'KPI Impacts'!$B68:$H68)</f>
        <v>0</v>
      </c>
      <c r="HD68" s="12">
        <f t="shared" si="407"/>
        <v>0</v>
      </c>
      <c r="HE68" s="12">
        <f t="shared" si="408"/>
        <v>0</v>
      </c>
      <c r="HF68" s="12">
        <f t="shared" si="409"/>
        <v>0</v>
      </c>
      <c r="HG68" s="12">
        <f t="shared" si="410"/>
        <v>0</v>
      </c>
      <c r="HH68" s="12">
        <f t="shared" si="411"/>
        <v>0</v>
      </c>
      <c r="HI68" s="12">
        <f t="shared" si="412"/>
        <v>0</v>
      </c>
      <c r="HJ68" s="12">
        <f t="shared" si="413"/>
        <v>0</v>
      </c>
      <c r="HK68" s="12">
        <f t="shared" si="414"/>
        <v>0</v>
      </c>
      <c r="HL68" s="12">
        <f t="shared" si="415"/>
        <v>0</v>
      </c>
      <c r="HN68" s="30" t="s">
        <v>1308</v>
      </c>
      <c r="HO68">
        <f>_xlfn.XLOOKUP(HN68,'KPI Impacts'!$B$2:$H$2,'KPI Impacts'!$B68:$H68)</f>
        <v>2</v>
      </c>
      <c r="HP68" s="35" t="s">
        <v>1304</v>
      </c>
      <c r="HQ68">
        <f>_xlfn.XLOOKUP(HP68,'KPI Impacts'!$B$2:$H$2,'KPI Impacts'!$B68:$H68)</f>
        <v>0</v>
      </c>
      <c r="HT68" s="12">
        <f t="shared" si="416"/>
        <v>0</v>
      </c>
      <c r="HU68" s="12">
        <f t="shared" si="417"/>
        <v>0</v>
      </c>
      <c r="HV68" s="12">
        <f t="shared" si="418"/>
        <v>0</v>
      </c>
      <c r="HW68" s="12">
        <f t="shared" si="419"/>
        <v>0</v>
      </c>
      <c r="HX68" s="12">
        <f t="shared" si="420"/>
        <v>0</v>
      </c>
      <c r="HY68" s="12">
        <f t="shared" si="421"/>
        <v>0</v>
      </c>
      <c r="HZ68" s="12">
        <f t="shared" si="422"/>
        <v>0</v>
      </c>
      <c r="IA68" s="12">
        <f t="shared" si="423"/>
        <v>0</v>
      </c>
      <c r="IB68" s="12">
        <f t="shared" si="424"/>
        <v>0</v>
      </c>
      <c r="ID68" s="30" t="s">
        <v>1308</v>
      </c>
      <c r="IE68">
        <f>_xlfn.XLOOKUP(ID68,'KPI Impacts'!$B$2:$H$2,'KPI Impacts'!$B68:$H68)</f>
        <v>2</v>
      </c>
      <c r="IF68" s="35" t="s">
        <v>1304</v>
      </c>
      <c r="IG68">
        <f>_xlfn.XLOOKUP(IF68,'KPI Impacts'!$B$2:$H$2,'KPI Impacts'!$B68:$H68)</f>
        <v>0</v>
      </c>
      <c r="IJ68" s="12">
        <f t="shared" si="425"/>
        <v>0</v>
      </c>
      <c r="IK68" s="12">
        <f t="shared" si="426"/>
        <v>0</v>
      </c>
      <c r="IL68" s="12">
        <f t="shared" si="427"/>
        <v>0</v>
      </c>
      <c r="IM68" s="12">
        <f t="shared" si="428"/>
        <v>0</v>
      </c>
      <c r="IN68" s="12">
        <f t="shared" si="429"/>
        <v>0</v>
      </c>
      <c r="IO68" s="12">
        <f t="shared" si="430"/>
        <v>0</v>
      </c>
      <c r="IP68" s="12">
        <f t="shared" si="431"/>
        <v>0</v>
      </c>
      <c r="IQ68" s="12">
        <f t="shared" si="432"/>
        <v>0</v>
      </c>
      <c r="IR68" s="12">
        <f t="shared" si="433"/>
        <v>0</v>
      </c>
      <c r="IT68" s="30" t="s">
        <v>1310</v>
      </c>
      <c r="IU68">
        <f>_xlfn.XLOOKUP(IT68,'KPI Impacts'!$B$2:$H$2,'KPI Impacts'!$B68:$H68)</f>
        <v>4</v>
      </c>
      <c r="IV68" s="35" t="s">
        <v>1304</v>
      </c>
      <c r="IW68">
        <f>_xlfn.XLOOKUP(IV68,'KPI Impacts'!$B$2:$H$2,'KPI Impacts'!$B68:$H68)</f>
        <v>0</v>
      </c>
      <c r="IZ68" s="12">
        <f t="shared" si="434"/>
        <v>0</v>
      </c>
      <c r="JA68" s="12">
        <f t="shared" si="435"/>
        <v>0</v>
      </c>
      <c r="JB68" s="12">
        <f t="shared" si="436"/>
        <v>0</v>
      </c>
      <c r="JC68" s="12">
        <f t="shared" si="437"/>
        <v>0</v>
      </c>
      <c r="JD68" s="12">
        <f t="shared" si="438"/>
        <v>0</v>
      </c>
      <c r="JE68" s="12">
        <f t="shared" si="439"/>
        <v>0</v>
      </c>
      <c r="JF68" s="12">
        <f t="shared" si="440"/>
        <v>0</v>
      </c>
      <c r="JG68" s="12">
        <f t="shared" si="441"/>
        <v>0</v>
      </c>
      <c r="JH68" s="12">
        <f t="shared" si="442"/>
        <v>0</v>
      </c>
      <c r="JJ68" t="s">
        <v>1304</v>
      </c>
      <c r="JK68">
        <f>_xlfn.XLOOKUP(JJ68,'KPI Impacts'!$B$2:$H$2,'KPI Impacts'!$B68:$H68)</f>
        <v>0</v>
      </c>
      <c r="JL68" s="9" t="s">
        <v>1304</v>
      </c>
      <c r="JM68">
        <f>_xlfn.XLOOKUP(JL68,'KPI Impacts'!$B$2:$H$2,'KPI Impacts'!$B68:$H68)</f>
        <v>0</v>
      </c>
      <c r="JP68" s="12">
        <f t="shared" si="443"/>
        <v>0</v>
      </c>
      <c r="JQ68" s="12">
        <f t="shared" si="444"/>
        <v>0</v>
      </c>
      <c r="JR68" s="12">
        <f t="shared" si="445"/>
        <v>0</v>
      </c>
      <c r="JS68" s="12">
        <f t="shared" si="446"/>
        <v>0</v>
      </c>
      <c r="JT68" s="12">
        <f t="shared" si="447"/>
        <v>0</v>
      </c>
      <c r="JU68" s="12">
        <f t="shared" si="448"/>
        <v>0</v>
      </c>
      <c r="JV68" s="12">
        <f t="shared" si="449"/>
        <v>0</v>
      </c>
      <c r="JW68" s="12">
        <f t="shared" si="450"/>
        <v>0</v>
      </c>
      <c r="JX68" s="12">
        <f t="shared" si="451"/>
        <v>0</v>
      </c>
      <c r="JZ68" t="s">
        <v>1304</v>
      </c>
      <c r="KA68">
        <f>_xlfn.XLOOKUP(JZ68,'KPI Impacts'!$B$2:$H$2,'KPI Impacts'!$B68:$H68)</f>
        <v>0</v>
      </c>
      <c r="KB68" s="9" t="s">
        <v>1304</v>
      </c>
      <c r="KC68">
        <f>_xlfn.XLOOKUP(KB68,'KPI Impacts'!$B$2:$H$2,'KPI Impacts'!$B68:$H68)</f>
        <v>0</v>
      </c>
      <c r="KF68" s="12">
        <f t="shared" si="452"/>
        <v>0</v>
      </c>
      <c r="KG68" s="12">
        <f t="shared" si="453"/>
        <v>0</v>
      </c>
      <c r="KH68" s="12">
        <f t="shared" si="454"/>
        <v>0</v>
      </c>
      <c r="KI68" s="12">
        <f t="shared" si="455"/>
        <v>0</v>
      </c>
      <c r="KJ68" s="12">
        <f t="shared" si="456"/>
        <v>0</v>
      </c>
      <c r="KK68" s="12">
        <f t="shared" si="457"/>
        <v>0</v>
      </c>
      <c r="KL68" s="12">
        <f t="shared" si="458"/>
        <v>0</v>
      </c>
      <c r="KM68" s="12">
        <f t="shared" si="459"/>
        <v>0</v>
      </c>
      <c r="KN68" s="12">
        <f t="shared" si="460"/>
        <v>0</v>
      </c>
      <c r="KP68" t="s">
        <v>1304</v>
      </c>
      <c r="KQ68">
        <f>_xlfn.XLOOKUP(KP68,'KPI Impacts'!$B$2:$H$2,'KPI Impacts'!$B68:$H68)</f>
        <v>0</v>
      </c>
      <c r="KR68" s="9" t="s">
        <v>1304</v>
      </c>
      <c r="KS68">
        <f>_xlfn.XLOOKUP(KR68,'KPI Impacts'!$B$2:$H$2,'KPI Impacts'!$B68:$H68)</f>
        <v>0</v>
      </c>
      <c r="KV68" s="12">
        <f t="shared" si="461"/>
        <v>0</v>
      </c>
      <c r="KW68" s="12">
        <f t="shared" si="462"/>
        <v>0</v>
      </c>
      <c r="KX68" s="12">
        <f t="shared" si="463"/>
        <v>0</v>
      </c>
      <c r="KY68" s="12">
        <f t="shared" si="464"/>
        <v>0</v>
      </c>
      <c r="KZ68" s="12">
        <f t="shared" si="465"/>
        <v>0</v>
      </c>
      <c r="LA68" s="12">
        <f t="shared" si="466"/>
        <v>0</v>
      </c>
      <c r="LB68" s="12">
        <f t="shared" si="467"/>
        <v>0</v>
      </c>
      <c r="LC68" s="12">
        <f t="shared" si="468"/>
        <v>0</v>
      </c>
      <c r="LD68" s="12">
        <f t="shared" si="469"/>
        <v>0</v>
      </c>
      <c r="LF68" t="s">
        <v>1304</v>
      </c>
      <c r="LG68">
        <f>_xlfn.XLOOKUP(LF68,'KPI Impacts'!$B$2:$H$2,'KPI Impacts'!$B68:$H68)</f>
        <v>0</v>
      </c>
      <c r="LH68" s="9" t="s">
        <v>1304</v>
      </c>
      <c r="LI68">
        <f>_xlfn.XLOOKUP(LH68,'KPI Impacts'!$B$2:$H$2,'KPI Impacts'!$B68:$H68)</f>
        <v>0</v>
      </c>
      <c r="LL68" s="12">
        <f t="shared" si="470"/>
        <v>0</v>
      </c>
      <c r="LM68" s="12">
        <f t="shared" si="471"/>
        <v>0</v>
      </c>
      <c r="LN68" s="12">
        <f t="shared" si="472"/>
        <v>0</v>
      </c>
      <c r="LO68" s="12">
        <f t="shared" si="473"/>
        <v>0</v>
      </c>
      <c r="LP68" s="12">
        <f t="shared" si="474"/>
        <v>0</v>
      </c>
      <c r="LQ68" s="12">
        <f t="shared" si="475"/>
        <v>0</v>
      </c>
      <c r="LR68" s="12">
        <f t="shared" si="476"/>
        <v>0</v>
      </c>
      <c r="LS68" s="12">
        <f t="shared" si="477"/>
        <v>0</v>
      </c>
      <c r="LT68" s="12">
        <f t="shared" si="478"/>
        <v>0</v>
      </c>
      <c r="LV68" t="s">
        <v>1304</v>
      </c>
      <c r="LW68">
        <f>_xlfn.XLOOKUP(LV68,'KPI Impacts'!$B$2:$H$2,'KPI Impacts'!$B68:$H68)</f>
        <v>0</v>
      </c>
      <c r="LX68" s="9" t="s">
        <v>1304</v>
      </c>
      <c r="LY68">
        <f>_xlfn.XLOOKUP(LX68,'KPI Impacts'!$B$2:$H$2,'KPI Impacts'!$B68:$H68)</f>
        <v>0</v>
      </c>
      <c r="MB68" s="12">
        <f t="shared" si="479"/>
        <v>0</v>
      </c>
      <c r="MC68" s="12">
        <f t="shared" si="480"/>
        <v>0</v>
      </c>
      <c r="MD68" s="12">
        <f t="shared" si="481"/>
        <v>0</v>
      </c>
      <c r="ME68" s="12">
        <f t="shared" si="482"/>
        <v>0</v>
      </c>
      <c r="MF68" s="12">
        <f t="shared" si="483"/>
        <v>0</v>
      </c>
      <c r="MG68" s="12">
        <f t="shared" si="484"/>
        <v>0</v>
      </c>
      <c r="MH68" s="12">
        <f t="shared" si="485"/>
        <v>0</v>
      </c>
      <c r="MI68" s="12">
        <f t="shared" si="486"/>
        <v>0</v>
      </c>
      <c r="MJ68" s="12">
        <f t="shared" si="487"/>
        <v>0</v>
      </c>
      <c r="ML68" t="s">
        <v>1304</v>
      </c>
      <c r="MM68">
        <f>_xlfn.XLOOKUP(ML68,'KPI Impacts'!$B$2:$H$2,'KPI Impacts'!$B68:$H68)</f>
        <v>0</v>
      </c>
      <c r="MN68" s="9" t="s">
        <v>1304</v>
      </c>
      <c r="MO68">
        <f>_xlfn.XLOOKUP(MN68,'KPI Impacts'!$B$2:$H$2,'KPI Impacts'!$B68:$H68)</f>
        <v>0</v>
      </c>
      <c r="MR68" s="12">
        <f t="shared" si="488"/>
        <v>0</v>
      </c>
      <c r="MS68" s="12">
        <f t="shared" si="489"/>
        <v>0</v>
      </c>
      <c r="MT68" s="12">
        <f t="shared" si="490"/>
        <v>0</v>
      </c>
      <c r="MU68" s="12">
        <f t="shared" si="491"/>
        <v>0</v>
      </c>
      <c r="MV68" s="12">
        <f t="shared" si="492"/>
        <v>0</v>
      </c>
      <c r="MW68" s="12">
        <f t="shared" si="493"/>
        <v>0</v>
      </c>
      <c r="MX68" s="12">
        <f t="shared" si="494"/>
        <v>0</v>
      </c>
      <c r="MY68" s="12">
        <f t="shared" si="495"/>
        <v>0</v>
      </c>
      <c r="MZ68" s="12">
        <f t="shared" si="496"/>
        <v>0</v>
      </c>
      <c r="NB68" t="s">
        <v>1304</v>
      </c>
      <c r="NC68">
        <f>_xlfn.XLOOKUP(NB68,'KPI Impacts'!$B$2:$H$2,'KPI Impacts'!$B68:$H68)</f>
        <v>0</v>
      </c>
      <c r="ND68" s="9" t="s">
        <v>1304</v>
      </c>
      <c r="NE68">
        <f>_xlfn.XLOOKUP(ND68,'KPI Impacts'!$B$2:$H$2,'KPI Impacts'!$B68:$H68)</f>
        <v>0</v>
      </c>
      <c r="NH68" s="12">
        <f t="shared" si="497"/>
        <v>0</v>
      </c>
      <c r="NI68" s="12">
        <f t="shared" si="498"/>
        <v>0</v>
      </c>
      <c r="NJ68" s="12">
        <f t="shared" si="499"/>
        <v>0</v>
      </c>
      <c r="NK68" s="12">
        <f t="shared" si="500"/>
        <v>0</v>
      </c>
      <c r="NL68" s="12">
        <f t="shared" si="501"/>
        <v>0</v>
      </c>
      <c r="NM68" s="12">
        <f t="shared" si="502"/>
        <v>0</v>
      </c>
      <c r="NN68" s="12">
        <f t="shared" si="503"/>
        <v>0</v>
      </c>
      <c r="NO68" s="12">
        <f t="shared" si="504"/>
        <v>0</v>
      </c>
      <c r="NP68" s="12">
        <f t="shared" si="505"/>
        <v>0</v>
      </c>
      <c r="NR68" t="s">
        <v>1304</v>
      </c>
      <c r="NS68">
        <f>_xlfn.XLOOKUP(NR68,'KPI Impacts'!$B$2:$H$2,'KPI Impacts'!$B68:$H68)</f>
        <v>0</v>
      </c>
      <c r="NT68" s="9" t="s">
        <v>1304</v>
      </c>
      <c r="NU68">
        <f>_xlfn.XLOOKUP(NT68,'KPI Impacts'!$B$2:$H$2,'KPI Impacts'!$B68:$H68)</f>
        <v>0</v>
      </c>
      <c r="NX68" s="12">
        <f t="shared" si="506"/>
        <v>0</v>
      </c>
      <c r="NY68" s="12">
        <f t="shared" si="507"/>
        <v>0</v>
      </c>
      <c r="NZ68" s="12">
        <f t="shared" si="508"/>
        <v>0</v>
      </c>
      <c r="OA68" s="12">
        <f t="shared" si="509"/>
        <v>0</v>
      </c>
      <c r="OB68" s="12">
        <f t="shared" si="510"/>
        <v>0</v>
      </c>
      <c r="OC68" s="12">
        <f t="shared" si="511"/>
        <v>0</v>
      </c>
      <c r="OD68" s="12">
        <f t="shared" si="512"/>
        <v>0</v>
      </c>
      <c r="OE68" s="12">
        <f t="shared" si="513"/>
        <v>0</v>
      </c>
      <c r="OF68" s="12">
        <f t="shared" si="514"/>
        <v>0</v>
      </c>
      <c r="OH68" t="s">
        <v>1304</v>
      </c>
      <c r="OI68">
        <f>_xlfn.XLOOKUP(OH68,'KPI Impacts'!$B$2:$H$2,'KPI Impacts'!$B68:$H68)</f>
        <v>0</v>
      </c>
      <c r="OJ68" s="9" t="s">
        <v>1304</v>
      </c>
      <c r="OK68">
        <f>_xlfn.XLOOKUP(OJ68,'KPI Impacts'!$B$2:$H$2,'KPI Impacts'!$B68:$H68)</f>
        <v>0</v>
      </c>
    </row>
    <row r="69" spans="1:401" x14ac:dyDescent="0.2">
      <c r="A69" t="s">
        <v>50</v>
      </c>
      <c r="B69" s="12">
        <f t="shared" si="515"/>
        <v>0</v>
      </c>
      <c r="C69" s="12">
        <f t="shared" si="316"/>
        <v>0</v>
      </c>
      <c r="D69" s="12">
        <f t="shared" si="316"/>
        <v>0</v>
      </c>
      <c r="E69" s="12">
        <f t="shared" si="316"/>
        <v>0</v>
      </c>
      <c r="F69" s="12">
        <f t="shared" si="316"/>
        <v>0</v>
      </c>
      <c r="G69" s="12">
        <f t="shared" si="316"/>
        <v>0</v>
      </c>
      <c r="H69" s="12">
        <f t="shared" si="316"/>
        <v>0</v>
      </c>
      <c r="I69" s="12">
        <f t="shared" si="316"/>
        <v>0</v>
      </c>
      <c r="J69" s="12">
        <f t="shared" si="316"/>
        <v>0</v>
      </c>
      <c r="P69" s="12" cm="1">
        <f t="array" ref="P69">_xlfn.SWITCH(P$4, 0,0, 1, AA69,2,AC69,3,AE69,0)</f>
        <v>0</v>
      </c>
      <c r="Q69" s="12" cm="1">
        <f t="array" ref="Q69">_xlfn.SWITCH(Q$4, 0,0, 1, AA69,2,AC69,3,AE69,0)+P69</f>
        <v>0</v>
      </c>
      <c r="R69" s="12" cm="1">
        <f t="array" ref="R69">_xlfn.SWITCH(R$4, 0,0, 1, AA69,2,AC69,3,AE69,0)+Q69</f>
        <v>0</v>
      </c>
      <c r="S69" s="12" cm="1">
        <f t="array" ref="S69">_xlfn.SWITCH(S$4, 0,0, 1, AA69,2,AC69,3,AE69,0)+R69</f>
        <v>0</v>
      </c>
      <c r="T69" s="12" cm="1">
        <f t="array" ref="T69">_xlfn.SWITCH(T$4, 0,0, 1, AA69,2,AC69,3,AE69,0)+S69</f>
        <v>0</v>
      </c>
      <c r="U69" s="12" cm="1">
        <f t="array" ref="U69">_xlfn.SWITCH(U$4, 0,0, 1, AA69,2,AC69,3,AE69,0)+T69</f>
        <v>0</v>
      </c>
      <c r="V69" s="12" cm="1">
        <f t="array" ref="V69">_xlfn.SWITCH(V$4, 0,0, 1, AA69,2,AC69,3,AE69,0)+U69</f>
        <v>0</v>
      </c>
      <c r="W69" s="12" cm="1">
        <f t="array" ref="W69">_xlfn.SWITCH(W$4, 0,0, 1, AA69,2,AC69,3,AE69,0)+V69</f>
        <v>0</v>
      </c>
      <c r="X69" s="12" cm="1">
        <f t="array" ref="X69">_xlfn.SWITCH(X$4, 0,0, 1, AA69,2,AC69,3,AE69,0)+W69</f>
        <v>0</v>
      </c>
      <c r="Z69" t="s">
        <v>1304</v>
      </c>
      <c r="AA69">
        <f>_xlfn.XLOOKUP(Z69,'KPI Impacts'!$K$2:$Q$2,'KPI Impacts'!$K69:$Q69)</f>
        <v>0</v>
      </c>
      <c r="AB69" t="s">
        <v>1304</v>
      </c>
      <c r="AC69">
        <f>_xlfn.XLOOKUP(AB69,'KPI Impacts'!$K$2:$Q$2,'KPI Impacts'!$K69:$Q69)</f>
        <v>0</v>
      </c>
      <c r="AD69" t="s">
        <v>1304</v>
      </c>
      <c r="AE69">
        <f>_xlfn.XLOOKUP(AD69,'KPI Impacts'!$K$2:$Q$2,'KPI Impacts'!$K69:$Q69)</f>
        <v>0</v>
      </c>
      <c r="AH69" s="12" cm="1">
        <f t="array" ref="AH69">_xlfn.SWITCH(AH$4, 0,0, 1, AS69,2,AU69,3,AW69,0)</f>
        <v>0</v>
      </c>
      <c r="AI69" s="12" cm="1">
        <f t="array" ref="AI69">_xlfn.SWITCH(AI$4, 0,0, 1, AS69,2,AU69,3,AW69,0)+AH69</f>
        <v>0</v>
      </c>
      <c r="AJ69" s="12" cm="1">
        <f t="array" ref="AJ69">_xlfn.SWITCH(AJ$4, 0,0, 1, AS69,2,AU69,3,AW69,0)+AI69</f>
        <v>0</v>
      </c>
      <c r="AK69" s="12" cm="1">
        <f t="array" ref="AK69">_xlfn.SWITCH(AK$4, 0,0, 1, AS69,2,AU69,3,AW69,0)+AJ69</f>
        <v>0</v>
      </c>
      <c r="AL69" s="12" cm="1">
        <f t="array" ref="AL69">_xlfn.SWITCH(AL$4, 0,0, 1, AS69,2,AU69,3,AW69,0)+AK69</f>
        <v>0</v>
      </c>
      <c r="AM69" s="12" cm="1">
        <f t="array" ref="AM69">_xlfn.SWITCH(AM$4, 0,0, 1, AS69,2,AU69,3,AW69,0)+AL69</f>
        <v>0</v>
      </c>
      <c r="AN69" s="12" cm="1">
        <f t="array" ref="AN69">_xlfn.SWITCH(AN$4, 0,0, 1, AS69,2,AU69,3,AW69,0)+AM69</f>
        <v>0</v>
      </c>
      <c r="AO69" s="12" cm="1">
        <f t="array" ref="AO69">_xlfn.SWITCH(AO$4, 0,0, 1, AS69,2,AU69,3,AW69,0)+AN69</f>
        <v>0</v>
      </c>
      <c r="AP69" s="12" cm="1">
        <f t="array" ref="AP69">_xlfn.SWITCH(AP$4, 0,0, 1, AS69,2,AU69,3,AW69,0)+AO69</f>
        <v>0</v>
      </c>
      <c r="AR69" t="s">
        <v>1304</v>
      </c>
      <c r="AS69">
        <f>_xlfn.XLOOKUP(AR69,'KPI Impacts'!$K$2:$Q$2,'KPI Impacts'!$K69:$Q69)</f>
        <v>0</v>
      </c>
      <c r="AT69" t="s">
        <v>1304</v>
      </c>
      <c r="AU69">
        <f>_xlfn.XLOOKUP(AT69,'KPI Impacts'!$K$2:$Q$2,'KPI Impacts'!$K69:$Q69)</f>
        <v>0</v>
      </c>
      <c r="AV69" t="s">
        <v>1304</v>
      </c>
      <c r="AW69">
        <f>_xlfn.XLOOKUP(AV69,'KPI Impacts'!$K$2:$Q$2,'KPI Impacts'!$K69:$Q69)</f>
        <v>0</v>
      </c>
      <c r="AZ69" s="12">
        <f t="shared" si="317"/>
        <v>0</v>
      </c>
      <c r="BA69" s="12">
        <f t="shared" si="318"/>
        <v>0</v>
      </c>
      <c r="BB69" s="12">
        <f t="shared" si="319"/>
        <v>0</v>
      </c>
      <c r="BC69" s="12">
        <f t="shared" si="320"/>
        <v>0</v>
      </c>
      <c r="BD69" s="12">
        <f t="shared" si="321"/>
        <v>0</v>
      </c>
      <c r="BE69" s="12">
        <f t="shared" si="322"/>
        <v>0</v>
      </c>
      <c r="BF69" s="12">
        <f t="shared" si="323"/>
        <v>0</v>
      </c>
      <c r="BG69" s="12">
        <f t="shared" si="324"/>
        <v>0</v>
      </c>
      <c r="BH69" s="12">
        <f t="shared" si="325"/>
        <v>0</v>
      </c>
      <c r="BJ69" s="30" t="s">
        <v>1308</v>
      </c>
      <c r="BK69">
        <f>_xlfn.XLOOKUP(BJ69,'KPI Impacts'!$B$2:$H$2,'KPI Impacts'!$B69:$H69)</f>
        <v>2</v>
      </c>
      <c r="BL69" s="35" t="s">
        <v>1304</v>
      </c>
      <c r="BM69">
        <f>_xlfn.XLOOKUP(BL69,'KPI Impacts'!$B$2:$H$2,'KPI Impacts'!$B69:$H69)</f>
        <v>0</v>
      </c>
      <c r="BP69" s="12">
        <f t="shared" si="326"/>
        <v>0</v>
      </c>
      <c r="BQ69" s="12">
        <f t="shared" si="327"/>
        <v>0</v>
      </c>
      <c r="BR69" s="12">
        <f t="shared" si="328"/>
        <v>0</v>
      </c>
      <c r="BS69" s="12">
        <f t="shared" si="329"/>
        <v>0</v>
      </c>
      <c r="BT69" s="12">
        <f t="shared" si="330"/>
        <v>0</v>
      </c>
      <c r="BU69" s="12">
        <f t="shared" si="331"/>
        <v>0</v>
      </c>
      <c r="BV69" s="12">
        <f t="shared" si="332"/>
        <v>0</v>
      </c>
      <c r="BW69" s="12">
        <f t="shared" si="333"/>
        <v>0</v>
      </c>
      <c r="BX69" s="12">
        <f t="shared" si="334"/>
        <v>0</v>
      </c>
      <c r="BZ69" s="30" t="s">
        <v>1310</v>
      </c>
      <c r="CA69">
        <f>_xlfn.XLOOKUP(BZ69,'KPI Impacts'!$B$2:$H$2,'KPI Impacts'!$B69:$H69)</f>
        <v>4</v>
      </c>
      <c r="CB69" s="9" t="s">
        <v>1304</v>
      </c>
      <c r="CC69">
        <f>_xlfn.XLOOKUP(CB69,'KPI Impacts'!$B$2:$H$2,'KPI Impacts'!$B69:$H69)</f>
        <v>0</v>
      </c>
      <c r="CF69" s="12">
        <f t="shared" si="335"/>
        <v>0</v>
      </c>
      <c r="CG69" s="12">
        <f t="shared" si="336"/>
        <v>0</v>
      </c>
      <c r="CH69" s="12">
        <f t="shared" si="337"/>
        <v>0</v>
      </c>
      <c r="CI69" s="12">
        <f t="shared" si="338"/>
        <v>0</v>
      </c>
      <c r="CJ69" s="12">
        <f t="shared" si="339"/>
        <v>0</v>
      </c>
      <c r="CK69" s="12">
        <f t="shared" si="340"/>
        <v>0</v>
      </c>
      <c r="CL69" s="12">
        <f t="shared" si="341"/>
        <v>0</v>
      </c>
      <c r="CM69" s="12">
        <f t="shared" si="342"/>
        <v>0</v>
      </c>
      <c r="CN69" s="12">
        <f t="shared" si="343"/>
        <v>0</v>
      </c>
      <c r="CP69" s="30" t="s">
        <v>1309</v>
      </c>
      <c r="CQ69">
        <f>_xlfn.XLOOKUP(CP69,'KPI Impacts'!$B$2:$H$2,'KPI Impacts'!$B69:$H69)</f>
        <v>6</v>
      </c>
      <c r="CR69" s="35" t="s">
        <v>1304</v>
      </c>
      <c r="CS69">
        <f>_xlfn.XLOOKUP(CR69,'KPI Impacts'!$B$2:$H$2,'KPI Impacts'!$B69:$H69)</f>
        <v>0</v>
      </c>
      <c r="CV69" s="12">
        <f t="shared" si="344"/>
        <v>0</v>
      </c>
      <c r="CW69" s="12">
        <f t="shared" si="345"/>
        <v>0</v>
      </c>
      <c r="CX69" s="12">
        <f t="shared" si="346"/>
        <v>0</v>
      </c>
      <c r="CY69" s="12">
        <f t="shared" si="347"/>
        <v>0</v>
      </c>
      <c r="CZ69" s="12">
        <f t="shared" si="348"/>
        <v>0</v>
      </c>
      <c r="DA69" s="12">
        <f t="shared" si="349"/>
        <v>0</v>
      </c>
      <c r="DB69" s="12">
        <f t="shared" si="350"/>
        <v>0</v>
      </c>
      <c r="DC69" s="12">
        <f t="shared" si="351"/>
        <v>0</v>
      </c>
      <c r="DD69" s="12">
        <f t="shared" si="352"/>
        <v>0</v>
      </c>
      <c r="DF69" s="30" t="s">
        <v>1310</v>
      </c>
      <c r="DG69">
        <f>_xlfn.XLOOKUP(DF69,'KPI Impacts'!$B$2:$H$2,'KPI Impacts'!$B69:$H69)</f>
        <v>4</v>
      </c>
      <c r="DH69" s="35" t="s">
        <v>1304</v>
      </c>
      <c r="DI69">
        <f>_xlfn.XLOOKUP(DH69,'KPI Impacts'!$B$2:$H$2,'KPI Impacts'!$B69:$H69)</f>
        <v>0</v>
      </c>
      <c r="DL69" s="12">
        <f t="shared" si="353"/>
        <v>0</v>
      </c>
      <c r="DM69" s="12">
        <f t="shared" si="354"/>
        <v>0</v>
      </c>
      <c r="DN69" s="12">
        <f t="shared" si="355"/>
        <v>0</v>
      </c>
      <c r="DO69" s="12">
        <f t="shared" si="356"/>
        <v>0</v>
      </c>
      <c r="DP69" s="12">
        <f t="shared" si="357"/>
        <v>0</v>
      </c>
      <c r="DQ69" s="12">
        <f t="shared" si="358"/>
        <v>0</v>
      </c>
      <c r="DR69" s="12">
        <f t="shared" si="359"/>
        <v>0</v>
      </c>
      <c r="DS69" s="12">
        <f t="shared" si="360"/>
        <v>0</v>
      </c>
      <c r="DT69" s="12">
        <f t="shared" si="361"/>
        <v>0</v>
      </c>
      <c r="DV69" s="16" t="s">
        <v>1304</v>
      </c>
      <c r="DW69">
        <f>_xlfn.XLOOKUP(DV69,'KPI Impacts'!$B$2:$H$2,'KPI Impacts'!$B69:$H69)</f>
        <v>0</v>
      </c>
      <c r="DX69" s="35" t="s">
        <v>1304</v>
      </c>
      <c r="DY69">
        <f>_xlfn.XLOOKUP(DX69,'KPI Impacts'!$B$2:$H$2,'KPI Impacts'!$B69:$H69)</f>
        <v>0</v>
      </c>
      <c r="EB69" s="12">
        <f t="shared" si="362"/>
        <v>0</v>
      </c>
      <c r="EC69" s="12">
        <f t="shared" si="363"/>
        <v>0</v>
      </c>
      <c r="ED69" s="12">
        <f t="shared" si="364"/>
        <v>0</v>
      </c>
      <c r="EE69" s="12">
        <f t="shared" si="365"/>
        <v>0</v>
      </c>
      <c r="EF69" s="12">
        <f t="shared" si="366"/>
        <v>0</v>
      </c>
      <c r="EG69" s="12">
        <f t="shared" si="367"/>
        <v>0</v>
      </c>
      <c r="EH69" s="12">
        <f t="shared" si="368"/>
        <v>0</v>
      </c>
      <c r="EI69" s="12">
        <f t="shared" si="369"/>
        <v>0</v>
      </c>
      <c r="EJ69" s="12">
        <f t="shared" si="370"/>
        <v>0</v>
      </c>
      <c r="EL69" s="30" t="s">
        <v>1309</v>
      </c>
      <c r="EM69">
        <f>_xlfn.XLOOKUP(EL69,'KPI Impacts'!$B$2:$H$2,'KPI Impacts'!$B69:$H69)</f>
        <v>6</v>
      </c>
      <c r="EN69" s="35" t="s">
        <v>1304</v>
      </c>
      <c r="EO69">
        <f>_xlfn.XLOOKUP(EN69,'KPI Impacts'!$B$2:$H$2,'KPI Impacts'!$B69:$H69)</f>
        <v>0</v>
      </c>
      <c r="ER69" s="12">
        <f t="shared" si="371"/>
        <v>0</v>
      </c>
      <c r="ES69" s="12">
        <f t="shared" si="372"/>
        <v>0</v>
      </c>
      <c r="ET69" s="12">
        <f t="shared" si="373"/>
        <v>0</v>
      </c>
      <c r="EU69" s="12">
        <f t="shared" si="374"/>
        <v>0</v>
      </c>
      <c r="EV69" s="12">
        <f t="shared" si="375"/>
        <v>0</v>
      </c>
      <c r="EW69" s="12">
        <f t="shared" si="376"/>
        <v>0</v>
      </c>
      <c r="EX69" s="12">
        <f t="shared" si="377"/>
        <v>0</v>
      </c>
      <c r="EY69" s="12">
        <f t="shared" si="378"/>
        <v>0</v>
      </c>
      <c r="EZ69" s="12">
        <f t="shared" si="379"/>
        <v>0</v>
      </c>
      <c r="FB69" s="29" t="s">
        <v>1305</v>
      </c>
      <c r="FC69">
        <f>_xlfn.XLOOKUP(FB69,'KPI Impacts'!$B$2:$H$2,'KPI Impacts'!$B69:$H69)</f>
        <v>-1.6</v>
      </c>
      <c r="FD69" s="35" t="s">
        <v>1304</v>
      </c>
      <c r="FE69">
        <f>_xlfn.XLOOKUP(FD69,'KPI Impacts'!$B$2:$H$2,'KPI Impacts'!$B69:$H69)</f>
        <v>0</v>
      </c>
      <c r="FH69" s="12">
        <f t="shared" si="380"/>
        <v>0</v>
      </c>
      <c r="FI69" s="12">
        <f t="shared" si="381"/>
        <v>0</v>
      </c>
      <c r="FJ69" s="12">
        <f t="shared" si="382"/>
        <v>0</v>
      </c>
      <c r="FK69" s="12">
        <f t="shared" si="383"/>
        <v>0</v>
      </c>
      <c r="FL69" s="12">
        <f t="shared" si="384"/>
        <v>0</v>
      </c>
      <c r="FM69" s="12">
        <f t="shared" si="385"/>
        <v>0</v>
      </c>
      <c r="FN69" s="12">
        <f t="shared" si="386"/>
        <v>0</v>
      </c>
      <c r="FO69" s="12">
        <f t="shared" si="387"/>
        <v>0</v>
      </c>
      <c r="FP69" s="12">
        <f t="shared" si="388"/>
        <v>0</v>
      </c>
      <c r="FR69" s="30" t="s">
        <v>1308</v>
      </c>
      <c r="FS69">
        <f>_xlfn.XLOOKUP(FR69,'KPI Impacts'!$B$2:$H$2,'KPI Impacts'!$B69:$H69)</f>
        <v>2</v>
      </c>
      <c r="FT69" s="35" t="s">
        <v>1304</v>
      </c>
      <c r="FU69">
        <f>_xlfn.XLOOKUP(FT69,'KPI Impacts'!$B$2:$H$2,'KPI Impacts'!$B69:$H69)</f>
        <v>0</v>
      </c>
      <c r="FX69" s="12">
        <f t="shared" si="389"/>
        <v>0</v>
      </c>
      <c r="FY69" s="12">
        <f t="shared" si="390"/>
        <v>0</v>
      </c>
      <c r="FZ69" s="12">
        <f t="shared" si="391"/>
        <v>0</v>
      </c>
      <c r="GA69" s="12">
        <f t="shared" si="392"/>
        <v>0</v>
      </c>
      <c r="GB69" s="12">
        <f t="shared" si="393"/>
        <v>0</v>
      </c>
      <c r="GC69" s="12">
        <f t="shared" si="394"/>
        <v>0</v>
      </c>
      <c r="GD69" s="12">
        <f t="shared" si="395"/>
        <v>0</v>
      </c>
      <c r="GE69" s="12">
        <f t="shared" si="396"/>
        <v>0</v>
      </c>
      <c r="GF69" s="12">
        <f t="shared" si="397"/>
        <v>0</v>
      </c>
      <c r="GH69" s="16" t="s">
        <v>1304</v>
      </c>
      <c r="GI69">
        <f>_xlfn.XLOOKUP(GH69,'KPI Impacts'!$B$2:$H$2,'KPI Impacts'!$B69:$H69)</f>
        <v>0</v>
      </c>
      <c r="GJ69" s="35" t="s">
        <v>1304</v>
      </c>
      <c r="GK69">
        <f>_xlfn.XLOOKUP(GJ69,'KPI Impacts'!$B$2:$H$2,'KPI Impacts'!$B69:$H69)</f>
        <v>0</v>
      </c>
      <c r="GN69" s="12">
        <f t="shared" si="398"/>
        <v>0</v>
      </c>
      <c r="GO69" s="12">
        <f t="shared" si="399"/>
        <v>0</v>
      </c>
      <c r="GP69" s="12">
        <f t="shared" si="400"/>
        <v>0</v>
      </c>
      <c r="GQ69" s="12">
        <f t="shared" si="401"/>
        <v>0</v>
      </c>
      <c r="GR69" s="12">
        <f t="shared" si="402"/>
        <v>0</v>
      </c>
      <c r="GS69" s="12">
        <f t="shared" si="403"/>
        <v>0</v>
      </c>
      <c r="GT69" s="12">
        <f t="shared" si="404"/>
        <v>0</v>
      </c>
      <c r="GU69" s="12">
        <f t="shared" si="405"/>
        <v>0</v>
      </c>
      <c r="GV69" s="12">
        <f t="shared" si="406"/>
        <v>0</v>
      </c>
      <c r="GX69" s="16" t="s">
        <v>1304</v>
      </c>
      <c r="GY69">
        <f>_xlfn.XLOOKUP(GX69,'KPI Impacts'!$B$2:$H$2,'KPI Impacts'!$B69:$H69)</f>
        <v>0</v>
      </c>
      <c r="GZ69" s="35" t="s">
        <v>1304</v>
      </c>
      <c r="HA69">
        <f>_xlfn.XLOOKUP(GZ69,'KPI Impacts'!$B$2:$H$2,'KPI Impacts'!$B69:$H69)</f>
        <v>0</v>
      </c>
      <c r="HD69" s="12">
        <f t="shared" si="407"/>
        <v>0</v>
      </c>
      <c r="HE69" s="12">
        <f t="shared" si="408"/>
        <v>0</v>
      </c>
      <c r="HF69" s="12">
        <f t="shared" si="409"/>
        <v>0</v>
      </c>
      <c r="HG69" s="12">
        <f t="shared" si="410"/>
        <v>0</v>
      </c>
      <c r="HH69" s="12">
        <f t="shared" si="411"/>
        <v>0</v>
      </c>
      <c r="HI69" s="12">
        <f t="shared" si="412"/>
        <v>0</v>
      </c>
      <c r="HJ69" s="12">
        <f t="shared" si="413"/>
        <v>0</v>
      </c>
      <c r="HK69" s="12">
        <f t="shared" si="414"/>
        <v>0</v>
      </c>
      <c r="HL69" s="12">
        <f t="shared" si="415"/>
        <v>0</v>
      </c>
      <c r="HN69" s="16" t="s">
        <v>1304</v>
      </c>
      <c r="HO69">
        <f>_xlfn.XLOOKUP(HN69,'KPI Impacts'!$B$2:$H$2,'KPI Impacts'!$B69:$H69)</f>
        <v>0</v>
      </c>
      <c r="HP69" s="35" t="s">
        <v>1304</v>
      </c>
      <c r="HQ69">
        <f>_xlfn.XLOOKUP(HP69,'KPI Impacts'!$B$2:$H$2,'KPI Impacts'!$B69:$H69)</f>
        <v>0</v>
      </c>
      <c r="HT69" s="12">
        <f t="shared" si="416"/>
        <v>0</v>
      </c>
      <c r="HU69" s="12">
        <f t="shared" si="417"/>
        <v>0</v>
      </c>
      <c r="HV69" s="12">
        <f t="shared" si="418"/>
        <v>0</v>
      </c>
      <c r="HW69" s="12">
        <f t="shared" si="419"/>
        <v>0</v>
      </c>
      <c r="HX69" s="12">
        <f t="shared" si="420"/>
        <v>0</v>
      </c>
      <c r="HY69" s="12">
        <f t="shared" si="421"/>
        <v>0</v>
      </c>
      <c r="HZ69" s="12">
        <f t="shared" si="422"/>
        <v>0</v>
      </c>
      <c r="IA69" s="12">
        <f t="shared" si="423"/>
        <v>0</v>
      </c>
      <c r="IB69" s="12">
        <f t="shared" si="424"/>
        <v>0</v>
      </c>
      <c r="ID69" s="16" t="s">
        <v>1304</v>
      </c>
      <c r="IE69">
        <f>_xlfn.XLOOKUP(ID69,'KPI Impacts'!$B$2:$H$2,'KPI Impacts'!$B69:$H69)</f>
        <v>0</v>
      </c>
      <c r="IF69" s="35" t="s">
        <v>1304</v>
      </c>
      <c r="IG69">
        <f>_xlfn.XLOOKUP(IF69,'KPI Impacts'!$B$2:$H$2,'KPI Impacts'!$B69:$H69)</f>
        <v>0</v>
      </c>
      <c r="IJ69" s="12">
        <f t="shared" si="425"/>
        <v>0</v>
      </c>
      <c r="IK69" s="12">
        <f t="shared" si="426"/>
        <v>0</v>
      </c>
      <c r="IL69" s="12">
        <f t="shared" si="427"/>
        <v>0</v>
      </c>
      <c r="IM69" s="12">
        <f t="shared" si="428"/>
        <v>0</v>
      </c>
      <c r="IN69" s="12">
        <f t="shared" si="429"/>
        <v>0</v>
      </c>
      <c r="IO69" s="12">
        <f t="shared" si="430"/>
        <v>0</v>
      </c>
      <c r="IP69" s="12">
        <f t="shared" si="431"/>
        <v>0</v>
      </c>
      <c r="IQ69" s="12">
        <f t="shared" si="432"/>
        <v>0</v>
      </c>
      <c r="IR69" s="12">
        <f t="shared" si="433"/>
        <v>0</v>
      </c>
      <c r="IT69" s="16" t="s">
        <v>1304</v>
      </c>
      <c r="IU69">
        <f>_xlfn.XLOOKUP(IT69,'KPI Impacts'!$B$2:$H$2,'KPI Impacts'!$B69:$H69)</f>
        <v>0</v>
      </c>
      <c r="IV69" s="35" t="s">
        <v>1304</v>
      </c>
      <c r="IW69">
        <f>_xlfn.XLOOKUP(IV69,'KPI Impacts'!$B$2:$H$2,'KPI Impacts'!$B69:$H69)</f>
        <v>0</v>
      </c>
      <c r="IZ69" s="12">
        <f t="shared" si="434"/>
        <v>0</v>
      </c>
      <c r="JA69" s="12">
        <f t="shared" si="435"/>
        <v>0</v>
      </c>
      <c r="JB69" s="12">
        <f t="shared" si="436"/>
        <v>0</v>
      </c>
      <c r="JC69" s="12">
        <f t="shared" si="437"/>
        <v>0</v>
      </c>
      <c r="JD69" s="12">
        <f t="shared" si="438"/>
        <v>0</v>
      </c>
      <c r="JE69" s="12">
        <f t="shared" si="439"/>
        <v>0</v>
      </c>
      <c r="JF69" s="12">
        <f t="shared" si="440"/>
        <v>0</v>
      </c>
      <c r="JG69" s="12">
        <f t="shared" si="441"/>
        <v>0</v>
      </c>
      <c r="JH69" s="12">
        <f t="shared" si="442"/>
        <v>0</v>
      </c>
      <c r="JJ69" t="s">
        <v>1304</v>
      </c>
      <c r="JK69">
        <f>_xlfn.XLOOKUP(JJ69,'KPI Impacts'!$B$2:$H$2,'KPI Impacts'!$B69:$H69)</f>
        <v>0</v>
      </c>
      <c r="JL69" s="9" t="s">
        <v>1304</v>
      </c>
      <c r="JM69">
        <f>_xlfn.XLOOKUP(JL69,'KPI Impacts'!$B$2:$H$2,'KPI Impacts'!$B69:$H69)</f>
        <v>0</v>
      </c>
      <c r="JP69" s="12">
        <f t="shared" si="443"/>
        <v>0</v>
      </c>
      <c r="JQ69" s="12">
        <f t="shared" si="444"/>
        <v>0</v>
      </c>
      <c r="JR69" s="12">
        <f t="shared" si="445"/>
        <v>0</v>
      </c>
      <c r="JS69" s="12">
        <f t="shared" si="446"/>
        <v>0</v>
      </c>
      <c r="JT69" s="12">
        <f t="shared" si="447"/>
        <v>0</v>
      </c>
      <c r="JU69" s="12">
        <f t="shared" si="448"/>
        <v>0</v>
      </c>
      <c r="JV69" s="12">
        <f t="shared" si="449"/>
        <v>0</v>
      </c>
      <c r="JW69" s="12">
        <f t="shared" si="450"/>
        <v>0</v>
      </c>
      <c r="JX69" s="12">
        <f t="shared" si="451"/>
        <v>0</v>
      </c>
      <c r="JZ69" t="s">
        <v>1304</v>
      </c>
      <c r="KA69">
        <f>_xlfn.XLOOKUP(JZ69,'KPI Impacts'!$B$2:$H$2,'KPI Impacts'!$B69:$H69)</f>
        <v>0</v>
      </c>
      <c r="KB69" s="9" t="s">
        <v>1304</v>
      </c>
      <c r="KC69">
        <f>_xlfn.XLOOKUP(KB69,'KPI Impacts'!$B$2:$H$2,'KPI Impacts'!$B69:$H69)</f>
        <v>0</v>
      </c>
      <c r="KF69" s="12">
        <f t="shared" si="452"/>
        <v>0</v>
      </c>
      <c r="KG69" s="12">
        <f t="shared" si="453"/>
        <v>0</v>
      </c>
      <c r="KH69" s="12">
        <f t="shared" si="454"/>
        <v>0</v>
      </c>
      <c r="KI69" s="12">
        <f t="shared" si="455"/>
        <v>0</v>
      </c>
      <c r="KJ69" s="12">
        <f t="shared" si="456"/>
        <v>0</v>
      </c>
      <c r="KK69" s="12">
        <f t="shared" si="457"/>
        <v>0</v>
      </c>
      <c r="KL69" s="12">
        <f t="shared" si="458"/>
        <v>0</v>
      </c>
      <c r="KM69" s="12">
        <f t="shared" si="459"/>
        <v>0</v>
      </c>
      <c r="KN69" s="12">
        <f t="shared" si="460"/>
        <v>0</v>
      </c>
      <c r="KP69" t="s">
        <v>1304</v>
      </c>
      <c r="KQ69">
        <f>_xlfn.XLOOKUP(KP69,'KPI Impacts'!$B$2:$H$2,'KPI Impacts'!$B69:$H69)</f>
        <v>0</v>
      </c>
      <c r="KR69" s="9" t="s">
        <v>1304</v>
      </c>
      <c r="KS69">
        <f>_xlfn.XLOOKUP(KR69,'KPI Impacts'!$B$2:$H$2,'KPI Impacts'!$B69:$H69)</f>
        <v>0</v>
      </c>
      <c r="KV69" s="12">
        <f t="shared" si="461"/>
        <v>0</v>
      </c>
      <c r="KW69" s="12">
        <f t="shared" si="462"/>
        <v>0</v>
      </c>
      <c r="KX69" s="12">
        <f t="shared" si="463"/>
        <v>0</v>
      </c>
      <c r="KY69" s="12">
        <f t="shared" si="464"/>
        <v>0</v>
      </c>
      <c r="KZ69" s="12">
        <f t="shared" si="465"/>
        <v>0</v>
      </c>
      <c r="LA69" s="12">
        <f t="shared" si="466"/>
        <v>0</v>
      </c>
      <c r="LB69" s="12">
        <f t="shared" si="467"/>
        <v>0</v>
      </c>
      <c r="LC69" s="12">
        <f t="shared" si="468"/>
        <v>0</v>
      </c>
      <c r="LD69" s="12">
        <f t="shared" si="469"/>
        <v>0</v>
      </c>
      <c r="LF69" t="s">
        <v>1304</v>
      </c>
      <c r="LG69">
        <f>_xlfn.XLOOKUP(LF69,'KPI Impacts'!$B$2:$H$2,'KPI Impacts'!$B69:$H69)</f>
        <v>0</v>
      </c>
      <c r="LH69" s="9" t="s">
        <v>1304</v>
      </c>
      <c r="LI69">
        <f>_xlfn.XLOOKUP(LH69,'KPI Impacts'!$B$2:$H$2,'KPI Impacts'!$B69:$H69)</f>
        <v>0</v>
      </c>
      <c r="LL69" s="12">
        <f t="shared" si="470"/>
        <v>0</v>
      </c>
      <c r="LM69" s="12">
        <f t="shared" si="471"/>
        <v>0</v>
      </c>
      <c r="LN69" s="12">
        <f t="shared" si="472"/>
        <v>0</v>
      </c>
      <c r="LO69" s="12">
        <f t="shared" si="473"/>
        <v>0</v>
      </c>
      <c r="LP69" s="12">
        <f t="shared" si="474"/>
        <v>0</v>
      </c>
      <c r="LQ69" s="12">
        <f t="shared" si="475"/>
        <v>0</v>
      </c>
      <c r="LR69" s="12">
        <f t="shared" si="476"/>
        <v>0</v>
      </c>
      <c r="LS69" s="12">
        <f t="shared" si="477"/>
        <v>0</v>
      </c>
      <c r="LT69" s="12">
        <f t="shared" si="478"/>
        <v>0</v>
      </c>
      <c r="LV69" t="s">
        <v>1304</v>
      </c>
      <c r="LW69">
        <f>_xlfn.XLOOKUP(LV69,'KPI Impacts'!$B$2:$H$2,'KPI Impacts'!$B69:$H69)</f>
        <v>0</v>
      </c>
      <c r="LX69" s="9" t="s">
        <v>1304</v>
      </c>
      <c r="LY69">
        <f>_xlfn.XLOOKUP(LX69,'KPI Impacts'!$B$2:$H$2,'KPI Impacts'!$B69:$H69)</f>
        <v>0</v>
      </c>
      <c r="MB69" s="12">
        <f t="shared" si="479"/>
        <v>0</v>
      </c>
      <c r="MC69" s="12">
        <f t="shared" si="480"/>
        <v>0</v>
      </c>
      <c r="MD69" s="12">
        <f t="shared" si="481"/>
        <v>0</v>
      </c>
      <c r="ME69" s="12">
        <f t="shared" si="482"/>
        <v>0</v>
      </c>
      <c r="MF69" s="12">
        <f t="shared" si="483"/>
        <v>0</v>
      </c>
      <c r="MG69" s="12">
        <f t="shared" si="484"/>
        <v>0</v>
      </c>
      <c r="MH69" s="12">
        <f t="shared" si="485"/>
        <v>0</v>
      </c>
      <c r="MI69" s="12">
        <f t="shared" si="486"/>
        <v>0</v>
      </c>
      <c r="MJ69" s="12">
        <f t="shared" si="487"/>
        <v>0</v>
      </c>
      <c r="ML69" t="s">
        <v>1304</v>
      </c>
      <c r="MM69">
        <f>_xlfn.XLOOKUP(ML69,'KPI Impacts'!$B$2:$H$2,'KPI Impacts'!$B69:$H69)</f>
        <v>0</v>
      </c>
      <c r="MN69" s="9" t="s">
        <v>1304</v>
      </c>
      <c r="MO69">
        <f>_xlfn.XLOOKUP(MN69,'KPI Impacts'!$B$2:$H$2,'KPI Impacts'!$B69:$H69)</f>
        <v>0</v>
      </c>
      <c r="MR69" s="12">
        <f t="shared" si="488"/>
        <v>0</v>
      </c>
      <c r="MS69" s="12">
        <f t="shared" si="489"/>
        <v>0</v>
      </c>
      <c r="MT69" s="12">
        <f t="shared" si="490"/>
        <v>0</v>
      </c>
      <c r="MU69" s="12">
        <f t="shared" si="491"/>
        <v>0</v>
      </c>
      <c r="MV69" s="12">
        <f t="shared" si="492"/>
        <v>0</v>
      </c>
      <c r="MW69" s="12">
        <f t="shared" si="493"/>
        <v>0</v>
      </c>
      <c r="MX69" s="12">
        <f t="shared" si="494"/>
        <v>0</v>
      </c>
      <c r="MY69" s="12">
        <f t="shared" si="495"/>
        <v>0</v>
      </c>
      <c r="MZ69" s="12">
        <f t="shared" si="496"/>
        <v>0</v>
      </c>
      <c r="NB69" t="s">
        <v>1304</v>
      </c>
      <c r="NC69">
        <f>_xlfn.XLOOKUP(NB69,'KPI Impacts'!$B$2:$H$2,'KPI Impacts'!$B69:$H69)</f>
        <v>0</v>
      </c>
      <c r="ND69" s="9" t="s">
        <v>1304</v>
      </c>
      <c r="NE69">
        <f>_xlfn.XLOOKUP(ND69,'KPI Impacts'!$B$2:$H$2,'KPI Impacts'!$B69:$H69)</f>
        <v>0</v>
      </c>
      <c r="NH69" s="12">
        <f t="shared" si="497"/>
        <v>0</v>
      </c>
      <c r="NI69" s="12">
        <f t="shared" si="498"/>
        <v>0</v>
      </c>
      <c r="NJ69" s="12">
        <f t="shared" si="499"/>
        <v>0</v>
      </c>
      <c r="NK69" s="12">
        <f t="shared" si="500"/>
        <v>0</v>
      </c>
      <c r="NL69" s="12">
        <f t="shared" si="501"/>
        <v>0</v>
      </c>
      <c r="NM69" s="12">
        <f t="shared" si="502"/>
        <v>0</v>
      </c>
      <c r="NN69" s="12">
        <f t="shared" si="503"/>
        <v>0</v>
      </c>
      <c r="NO69" s="12">
        <f t="shared" si="504"/>
        <v>0</v>
      </c>
      <c r="NP69" s="12">
        <f t="shared" si="505"/>
        <v>0</v>
      </c>
      <c r="NR69" t="s">
        <v>1304</v>
      </c>
      <c r="NS69">
        <f>_xlfn.XLOOKUP(NR69,'KPI Impacts'!$B$2:$H$2,'KPI Impacts'!$B69:$H69)</f>
        <v>0</v>
      </c>
      <c r="NT69" s="9" t="s">
        <v>1304</v>
      </c>
      <c r="NU69">
        <f>_xlfn.XLOOKUP(NT69,'KPI Impacts'!$B$2:$H$2,'KPI Impacts'!$B69:$H69)</f>
        <v>0</v>
      </c>
      <c r="NX69" s="12">
        <f t="shared" si="506"/>
        <v>0</v>
      </c>
      <c r="NY69" s="12">
        <f t="shared" si="507"/>
        <v>0</v>
      </c>
      <c r="NZ69" s="12">
        <f t="shared" si="508"/>
        <v>0</v>
      </c>
      <c r="OA69" s="12">
        <f t="shared" si="509"/>
        <v>0</v>
      </c>
      <c r="OB69" s="12">
        <f t="shared" si="510"/>
        <v>0</v>
      </c>
      <c r="OC69" s="12">
        <f t="shared" si="511"/>
        <v>0</v>
      </c>
      <c r="OD69" s="12">
        <f t="shared" si="512"/>
        <v>0</v>
      </c>
      <c r="OE69" s="12">
        <f t="shared" si="513"/>
        <v>0</v>
      </c>
      <c r="OF69" s="12">
        <f t="shared" si="514"/>
        <v>0</v>
      </c>
      <c r="OH69" t="s">
        <v>1304</v>
      </c>
      <c r="OI69">
        <f>_xlfn.XLOOKUP(OH69,'KPI Impacts'!$B$2:$H$2,'KPI Impacts'!$B69:$H69)</f>
        <v>0</v>
      </c>
      <c r="OJ69" s="9" t="s">
        <v>1304</v>
      </c>
      <c r="OK69">
        <f>_xlfn.XLOOKUP(OJ69,'KPI Impacts'!$B$2:$H$2,'KPI Impacts'!$B69:$H69)</f>
        <v>0</v>
      </c>
    </row>
    <row r="70" spans="1:401" x14ac:dyDescent="0.2">
      <c r="B70" s="12"/>
      <c r="C70" s="12"/>
      <c r="D70" s="12"/>
      <c r="E70" s="12"/>
      <c r="F70" s="12"/>
      <c r="G70" s="12"/>
      <c r="H70" s="12"/>
      <c r="I70" s="12"/>
      <c r="J70" s="12"/>
      <c r="P70" s="12"/>
      <c r="Q70" s="12"/>
      <c r="R70" s="12"/>
      <c r="S70" s="12"/>
      <c r="T70" s="12"/>
      <c r="U70" s="12"/>
      <c r="V70" s="12"/>
      <c r="W70" s="12"/>
      <c r="X70" s="12"/>
      <c r="AH70" s="12"/>
      <c r="AI70" s="12"/>
      <c r="AJ70" s="12"/>
      <c r="AK70" s="12"/>
      <c r="AL70" s="12"/>
      <c r="AM70" s="12"/>
      <c r="AN70" s="12"/>
      <c r="AO70" s="12"/>
      <c r="AP70" s="12"/>
      <c r="AZ70" s="12"/>
      <c r="BA70" s="12"/>
      <c r="BB70" s="12"/>
      <c r="BC70" s="12"/>
      <c r="BD70" s="12"/>
      <c r="BE70" s="12"/>
      <c r="BF70" s="12"/>
      <c r="BG70" s="12"/>
      <c r="BH70" s="12"/>
      <c r="BJ70" s="16"/>
      <c r="BL70" s="35"/>
      <c r="BP70" s="12"/>
      <c r="BQ70" s="12"/>
      <c r="BR70" s="12"/>
      <c r="BS70" s="12"/>
      <c r="BT70" s="12"/>
      <c r="BU70" s="12"/>
      <c r="BV70" s="12"/>
      <c r="BW70" s="12"/>
      <c r="BX70" s="12"/>
      <c r="BZ70" s="16"/>
      <c r="CB70" s="9"/>
      <c r="CF70" s="12"/>
      <c r="CG70" s="12"/>
      <c r="CH70" s="12"/>
      <c r="CI70" s="12"/>
      <c r="CJ70" s="12"/>
      <c r="CK70" s="12"/>
      <c r="CL70" s="12"/>
      <c r="CM70" s="12"/>
      <c r="CN70" s="12"/>
      <c r="CP70" s="16"/>
      <c r="CR70" s="35"/>
      <c r="CV70" s="12"/>
      <c r="CW70" s="12"/>
      <c r="CX70" s="12"/>
      <c r="CY70" s="12"/>
      <c r="CZ70" s="12"/>
      <c r="DA70" s="12"/>
      <c r="DB70" s="12"/>
      <c r="DC70" s="12"/>
      <c r="DD70" s="12"/>
      <c r="DF70" s="16"/>
      <c r="DH70" s="35"/>
      <c r="DL70" s="12"/>
      <c r="DM70" s="12"/>
      <c r="DN70" s="12"/>
      <c r="DO70" s="12"/>
      <c r="DP70" s="12"/>
      <c r="DQ70" s="12"/>
      <c r="DR70" s="12"/>
      <c r="DS70" s="12"/>
      <c r="DT70" s="12"/>
      <c r="DV70" s="16"/>
      <c r="DX70" s="35"/>
      <c r="EB70" s="12"/>
      <c r="EC70" s="12"/>
      <c r="ED70" s="12"/>
      <c r="EE70" s="12"/>
      <c r="EF70" s="12"/>
      <c r="EG70" s="12"/>
      <c r="EH70" s="12"/>
      <c r="EI70" s="12"/>
      <c r="EJ70" s="12"/>
      <c r="EL70" s="16"/>
      <c r="EN70" s="35"/>
      <c r="ER70" s="12"/>
      <c r="ES70" s="12"/>
      <c r="ET70" s="12"/>
      <c r="EU70" s="12"/>
      <c r="EV70" s="12"/>
      <c r="EW70" s="12"/>
      <c r="EX70" s="12"/>
      <c r="EY70" s="12"/>
      <c r="EZ70" s="12"/>
      <c r="FB70" s="16"/>
      <c r="FD70" s="35"/>
      <c r="FH70" s="12"/>
      <c r="FI70" s="12"/>
      <c r="FJ70" s="12"/>
      <c r="FK70" s="12"/>
      <c r="FL70" s="12"/>
      <c r="FM70" s="12"/>
      <c r="FN70" s="12"/>
      <c r="FO70" s="12"/>
      <c r="FP70" s="12"/>
      <c r="FR70" s="16"/>
      <c r="FT70" s="35"/>
      <c r="FX70" s="12"/>
      <c r="FY70" s="12"/>
      <c r="FZ70" s="12"/>
      <c r="GA70" s="12"/>
      <c r="GB70" s="12"/>
      <c r="GC70" s="12"/>
      <c r="GD70" s="12"/>
      <c r="GE70" s="12"/>
      <c r="GF70" s="12"/>
      <c r="GH70" s="16"/>
      <c r="GJ70" s="35"/>
      <c r="GN70" s="12"/>
      <c r="GO70" s="12"/>
      <c r="GP70" s="12"/>
      <c r="GQ70" s="12"/>
      <c r="GR70" s="12"/>
      <c r="GS70" s="12"/>
      <c r="GT70" s="12"/>
      <c r="GU70" s="12"/>
      <c r="GV70" s="12"/>
      <c r="GX70" s="16"/>
      <c r="GZ70" s="35"/>
      <c r="HD70" s="12"/>
      <c r="HE70" s="12"/>
      <c r="HF70" s="12"/>
      <c r="HG70" s="12"/>
      <c r="HH70" s="12"/>
      <c r="HI70" s="12"/>
      <c r="HJ70" s="12"/>
      <c r="HK70" s="12"/>
      <c r="HL70" s="12"/>
      <c r="HN70" s="16"/>
      <c r="HP70" s="35"/>
      <c r="HT70" s="12"/>
      <c r="HU70" s="12"/>
      <c r="HV70" s="12"/>
      <c r="HW70" s="12"/>
      <c r="HX70" s="12"/>
      <c r="HY70" s="12"/>
      <c r="HZ70" s="12"/>
      <c r="IA70" s="12"/>
      <c r="IB70" s="12"/>
      <c r="ID70" s="16"/>
      <c r="IF70" s="35"/>
      <c r="IJ70" s="12"/>
      <c r="IK70" s="12"/>
      <c r="IL70" s="12"/>
      <c r="IM70" s="12"/>
      <c r="IN70" s="12"/>
      <c r="IO70" s="12"/>
      <c r="IP70" s="12"/>
      <c r="IQ70" s="12"/>
      <c r="IR70" s="12"/>
      <c r="IT70" s="16"/>
      <c r="IV70" s="35"/>
      <c r="IZ70" s="12"/>
      <c r="JA70" s="12"/>
      <c r="JB70" s="12"/>
      <c r="JC70" s="12"/>
      <c r="JD70" s="12"/>
      <c r="JE70" s="12"/>
      <c r="JF70" s="12"/>
      <c r="JG70" s="12"/>
      <c r="JH70" s="12"/>
      <c r="JL70" s="9"/>
      <c r="JP70" s="12"/>
      <c r="JQ70" s="12"/>
      <c r="JR70" s="12"/>
      <c r="JS70" s="12"/>
      <c r="JT70" s="12"/>
      <c r="JU70" s="12"/>
      <c r="JV70" s="12"/>
      <c r="JW70" s="12"/>
      <c r="JX70" s="12"/>
      <c r="KB70" s="9"/>
      <c r="KF70" s="12"/>
      <c r="KG70" s="12"/>
      <c r="KH70" s="12"/>
      <c r="KI70" s="12"/>
      <c r="KJ70" s="12"/>
      <c r="KK70" s="12"/>
      <c r="KL70" s="12"/>
      <c r="KM70" s="12"/>
      <c r="KN70" s="12"/>
      <c r="KR70" s="9"/>
      <c r="KV70" s="12"/>
      <c r="KW70" s="12"/>
      <c r="KX70" s="12"/>
      <c r="KY70" s="12"/>
      <c r="KZ70" s="12"/>
      <c r="LA70" s="12"/>
      <c r="LB70" s="12"/>
      <c r="LC70" s="12"/>
      <c r="LD70" s="12"/>
      <c r="LH70" s="9"/>
      <c r="LL70" s="12"/>
      <c r="LM70" s="12"/>
      <c r="LN70" s="12"/>
      <c r="LO70" s="12"/>
      <c r="LP70" s="12"/>
      <c r="LQ70" s="12"/>
      <c r="LR70" s="12"/>
      <c r="LS70" s="12"/>
      <c r="LT70" s="12"/>
      <c r="LX70" s="9"/>
      <c r="MB70" s="12"/>
      <c r="MC70" s="12"/>
      <c r="MD70" s="12"/>
      <c r="ME70" s="12"/>
      <c r="MF70" s="12"/>
      <c r="MG70" s="12"/>
      <c r="MH70" s="12"/>
      <c r="MI70" s="12"/>
      <c r="MJ70" s="12"/>
      <c r="MN70" s="9"/>
      <c r="MR70" s="12"/>
      <c r="MS70" s="12"/>
      <c r="MT70" s="12"/>
      <c r="MU70" s="12"/>
      <c r="MV70" s="12"/>
      <c r="MW70" s="12"/>
      <c r="MX70" s="12"/>
      <c r="MY70" s="12"/>
      <c r="MZ70" s="12"/>
      <c r="ND70" s="9"/>
      <c r="NH70" s="12"/>
      <c r="NI70" s="12"/>
      <c r="NJ70" s="12"/>
      <c r="NK70" s="12"/>
      <c r="NL70" s="12"/>
      <c r="NM70" s="12"/>
      <c r="NN70" s="12"/>
      <c r="NO70" s="12"/>
      <c r="NP70" s="12"/>
      <c r="NT70" s="9"/>
      <c r="NX70" s="12"/>
      <c r="NY70" s="12"/>
      <c r="NZ70" s="12"/>
      <c r="OA70" s="12"/>
      <c r="OB70" s="12"/>
      <c r="OC70" s="12"/>
      <c r="OD70" s="12"/>
      <c r="OE70" s="12"/>
      <c r="OF70" s="12"/>
      <c r="OJ70" s="9"/>
    </row>
    <row r="71" spans="1:401" x14ac:dyDescent="0.2">
      <c r="B71" s="12"/>
      <c r="C71" s="12"/>
      <c r="D71" s="12"/>
      <c r="E71" s="12"/>
      <c r="F71" s="12"/>
      <c r="G71" s="12"/>
      <c r="H71" s="12"/>
      <c r="I71" s="12"/>
      <c r="J71" s="12"/>
      <c r="O71" s="5"/>
      <c r="P71" s="12"/>
      <c r="Q71" s="12"/>
      <c r="R71" s="12"/>
      <c r="S71" s="12"/>
      <c r="T71" s="12"/>
      <c r="U71" s="12"/>
      <c r="V71" s="12"/>
      <c r="W71" s="12"/>
      <c r="X71" s="12"/>
      <c r="AG71" s="5"/>
      <c r="AH71" s="12"/>
      <c r="AI71" s="12"/>
      <c r="AJ71" s="12"/>
      <c r="AK71" s="12"/>
      <c r="AL71" s="12"/>
      <c r="AM71" s="12"/>
      <c r="AN71" s="12"/>
      <c r="AO71" s="12"/>
      <c r="AP71" s="12"/>
      <c r="AZ71" s="12"/>
      <c r="BA71" s="12"/>
      <c r="BB71" s="12"/>
      <c r="BC71" s="12"/>
      <c r="BD71" s="12"/>
      <c r="BE71" s="12"/>
      <c r="BF71" s="12"/>
      <c r="BG71" s="12"/>
      <c r="BH71" s="12"/>
      <c r="BJ71" s="16"/>
      <c r="BL71" s="35"/>
      <c r="BP71" s="12"/>
      <c r="BQ71" s="12"/>
      <c r="BR71" s="12"/>
      <c r="BS71" s="12"/>
      <c r="BT71" s="12"/>
      <c r="BU71" s="12"/>
      <c r="BV71" s="12"/>
      <c r="BW71" s="12"/>
      <c r="BX71" s="12"/>
      <c r="BZ71" s="16"/>
      <c r="CB71" s="9"/>
      <c r="CF71" s="12"/>
      <c r="CG71" s="12"/>
      <c r="CH71" s="12"/>
      <c r="CI71" s="12"/>
      <c r="CJ71" s="12"/>
      <c r="CK71" s="12"/>
      <c r="CL71" s="12"/>
      <c r="CM71" s="12"/>
      <c r="CN71" s="12"/>
      <c r="CP71" s="16"/>
      <c r="CR71" s="35"/>
      <c r="CV71" s="12"/>
      <c r="CW71" s="12"/>
      <c r="CX71" s="12"/>
      <c r="CY71" s="12"/>
      <c r="CZ71" s="12"/>
      <c r="DA71" s="12"/>
      <c r="DB71" s="12"/>
      <c r="DC71" s="12"/>
      <c r="DD71" s="12"/>
      <c r="DF71" s="16"/>
      <c r="DH71" s="35"/>
      <c r="DL71" s="12"/>
      <c r="DM71" s="12"/>
      <c r="DN71" s="12"/>
      <c r="DO71" s="12"/>
      <c r="DP71" s="12"/>
      <c r="DQ71" s="12"/>
      <c r="DR71" s="12"/>
      <c r="DS71" s="12"/>
      <c r="DT71" s="12"/>
      <c r="DV71" s="16"/>
      <c r="DX71" s="35"/>
      <c r="EB71" s="12"/>
      <c r="EC71" s="12"/>
      <c r="ED71" s="12"/>
      <c r="EE71" s="12"/>
      <c r="EF71" s="12"/>
      <c r="EG71" s="12"/>
      <c r="EH71" s="12"/>
      <c r="EI71" s="12"/>
      <c r="EJ71" s="12"/>
      <c r="EL71" s="16"/>
      <c r="EN71" s="35"/>
      <c r="ER71" s="12"/>
      <c r="ES71" s="12"/>
      <c r="ET71" s="12"/>
      <c r="EU71" s="12"/>
      <c r="EV71" s="12"/>
      <c r="EW71" s="12"/>
      <c r="EX71" s="12"/>
      <c r="EY71" s="12"/>
      <c r="EZ71" s="12"/>
      <c r="FB71" s="16"/>
      <c r="FD71" s="35"/>
      <c r="FH71" s="12"/>
      <c r="FI71" s="12"/>
      <c r="FJ71" s="12"/>
      <c r="FK71" s="12"/>
      <c r="FL71" s="12"/>
      <c r="FM71" s="12"/>
      <c r="FN71" s="12"/>
      <c r="FO71" s="12"/>
      <c r="FP71" s="12"/>
      <c r="FR71" s="16"/>
      <c r="FT71" s="35"/>
      <c r="FX71" s="12"/>
      <c r="FY71" s="12"/>
      <c r="FZ71" s="12"/>
      <c r="GA71" s="12"/>
      <c r="GB71" s="12"/>
      <c r="GC71" s="12"/>
      <c r="GD71" s="12"/>
      <c r="GE71" s="12"/>
      <c r="GF71" s="12"/>
      <c r="GH71" s="16"/>
      <c r="GJ71" s="35"/>
      <c r="GN71" s="12"/>
      <c r="GO71" s="12"/>
      <c r="GP71" s="12"/>
      <c r="GQ71" s="12"/>
      <c r="GR71" s="12"/>
      <c r="GS71" s="12"/>
      <c r="GT71" s="12"/>
      <c r="GU71" s="12"/>
      <c r="GV71" s="12"/>
      <c r="GX71" s="16"/>
      <c r="GZ71" s="35"/>
      <c r="HD71" s="12"/>
      <c r="HE71" s="12"/>
      <c r="HF71" s="12"/>
      <c r="HG71" s="12"/>
      <c r="HH71" s="12"/>
      <c r="HI71" s="12"/>
      <c r="HJ71" s="12"/>
      <c r="HK71" s="12"/>
      <c r="HL71" s="12"/>
      <c r="HN71" s="16"/>
      <c r="HP71" s="35"/>
      <c r="HT71" s="12"/>
      <c r="HU71" s="12"/>
      <c r="HV71" s="12"/>
      <c r="HW71" s="12"/>
      <c r="HX71" s="12"/>
      <c r="HY71" s="12"/>
      <c r="HZ71" s="12"/>
      <c r="IA71" s="12"/>
      <c r="IB71" s="12"/>
      <c r="ID71" s="16"/>
      <c r="IF71" s="35"/>
      <c r="IJ71" s="12"/>
      <c r="IK71" s="12"/>
      <c r="IL71" s="12"/>
      <c r="IM71" s="12"/>
      <c r="IN71" s="12"/>
      <c r="IO71" s="12"/>
      <c r="IP71" s="12"/>
      <c r="IQ71" s="12"/>
      <c r="IR71" s="12"/>
      <c r="IT71" s="16"/>
      <c r="IV71" s="35"/>
      <c r="IZ71" s="12"/>
      <c r="JA71" s="12"/>
      <c r="JB71" s="12"/>
      <c r="JC71" s="12"/>
      <c r="JD71" s="12"/>
      <c r="JE71" s="12"/>
      <c r="JF71" s="12"/>
      <c r="JG71" s="12"/>
      <c r="JH71" s="12"/>
      <c r="JL71" s="9"/>
      <c r="JP71" s="12"/>
      <c r="JQ71" s="12"/>
      <c r="JR71" s="12"/>
      <c r="JS71" s="12"/>
      <c r="JT71" s="12"/>
      <c r="JU71" s="12"/>
      <c r="JV71" s="12"/>
      <c r="JW71" s="12"/>
      <c r="JX71" s="12"/>
      <c r="KB71" s="9"/>
      <c r="KF71" s="12"/>
      <c r="KG71" s="12"/>
      <c r="KH71" s="12"/>
      <c r="KI71" s="12"/>
      <c r="KJ71" s="12"/>
      <c r="KK71" s="12"/>
      <c r="KL71" s="12"/>
      <c r="KM71" s="12"/>
      <c r="KN71" s="12"/>
      <c r="KR71" s="9"/>
      <c r="KV71" s="12"/>
      <c r="KW71" s="12"/>
      <c r="KX71" s="12"/>
      <c r="KY71" s="12"/>
      <c r="KZ71" s="12"/>
      <c r="LA71" s="12"/>
      <c r="LB71" s="12"/>
      <c r="LC71" s="12"/>
      <c r="LD71" s="12"/>
      <c r="LH71" s="9"/>
      <c r="LL71" s="12"/>
      <c r="LM71" s="12"/>
      <c r="LN71" s="12"/>
      <c r="LO71" s="12"/>
      <c r="LP71" s="12"/>
      <c r="LQ71" s="12"/>
      <c r="LR71" s="12"/>
      <c r="LS71" s="12"/>
      <c r="LT71" s="12"/>
      <c r="LX71" s="9"/>
      <c r="MB71" s="12"/>
      <c r="MC71" s="12"/>
      <c r="MD71" s="12"/>
      <c r="ME71" s="12"/>
      <c r="MF71" s="12"/>
      <c r="MG71" s="12"/>
      <c r="MH71" s="12"/>
      <c r="MI71" s="12"/>
      <c r="MJ71" s="12"/>
      <c r="MN71" s="9"/>
      <c r="MR71" s="12"/>
      <c r="MS71" s="12"/>
      <c r="MT71" s="12"/>
      <c r="MU71" s="12"/>
      <c r="MV71" s="12"/>
      <c r="MW71" s="12"/>
      <c r="MX71" s="12"/>
      <c r="MY71" s="12"/>
      <c r="MZ71" s="12"/>
      <c r="ND71" s="9"/>
      <c r="NH71" s="12"/>
      <c r="NI71" s="12"/>
      <c r="NJ71" s="12"/>
      <c r="NK71" s="12"/>
      <c r="NL71" s="12"/>
      <c r="NM71" s="12"/>
      <c r="NN71" s="12"/>
      <c r="NO71" s="12"/>
      <c r="NP71" s="12"/>
      <c r="NT71" s="9"/>
      <c r="NX71" s="12"/>
      <c r="NY71" s="12"/>
      <c r="NZ71" s="12"/>
      <c r="OA71" s="12"/>
      <c r="OB71" s="12"/>
      <c r="OC71" s="12"/>
      <c r="OD71" s="12"/>
      <c r="OE71" s="12"/>
      <c r="OF71" s="12"/>
      <c r="OJ71" s="9"/>
    </row>
    <row r="72" spans="1:401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P72" s="12"/>
      <c r="Q72" s="12"/>
      <c r="R72" s="12"/>
      <c r="S72" s="12"/>
      <c r="T72" s="12"/>
      <c r="U72" s="12"/>
      <c r="V72" s="12"/>
      <c r="W72" s="12"/>
      <c r="X72" s="12"/>
      <c r="AH72" s="12"/>
      <c r="AI72" s="12"/>
      <c r="AJ72" s="12"/>
      <c r="AK72" s="12"/>
      <c r="AL72" s="12"/>
      <c r="AM72" s="12"/>
      <c r="AN72" s="12"/>
      <c r="AO72" s="12"/>
      <c r="AP72" s="12"/>
      <c r="AY72" s="5"/>
      <c r="AZ72" s="12"/>
      <c r="BA72" s="12"/>
      <c r="BB72" s="12"/>
      <c r="BC72" s="12"/>
      <c r="BD72" s="12"/>
      <c r="BE72" s="12"/>
      <c r="BF72" s="12"/>
      <c r="BG72" s="12"/>
      <c r="BH72" s="12"/>
      <c r="BJ72" s="16"/>
      <c r="BL72" s="35"/>
      <c r="BO72" s="5"/>
      <c r="BP72" s="12"/>
      <c r="BQ72" s="12"/>
      <c r="BR72" s="12"/>
      <c r="BS72" s="12"/>
      <c r="BT72" s="12"/>
      <c r="BU72" s="12"/>
      <c r="BV72" s="12"/>
      <c r="BW72" s="12"/>
      <c r="BX72" s="12"/>
      <c r="BZ72" s="16"/>
      <c r="CB72" s="9"/>
      <c r="CE72" s="5"/>
      <c r="CF72" s="12"/>
      <c r="CG72" s="12"/>
      <c r="CH72" s="12"/>
      <c r="CI72" s="12"/>
      <c r="CJ72" s="12"/>
      <c r="CK72" s="12"/>
      <c r="CL72" s="12"/>
      <c r="CM72" s="12"/>
      <c r="CN72" s="12"/>
      <c r="CP72" s="16"/>
      <c r="CR72" s="35"/>
      <c r="CU72" s="5"/>
      <c r="CV72" s="12"/>
      <c r="CW72" s="12"/>
      <c r="CX72" s="12"/>
      <c r="CY72" s="12"/>
      <c r="CZ72" s="12"/>
      <c r="DA72" s="12"/>
      <c r="DB72" s="12"/>
      <c r="DC72" s="12"/>
      <c r="DD72" s="12"/>
      <c r="DF72" s="16"/>
      <c r="DH72" s="35"/>
      <c r="DK72" s="5"/>
      <c r="DL72" s="12"/>
      <c r="DM72" s="12"/>
      <c r="DN72" s="12"/>
      <c r="DO72" s="12"/>
      <c r="DP72" s="12"/>
      <c r="DQ72" s="12"/>
      <c r="DR72" s="12"/>
      <c r="DS72" s="12"/>
      <c r="DT72" s="12"/>
      <c r="DV72" s="16"/>
      <c r="DX72" s="35"/>
      <c r="EA72" s="5"/>
      <c r="EB72" s="12"/>
      <c r="EC72" s="12"/>
      <c r="ED72" s="12"/>
      <c r="EE72" s="12"/>
      <c r="EF72" s="12"/>
      <c r="EG72" s="12"/>
      <c r="EH72" s="12"/>
      <c r="EI72" s="12"/>
      <c r="EJ72" s="12"/>
      <c r="EL72" s="16"/>
      <c r="EN72" s="35"/>
      <c r="EQ72" s="5"/>
      <c r="ER72" s="12"/>
      <c r="ES72" s="12"/>
      <c r="ET72" s="12"/>
      <c r="EU72" s="12"/>
      <c r="EV72" s="12"/>
      <c r="EW72" s="12"/>
      <c r="EX72" s="12"/>
      <c r="EY72" s="12"/>
      <c r="EZ72" s="12"/>
      <c r="FB72" s="16"/>
      <c r="FD72" s="35"/>
      <c r="FG72" s="5"/>
      <c r="FH72" s="12"/>
      <c r="FI72" s="12"/>
      <c r="FJ72" s="12"/>
      <c r="FK72" s="12"/>
      <c r="FL72" s="12"/>
      <c r="FM72" s="12"/>
      <c r="FN72" s="12"/>
      <c r="FO72" s="12"/>
      <c r="FP72" s="12"/>
      <c r="FR72" s="16"/>
      <c r="FT72" s="35"/>
      <c r="FW72" s="5"/>
      <c r="FX72" s="12"/>
      <c r="FY72" s="12"/>
      <c r="FZ72" s="12"/>
      <c r="GA72" s="12"/>
      <c r="GB72" s="12"/>
      <c r="GC72" s="12"/>
      <c r="GD72" s="12"/>
      <c r="GE72" s="12"/>
      <c r="GF72" s="12"/>
      <c r="GH72" s="16"/>
      <c r="GJ72" s="35"/>
      <c r="GN72" s="12"/>
      <c r="GO72" s="12"/>
      <c r="GP72" s="12"/>
      <c r="GQ72" s="12"/>
      <c r="GR72" s="12"/>
      <c r="GS72" s="12"/>
      <c r="GT72" s="12"/>
      <c r="GU72" s="12"/>
      <c r="GV72" s="12"/>
      <c r="GX72" s="16"/>
      <c r="GZ72" s="35"/>
      <c r="HD72" s="12"/>
      <c r="HE72" s="12"/>
      <c r="HF72" s="12"/>
      <c r="HG72" s="12"/>
      <c r="HH72" s="12"/>
      <c r="HI72" s="12"/>
      <c r="HJ72" s="12"/>
      <c r="HK72" s="12"/>
      <c r="HL72" s="12"/>
      <c r="HN72" s="16"/>
      <c r="HP72" s="35"/>
      <c r="HT72" s="12"/>
      <c r="HU72" s="12"/>
      <c r="HV72" s="12"/>
      <c r="HW72" s="12"/>
      <c r="HX72" s="12"/>
      <c r="HY72" s="12"/>
      <c r="HZ72" s="12"/>
      <c r="IA72" s="12"/>
      <c r="IB72" s="12"/>
      <c r="ID72" s="16"/>
      <c r="IF72" s="35"/>
      <c r="IJ72" s="12"/>
      <c r="IK72" s="12"/>
      <c r="IL72" s="12"/>
      <c r="IM72" s="12"/>
      <c r="IN72" s="12"/>
      <c r="IO72" s="12"/>
      <c r="IP72" s="12"/>
      <c r="IQ72" s="12"/>
      <c r="IR72" s="12"/>
      <c r="IT72" s="16"/>
      <c r="IV72" s="35"/>
      <c r="IZ72" s="12"/>
      <c r="JA72" s="12"/>
      <c r="JB72" s="12"/>
      <c r="JC72" s="12"/>
      <c r="JD72" s="12"/>
      <c r="JE72" s="12"/>
      <c r="JF72" s="12"/>
      <c r="JG72" s="12"/>
      <c r="JH72" s="12"/>
      <c r="JL72" s="9"/>
      <c r="JP72" s="12"/>
      <c r="JQ72" s="12"/>
      <c r="JR72" s="12"/>
      <c r="JS72" s="12"/>
      <c r="JT72" s="12"/>
      <c r="JU72" s="12"/>
      <c r="JV72" s="12"/>
      <c r="JW72" s="12"/>
      <c r="JX72" s="12"/>
      <c r="KB72" s="9"/>
      <c r="KF72" s="12"/>
      <c r="KG72" s="12"/>
      <c r="KH72" s="12"/>
      <c r="KI72" s="12"/>
      <c r="KJ72" s="12"/>
      <c r="KK72" s="12"/>
      <c r="KL72" s="12"/>
      <c r="KM72" s="12"/>
      <c r="KN72" s="12"/>
      <c r="KR72" s="9"/>
      <c r="KV72" s="12"/>
      <c r="KW72" s="12"/>
      <c r="KX72" s="12"/>
      <c r="KY72" s="12"/>
      <c r="KZ72" s="12"/>
      <c r="LA72" s="12"/>
      <c r="LB72" s="12"/>
      <c r="LC72" s="12"/>
      <c r="LD72" s="12"/>
      <c r="LH72" s="9"/>
      <c r="LL72" s="12"/>
      <c r="LM72" s="12"/>
      <c r="LN72" s="12"/>
      <c r="LO72" s="12"/>
      <c r="LP72" s="12"/>
      <c r="LQ72" s="12"/>
      <c r="LR72" s="12"/>
      <c r="LS72" s="12"/>
      <c r="LT72" s="12"/>
      <c r="LX72" s="9"/>
      <c r="MB72" s="12"/>
      <c r="MC72" s="12"/>
      <c r="MD72" s="12"/>
      <c r="ME72" s="12"/>
      <c r="MF72" s="12"/>
      <c r="MG72" s="12"/>
      <c r="MH72" s="12"/>
      <c r="MI72" s="12"/>
      <c r="MJ72" s="12"/>
      <c r="MN72" s="9"/>
      <c r="MR72" s="12"/>
      <c r="MS72" s="12"/>
      <c r="MT72" s="12"/>
      <c r="MU72" s="12"/>
      <c r="MV72" s="12"/>
      <c r="MW72" s="12"/>
      <c r="MX72" s="12"/>
      <c r="MY72" s="12"/>
      <c r="MZ72" s="12"/>
      <c r="ND72" s="9"/>
      <c r="NH72" s="12"/>
      <c r="NI72" s="12"/>
      <c r="NJ72" s="12"/>
      <c r="NK72" s="12"/>
      <c r="NL72" s="12"/>
      <c r="NM72" s="12"/>
      <c r="NN72" s="12"/>
      <c r="NO72" s="12"/>
      <c r="NP72" s="12"/>
      <c r="NT72" s="9"/>
      <c r="NX72" s="12"/>
      <c r="NY72" s="12"/>
      <c r="NZ72" s="12"/>
      <c r="OA72" s="12"/>
      <c r="OB72" s="12"/>
      <c r="OC72" s="12"/>
      <c r="OD72" s="12"/>
      <c r="OE72" s="12"/>
      <c r="OF72" s="12"/>
      <c r="OJ72" s="9"/>
    </row>
    <row r="73" spans="1:401" x14ac:dyDescent="0.2">
      <c r="A73" t="s">
        <v>55</v>
      </c>
      <c r="B73" s="12">
        <f t="shared" ref="B73:J76" si="516">P73+AH73+AZ73+BP73+CF73+CV73+DL73+EB73+ER73+FH73+FX73+GN73+HD73+HT73+IJ73+IZ73+JP73+KF73+KV73+LL73+MB73+MR73+NH73+NX73</f>
        <v>0</v>
      </c>
      <c r="C73" s="12">
        <f t="shared" si="516"/>
        <v>0</v>
      </c>
      <c r="D73" s="12">
        <f t="shared" si="516"/>
        <v>0</v>
      </c>
      <c r="E73" s="12">
        <f t="shared" si="516"/>
        <v>0</v>
      </c>
      <c r="F73" s="12">
        <f t="shared" si="516"/>
        <v>0</v>
      </c>
      <c r="G73" s="12">
        <f t="shared" si="516"/>
        <v>0</v>
      </c>
      <c r="H73" s="12">
        <f t="shared" si="516"/>
        <v>0</v>
      </c>
      <c r="I73" s="12">
        <f t="shared" si="516"/>
        <v>0</v>
      </c>
      <c r="J73" s="12">
        <f t="shared" si="516"/>
        <v>0</v>
      </c>
      <c r="P73" s="12" cm="1">
        <f t="array" ref="P73">_xlfn.SWITCH(P$4, 0,0, 1, AA73,2,AC73,3,AE73,0)</f>
        <v>0</v>
      </c>
      <c r="Q73" s="12" cm="1">
        <f t="array" ref="Q73">_xlfn.SWITCH(Q$4, 0,0, 1, AA73,2,AC73,3,AE73,0)+P73</f>
        <v>0</v>
      </c>
      <c r="R73" s="12" cm="1">
        <f t="array" ref="R73">_xlfn.SWITCH(R$4, 0,0, 1, AA73,2,AC73,3,AE73,0)+Q73</f>
        <v>0</v>
      </c>
      <c r="S73" s="12" cm="1">
        <f t="array" ref="S73">_xlfn.SWITCH(S$4, 0,0, 1, AA73,2,AC73,3,AE73,0)+R73</f>
        <v>0</v>
      </c>
      <c r="T73" s="12" cm="1">
        <f t="array" ref="T73">_xlfn.SWITCH(T$4, 0,0, 1, AA73,2,AC73,3,AE73,0)+S73</f>
        <v>0</v>
      </c>
      <c r="U73" s="12" cm="1">
        <f t="array" ref="U73">_xlfn.SWITCH(U$4, 0,0, 1, AA73,2,AC73,3,AE73,0)+T73</f>
        <v>0</v>
      </c>
      <c r="V73" s="12" cm="1">
        <f t="array" ref="V73">_xlfn.SWITCH(V$4, 0,0, 1, AA73,2,AC73,3,AE73,0)+U73</f>
        <v>0</v>
      </c>
      <c r="W73" s="12" cm="1">
        <f t="array" ref="W73">_xlfn.SWITCH(W$4, 0,0, 1, AA73,2,AC73,3,AE73,0)+V73</f>
        <v>0</v>
      </c>
      <c r="X73" s="12" cm="1">
        <f t="array" ref="X73">_xlfn.SWITCH(X$4, 0,0, 1, AA73,2,AC73,3,AE73,0)+W73</f>
        <v>0</v>
      </c>
      <c r="Z73" t="s">
        <v>1304</v>
      </c>
      <c r="AA73">
        <f>_xlfn.XLOOKUP(Z73,'KPI Impacts'!$K$2:$Q$2,'KPI Impacts'!$K73:$Q73)</f>
        <v>0</v>
      </c>
      <c r="AB73" t="s">
        <v>1304</v>
      </c>
      <c r="AC73">
        <f>_xlfn.XLOOKUP(AB73,'KPI Impacts'!$K$2:$Q$2,'KPI Impacts'!$K73:$Q73)</f>
        <v>0</v>
      </c>
      <c r="AD73" t="s">
        <v>1304</v>
      </c>
      <c r="AE73">
        <f>_xlfn.XLOOKUP(AD73,'KPI Impacts'!$K$2:$Q$2,'KPI Impacts'!$K73:$Q73)</f>
        <v>0</v>
      </c>
      <c r="AH73" s="12" cm="1">
        <f t="array" ref="AH73">_xlfn.SWITCH(AH$4, 0,0, 1, AS73,2,AU73,3,AW73,0)</f>
        <v>0</v>
      </c>
      <c r="AI73" s="12" cm="1">
        <f t="array" ref="AI73">_xlfn.SWITCH(AI$4, 0,0, 1, AS73,2,AU73,3,AW73,0)+AH73</f>
        <v>0</v>
      </c>
      <c r="AJ73" s="12" cm="1">
        <f t="array" ref="AJ73">_xlfn.SWITCH(AJ$4, 0,0, 1, AS73,2,AU73,3,AW73,0)+AI73</f>
        <v>0</v>
      </c>
      <c r="AK73" s="12" cm="1">
        <f t="array" ref="AK73">_xlfn.SWITCH(AK$4, 0,0, 1, AS73,2,AU73,3,AW73,0)+AJ73</f>
        <v>0</v>
      </c>
      <c r="AL73" s="12" cm="1">
        <f t="array" ref="AL73">_xlfn.SWITCH(AL$4, 0,0, 1, AS73,2,AU73,3,AW73,0)+AK73</f>
        <v>0</v>
      </c>
      <c r="AM73" s="12" cm="1">
        <f t="array" ref="AM73">_xlfn.SWITCH(AM$4, 0,0, 1, AS73,2,AU73,3,AW73,0)+AL73</f>
        <v>0</v>
      </c>
      <c r="AN73" s="12" cm="1">
        <f t="array" ref="AN73">_xlfn.SWITCH(AN$4, 0,0, 1, AS73,2,AU73,3,AW73,0)+AM73</f>
        <v>0</v>
      </c>
      <c r="AO73" s="12" cm="1">
        <f t="array" ref="AO73">_xlfn.SWITCH(AO$4, 0,0, 1, AS73,2,AU73,3,AW73,0)+AN73</f>
        <v>0</v>
      </c>
      <c r="AP73" s="12" cm="1">
        <f t="array" ref="AP73">_xlfn.SWITCH(AP$4, 0,0, 1, AS73,2,AU73,3,AW73,0)+AO73</f>
        <v>0</v>
      </c>
      <c r="AR73" t="s">
        <v>1304</v>
      </c>
      <c r="AS73">
        <f>_xlfn.XLOOKUP(AR73,'KPI Impacts'!$K$2:$Q$2,'KPI Impacts'!$K73:$Q73)</f>
        <v>0</v>
      </c>
      <c r="AT73" t="s">
        <v>1304</v>
      </c>
      <c r="AU73">
        <f>_xlfn.XLOOKUP(AT73,'KPI Impacts'!$K$2:$Q$2,'KPI Impacts'!$K73:$Q73)</f>
        <v>0</v>
      </c>
      <c r="AV73" t="s">
        <v>1304</v>
      </c>
      <c r="AW73">
        <f>_xlfn.XLOOKUP(AV73,'KPI Impacts'!$K$2:$Q$2,'KPI Impacts'!$K73:$Q73)</f>
        <v>0</v>
      </c>
      <c r="AZ73" s="12">
        <f>AZ$4*BK73</f>
        <v>0</v>
      </c>
      <c r="BA73" s="12">
        <f>BA$4 * IF(AND(AZ$4=1,AZ$20=1), BM73, BK73)</f>
        <v>0</v>
      </c>
      <c r="BB73" s="12">
        <f>BB$4 * IF(AND(BA$4=1,AZ$20=1), BM73, BK73)</f>
        <v>0</v>
      </c>
      <c r="BC73" s="12">
        <f>BC$4 * IF(AND(BB$4=1,AZ$20=1), BM73, BK73)</f>
        <v>0</v>
      </c>
      <c r="BD73" s="12">
        <f>BD$4 * IF(AND(BC$4=1,AZ$20=1), BM73, BK73)</f>
        <v>0</v>
      </c>
      <c r="BE73" s="12">
        <f>BE$4 * IF(AND(BD$4=1,AZ$20=1), BM73, BK73)</f>
        <v>0</v>
      </c>
      <c r="BF73" s="12">
        <f>BF$4 * IF(AND(BE$4=1,AZ$20=1), BM73, BK73)</f>
        <v>0</v>
      </c>
      <c r="BG73" s="12">
        <f>BG$4 * IF(AND(BF$4=1,AZ$20=1), BM73, BK73)</f>
        <v>0</v>
      </c>
      <c r="BH73" s="12">
        <f>BH$4 * IF(AND(BG$4=1,AZ$20=1), BM73, BK73)</f>
        <v>0</v>
      </c>
      <c r="BJ73" s="16" t="s">
        <v>1304</v>
      </c>
      <c r="BK73">
        <f>_xlfn.XLOOKUP(BJ73,'KPI Impacts'!$B$2:$H$2,'KPI Impacts'!$B73:$H73)</f>
        <v>0</v>
      </c>
      <c r="BL73" s="35" t="s">
        <v>1304</v>
      </c>
      <c r="BM73">
        <f>_xlfn.XLOOKUP(BL73,'KPI Impacts'!$B$2:$H$2,'KPI Impacts'!$B73:$H73)</f>
        <v>0</v>
      </c>
      <c r="BP73" s="12">
        <f>BP$4*CA73</f>
        <v>0</v>
      </c>
      <c r="BQ73" s="12">
        <f>BQ$4 * IF(AND(BP$4=1,BP$20=1), CC73, CA73)</f>
        <v>0</v>
      </c>
      <c r="BR73" s="12">
        <f>BR$4 * IF(AND(BQ$4=1,BP$20=1), CC73, CA73)</f>
        <v>0</v>
      </c>
      <c r="BS73" s="12">
        <f>BS$4 * IF(AND(BR$4=1,BP$20=1), CC73, CA73)</f>
        <v>0</v>
      </c>
      <c r="BT73" s="12">
        <f>BT$4 * IF(AND(BS$4=1,BP$20=1), CC73, CA73)</f>
        <v>0</v>
      </c>
      <c r="BU73" s="12">
        <f>BU$4 * IF(AND(BT$4=1,BP$20=1), CC73, CA73)</f>
        <v>0</v>
      </c>
      <c r="BV73" s="12">
        <f>BV$4 * IF(AND(BU$4=1,BP$20=1), CC73, CA73)</f>
        <v>0</v>
      </c>
      <c r="BW73" s="12">
        <f>BW$4 * IF(AND(BV$4=1,BP$20=1), CC73, CA73)</f>
        <v>0</v>
      </c>
      <c r="BX73" s="12">
        <f>BX$4 * IF(AND(BW$4=1,BP$20=1), CC73, CA73)</f>
        <v>0</v>
      </c>
      <c r="BZ73" s="16" t="s">
        <v>1304</v>
      </c>
      <c r="CA73">
        <f>_xlfn.XLOOKUP(BZ73,'KPI Impacts'!$B$2:$H$2,'KPI Impacts'!$B73:$H73)</f>
        <v>0</v>
      </c>
      <c r="CB73" s="9" t="s">
        <v>1304</v>
      </c>
      <c r="CC73">
        <f>_xlfn.XLOOKUP(CB73,'KPI Impacts'!$B$2:$H$2,'KPI Impacts'!$B73:$H73)</f>
        <v>0</v>
      </c>
      <c r="CF73" s="12">
        <f>CF$4*CQ73</f>
        <v>0</v>
      </c>
      <c r="CG73" s="12">
        <f>CG$4 * IF(AND(CF$4=1,CF$20=1), CS73, CQ73)</f>
        <v>0</v>
      </c>
      <c r="CH73" s="12">
        <f>CH$4 * IF(AND(CG$4=1,CF$20=1), CS73, CQ73)</f>
        <v>0</v>
      </c>
      <c r="CI73" s="12">
        <f>CI$4 * IF(AND(CH$4=1,CF$20=1), CS73, CQ73)</f>
        <v>0</v>
      </c>
      <c r="CJ73" s="12">
        <f>CJ$4 * IF(AND(CI$4=1,CF$20=1), CS73, CQ73)</f>
        <v>0</v>
      </c>
      <c r="CK73" s="12">
        <f>CK$4 * IF(AND(CJ$4=1,CF$20=1), CS73, CQ73)</f>
        <v>0</v>
      </c>
      <c r="CL73" s="12">
        <f>CL$4 * IF(AND(CK$4=1,CF$20=1), CS73, CQ73)</f>
        <v>0</v>
      </c>
      <c r="CM73" s="12">
        <f>CM$4 * IF(AND(CL$4=1,CF$20=1), CS73, CQ73)</f>
        <v>0</v>
      </c>
      <c r="CN73" s="12">
        <f>CN$4 * IF(AND(CM$4=1,CF$20=1), CS73, CQ73)</f>
        <v>0</v>
      </c>
      <c r="CP73" s="16" t="s">
        <v>1304</v>
      </c>
      <c r="CQ73">
        <f>_xlfn.XLOOKUP(CP73,'KPI Impacts'!$B$2:$H$2,'KPI Impacts'!$B73:$H73)</f>
        <v>0</v>
      </c>
      <c r="CR73" s="35" t="s">
        <v>1304</v>
      </c>
      <c r="CS73">
        <f>_xlfn.XLOOKUP(CR73,'KPI Impacts'!$B$2:$H$2,'KPI Impacts'!$B73:$H73)</f>
        <v>0</v>
      </c>
      <c r="CV73" s="12">
        <f>CV$4*DG73</f>
        <v>0</v>
      </c>
      <c r="CW73" s="12">
        <f>CW$4 * IF(AND(CV$4=1,CV$20=1), DI73, DG73)</f>
        <v>0</v>
      </c>
      <c r="CX73" s="12">
        <f>CX$4 * IF(AND(CW$4=1,CV$20=1), DI73, DG73)</f>
        <v>0</v>
      </c>
      <c r="CY73" s="12">
        <f>CY$4 * IF(AND(CX$4=1,CV$20=1), DI73, DG73)</f>
        <v>0</v>
      </c>
      <c r="CZ73" s="12">
        <f>CZ$4 * IF(AND(CY$4=1,CV$20=1), DI73, DG73)</f>
        <v>0</v>
      </c>
      <c r="DA73" s="12">
        <f>DA$4 * IF(AND(CZ$4=1,CV$20=1), DI73, DG73)</f>
        <v>0</v>
      </c>
      <c r="DB73" s="12">
        <f>DB$4 * IF(AND(DA$4=1,CV$20=1), DI73, DG73)</f>
        <v>0</v>
      </c>
      <c r="DC73" s="12">
        <f>DC$4 * IF(AND(DB$4=1,CV$20=1), DI73, DG73)</f>
        <v>0</v>
      </c>
      <c r="DD73" s="12">
        <f>DD$4 * IF(AND(DC$4=1,CV$20=1), DI73, DG73)</f>
        <v>0</v>
      </c>
      <c r="DF73" s="16" t="s">
        <v>1304</v>
      </c>
      <c r="DG73">
        <f>_xlfn.XLOOKUP(DF73,'KPI Impacts'!$B$2:$H$2,'KPI Impacts'!$B73:$H73)</f>
        <v>0</v>
      </c>
      <c r="DH73" s="35" t="s">
        <v>1304</v>
      </c>
      <c r="DI73">
        <f>_xlfn.XLOOKUP(DH73,'KPI Impacts'!$B$2:$H$2,'KPI Impacts'!$B73:$H73)</f>
        <v>0</v>
      </c>
      <c r="DL73" s="12">
        <f>DL$4*DW73</f>
        <v>0</v>
      </c>
      <c r="DM73" s="12">
        <f>DM$4 * IF(AND(DL$4=1,DL$20=1), DY73, DW73)</f>
        <v>0</v>
      </c>
      <c r="DN73" s="12">
        <f>DN$4 * IF(AND(DM$4=1,DL$20=1), DY73, DW73)</f>
        <v>0</v>
      </c>
      <c r="DO73" s="12">
        <f>DO$4 * IF(AND(DN$4=1,DL$20=1), DY73, DW73)</f>
        <v>0</v>
      </c>
      <c r="DP73" s="12">
        <f>DP$4 * IF(AND(DO$4=1,DL$20=1), DY73, DW73)</f>
        <v>0</v>
      </c>
      <c r="DQ73" s="12">
        <f>DQ$4 * IF(AND(DP$4=1,DL$20=1), DY73, DW73)</f>
        <v>0</v>
      </c>
      <c r="DR73" s="12">
        <f>DR$4 * IF(AND(DQ$4=1,DL$20=1), DY73, DW73)</f>
        <v>0</v>
      </c>
      <c r="DS73" s="12">
        <f>DS$4 * IF(AND(DR$4=1,DL$20=1), DY73, DW73)</f>
        <v>0</v>
      </c>
      <c r="DT73" s="12">
        <f>DT$4 * IF(AND(DS$4=1,DL$20=1), DY73, DW73)</f>
        <v>0</v>
      </c>
      <c r="DV73" s="16" t="s">
        <v>1304</v>
      </c>
      <c r="DW73">
        <f>_xlfn.XLOOKUP(DV73,'KPI Impacts'!$B$2:$H$2,'KPI Impacts'!$B73:$H73)</f>
        <v>0</v>
      </c>
      <c r="DX73" s="35" t="s">
        <v>1304</v>
      </c>
      <c r="DY73">
        <f>_xlfn.XLOOKUP(DX73,'KPI Impacts'!$B$2:$H$2,'KPI Impacts'!$B73:$H73)</f>
        <v>0</v>
      </c>
      <c r="EB73" s="12">
        <f>EB$4*EM73</f>
        <v>0</v>
      </c>
      <c r="EC73" s="12">
        <f>EC$4 * IF(AND(EB$4=1,EB$20=1), EO73, EM73)</f>
        <v>0</v>
      </c>
      <c r="ED73" s="12">
        <f>ED$4 * IF(AND(EC$4=1,EB$20=1), EO73, EM73)</f>
        <v>0</v>
      </c>
      <c r="EE73" s="12">
        <f>EE$4 * IF(AND(ED$4=1,EB$20=1), EO73, EM73)</f>
        <v>0</v>
      </c>
      <c r="EF73" s="12">
        <f>EF$4 * IF(AND(EE$4=1,EB$20=1), EO73, EM73)</f>
        <v>0</v>
      </c>
      <c r="EG73" s="12">
        <f>EG$4 * IF(AND(EF$4=1,EB$20=1), EO73, EM73)</f>
        <v>0</v>
      </c>
      <c r="EH73" s="12">
        <f>EH$4 * IF(AND(EG$4=1,EB$20=1), EO73, EM73)</f>
        <v>0</v>
      </c>
      <c r="EI73" s="12">
        <f>EI$4 * IF(AND(EH$4=1,EB$20=1), EO73, EM73)</f>
        <v>0</v>
      </c>
      <c r="EJ73" s="12">
        <f>EJ$4 * IF(AND(EI$4=1,EB$20=1), EO73, EM73)</f>
        <v>0</v>
      </c>
      <c r="EL73" s="16" t="s">
        <v>1304</v>
      </c>
      <c r="EM73">
        <f>_xlfn.XLOOKUP(EL73,'KPI Impacts'!$B$2:$H$2,'KPI Impacts'!$B73:$H73)</f>
        <v>0</v>
      </c>
      <c r="EN73" s="35" t="s">
        <v>1304</v>
      </c>
      <c r="EO73">
        <f>_xlfn.XLOOKUP(EN73,'KPI Impacts'!$B$2:$H$2,'KPI Impacts'!$B73:$H73)</f>
        <v>0</v>
      </c>
      <c r="ER73" s="12">
        <f>ER$4*FC73</f>
        <v>0</v>
      </c>
      <c r="ES73" s="12">
        <f>ES$4 * IF(AND(ER$4=1,ER$20=1), FE73, FC73)</f>
        <v>0</v>
      </c>
      <c r="ET73" s="12">
        <f>ET$4 * IF(AND(ES$4=1,ER$20=1), FE73, FC73)</f>
        <v>0</v>
      </c>
      <c r="EU73" s="12">
        <f>EU$4 * IF(AND(ET$4=1,ER$20=1), FE73, FC73)</f>
        <v>0</v>
      </c>
      <c r="EV73" s="12">
        <f>EV$4 * IF(AND(EU$4=1,ER$20=1), FE73, FC73)</f>
        <v>0</v>
      </c>
      <c r="EW73" s="12">
        <f>EW$4 * IF(AND(EV$4=1,ER$20=1), FE73, FC73)</f>
        <v>0</v>
      </c>
      <c r="EX73" s="12">
        <f>EX$4 * IF(AND(EW$4=1,ER$20=1), FE73, FC73)</f>
        <v>0</v>
      </c>
      <c r="EY73" s="12">
        <f>EY$4 * IF(AND(EX$4=1,ER$20=1), FE73, FC73)</f>
        <v>0</v>
      </c>
      <c r="EZ73" s="12">
        <f>EZ$4 * IF(AND(EY$4=1,ER$20=1), FE73, FC73)</f>
        <v>0</v>
      </c>
      <c r="FB73" s="16" t="s">
        <v>1304</v>
      </c>
      <c r="FC73">
        <f>_xlfn.XLOOKUP(FB73,'KPI Impacts'!$B$2:$H$2,'KPI Impacts'!$B73:$H73)</f>
        <v>0</v>
      </c>
      <c r="FD73" s="35" t="s">
        <v>1304</v>
      </c>
      <c r="FE73">
        <f>_xlfn.XLOOKUP(FD73,'KPI Impacts'!$B$2:$H$2,'KPI Impacts'!$B73:$H73)</f>
        <v>0</v>
      </c>
      <c r="FH73" s="12">
        <f>FH$4*FS73</f>
        <v>0</v>
      </c>
      <c r="FI73" s="12">
        <f>FI$4 * IF(AND(FH$4=1,FH$20=1), FU73, FS73)</f>
        <v>0</v>
      </c>
      <c r="FJ73" s="12">
        <f>FJ$4 * IF(AND(FI$4=1,FH$20=1), FU73, FS73)</f>
        <v>0</v>
      </c>
      <c r="FK73" s="12">
        <f>FK$4 * IF(AND(FJ$4=1,FH$20=1), FU73, FS73)</f>
        <v>0</v>
      </c>
      <c r="FL73" s="12">
        <f>FL$4 * IF(AND(FK$4=1,FH$20=1), FU73, FS73)</f>
        <v>0</v>
      </c>
      <c r="FM73" s="12">
        <f>FM$4 * IF(AND(FL$4=1,FH$20=1), FU73, FS73)</f>
        <v>0</v>
      </c>
      <c r="FN73" s="12">
        <f>FN$4 * IF(AND(FM$4=1,FH$20=1), FU73, FS73)</f>
        <v>0</v>
      </c>
      <c r="FO73" s="12">
        <f>FO$4 * IF(AND(FN$4=1,FH$20=1), FU73, FS73)</f>
        <v>0</v>
      </c>
      <c r="FP73" s="12">
        <f>FP$4 * IF(AND(FO$4=1,FH$20=1), FU73, FS73)</f>
        <v>0</v>
      </c>
      <c r="FR73" s="16" t="s">
        <v>1304</v>
      </c>
      <c r="FS73">
        <f>_xlfn.XLOOKUP(FR73,'KPI Impacts'!$B$2:$H$2,'KPI Impacts'!$B73:$H73)</f>
        <v>0</v>
      </c>
      <c r="FT73" s="35" t="s">
        <v>1304</v>
      </c>
      <c r="FU73">
        <f>_xlfn.XLOOKUP(FT73,'KPI Impacts'!$B$2:$H$2,'KPI Impacts'!$B73:$H73)</f>
        <v>0</v>
      </c>
      <c r="FX73" s="12">
        <f>FX$4*GI73</f>
        <v>0</v>
      </c>
      <c r="FY73" s="12">
        <f>FY$4 * IF(AND(FX$4=1,FX$20=1), GK73, GI73)</f>
        <v>0</v>
      </c>
      <c r="FZ73" s="12">
        <f>FZ$4 * IF(AND(FY$4=1,FX$20=1), GK73, GI73)</f>
        <v>0</v>
      </c>
      <c r="GA73" s="12">
        <f>GA$4 * IF(AND(FZ$4=1,FX$20=1), GK73, GI73)</f>
        <v>0</v>
      </c>
      <c r="GB73" s="12">
        <f>GB$4 * IF(AND(GA$4=1,FX$20=1), GK73, GI73)</f>
        <v>0</v>
      </c>
      <c r="GC73" s="12">
        <f>GC$4 * IF(AND(GB$4=1,FX$20=1), GK73, GI73)</f>
        <v>0</v>
      </c>
      <c r="GD73" s="12">
        <f>GD$4 * IF(AND(GC$4=1,FX$20=1), GK73, GI73)</f>
        <v>0</v>
      </c>
      <c r="GE73" s="12">
        <f>GE$4 * IF(AND(GD$4=1,FX$20=1), GK73, GI73)</f>
        <v>0</v>
      </c>
      <c r="GF73" s="12">
        <f>GF$4 * IF(AND(GE$4=1,FX$20=1), GK73, GI73)</f>
        <v>0</v>
      </c>
      <c r="GH73" s="16" t="s">
        <v>1304</v>
      </c>
      <c r="GI73">
        <f>_xlfn.XLOOKUP(GH73,'KPI Impacts'!$B$2:$H$2,'KPI Impacts'!$B73:$H73)</f>
        <v>0</v>
      </c>
      <c r="GJ73" s="35" t="s">
        <v>1304</v>
      </c>
      <c r="GK73">
        <f>_xlfn.XLOOKUP(GJ73,'KPI Impacts'!$B$2:$H$2,'KPI Impacts'!$B73:$H73)</f>
        <v>0</v>
      </c>
      <c r="GN73" s="12">
        <f>GN$4*GY73</f>
        <v>0</v>
      </c>
      <c r="GO73" s="12">
        <f>GO$4 * IF(AND(GN$4=1,GN$20=1), HA73, GY73)</f>
        <v>0</v>
      </c>
      <c r="GP73" s="12">
        <f>GP$4 * IF(AND(GO$4=1,GN$20=1), HA73, GY73)</f>
        <v>0</v>
      </c>
      <c r="GQ73" s="12">
        <f>GQ$4 * IF(AND(GP$4=1,GN$20=1), HA73, GY73)</f>
        <v>0</v>
      </c>
      <c r="GR73" s="12">
        <f>GR$4 * IF(AND(GQ$4=1,GN$20=1), HA73, GY73)</f>
        <v>0</v>
      </c>
      <c r="GS73" s="12">
        <f>GS$4 * IF(AND(GR$4=1,GN$20=1), HA73, GY73)</f>
        <v>0</v>
      </c>
      <c r="GT73" s="12">
        <f>GT$4 * IF(AND(GS$4=1,GN$20=1), HA73, GY73)</f>
        <v>0</v>
      </c>
      <c r="GU73" s="12">
        <f>GU$4 * IF(AND(GT$4=1,GN$20=1), HA73, GY73)</f>
        <v>0</v>
      </c>
      <c r="GV73" s="12">
        <f>GV$4 * IF(AND(GU$4=1,GN$20=1), HA73, GY73)</f>
        <v>0</v>
      </c>
      <c r="GX73" s="16" t="s">
        <v>1304</v>
      </c>
      <c r="GY73">
        <f>_xlfn.XLOOKUP(GX73,'KPI Impacts'!$B$2:$H$2,'KPI Impacts'!$B73:$H73)</f>
        <v>0</v>
      </c>
      <c r="GZ73" s="35" t="s">
        <v>1304</v>
      </c>
      <c r="HA73">
        <f>_xlfn.XLOOKUP(GZ73,'KPI Impacts'!$B$2:$H$2,'KPI Impacts'!$B73:$H73)</f>
        <v>0</v>
      </c>
      <c r="HD73" s="12">
        <f>HD$4*HO73</f>
        <v>0</v>
      </c>
      <c r="HE73" s="12">
        <f>HE$4 * IF(AND(HD$4=1,HD$20=1), HQ73, HO73)</f>
        <v>0</v>
      </c>
      <c r="HF73" s="12">
        <f>HF$4 * IF(AND(HE$4=1,HD$20=1), HQ73, HO73)</f>
        <v>0</v>
      </c>
      <c r="HG73" s="12">
        <f>HG$4 * IF(AND(HF$4=1,HD$20=1), HQ73, HO73)</f>
        <v>0</v>
      </c>
      <c r="HH73" s="12">
        <f>HH$4 * IF(AND(HG$4=1,HD$20=1), HQ73, HO73)</f>
        <v>0</v>
      </c>
      <c r="HI73" s="12">
        <f>HI$4 * IF(AND(HH$4=1,HD$20=1), HQ73, HO73)</f>
        <v>0</v>
      </c>
      <c r="HJ73" s="12">
        <f>HJ$4 * IF(AND(HI$4=1,HD$20=1), HQ73, HO73)</f>
        <v>0</v>
      </c>
      <c r="HK73" s="12">
        <f>HK$4 * IF(AND(HJ$4=1,HD$20=1), HQ73, HO73)</f>
        <v>0</v>
      </c>
      <c r="HL73" s="12">
        <f>HL$4 * IF(AND(HK$4=1,HD$20=1), HQ73, HO73)</f>
        <v>0</v>
      </c>
      <c r="HN73" s="16" t="s">
        <v>1304</v>
      </c>
      <c r="HO73">
        <f>_xlfn.XLOOKUP(HN73,'KPI Impacts'!$B$2:$H$2,'KPI Impacts'!$B73:$H73)</f>
        <v>0</v>
      </c>
      <c r="HP73" s="35" t="s">
        <v>1304</v>
      </c>
      <c r="HQ73">
        <f>_xlfn.XLOOKUP(HP73,'KPI Impacts'!$B$2:$H$2,'KPI Impacts'!$B73:$H73)</f>
        <v>0</v>
      </c>
      <c r="HT73" s="12">
        <f>HT$4*IE73</f>
        <v>0</v>
      </c>
      <c r="HU73" s="12">
        <f>HU$4 * IF(AND(HT$4=1,HT$20=1), IG73, IE73)</f>
        <v>0</v>
      </c>
      <c r="HV73" s="12">
        <f>HV$4 * IF(AND(HU$4=1,HT$20=1), IG73, IE73)</f>
        <v>0</v>
      </c>
      <c r="HW73" s="12">
        <f>HW$4 * IF(AND(HV$4=1,HT$20=1), IG73, IE73)</f>
        <v>0</v>
      </c>
      <c r="HX73" s="12">
        <f>HX$4 * IF(AND(HW$4=1,HT$20=1), IG73, IE73)</f>
        <v>0</v>
      </c>
      <c r="HY73" s="12">
        <f>HY$4 * IF(AND(HX$4=1,HT$20=1), IG73, IE73)</f>
        <v>0</v>
      </c>
      <c r="HZ73" s="12">
        <f>HZ$4 * IF(AND(HY$4=1,HT$20=1), IG73, IE73)</f>
        <v>0</v>
      </c>
      <c r="IA73" s="12">
        <f>IA$4 * IF(AND(HZ$4=1,HT$20=1), IG73, IE73)</f>
        <v>0</v>
      </c>
      <c r="IB73" s="12">
        <f>IB$4 * IF(AND(IA$4=1,HT$20=1), IG73, IE73)</f>
        <v>0</v>
      </c>
      <c r="ID73" s="16" t="s">
        <v>1304</v>
      </c>
      <c r="IE73">
        <f>_xlfn.XLOOKUP(ID73,'KPI Impacts'!$B$2:$H$2,'KPI Impacts'!$B73:$H73)</f>
        <v>0</v>
      </c>
      <c r="IF73" s="35" t="s">
        <v>1304</v>
      </c>
      <c r="IG73">
        <f>_xlfn.XLOOKUP(IF73,'KPI Impacts'!$B$2:$H$2,'KPI Impacts'!$B73:$H73)</f>
        <v>0</v>
      </c>
      <c r="IJ73" s="12">
        <f>IJ$4*IU73</f>
        <v>0</v>
      </c>
      <c r="IK73" s="12">
        <f>IK$4 * IF(AND(IJ$4=1,IJ$20=1), IW73, IU73)</f>
        <v>0</v>
      </c>
      <c r="IL73" s="12">
        <f>IL$4 * IF(AND(IK$4=1,IJ$20=1), IW73, IU73)</f>
        <v>0</v>
      </c>
      <c r="IM73" s="12">
        <f>IM$4 * IF(AND(IL$4=1,IJ$20=1), IW73, IU73)</f>
        <v>0</v>
      </c>
      <c r="IN73" s="12">
        <f>IN$4 * IF(AND(IM$4=1,IJ$20=1), IW73, IU73)</f>
        <v>0</v>
      </c>
      <c r="IO73" s="12">
        <f>IO$4 * IF(AND(IN$4=1,IJ$20=1), IW73, IU73)</f>
        <v>0</v>
      </c>
      <c r="IP73" s="12">
        <f>IP$4 * IF(AND(IO$4=1,IJ$20=1), IW73, IU73)</f>
        <v>0</v>
      </c>
      <c r="IQ73" s="12">
        <f>IQ$4 * IF(AND(IP$4=1,IJ$20=1), IW73, IU73)</f>
        <v>0</v>
      </c>
      <c r="IR73" s="12">
        <f>IR$4 * IF(AND(IQ$4=1,IJ$20=1), IW73, IU73)</f>
        <v>0</v>
      </c>
      <c r="IT73" s="16" t="s">
        <v>1304</v>
      </c>
      <c r="IU73">
        <f>_xlfn.XLOOKUP(IT73,'KPI Impacts'!$B$2:$H$2,'KPI Impacts'!$B73:$H73)</f>
        <v>0</v>
      </c>
      <c r="IV73" s="35" t="s">
        <v>1304</v>
      </c>
      <c r="IW73">
        <f>_xlfn.XLOOKUP(IV73,'KPI Impacts'!$B$2:$H$2,'KPI Impacts'!$B73:$H73)</f>
        <v>0</v>
      </c>
      <c r="IZ73" s="12">
        <f>IZ$4*JK73</f>
        <v>0</v>
      </c>
      <c r="JA73" s="12">
        <f>JA$4 * IF(AND(IZ$4=1,IZ$20=1), JM73, JK73)</f>
        <v>0</v>
      </c>
      <c r="JB73" s="12">
        <f>JB$4 * IF(AND(JA$4=1,IZ$20=1), JM73, JK73)</f>
        <v>0</v>
      </c>
      <c r="JC73" s="12">
        <f>JC$4 * IF(AND(JB$4=1,IZ$20=1), JM73, JK73)</f>
        <v>0</v>
      </c>
      <c r="JD73" s="12">
        <f>JD$4 * IF(AND(JC$4=1,IZ$20=1), JM73, JK73)</f>
        <v>0</v>
      </c>
      <c r="JE73" s="12">
        <f>JE$4 * IF(AND(JD$4=1,IZ$20=1), JM73, JK73)</f>
        <v>0</v>
      </c>
      <c r="JF73" s="12">
        <f>JF$4 * IF(AND(JE$4=1,IZ$20=1), JM73, JK73)</f>
        <v>0</v>
      </c>
      <c r="JG73" s="12">
        <f>JG$4 * IF(AND(JF$4=1,IZ$20=1), JM73, JK73)</f>
        <v>0</v>
      </c>
      <c r="JH73" s="12">
        <f>JH$4 * IF(AND(JG$4=1,IZ$20=1), JM73, JK73)</f>
        <v>0</v>
      </c>
      <c r="JJ73" t="s">
        <v>1304</v>
      </c>
      <c r="JK73">
        <f>_xlfn.XLOOKUP(JJ73,'KPI Impacts'!$B$2:$H$2,'KPI Impacts'!$B73:$H73)</f>
        <v>0</v>
      </c>
      <c r="JL73" s="9" t="s">
        <v>1304</v>
      </c>
      <c r="JM73">
        <f>_xlfn.XLOOKUP(JL73,'KPI Impacts'!$B$2:$H$2,'KPI Impacts'!$B73:$H73)</f>
        <v>0</v>
      </c>
      <c r="JP73" s="12">
        <f>JP$4*KA73</f>
        <v>0</v>
      </c>
      <c r="JQ73" s="12">
        <f>JQ$4 * IF(AND(JP$4=1,JP$20=1), KC73, KA73)</f>
        <v>0</v>
      </c>
      <c r="JR73" s="12">
        <f>JR$4 * IF(AND(JQ$4=1,JP$20=1), KC73, KA73)</f>
        <v>0</v>
      </c>
      <c r="JS73" s="12">
        <f>JS$4 * IF(AND(JR$4=1,JP$20=1), KC73, KA73)</f>
        <v>0</v>
      </c>
      <c r="JT73" s="12">
        <f>JT$4 * IF(AND(JS$4=1,JP$20=1), KC73, KA73)</f>
        <v>0</v>
      </c>
      <c r="JU73" s="12">
        <f>JU$4 * IF(AND(JT$4=1,JP$20=1), KC73, KA73)</f>
        <v>0</v>
      </c>
      <c r="JV73" s="12">
        <f>JV$4 * IF(AND(JU$4=1,JP$20=1), KC73, KA73)</f>
        <v>0</v>
      </c>
      <c r="JW73" s="12">
        <f>JW$4 * IF(AND(JV$4=1,JP$20=1), KC73, KA73)</f>
        <v>0</v>
      </c>
      <c r="JX73" s="12">
        <f>JX$4 * IF(AND(JW$4=1,JP$20=1), KC73, KA73)</f>
        <v>0</v>
      </c>
      <c r="JZ73" t="s">
        <v>1304</v>
      </c>
      <c r="KA73">
        <f>_xlfn.XLOOKUP(JZ73,'KPI Impacts'!$B$2:$H$2,'KPI Impacts'!$B73:$H73)</f>
        <v>0</v>
      </c>
      <c r="KB73" s="9" t="s">
        <v>1304</v>
      </c>
      <c r="KC73">
        <f>_xlfn.XLOOKUP(KB73,'KPI Impacts'!$B$2:$H$2,'KPI Impacts'!$B73:$H73)</f>
        <v>0</v>
      </c>
      <c r="KF73" s="12">
        <f>KF$4*KQ73</f>
        <v>0</v>
      </c>
      <c r="KG73" s="12">
        <f>KG$4 * IF(AND(KF$4=1,KF$20=1), KS73, KQ73)</f>
        <v>0</v>
      </c>
      <c r="KH73" s="12">
        <f>KH$4 * IF(AND(KG$4=1,KF$20=1), KS73, KQ73)</f>
        <v>0</v>
      </c>
      <c r="KI73" s="12">
        <f>KI$4 * IF(AND(KH$4=1,KF$20=1), KS73, KQ73)</f>
        <v>0</v>
      </c>
      <c r="KJ73" s="12">
        <f>KJ$4 * IF(AND(KI$4=1,KF$20=1), KS73, KQ73)</f>
        <v>0</v>
      </c>
      <c r="KK73" s="12">
        <f>KK$4 * IF(AND(KJ$4=1,KF$20=1), KS73, KQ73)</f>
        <v>0</v>
      </c>
      <c r="KL73" s="12">
        <f>KL$4 * IF(AND(KK$4=1,KF$20=1), KS73, KQ73)</f>
        <v>0</v>
      </c>
      <c r="KM73" s="12">
        <f>KM$4 * IF(AND(KL$4=1,KF$20=1), KS73, KQ73)</f>
        <v>0</v>
      </c>
      <c r="KN73" s="12">
        <f>KN$4 * IF(AND(KM$4=1,KF$20=1), KS73, KQ73)</f>
        <v>0</v>
      </c>
      <c r="KP73" t="s">
        <v>1304</v>
      </c>
      <c r="KQ73">
        <f>_xlfn.XLOOKUP(KP73,'KPI Impacts'!$B$2:$H$2,'KPI Impacts'!$B73:$H73)</f>
        <v>0</v>
      </c>
      <c r="KR73" s="9" t="s">
        <v>1304</v>
      </c>
      <c r="KS73">
        <f>_xlfn.XLOOKUP(KR73,'KPI Impacts'!$B$2:$H$2,'KPI Impacts'!$B73:$H73)</f>
        <v>0</v>
      </c>
      <c r="KV73" s="12">
        <f>KV$4*LG73</f>
        <v>0</v>
      </c>
      <c r="KW73" s="12">
        <f>KW$4 * IF(AND(KV$4=1,KV$20=1), LI73, LG73)</f>
        <v>0</v>
      </c>
      <c r="KX73" s="12">
        <f>KX$4 * IF(AND(KW$4=1,KV$20=1), LI73, LG73)</f>
        <v>0</v>
      </c>
      <c r="KY73" s="12">
        <f>KY$4 * IF(AND(KX$4=1,KV$20=1), LI73, LG73)</f>
        <v>0</v>
      </c>
      <c r="KZ73" s="12">
        <f>KZ$4 * IF(AND(KY$4=1,KV$20=1), LI73, LG73)</f>
        <v>0</v>
      </c>
      <c r="LA73" s="12">
        <f>LA$4 * IF(AND(KZ$4=1,KV$20=1), LI73, LG73)</f>
        <v>0</v>
      </c>
      <c r="LB73" s="12">
        <f>LB$4 * IF(AND(LA$4=1,KV$20=1), LI73, LG73)</f>
        <v>0</v>
      </c>
      <c r="LC73" s="12">
        <f>LC$4 * IF(AND(LB$4=1,KV$20=1), LI73, LG73)</f>
        <v>0</v>
      </c>
      <c r="LD73" s="12">
        <f>LD$4 * IF(AND(LC$4=1,KV$20=1), LI73, LG73)</f>
        <v>0</v>
      </c>
      <c r="LF73" t="s">
        <v>1304</v>
      </c>
      <c r="LG73">
        <f>_xlfn.XLOOKUP(LF73,'KPI Impacts'!$B$2:$H$2,'KPI Impacts'!$B73:$H73)</f>
        <v>0</v>
      </c>
      <c r="LH73" s="9" t="s">
        <v>1304</v>
      </c>
      <c r="LI73">
        <f>_xlfn.XLOOKUP(LH73,'KPI Impacts'!$B$2:$H$2,'KPI Impacts'!$B73:$H73)</f>
        <v>0</v>
      </c>
      <c r="LL73" s="12">
        <f>LL$4*LW73</f>
        <v>0</v>
      </c>
      <c r="LM73" s="12">
        <f>LM$4 * IF(AND(LL$4=1,LL$20=1), LY73, LW73)</f>
        <v>0</v>
      </c>
      <c r="LN73" s="12">
        <f>LN$4 * IF(AND(LM$4=1,LL$20=1), LY73, LW73)</f>
        <v>0</v>
      </c>
      <c r="LO73" s="12">
        <f>LO$4 * IF(AND(LN$4=1,LL$20=1), LY73, LW73)</f>
        <v>0</v>
      </c>
      <c r="LP73" s="12">
        <f>LP$4 * IF(AND(LO$4=1,LL$20=1), LY73, LW73)</f>
        <v>0</v>
      </c>
      <c r="LQ73" s="12">
        <f>LQ$4 * IF(AND(LP$4=1,LL$20=1), LY73, LW73)</f>
        <v>0</v>
      </c>
      <c r="LR73" s="12">
        <f>LR$4 * IF(AND(LQ$4=1,LL$20=1), LY73, LW73)</f>
        <v>0</v>
      </c>
      <c r="LS73" s="12">
        <f>LS$4 * IF(AND(LR$4=1,LL$20=1), LY73, LW73)</f>
        <v>0</v>
      </c>
      <c r="LT73" s="12">
        <f>LT$4 * IF(AND(LS$4=1,LL$20=1), LY73, LW73)</f>
        <v>0</v>
      </c>
      <c r="LV73" t="s">
        <v>1304</v>
      </c>
      <c r="LW73">
        <f>_xlfn.XLOOKUP(LV73,'KPI Impacts'!$B$2:$H$2,'KPI Impacts'!$B73:$H73)</f>
        <v>0</v>
      </c>
      <c r="LX73" s="9" t="s">
        <v>1304</v>
      </c>
      <c r="LY73">
        <f>_xlfn.XLOOKUP(LX73,'KPI Impacts'!$B$2:$H$2,'KPI Impacts'!$B73:$H73)</f>
        <v>0</v>
      </c>
      <c r="MB73" s="12">
        <f>MB$4*MM73</f>
        <v>0</v>
      </c>
      <c r="MC73" s="12">
        <f>MC$4 * IF(AND(MB$4=1,MB$20=1), MO73, MM73)</f>
        <v>0</v>
      </c>
      <c r="MD73" s="12">
        <f>MD$4 * IF(AND(MC$4=1,MB$20=1), MO73, MM73)</f>
        <v>0</v>
      </c>
      <c r="ME73" s="12">
        <f>ME$4 * IF(AND(MD$4=1,MB$20=1), MO73, MM73)</f>
        <v>0</v>
      </c>
      <c r="MF73" s="12">
        <f>MF$4 * IF(AND(ME$4=1,MB$20=1), MO73, MM73)</f>
        <v>0</v>
      </c>
      <c r="MG73" s="12">
        <f>MG$4 * IF(AND(MF$4=1,MB$20=1), MO73, MM73)</f>
        <v>0</v>
      </c>
      <c r="MH73" s="12">
        <f>MH$4 * IF(AND(MG$4=1,MB$20=1), MO73, MM73)</f>
        <v>0</v>
      </c>
      <c r="MI73" s="12">
        <f>MI$4 * IF(AND(MH$4=1,MB$20=1), MO73, MM73)</f>
        <v>0</v>
      </c>
      <c r="MJ73" s="12">
        <f>MJ$4 * IF(AND(MI$4=1,MB$20=1), MO73, MM73)</f>
        <v>0</v>
      </c>
      <c r="ML73" t="s">
        <v>1304</v>
      </c>
      <c r="MM73">
        <f>_xlfn.XLOOKUP(ML73,'KPI Impacts'!$B$2:$H$2,'KPI Impacts'!$B73:$H73)</f>
        <v>0</v>
      </c>
      <c r="MN73" s="9" t="s">
        <v>1304</v>
      </c>
      <c r="MO73">
        <f>_xlfn.XLOOKUP(MN73,'KPI Impacts'!$B$2:$H$2,'KPI Impacts'!$B73:$H73)</f>
        <v>0</v>
      </c>
      <c r="MR73" s="12">
        <f>MR$4*NC73</f>
        <v>0</v>
      </c>
      <c r="MS73" s="12">
        <f>MS$4 * IF(AND(MR$4=1,MR$20=1), NE73, NC73)</f>
        <v>0</v>
      </c>
      <c r="MT73" s="12">
        <f>MT$4 * IF(AND(MS$4=1,MR$20=1), NE73, NC73)</f>
        <v>0</v>
      </c>
      <c r="MU73" s="12">
        <f>MU$4 * IF(AND(MT$4=1,MR$20=1), NE73, NC73)</f>
        <v>0</v>
      </c>
      <c r="MV73" s="12">
        <f>MV$4 * IF(AND(MU$4=1,MR$20=1), NE73, NC73)</f>
        <v>0</v>
      </c>
      <c r="MW73" s="12">
        <f>MW$4 * IF(AND(MV$4=1,MR$20=1), NE73, NC73)</f>
        <v>0</v>
      </c>
      <c r="MX73" s="12">
        <f>MX$4 * IF(AND(MW$4=1,MR$20=1), NE73, NC73)</f>
        <v>0</v>
      </c>
      <c r="MY73" s="12">
        <f>MY$4 * IF(AND(MX$4=1,MR$20=1), NE73, NC73)</f>
        <v>0</v>
      </c>
      <c r="MZ73" s="12">
        <f>MZ$4 * IF(AND(MY$4=1,MR$20=1), NE73, NC73)</f>
        <v>0</v>
      </c>
      <c r="NB73" t="s">
        <v>1304</v>
      </c>
      <c r="NC73">
        <f>_xlfn.XLOOKUP(NB73,'KPI Impacts'!$B$2:$H$2,'KPI Impacts'!$B73:$H73)</f>
        <v>0</v>
      </c>
      <c r="ND73" s="9" t="s">
        <v>1304</v>
      </c>
      <c r="NE73">
        <f>_xlfn.XLOOKUP(ND73,'KPI Impacts'!$B$2:$H$2,'KPI Impacts'!$B73:$H73)</f>
        <v>0</v>
      </c>
      <c r="NH73" s="12">
        <f>NH$4*NS73</f>
        <v>0</v>
      </c>
      <c r="NI73" s="12">
        <f>NI$4 * IF(AND(NH$4=1,NH$20=1), NU73, NS73)</f>
        <v>0</v>
      </c>
      <c r="NJ73" s="12">
        <f>NJ$4 * IF(AND(NI$4=1,NH$20=1), NU73, NS73)</f>
        <v>0</v>
      </c>
      <c r="NK73" s="12">
        <f>NK$4 * IF(AND(NJ$4=1,NH$20=1), NU73, NS73)</f>
        <v>0</v>
      </c>
      <c r="NL73" s="12">
        <f>NL$4 * IF(AND(NK$4=1,NH$20=1), NU73, NS73)</f>
        <v>0</v>
      </c>
      <c r="NM73" s="12">
        <f>NM$4 * IF(AND(NL$4=1,NH$20=1), NU73, NS73)</f>
        <v>0</v>
      </c>
      <c r="NN73" s="12">
        <f>NN$4 * IF(AND(NM$4=1,NH$20=1), NU73, NS73)</f>
        <v>0</v>
      </c>
      <c r="NO73" s="12">
        <f>NO$4 * IF(AND(NN$4=1,NH$20=1), NU73, NS73)</f>
        <v>0</v>
      </c>
      <c r="NP73" s="12">
        <f>NP$4 * IF(AND(NO$4=1,NH$20=1), NU73, NS73)</f>
        <v>0</v>
      </c>
      <c r="NR73" t="s">
        <v>1304</v>
      </c>
      <c r="NS73">
        <f>_xlfn.XLOOKUP(NR73,'KPI Impacts'!$B$2:$H$2,'KPI Impacts'!$B73:$H73)</f>
        <v>0</v>
      </c>
      <c r="NT73" s="9" t="s">
        <v>1304</v>
      </c>
      <c r="NU73">
        <f>_xlfn.XLOOKUP(NT73,'KPI Impacts'!$B$2:$H$2,'KPI Impacts'!$B73:$H73)</f>
        <v>0</v>
      </c>
      <c r="NX73" s="12">
        <f>NX$4*OI73</f>
        <v>0</v>
      </c>
      <c r="NY73" s="12">
        <f>NY$4 * IF(AND(NX$4=1,NX$20=1), OK73, OI73)</f>
        <v>0</v>
      </c>
      <c r="NZ73" s="12">
        <f>NZ$4 * IF(AND(NY$4=1,NX$20=1), OK73, OI73)</f>
        <v>0</v>
      </c>
      <c r="OA73" s="12">
        <f>OA$4 * IF(AND(NZ$4=1,NX$20=1), OK73, OI73)</f>
        <v>0</v>
      </c>
      <c r="OB73" s="12">
        <f>OB$4 * IF(AND(OA$4=1,NX$20=1), OK73, OI73)</f>
        <v>0</v>
      </c>
      <c r="OC73" s="12">
        <f>OC$4 * IF(AND(OB$4=1,NX$20=1), OK73, OI73)</f>
        <v>0</v>
      </c>
      <c r="OD73" s="12">
        <f>OD$4 * IF(AND(OC$4=1,NX$20=1), OK73, OI73)</f>
        <v>0</v>
      </c>
      <c r="OE73" s="12">
        <f>OE$4 * IF(AND(OD$4=1,NX$20=1), OK73, OI73)</f>
        <v>0</v>
      </c>
      <c r="OF73" s="12">
        <f>OF$4 * IF(AND(OE$4=1,NX$20=1), OK73, OI73)</f>
        <v>0</v>
      </c>
      <c r="OH73" t="s">
        <v>1304</v>
      </c>
      <c r="OI73">
        <f>_xlfn.XLOOKUP(OH73,'KPI Impacts'!$B$2:$H$2,'KPI Impacts'!$B73:$H73)</f>
        <v>0</v>
      </c>
      <c r="OJ73" s="9" t="s">
        <v>1304</v>
      </c>
      <c r="OK73">
        <f>_xlfn.XLOOKUP(OJ73,'KPI Impacts'!$B$2:$H$2,'KPI Impacts'!$B73:$H73)</f>
        <v>0</v>
      </c>
    </row>
    <row r="74" spans="1:401" x14ac:dyDescent="0.2">
      <c r="A74" s="9" t="s">
        <v>1964</v>
      </c>
      <c r="B74" s="12">
        <f t="shared" si="516"/>
        <v>0</v>
      </c>
      <c r="C74" s="12">
        <f t="shared" si="516"/>
        <v>0</v>
      </c>
      <c r="D74" s="12">
        <f t="shared" si="516"/>
        <v>0</v>
      </c>
      <c r="E74" s="12">
        <f t="shared" si="516"/>
        <v>0</v>
      </c>
      <c r="F74" s="12">
        <f t="shared" si="516"/>
        <v>0</v>
      </c>
      <c r="G74" s="12">
        <f t="shared" si="516"/>
        <v>0</v>
      </c>
      <c r="H74" s="12">
        <f t="shared" si="516"/>
        <v>0</v>
      </c>
      <c r="I74" s="12">
        <f t="shared" si="516"/>
        <v>0</v>
      </c>
      <c r="J74" s="12">
        <f t="shared" si="516"/>
        <v>0</v>
      </c>
      <c r="P74" s="12" cm="1">
        <f t="array" ref="P74">_xlfn.SWITCH(P$4, 0,0, 1, AA74,2,AC74,3,AE74,0)</f>
        <v>0</v>
      </c>
      <c r="Q74" s="12" cm="1">
        <f t="array" ref="Q74">_xlfn.SWITCH(Q$4, 0,0, 1, AA74,2,AC74,3,AE74,0)+P74</f>
        <v>0</v>
      </c>
      <c r="R74" s="12" cm="1">
        <f t="array" ref="R74">_xlfn.SWITCH(R$4, 0,0, 1, AA74,2,AC74,3,AE74,0)+Q74</f>
        <v>0</v>
      </c>
      <c r="S74" s="12" cm="1">
        <f t="array" ref="S74">_xlfn.SWITCH(S$4, 0,0, 1, AA74,2,AC74,3,AE74,0)+R74</f>
        <v>0</v>
      </c>
      <c r="T74" s="12" cm="1">
        <f t="array" ref="T74">_xlfn.SWITCH(T$4, 0,0, 1, AA74,2,AC74,3,AE74,0)+S74</f>
        <v>0</v>
      </c>
      <c r="U74" s="12" cm="1">
        <f t="array" ref="U74">_xlfn.SWITCH(U$4, 0,0, 1, AA74,2,AC74,3,AE74,0)+T74</f>
        <v>0</v>
      </c>
      <c r="V74" s="12" cm="1">
        <f t="array" ref="V74">_xlfn.SWITCH(V$4, 0,0, 1, AA74,2,AC74,3,AE74,0)+U74</f>
        <v>0</v>
      </c>
      <c r="W74" s="12" cm="1">
        <f t="array" ref="W74">_xlfn.SWITCH(W$4, 0,0, 1, AA74,2,AC74,3,AE74,0)+V74</f>
        <v>0</v>
      </c>
      <c r="X74" s="12" cm="1">
        <f t="array" ref="X74">_xlfn.SWITCH(X$4, 0,0, 1, AA74,2,AC74,3,AE74,0)+W74</f>
        <v>0</v>
      </c>
      <c r="Z74" t="s">
        <v>1304</v>
      </c>
      <c r="AA74">
        <f>_xlfn.XLOOKUP(Z74,'KPI Impacts'!$K$2:$Q$2,'KPI Impacts'!$K74:$Q74)</f>
        <v>0</v>
      </c>
      <c r="AB74" t="s">
        <v>1304</v>
      </c>
      <c r="AC74">
        <f>_xlfn.XLOOKUP(AB74,'KPI Impacts'!$K$2:$Q$2,'KPI Impacts'!$K74:$Q74)</f>
        <v>0</v>
      </c>
      <c r="AD74" t="s">
        <v>1304</v>
      </c>
      <c r="AE74">
        <f>_xlfn.XLOOKUP(AD74,'KPI Impacts'!$K$2:$Q$2,'KPI Impacts'!$K74:$Q74)</f>
        <v>0</v>
      </c>
      <c r="AH74" s="12" cm="1">
        <f t="array" ref="AH74">_xlfn.SWITCH(AH$4, 0,0, 1, AS74,2,AU74,3,AW74,0)</f>
        <v>0</v>
      </c>
      <c r="AI74" s="12" cm="1">
        <f t="array" ref="AI74">_xlfn.SWITCH(AI$4, 0,0, 1, AS74,2,AU74,3,AW74,0)+AH74</f>
        <v>0</v>
      </c>
      <c r="AJ74" s="12" cm="1">
        <f t="array" ref="AJ74">_xlfn.SWITCH(AJ$4, 0,0, 1, AS74,2,AU74,3,AW74,0)+AI74</f>
        <v>0</v>
      </c>
      <c r="AK74" s="12" cm="1">
        <f t="array" ref="AK74">_xlfn.SWITCH(AK$4, 0,0, 1, AS74,2,AU74,3,AW74,0)+AJ74</f>
        <v>0</v>
      </c>
      <c r="AL74" s="12" cm="1">
        <f t="array" ref="AL74">_xlfn.SWITCH(AL$4, 0,0, 1, AS74,2,AU74,3,AW74,0)+AK74</f>
        <v>0</v>
      </c>
      <c r="AM74" s="12" cm="1">
        <f t="array" ref="AM74">_xlfn.SWITCH(AM$4, 0,0, 1, AS74,2,AU74,3,AW74,0)+AL74</f>
        <v>0</v>
      </c>
      <c r="AN74" s="12" cm="1">
        <f t="array" ref="AN74">_xlfn.SWITCH(AN$4, 0,0, 1, AS74,2,AU74,3,AW74,0)+AM74</f>
        <v>0</v>
      </c>
      <c r="AO74" s="12" cm="1">
        <f t="array" ref="AO74">_xlfn.SWITCH(AO$4, 0,0, 1, AS74,2,AU74,3,AW74,0)+AN74</f>
        <v>0</v>
      </c>
      <c r="AP74" s="12" cm="1">
        <f t="array" ref="AP74">_xlfn.SWITCH(AP$4, 0,0, 1, AS74,2,AU74,3,AW74,0)+AO74</f>
        <v>0</v>
      </c>
      <c r="AR74" t="s">
        <v>1304</v>
      </c>
      <c r="AS74">
        <f>_xlfn.XLOOKUP(AR74,'KPI Impacts'!$K$2:$Q$2,'KPI Impacts'!$K74:$Q74)</f>
        <v>0</v>
      </c>
      <c r="AT74" t="s">
        <v>1304</v>
      </c>
      <c r="AU74">
        <f>_xlfn.XLOOKUP(AT74,'KPI Impacts'!$K$2:$Q$2,'KPI Impacts'!$K74:$Q74)</f>
        <v>0</v>
      </c>
      <c r="AV74" t="s">
        <v>1304</v>
      </c>
      <c r="AW74">
        <f>_xlfn.XLOOKUP(AV74,'KPI Impacts'!$K$2:$Q$2,'KPI Impacts'!$K74:$Q74)</f>
        <v>0</v>
      </c>
      <c r="AZ74" s="12">
        <f>AZ$4*BK74</f>
        <v>0</v>
      </c>
      <c r="BA74" s="12">
        <f>BA$4 * IF(AND(AZ$4=1,AZ$20=1), BM74, BK74)</f>
        <v>0</v>
      </c>
      <c r="BB74" s="12">
        <f>BB$4 * IF(AND(BA$4=1,AZ$20=1), BM74, BK74)</f>
        <v>0</v>
      </c>
      <c r="BC74" s="12">
        <f>BC$4 * IF(AND(BB$4=1,AZ$20=1), BM74, BK74)</f>
        <v>0</v>
      </c>
      <c r="BD74" s="12">
        <f>BD$4 * IF(AND(BC$4=1,AZ$20=1), BM74, BK74)</f>
        <v>0</v>
      </c>
      <c r="BE74" s="12">
        <f>BE$4 * IF(AND(BD$4=1,AZ$20=1), BM74, BK74)</f>
        <v>0</v>
      </c>
      <c r="BF74" s="12">
        <f>BF$4 * IF(AND(BE$4=1,AZ$20=1), BM74, BK74)</f>
        <v>0</v>
      </c>
      <c r="BG74" s="12">
        <f>BG$4 * IF(AND(BF$4=1,AZ$20=1), BM74, BK74)</f>
        <v>0</v>
      </c>
      <c r="BH74" s="12">
        <f>BH$4 * IF(AND(BG$4=1,AZ$20=1), BM74, BK74)</f>
        <v>0</v>
      </c>
      <c r="BJ74" s="16" t="s">
        <v>1304</v>
      </c>
      <c r="BK74">
        <f>_xlfn.XLOOKUP(BJ74,'KPI Impacts'!$B$2:$H$2,'KPI Impacts'!$B74:$H74)</f>
        <v>0</v>
      </c>
      <c r="BL74" s="35" t="s">
        <v>1304</v>
      </c>
      <c r="BM74">
        <f>_xlfn.XLOOKUP(BL74,'KPI Impacts'!$B$2:$H$2,'KPI Impacts'!$B74:$H74)</f>
        <v>0</v>
      </c>
      <c r="BP74" s="12">
        <f>BP$4*CA74</f>
        <v>0</v>
      </c>
      <c r="BQ74" s="12">
        <f>BQ$4 * IF(AND(BP$4=1,BP$20=1), CC74, CA74)</f>
        <v>0</v>
      </c>
      <c r="BR74" s="12">
        <f>BR$4 * IF(AND(BQ$4=1,BP$20=1), CC74, CA74)</f>
        <v>0</v>
      </c>
      <c r="BS74" s="12">
        <f>BS$4 * IF(AND(BR$4=1,BP$20=1), CC74, CA74)</f>
        <v>0</v>
      </c>
      <c r="BT74" s="12">
        <f>BT$4 * IF(AND(BS$4=1,BP$20=1), CC74, CA74)</f>
        <v>0</v>
      </c>
      <c r="BU74" s="12">
        <f>BU$4 * IF(AND(BT$4=1,BP$20=1), CC74, CA74)</f>
        <v>0</v>
      </c>
      <c r="BV74" s="12">
        <f>BV$4 * IF(AND(BU$4=1,BP$20=1), CC74, CA74)</f>
        <v>0</v>
      </c>
      <c r="BW74" s="12">
        <f>BW$4 * IF(AND(BV$4=1,BP$20=1), CC74, CA74)</f>
        <v>0</v>
      </c>
      <c r="BX74" s="12">
        <f>BX$4 * IF(AND(BW$4=1,BP$20=1), CC74, CA74)</f>
        <v>0</v>
      </c>
      <c r="BZ74" s="16" t="s">
        <v>1304</v>
      </c>
      <c r="CA74">
        <f>_xlfn.XLOOKUP(BZ74,'KPI Impacts'!$B$2:$H$2,'KPI Impacts'!$B74:$H74)</f>
        <v>0</v>
      </c>
      <c r="CB74" s="9" t="s">
        <v>1304</v>
      </c>
      <c r="CC74">
        <f>_xlfn.XLOOKUP(CB74,'KPI Impacts'!$B$2:$H$2,'KPI Impacts'!$B74:$H74)</f>
        <v>0</v>
      </c>
      <c r="CF74" s="12">
        <f>CF$4*CQ74</f>
        <v>0</v>
      </c>
      <c r="CG74" s="12">
        <f>CG$4 * IF(AND(CF$4=1,CF$20=1), CS74, CQ74)</f>
        <v>0</v>
      </c>
      <c r="CH74" s="12">
        <f>CH$4 * IF(AND(CG$4=1,CF$20=1), CS74, CQ74)</f>
        <v>0</v>
      </c>
      <c r="CI74" s="12">
        <f>CI$4 * IF(AND(CH$4=1,CF$20=1), CS74, CQ74)</f>
        <v>0</v>
      </c>
      <c r="CJ74" s="12">
        <f>CJ$4 * IF(AND(CI$4=1,CF$20=1), CS74, CQ74)</f>
        <v>0</v>
      </c>
      <c r="CK74" s="12">
        <f>CK$4 * IF(AND(CJ$4=1,CF$20=1), CS74, CQ74)</f>
        <v>0</v>
      </c>
      <c r="CL74" s="12">
        <f>CL$4 * IF(AND(CK$4=1,CF$20=1), CS74, CQ74)</f>
        <v>0</v>
      </c>
      <c r="CM74" s="12">
        <f>CM$4 * IF(AND(CL$4=1,CF$20=1), CS74, CQ74)</f>
        <v>0</v>
      </c>
      <c r="CN74" s="12">
        <f>CN$4 * IF(AND(CM$4=1,CF$20=1), CS74, CQ74)</f>
        <v>0</v>
      </c>
      <c r="CP74" s="16" t="s">
        <v>1304</v>
      </c>
      <c r="CQ74">
        <f>_xlfn.XLOOKUP(CP74,'KPI Impacts'!$B$2:$H$2,'KPI Impacts'!$B74:$H74)</f>
        <v>0</v>
      </c>
      <c r="CR74" s="35" t="s">
        <v>1304</v>
      </c>
      <c r="CS74">
        <f>_xlfn.XLOOKUP(CR74,'KPI Impacts'!$B$2:$H$2,'KPI Impacts'!$B74:$H74)</f>
        <v>0</v>
      </c>
      <c r="CV74" s="12">
        <f>CV$4*DG74</f>
        <v>0</v>
      </c>
      <c r="CW74" s="12">
        <f>CW$4 * IF(AND(CV$4=1,CV$20=1), DI74, DG74)</f>
        <v>0</v>
      </c>
      <c r="CX74" s="12">
        <f>CX$4 * IF(AND(CW$4=1,CV$20=1), DI74, DG74)</f>
        <v>0</v>
      </c>
      <c r="CY74" s="12">
        <f>CY$4 * IF(AND(CX$4=1,CV$20=1), DI74, DG74)</f>
        <v>0</v>
      </c>
      <c r="CZ74" s="12">
        <f>CZ$4 * IF(AND(CY$4=1,CV$20=1), DI74, DG74)</f>
        <v>0</v>
      </c>
      <c r="DA74" s="12">
        <f>DA$4 * IF(AND(CZ$4=1,CV$20=1), DI74, DG74)</f>
        <v>0</v>
      </c>
      <c r="DB74" s="12">
        <f>DB$4 * IF(AND(DA$4=1,CV$20=1), DI74, DG74)</f>
        <v>0</v>
      </c>
      <c r="DC74" s="12">
        <f>DC$4 * IF(AND(DB$4=1,CV$20=1), DI74, DG74)</f>
        <v>0</v>
      </c>
      <c r="DD74" s="12">
        <f>DD$4 * IF(AND(DC$4=1,CV$20=1), DI74, DG74)</f>
        <v>0</v>
      </c>
      <c r="DF74" s="16" t="s">
        <v>1304</v>
      </c>
      <c r="DG74">
        <f>_xlfn.XLOOKUP(DF74,'KPI Impacts'!$B$2:$H$2,'KPI Impacts'!$B74:$H74)</f>
        <v>0</v>
      </c>
      <c r="DH74" s="35" t="s">
        <v>1304</v>
      </c>
      <c r="DI74">
        <f>_xlfn.XLOOKUP(DH74,'KPI Impacts'!$B$2:$H$2,'KPI Impacts'!$B74:$H74)</f>
        <v>0</v>
      </c>
      <c r="DL74" s="12">
        <f>DL$4*DW74</f>
        <v>0</v>
      </c>
      <c r="DM74" s="12">
        <f>DM$4 * IF(AND(DL$4=1,DL$20=1), DY74, DW74)</f>
        <v>0</v>
      </c>
      <c r="DN74" s="12">
        <f>DN$4 * IF(AND(DM$4=1,DL$20=1), DY74, DW74)</f>
        <v>0</v>
      </c>
      <c r="DO74" s="12">
        <f>DO$4 * IF(AND(DN$4=1,DL$20=1), DY74, DW74)</f>
        <v>0</v>
      </c>
      <c r="DP74" s="12">
        <f>DP$4 * IF(AND(DO$4=1,DL$20=1), DY74, DW74)</f>
        <v>0</v>
      </c>
      <c r="DQ74" s="12">
        <f>DQ$4 * IF(AND(DP$4=1,DL$20=1), DY74, DW74)</f>
        <v>0</v>
      </c>
      <c r="DR74" s="12">
        <f>DR$4 * IF(AND(DQ$4=1,DL$20=1), DY74, DW74)</f>
        <v>0</v>
      </c>
      <c r="DS74" s="12">
        <f>DS$4 * IF(AND(DR$4=1,DL$20=1), DY74, DW74)</f>
        <v>0</v>
      </c>
      <c r="DT74" s="12">
        <f>DT$4 * IF(AND(DS$4=1,DL$20=1), DY74, DW74)</f>
        <v>0</v>
      </c>
      <c r="DV74" s="16" t="s">
        <v>1304</v>
      </c>
      <c r="DW74">
        <f>_xlfn.XLOOKUP(DV74,'KPI Impacts'!$B$2:$H$2,'KPI Impacts'!$B74:$H74)</f>
        <v>0</v>
      </c>
      <c r="DX74" s="35" t="s">
        <v>1304</v>
      </c>
      <c r="DY74">
        <f>_xlfn.XLOOKUP(DX74,'KPI Impacts'!$B$2:$H$2,'KPI Impacts'!$B74:$H74)</f>
        <v>0</v>
      </c>
      <c r="EB74" s="12">
        <f>EB$4*EM74</f>
        <v>0</v>
      </c>
      <c r="EC74" s="12">
        <f>EC$4 * IF(AND(EB$4=1,EB$20=1), EO74, EM74)</f>
        <v>0</v>
      </c>
      <c r="ED74" s="12">
        <f>ED$4 * IF(AND(EC$4=1,EB$20=1), EO74, EM74)</f>
        <v>0</v>
      </c>
      <c r="EE74" s="12">
        <f>EE$4 * IF(AND(ED$4=1,EB$20=1), EO74, EM74)</f>
        <v>0</v>
      </c>
      <c r="EF74" s="12">
        <f>EF$4 * IF(AND(EE$4=1,EB$20=1), EO74, EM74)</f>
        <v>0</v>
      </c>
      <c r="EG74" s="12">
        <f>EG$4 * IF(AND(EF$4=1,EB$20=1), EO74, EM74)</f>
        <v>0</v>
      </c>
      <c r="EH74" s="12">
        <f>EH$4 * IF(AND(EG$4=1,EB$20=1), EO74, EM74)</f>
        <v>0</v>
      </c>
      <c r="EI74" s="12">
        <f>EI$4 * IF(AND(EH$4=1,EB$20=1), EO74, EM74)</f>
        <v>0</v>
      </c>
      <c r="EJ74" s="12">
        <f>EJ$4 * IF(AND(EI$4=1,EB$20=1), EO74, EM74)</f>
        <v>0</v>
      </c>
      <c r="EL74" s="16" t="s">
        <v>1304</v>
      </c>
      <c r="EM74">
        <f>_xlfn.XLOOKUP(EL74,'KPI Impacts'!$B$2:$H$2,'KPI Impacts'!$B74:$H74)</f>
        <v>0</v>
      </c>
      <c r="EN74" s="35" t="s">
        <v>1304</v>
      </c>
      <c r="EO74">
        <f>_xlfn.XLOOKUP(EN74,'KPI Impacts'!$B$2:$H$2,'KPI Impacts'!$B74:$H74)</f>
        <v>0</v>
      </c>
      <c r="ER74" s="12">
        <f>ER$4*FC74</f>
        <v>0</v>
      </c>
      <c r="ES74" s="12">
        <f>ES$4 * IF(AND(ER$4=1,ER$20=1), FE74, FC74)</f>
        <v>0</v>
      </c>
      <c r="ET74" s="12">
        <f>ET$4 * IF(AND(ES$4=1,ER$20=1), FE74, FC74)</f>
        <v>0</v>
      </c>
      <c r="EU74" s="12">
        <f>EU$4 * IF(AND(ET$4=1,ER$20=1), FE74, FC74)</f>
        <v>0</v>
      </c>
      <c r="EV74" s="12">
        <f>EV$4 * IF(AND(EU$4=1,ER$20=1), FE74, FC74)</f>
        <v>0</v>
      </c>
      <c r="EW74" s="12">
        <f>EW$4 * IF(AND(EV$4=1,ER$20=1), FE74, FC74)</f>
        <v>0</v>
      </c>
      <c r="EX74" s="12">
        <f>EX$4 * IF(AND(EW$4=1,ER$20=1), FE74, FC74)</f>
        <v>0</v>
      </c>
      <c r="EY74" s="12">
        <f>EY$4 * IF(AND(EX$4=1,ER$20=1), FE74, FC74)</f>
        <v>0</v>
      </c>
      <c r="EZ74" s="12">
        <f>EZ$4 * IF(AND(EY$4=1,ER$20=1), FE74, FC74)</f>
        <v>0</v>
      </c>
      <c r="FB74" s="16" t="s">
        <v>1304</v>
      </c>
      <c r="FC74">
        <f>_xlfn.XLOOKUP(FB74,'KPI Impacts'!$B$2:$H$2,'KPI Impacts'!$B74:$H74)</f>
        <v>0</v>
      </c>
      <c r="FD74" s="35" t="s">
        <v>1304</v>
      </c>
      <c r="FE74">
        <f>_xlfn.XLOOKUP(FD74,'KPI Impacts'!$B$2:$H$2,'KPI Impacts'!$B74:$H74)</f>
        <v>0</v>
      </c>
      <c r="FH74" s="12">
        <f>FH$4*FS74</f>
        <v>0</v>
      </c>
      <c r="FI74" s="12">
        <f>FI$4 * IF(AND(FH$4=1,FH$20=1), FU74, FS74)</f>
        <v>0</v>
      </c>
      <c r="FJ74" s="12">
        <f>FJ$4 * IF(AND(FI$4=1,FH$20=1), FU74, FS74)</f>
        <v>0</v>
      </c>
      <c r="FK74" s="12">
        <f>FK$4 * IF(AND(FJ$4=1,FH$20=1), FU74, FS74)</f>
        <v>0</v>
      </c>
      <c r="FL74" s="12">
        <f>FL$4 * IF(AND(FK$4=1,FH$20=1), FU74, FS74)</f>
        <v>0</v>
      </c>
      <c r="FM74" s="12">
        <f>FM$4 * IF(AND(FL$4=1,FH$20=1), FU74, FS74)</f>
        <v>0</v>
      </c>
      <c r="FN74" s="12">
        <f>FN$4 * IF(AND(FM$4=1,FH$20=1), FU74, FS74)</f>
        <v>0</v>
      </c>
      <c r="FO74" s="12">
        <f>FO$4 * IF(AND(FN$4=1,FH$20=1), FU74, FS74)</f>
        <v>0</v>
      </c>
      <c r="FP74" s="12">
        <f>FP$4 * IF(AND(FO$4=1,FH$20=1), FU74, FS74)</f>
        <v>0</v>
      </c>
      <c r="FR74" s="16" t="s">
        <v>1304</v>
      </c>
      <c r="FS74">
        <f>_xlfn.XLOOKUP(FR74,'KPI Impacts'!$B$2:$H$2,'KPI Impacts'!$B74:$H74)</f>
        <v>0</v>
      </c>
      <c r="FT74" s="35" t="s">
        <v>1304</v>
      </c>
      <c r="FU74">
        <f>_xlfn.XLOOKUP(FT74,'KPI Impacts'!$B$2:$H$2,'KPI Impacts'!$B74:$H74)</f>
        <v>0</v>
      </c>
      <c r="FX74" s="12">
        <f>FX$4*GI74</f>
        <v>0</v>
      </c>
      <c r="FY74" s="12">
        <f>FY$4 * IF(AND(FX$4=1,FX$20=1), GK74, GI74)</f>
        <v>0</v>
      </c>
      <c r="FZ74" s="12">
        <f>FZ$4 * IF(AND(FY$4=1,FX$20=1), GK74, GI74)</f>
        <v>0</v>
      </c>
      <c r="GA74" s="12">
        <f>GA$4 * IF(AND(FZ$4=1,FX$20=1), GK74, GI74)</f>
        <v>0</v>
      </c>
      <c r="GB74" s="12">
        <f>GB$4 * IF(AND(GA$4=1,FX$20=1), GK74, GI74)</f>
        <v>0</v>
      </c>
      <c r="GC74" s="12">
        <f>GC$4 * IF(AND(GB$4=1,FX$20=1), GK74, GI74)</f>
        <v>0</v>
      </c>
      <c r="GD74" s="12">
        <f>GD$4 * IF(AND(GC$4=1,FX$20=1), GK74, GI74)</f>
        <v>0</v>
      </c>
      <c r="GE74" s="12">
        <f>GE$4 * IF(AND(GD$4=1,FX$20=1), GK74, GI74)</f>
        <v>0</v>
      </c>
      <c r="GF74" s="12">
        <f>GF$4 * IF(AND(GE$4=1,FX$20=1), GK74, GI74)</f>
        <v>0</v>
      </c>
      <c r="GH74" s="16" t="s">
        <v>1304</v>
      </c>
      <c r="GI74">
        <f>_xlfn.XLOOKUP(GH74,'KPI Impacts'!$B$2:$H$2,'KPI Impacts'!$B74:$H74)</f>
        <v>0</v>
      </c>
      <c r="GJ74" s="35" t="s">
        <v>1304</v>
      </c>
      <c r="GK74">
        <f>_xlfn.XLOOKUP(GJ74,'KPI Impacts'!$B$2:$H$2,'KPI Impacts'!$B74:$H74)</f>
        <v>0</v>
      </c>
      <c r="GN74" s="12">
        <f>GN$4*GY74</f>
        <v>0</v>
      </c>
      <c r="GO74" s="12">
        <f>GO$4 * IF(AND(GN$4=1,GN$20=1), HA74, GY74)</f>
        <v>0</v>
      </c>
      <c r="GP74" s="12">
        <f>GP$4 * IF(AND(GO$4=1,GN$20=1), HA74, GY74)</f>
        <v>0</v>
      </c>
      <c r="GQ74" s="12">
        <f>GQ$4 * IF(AND(GP$4=1,GN$20=1), HA74, GY74)</f>
        <v>0</v>
      </c>
      <c r="GR74" s="12">
        <f>GR$4 * IF(AND(GQ$4=1,GN$20=1), HA74, GY74)</f>
        <v>0</v>
      </c>
      <c r="GS74" s="12">
        <f>GS$4 * IF(AND(GR$4=1,GN$20=1), HA74, GY74)</f>
        <v>0</v>
      </c>
      <c r="GT74" s="12">
        <f>GT$4 * IF(AND(GS$4=1,GN$20=1), HA74, GY74)</f>
        <v>0</v>
      </c>
      <c r="GU74" s="12">
        <f>GU$4 * IF(AND(GT$4=1,GN$20=1), HA74, GY74)</f>
        <v>0</v>
      </c>
      <c r="GV74" s="12">
        <f>GV$4 * IF(AND(GU$4=1,GN$20=1), HA74, GY74)</f>
        <v>0</v>
      </c>
      <c r="GX74" s="16" t="s">
        <v>1304</v>
      </c>
      <c r="GY74">
        <f>_xlfn.XLOOKUP(GX74,'KPI Impacts'!$B$2:$H$2,'KPI Impacts'!$B74:$H74)</f>
        <v>0</v>
      </c>
      <c r="GZ74" s="35" t="s">
        <v>1304</v>
      </c>
      <c r="HA74">
        <f>_xlfn.XLOOKUP(GZ74,'KPI Impacts'!$B$2:$H$2,'KPI Impacts'!$B74:$H74)</f>
        <v>0</v>
      </c>
      <c r="HD74" s="12">
        <f>HD$4*HO74</f>
        <v>0</v>
      </c>
      <c r="HE74" s="12">
        <f>HE$4 * IF(AND(HD$4=1,HD$20=1), HQ74, HO74)</f>
        <v>0</v>
      </c>
      <c r="HF74" s="12">
        <f>HF$4 * IF(AND(HE$4=1,HD$20=1), HQ74, HO74)</f>
        <v>0</v>
      </c>
      <c r="HG74" s="12">
        <f>HG$4 * IF(AND(HF$4=1,HD$20=1), HQ74, HO74)</f>
        <v>0</v>
      </c>
      <c r="HH74" s="12">
        <f>HH$4 * IF(AND(HG$4=1,HD$20=1), HQ74, HO74)</f>
        <v>0</v>
      </c>
      <c r="HI74" s="12">
        <f>HI$4 * IF(AND(HH$4=1,HD$20=1), HQ74, HO74)</f>
        <v>0</v>
      </c>
      <c r="HJ74" s="12">
        <f>HJ$4 * IF(AND(HI$4=1,HD$20=1), HQ74, HO74)</f>
        <v>0</v>
      </c>
      <c r="HK74" s="12">
        <f>HK$4 * IF(AND(HJ$4=1,HD$20=1), HQ74, HO74)</f>
        <v>0</v>
      </c>
      <c r="HL74" s="12">
        <f>HL$4 * IF(AND(HK$4=1,HD$20=1), HQ74, HO74)</f>
        <v>0</v>
      </c>
      <c r="HN74" s="16" t="s">
        <v>1304</v>
      </c>
      <c r="HO74">
        <f>_xlfn.XLOOKUP(HN74,'KPI Impacts'!$B$2:$H$2,'KPI Impacts'!$B74:$H74)</f>
        <v>0</v>
      </c>
      <c r="HP74" s="35" t="s">
        <v>1304</v>
      </c>
      <c r="HQ74">
        <f>_xlfn.XLOOKUP(HP74,'KPI Impacts'!$B$2:$H$2,'KPI Impacts'!$B74:$H74)</f>
        <v>0</v>
      </c>
      <c r="HT74" s="12">
        <f>HT$4*IE74</f>
        <v>0</v>
      </c>
      <c r="HU74" s="12">
        <f>HU$4 * IF(AND(HT$4=1,HT$20=1), IG74, IE74)</f>
        <v>0</v>
      </c>
      <c r="HV74" s="12">
        <f>HV$4 * IF(AND(HU$4=1,HT$20=1), IG74, IE74)</f>
        <v>0</v>
      </c>
      <c r="HW74" s="12">
        <f>HW$4 * IF(AND(HV$4=1,HT$20=1), IG74, IE74)</f>
        <v>0</v>
      </c>
      <c r="HX74" s="12">
        <f>HX$4 * IF(AND(HW$4=1,HT$20=1), IG74, IE74)</f>
        <v>0</v>
      </c>
      <c r="HY74" s="12">
        <f>HY$4 * IF(AND(HX$4=1,HT$20=1), IG74, IE74)</f>
        <v>0</v>
      </c>
      <c r="HZ74" s="12">
        <f>HZ$4 * IF(AND(HY$4=1,HT$20=1), IG74, IE74)</f>
        <v>0</v>
      </c>
      <c r="IA74" s="12">
        <f>IA$4 * IF(AND(HZ$4=1,HT$20=1), IG74, IE74)</f>
        <v>0</v>
      </c>
      <c r="IB74" s="12">
        <f>IB$4 * IF(AND(IA$4=1,HT$20=1), IG74, IE74)</f>
        <v>0</v>
      </c>
      <c r="ID74" s="16" t="s">
        <v>1304</v>
      </c>
      <c r="IE74">
        <f>_xlfn.XLOOKUP(ID74,'KPI Impacts'!$B$2:$H$2,'KPI Impacts'!$B74:$H74)</f>
        <v>0</v>
      </c>
      <c r="IF74" s="35" t="s">
        <v>1304</v>
      </c>
      <c r="IG74">
        <f>_xlfn.XLOOKUP(IF74,'KPI Impacts'!$B$2:$H$2,'KPI Impacts'!$B74:$H74)</f>
        <v>0</v>
      </c>
      <c r="IJ74" s="12">
        <f>IJ$4*IU74</f>
        <v>0</v>
      </c>
      <c r="IK74" s="12">
        <f>IK$4 * IF(AND(IJ$4=1,IJ$20=1), IW74, IU74)</f>
        <v>0</v>
      </c>
      <c r="IL74" s="12">
        <f>IL$4 * IF(AND(IK$4=1,IJ$20=1), IW74, IU74)</f>
        <v>0</v>
      </c>
      <c r="IM74" s="12">
        <f>IM$4 * IF(AND(IL$4=1,IJ$20=1), IW74, IU74)</f>
        <v>0</v>
      </c>
      <c r="IN74" s="12">
        <f>IN$4 * IF(AND(IM$4=1,IJ$20=1), IW74, IU74)</f>
        <v>0</v>
      </c>
      <c r="IO74" s="12">
        <f>IO$4 * IF(AND(IN$4=1,IJ$20=1), IW74, IU74)</f>
        <v>0</v>
      </c>
      <c r="IP74" s="12">
        <f>IP$4 * IF(AND(IO$4=1,IJ$20=1), IW74, IU74)</f>
        <v>0</v>
      </c>
      <c r="IQ74" s="12">
        <f>IQ$4 * IF(AND(IP$4=1,IJ$20=1), IW74, IU74)</f>
        <v>0</v>
      </c>
      <c r="IR74" s="12">
        <f>IR$4 * IF(AND(IQ$4=1,IJ$20=1), IW74, IU74)</f>
        <v>0</v>
      </c>
      <c r="IT74" s="16" t="s">
        <v>1304</v>
      </c>
      <c r="IU74">
        <f>_xlfn.XLOOKUP(IT74,'KPI Impacts'!$B$2:$H$2,'KPI Impacts'!$B74:$H74)</f>
        <v>0</v>
      </c>
      <c r="IV74" s="35" t="s">
        <v>1304</v>
      </c>
      <c r="IW74">
        <f>_xlfn.XLOOKUP(IV74,'KPI Impacts'!$B$2:$H$2,'KPI Impacts'!$B74:$H74)</f>
        <v>0</v>
      </c>
      <c r="IZ74" s="12">
        <f>IZ$4*JK74</f>
        <v>0</v>
      </c>
      <c r="JA74" s="12">
        <f>JA$4 * IF(AND(IZ$4=1,IZ$20=1), JM74, JK74)</f>
        <v>0</v>
      </c>
      <c r="JB74" s="12">
        <f>JB$4 * IF(AND(JA$4=1,IZ$20=1), JM74, JK74)</f>
        <v>0</v>
      </c>
      <c r="JC74" s="12">
        <f>JC$4 * IF(AND(JB$4=1,IZ$20=1), JM74, JK74)</f>
        <v>0</v>
      </c>
      <c r="JD74" s="12">
        <f>JD$4 * IF(AND(JC$4=1,IZ$20=1), JM74, JK74)</f>
        <v>0</v>
      </c>
      <c r="JE74" s="12">
        <f>JE$4 * IF(AND(JD$4=1,IZ$20=1), JM74, JK74)</f>
        <v>0</v>
      </c>
      <c r="JF74" s="12">
        <f>JF$4 * IF(AND(JE$4=1,IZ$20=1), JM74, JK74)</f>
        <v>0</v>
      </c>
      <c r="JG74" s="12">
        <f>JG$4 * IF(AND(JF$4=1,IZ$20=1), JM74, JK74)</f>
        <v>0</v>
      </c>
      <c r="JH74" s="12">
        <f>JH$4 * IF(AND(JG$4=1,IZ$20=1), JM74, JK74)</f>
        <v>0</v>
      </c>
      <c r="JJ74" t="s">
        <v>1304</v>
      </c>
      <c r="JK74">
        <f>_xlfn.XLOOKUP(JJ74,'KPI Impacts'!$B$2:$H$2,'KPI Impacts'!$B74:$H74)</f>
        <v>0</v>
      </c>
      <c r="JL74" s="9" t="s">
        <v>1304</v>
      </c>
      <c r="JM74">
        <f>_xlfn.XLOOKUP(JL74,'KPI Impacts'!$B$2:$H$2,'KPI Impacts'!$B74:$H74)</f>
        <v>0</v>
      </c>
      <c r="JP74" s="12">
        <f>JP$4*KA74</f>
        <v>0</v>
      </c>
      <c r="JQ74" s="12">
        <f>JQ$4 * IF(AND(JP$4=1,JP$20=1), KC74, KA74)</f>
        <v>0</v>
      </c>
      <c r="JR74" s="12">
        <f>JR$4 * IF(AND(JQ$4=1,JP$20=1), KC74, KA74)</f>
        <v>0</v>
      </c>
      <c r="JS74" s="12">
        <f>JS$4 * IF(AND(JR$4=1,JP$20=1), KC74, KA74)</f>
        <v>0</v>
      </c>
      <c r="JT74" s="12">
        <f>JT$4 * IF(AND(JS$4=1,JP$20=1), KC74, KA74)</f>
        <v>0</v>
      </c>
      <c r="JU74" s="12">
        <f>JU$4 * IF(AND(JT$4=1,JP$20=1), KC74, KA74)</f>
        <v>0</v>
      </c>
      <c r="JV74" s="12">
        <f>JV$4 * IF(AND(JU$4=1,JP$20=1), KC74, KA74)</f>
        <v>0</v>
      </c>
      <c r="JW74" s="12">
        <f>JW$4 * IF(AND(JV$4=1,JP$20=1), KC74, KA74)</f>
        <v>0</v>
      </c>
      <c r="JX74" s="12">
        <f>JX$4 * IF(AND(JW$4=1,JP$20=1), KC74, KA74)</f>
        <v>0</v>
      </c>
      <c r="JZ74" t="s">
        <v>1304</v>
      </c>
      <c r="KA74">
        <f>_xlfn.XLOOKUP(JZ74,'KPI Impacts'!$B$2:$H$2,'KPI Impacts'!$B74:$H74)</f>
        <v>0</v>
      </c>
      <c r="KB74" s="9" t="s">
        <v>1304</v>
      </c>
      <c r="KC74">
        <f>_xlfn.XLOOKUP(KB74,'KPI Impacts'!$B$2:$H$2,'KPI Impacts'!$B74:$H74)</f>
        <v>0</v>
      </c>
      <c r="KF74" s="12">
        <f>KF$4*KQ74</f>
        <v>0</v>
      </c>
      <c r="KG74" s="12">
        <f>KG$4 * IF(AND(KF$4=1,KF$20=1), KS74, KQ74)</f>
        <v>0</v>
      </c>
      <c r="KH74" s="12">
        <f>KH$4 * IF(AND(KG$4=1,KF$20=1), KS74, KQ74)</f>
        <v>0</v>
      </c>
      <c r="KI74" s="12">
        <f>KI$4 * IF(AND(KH$4=1,KF$20=1), KS74, KQ74)</f>
        <v>0</v>
      </c>
      <c r="KJ74" s="12">
        <f>KJ$4 * IF(AND(KI$4=1,KF$20=1), KS74, KQ74)</f>
        <v>0</v>
      </c>
      <c r="KK74" s="12">
        <f>KK$4 * IF(AND(KJ$4=1,KF$20=1), KS74, KQ74)</f>
        <v>0</v>
      </c>
      <c r="KL74" s="12">
        <f>KL$4 * IF(AND(KK$4=1,KF$20=1), KS74, KQ74)</f>
        <v>0</v>
      </c>
      <c r="KM74" s="12">
        <f>KM$4 * IF(AND(KL$4=1,KF$20=1), KS74, KQ74)</f>
        <v>0</v>
      </c>
      <c r="KN74" s="12">
        <f>KN$4 * IF(AND(KM$4=1,KF$20=1), KS74, KQ74)</f>
        <v>0</v>
      </c>
      <c r="KP74" t="s">
        <v>1304</v>
      </c>
      <c r="KQ74">
        <f>_xlfn.XLOOKUP(KP74,'KPI Impacts'!$B$2:$H$2,'KPI Impacts'!$B74:$H74)</f>
        <v>0</v>
      </c>
      <c r="KR74" s="9" t="s">
        <v>1304</v>
      </c>
      <c r="KS74">
        <f>_xlfn.XLOOKUP(KR74,'KPI Impacts'!$B$2:$H$2,'KPI Impacts'!$B74:$H74)</f>
        <v>0</v>
      </c>
      <c r="KV74" s="12">
        <f>KV$4*LG74</f>
        <v>0</v>
      </c>
      <c r="KW74" s="12">
        <f>KW$4 * IF(AND(KV$4=1,KV$20=1), LI74, LG74)</f>
        <v>0</v>
      </c>
      <c r="KX74" s="12">
        <f>KX$4 * IF(AND(KW$4=1,KV$20=1), LI74, LG74)</f>
        <v>0</v>
      </c>
      <c r="KY74" s="12">
        <f>KY$4 * IF(AND(KX$4=1,KV$20=1), LI74, LG74)</f>
        <v>0</v>
      </c>
      <c r="KZ74" s="12">
        <f>KZ$4 * IF(AND(KY$4=1,KV$20=1), LI74, LG74)</f>
        <v>0</v>
      </c>
      <c r="LA74" s="12">
        <f>LA$4 * IF(AND(KZ$4=1,KV$20=1), LI74, LG74)</f>
        <v>0</v>
      </c>
      <c r="LB74" s="12">
        <f>LB$4 * IF(AND(LA$4=1,KV$20=1), LI74, LG74)</f>
        <v>0</v>
      </c>
      <c r="LC74" s="12">
        <f>LC$4 * IF(AND(LB$4=1,KV$20=1), LI74, LG74)</f>
        <v>0</v>
      </c>
      <c r="LD74" s="12">
        <f>LD$4 * IF(AND(LC$4=1,KV$20=1), LI74, LG74)</f>
        <v>0</v>
      </c>
      <c r="LF74" t="s">
        <v>1304</v>
      </c>
      <c r="LG74">
        <f>_xlfn.XLOOKUP(LF74,'KPI Impacts'!$B$2:$H$2,'KPI Impacts'!$B74:$H74)</f>
        <v>0</v>
      </c>
      <c r="LH74" s="9" t="s">
        <v>1304</v>
      </c>
      <c r="LI74">
        <f>_xlfn.XLOOKUP(LH74,'KPI Impacts'!$B$2:$H$2,'KPI Impacts'!$B74:$H74)</f>
        <v>0</v>
      </c>
      <c r="LL74" s="12">
        <f>LL$4*LW74</f>
        <v>0</v>
      </c>
      <c r="LM74" s="12">
        <f>LM$4 * IF(AND(LL$4=1,LL$20=1), LY74, LW74)</f>
        <v>0</v>
      </c>
      <c r="LN74" s="12">
        <f>LN$4 * IF(AND(LM$4=1,LL$20=1), LY74, LW74)</f>
        <v>0</v>
      </c>
      <c r="LO74" s="12">
        <f>LO$4 * IF(AND(LN$4=1,LL$20=1), LY74, LW74)</f>
        <v>0</v>
      </c>
      <c r="LP74" s="12">
        <f>LP$4 * IF(AND(LO$4=1,LL$20=1), LY74, LW74)</f>
        <v>0</v>
      </c>
      <c r="LQ74" s="12">
        <f>LQ$4 * IF(AND(LP$4=1,LL$20=1), LY74, LW74)</f>
        <v>0</v>
      </c>
      <c r="LR74" s="12">
        <f>LR$4 * IF(AND(LQ$4=1,LL$20=1), LY74, LW74)</f>
        <v>0</v>
      </c>
      <c r="LS74" s="12">
        <f>LS$4 * IF(AND(LR$4=1,LL$20=1), LY74, LW74)</f>
        <v>0</v>
      </c>
      <c r="LT74" s="12">
        <f>LT$4 * IF(AND(LS$4=1,LL$20=1), LY74, LW74)</f>
        <v>0</v>
      </c>
      <c r="LV74" t="s">
        <v>1304</v>
      </c>
      <c r="LW74">
        <f>_xlfn.XLOOKUP(LV74,'KPI Impacts'!$B$2:$H$2,'KPI Impacts'!$B74:$H74)</f>
        <v>0</v>
      </c>
      <c r="LX74" s="9" t="s">
        <v>1304</v>
      </c>
      <c r="LY74">
        <f>_xlfn.XLOOKUP(LX74,'KPI Impacts'!$B$2:$H$2,'KPI Impacts'!$B74:$H74)</f>
        <v>0</v>
      </c>
      <c r="MB74" s="12">
        <f>MB$4*MM74</f>
        <v>0</v>
      </c>
      <c r="MC74" s="12">
        <f>MC$4 * IF(AND(MB$4=1,MB$20=1), MO74, MM74)</f>
        <v>0</v>
      </c>
      <c r="MD74" s="12">
        <f>MD$4 * IF(AND(MC$4=1,MB$20=1), MO74, MM74)</f>
        <v>0</v>
      </c>
      <c r="ME74" s="12">
        <f>ME$4 * IF(AND(MD$4=1,MB$20=1), MO74, MM74)</f>
        <v>0</v>
      </c>
      <c r="MF74" s="12">
        <f>MF$4 * IF(AND(ME$4=1,MB$20=1), MO74, MM74)</f>
        <v>0</v>
      </c>
      <c r="MG74" s="12">
        <f>MG$4 * IF(AND(MF$4=1,MB$20=1), MO74, MM74)</f>
        <v>0</v>
      </c>
      <c r="MH74" s="12">
        <f>MH$4 * IF(AND(MG$4=1,MB$20=1), MO74, MM74)</f>
        <v>0</v>
      </c>
      <c r="MI74" s="12">
        <f>MI$4 * IF(AND(MH$4=1,MB$20=1), MO74, MM74)</f>
        <v>0</v>
      </c>
      <c r="MJ74" s="12">
        <f>MJ$4 * IF(AND(MI$4=1,MB$20=1), MO74, MM74)</f>
        <v>0</v>
      </c>
      <c r="ML74" t="s">
        <v>1304</v>
      </c>
      <c r="MM74">
        <f>_xlfn.XLOOKUP(ML74,'KPI Impacts'!$B$2:$H$2,'KPI Impacts'!$B74:$H74)</f>
        <v>0</v>
      </c>
      <c r="MN74" s="9" t="s">
        <v>1304</v>
      </c>
      <c r="MO74">
        <f>_xlfn.XLOOKUP(MN74,'KPI Impacts'!$B$2:$H$2,'KPI Impacts'!$B74:$H74)</f>
        <v>0</v>
      </c>
      <c r="MR74" s="12">
        <f>MR$4*NC74</f>
        <v>0</v>
      </c>
      <c r="MS74" s="12">
        <f>MS$4 * IF(AND(MR$4=1,MR$20=1), NE74, NC74)</f>
        <v>0</v>
      </c>
      <c r="MT74" s="12">
        <f>MT$4 * IF(AND(MS$4=1,MR$20=1), NE74, NC74)</f>
        <v>0</v>
      </c>
      <c r="MU74" s="12">
        <f>MU$4 * IF(AND(MT$4=1,MR$20=1), NE74, NC74)</f>
        <v>0</v>
      </c>
      <c r="MV74" s="12">
        <f>MV$4 * IF(AND(MU$4=1,MR$20=1), NE74, NC74)</f>
        <v>0</v>
      </c>
      <c r="MW74" s="12">
        <f>MW$4 * IF(AND(MV$4=1,MR$20=1), NE74, NC74)</f>
        <v>0</v>
      </c>
      <c r="MX74" s="12">
        <f>MX$4 * IF(AND(MW$4=1,MR$20=1), NE74, NC74)</f>
        <v>0</v>
      </c>
      <c r="MY74" s="12">
        <f>MY$4 * IF(AND(MX$4=1,MR$20=1), NE74, NC74)</f>
        <v>0</v>
      </c>
      <c r="MZ74" s="12">
        <f>MZ$4 * IF(AND(MY$4=1,MR$20=1), NE74, NC74)</f>
        <v>0</v>
      </c>
      <c r="NB74" t="s">
        <v>1304</v>
      </c>
      <c r="NC74">
        <f>_xlfn.XLOOKUP(NB74,'KPI Impacts'!$B$2:$H$2,'KPI Impacts'!$B74:$H74)</f>
        <v>0</v>
      </c>
      <c r="ND74" s="9" t="s">
        <v>1304</v>
      </c>
      <c r="NE74">
        <f>_xlfn.XLOOKUP(ND74,'KPI Impacts'!$B$2:$H$2,'KPI Impacts'!$B74:$H74)</f>
        <v>0</v>
      </c>
      <c r="NH74" s="12">
        <f>NH$4*NS74</f>
        <v>0</v>
      </c>
      <c r="NI74" s="12">
        <f>NI$4 * IF(AND(NH$4=1,NH$20=1), NU74, NS74)</f>
        <v>0</v>
      </c>
      <c r="NJ74" s="12">
        <f>NJ$4 * IF(AND(NI$4=1,NH$20=1), NU74, NS74)</f>
        <v>0</v>
      </c>
      <c r="NK74" s="12">
        <f>NK$4 * IF(AND(NJ$4=1,NH$20=1), NU74, NS74)</f>
        <v>0</v>
      </c>
      <c r="NL74" s="12">
        <f>NL$4 * IF(AND(NK$4=1,NH$20=1), NU74, NS74)</f>
        <v>0</v>
      </c>
      <c r="NM74" s="12">
        <f>NM$4 * IF(AND(NL$4=1,NH$20=1), NU74, NS74)</f>
        <v>0</v>
      </c>
      <c r="NN74" s="12">
        <f>NN$4 * IF(AND(NM$4=1,NH$20=1), NU74, NS74)</f>
        <v>0</v>
      </c>
      <c r="NO74" s="12">
        <f>NO$4 * IF(AND(NN$4=1,NH$20=1), NU74, NS74)</f>
        <v>0</v>
      </c>
      <c r="NP74" s="12">
        <f>NP$4 * IF(AND(NO$4=1,NH$20=1), NU74, NS74)</f>
        <v>0</v>
      </c>
      <c r="NR74" t="s">
        <v>1304</v>
      </c>
      <c r="NS74">
        <f>_xlfn.XLOOKUP(NR74,'KPI Impacts'!$B$2:$H$2,'KPI Impacts'!$B74:$H74)</f>
        <v>0</v>
      </c>
      <c r="NT74" s="9" t="s">
        <v>1304</v>
      </c>
      <c r="NU74">
        <f>_xlfn.XLOOKUP(NT74,'KPI Impacts'!$B$2:$H$2,'KPI Impacts'!$B74:$H74)</f>
        <v>0</v>
      </c>
      <c r="NX74" s="12">
        <f>NX$4*OI74</f>
        <v>0</v>
      </c>
      <c r="NY74" s="12">
        <f>NY$4 * IF(AND(NX$4=1,NX$20=1), OK74, OI74)</f>
        <v>0</v>
      </c>
      <c r="NZ74" s="12">
        <f>NZ$4 * IF(AND(NY$4=1,NX$20=1), OK74, OI74)</f>
        <v>0</v>
      </c>
      <c r="OA74" s="12">
        <f>OA$4 * IF(AND(NZ$4=1,NX$20=1), OK74, OI74)</f>
        <v>0</v>
      </c>
      <c r="OB74" s="12">
        <f>OB$4 * IF(AND(OA$4=1,NX$20=1), OK74, OI74)</f>
        <v>0</v>
      </c>
      <c r="OC74" s="12">
        <f>OC$4 * IF(AND(OB$4=1,NX$20=1), OK74, OI74)</f>
        <v>0</v>
      </c>
      <c r="OD74" s="12">
        <f>OD$4 * IF(AND(OC$4=1,NX$20=1), OK74, OI74)</f>
        <v>0</v>
      </c>
      <c r="OE74" s="12">
        <f>OE$4 * IF(AND(OD$4=1,NX$20=1), OK74, OI74)</f>
        <v>0</v>
      </c>
      <c r="OF74" s="12">
        <f>OF$4 * IF(AND(OE$4=1,NX$20=1), OK74, OI74)</f>
        <v>0</v>
      </c>
      <c r="OH74" t="s">
        <v>1304</v>
      </c>
      <c r="OI74">
        <f>_xlfn.XLOOKUP(OH74,'KPI Impacts'!$B$2:$H$2,'KPI Impacts'!$B74:$H74)</f>
        <v>0</v>
      </c>
      <c r="OJ74" s="9" t="s">
        <v>1304</v>
      </c>
      <c r="OK74">
        <f>_xlfn.XLOOKUP(OJ74,'KPI Impacts'!$B$2:$H$2,'KPI Impacts'!$B74:$H74)</f>
        <v>0</v>
      </c>
    </row>
    <row r="75" spans="1:401" x14ac:dyDescent="0.2">
      <c r="A75" t="s">
        <v>1311</v>
      </c>
      <c r="B75" s="12">
        <f t="shared" si="516"/>
        <v>0</v>
      </c>
      <c r="C75" s="12">
        <f t="shared" si="516"/>
        <v>0</v>
      </c>
      <c r="D75" s="12">
        <f t="shared" si="516"/>
        <v>0</v>
      </c>
      <c r="E75" s="12">
        <f t="shared" si="516"/>
        <v>0</v>
      </c>
      <c r="F75" s="12">
        <f t="shared" si="516"/>
        <v>0</v>
      </c>
      <c r="G75" s="12">
        <f t="shared" si="516"/>
        <v>0</v>
      </c>
      <c r="H75" s="12">
        <f t="shared" si="516"/>
        <v>0</v>
      </c>
      <c r="I75" s="12">
        <f t="shared" si="516"/>
        <v>0</v>
      </c>
      <c r="J75" s="12">
        <f t="shared" si="516"/>
        <v>0</v>
      </c>
      <c r="P75" s="12" cm="1">
        <f t="array" ref="P75">_xlfn.SWITCH(P$4, 0,0, 1, AA75,2,AC75,3,AE75,0)</f>
        <v>0</v>
      </c>
      <c r="Q75" s="12" cm="1">
        <f t="array" ref="Q75">_xlfn.SWITCH(Q$4, 0,0, 1, AA75,2,AC75,3,AE75,0)+P75</f>
        <v>0</v>
      </c>
      <c r="R75" s="12" cm="1">
        <f t="array" ref="R75">_xlfn.SWITCH(R$4, 0,0, 1, AA75,2,AC75,3,AE75,0)+Q75</f>
        <v>0</v>
      </c>
      <c r="S75" s="12" cm="1">
        <f t="array" ref="S75">_xlfn.SWITCH(S$4, 0,0, 1, AA75,2,AC75,3,AE75,0)+R75</f>
        <v>0</v>
      </c>
      <c r="T75" s="12" cm="1">
        <f t="array" ref="T75">_xlfn.SWITCH(T$4, 0,0, 1, AA75,2,AC75,3,AE75,0)+S75</f>
        <v>0</v>
      </c>
      <c r="U75" s="12" cm="1">
        <f t="array" ref="U75">_xlfn.SWITCH(U$4, 0,0, 1, AA75,2,AC75,3,AE75,0)+T75</f>
        <v>0</v>
      </c>
      <c r="V75" s="12" cm="1">
        <f t="array" ref="V75">_xlfn.SWITCH(V$4, 0,0, 1, AA75,2,AC75,3,AE75,0)+U75</f>
        <v>0</v>
      </c>
      <c r="W75" s="12" cm="1">
        <f t="array" ref="W75">_xlfn.SWITCH(W$4, 0,0, 1, AA75,2,AC75,3,AE75,0)+V75</f>
        <v>0</v>
      </c>
      <c r="X75" s="12" cm="1">
        <f t="array" ref="X75">_xlfn.SWITCH(X$4, 0,0, 1, AA75,2,AC75,3,AE75,0)+W75</f>
        <v>0</v>
      </c>
      <c r="Z75" t="s">
        <v>1304</v>
      </c>
      <c r="AA75">
        <f>_xlfn.XLOOKUP(Z75,'KPI Impacts'!$K$2:$Q$2,'KPI Impacts'!$K75:$Q75)</f>
        <v>0</v>
      </c>
      <c r="AB75" t="s">
        <v>1304</v>
      </c>
      <c r="AC75">
        <f>_xlfn.XLOOKUP(AB75,'KPI Impacts'!$K$2:$Q$2,'KPI Impacts'!$K75:$Q75)</f>
        <v>0</v>
      </c>
      <c r="AD75" t="s">
        <v>1304</v>
      </c>
      <c r="AE75">
        <f>_xlfn.XLOOKUP(AD75,'KPI Impacts'!$K$2:$Q$2,'KPI Impacts'!$K75:$Q75)</f>
        <v>0</v>
      </c>
      <c r="AH75" s="12" cm="1">
        <f t="array" ref="AH75">_xlfn.SWITCH(AH$4, 0,0, 1, AS75,2,AU75,3,AW75,0)</f>
        <v>0</v>
      </c>
      <c r="AI75" s="12" cm="1">
        <f t="array" ref="AI75">_xlfn.SWITCH(AI$4, 0,0, 1, AS75,2,AU75,3,AW75,0)+AH75</f>
        <v>0</v>
      </c>
      <c r="AJ75" s="12" cm="1">
        <f t="array" ref="AJ75">_xlfn.SWITCH(AJ$4, 0,0, 1, AS75,2,AU75,3,AW75,0)+AI75</f>
        <v>0</v>
      </c>
      <c r="AK75" s="12" cm="1">
        <f t="array" ref="AK75">_xlfn.SWITCH(AK$4, 0,0, 1, AS75,2,AU75,3,AW75,0)+AJ75</f>
        <v>0</v>
      </c>
      <c r="AL75" s="12" cm="1">
        <f t="array" ref="AL75">_xlfn.SWITCH(AL$4, 0,0, 1, AS75,2,AU75,3,AW75,0)+AK75</f>
        <v>0</v>
      </c>
      <c r="AM75" s="12" cm="1">
        <f t="array" ref="AM75">_xlfn.SWITCH(AM$4, 0,0, 1, AS75,2,AU75,3,AW75,0)+AL75</f>
        <v>0</v>
      </c>
      <c r="AN75" s="12" cm="1">
        <f t="array" ref="AN75">_xlfn.SWITCH(AN$4, 0,0, 1, AS75,2,AU75,3,AW75,0)+AM75</f>
        <v>0</v>
      </c>
      <c r="AO75" s="12" cm="1">
        <f t="array" ref="AO75">_xlfn.SWITCH(AO$4, 0,0, 1, AS75,2,AU75,3,AW75,0)+AN75</f>
        <v>0</v>
      </c>
      <c r="AP75" s="12" cm="1">
        <f t="array" ref="AP75">_xlfn.SWITCH(AP$4, 0,0, 1, AS75,2,AU75,3,AW75,0)+AO75</f>
        <v>0</v>
      </c>
      <c r="AR75" t="s">
        <v>1304</v>
      </c>
      <c r="AS75">
        <f>_xlfn.XLOOKUP(AR75,'KPI Impacts'!$K$2:$Q$2,'KPI Impacts'!$K75:$Q75)</f>
        <v>0</v>
      </c>
      <c r="AT75" t="s">
        <v>1304</v>
      </c>
      <c r="AU75">
        <f>_xlfn.XLOOKUP(AT75,'KPI Impacts'!$K$2:$Q$2,'KPI Impacts'!$K75:$Q75)</f>
        <v>0</v>
      </c>
      <c r="AV75" t="s">
        <v>1304</v>
      </c>
      <c r="AW75">
        <f>_xlfn.XLOOKUP(AV75,'KPI Impacts'!$K$2:$Q$2,'KPI Impacts'!$K75:$Q75)</f>
        <v>0</v>
      </c>
      <c r="AZ75" s="12">
        <f>AZ$4*BK75</f>
        <v>0</v>
      </c>
      <c r="BA75" s="12">
        <f>BA$4 * IF(AND(AZ$4=1,AZ$20=1), BM75, BK75)</f>
        <v>0</v>
      </c>
      <c r="BB75" s="12">
        <f>BB$4 * IF(AND(BA$4=1,AZ$20=1), BM75, BK75)</f>
        <v>0</v>
      </c>
      <c r="BC75" s="12">
        <f>BC$4 * IF(AND(BB$4=1,AZ$20=1), BM75, BK75)</f>
        <v>0</v>
      </c>
      <c r="BD75" s="12">
        <f>BD$4 * IF(AND(BC$4=1,AZ$20=1), BM75, BK75)</f>
        <v>0</v>
      </c>
      <c r="BE75" s="12">
        <f>BE$4 * IF(AND(BD$4=1,AZ$20=1), BM75, BK75)</f>
        <v>0</v>
      </c>
      <c r="BF75" s="12">
        <f>BF$4 * IF(AND(BE$4=1,AZ$20=1), BM75, BK75)</f>
        <v>0</v>
      </c>
      <c r="BG75" s="12">
        <f>BG$4 * IF(AND(BF$4=1,AZ$20=1), BM75, BK75)</f>
        <v>0</v>
      </c>
      <c r="BH75" s="12">
        <f>BH$4 * IF(AND(BG$4=1,AZ$20=1), BM75, BK75)</f>
        <v>0</v>
      </c>
      <c r="BJ75" s="16" t="s">
        <v>1304</v>
      </c>
      <c r="BK75">
        <f>_xlfn.XLOOKUP(BJ75,'KPI Impacts'!$B$2:$H$2,'KPI Impacts'!$B75:$H75)</f>
        <v>0</v>
      </c>
      <c r="BL75" s="35" t="s">
        <v>1304</v>
      </c>
      <c r="BM75">
        <f>_xlfn.XLOOKUP(BL75,'KPI Impacts'!$B$2:$H$2,'KPI Impacts'!$B75:$H75)</f>
        <v>0</v>
      </c>
      <c r="BP75" s="12">
        <f>BP$4*CA75</f>
        <v>0</v>
      </c>
      <c r="BQ75" s="12">
        <f>BQ$4 * IF(AND(BP$4=1,BP$20=1), CC75, CA75)</f>
        <v>0</v>
      </c>
      <c r="BR75" s="12">
        <f>BR$4 * IF(AND(BQ$4=1,BP$20=1), CC75, CA75)</f>
        <v>0</v>
      </c>
      <c r="BS75" s="12">
        <f>BS$4 * IF(AND(BR$4=1,BP$20=1), CC75, CA75)</f>
        <v>0</v>
      </c>
      <c r="BT75" s="12">
        <f>BT$4 * IF(AND(BS$4=1,BP$20=1), CC75, CA75)</f>
        <v>0</v>
      </c>
      <c r="BU75" s="12">
        <f>BU$4 * IF(AND(BT$4=1,BP$20=1), CC75, CA75)</f>
        <v>0</v>
      </c>
      <c r="BV75" s="12">
        <f>BV$4 * IF(AND(BU$4=1,BP$20=1), CC75, CA75)</f>
        <v>0</v>
      </c>
      <c r="BW75" s="12">
        <f>BW$4 * IF(AND(BV$4=1,BP$20=1), CC75, CA75)</f>
        <v>0</v>
      </c>
      <c r="BX75" s="12">
        <f>BX$4 * IF(AND(BW$4=1,BP$20=1), CC75, CA75)</f>
        <v>0</v>
      </c>
      <c r="BZ75" s="16" t="s">
        <v>1304</v>
      </c>
      <c r="CA75">
        <f>_xlfn.XLOOKUP(BZ75,'KPI Impacts'!$B$2:$H$2,'KPI Impacts'!$B75:$H75)</f>
        <v>0</v>
      </c>
      <c r="CB75" s="9" t="s">
        <v>1304</v>
      </c>
      <c r="CC75">
        <f>_xlfn.XLOOKUP(CB75,'KPI Impacts'!$B$2:$H$2,'KPI Impacts'!$B75:$H75)</f>
        <v>0</v>
      </c>
      <c r="CF75" s="12">
        <f>CF$4*CQ75</f>
        <v>0</v>
      </c>
      <c r="CG75" s="12">
        <f>CG$4 * IF(AND(CF$4=1,CF$20=1), CS75, CQ75)</f>
        <v>0</v>
      </c>
      <c r="CH75" s="12">
        <f>CH$4 * IF(AND(CG$4=1,CF$20=1), CS75, CQ75)</f>
        <v>0</v>
      </c>
      <c r="CI75" s="12">
        <f>CI$4 * IF(AND(CH$4=1,CF$20=1), CS75, CQ75)</f>
        <v>0</v>
      </c>
      <c r="CJ75" s="12">
        <f>CJ$4 * IF(AND(CI$4=1,CF$20=1), CS75, CQ75)</f>
        <v>0</v>
      </c>
      <c r="CK75" s="12">
        <f>CK$4 * IF(AND(CJ$4=1,CF$20=1), CS75, CQ75)</f>
        <v>0</v>
      </c>
      <c r="CL75" s="12">
        <f>CL$4 * IF(AND(CK$4=1,CF$20=1), CS75, CQ75)</f>
        <v>0</v>
      </c>
      <c r="CM75" s="12">
        <f>CM$4 * IF(AND(CL$4=1,CF$20=1), CS75, CQ75)</f>
        <v>0</v>
      </c>
      <c r="CN75" s="12">
        <f>CN$4 * IF(AND(CM$4=1,CF$20=1), CS75, CQ75)</f>
        <v>0</v>
      </c>
      <c r="CP75" s="16" t="s">
        <v>1304</v>
      </c>
      <c r="CQ75">
        <f>_xlfn.XLOOKUP(CP75,'KPI Impacts'!$B$2:$H$2,'KPI Impacts'!$B75:$H75)</f>
        <v>0</v>
      </c>
      <c r="CR75" s="35" t="s">
        <v>1304</v>
      </c>
      <c r="CS75">
        <f>_xlfn.XLOOKUP(CR75,'KPI Impacts'!$B$2:$H$2,'KPI Impacts'!$B75:$H75)</f>
        <v>0</v>
      </c>
      <c r="CV75" s="12">
        <f>CV$4*DG75</f>
        <v>0</v>
      </c>
      <c r="CW75" s="12">
        <f>CW$4 * IF(AND(CV$4=1,CV$20=1), DI75, DG75)</f>
        <v>0</v>
      </c>
      <c r="CX75" s="12">
        <f>CX$4 * IF(AND(CW$4=1,CV$20=1), DI75, DG75)</f>
        <v>0</v>
      </c>
      <c r="CY75" s="12">
        <f>CY$4 * IF(AND(CX$4=1,CV$20=1), DI75, DG75)</f>
        <v>0</v>
      </c>
      <c r="CZ75" s="12">
        <f>CZ$4 * IF(AND(CY$4=1,CV$20=1), DI75, DG75)</f>
        <v>0</v>
      </c>
      <c r="DA75" s="12">
        <f>DA$4 * IF(AND(CZ$4=1,CV$20=1), DI75, DG75)</f>
        <v>0</v>
      </c>
      <c r="DB75" s="12">
        <f>DB$4 * IF(AND(DA$4=1,CV$20=1), DI75, DG75)</f>
        <v>0</v>
      </c>
      <c r="DC75" s="12">
        <f>DC$4 * IF(AND(DB$4=1,CV$20=1), DI75, DG75)</f>
        <v>0</v>
      </c>
      <c r="DD75" s="12">
        <f>DD$4 * IF(AND(DC$4=1,CV$20=1), DI75, DG75)</f>
        <v>0</v>
      </c>
      <c r="DF75" s="16" t="s">
        <v>1304</v>
      </c>
      <c r="DG75">
        <f>_xlfn.XLOOKUP(DF75,'KPI Impacts'!$B$2:$H$2,'KPI Impacts'!$B75:$H75)</f>
        <v>0</v>
      </c>
      <c r="DH75" s="35" t="s">
        <v>1304</v>
      </c>
      <c r="DI75">
        <f>_xlfn.XLOOKUP(DH75,'KPI Impacts'!$B$2:$H$2,'KPI Impacts'!$B75:$H75)</f>
        <v>0</v>
      </c>
      <c r="DL75" s="12">
        <f>DL$4*DW75</f>
        <v>0</v>
      </c>
      <c r="DM75" s="12">
        <f>DM$4 * IF(AND(DL$4=1,DL$20=1), DY75, DW75)</f>
        <v>0</v>
      </c>
      <c r="DN75" s="12">
        <f>DN$4 * IF(AND(DM$4=1,DL$20=1), DY75, DW75)</f>
        <v>0</v>
      </c>
      <c r="DO75" s="12">
        <f>DO$4 * IF(AND(DN$4=1,DL$20=1), DY75, DW75)</f>
        <v>0</v>
      </c>
      <c r="DP75" s="12">
        <f>DP$4 * IF(AND(DO$4=1,DL$20=1), DY75, DW75)</f>
        <v>0</v>
      </c>
      <c r="DQ75" s="12">
        <f>DQ$4 * IF(AND(DP$4=1,DL$20=1), DY75, DW75)</f>
        <v>0</v>
      </c>
      <c r="DR75" s="12">
        <f>DR$4 * IF(AND(DQ$4=1,DL$20=1), DY75, DW75)</f>
        <v>0</v>
      </c>
      <c r="DS75" s="12">
        <f>DS$4 * IF(AND(DR$4=1,DL$20=1), DY75, DW75)</f>
        <v>0</v>
      </c>
      <c r="DT75" s="12">
        <f>DT$4 * IF(AND(DS$4=1,DL$20=1), DY75, DW75)</f>
        <v>0</v>
      </c>
      <c r="DV75" s="16" t="s">
        <v>1304</v>
      </c>
      <c r="DW75">
        <f>_xlfn.XLOOKUP(DV75,'KPI Impacts'!$B$2:$H$2,'KPI Impacts'!$B75:$H75)</f>
        <v>0</v>
      </c>
      <c r="DX75" s="35" t="s">
        <v>1304</v>
      </c>
      <c r="DY75">
        <f>_xlfn.XLOOKUP(DX75,'KPI Impacts'!$B$2:$H$2,'KPI Impacts'!$B75:$H75)</f>
        <v>0</v>
      </c>
      <c r="EB75" s="12">
        <f>EB$4*EM75</f>
        <v>0</v>
      </c>
      <c r="EC75" s="12">
        <f>EC$4 * IF(AND(EB$4=1,EB$20=1), EO75, EM75)</f>
        <v>0</v>
      </c>
      <c r="ED75" s="12">
        <f>ED$4 * IF(AND(EC$4=1,EB$20=1), EO75, EM75)</f>
        <v>0</v>
      </c>
      <c r="EE75" s="12">
        <f>EE$4 * IF(AND(ED$4=1,EB$20=1), EO75, EM75)</f>
        <v>0</v>
      </c>
      <c r="EF75" s="12">
        <f>EF$4 * IF(AND(EE$4=1,EB$20=1), EO75, EM75)</f>
        <v>0</v>
      </c>
      <c r="EG75" s="12">
        <f>EG$4 * IF(AND(EF$4=1,EB$20=1), EO75, EM75)</f>
        <v>0</v>
      </c>
      <c r="EH75" s="12">
        <f>EH$4 * IF(AND(EG$4=1,EB$20=1), EO75, EM75)</f>
        <v>0</v>
      </c>
      <c r="EI75" s="12">
        <f>EI$4 * IF(AND(EH$4=1,EB$20=1), EO75, EM75)</f>
        <v>0</v>
      </c>
      <c r="EJ75" s="12">
        <f>EJ$4 * IF(AND(EI$4=1,EB$20=1), EO75, EM75)</f>
        <v>0</v>
      </c>
      <c r="EL75" s="16" t="s">
        <v>1304</v>
      </c>
      <c r="EM75">
        <f>_xlfn.XLOOKUP(EL75,'KPI Impacts'!$B$2:$H$2,'KPI Impacts'!$B75:$H75)</f>
        <v>0</v>
      </c>
      <c r="EN75" s="35" t="s">
        <v>1304</v>
      </c>
      <c r="EO75">
        <f>_xlfn.XLOOKUP(EN75,'KPI Impacts'!$B$2:$H$2,'KPI Impacts'!$B75:$H75)</f>
        <v>0</v>
      </c>
      <c r="ER75" s="12">
        <f>ER$4*FC75</f>
        <v>0</v>
      </c>
      <c r="ES75" s="12">
        <f>ES$4 * IF(AND(ER$4=1,ER$20=1), FE75, FC75)</f>
        <v>0</v>
      </c>
      <c r="ET75" s="12">
        <f>ET$4 * IF(AND(ES$4=1,ER$20=1), FE75, FC75)</f>
        <v>0</v>
      </c>
      <c r="EU75" s="12">
        <f>EU$4 * IF(AND(ET$4=1,ER$20=1), FE75, FC75)</f>
        <v>0</v>
      </c>
      <c r="EV75" s="12">
        <f>EV$4 * IF(AND(EU$4=1,ER$20=1), FE75, FC75)</f>
        <v>0</v>
      </c>
      <c r="EW75" s="12">
        <f>EW$4 * IF(AND(EV$4=1,ER$20=1), FE75, FC75)</f>
        <v>0</v>
      </c>
      <c r="EX75" s="12">
        <f>EX$4 * IF(AND(EW$4=1,ER$20=1), FE75, FC75)</f>
        <v>0</v>
      </c>
      <c r="EY75" s="12">
        <f>EY$4 * IF(AND(EX$4=1,ER$20=1), FE75, FC75)</f>
        <v>0</v>
      </c>
      <c r="EZ75" s="12">
        <f>EZ$4 * IF(AND(EY$4=1,ER$20=1), FE75, FC75)</f>
        <v>0</v>
      </c>
      <c r="FB75" s="16" t="s">
        <v>1304</v>
      </c>
      <c r="FC75">
        <f>_xlfn.XLOOKUP(FB75,'KPI Impacts'!$B$2:$H$2,'KPI Impacts'!$B75:$H75)</f>
        <v>0</v>
      </c>
      <c r="FD75" s="35" t="s">
        <v>1304</v>
      </c>
      <c r="FE75">
        <f>_xlfn.XLOOKUP(FD75,'KPI Impacts'!$B$2:$H$2,'KPI Impacts'!$B75:$H75)</f>
        <v>0</v>
      </c>
      <c r="FH75" s="12">
        <f>FH$4*FS75</f>
        <v>0</v>
      </c>
      <c r="FI75" s="12">
        <f>FI$4 * IF(AND(FH$4=1,FH$20=1), FU75, FS75)</f>
        <v>0</v>
      </c>
      <c r="FJ75" s="12">
        <f>FJ$4 * IF(AND(FI$4=1,FH$20=1), FU75, FS75)</f>
        <v>0</v>
      </c>
      <c r="FK75" s="12">
        <f>FK$4 * IF(AND(FJ$4=1,FH$20=1), FU75, FS75)</f>
        <v>0</v>
      </c>
      <c r="FL75" s="12">
        <f>FL$4 * IF(AND(FK$4=1,FH$20=1), FU75, FS75)</f>
        <v>0</v>
      </c>
      <c r="FM75" s="12">
        <f>FM$4 * IF(AND(FL$4=1,FH$20=1), FU75, FS75)</f>
        <v>0</v>
      </c>
      <c r="FN75" s="12">
        <f>FN$4 * IF(AND(FM$4=1,FH$20=1), FU75, FS75)</f>
        <v>0</v>
      </c>
      <c r="FO75" s="12">
        <f>FO$4 * IF(AND(FN$4=1,FH$20=1), FU75, FS75)</f>
        <v>0</v>
      </c>
      <c r="FP75" s="12">
        <f>FP$4 * IF(AND(FO$4=1,FH$20=1), FU75, FS75)</f>
        <v>0</v>
      </c>
      <c r="FR75" s="16" t="s">
        <v>1304</v>
      </c>
      <c r="FS75">
        <f>_xlfn.XLOOKUP(FR75,'KPI Impacts'!$B$2:$H$2,'KPI Impacts'!$B75:$H75)</f>
        <v>0</v>
      </c>
      <c r="FT75" s="35" t="s">
        <v>1304</v>
      </c>
      <c r="FU75">
        <f>_xlfn.XLOOKUP(FT75,'KPI Impacts'!$B$2:$H$2,'KPI Impacts'!$B75:$H75)</f>
        <v>0</v>
      </c>
      <c r="FX75" s="12">
        <f>FX$4*GI75</f>
        <v>0</v>
      </c>
      <c r="FY75" s="12">
        <f>FY$4 * IF(AND(FX$4=1,FX$20=1), GK75, GI75)</f>
        <v>0</v>
      </c>
      <c r="FZ75" s="12">
        <f>FZ$4 * IF(AND(FY$4=1,FX$20=1), GK75, GI75)</f>
        <v>0</v>
      </c>
      <c r="GA75" s="12">
        <f>GA$4 * IF(AND(FZ$4=1,FX$20=1), GK75, GI75)</f>
        <v>0</v>
      </c>
      <c r="GB75" s="12">
        <f>GB$4 * IF(AND(GA$4=1,FX$20=1), GK75, GI75)</f>
        <v>0</v>
      </c>
      <c r="GC75" s="12">
        <f>GC$4 * IF(AND(GB$4=1,FX$20=1), GK75, GI75)</f>
        <v>0</v>
      </c>
      <c r="GD75" s="12">
        <f>GD$4 * IF(AND(GC$4=1,FX$20=1), GK75, GI75)</f>
        <v>0</v>
      </c>
      <c r="GE75" s="12">
        <f>GE$4 * IF(AND(GD$4=1,FX$20=1), GK75, GI75)</f>
        <v>0</v>
      </c>
      <c r="GF75" s="12">
        <f>GF$4 * IF(AND(GE$4=1,FX$20=1), GK75, GI75)</f>
        <v>0</v>
      </c>
      <c r="GH75" s="16" t="s">
        <v>1304</v>
      </c>
      <c r="GI75">
        <f>_xlfn.XLOOKUP(GH75,'KPI Impacts'!$B$2:$H$2,'KPI Impacts'!$B75:$H75)</f>
        <v>0</v>
      </c>
      <c r="GJ75" s="35" t="s">
        <v>1304</v>
      </c>
      <c r="GK75">
        <f>_xlfn.XLOOKUP(GJ75,'KPI Impacts'!$B$2:$H$2,'KPI Impacts'!$B75:$H75)</f>
        <v>0</v>
      </c>
      <c r="GN75" s="12">
        <f>GN$4*GY75</f>
        <v>0</v>
      </c>
      <c r="GO75" s="12">
        <f>GO$4 * IF(AND(GN$4=1,GN$20=1), HA75, GY75)</f>
        <v>0</v>
      </c>
      <c r="GP75" s="12">
        <f>GP$4 * IF(AND(GO$4=1,GN$20=1), HA75, GY75)</f>
        <v>0</v>
      </c>
      <c r="GQ75" s="12">
        <f>GQ$4 * IF(AND(GP$4=1,GN$20=1), HA75, GY75)</f>
        <v>0</v>
      </c>
      <c r="GR75" s="12">
        <f>GR$4 * IF(AND(GQ$4=1,GN$20=1), HA75, GY75)</f>
        <v>0</v>
      </c>
      <c r="GS75" s="12">
        <f>GS$4 * IF(AND(GR$4=1,GN$20=1), HA75, GY75)</f>
        <v>0</v>
      </c>
      <c r="GT75" s="12">
        <f>GT$4 * IF(AND(GS$4=1,GN$20=1), HA75, GY75)</f>
        <v>0</v>
      </c>
      <c r="GU75" s="12">
        <f>GU$4 * IF(AND(GT$4=1,GN$20=1), HA75, GY75)</f>
        <v>0</v>
      </c>
      <c r="GV75" s="12">
        <f>GV$4 * IF(AND(GU$4=1,GN$20=1), HA75, GY75)</f>
        <v>0</v>
      </c>
      <c r="GX75" s="16" t="s">
        <v>1304</v>
      </c>
      <c r="GY75">
        <f>_xlfn.XLOOKUP(GX75,'KPI Impacts'!$B$2:$H$2,'KPI Impacts'!$B75:$H75)</f>
        <v>0</v>
      </c>
      <c r="GZ75" s="35" t="s">
        <v>1304</v>
      </c>
      <c r="HA75">
        <f>_xlfn.XLOOKUP(GZ75,'KPI Impacts'!$B$2:$H$2,'KPI Impacts'!$B75:$H75)</f>
        <v>0</v>
      </c>
      <c r="HD75" s="12">
        <f>HD$4*HO75</f>
        <v>0</v>
      </c>
      <c r="HE75" s="12">
        <f>HE$4 * IF(AND(HD$4=1,HD$20=1), HQ75, HO75)</f>
        <v>0</v>
      </c>
      <c r="HF75" s="12">
        <f>HF$4 * IF(AND(HE$4=1,HD$20=1), HQ75, HO75)</f>
        <v>0</v>
      </c>
      <c r="HG75" s="12">
        <f>HG$4 * IF(AND(HF$4=1,HD$20=1), HQ75, HO75)</f>
        <v>0</v>
      </c>
      <c r="HH75" s="12">
        <f>HH$4 * IF(AND(HG$4=1,HD$20=1), HQ75, HO75)</f>
        <v>0</v>
      </c>
      <c r="HI75" s="12">
        <f>HI$4 * IF(AND(HH$4=1,HD$20=1), HQ75, HO75)</f>
        <v>0</v>
      </c>
      <c r="HJ75" s="12">
        <f>HJ$4 * IF(AND(HI$4=1,HD$20=1), HQ75, HO75)</f>
        <v>0</v>
      </c>
      <c r="HK75" s="12">
        <f>HK$4 * IF(AND(HJ$4=1,HD$20=1), HQ75, HO75)</f>
        <v>0</v>
      </c>
      <c r="HL75" s="12">
        <f>HL$4 * IF(AND(HK$4=1,HD$20=1), HQ75, HO75)</f>
        <v>0</v>
      </c>
      <c r="HN75" s="16" t="s">
        <v>1304</v>
      </c>
      <c r="HO75">
        <f>_xlfn.XLOOKUP(HN75,'KPI Impacts'!$B$2:$H$2,'KPI Impacts'!$B75:$H75)</f>
        <v>0</v>
      </c>
      <c r="HP75" s="35" t="s">
        <v>1304</v>
      </c>
      <c r="HQ75">
        <f>_xlfn.XLOOKUP(HP75,'KPI Impacts'!$B$2:$H$2,'KPI Impacts'!$B75:$H75)</f>
        <v>0</v>
      </c>
      <c r="HT75" s="12">
        <f>HT$4*IE75</f>
        <v>0</v>
      </c>
      <c r="HU75" s="12">
        <f>HU$4 * IF(AND(HT$4=1,HT$20=1), IG75, IE75)</f>
        <v>0</v>
      </c>
      <c r="HV75" s="12">
        <f>HV$4 * IF(AND(HU$4=1,HT$20=1), IG75, IE75)</f>
        <v>0</v>
      </c>
      <c r="HW75" s="12">
        <f>HW$4 * IF(AND(HV$4=1,HT$20=1), IG75, IE75)</f>
        <v>0</v>
      </c>
      <c r="HX75" s="12">
        <f>HX$4 * IF(AND(HW$4=1,HT$20=1), IG75, IE75)</f>
        <v>0</v>
      </c>
      <c r="HY75" s="12">
        <f>HY$4 * IF(AND(HX$4=1,HT$20=1), IG75, IE75)</f>
        <v>0</v>
      </c>
      <c r="HZ75" s="12">
        <f>HZ$4 * IF(AND(HY$4=1,HT$20=1), IG75, IE75)</f>
        <v>0</v>
      </c>
      <c r="IA75" s="12">
        <f>IA$4 * IF(AND(HZ$4=1,HT$20=1), IG75, IE75)</f>
        <v>0</v>
      </c>
      <c r="IB75" s="12">
        <f>IB$4 * IF(AND(IA$4=1,HT$20=1), IG75, IE75)</f>
        <v>0</v>
      </c>
      <c r="ID75" s="16" t="s">
        <v>1304</v>
      </c>
      <c r="IE75">
        <f>_xlfn.XLOOKUP(ID75,'KPI Impacts'!$B$2:$H$2,'KPI Impacts'!$B75:$H75)</f>
        <v>0</v>
      </c>
      <c r="IF75" s="35" t="s">
        <v>1304</v>
      </c>
      <c r="IG75">
        <f>_xlfn.XLOOKUP(IF75,'KPI Impacts'!$B$2:$H$2,'KPI Impacts'!$B75:$H75)</f>
        <v>0</v>
      </c>
      <c r="IJ75" s="12">
        <f>IJ$4*IU75</f>
        <v>0</v>
      </c>
      <c r="IK75" s="12">
        <f>IK$4 * IF(AND(IJ$4=1,IJ$20=1), IW75, IU75)</f>
        <v>0</v>
      </c>
      <c r="IL75" s="12">
        <f>IL$4 * IF(AND(IK$4=1,IJ$20=1), IW75, IU75)</f>
        <v>0</v>
      </c>
      <c r="IM75" s="12">
        <f>IM$4 * IF(AND(IL$4=1,IJ$20=1), IW75, IU75)</f>
        <v>0</v>
      </c>
      <c r="IN75" s="12">
        <f>IN$4 * IF(AND(IM$4=1,IJ$20=1), IW75, IU75)</f>
        <v>0</v>
      </c>
      <c r="IO75" s="12">
        <f>IO$4 * IF(AND(IN$4=1,IJ$20=1), IW75, IU75)</f>
        <v>0</v>
      </c>
      <c r="IP75" s="12">
        <f>IP$4 * IF(AND(IO$4=1,IJ$20=1), IW75, IU75)</f>
        <v>0</v>
      </c>
      <c r="IQ75" s="12">
        <f>IQ$4 * IF(AND(IP$4=1,IJ$20=1), IW75, IU75)</f>
        <v>0</v>
      </c>
      <c r="IR75" s="12">
        <f>IR$4 * IF(AND(IQ$4=1,IJ$20=1), IW75, IU75)</f>
        <v>0</v>
      </c>
      <c r="IT75" s="16" t="s">
        <v>1304</v>
      </c>
      <c r="IU75">
        <f>_xlfn.XLOOKUP(IT75,'KPI Impacts'!$B$2:$H$2,'KPI Impacts'!$B75:$H75)</f>
        <v>0</v>
      </c>
      <c r="IV75" s="35" t="s">
        <v>1304</v>
      </c>
      <c r="IW75">
        <f>_xlfn.XLOOKUP(IV75,'KPI Impacts'!$B$2:$H$2,'KPI Impacts'!$B75:$H75)</f>
        <v>0</v>
      </c>
      <c r="IZ75" s="12">
        <f>IZ$4*JK75</f>
        <v>0</v>
      </c>
      <c r="JA75" s="12">
        <f>JA$4 * IF(AND(IZ$4=1,IZ$20=1), JM75, JK75)</f>
        <v>0</v>
      </c>
      <c r="JB75" s="12">
        <f>JB$4 * IF(AND(JA$4=1,IZ$20=1), JM75, JK75)</f>
        <v>0</v>
      </c>
      <c r="JC75" s="12">
        <f>JC$4 * IF(AND(JB$4=1,IZ$20=1), JM75, JK75)</f>
        <v>0</v>
      </c>
      <c r="JD75" s="12">
        <f>JD$4 * IF(AND(JC$4=1,IZ$20=1), JM75, JK75)</f>
        <v>0</v>
      </c>
      <c r="JE75" s="12">
        <f>JE$4 * IF(AND(JD$4=1,IZ$20=1), JM75, JK75)</f>
        <v>0</v>
      </c>
      <c r="JF75" s="12">
        <f>JF$4 * IF(AND(JE$4=1,IZ$20=1), JM75, JK75)</f>
        <v>0</v>
      </c>
      <c r="JG75" s="12">
        <f>JG$4 * IF(AND(JF$4=1,IZ$20=1), JM75, JK75)</f>
        <v>0</v>
      </c>
      <c r="JH75" s="12">
        <f>JH$4 * IF(AND(JG$4=1,IZ$20=1), JM75, JK75)</f>
        <v>0</v>
      </c>
      <c r="JJ75" t="s">
        <v>1304</v>
      </c>
      <c r="JK75">
        <f>_xlfn.XLOOKUP(JJ75,'KPI Impacts'!$B$2:$H$2,'KPI Impacts'!$B75:$H75)</f>
        <v>0</v>
      </c>
      <c r="JL75" s="9" t="s">
        <v>1304</v>
      </c>
      <c r="JM75">
        <f>_xlfn.XLOOKUP(JL75,'KPI Impacts'!$B$2:$H$2,'KPI Impacts'!$B75:$H75)</f>
        <v>0</v>
      </c>
      <c r="JP75" s="12">
        <f>JP$4*KA75</f>
        <v>0</v>
      </c>
      <c r="JQ75" s="12">
        <f>JQ$4 * IF(AND(JP$4=1,JP$20=1), KC75, KA75)</f>
        <v>0</v>
      </c>
      <c r="JR75" s="12">
        <f>JR$4 * IF(AND(JQ$4=1,JP$20=1), KC75, KA75)</f>
        <v>0</v>
      </c>
      <c r="JS75" s="12">
        <f>JS$4 * IF(AND(JR$4=1,JP$20=1), KC75, KA75)</f>
        <v>0</v>
      </c>
      <c r="JT75" s="12">
        <f>JT$4 * IF(AND(JS$4=1,JP$20=1), KC75, KA75)</f>
        <v>0</v>
      </c>
      <c r="JU75" s="12">
        <f>JU$4 * IF(AND(JT$4=1,JP$20=1), KC75, KA75)</f>
        <v>0</v>
      </c>
      <c r="JV75" s="12">
        <f>JV$4 * IF(AND(JU$4=1,JP$20=1), KC75, KA75)</f>
        <v>0</v>
      </c>
      <c r="JW75" s="12">
        <f>JW$4 * IF(AND(JV$4=1,JP$20=1), KC75, KA75)</f>
        <v>0</v>
      </c>
      <c r="JX75" s="12">
        <f>JX$4 * IF(AND(JW$4=1,JP$20=1), KC75, KA75)</f>
        <v>0</v>
      </c>
      <c r="JZ75" t="s">
        <v>1304</v>
      </c>
      <c r="KA75">
        <f>_xlfn.XLOOKUP(JZ75,'KPI Impacts'!$B$2:$H$2,'KPI Impacts'!$B75:$H75)</f>
        <v>0</v>
      </c>
      <c r="KB75" s="9" t="s">
        <v>1304</v>
      </c>
      <c r="KC75">
        <f>_xlfn.XLOOKUP(KB75,'KPI Impacts'!$B$2:$H$2,'KPI Impacts'!$B75:$H75)</f>
        <v>0</v>
      </c>
      <c r="KF75" s="12">
        <f>KF$4*KQ75</f>
        <v>0</v>
      </c>
      <c r="KG75" s="12">
        <f>KG$4 * IF(AND(KF$4=1,KF$20=1), KS75, KQ75)</f>
        <v>0</v>
      </c>
      <c r="KH75" s="12">
        <f>KH$4 * IF(AND(KG$4=1,KF$20=1), KS75, KQ75)</f>
        <v>0</v>
      </c>
      <c r="KI75" s="12">
        <f>KI$4 * IF(AND(KH$4=1,KF$20=1), KS75, KQ75)</f>
        <v>0</v>
      </c>
      <c r="KJ75" s="12">
        <f>KJ$4 * IF(AND(KI$4=1,KF$20=1), KS75, KQ75)</f>
        <v>0</v>
      </c>
      <c r="KK75" s="12">
        <f>KK$4 * IF(AND(KJ$4=1,KF$20=1), KS75, KQ75)</f>
        <v>0</v>
      </c>
      <c r="KL75" s="12">
        <f>KL$4 * IF(AND(KK$4=1,KF$20=1), KS75, KQ75)</f>
        <v>0</v>
      </c>
      <c r="KM75" s="12">
        <f>KM$4 * IF(AND(KL$4=1,KF$20=1), KS75, KQ75)</f>
        <v>0</v>
      </c>
      <c r="KN75" s="12">
        <f>KN$4 * IF(AND(KM$4=1,KF$20=1), KS75, KQ75)</f>
        <v>0</v>
      </c>
      <c r="KP75" t="s">
        <v>1304</v>
      </c>
      <c r="KQ75">
        <f>_xlfn.XLOOKUP(KP75,'KPI Impacts'!$B$2:$H$2,'KPI Impacts'!$B75:$H75)</f>
        <v>0</v>
      </c>
      <c r="KR75" s="9" t="s">
        <v>1304</v>
      </c>
      <c r="KS75">
        <f>_xlfn.XLOOKUP(KR75,'KPI Impacts'!$B$2:$H$2,'KPI Impacts'!$B75:$H75)</f>
        <v>0</v>
      </c>
      <c r="KV75" s="12">
        <f>KV$4*LG75</f>
        <v>0</v>
      </c>
      <c r="KW75" s="12">
        <f>KW$4 * IF(AND(KV$4=1,KV$20=1), LI75, LG75)</f>
        <v>0</v>
      </c>
      <c r="KX75" s="12">
        <f>KX$4 * IF(AND(KW$4=1,KV$20=1), LI75, LG75)</f>
        <v>0</v>
      </c>
      <c r="KY75" s="12">
        <f>KY$4 * IF(AND(KX$4=1,KV$20=1), LI75, LG75)</f>
        <v>0</v>
      </c>
      <c r="KZ75" s="12">
        <f>KZ$4 * IF(AND(KY$4=1,KV$20=1), LI75, LG75)</f>
        <v>0</v>
      </c>
      <c r="LA75" s="12">
        <f>LA$4 * IF(AND(KZ$4=1,KV$20=1), LI75, LG75)</f>
        <v>0</v>
      </c>
      <c r="LB75" s="12">
        <f>LB$4 * IF(AND(LA$4=1,KV$20=1), LI75, LG75)</f>
        <v>0</v>
      </c>
      <c r="LC75" s="12">
        <f>LC$4 * IF(AND(LB$4=1,KV$20=1), LI75, LG75)</f>
        <v>0</v>
      </c>
      <c r="LD75" s="12">
        <f>LD$4 * IF(AND(LC$4=1,KV$20=1), LI75, LG75)</f>
        <v>0</v>
      </c>
      <c r="LF75" t="s">
        <v>1304</v>
      </c>
      <c r="LG75">
        <f>_xlfn.XLOOKUP(LF75,'KPI Impacts'!$B$2:$H$2,'KPI Impacts'!$B75:$H75)</f>
        <v>0</v>
      </c>
      <c r="LH75" s="9" t="s">
        <v>1304</v>
      </c>
      <c r="LI75">
        <f>_xlfn.XLOOKUP(LH75,'KPI Impacts'!$B$2:$H$2,'KPI Impacts'!$B75:$H75)</f>
        <v>0</v>
      </c>
      <c r="LL75" s="12">
        <f>LL$4*LW75</f>
        <v>0</v>
      </c>
      <c r="LM75" s="12">
        <f>LM$4 * IF(AND(LL$4=1,LL$20=1), LY75, LW75)</f>
        <v>0</v>
      </c>
      <c r="LN75" s="12">
        <f>LN$4 * IF(AND(LM$4=1,LL$20=1), LY75, LW75)</f>
        <v>0</v>
      </c>
      <c r="LO75" s="12">
        <f>LO$4 * IF(AND(LN$4=1,LL$20=1), LY75, LW75)</f>
        <v>0</v>
      </c>
      <c r="LP75" s="12">
        <f>LP$4 * IF(AND(LO$4=1,LL$20=1), LY75, LW75)</f>
        <v>0</v>
      </c>
      <c r="LQ75" s="12">
        <f>LQ$4 * IF(AND(LP$4=1,LL$20=1), LY75, LW75)</f>
        <v>0</v>
      </c>
      <c r="LR75" s="12">
        <f>LR$4 * IF(AND(LQ$4=1,LL$20=1), LY75, LW75)</f>
        <v>0</v>
      </c>
      <c r="LS75" s="12">
        <f>LS$4 * IF(AND(LR$4=1,LL$20=1), LY75, LW75)</f>
        <v>0</v>
      </c>
      <c r="LT75" s="12">
        <f>LT$4 * IF(AND(LS$4=1,LL$20=1), LY75, LW75)</f>
        <v>0</v>
      </c>
      <c r="LV75" t="s">
        <v>1304</v>
      </c>
      <c r="LW75">
        <f>_xlfn.XLOOKUP(LV75,'KPI Impacts'!$B$2:$H$2,'KPI Impacts'!$B75:$H75)</f>
        <v>0</v>
      </c>
      <c r="LX75" s="9" t="s">
        <v>1304</v>
      </c>
      <c r="LY75">
        <f>_xlfn.XLOOKUP(LX75,'KPI Impacts'!$B$2:$H$2,'KPI Impacts'!$B75:$H75)</f>
        <v>0</v>
      </c>
      <c r="MB75" s="12">
        <f>MB$4*MM75</f>
        <v>0</v>
      </c>
      <c r="MC75" s="12">
        <f>MC$4 * IF(AND(MB$4=1,MB$20=1), MO75, MM75)</f>
        <v>0</v>
      </c>
      <c r="MD75" s="12">
        <f>MD$4 * IF(AND(MC$4=1,MB$20=1), MO75, MM75)</f>
        <v>0</v>
      </c>
      <c r="ME75" s="12">
        <f>ME$4 * IF(AND(MD$4=1,MB$20=1), MO75, MM75)</f>
        <v>0</v>
      </c>
      <c r="MF75" s="12">
        <f>MF$4 * IF(AND(ME$4=1,MB$20=1), MO75, MM75)</f>
        <v>0</v>
      </c>
      <c r="MG75" s="12">
        <f>MG$4 * IF(AND(MF$4=1,MB$20=1), MO75, MM75)</f>
        <v>0</v>
      </c>
      <c r="MH75" s="12">
        <f>MH$4 * IF(AND(MG$4=1,MB$20=1), MO75, MM75)</f>
        <v>0</v>
      </c>
      <c r="MI75" s="12">
        <f>MI$4 * IF(AND(MH$4=1,MB$20=1), MO75, MM75)</f>
        <v>0</v>
      </c>
      <c r="MJ75" s="12">
        <f>MJ$4 * IF(AND(MI$4=1,MB$20=1), MO75, MM75)</f>
        <v>0</v>
      </c>
      <c r="ML75" t="s">
        <v>1304</v>
      </c>
      <c r="MM75">
        <f>_xlfn.XLOOKUP(ML75,'KPI Impacts'!$B$2:$H$2,'KPI Impacts'!$B75:$H75)</f>
        <v>0</v>
      </c>
      <c r="MN75" s="9" t="s">
        <v>1304</v>
      </c>
      <c r="MO75">
        <f>_xlfn.XLOOKUP(MN75,'KPI Impacts'!$B$2:$H$2,'KPI Impacts'!$B75:$H75)</f>
        <v>0</v>
      </c>
      <c r="MR75" s="12">
        <f>MR$4*NC75</f>
        <v>0</v>
      </c>
      <c r="MS75" s="12">
        <f>MS$4 * IF(AND(MR$4=1,MR$20=1), NE75, NC75)</f>
        <v>0</v>
      </c>
      <c r="MT75" s="12">
        <f>MT$4 * IF(AND(MS$4=1,MR$20=1), NE75, NC75)</f>
        <v>0</v>
      </c>
      <c r="MU75" s="12">
        <f>MU$4 * IF(AND(MT$4=1,MR$20=1), NE75, NC75)</f>
        <v>0</v>
      </c>
      <c r="MV75" s="12">
        <f>MV$4 * IF(AND(MU$4=1,MR$20=1), NE75, NC75)</f>
        <v>0</v>
      </c>
      <c r="MW75" s="12">
        <f>MW$4 * IF(AND(MV$4=1,MR$20=1), NE75, NC75)</f>
        <v>0</v>
      </c>
      <c r="MX75" s="12">
        <f>MX$4 * IF(AND(MW$4=1,MR$20=1), NE75, NC75)</f>
        <v>0</v>
      </c>
      <c r="MY75" s="12">
        <f>MY$4 * IF(AND(MX$4=1,MR$20=1), NE75, NC75)</f>
        <v>0</v>
      </c>
      <c r="MZ75" s="12">
        <f>MZ$4 * IF(AND(MY$4=1,MR$20=1), NE75, NC75)</f>
        <v>0</v>
      </c>
      <c r="NB75" t="s">
        <v>1304</v>
      </c>
      <c r="NC75">
        <f>_xlfn.XLOOKUP(NB75,'KPI Impacts'!$B$2:$H$2,'KPI Impacts'!$B75:$H75)</f>
        <v>0</v>
      </c>
      <c r="ND75" s="9" t="s">
        <v>1304</v>
      </c>
      <c r="NE75">
        <f>_xlfn.XLOOKUP(ND75,'KPI Impacts'!$B$2:$H$2,'KPI Impacts'!$B75:$H75)</f>
        <v>0</v>
      </c>
      <c r="NH75" s="12">
        <f>NH$4*NS75</f>
        <v>0</v>
      </c>
      <c r="NI75" s="12">
        <f>NI$4 * IF(AND(NH$4=1,NH$20=1), NU75, NS75)</f>
        <v>0</v>
      </c>
      <c r="NJ75" s="12">
        <f>NJ$4 * IF(AND(NI$4=1,NH$20=1), NU75, NS75)</f>
        <v>0</v>
      </c>
      <c r="NK75" s="12">
        <f>NK$4 * IF(AND(NJ$4=1,NH$20=1), NU75, NS75)</f>
        <v>0</v>
      </c>
      <c r="NL75" s="12">
        <f>NL$4 * IF(AND(NK$4=1,NH$20=1), NU75, NS75)</f>
        <v>0</v>
      </c>
      <c r="NM75" s="12">
        <f>NM$4 * IF(AND(NL$4=1,NH$20=1), NU75, NS75)</f>
        <v>0</v>
      </c>
      <c r="NN75" s="12">
        <f>NN$4 * IF(AND(NM$4=1,NH$20=1), NU75, NS75)</f>
        <v>0</v>
      </c>
      <c r="NO75" s="12">
        <f>NO$4 * IF(AND(NN$4=1,NH$20=1), NU75, NS75)</f>
        <v>0</v>
      </c>
      <c r="NP75" s="12">
        <f>NP$4 * IF(AND(NO$4=1,NH$20=1), NU75, NS75)</f>
        <v>0</v>
      </c>
      <c r="NR75" t="s">
        <v>1304</v>
      </c>
      <c r="NS75">
        <f>_xlfn.XLOOKUP(NR75,'KPI Impacts'!$B$2:$H$2,'KPI Impacts'!$B75:$H75)</f>
        <v>0</v>
      </c>
      <c r="NT75" s="9" t="s">
        <v>1304</v>
      </c>
      <c r="NU75">
        <f>_xlfn.XLOOKUP(NT75,'KPI Impacts'!$B$2:$H$2,'KPI Impacts'!$B75:$H75)</f>
        <v>0</v>
      </c>
      <c r="NX75" s="12">
        <f>NX$4*OI75</f>
        <v>0</v>
      </c>
      <c r="NY75" s="12">
        <f>NY$4 * IF(AND(NX$4=1,NX$20=1), OK75, OI75)</f>
        <v>0</v>
      </c>
      <c r="NZ75" s="12">
        <f>NZ$4 * IF(AND(NY$4=1,NX$20=1), OK75, OI75)</f>
        <v>0</v>
      </c>
      <c r="OA75" s="12">
        <f>OA$4 * IF(AND(NZ$4=1,NX$20=1), OK75, OI75)</f>
        <v>0</v>
      </c>
      <c r="OB75" s="12">
        <f>OB$4 * IF(AND(OA$4=1,NX$20=1), OK75, OI75)</f>
        <v>0</v>
      </c>
      <c r="OC75" s="12">
        <f>OC$4 * IF(AND(OB$4=1,NX$20=1), OK75, OI75)</f>
        <v>0</v>
      </c>
      <c r="OD75" s="12">
        <f>OD$4 * IF(AND(OC$4=1,NX$20=1), OK75, OI75)</f>
        <v>0</v>
      </c>
      <c r="OE75" s="12">
        <f>OE$4 * IF(AND(OD$4=1,NX$20=1), OK75, OI75)</f>
        <v>0</v>
      </c>
      <c r="OF75" s="12">
        <f>OF$4 * IF(AND(OE$4=1,NX$20=1), OK75, OI75)</f>
        <v>0</v>
      </c>
      <c r="OH75" t="s">
        <v>1304</v>
      </c>
      <c r="OI75">
        <f>_xlfn.XLOOKUP(OH75,'KPI Impacts'!$B$2:$H$2,'KPI Impacts'!$B75:$H75)</f>
        <v>0</v>
      </c>
      <c r="OJ75" s="9" t="s">
        <v>1304</v>
      </c>
      <c r="OK75">
        <f>_xlfn.XLOOKUP(OJ75,'KPI Impacts'!$B$2:$H$2,'KPI Impacts'!$B75:$H75)</f>
        <v>0</v>
      </c>
    </row>
    <row r="76" spans="1:401" x14ac:dyDescent="0.2">
      <c r="A76" t="s">
        <v>1312</v>
      </c>
      <c r="B76" s="12">
        <f t="shared" si="516"/>
        <v>0</v>
      </c>
      <c r="C76" s="12">
        <f t="shared" si="516"/>
        <v>0</v>
      </c>
      <c r="D76" s="12">
        <f t="shared" si="516"/>
        <v>0</v>
      </c>
      <c r="E76" s="12">
        <f t="shared" si="516"/>
        <v>0</v>
      </c>
      <c r="F76" s="12">
        <f t="shared" si="516"/>
        <v>0</v>
      </c>
      <c r="G76" s="12">
        <f t="shared" si="516"/>
        <v>0</v>
      </c>
      <c r="H76" s="12">
        <f t="shared" si="516"/>
        <v>0</v>
      </c>
      <c r="I76" s="12">
        <f t="shared" si="516"/>
        <v>0</v>
      </c>
      <c r="J76" s="12">
        <f t="shared" si="516"/>
        <v>0</v>
      </c>
      <c r="P76" s="12" cm="1">
        <f t="array" ref="P76">_xlfn.SWITCH(P$4, 0,0, 1, AA76,2,AC76,3,AE76,0)</f>
        <v>0</v>
      </c>
      <c r="Q76" s="12" cm="1">
        <f t="array" ref="Q76">_xlfn.SWITCH(Q$4, 0,0, 1, AA76,2,AC76,3,AE76,0)+P76</f>
        <v>0</v>
      </c>
      <c r="R76" s="12" cm="1">
        <f t="array" ref="R76">_xlfn.SWITCH(R$4, 0,0, 1, AA76,2,AC76,3,AE76,0)+Q76</f>
        <v>0</v>
      </c>
      <c r="S76" s="12" cm="1">
        <f t="array" ref="S76">_xlfn.SWITCH(S$4, 0,0, 1, AA76,2,AC76,3,AE76,0)+R76</f>
        <v>0</v>
      </c>
      <c r="T76" s="12" cm="1">
        <f t="array" ref="T76">_xlfn.SWITCH(T$4, 0,0, 1, AA76,2,AC76,3,AE76,0)+S76</f>
        <v>0</v>
      </c>
      <c r="U76" s="12" cm="1">
        <f t="array" ref="U76">_xlfn.SWITCH(U$4, 0,0, 1, AA76,2,AC76,3,AE76,0)+T76</f>
        <v>0</v>
      </c>
      <c r="V76" s="12" cm="1">
        <f t="array" ref="V76">_xlfn.SWITCH(V$4, 0,0, 1, AA76,2,AC76,3,AE76,0)+U76</f>
        <v>0</v>
      </c>
      <c r="W76" s="12" cm="1">
        <f t="array" ref="W76">_xlfn.SWITCH(W$4, 0,0, 1, AA76,2,AC76,3,AE76,0)+V76</f>
        <v>0</v>
      </c>
      <c r="X76" s="12" cm="1">
        <f t="array" ref="X76">_xlfn.SWITCH(X$4, 0,0, 1, AA76,2,AC76,3,AE76,0)+W76</f>
        <v>0</v>
      </c>
      <c r="Z76" t="s">
        <v>1304</v>
      </c>
      <c r="AA76">
        <f>_xlfn.XLOOKUP(Z76,'KPI Impacts'!$K$2:$Q$2,'KPI Impacts'!$K76:$Q76)</f>
        <v>0</v>
      </c>
      <c r="AB76" t="s">
        <v>1304</v>
      </c>
      <c r="AC76">
        <f>_xlfn.XLOOKUP(AB76,'KPI Impacts'!$K$2:$Q$2,'KPI Impacts'!$K76:$Q76)</f>
        <v>0</v>
      </c>
      <c r="AD76" t="s">
        <v>1304</v>
      </c>
      <c r="AE76">
        <f>_xlfn.XLOOKUP(AD76,'KPI Impacts'!$K$2:$Q$2,'KPI Impacts'!$K76:$Q76)</f>
        <v>0</v>
      </c>
      <c r="AH76" s="12" cm="1">
        <f t="array" ref="AH76">_xlfn.SWITCH(AH$4, 0,0, 1, AS76,2,AU76,3,AW76,0)</f>
        <v>0</v>
      </c>
      <c r="AI76" s="12" cm="1">
        <f t="array" ref="AI76">_xlfn.SWITCH(AI$4, 0,0, 1, AS76,2,AU76,3,AW76,0)+AH76</f>
        <v>0</v>
      </c>
      <c r="AJ76" s="12" cm="1">
        <f t="array" ref="AJ76">_xlfn.SWITCH(AJ$4, 0,0, 1, AS76,2,AU76,3,AW76,0)+AI76</f>
        <v>0</v>
      </c>
      <c r="AK76" s="12" cm="1">
        <f t="array" ref="AK76">_xlfn.SWITCH(AK$4, 0,0, 1, AS76,2,AU76,3,AW76,0)+AJ76</f>
        <v>0</v>
      </c>
      <c r="AL76" s="12" cm="1">
        <f t="array" ref="AL76">_xlfn.SWITCH(AL$4, 0,0, 1, AS76,2,AU76,3,AW76,0)+AK76</f>
        <v>0</v>
      </c>
      <c r="AM76" s="12" cm="1">
        <f t="array" ref="AM76">_xlfn.SWITCH(AM$4, 0,0, 1, AS76,2,AU76,3,AW76,0)+AL76</f>
        <v>0</v>
      </c>
      <c r="AN76" s="12" cm="1">
        <f t="array" ref="AN76">_xlfn.SWITCH(AN$4, 0,0, 1, AS76,2,AU76,3,AW76,0)+AM76</f>
        <v>0</v>
      </c>
      <c r="AO76" s="12" cm="1">
        <f t="array" ref="AO76">_xlfn.SWITCH(AO$4, 0,0, 1, AS76,2,AU76,3,AW76,0)+AN76</f>
        <v>0</v>
      </c>
      <c r="AP76" s="12" cm="1">
        <f t="array" ref="AP76">_xlfn.SWITCH(AP$4, 0,0, 1, AS76,2,AU76,3,AW76,0)+AO76</f>
        <v>0</v>
      </c>
      <c r="AR76" t="s">
        <v>1304</v>
      </c>
      <c r="AS76">
        <f>_xlfn.XLOOKUP(AR76,'KPI Impacts'!$K$2:$Q$2,'KPI Impacts'!$K76:$Q76)</f>
        <v>0</v>
      </c>
      <c r="AT76" t="s">
        <v>1304</v>
      </c>
      <c r="AU76">
        <f>_xlfn.XLOOKUP(AT76,'KPI Impacts'!$K$2:$Q$2,'KPI Impacts'!$K76:$Q76)</f>
        <v>0</v>
      </c>
      <c r="AV76" t="s">
        <v>1304</v>
      </c>
      <c r="AW76">
        <f>_xlfn.XLOOKUP(AV76,'KPI Impacts'!$K$2:$Q$2,'KPI Impacts'!$K76:$Q76)</f>
        <v>0</v>
      </c>
      <c r="AZ76" s="12">
        <f>AZ$4*BK76</f>
        <v>0</v>
      </c>
      <c r="BA76" s="12">
        <f>BA$4 * IF(AND(AZ$4=1,AZ$20=1), BM76, BK76)</f>
        <v>0</v>
      </c>
      <c r="BB76" s="12">
        <f>BB$4 * IF(AND(BA$4=1,AZ$20=1), BM76, BK76)</f>
        <v>0</v>
      </c>
      <c r="BC76" s="12">
        <f>BC$4 * IF(AND(BB$4=1,AZ$20=1), BM76, BK76)</f>
        <v>0</v>
      </c>
      <c r="BD76" s="12">
        <f>BD$4 * IF(AND(BC$4=1,AZ$20=1), BM76, BK76)</f>
        <v>0</v>
      </c>
      <c r="BE76" s="12">
        <f>BE$4 * IF(AND(BD$4=1,AZ$20=1), BM76, BK76)</f>
        <v>0</v>
      </c>
      <c r="BF76" s="12">
        <f>BF$4 * IF(AND(BE$4=1,AZ$20=1), BM76, BK76)</f>
        <v>0</v>
      </c>
      <c r="BG76" s="12">
        <f>BG$4 * IF(AND(BF$4=1,AZ$20=1), BM76, BK76)</f>
        <v>0</v>
      </c>
      <c r="BH76" s="12">
        <f>BH$4 * IF(AND(BG$4=1,AZ$20=1), BM76, BK76)</f>
        <v>0</v>
      </c>
      <c r="BJ76" s="16" t="s">
        <v>1304</v>
      </c>
      <c r="BK76">
        <f>_xlfn.XLOOKUP(BJ76,'KPI Impacts'!$B$2:$H$2,'KPI Impacts'!$B76:$H76)</f>
        <v>0</v>
      </c>
      <c r="BL76" s="35" t="s">
        <v>1304</v>
      </c>
      <c r="BM76">
        <f>_xlfn.XLOOKUP(BL76,'KPI Impacts'!$B$2:$H$2,'KPI Impacts'!$B76:$H76)</f>
        <v>0</v>
      </c>
      <c r="BP76" s="12">
        <f>BP$4*CA76</f>
        <v>0</v>
      </c>
      <c r="BQ76" s="12">
        <f>BQ$4 * IF(AND(BP$4=1,BP$20=1), CC76, CA76)</f>
        <v>0</v>
      </c>
      <c r="BR76" s="12">
        <f>BR$4 * IF(AND(BQ$4=1,BP$20=1), CC76, CA76)</f>
        <v>0</v>
      </c>
      <c r="BS76" s="12">
        <f>BS$4 * IF(AND(BR$4=1,BP$20=1), CC76, CA76)</f>
        <v>0</v>
      </c>
      <c r="BT76" s="12">
        <f>BT$4 * IF(AND(BS$4=1,BP$20=1), CC76, CA76)</f>
        <v>0</v>
      </c>
      <c r="BU76" s="12">
        <f>BU$4 * IF(AND(BT$4=1,BP$20=1), CC76, CA76)</f>
        <v>0</v>
      </c>
      <c r="BV76" s="12">
        <f>BV$4 * IF(AND(BU$4=1,BP$20=1), CC76, CA76)</f>
        <v>0</v>
      </c>
      <c r="BW76" s="12">
        <f>BW$4 * IF(AND(BV$4=1,BP$20=1), CC76, CA76)</f>
        <v>0</v>
      </c>
      <c r="BX76" s="12">
        <f>BX$4 * IF(AND(BW$4=1,BP$20=1), CC76, CA76)</f>
        <v>0</v>
      </c>
      <c r="BZ76" s="16" t="s">
        <v>1304</v>
      </c>
      <c r="CA76">
        <f>_xlfn.XLOOKUP(BZ76,'KPI Impacts'!$B$2:$H$2,'KPI Impacts'!$B76:$H76)</f>
        <v>0</v>
      </c>
      <c r="CB76" s="9" t="s">
        <v>1304</v>
      </c>
      <c r="CC76">
        <f>_xlfn.XLOOKUP(CB76,'KPI Impacts'!$B$2:$H$2,'KPI Impacts'!$B76:$H76)</f>
        <v>0</v>
      </c>
      <c r="CF76" s="12">
        <f>CF$4*CQ76</f>
        <v>0</v>
      </c>
      <c r="CG76" s="12">
        <f>CG$4 * IF(AND(CF$4=1,CF$20=1), CS76, CQ76)</f>
        <v>0</v>
      </c>
      <c r="CH76" s="12">
        <f>CH$4 * IF(AND(CG$4=1,CF$20=1), CS76, CQ76)</f>
        <v>0</v>
      </c>
      <c r="CI76" s="12">
        <f>CI$4 * IF(AND(CH$4=1,CF$20=1), CS76, CQ76)</f>
        <v>0</v>
      </c>
      <c r="CJ76" s="12">
        <f>CJ$4 * IF(AND(CI$4=1,CF$20=1), CS76, CQ76)</f>
        <v>0</v>
      </c>
      <c r="CK76" s="12">
        <f>CK$4 * IF(AND(CJ$4=1,CF$20=1), CS76, CQ76)</f>
        <v>0</v>
      </c>
      <c r="CL76" s="12">
        <f>CL$4 * IF(AND(CK$4=1,CF$20=1), CS76, CQ76)</f>
        <v>0</v>
      </c>
      <c r="CM76" s="12">
        <f>CM$4 * IF(AND(CL$4=1,CF$20=1), CS76, CQ76)</f>
        <v>0</v>
      </c>
      <c r="CN76" s="12">
        <f>CN$4 * IF(AND(CM$4=1,CF$20=1), CS76, CQ76)</f>
        <v>0</v>
      </c>
      <c r="CP76" s="16" t="s">
        <v>1304</v>
      </c>
      <c r="CQ76">
        <f>_xlfn.XLOOKUP(CP76,'KPI Impacts'!$B$2:$H$2,'KPI Impacts'!$B76:$H76)</f>
        <v>0</v>
      </c>
      <c r="CR76" s="35" t="s">
        <v>1304</v>
      </c>
      <c r="CS76">
        <f>_xlfn.XLOOKUP(CR76,'KPI Impacts'!$B$2:$H$2,'KPI Impacts'!$B76:$H76)</f>
        <v>0</v>
      </c>
      <c r="CV76" s="12">
        <f>CV$4*DG76</f>
        <v>0</v>
      </c>
      <c r="CW76" s="12">
        <f>CW$4 * IF(AND(CV$4=1,CV$20=1), DI76, DG76)</f>
        <v>0</v>
      </c>
      <c r="CX76" s="12">
        <f>CX$4 * IF(AND(CW$4=1,CV$20=1), DI76, DG76)</f>
        <v>0</v>
      </c>
      <c r="CY76" s="12">
        <f>CY$4 * IF(AND(CX$4=1,CV$20=1), DI76, DG76)</f>
        <v>0</v>
      </c>
      <c r="CZ76" s="12">
        <f>CZ$4 * IF(AND(CY$4=1,CV$20=1), DI76, DG76)</f>
        <v>0</v>
      </c>
      <c r="DA76" s="12">
        <f>DA$4 * IF(AND(CZ$4=1,CV$20=1), DI76, DG76)</f>
        <v>0</v>
      </c>
      <c r="DB76" s="12">
        <f>DB$4 * IF(AND(DA$4=1,CV$20=1), DI76, DG76)</f>
        <v>0</v>
      </c>
      <c r="DC76" s="12">
        <f>DC$4 * IF(AND(DB$4=1,CV$20=1), DI76, DG76)</f>
        <v>0</v>
      </c>
      <c r="DD76" s="12">
        <f>DD$4 * IF(AND(DC$4=1,CV$20=1), DI76, DG76)</f>
        <v>0</v>
      </c>
      <c r="DF76" s="16" t="s">
        <v>1304</v>
      </c>
      <c r="DG76">
        <f>_xlfn.XLOOKUP(DF76,'KPI Impacts'!$B$2:$H$2,'KPI Impacts'!$B76:$H76)</f>
        <v>0</v>
      </c>
      <c r="DH76" s="35" t="s">
        <v>1304</v>
      </c>
      <c r="DI76">
        <f>_xlfn.XLOOKUP(DH76,'KPI Impacts'!$B$2:$H$2,'KPI Impacts'!$B76:$H76)</f>
        <v>0</v>
      </c>
      <c r="DL76" s="12">
        <f>DL$4*DW76</f>
        <v>0</v>
      </c>
      <c r="DM76" s="12">
        <f>DM$4 * IF(AND(DL$4=1,DL$20=1), DY76, DW76)</f>
        <v>0</v>
      </c>
      <c r="DN76" s="12">
        <f>DN$4 * IF(AND(DM$4=1,DL$20=1), DY76, DW76)</f>
        <v>0</v>
      </c>
      <c r="DO76" s="12">
        <f>DO$4 * IF(AND(DN$4=1,DL$20=1), DY76, DW76)</f>
        <v>0</v>
      </c>
      <c r="DP76" s="12">
        <f>DP$4 * IF(AND(DO$4=1,DL$20=1), DY76, DW76)</f>
        <v>0</v>
      </c>
      <c r="DQ76" s="12">
        <f>DQ$4 * IF(AND(DP$4=1,DL$20=1), DY76, DW76)</f>
        <v>0</v>
      </c>
      <c r="DR76" s="12">
        <f>DR$4 * IF(AND(DQ$4=1,DL$20=1), DY76, DW76)</f>
        <v>0</v>
      </c>
      <c r="DS76" s="12">
        <f>DS$4 * IF(AND(DR$4=1,DL$20=1), DY76, DW76)</f>
        <v>0</v>
      </c>
      <c r="DT76" s="12">
        <f>DT$4 * IF(AND(DS$4=1,DL$20=1), DY76, DW76)</f>
        <v>0</v>
      </c>
      <c r="DV76" s="16" t="s">
        <v>1304</v>
      </c>
      <c r="DW76">
        <f>_xlfn.XLOOKUP(DV76,'KPI Impacts'!$B$2:$H$2,'KPI Impacts'!$B76:$H76)</f>
        <v>0</v>
      </c>
      <c r="DX76" s="35" t="s">
        <v>1304</v>
      </c>
      <c r="DY76">
        <f>_xlfn.XLOOKUP(DX76,'KPI Impacts'!$B$2:$H$2,'KPI Impacts'!$B76:$H76)</f>
        <v>0</v>
      </c>
      <c r="EB76" s="12">
        <f>EB$4*EM76</f>
        <v>0</v>
      </c>
      <c r="EC76" s="12">
        <f>EC$4 * IF(AND(EB$4=1,EB$20=1), EO76, EM76)</f>
        <v>0</v>
      </c>
      <c r="ED76" s="12">
        <f>ED$4 * IF(AND(EC$4=1,EB$20=1), EO76, EM76)</f>
        <v>0</v>
      </c>
      <c r="EE76" s="12">
        <f>EE$4 * IF(AND(ED$4=1,EB$20=1), EO76, EM76)</f>
        <v>0</v>
      </c>
      <c r="EF76" s="12">
        <f>EF$4 * IF(AND(EE$4=1,EB$20=1), EO76, EM76)</f>
        <v>0</v>
      </c>
      <c r="EG76" s="12">
        <f>EG$4 * IF(AND(EF$4=1,EB$20=1), EO76, EM76)</f>
        <v>0</v>
      </c>
      <c r="EH76" s="12">
        <f>EH$4 * IF(AND(EG$4=1,EB$20=1), EO76, EM76)</f>
        <v>0</v>
      </c>
      <c r="EI76" s="12">
        <f>EI$4 * IF(AND(EH$4=1,EB$20=1), EO76, EM76)</f>
        <v>0</v>
      </c>
      <c r="EJ76" s="12">
        <f>EJ$4 * IF(AND(EI$4=1,EB$20=1), EO76, EM76)</f>
        <v>0</v>
      </c>
      <c r="EL76" s="16" t="s">
        <v>1304</v>
      </c>
      <c r="EM76">
        <f>_xlfn.XLOOKUP(EL76,'KPI Impacts'!$B$2:$H$2,'KPI Impacts'!$B76:$H76)</f>
        <v>0</v>
      </c>
      <c r="EN76" s="35" t="s">
        <v>1304</v>
      </c>
      <c r="EO76">
        <f>_xlfn.XLOOKUP(EN76,'KPI Impacts'!$B$2:$H$2,'KPI Impacts'!$B76:$H76)</f>
        <v>0</v>
      </c>
      <c r="ER76" s="12">
        <f>ER$4*FC76</f>
        <v>0</v>
      </c>
      <c r="ES76" s="12">
        <f>ES$4 * IF(AND(ER$4=1,ER$20=1), FE76, FC76)</f>
        <v>0</v>
      </c>
      <c r="ET76" s="12">
        <f>ET$4 * IF(AND(ES$4=1,ER$20=1), FE76, FC76)</f>
        <v>0</v>
      </c>
      <c r="EU76" s="12">
        <f>EU$4 * IF(AND(ET$4=1,ER$20=1), FE76, FC76)</f>
        <v>0</v>
      </c>
      <c r="EV76" s="12">
        <f>EV$4 * IF(AND(EU$4=1,ER$20=1), FE76, FC76)</f>
        <v>0</v>
      </c>
      <c r="EW76" s="12">
        <f>EW$4 * IF(AND(EV$4=1,ER$20=1), FE76, FC76)</f>
        <v>0</v>
      </c>
      <c r="EX76" s="12">
        <f>EX$4 * IF(AND(EW$4=1,ER$20=1), FE76, FC76)</f>
        <v>0</v>
      </c>
      <c r="EY76" s="12">
        <f>EY$4 * IF(AND(EX$4=1,ER$20=1), FE76, FC76)</f>
        <v>0</v>
      </c>
      <c r="EZ76" s="12">
        <f>EZ$4 * IF(AND(EY$4=1,ER$20=1), FE76, FC76)</f>
        <v>0</v>
      </c>
      <c r="FB76" s="16" t="s">
        <v>1304</v>
      </c>
      <c r="FC76">
        <f>_xlfn.XLOOKUP(FB76,'KPI Impacts'!$B$2:$H$2,'KPI Impacts'!$B76:$H76)</f>
        <v>0</v>
      </c>
      <c r="FD76" s="35" t="s">
        <v>1304</v>
      </c>
      <c r="FE76">
        <f>_xlfn.XLOOKUP(FD76,'KPI Impacts'!$B$2:$H$2,'KPI Impacts'!$B76:$H76)</f>
        <v>0</v>
      </c>
      <c r="FH76" s="12">
        <f>FH$4*FS76</f>
        <v>0</v>
      </c>
      <c r="FI76" s="12">
        <f>FI$4 * IF(AND(FH$4=1,FH$20=1), FU76, FS76)</f>
        <v>0</v>
      </c>
      <c r="FJ76" s="12">
        <f>FJ$4 * IF(AND(FI$4=1,FH$20=1), FU76, FS76)</f>
        <v>0</v>
      </c>
      <c r="FK76" s="12">
        <f>FK$4 * IF(AND(FJ$4=1,FH$20=1), FU76, FS76)</f>
        <v>0</v>
      </c>
      <c r="FL76" s="12">
        <f>FL$4 * IF(AND(FK$4=1,FH$20=1), FU76, FS76)</f>
        <v>0</v>
      </c>
      <c r="FM76" s="12">
        <f>FM$4 * IF(AND(FL$4=1,FH$20=1), FU76, FS76)</f>
        <v>0</v>
      </c>
      <c r="FN76" s="12">
        <f>FN$4 * IF(AND(FM$4=1,FH$20=1), FU76, FS76)</f>
        <v>0</v>
      </c>
      <c r="FO76" s="12">
        <f>FO$4 * IF(AND(FN$4=1,FH$20=1), FU76, FS76)</f>
        <v>0</v>
      </c>
      <c r="FP76" s="12">
        <f>FP$4 * IF(AND(FO$4=1,FH$20=1), FU76, FS76)</f>
        <v>0</v>
      </c>
      <c r="FR76" s="16" t="s">
        <v>1304</v>
      </c>
      <c r="FS76">
        <f>_xlfn.XLOOKUP(FR76,'KPI Impacts'!$B$2:$H$2,'KPI Impacts'!$B76:$H76)</f>
        <v>0</v>
      </c>
      <c r="FT76" s="35" t="s">
        <v>1304</v>
      </c>
      <c r="FU76">
        <f>_xlfn.XLOOKUP(FT76,'KPI Impacts'!$B$2:$H$2,'KPI Impacts'!$B76:$H76)</f>
        <v>0</v>
      </c>
      <c r="FX76" s="12">
        <f>FX$4*GI76</f>
        <v>0</v>
      </c>
      <c r="FY76" s="12">
        <f>FY$4 * IF(AND(FX$4=1,FX$20=1), GK76, GI76)</f>
        <v>0</v>
      </c>
      <c r="FZ76" s="12">
        <f>FZ$4 * IF(AND(FY$4=1,FX$20=1), GK76, GI76)</f>
        <v>0</v>
      </c>
      <c r="GA76" s="12">
        <f>GA$4 * IF(AND(FZ$4=1,FX$20=1), GK76, GI76)</f>
        <v>0</v>
      </c>
      <c r="GB76" s="12">
        <f>GB$4 * IF(AND(GA$4=1,FX$20=1), GK76, GI76)</f>
        <v>0</v>
      </c>
      <c r="GC76" s="12">
        <f>GC$4 * IF(AND(GB$4=1,FX$20=1), GK76, GI76)</f>
        <v>0</v>
      </c>
      <c r="GD76" s="12">
        <f>GD$4 * IF(AND(GC$4=1,FX$20=1), GK76, GI76)</f>
        <v>0</v>
      </c>
      <c r="GE76" s="12">
        <f>GE$4 * IF(AND(GD$4=1,FX$20=1), GK76, GI76)</f>
        <v>0</v>
      </c>
      <c r="GF76" s="12">
        <f>GF$4 * IF(AND(GE$4=1,FX$20=1), GK76, GI76)</f>
        <v>0</v>
      </c>
      <c r="GH76" s="16" t="s">
        <v>1304</v>
      </c>
      <c r="GI76">
        <f>_xlfn.XLOOKUP(GH76,'KPI Impacts'!$B$2:$H$2,'KPI Impacts'!$B76:$H76)</f>
        <v>0</v>
      </c>
      <c r="GJ76" s="35" t="s">
        <v>1304</v>
      </c>
      <c r="GK76">
        <f>_xlfn.XLOOKUP(GJ76,'KPI Impacts'!$B$2:$H$2,'KPI Impacts'!$B76:$H76)</f>
        <v>0</v>
      </c>
      <c r="GN76" s="12">
        <f>GN$4*GY76</f>
        <v>0</v>
      </c>
      <c r="GO76" s="12">
        <f>GO$4 * IF(AND(GN$4=1,GN$20=1), HA76, GY76)</f>
        <v>0</v>
      </c>
      <c r="GP76" s="12">
        <f>GP$4 * IF(AND(GO$4=1,GN$20=1), HA76, GY76)</f>
        <v>0</v>
      </c>
      <c r="GQ76" s="12">
        <f>GQ$4 * IF(AND(GP$4=1,GN$20=1), HA76, GY76)</f>
        <v>0</v>
      </c>
      <c r="GR76" s="12">
        <f>GR$4 * IF(AND(GQ$4=1,GN$20=1), HA76, GY76)</f>
        <v>0</v>
      </c>
      <c r="GS76" s="12">
        <f>GS$4 * IF(AND(GR$4=1,GN$20=1), HA76, GY76)</f>
        <v>0</v>
      </c>
      <c r="GT76" s="12">
        <f>GT$4 * IF(AND(GS$4=1,GN$20=1), HA76, GY76)</f>
        <v>0</v>
      </c>
      <c r="GU76" s="12">
        <f>GU$4 * IF(AND(GT$4=1,GN$20=1), HA76, GY76)</f>
        <v>0</v>
      </c>
      <c r="GV76" s="12">
        <f>GV$4 * IF(AND(GU$4=1,GN$20=1), HA76, GY76)</f>
        <v>0</v>
      </c>
      <c r="GX76" s="16" t="s">
        <v>1304</v>
      </c>
      <c r="GY76">
        <f>_xlfn.XLOOKUP(GX76,'KPI Impacts'!$B$2:$H$2,'KPI Impacts'!$B76:$H76)</f>
        <v>0</v>
      </c>
      <c r="GZ76" s="35" t="s">
        <v>1304</v>
      </c>
      <c r="HA76">
        <f>_xlfn.XLOOKUP(GZ76,'KPI Impacts'!$B$2:$H$2,'KPI Impacts'!$B76:$H76)</f>
        <v>0</v>
      </c>
      <c r="HD76" s="12">
        <f>HD$4*HO76</f>
        <v>0</v>
      </c>
      <c r="HE76" s="12">
        <f>HE$4 * IF(AND(HD$4=1,HD$20=1), HQ76, HO76)</f>
        <v>0</v>
      </c>
      <c r="HF76" s="12">
        <f>HF$4 * IF(AND(HE$4=1,HD$20=1), HQ76, HO76)</f>
        <v>0</v>
      </c>
      <c r="HG76" s="12">
        <f>HG$4 * IF(AND(HF$4=1,HD$20=1), HQ76, HO76)</f>
        <v>0</v>
      </c>
      <c r="HH76" s="12">
        <f>HH$4 * IF(AND(HG$4=1,HD$20=1), HQ76, HO76)</f>
        <v>0</v>
      </c>
      <c r="HI76" s="12">
        <f>HI$4 * IF(AND(HH$4=1,HD$20=1), HQ76, HO76)</f>
        <v>0</v>
      </c>
      <c r="HJ76" s="12">
        <f>HJ$4 * IF(AND(HI$4=1,HD$20=1), HQ76, HO76)</f>
        <v>0</v>
      </c>
      <c r="HK76" s="12">
        <f>HK$4 * IF(AND(HJ$4=1,HD$20=1), HQ76, HO76)</f>
        <v>0</v>
      </c>
      <c r="HL76" s="12">
        <f>HL$4 * IF(AND(HK$4=1,HD$20=1), HQ76, HO76)</f>
        <v>0</v>
      </c>
      <c r="HN76" s="16" t="s">
        <v>1304</v>
      </c>
      <c r="HO76">
        <f>_xlfn.XLOOKUP(HN76,'KPI Impacts'!$B$2:$H$2,'KPI Impacts'!$B76:$H76)</f>
        <v>0</v>
      </c>
      <c r="HP76" s="35" t="s">
        <v>1304</v>
      </c>
      <c r="HQ76">
        <f>_xlfn.XLOOKUP(HP76,'KPI Impacts'!$B$2:$H$2,'KPI Impacts'!$B76:$H76)</f>
        <v>0</v>
      </c>
      <c r="HT76" s="12">
        <f>HT$4*IE76</f>
        <v>0</v>
      </c>
      <c r="HU76" s="12">
        <f>HU$4 * IF(AND(HT$4=1,HT$20=1), IG76, IE76)</f>
        <v>0</v>
      </c>
      <c r="HV76" s="12">
        <f>HV$4 * IF(AND(HU$4=1,HT$20=1), IG76, IE76)</f>
        <v>0</v>
      </c>
      <c r="HW76" s="12">
        <f>HW$4 * IF(AND(HV$4=1,HT$20=1), IG76, IE76)</f>
        <v>0</v>
      </c>
      <c r="HX76" s="12">
        <f>HX$4 * IF(AND(HW$4=1,HT$20=1), IG76, IE76)</f>
        <v>0</v>
      </c>
      <c r="HY76" s="12">
        <f>HY$4 * IF(AND(HX$4=1,HT$20=1), IG76, IE76)</f>
        <v>0</v>
      </c>
      <c r="HZ76" s="12">
        <f>HZ$4 * IF(AND(HY$4=1,HT$20=1), IG76, IE76)</f>
        <v>0</v>
      </c>
      <c r="IA76" s="12">
        <f>IA$4 * IF(AND(HZ$4=1,HT$20=1), IG76, IE76)</f>
        <v>0</v>
      </c>
      <c r="IB76" s="12">
        <f>IB$4 * IF(AND(IA$4=1,HT$20=1), IG76, IE76)</f>
        <v>0</v>
      </c>
      <c r="ID76" s="16" t="s">
        <v>1304</v>
      </c>
      <c r="IE76">
        <f>_xlfn.XLOOKUP(ID76,'KPI Impacts'!$B$2:$H$2,'KPI Impacts'!$B76:$H76)</f>
        <v>0</v>
      </c>
      <c r="IF76" s="35" t="s">
        <v>1304</v>
      </c>
      <c r="IG76">
        <f>_xlfn.XLOOKUP(IF76,'KPI Impacts'!$B$2:$H$2,'KPI Impacts'!$B76:$H76)</f>
        <v>0</v>
      </c>
      <c r="IJ76" s="12">
        <f>IJ$4*IU76</f>
        <v>0</v>
      </c>
      <c r="IK76" s="12">
        <f>IK$4 * IF(AND(IJ$4=1,IJ$20=1), IW76, IU76)</f>
        <v>0</v>
      </c>
      <c r="IL76" s="12">
        <f>IL$4 * IF(AND(IK$4=1,IJ$20=1), IW76, IU76)</f>
        <v>0</v>
      </c>
      <c r="IM76" s="12">
        <f>IM$4 * IF(AND(IL$4=1,IJ$20=1), IW76, IU76)</f>
        <v>0</v>
      </c>
      <c r="IN76" s="12">
        <f>IN$4 * IF(AND(IM$4=1,IJ$20=1), IW76, IU76)</f>
        <v>0</v>
      </c>
      <c r="IO76" s="12">
        <f>IO$4 * IF(AND(IN$4=1,IJ$20=1), IW76, IU76)</f>
        <v>0</v>
      </c>
      <c r="IP76" s="12">
        <f>IP$4 * IF(AND(IO$4=1,IJ$20=1), IW76, IU76)</f>
        <v>0</v>
      </c>
      <c r="IQ76" s="12">
        <f>IQ$4 * IF(AND(IP$4=1,IJ$20=1), IW76, IU76)</f>
        <v>0</v>
      </c>
      <c r="IR76" s="12">
        <f>IR$4 * IF(AND(IQ$4=1,IJ$20=1), IW76, IU76)</f>
        <v>0</v>
      </c>
      <c r="IT76" s="16" t="s">
        <v>1304</v>
      </c>
      <c r="IU76">
        <f>_xlfn.XLOOKUP(IT76,'KPI Impacts'!$B$2:$H$2,'KPI Impacts'!$B76:$H76)</f>
        <v>0</v>
      </c>
      <c r="IV76" s="35" t="s">
        <v>1304</v>
      </c>
      <c r="IW76">
        <f>_xlfn.XLOOKUP(IV76,'KPI Impacts'!$B$2:$H$2,'KPI Impacts'!$B76:$H76)</f>
        <v>0</v>
      </c>
      <c r="IZ76" s="12">
        <f>IZ$4*JK76</f>
        <v>0</v>
      </c>
      <c r="JA76" s="12">
        <f>JA$4 * IF(AND(IZ$4=1,IZ$20=1), JM76, JK76)</f>
        <v>0</v>
      </c>
      <c r="JB76" s="12">
        <f>JB$4 * IF(AND(JA$4=1,IZ$20=1), JM76, JK76)</f>
        <v>0</v>
      </c>
      <c r="JC76" s="12">
        <f>JC$4 * IF(AND(JB$4=1,IZ$20=1), JM76, JK76)</f>
        <v>0</v>
      </c>
      <c r="JD76" s="12">
        <f>JD$4 * IF(AND(JC$4=1,IZ$20=1), JM76, JK76)</f>
        <v>0</v>
      </c>
      <c r="JE76" s="12">
        <f>JE$4 * IF(AND(JD$4=1,IZ$20=1), JM76, JK76)</f>
        <v>0</v>
      </c>
      <c r="JF76" s="12">
        <f>JF$4 * IF(AND(JE$4=1,IZ$20=1), JM76, JK76)</f>
        <v>0</v>
      </c>
      <c r="JG76" s="12">
        <f>JG$4 * IF(AND(JF$4=1,IZ$20=1), JM76, JK76)</f>
        <v>0</v>
      </c>
      <c r="JH76" s="12">
        <f>JH$4 * IF(AND(JG$4=1,IZ$20=1), JM76, JK76)</f>
        <v>0</v>
      </c>
      <c r="JJ76" t="s">
        <v>1304</v>
      </c>
      <c r="JK76">
        <f>_xlfn.XLOOKUP(JJ76,'KPI Impacts'!$B$2:$H$2,'KPI Impacts'!$B76:$H76)</f>
        <v>0</v>
      </c>
      <c r="JL76" s="9" t="s">
        <v>1304</v>
      </c>
      <c r="JM76">
        <f>_xlfn.XLOOKUP(JL76,'KPI Impacts'!$B$2:$H$2,'KPI Impacts'!$B76:$H76)</f>
        <v>0</v>
      </c>
      <c r="JP76" s="12">
        <f>JP$4*KA76</f>
        <v>0</v>
      </c>
      <c r="JQ76" s="12">
        <f>JQ$4 * IF(AND(JP$4=1,JP$20=1), KC76, KA76)</f>
        <v>0</v>
      </c>
      <c r="JR76" s="12">
        <f>JR$4 * IF(AND(JQ$4=1,JP$20=1), KC76, KA76)</f>
        <v>0</v>
      </c>
      <c r="JS76" s="12">
        <f>JS$4 * IF(AND(JR$4=1,JP$20=1), KC76, KA76)</f>
        <v>0</v>
      </c>
      <c r="JT76" s="12">
        <f>JT$4 * IF(AND(JS$4=1,JP$20=1), KC76, KA76)</f>
        <v>0</v>
      </c>
      <c r="JU76" s="12">
        <f>JU$4 * IF(AND(JT$4=1,JP$20=1), KC76, KA76)</f>
        <v>0</v>
      </c>
      <c r="JV76" s="12">
        <f>JV$4 * IF(AND(JU$4=1,JP$20=1), KC76, KA76)</f>
        <v>0</v>
      </c>
      <c r="JW76" s="12">
        <f>JW$4 * IF(AND(JV$4=1,JP$20=1), KC76, KA76)</f>
        <v>0</v>
      </c>
      <c r="JX76" s="12">
        <f>JX$4 * IF(AND(JW$4=1,JP$20=1), KC76, KA76)</f>
        <v>0</v>
      </c>
      <c r="JZ76" t="s">
        <v>1304</v>
      </c>
      <c r="KA76">
        <f>_xlfn.XLOOKUP(JZ76,'KPI Impacts'!$B$2:$H$2,'KPI Impacts'!$B76:$H76)</f>
        <v>0</v>
      </c>
      <c r="KB76" s="9" t="s">
        <v>1304</v>
      </c>
      <c r="KC76">
        <f>_xlfn.XLOOKUP(KB76,'KPI Impacts'!$B$2:$H$2,'KPI Impacts'!$B76:$H76)</f>
        <v>0</v>
      </c>
      <c r="KF76" s="12">
        <f>KF$4*KQ76</f>
        <v>0</v>
      </c>
      <c r="KG76" s="12">
        <f>KG$4 * IF(AND(KF$4=1,KF$20=1), KS76, KQ76)</f>
        <v>0</v>
      </c>
      <c r="KH76" s="12">
        <f>KH$4 * IF(AND(KG$4=1,KF$20=1), KS76, KQ76)</f>
        <v>0</v>
      </c>
      <c r="KI76" s="12">
        <f>KI$4 * IF(AND(KH$4=1,KF$20=1), KS76, KQ76)</f>
        <v>0</v>
      </c>
      <c r="KJ76" s="12">
        <f>KJ$4 * IF(AND(KI$4=1,KF$20=1), KS76, KQ76)</f>
        <v>0</v>
      </c>
      <c r="KK76" s="12">
        <f>KK$4 * IF(AND(KJ$4=1,KF$20=1), KS76, KQ76)</f>
        <v>0</v>
      </c>
      <c r="KL76" s="12">
        <f>KL$4 * IF(AND(KK$4=1,KF$20=1), KS76, KQ76)</f>
        <v>0</v>
      </c>
      <c r="KM76" s="12">
        <f>KM$4 * IF(AND(KL$4=1,KF$20=1), KS76, KQ76)</f>
        <v>0</v>
      </c>
      <c r="KN76" s="12">
        <f>KN$4 * IF(AND(KM$4=1,KF$20=1), KS76, KQ76)</f>
        <v>0</v>
      </c>
      <c r="KP76" t="s">
        <v>1304</v>
      </c>
      <c r="KQ76">
        <f>_xlfn.XLOOKUP(KP76,'KPI Impacts'!$B$2:$H$2,'KPI Impacts'!$B76:$H76)</f>
        <v>0</v>
      </c>
      <c r="KR76" s="9" t="s">
        <v>1304</v>
      </c>
      <c r="KS76">
        <f>_xlfn.XLOOKUP(KR76,'KPI Impacts'!$B$2:$H$2,'KPI Impacts'!$B76:$H76)</f>
        <v>0</v>
      </c>
      <c r="KV76" s="12">
        <f>KV$4*LG76</f>
        <v>0</v>
      </c>
      <c r="KW76" s="12">
        <f>KW$4 * IF(AND(KV$4=1,KV$20=1), LI76, LG76)</f>
        <v>0</v>
      </c>
      <c r="KX76" s="12">
        <f>KX$4 * IF(AND(KW$4=1,KV$20=1), LI76, LG76)</f>
        <v>0</v>
      </c>
      <c r="KY76" s="12">
        <f>KY$4 * IF(AND(KX$4=1,KV$20=1), LI76, LG76)</f>
        <v>0</v>
      </c>
      <c r="KZ76" s="12">
        <f>KZ$4 * IF(AND(KY$4=1,KV$20=1), LI76, LG76)</f>
        <v>0</v>
      </c>
      <c r="LA76" s="12">
        <f>LA$4 * IF(AND(KZ$4=1,KV$20=1), LI76, LG76)</f>
        <v>0</v>
      </c>
      <c r="LB76" s="12">
        <f>LB$4 * IF(AND(LA$4=1,KV$20=1), LI76, LG76)</f>
        <v>0</v>
      </c>
      <c r="LC76" s="12">
        <f>LC$4 * IF(AND(LB$4=1,KV$20=1), LI76, LG76)</f>
        <v>0</v>
      </c>
      <c r="LD76" s="12">
        <f>LD$4 * IF(AND(LC$4=1,KV$20=1), LI76, LG76)</f>
        <v>0</v>
      </c>
      <c r="LF76" t="s">
        <v>1304</v>
      </c>
      <c r="LG76">
        <f>_xlfn.XLOOKUP(LF76,'KPI Impacts'!$B$2:$H$2,'KPI Impacts'!$B76:$H76)</f>
        <v>0</v>
      </c>
      <c r="LH76" s="9" t="s">
        <v>1304</v>
      </c>
      <c r="LI76">
        <f>_xlfn.XLOOKUP(LH76,'KPI Impacts'!$B$2:$H$2,'KPI Impacts'!$B76:$H76)</f>
        <v>0</v>
      </c>
      <c r="LL76" s="12">
        <f>LL$4*LW76</f>
        <v>0</v>
      </c>
      <c r="LM76" s="12">
        <f>LM$4 * IF(AND(LL$4=1,LL$20=1), LY76, LW76)</f>
        <v>0</v>
      </c>
      <c r="LN76" s="12">
        <f>LN$4 * IF(AND(LM$4=1,LL$20=1), LY76, LW76)</f>
        <v>0</v>
      </c>
      <c r="LO76" s="12">
        <f>LO$4 * IF(AND(LN$4=1,LL$20=1), LY76, LW76)</f>
        <v>0</v>
      </c>
      <c r="LP76" s="12">
        <f>LP$4 * IF(AND(LO$4=1,LL$20=1), LY76, LW76)</f>
        <v>0</v>
      </c>
      <c r="LQ76" s="12">
        <f>LQ$4 * IF(AND(LP$4=1,LL$20=1), LY76, LW76)</f>
        <v>0</v>
      </c>
      <c r="LR76" s="12">
        <f>LR$4 * IF(AND(LQ$4=1,LL$20=1), LY76, LW76)</f>
        <v>0</v>
      </c>
      <c r="LS76" s="12">
        <f>LS$4 * IF(AND(LR$4=1,LL$20=1), LY76, LW76)</f>
        <v>0</v>
      </c>
      <c r="LT76" s="12">
        <f>LT$4 * IF(AND(LS$4=1,LL$20=1), LY76, LW76)</f>
        <v>0</v>
      </c>
      <c r="LV76" t="s">
        <v>1304</v>
      </c>
      <c r="LW76">
        <f>_xlfn.XLOOKUP(LV76,'KPI Impacts'!$B$2:$H$2,'KPI Impacts'!$B76:$H76)</f>
        <v>0</v>
      </c>
      <c r="LX76" s="9" t="s">
        <v>1304</v>
      </c>
      <c r="LY76">
        <f>_xlfn.XLOOKUP(LX76,'KPI Impacts'!$B$2:$H$2,'KPI Impacts'!$B76:$H76)</f>
        <v>0</v>
      </c>
      <c r="MB76" s="12">
        <f>MB$4*MM76</f>
        <v>0</v>
      </c>
      <c r="MC76" s="12">
        <f>MC$4 * IF(AND(MB$4=1,MB$20=1), MO76, MM76)</f>
        <v>0</v>
      </c>
      <c r="MD76" s="12">
        <f>MD$4 * IF(AND(MC$4=1,MB$20=1), MO76, MM76)</f>
        <v>0</v>
      </c>
      <c r="ME76" s="12">
        <f>ME$4 * IF(AND(MD$4=1,MB$20=1), MO76, MM76)</f>
        <v>0</v>
      </c>
      <c r="MF76" s="12">
        <f>MF$4 * IF(AND(ME$4=1,MB$20=1), MO76, MM76)</f>
        <v>0</v>
      </c>
      <c r="MG76" s="12">
        <f>MG$4 * IF(AND(MF$4=1,MB$20=1), MO76, MM76)</f>
        <v>0</v>
      </c>
      <c r="MH76" s="12">
        <f>MH$4 * IF(AND(MG$4=1,MB$20=1), MO76, MM76)</f>
        <v>0</v>
      </c>
      <c r="MI76" s="12">
        <f>MI$4 * IF(AND(MH$4=1,MB$20=1), MO76, MM76)</f>
        <v>0</v>
      </c>
      <c r="MJ76" s="12">
        <f>MJ$4 * IF(AND(MI$4=1,MB$20=1), MO76, MM76)</f>
        <v>0</v>
      </c>
      <c r="ML76" t="s">
        <v>1304</v>
      </c>
      <c r="MM76">
        <f>_xlfn.XLOOKUP(ML76,'KPI Impacts'!$B$2:$H$2,'KPI Impacts'!$B76:$H76)</f>
        <v>0</v>
      </c>
      <c r="MN76" s="9" t="s">
        <v>1304</v>
      </c>
      <c r="MO76">
        <f>_xlfn.XLOOKUP(MN76,'KPI Impacts'!$B$2:$H$2,'KPI Impacts'!$B76:$H76)</f>
        <v>0</v>
      </c>
      <c r="MR76" s="12">
        <f>MR$4*NC76</f>
        <v>0</v>
      </c>
      <c r="MS76" s="12">
        <f>MS$4 * IF(AND(MR$4=1,MR$20=1), NE76, NC76)</f>
        <v>0</v>
      </c>
      <c r="MT76" s="12">
        <f>MT$4 * IF(AND(MS$4=1,MR$20=1), NE76, NC76)</f>
        <v>0</v>
      </c>
      <c r="MU76" s="12">
        <f>MU$4 * IF(AND(MT$4=1,MR$20=1), NE76, NC76)</f>
        <v>0</v>
      </c>
      <c r="MV76" s="12">
        <f>MV$4 * IF(AND(MU$4=1,MR$20=1), NE76, NC76)</f>
        <v>0</v>
      </c>
      <c r="MW76" s="12">
        <f>MW$4 * IF(AND(MV$4=1,MR$20=1), NE76, NC76)</f>
        <v>0</v>
      </c>
      <c r="MX76" s="12">
        <f>MX$4 * IF(AND(MW$4=1,MR$20=1), NE76, NC76)</f>
        <v>0</v>
      </c>
      <c r="MY76" s="12">
        <f>MY$4 * IF(AND(MX$4=1,MR$20=1), NE76, NC76)</f>
        <v>0</v>
      </c>
      <c r="MZ76" s="12">
        <f>MZ$4 * IF(AND(MY$4=1,MR$20=1), NE76, NC76)</f>
        <v>0</v>
      </c>
      <c r="NB76" t="s">
        <v>1304</v>
      </c>
      <c r="NC76">
        <f>_xlfn.XLOOKUP(NB76,'KPI Impacts'!$B$2:$H$2,'KPI Impacts'!$B76:$H76)</f>
        <v>0</v>
      </c>
      <c r="ND76" s="9" t="s">
        <v>1304</v>
      </c>
      <c r="NE76">
        <f>_xlfn.XLOOKUP(ND76,'KPI Impacts'!$B$2:$H$2,'KPI Impacts'!$B76:$H76)</f>
        <v>0</v>
      </c>
      <c r="NH76" s="12">
        <f>NH$4*NS76</f>
        <v>0</v>
      </c>
      <c r="NI76" s="12">
        <f>NI$4 * IF(AND(NH$4=1,NH$20=1), NU76, NS76)</f>
        <v>0</v>
      </c>
      <c r="NJ76" s="12">
        <f>NJ$4 * IF(AND(NI$4=1,NH$20=1), NU76, NS76)</f>
        <v>0</v>
      </c>
      <c r="NK76" s="12">
        <f>NK$4 * IF(AND(NJ$4=1,NH$20=1), NU76, NS76)</f>
        <v>0</v>
      </c>
      <c r="NL76" s="12">
        <f>NL$4 * IF(AND(NK$4=1,NH$20=1), NU76, NS76)</f>
        <v>0</v>
      </c>
      <c r="NM76" s="12">
        <f>NM$4 * IF(AND(NL$4=1,NH$20=1), NU76, NS76)</f>
        <v>0</v>
      </c>
      <c r="NN76" s="12">
        <f>NN$4 * IF(AND(NM$4=1,NH$20=1), NU76, NS76)</f>
        <v>0</v>
      </c>
      <c r="NO76" s="12">
        <f>NO$4 * IF(AND(NN$4=1,NH$20=1), NU76, NS76)</f>
        <v>0</v>
      </c>
      <c r="NP76" s="12">
        <f>NP$4 * IF(AND(NO$4=1,NH$20=1), NU76, NS76)</f>
        <v>0</v>
      </c>
      <c r="NR76" t="s">
        <v>1304</v>
      </c>
      <c r="NS76">
        <f>_xlfn.XLOOKUP(NR76,'KPI Impacts'!$B$2:$H$2,'KPI Impacts'!$B76:$H76)</f>
        <v>0</v>
      </c>
      <c r="NT76" s="9" t="s">
        <v>1304</v>
      </c>
      <c r="NU76">
        <f>_xlfn.XLOOKUP(NT76,'KPI Impacts'!$B$2:$H$2,'KPI Impacts'!$B76:$H76)</f>
        <v>0</v>
      </c>
      <c r="NX76" s="12">
        <f>NX$4*OI76</f>
        <v>0</v>
      </c>
      <c r="NY76" s="12">
        <f>NY$4 * IF(AND(NX$4=1,NX$20=1), OK76, OI76)</f>
        <v>0</v>
      </c>
      <c r="NZ76" s="12">
        <f>NZ$4 * IF(AND(NY$4=1,NX$20=1), OK76, OI76)</f>
        <v>0</v>
      </c>
      <c r="OA76" s="12">
        <f>OA$4 * IF(AND(NZ$4=1,NX$20=1), OK76, OI76)</f>
        <v>0</v>
      </c>
      <c r="OB76" s="12">
        <f>OB$4 * IF(AND(OA$4=1,NX$20=1), OK76, OI76)</f>
        <v>0</v>
      </c>
      <c r="OC76" s="12">
        <f>OC$4 * IF(AND(OB$4=1,NX$20=1), OK76, OI76)</f>
        <v>0</v>
      </c>
      <c r="OD76" s="12">
        <f>OD$4 * IF(AND(OC$4=1,NX$20=1), OK76, OI76)</f>
        <v>0</v>
      </c>
      <c r="OE76" s="12">
        <f>OE$4 * IF(AND(OD$4=1,NX$20=1), OK76, OI76)</f>
        <v>0</v>
      </c>
      <c r="OF76" s="12">
        <f>OF$4 * IF(AND(OE$4=1,NX$20=1), OK76, OI76)</f>
        <v>0</v>
      </c>
      <c r="OH76" t="s">
        <v>1304</v>
      </c>
      <c r="OI76">
        <f>_xlfn.XLOOKUP(OH76,'KPI Impacts'!$B$2:$H$2,'KPI Impacts'!$B76:$H76)</f>
        <v>0</v>
      </c>
      <c r="OJ76" s="9" t="s">
        <v>1304</v>
      </c>
      <c r="OK76">
        <f>_xlfn.XLOOKUP(OJ76,'KPI Impacts'!$B$2:$H$2,'KPI Impacts'!$B76:$H76)</f>
        <v>0</v>
      </c>
    </row>
    <row r="77" spans="1:401" x14ac:dyDescent="0.2">
      <c r="A77" t="s">
        <v>54</v>
      </c>
      <c r="B77" s="19" t="s">
        <v>1319</v>
      </c>
      <c r="C77" s="19" t="s">
        <v>1319</v>
      </c>
      <c r="D77" s="19" t="s">
        <v>1319</v>
      </c>
      <c r="E77" s="19" t="s">
        <v>1319</v>
      </c>
      <c r="F77" s="19" t="s">
        <v>1319</v>
      </c>
      <c r="G77" s="19" t="s">
        <v>1319</v>
      </c>
      <c r="H77" s="19" t="s">
        <v>1319</v>
      </c>
      <c r="I77" s="19" t="s">
        <v>1319</v>
      </c>
      <c r="J77" s="19" t="s">
        <v>1319</v>
      </c>
      <c r="P77" s="12"/>
      <c r="Q77" s="12"/>
      <c r="R77" s="12"/>
      <c r="S77" s="12"/>
      <c r="T77" s="12"/>
      <c r="U77" s="12"/>
      <c r="V77" s="12"/>
      <c r="W77" s="12"/>
      <c r="X77" s="12"/>
      <c r="AH77" s="12"/>
      <c r="AI77" s="12"/>
      <c r="AJ77" s="12"/>
      <c r="AK77" s="12"/>
      <c r="AL77" s="12"/>
      <c r="AM77" s="12"/>
      <c r="AN77" s="12"/>
      <c r="AO77" s="12"/>
      <c r="AP77" s="12"/>
      <c r="AZ77" s="12"/>
      <c r="BA77" s="12"/>
      <c r="BB77" s="12"/>
      <c r="BC77" s="12"/>
      <c r="BD77" s="12"/>
      <c r="BE77" s="12"/>
      <c r="BF77" s="12"/>
      <c r="BG77" s="12"/>
      <c r="BH77" s="12"/>
      <c r="BJ77" s="16"/>
      <c r="BL77" s="35"/>
      <c r="BP77" s="12"/>
      <c r="BQ77" s="12"/>
      <c r="BR77" s="12"/>
      <c r="BS77" s="12"/>
      <c r="BT77" s="12"/>
      <c r="BU77" s="12"/>
      <c r="BV77" s="12"/>
      <c r="BW77" s="12"/>
      <c r="BX77" s="12"/>
      <c r="BZ77" s="16"/>
      <c r="CB77" s="9"/>
      <c r="CF77" s="12"/>
      <c r="CG77" s="12"/>
      <c r="CH77" s="12"/>
      <c r="CI77" s="12"/>
      <c r="CJ77" s="12"/>
      <c r="CK77" s="12"/>
      <c r="CL77" s="12"/>
      <c r="CM77" s="12"/>
      <c r="CN77" s="12"/>
      <c r="CP77" s="16"/>
      <c r="CR77" s="35"/>
      <c r="CV77" s="12"/>
      <c r="CW77" s="12"/>
      <c r="CX77" s="12"/>
      <c r="CY77" s="12"/>
      <c r="CZ77" s="12"/>
      <c r="DA77" s="12"/>
      <c r="DB77" s="12"/>
      <c r="DC77" s="12"/>
      <c r="DD77" s="12"/>
      <c r="DF77" s="16"/>
      <c r="DH77" s="35"/>
      <c r="DL77" s="12"/>
      <c r="DM77" s="12"/>
      <c r="DN77" s="12"/>
      <c r="DO77" s="12"/>
      <c r="DP77" s="12"/>
      <c r="DQ77" s="12"/>
      <c r="DR77" s="12"/>
      <c r="DS77" s="12"/>
      <c r="DT77" s="12"/>
      <c r="DV77" s="16"/>
      <c r="DX77" s="35"/>
      <c r="EB77" s="12"/>
      <c r="EC77" s="12"/>
      <c r="ED77" s="12"/>
      <c r="EE77" s="12"/>
      <c r="EF77" s="12"/>
      <c r="EG77" s="12"/>
      <c r="EH77" s="12"/>
      <c r="EI77" s="12"/>
      <c r="EJ77" s="12"/>
      <c r="EL77" s="16"/>
      <c r="EN77" s="35"/>
      <c r="ER77" s="12"/>
      <c r="ES77" s="12"/>
      <c r="ET77" s="12"/>
      <c r="EU77" s="12"/>
      <c r="EV77" s="12"/>
      <c r="EW77" s="12"/>
      <c r="EX77" s="12"/>
      <c r="EY77" s="12"/>
      <c r="EZ77" s="12"/>
      <c r="FB77" s="16"/>
      <c r="FD77" s="35"/>
      <c r="FH77" s="12"/>
      <c r="FI77" s="12"/>
      <c r="FJ77" s="12"/>
      <c r="FK77" s="12"/>
      <c r="FL77" s="12"/>
      <c r="FM77" s="12"/>
      <c r="FN77" s="12"/>
      <c r="FO77" s="12"/>
      <c r="FP77" s="12"/>
      <c r="FR77" s="16"/>
      <c r="FT77" s="35"/>
      <c r="FX77" s="12"/>
      <c r="FY77" s="12"/>
      <c r="FZ77" s="12"/>
      <c r="GA77" s="12"/>
      <c r="GB77" s="12"/>
      <c r="GC77" s="12"/>
      <c r="GD77" s="12"/>
      <c r="GE77" s="12"/>
      <c r="GF77" s="12"/>
      <c r="GH77" s="16"/>
      <c r="GJ77" s="35"/>
      <c r="GN77" s="12"/>
      <c r="GO77" s="12"/>
      <c r="GP77" s="12"/>
      <c r="GQ77" s="12"/>
      <c r="GR77" s="12"/>
      <c r="GS77" s="12"/>
      <c r="GT77" s="12"/>
      <c r="GU77" s="12"/>
      <c r="GV77" s="12"/>
      <c r="GX77" s="16"/>
      <c r="GZ77" s="35"/>
      <c r="HD77" s="12"/>
      <c r="HE77" s="12"/>
      <c r="HF77" s="12"/>
      <c r="HG77" s="12"/>
      <c r="HH77" s="12"/>
      <c r="HI77" s="12"/>
      <c r="HJ77" s="12"/>
      <c r="HK77" s="12"/>
      <c r="HL77" s="12"/>
      <c r="HN77" s="16"/>
      <c r="HP77" s="35"/>
      <c r="HT77" s="12"/>
      <c r="HU77" s="12"/>
      <c r="HV77" s="12"/>
      <c r="HW77" s="12"/>
      <c r="HX77" s="12"/>
      <c r="HY77" s="12"/>
      <c r="HZ77" s="12"/>
      <c r="IA77" s="12"/>
      <c r="IB77" s="12"/>
      <c r="ID77" s="16"/>
      <c r="IF77" s="35"/>
      <c r="IJ77" s="12"/>
      <c r="IK77" s="12"/>
      <c r="IL77" s="12"/>
      <c r="IM77" s="12"/>
      <c r="IN77" s="12"/>
      <c r="IO77" s="12"/>
      <c r="IP77" s="12"/>
      <c r="IQ77" s="12"/>
      <c r="IR77" s="12"/>
      <c r="IT77" s="16"/>
      <c r="IV77" s="35"/>
      <c r="IZ77" s="12"/>
      <c r="JA77" s="12"/>
      <c r="JB77" s="12"/>
      <c r="JC77" s="12"/>
      <c r="JD77" s="12"/>
      <c r="JE77" s="12"/>
      <c r="JF77" s="12"/>
      <c r="JG77" s="12"/>
      <c r="JH77" s="12"/>
      <c r="JL77" s="9"/>
      <c r="JP77" s="12"/>
      <c r="JQ77" s="12"/>
      <c r="JR77" s="12"/>
      <c r="JS77" s="12"/>
      <c r="JT77" s="12"/>
      <c r="JU77" s="12"/>
      <c r="JV77" s="12"/>
      <c r="JW77" s="12"/>
      <c r="JX77" s="12"/>
      <c r="KB77" s="9"/>
      <c r="KF77" s="12"/>
      <c r="KG77" s="12"/>
      <c r="KH77" s="12"/>
      <c r="KI77" s="12"/>
      <c r="KJ77" s="12"/>
      <c r="KK77" s="12"/>
      <c r="KL77" s="12"/>
      <c r="KM77" s="12"/>
      <c r="KN77" s="12"/>
      <c r="KR77" s="9"/>
      <c r="KV77" s="12"/>
      <c r="KW77" s="12"/>
      <c r="KX77" s="12"/>
      <c r="KY77" s="12"/>
      <c r="KZ77" s="12"/>
      <c r="LA77" s="12"/>
      <c r="LB77" s="12"/>
      <c r="LC77" s="12"/>
      <c r="LD77" s="12"/>
      <c r="LH77" s="9"/>
      <c r="LL77" s="12"/>
      <c r="LM77" s="12"/>
      <c r="LN77" s="12"/>
      <c r="LO77" s="12"/>
      <c r="LP77" s="12"/>
      <c r="LQ77" s="12"/>
      <c r="LR77" s="12"/>
      <c r="LS77" s="12"/>
      <c r="LT77" s="12"/>
      <c r="LX77" s="9"/>
      <c r="MB77" s="12"/>
      <c r="MC77" s="12"/>
      <c r="MD77" s="12"/>
      <c r="ME77" s="12"/>
      <c r="MF77" s="12"/>
      <c r="MG77" s="12"/>
      <c r="MH77" s="12"/>
      <c r="MI77" s="12"/>
      <c r="MJ77" s="12"/>
      <c r="MN77" s="9"/>
      <c r="MR77" s="12"/>
      <c r="MS77" s="12"/>
      <c r="MT77" s="12"/>
      <c r="MU77" s="12"/>
      <c r="MV77" s="12"/>
      <c r="MW77" s="12"/>
      <c r="MX77" s="12"/>
      <c r="MY77" s="12"/>
      <c r="MZ77" s="12"/>
      <c r="ND77" s="9"/>
      <c r="NH77" s="12"/>
      <c r="NI77" s="12"/>
      <c r="NJ77" s="12"/>
      <c r="NK77" s="12"/>
      <c r="NL77" s="12"/>
      <c r="NM77" s="12"/>
      <c r="NN77" s="12"/>
      <c r="NO77" s="12"/>
      <c r="NP77" s="12"/>
      <c r="NT77" s="9"/>
      <c r="NX77" s="12"/>
      <c r="NY77" s="12"/>
      <c r="NZ77" s="12"/>
      <c r="OA77" s="12"/>
      <c r="OB77" s="12"/>
      <c r="OC77" s="12"/>
      <c r="OD77" s="12"/>
      <c r="OE77" s="12"/>
      <c r="OF77" s="12"/>
      <c r="OJ77" s="9"/>
    </row>
    <row r="78" spans="1:401" hidden="1" x14ac:dyDescent="0.2">
      <c r="B78" s="12"/>
      <c r="C78" s="6"/>
      <c r="D78" s="6"/>
      <c r="E78" s="6"/>
      <c r="F78" s="6"/>
      <c r="G78" s="6"/>
      <c r="H78" s="6"/>
      <c r="I78" s="6"/>
      <c r="J78" s="6"/>
      <c r="P78" s="12"/>
      <c r="Q78" s="12"/>
      <c r="R78" s="12"/>
      <c r="S78" s="12"/>
      <c r="T78" s="12"/>
      <c r="U78" s="12"/>
      <c r="V78" s="12"/>
      <c r="W78" s="12"/>
      <c r="X78" s="12"/>
      <c r="AH78" s="12"/>
      <c r="AI78" s="12"/>
      <c r="AJ78" s="12"/>
      <c r="AK78" s="12"/>
      <c r="AL78" s="12"/>
      <c r="AM78" s="12"/>
      <c r="AN78" s="12"/>
      <c r="AO78" s="12"/>
      <c r="AP78" s="12"/>
      <c r="AZ78" s="12"/>
      <c r="BA78" s="12"/>
      <c r="BB78" s="12"/>
      <c r="BC78" s="12"/>
      <c r="BD78" s="12"/>
      <c r="BE78" s="12"/>
      <c r="BF78" s="12"/>
      <c r="BG78" s="12"/>
      <c r="BH78" s="12"/>
      <c r="BJ78" s="16"/>
      <c r="BL78" s="35"/>
      <c r="BP78" s="12"/>
      <c r="BQ78" s="12"/>
      <c r="BR78" s="12"/>
      <c r="BS78" s="12"/>
      <c r="BT78" s="12"/>
      <c r="BU78" s="12"/>
      <c r="BV78" s="12"/>
      <c r="BW78" s="12"/>
      <c r="BX78" s="12"/>
      <c r="BZ78" s="16"/>
      <c r="CB78" s="9"/>
      <c r="CF78" s="12"/>
      <c r="CG78" s="12"/>
      <c r="CH78" s="12"/>
      <c r="CI78" s="12"/>
      <c r="CJ78" s="12"/>
      <c r="CK78" s="12"/>
      <c r="CL78" s="12"/>
      <c r="CM78" s="12"/>
      <c r="CN78" s="12"/>
      <c r="CP78" s="16"/>
      <c r="CR78" s="35"/>
      <c r="CV78" s="12"/>
      <c r="CW78" s="12"/>
      <c r="CX78" s="12"/>
      <c r="CY78" s="12"/>
      <c r="CZ78" s="12"/>
      <c r="DA78" s="12"/>
      <c r="DB78" s="12"/>
      <c r="DC78" s="12"/>
      <c r="DD78" s="12"/>
      <c r="DF78" s="16"/>
      <c r="DH78" s="35"/>
      <c r="DL78" s="12"/>
      <c r="DM78" s="12"/>
      <c r="DN78" s="12"/>
      <c r="DO78" s="12"/>
      <c r="DP78" s="12"/>
      <c r="DQ78" s="12"/>
      <c r="DR78" s="12"/>
      <c r="DS78" s="12"/>
      <c r="DT78" s="12"/>
      <c r="DV78" s="16"/>
      <c r="DX78" s="35"/>
      <c r="EB78" s="12"/>
      <c r="EC78" s="12"/>
      <c r="ED78" s="12"/>
      <c r="EE78" s="12"/>
      <c r="EF78" s="12"/>
      <c r="EG78" s="12"/>
      <c r="EH78" s="12"/>
      <c r="EI78" s="12"/>
      <c r="EJ78" s="12"/>
      <c r="EL78" s="16"/>
      <c r="EN78" s="35"/>
      <c r="ER78" s="12"/>
      <c r="ES78" s="12"/>
      <c r="ET78" s="12"/>
      <c r="EU78" s="12"/>
      <c r="EV78" s="12"/>
      <c r="EW78" s="12"/>
      <c r="EX78" s="12"/>
      <c r="EY78" s="12"/>
      <c r="EZ78" s="12"/>
      <c r="FB78" s="16"/>
      <c r="FD78" s="35"/>
      <c r="FH78" s="12"/>
      <c r="FI78" s="12"/>
      <c r="FJ78" s="12"/>
      <c r="FK78" s="12"/>
      <c r="FL78" s="12"/>
      <c r="FM78" s="12"/>
      <c r="FN78" s="12"/>
      <c r="FO78" s="12"/>
      <c r="FP78" s="12"/>
      <c r="FR78" s="16"/>
      <c r="FT78" s="35"/>
      <c r="FX78" s="12"/>
      <c r="FY78" s="12"/>
      <c r="FZ78" s="12"/>
      <c r="GA78" s="12"/>
      <c r="GB78" s="12"/>
      <c r="GC78" s="12"/>
      <c r="GD78" s="12"/>
      <c r="GE78" s="12"/>
      <c r="GF78" s="12"/>
      <c r="GH78" s="16"/>
      <c r="GJ78" s="35"/>
      <c r="GN78" s="12"/>
      <c r="GO78" s="12"/>
      <c r="GP78" s="12"/>
      <c r="GQ78" s="12"/>
      <c r="GR78" s="12"/>
      <c r="GS78" s="12"/>
      <c r="GT78" s="12"/>
      <c r="GU78" s="12"/>
      <c r="GV78" s="12"/>
      <c r="GX78" s="16"/>
      <c r="GZ78" s="35"/>
      <c r="HD78" s="12"/>
      <c r="HE78" s="12"/>
      <c r="HF78" s="12"/>
      <c r="HG78" s="12"/>
      <c r="HH78" s="12"/>
      <c r="HI78" s="12"/>
      <c r="HJ78" s="12"/>
      <c r="HK78" s="12"/>
      <c r="HL78" s="12"/>
      <c r="HN78" s="16"/>
      <c r="HP78" s="35"/>
      <c r="HT78" s="12"/>
      <c r="HU78" s="12"/>
      <c r="HV78" s="12"/>
      <c r="HW78" s="12"/>
      <c r="HX78" s="12"/>
      <c r="HY78" s="12"/>
      <c r="HZ78" s="12"/>
      <c r="IA78" s="12"/>
      <c r="IB78" s="12"/>
      <c r="ID78" s="16"/>
      <c r="IF78" s="35"/>
      <c r="IJ78" s="12"/>
      <c r="IK78" s="12"/>
      <c r="IL78" s="12"/>
      <c r="IM78" s="12"/>
      <c r="IN78" s="12"/>
      <c r="IO78" s="12"/>
      <c r="IP78" s="12"/>
      <c r="IQ78" s="12"/>
      <c r="IR78" s="12"/>
      <c r="IT78" s="16"/>
      <c r="IV78" s="35"/>
      <c r="IZ78" s="12"/>
      <c r="JA78" s="12"/>
      <c r="JB78" s="12"/>
      <c r="JC78" s="12"/>
      <c r="JD78" s="12"/>
      <c r="JE78" s="12"/>
      <c r="JF78" s="12"/>
      <c r="JG78" s="12"/>
      <c r="JH78" s="12"/>
      <c r="JL78" s="9"/>
      <c r="JP78" s="12"/>
      <c r="JQ78" s="12"/>
      <c r="JR78" s="12"/>
      <c r="JS78" s="12"/>
      <c r="JT78" s="12"/>
      <c r="JU78" s="12"/>
      <c r="JV78" s="12"/>
      <c r="JW78" s="12"/>
      <c r="JX78" s="12"/>
      <c r="KB78" s="9"/>
      <c r="KF78" s="12"/>
      <c r="KG78" s="12"/>
      <c r="KH78" s="12"/>
      <c r="KI78" s="12"/>
      <c r="KJ78" s="12"/>
      <c r="KK78" s="12"/>
      <c r="KL78" s="12"/>
      <c r="KM78" s="12"/>
      <c r="KN78" s="12"/>
      <c r="KR78" s="9"/>
      <c r="KV78" s="12"/>
      <c r="KW78" s="12"/>
      <c r="KX78" s="12"/>
      <c r="KY78" s="12"/>
      <c r="KZ78" s="12"/>
      <c r="LA78" s="12"/>
      <c r="LB78" s="12"/>
      <c r="LC78" s="12"/>
      <c r="LD78" s="12"/>
      <c r="LH78" s="9"/>
      <c r="LL78" s="12"/>
      <c r="LM78" s="12"/>
      <c r="LN78" s="12"/>
      <c r="LO78" s="12"/>
      <c r="LP78" s="12"/>
      <c r="LQ78" s="12"/>
      <c r="LR78" s="12"/>
      <c r="LS78" s="12"/>
      <c r="LT78" s="12"/>
      <c r="LX78" s="9"/>
      <c r="MB78" s="12"/>
      <c r="MC78" s="12"/>
      <c r="MD78" s="12"/>
      <c r="ME78" s="12"/>
      <c r="MF78" s="12"/>
      <c r="MG78" s="12"/>
      <c r="MH78" s="12"/>
      <c r="MI78" s="12"/>
      <c r="MJ78" s="12"/>
      <c r="MN78" s="9"/>
      <c r="MR78" s="12"/>
      <c r="MS78" s="12"/>
      <c r="MT78" s="12"/>
      <c r="MU78" s="12"/>
      <c r="MV78" s="12"/>
      <c r="MW78" s="12"/>
      <c r="MX78" s="12"/>
      <c r="MY78" s="12"/>
      <c r="MZ78" s="12"/>
      <c r="ND78" s="9"/>
      <c r="NH78" s="12"/>
      <c r="NI78" s="12"/>
      <c r="NJ78" s="12"/>
      <c r="NK78" s="12"/>
      <c r="NL78" s="12"/>
      <c r="NM78" s="12"/>
      <c r="NN78" s="12"/>
      <c r="NO78" s="12"/>
      <c r="NP78" s="12"/>
      <c r="NT78" s="9"/>
      <c r="NX78" s="12"/>
      <c r="NY78" s="12"/>
      <c r="NZ78" s="12"/>
      <c r="OA78" s="12"/>
      <c r="OB78" s="12"/>
      <c r="OC78" s="12"/>
      <c r="OD78" s="12"/>
      <c r="OE78" s="12"/>
      <c r="OF78" s="12"/>
      <c r="OJ78" s="9"/>
    </row>
    <row r="79" spans="1:401" x14ac:dyDescent="0.2">
      <c r="P79" s="12"/>
      <c r="Q79" s="12"/>
      <c r="R79" s="12"/>
      <c r="S79" s="12"/>
      <c r="T79" s="12"/>
      <c r="U79" s="12"/>
      <c r="V79" s="12"/>
      <c r="W79" s="12"/>
      <c r="X79" s="12"/>
      <c r="AH79" s="12"/>
      <c r="AI79" s="12"/>
      <c r="AJ79" s="12"/>
      <c r="AK79" s="12"/>
      <c r="AL79" s="12"/>
      <c r="AM79" s="12"/>
      <c r="AN79" s="12"/>
      <c r="AO79" s="12"/>
      <c r="AP79" s="12"/>
      <c r="AZ79" s="12"/>
      <c r="BA79" s="12"/>
      <c r="BB79" s="12"/>
      <c r="BC79" s="12"/>
      <c r="BD79" s="12"/>
      <c r="BE79" s="12"/>
      <c r="BF79" s="12"/>
      <c r="BG79" s="12"/>
      <c r="BH79" s="12"/>
      <c r="BJ79" s="16"/>
      <c r="BL79" s="35"/>
      <c r="BP79" s="12"/>
      <c r="BQ79" s="12"/>
      <c r="BR79" s="12"/>
      <c r="BS79" s="12"/>
      <c r="BT79" s="12"/>
      <c r="BU79" s="12"/>
      <c r="BV79" s="12"/>
      <c r="BW79" s="12"/>
      <c r="BX79" s="12"/>
      <c r="BZ79" s="16"/>
      <c r="CB79" s="9"/>
      <c r="CF79" s="12"/>
      <c r="CG79" s="12"/>
      <c r="CH79" s="12"/>
      <c r="CI79" s="12"/>
      <c r="CJ79" s="12"/>
      <c r="CK79" s="12"/>
      <c r="CL79" s="12"/>
      <c r="CM79" s="12"/>
      <c r="CN79" s="12"/>
      <c r="CP79" s="16"/>
      <c r="CR79" s="35"/>
      <c r="CV79" s="12"/>
      <c r="CW79" s="12"/>
      <c r="CX79" s="12"/>
      <c r="CY79" s="12"/>
      <c r="CZ79" s="12"/>
      <c r="DA79" s="12"/>
      <c r="DB79" s="12"/>
      <c r="DC79" s="12"/>
      <c r="DD79" s="12"/>
      <c r="DF79" s="16"/>
      <c r="DH79" s="35"/>
      <c r="DL79" s="12"/>
      <c r="DM79" s="12"/>
      <c r="DN79" s="12"/>
      <c r="DO79" s="12"/>
      <c r="DP79" s="12"/>
      <c r="DQ79" s="12"/>
      <c r="DR79" s="12"/>
      <c r="DS79" s="12"/>
      <c r="DT79" s="12"/>
      <c r="DV79" s="16"/>
      <c r="DX79" s="35"/>
      <c r="EB79" s="12"/>
      <c r="EC79" s="12"/>
      <c r="ED79" s="12"/>
      <c r="EE79" s="12"/>
      <c r="EF79" s="12"/>
      <c r="EG79" s="12"/>
      <c r="EH79" s="12"/>
      <c r="EI79" s="12"/>
      <c r="EJ79" s="12"/>
      <c r="EL79" s="16"/>
      <c r="EN79" s="35"/>
      <c r="ER79" s="12"/>
      <c r="ES79" s="12"/>
      <c r="ET79" s="12"/>
      <c r="EU79" s="12"/>
      <c r="EV79" s="12"/>
      <c r="EW79" s="12"/>
      <c r="EX79" s="12"/>
      <c r="EY79" s="12"/>
      <c r="EZ79" s="12"/>
      <c r="FB79" s="16"/>
      <c r="FD79" s="35"/>
      <c r="FH79" s="12"/>
      <c r="FI79" s="12"/>
      <c r="FJ79" s="12"/>
      <c r="FK79" s="12"/>
      <c r="FL79" s="12"/>
      <c r="FM79" s="12"/>
      <c r="FN79" s="12"/>
      <c r="FO79" s="12"/>
      <c r="FP79" s="12"/>
      <c r="FR79" s="16"/>
      <c r="FT79" s="35"/>
      <c r="FX79" s="12"/>
      <c r="FY79" s="12"/>
      <c r="FZ79" s="12"/>
      <c r="GA79" s="12"/>
      <c r="GB79" s="12"/>
      <c r="GC79" s="12"/>
      <c r="GD79" s="12"/>
      <c r="GE79" s="12"/>
      <c r="GF79" s="12"/>
      <c r="GH79" s="16"/>
      <c r="GJ79" s="35"/>
      <c r="GN79" s="12"/>
      <c r="GO79" s="12"/>
      <c r="GP79" s="12"/>
      <c r="GQ79" s="12"/>
      <c r="GR79" s="12"/>
      <c r="GS79" s="12"/>
      <c r="GT79" s="12"/>
      <c r="GU79" s="12"/>
      <c r="GV79" s="12"/>
      <c r="GX79" s="16"/>
      <c r="GZ79" s="35"/>
      <c r="HD79" s="12"/>
      <c r="HE79" s="12"/>
      <c r="HF79" s="12"/>
      <c r="HG79" s="12"/>
      <c r="HH79" s="12"/>
      <c r="HI79" s="12"/>
      <c r="HJ79" s="12"/>
      <c r="HK79" s="12"/>
      <c r="HL79" s="12"/>
      <c r="HN79" s="16"/>
      <c r="HP79" s="35"/>
      <c r="HT79" s="12"/>
      <c r="HU79" s="12"/>
      <c r="HV79" s="12"/>
      <c r="HW79" s="12"/>
      <c r="HX79" s="12"/>
      <c r="HY79" s="12"/>
      <c r="HZ79" s="12"/>
      <c r="IA79" s="12"/>
      <c r="IB79" s="12"/>
      <c r="ID79" s="16"/>
      <c r="IF79" s="35"/>
      <c r="IJ79" s="12"/>
      <c r="IK79" s="12"/>
      <c r="IL79" s="12"/>
      <c r="IM79" s="12"/>
      <c r="IN79" s="12"/>
      <c r="IO79" s="12"/>
      <c r="IP79" s="12"/>
      <c r="IQ79" s="12"/>
      <c r="IR79" s="12"/>
      <c r="IT79" s="16"/>
      <c r="IV79" s="35"/>
      <c r="IZ79" s="12"/>
      <c r="JA79" s="12"/>
      <c r="JB79" s="12"/>
      <c r="JC79" s="12"/>
      <c r="JD79" s="12"/>
      <c r="JE79" s="12"/>
      <c r="JF79" s="12"/>
      <c r="JG79" s="12"/>
      <c r="JH79" s="12"/>
      <c r="JL79" s="9"/>
      <c r="JP79" s="12"/>
      <c r="JQ79" s="12"/>
      <c r="JR79" s="12"/>
      <c r="JS79" s="12"/>
      <c r="JT79" s="12"/>
      <c r="JU79" s="12"/>
      <c r="JV79" s="12"/>
      <c r="JW79" s="12"/>
      <c r="JX79" s="12"/>
      <c r="KB79" s="9"/>
      <c r="KF79" s="12"/>
      <c r="KG79" s="12"/>
      <c r="KH79" s="12"/>
      <c r="KI79" s="12"/>
      <c r="KJ79" s="12"/>
      <c r="KK79" s="12"/>
      <c r="KL79" s="12"/>
      <c r="KM79" s="12"/>
      <c r="KN79" s="12"/>
      <c r="KR79" s="9"/>
      <c r="KV79" s="12"/>
      <c r="KW79" s="12"/>
      <c r="KX79" s="12"/>
      <c r="KY79" s="12"/>
      <c r="KZ79" s="12"/>
      <c r="LA79" s="12"/>
      <c r="LB79" s="12"/>
      <c r="LC79" s="12"/>
      <c r="LD79" s="12"/>
      <c r="LH79" s="9"/>
      <c r="LL79" s="12"/>
      <c r="LM79" s="12"/>
      <c r="LN79" s="12"/>
      <c r="LO79" s="12"/>
      <c r="LP79" s="12"/>
      <c r="LQ79" s="12"/>
      <c r="LR79" s="12"/>
      <c r="LS79" s="12"/>
      <c r="LT79" s="12"/>
      <c r="LX79" s="9"/>
      <c r="MB79" s="12"/>
      <c r="MC79" s="12"/>
      <c r="MD79" s="12"/>
      <c r="ME79" s="12"/>
      <c r="MF79" s="12"/>
      <c r="MG79" s="12"/>
      <c r="MH79" s="12"/>
      <c r="MI79" s="12"/>
      <c r="MJ79" s="12"/>
      <c r="MN79" s="9"/>
      <c r="MR79" s="12"/>
      <c r="MS79" s="12"/>
      <c r="MT79" s="12"/>
      <c r="MU79" s="12"/>
      <c r="MV79" s="12"/>
      <c r="MW79" s="12"/>
      <c r="MX79" s="12"/>
      <c r="MY79" s="12"/>
      <c r="MZ79" s="12"/>
      <c r="ND79" s="9"/>
      <c r="NH79" s="12"/>
      <c r="NI79" s="12"/>
      <c r="NJ79" s="12"/>
      <c r="NK79" s="12"/>
      <c r="NL79" s="12"/>
      <c r="NM79" s="12"/>
      <c r="NN79" s="12"/>
      <c r="NO79" s="12"/>
      <c r="NP79" s="12"/>
      <c r="NT79" s="9"/>
      <c r="NX79" s="12"/>
      <c r="NY79" s="12"/>
      <c r="NZ79" s="12"/>
      <c r="OA79" s="12"/>
      <c r="OB79" s="12"/>
      <c r="OC79" s="12"/>
      <c r="OD79" s="12"/>
      <c r="OE79" s="12"/>
      <c r="OF79" s="12"/>
      <c r="OJ79" s="9"/>
    </row>
    <row r="80" spans="1:401" x14ac:dyDescent="0.2">
      <c r="O80" s="5"/>
      <c r="P80" s="12"/>
      <c r="Q80" s="12"/>
      <c r="R80" s="12"/>
      <c r="S80" s="12"/>
      <c r="T80" s="12"/>
      <c r="U80" s="12"/>
      <c r="V80" s="12"/>
      <c r="W80" s="12"/>
      <c r="X80" s="12"/>
      <c r="AG80" s="5"/>
      <c r="AH80" s="12"/>
      <c r="AI80" s="12"/>
      <c r="AJ80" s="12"/>
      <c r="AK80" s="12"/>
      <c r="AL80" s="12"/>
      <c r="AM80" s="12"/>
      <c r="AN80" s="12"/>
      <c r="AO80" s="12"/>
      <c r="AP80" s="12"/>
      <c r="AZ80" s="12"/>
      <c r="BA80" s="12"/>
      <c r="BB80" s="12"/>
      <c r="BC80" s="12"/>
      <c r="BD80" s="12"/>
      <c r="BE80" s="12"/>
      <c r="BF80" s="12"/>
      <c r="BG80" s="12"/>
      <c r="BH80" s="12"/>
      <c r="BJ80" s="16"/>
      <c r="BL80" s="35"/>
      <c r="BP80" s="12"/>
      <c r="BQ80" s="12"/>
      <c r="BR80" s="12"/>
      <c r="BS80" s="12"/>
      <c r="BT80" s="12"/>
      <c r="BU80" s="12"/>
      <c r="BV80" s="12"/>
      <c r="BW80" s="12"/>
      <c r="BX80" s="12"/>
      <c r="BZ80" s="16"/>
      <c r="CB80" s="9"/>
      <c r="CF80" s="12"/>
      <c r="CG80" s="12"/>
      <c r="CH80" s="12"/>
      <c r="CI80" s="12"/>
      <c r="CJ80" s="12"/>
      <c r="CK80" s="12"/>
      <c r="CL80" s="12"/>
      <c r="CM80" s="12"/>
      <c r="CN80" s="12"/>
      <c r="CP80" s="16"/>
      <c r="CR80" s="35"/>
      <c r="CV80" s="12"/>
      <c r="CW80" s="12"/>
      <c r="CX80" s="12"/>
      <c r="CY80" s="12"/>
      <c r="CZ80" s="12"/>
      <c r="DA80" s="12"/>
      <c r="DB80" s="12"/>
      <c r="DC80" s="12"/>
      <c r="DD80" s="12"/>
      <c r="DF80" s="16"/>
      <c r="DH80" s="35"/>
      <c r="DL80" s="12"/>
      <c r="DM80" s="12"/>
      <c r="DN80" s="12"/>
      <c r="DO80" s="12"/>
      <c r="DP80" s="12"/>
      <c r="DQ80" s="12"/>
      <c r="DR80" s="12"/>
      <c r="DS80" s="12"/>
      <c r="DT80" s="12"/>
      <c r="DV80" s="16"/>
      <c r="DX80" s="35"/>
      <c r="EB80" s="12"/>
      <c r="EC80" s="12"/>
      <c r="ED80" s="12"/>
      <c r="EE80" s="12"/>
      <c r="EF80" s="12"/>
      <c r="EG80" s="12"/>
      <c r="EH80" s="12"/>
      <c r="EI80" s="12"/>
      <c r="EJ80" s="12"/>
      <c r="EL80" s="16"/>
      <c r="EN80" s="35"/>
      <c r="ER80" s="12"/>
      <c r="ES80" s="12"/>
      <c r="ET80" s="12"/>
      <c r="EU80" s="12"/>
      <c r="EV80" s="12"/>
      <c r="EW80" s="12"/>
      <c r="EX80" s="12"/>
      <c r="EY80" s="12"/>
      <c r="EZ80" s="12"/>
      <c r="FB80" s="16"/>
      <c r="FD80" s="35"/>
      <c r="FH80" s="12"/>
      <c r="FI80" s="12"/>
      <c r="FJ80" s="12"/>
      <c r="FK80" s="12"/>
      <c r="FL80" s="12"/>
      <c r="FM80" s="12"/>
      <c r="FN80" s="12"/>
      <c r="FO80" s="12"/>
      <c r="FP80" s="12"/>
      <c r="FR80" s="16"/>
      <c r="FT80" s="35"/>
      <c r="FX80" s="12"/>
      <c r="FY80" s="12"/>
      <c r="FZ80" s="12"/>
      <c r="GA80" s="12"/>
      <c r="GB80" s="12"/>
      <c r="GC80" s="12"/>
      <c r="GD80" s="12"/>
      <c r="GE80" s="12"/>
      <c r="GF80" s="12"/>
      <c r="GH80" s="16"/>
      <c r="GJ80" s="35"/>
      <c r="GN80" s="12"/>
      <c r="GO80" s="12"/>
      <c r="GP80" s="12"/>
      <c r="GQ80" s="12"/>
      <c r="GR80" s="12"/>
      <c r="GS80" s="12"/>
      <c r="GT80" s="12"/>
      <c r="GU80" s="12"/>
      <c r="GV80" s="12"/>
      <c r="GX80" s="16"/>
      <c r="GZ80" s="35"/>
      <c r="HD80" s="12"/>
      <c r="HE80" s="12"/>
      <c r="HF80" s="12"/>
      <c r="HG80" s="12"/>
      <c r="HH80" s="12"/>
      <c r="HI80" s="12"/>
      <c r="HJ80" s="12"/>
      <c r="HK80" s="12"/>
      <c r="HL80" s="12"/>
      <c r="HN80" s="16"/>
      <c r="HP80" s="35"/>
      <c r="HT80" s="12"/>
      <c r="HU80" s="12"/>
      <c r="HV80" s="12"/>
      <c r="HW80" s="12"/>
      <c r="HX80" s="12"/>
      <c r="HY80" s="12"/>
      <c r="HZ80" s="12"/>
      <c r="IA80" s="12"/>
      <c r="IB80" s="12"/>
      <c r="ID80" s="16"/>
      <c r="IF80" s="35"/>
      <c r="IJ80" s="12"/>
      <c r="IK80" s="12"/>
      <c r="IL80" s="12"/>
      <c r="IM80" s="12"/>
      <c r="IN80" s="12"/>
      <c r="IO80" s="12"/>
      <c r="IP80" s="12"/>
      <c r="IQ80" s="12"/>
      <c r="IR80" s="12"/>
      <c r="IT80" s="16"/>
      <c r="IV80" s="35"/>
      <c r="IZ80" s="12"/>
      <c r="JA80" s="12"/>
      <c r="JB80" s="12"/>
      <c r="JC80" s="12"/>
      <c r="JD80" s="12"/>
      <c r="JE80" s="12"/>
      <c r="JF80" s="12"/>
      <c r="JG80" s="12"/>
      <c r="JH80" s="12"/>
      <c r="JL80" s="9"/>
      <c r="JP80" s="12"/>
      <c r="JQ80" s="12"/>
      <c r="JR80" s="12"/>
      <c r="JS80" s="12"/>
      <c r="JT80" s="12"/>
      <c r="JU80" s="12"/>
      <c r="JV80" s="12"/>
      <c r="JW80" s="12"/>
      <c r="JX80" s="12"/>
      <c r="KB80" s="9"/>
      <c r="KF80" s="12"/>
      <c r="KG80" s="12"/>
      <c r="KH80" s="12"/>
      <c r="KI80" s="12"/>
      <c r="KJ80" s="12"/>
      <c r="KK80" s="12"/>
      <c r="KL80" s="12"/>
      <c r="KM80" s="12"/>
      <c r="KN80" s="12"/>
      <c r="KR80" s="9"/>
      <c r="KV80" s="12"/>
      <c r="KW80" s="12"/>
      <c r="KX80" s="12"/>
      <c r="KY80" s="12"/>
      <c r="KZ80" s="12"/>
      <c r="LA80" s="12"/>
      <c r="LB80" s="12"/>
      <c r="LC80" s="12"/>
      <c r="LD80" s="12"/>
      <c r="LH80" s="9"/>
      <c r="LL80" s="12"/>
      <c r="LM80" s="12"/>
      <c r="LN80" s="12"/>
      <c r="LO80" s="12"/>
      <c r="LP80" s="12"/>
      <c r="LQ80" s="12"/>
      <c r="LR80" s="12"/>
      <c r="LS80" s="12"/>
      <c r="LT80" s="12"/>
      <c r="LX80" s="9"/>
      <c r="MB80" s="12"/>
      <c r="MC80" s="12"/>
      <c r="MD80" s="12"/>
      <c r="ME80" s="12"/>
      <c r="MF80" s="12"/>
      <c r="MG80" s="12"/>
      <c r="MH80" s="12"/>
      <c r="MI80" s="12"/>
      <c r="MJ80" s="12"/>
      <c r="MN80" s="9"/>
      <c r="MR80" s="12"/>
      <c r="MS80" s="12"/>
      <c r="MT80" s="12"/>
      <c r="MU80" s="12"/>
      <c r="MV80" s="12"/>
      <c r="MW80" s="12"/>
      <c r="MX80" s="12"/>
      <c r="MY80" s="12"/>
      <c r="MZ80" s="12"/>
      <c r="ND80" s="9"/>
      <c r="NH80" s="12"/>
      <c r="NI80" s="12"/>
      <c r="NJ80" s="12"/>
      <c r="NK80" s="12"/>
      <c r="NL80" s="12"/>
      <c r="NM80" s="12"/>
      <c r="NN80" s="12"/>
      <c r="NO80" s="12"/>
      <c r="NP80" s="12"/>
      <c r="NT80" s="9"/>
      <c r="NX80" s="12"/>
      <c r="NY80" s="12"/>
      <c r="NZ80" s="12"/>
      <c r="OA80" s="12"/>
      <c r="OB80" s="12"/>
      <c r="OC80" s="12"/>
      <c r="OD80" s="12"/>
      <c r="OE80" s="12"/>
      <c r="OF80" s="12"/>
      <c r="OJ80" s="9"/>
    </row>
    <row r="81" spans="1:401" x14ac:dyDescent="0.2">
      <c r="A81" s="5" t="s">
        <v>51</v>
      </c>
      <c r="B81" s="12"/>
      <c r="O81" s="5"/>
      <c r="P81" s="12"/>
      <c r="Q81" s="12"/>
      <c r="R81" s="12"/>
      <c r="S81" s="12"/>
      <c r="T81" s="12"/>
      <c r="U81" s="12"/>
      <c r="V81" s="12"/>
      <c r="W81" s="12"/>
      <c r="X81" s="12"/>
      <c r="AG81" s="5"/>
      <c r="AH81" s="12"/>
      <c r="AI81" s="12"/>
      <c r="AJ81" s="12"/>
      <c r="AK81" s="12"/>
      <c r="AL81" s="12"/>
      <c r="AM81" s="12"/>
      <c r="AN81" s="12"/>
      <c r="AO81" s="12"/>
      <c r="AP81" s="12"/>
      <c r="AY81" s="5"/>
      <c r="AZ81" s="12"/>
      <c r="BA81" s="12"/>
      <c r="BB81" s="12"/>
      <c r="BC81" s="12"/>
      <c r="BD81" s="12"/>
      <c r="BE81" s="12"/>
      <c r="BF81" s="12"/>
      <c r="BG81" s="12"/>
      <c r="BH81" s="12"/>
      <c r="BJ81" s="16"/>
      <c r="BL81" s="35"/>
      <c r="BO81" s="5"/>
      <c r="BP81" s="12"/>
      <c r="BQ81" s="12"/>
      <c r="BR81" s="12"/>
      <c r="BS81" s="12"/>
      <c r="BT81" s="12"/>
      <c r="BU81" s="12"/>
      <c r="BV81" s="12"/>
      <c r="BW81" s="12"/>
      <c r="BX81" s="12"/>
      <c r="BZ81" s="16"/>
      <c r="CB81" s="9"/>
      <c r="CE81" s="5"/>
      <c r="CF81" s="12"/>
      <c r="CG81" s="12"/>
      <c r="CH81" s="12"/>
      <c r="CI81" s="12"/>
      <c r="CJ81" s="12"/>
      <c r="CK81" s="12"/>
      <c r="CL81" s="12"/>
      <c r="CM81" s="12"/>
      <c r="CN81" s="12"/>
      <c r="CP81" s="16"/>
      <c r="CR81" s="35"/>
      <c r="CU81" s="5"/>
      <c r="CV81" s="12"/>
      <c r="CW81" s="12"/>
      <c r="CX81" s="12"/>
      <c r="CY81" s="12"/>
      <c r="CZ81" s="12"/>
      <c r="DA81" s="12"/>
      <c r="DB81" s="12"/>
      <c r="DC81" s="12"/>
      <c r="DD81" s="12"/>
      <c r="DF81" s="16"/>
      <c r="DH81" s="35"/>
      <c r="DK81" s="5"/>
      <c r="DL81" s="12"/>
      <c r="DM81" s="12"/>
      <c r="DN81" s="12"/>
      <c r="DO81" s="12"/>
      <c r="DP81" s="12"/>
      <c r="DQ81" s="12"/>
      <c r="DR81" s="12"/>
      <c r="DS81" s="12"/>
      <c r="DT81" s="12"/>
      <c r="DV81" s="16"/>
      <c r="DX81" s="35"/>
      <c r="EA81" s="5"/>
      <c r="EB81" s="12"/>
      <c r="EC81" s="12"/>
      <c r="ED81" s="12"/>
      <c r="EE81" s="12"/>
      <c r="EF81" s="12"/>
      <c r="EG81" s="12"/>
      <c r="EH81" s="12"/>
      <c r="EI81" s="12"/>
      <c r="EJ81" s="12"/>
      <c r="EL81" s="16"/>
      <c r="EN81" s="35"/>
      <c r="EQ81" s="5"/>
      <c r="ER81" s="12"/>
      <c r="ES81" s="12"/>
      <c r="ET81" s="12"/>
      <c r="EU81" s="12"/>
      <c r="EV81" s="12"/>
      <c r="EW81" s="12"/>
      <c r="EX81" s="12"/>
      <c r="EY81" s="12"/>
      <c r="EZ81" s="12"/>
      <c r="FB81" s="16"/>
      <c r="FD81" s="35"/>
      <c r="FG81" s="5"/>
      <c r="FH81" s="12"/>
      <c r="FI81" s="12"/>
      <c r="FJ81" s="12"/>
      <c r="FK81" s="12"/>
      <c r="FL81" s="12"/>
      <c r="FM81" s="12"/>
      <c r="FN81" s="12"/>
      <c r="FO81" s="12"/>
      <c r="FP81" s="12"/>
      <c r="FR81" s="16"/>
      <c r="FT81" s="35"/>
      <c r="FW81" s="5"/>
      <c r="FX81" s="12"/>
      <c r="FY81" s="12"/>
      <c r="FZ81" s="12"/>
      <c r="GA81" s="12"/>
      <c r="GB81" s="12"/>
      <c r="GC81" s="12"/>
      <c r="GD81" s="12"/>
      <c r="GE81" s="12"/>
      <c r="GF81" s="12"/>
      <c r="GH81" s="16"/>
      <c r="GJ81" s="35"/>
      <c r="GN81" s="12"/>
      <c r="GO81" s="12"/>
      <c r="GP81" s="12"/>
      <c r="GQ81" s="12"/>
      <c r="GR81" s="12"/>
      <c r="GS81" s="12"/>
      <c r="GT81" s="12"/>
      <c r="GU81" s="12"/>
      <c r="GV81" s="12"/>
      <c r="GX81" s="16"/>
      <c r="GZ81" s="35"/>
      <c r="HD81" s="12"/>
      <c r="HE81" s="12"/>
      <c r="HF81" s="12"/>
      <c r="HG81" s="12"/>
      <c r="HH81" s="12"/>
      <c r="HI81" s="12"/>
      <c r="HJ81" s="12"/>
      <c r="HK81" s="12"/>
      <c r="HL81" s="12"/>
      <c r="HN81" s="16"/>
      <c r="HP81" s="35"/>
      <c r="HT81" s="12"/>
      <c r="HU81" s="12"/>
      <c r="HV81" s="12"/>
      <c r="HW81" s="12"/>
      <c r="HX81" s="12"/>
      <c r="HY81" s="12"/>
      <c r="HZ81" s="12"/>
      <c r="IA81" s="12"/>
      <c r="IB81" s="12"/>
      <c r="ID81" s="16"/>
      <c r="IF81" s="35"/>
      <c r="IJ81" s="12"/>
      <c r="IK81" s="12"/>
      <c r="IL81" s="12"/>
      <c r="IM81" s="12"/>
      <c r="IN81" s="12"/>
      <c r="IO81" s="12"/>
      <c r="IP81" s="12"/>
      <c r="IQ81" s="12"/>
      <c r="IR81" s="12"/>
      <c r="IT81" s="16"/>
      <c r="IV81" s="35"/>
      <c r="IZ81" s="12"/>
      <c r="JA81" s="12"/>
      <c r="JB81" s="12"/>
      <c r="JC81" s="12"/>
      <c r="JD81" s="12"/>
      <c r="JE81" s="12"/>
      <c r="JF81" s="12"/>
      <c r="JG81" s="12"/>
      <c r="JH81" s="12"/>
      <c r="JL81" s="9"/>
      <c r="JP81" s="12"/>
      <c r="JQ81" s="12"/>
      <c r="JR81" s="12"/>
      <c r="JS81" s="12"/>
      <c r="JT81" s="12"/>
      <c r="JU81" s="12"/>
      <c r="JV81" s="12"/>
      <c r="JW81" s="12"/>
      <c r="JX81" s="12"/>
      <c r="KB81" s="9"/>
      <c r="KF81" s="12"/>
      <c r="KG81" s="12"/>
      <c r="KH81" s="12"/>
      <c r="KI81" s="12"/>
      <c r="KJ81" s="12"/>
      <c r="KK81" s="12"/>
      <c r="KL81" s="12"/>
      <c r="KM81" s="12"/>
      <c r="KN81" s="12"/>
      <c r="KR81" s="9"/>
      <c r="KV81" s="12"/>
      <c r="KW81" s="12"/>
      <c r="KX81" s="12"/>
      <c r="KY81" s="12"/>
      <c r="KZ81" s="12"/>
      <c r="LA81" s="12"/>
      <c r="LB81" s="12"/>
      <c r="LC81" s="12"/>
      <c r="LD81" s="12"/>
      <c r="LH81" s="9"/>
      <c r="LL81" s="12"/>
      <c r="LM81" s="12"/>
      <c r="LN81" s="12"/>
      <c r="LO81" s="12"/>
      <c r="LP81" s="12"/>
      <c r="LQ81" s="12"/>
      <c r="LR81" s="12"/>
      <c r="LS81" s="12"/>
      <c r="LT81" s="12"/>
      <c r="LX81" s="9"/>
      <c r="MB81" s="12"/>
      <c r="MC81" s="12"/>
      <c r="MD81" s="12"/>
      <c r="ME81" s="12"/>
      <c r="MF81" s="12"/>
      <c r="MG81" s="12"/>
      <c r="MH81" s="12"/>
      <c r="MI81" s="12"/>
      <c r="MJ81" s="12"/>
      <c r="MN81" s="9"/>
      <c r="MR81" s="12"/>
      <c r="MS81" s="12"/>
      <c r="MT81" s="12"/>
      <c r="MU81" s="12"/>
      <c r="MV81" s="12"/>
      <c r="MW81" s="12"/>
      <c r="MX81" s="12"/>
      <c r="MY81" s="12"/>
      <c r="MZ81" s="12"/>
      <c r="ND81" s="9"/>
      <c r="NH81" s="12"/>
      <c r="NI81" s="12"/>
      <c r="NJ81" s="12"/>
      <c r="NK81" s="12"/>
      <c r="NL81" s="12"/>
      <c r="NM81" s="12"/>
      <c r="NN81" s="12"/>
      <c r="NO81" s="12"/>
      <c r="NP81" s="12"/>
      <c r="NT81" s="9"/>
      <c r="NX81" s="12"/>
      <c r="NY81" s="12"/>
      <c r="NZ81" s="12"/>
      <c r="OA81" s="12"/>
      <c r="OB81" s="12"/>
      <c r="OC81" s="12"/>
      <c r="OD81" s="12"/>
      <c r="OE81" s="12"/>
      <c r="OF81" s="12"/>
      <c r="OJ81" s="9"/>
    </row>
    <row r="82" spans="1:401" x14ac:dyDescent="0.2">
      <c r="A82" s="17" t="s">
        <v>1313</v>
      </c>
      <c r="B82" s="19" t="s">
        <v>1319</v>
      </c>
      <c r="C82" s="19" t="s">
        <v>1319</v>
      </c>
      <c r="D82" s="19" t="s">
        <v>1319</v>
      </c>
      <c r="E82" s="19" t="s">
        <v>1319</v>
      </c>
      <c r="F82" s="19" t="s">
        <v>1319</v>
      </c>
      <c r="G82" s="19" t="s">
        <v>1319</v>
      </c>
      <c r="H82" s="19" t="s">
        <v>1319</v>
      </c>
      <c r="I82" s="19" t="s">
        <v>1319</v>
      </c>
      <c r="J82" s="19" t="s">
        <v>1319</v>
      </c>
      <c r="O82" s="5"/>
      <c r="P82" s="12"/>
      <c r="Q82" s="12"/>
      <c r="R82" s="12"/>
      <c r="S82" s="12"/>
      <c r="T82" s="12"/>
      <c r="U82" s="12"/>
      <c r="V82" s="12"/>
      <c r="W82" s="12"/>
      <c r="X82" s="12"/>
      <c r="AG82" s="5"/>
      <c r="AH82" s="12"/>
      <c r="AI82" s="12"/>
      <c r="AJ82" s="12"/>
      <c r="AK82" s="12"/>
      <c r="AL82" s="12"/>
      <c r="AM82" s="12"/>
      <c r="AN82" s="12"/>
      <c r="AO82" s="12"/>
      <c r="AP82" s="12"/>
      <c r="AY82" s="5"/>
      <c r="AZ82" s="12"/>
      <c r="BA82" s="12"/>
      <c r="BB82" s="12"/>
      <c r="BC82" s="12"/>
      <c r="BD82" s="12"/>
      <c r="BE82" s="12"/>
      <c r="BF82" s="12"/>
      <c r="BG82" s="12"/>
      <c r="BH82" s="12"/>
      <c r="BJ82" s="16"/>
      <c r="BL82" s="35"/>
      <c r="BO82" s="5"/>
      <c r="BP82" s="12"/>
      <c r="BQ82" s="12"/>
      <c r="BR82" s="12"/>
      <c r="BS82" s="12"/>
      <c r="BT82" s="12"/>
      <c r="BU82" s="12"/>
      <c r="BV82" s="12"/>
      <c r="BW82" s="12"/>
      <c r="BX82" s="12"/>
      <c r="BZ82" s="16"/>
      <c r="CB82" s="9"/>
      <c r="CE82" s="5"/>
      <c r="CF82" s="12"/>
      <c r="CG82" s="12"/>
      <c r="CH82" s="12"/>
      <c r="CI82" s="12"/>
      <c r="CJ82" s="12"/>
      <c r="CK82" s="12"/>
      <c r="CL82" s="12"/>
      <c r="CM82" s="12"/>
      <c r="CN82" s="12"/>
      <c r="CP82" s="16"/>
      <c r="CR82" s="35"/>
      <c r="CU82" s="5"/>
      <c r="CV82" s="12"/>
      <c r="CW82" s="12"/>
      <c r="CX82" s="12"/>
      <c r="CY82" s="12"/>
      <c r="CZ82" s="12"/>
      <c r="DA82" s="12"/>
      <c r="DB82" s="12"/>
      <c r="DC82" s="12"/>
      <c r="DD82" s="12"/>
      <c r="DF82" s="16"/>
      <c r="DH82" s="35"/>
      <c r="DK82" s="5"/>
      <c r="DL82" s="12"/>
      <c r="DM82" s="12"/>
      <c r="DN82" s="12"/>
      <c r="DO82" s="12"/>
      <c r="DP82" s="12"/>
      <c r="DQ82" s="12"/>
      <c r="DR82" s="12"/>
      <c r="DS82" s="12"/>
      <c r="DT82" s="12"/>
      <c r="DV82" s="16"/>
      <c r="DX82" s="35"/>
      <c r="EA82" s="5"/>
      <c r="EB82" s="12"/>
      <c r="EC82" s="12"/>
      <c r="ED82" s="12"/>
      <c r="EE82" s="12"/>
      <c r="EF82" s="12"/>
      <c r="EG82" s="12"/>
      <c r="EH82" s="12"/>
      <c r="EI82" s="12"/>
      <c r="EJ82" s="12"/>
      <c r="EL82" s="16"/>
      <c r="EN82" s="35"/>
      <c r="EQ82" s="5"/>
      <c r="ER82" s="12"/>
      <c r="ES82" s="12"/>
      <c r="ET82" s="12"/>
      <c r="EU82" s="12"/>
      <c r="EV82" s="12"/>
      <c r="EW82" s="12"/>
      <c r="EX82" s="12"/>
      <c r="EY82" s="12"/>
      <c r="EZ82" s="12"/>
      <c r="FB82" s="16"/>
      <c r="FD82" s="35"/>
      <c r="FG82" s="5"/>
      <c r="FH82" s="12"/>
      <c r="FI82" s="12"/>
      <c r="FJ82" s="12"/>
      <c r="FK82" s="12"/>
      <c r="FL82" s="12"/>
      <c r="FM82" s="12"/>
      <c r="FN82" s="12"/>
      <c r="FO82" s="12"/>
      <c r="FP82" s="12"/>
      <c r="FR82" s="16"/>
      <c r="FT82" s="35"/>
      <c r="FW82" s="5"/>
      <c r="FX82" s="12"/>
      <c r="FY82" s="12"/>
      <c r="FZ82" s="12"/>
      <c r="GA82" s="12"/>
      <c r="GB82" s="12"/>
      <c r="GC82" s="12"/>
      <c r="GD82" s="12"/>
      <c r="GE82" s="12"/>
      <c r="GF82" s="12"/>
      <c r="GH82" s="16"/>
      <c r="GJ82" s="35"/>
      <c r="GN82" s="12"/>
      <c r="GO82" s="12"/>
      <c r="GP82" s="12"/>
      <c r="GQ82" s="12"/>
      <c r="GR82" s="12"/>
      <c r="GS82" s="12"/>
      <c r="GT82" s="12"/>
      <c r="GU82" s="12"/>
      <c r="GV82" s="12"/>
      <c r="GX82" s="16"/>
      <c r="GZ82" s="35"/>
      <c r="HD82" s="12"/>
      <c r="HE82" s="12"/>
      <c r="HF82" s="12"/>
      <c r="HG82" s="12"/>
      <c r="HH82" s="12"/>
      <c r="HI82" s="12"/>
      <c r="HJ82" s="12"/>
      <c r="HK82" s="12"/>
      <c r="HL82" s="12"/>
      <c r="HN82" s="16"/>
      <c r="HP82" s="35"/>
      <c r="HT82" s="12"/>
      <c r="HU82" s="12"/>
      <c r="HV82" s="12"/>
      <c r="HW82" s="12"/>
      <c r="HX82" s="12"/>
      <c r="HY82" s="12"/>
      <c r="HZ82" s="12"/>
      <c r="IA82" s="12"/>
      <c r="IB82" s="12"/>
      <c r="ID82" s="16"/>
      <c r="IF82" s="35"/>
      <c r="IJ82" s="12"/>
      <c r="IK82" s="12"/>
      <c r="IL82" s="12"/>
      <c r="IM82" s="12"/>
      <c r="IN82" s="12"/>
      <c r="IO82" s="12"/>
      <c r="IP82" s="12"/>
      <c r="IQ82" s="12"/>
      <c r="IR82" s="12"/>
      <c r="IT82" s="16"/>
      <c r="IV82" s="35"/>
      <c r="IZ82" s="12"/>
      <c r="JA82" s="12"/>
      <c r="JB82" s="12"/>
      <c r="JC82" s="12"/>
      <c r="JD82" s="12"/>
      <c r="JE82" s="12"/>
      <c r="JF82" s="12"/>
      <c r="JG82" s="12"/>
      <c r="JH82" s="12"/>
      <c r="JL82" s="9"/>
      <c r="JP82" s="12"/>
      <c r="JQ82" s="12"/>
      <c r="JR82" s="12"/>
      <c r="JS82" s="12"/>
      <c r="JT82" s="12"/>
      <c r="JU82" s="12"/>
      <c r="JV82" s="12"/>
      <c r="JW82" s="12"/>
      <c r="JX82" s="12"/>
      <c r="KB82" s="9"/>
      <c r="KF82" s="12"/>
      <c r="KG82" s="12"/>
      <c r="KH82" s="12"/>
      <c r="KI82" s="12"/>
      <c r="KJ82" s="12"/>
      <c r="KK82" s="12"/>
      <c r="KL82" s="12"/>
      <c r="KM82" s="12"/>
      <c r="KN82" s="12"/>
      <c r="KR82" s="9"/>
      <c r="KV82" s="12"/>
      <c r="KW82" s="12"/>
      <c r="KX82" s="12"/>
      <c r="KY82" s="12"/>
      <c r="KZ82" s="12"/>
      <c r="LA82" s="12"/>
      <c r="LB82" s="12"/>
      <c r="LC82" s="12"/>
      <c r="LD82" s="12"/>
      <c r="LH82" s="9"/>
      <c r="LL82" s="12"/>
      <c r="LM82" s="12"/>
      <c r="LN82" s="12"/>
      <c r="LO82" s="12"/>
      <c r="LP82" s="12"/>
      <c r="LQ82" s="12"/>
      <c r="LR82" s="12"/>
      <c r="LS82" s="12"/>
      <c r="LT82" s="12"/>
      <c r="LX82" s="9"/>
      <c r="MB82" s="12"/>
      <c r="MC82" s="12"/>
      <c r="MD82" s="12"/>
      <c r="ME82" s="12"/>
      <c r="MF82" s="12"/>
      <c r="MG82" s="12"/>
      <c r="MH82" s="12"/>
      <c r="MI82" s="12"/>
      <c r="MJ82" s="12"/>
      <c r="MN82" s="9"/>
      <c r="MR82" s="12"/>
      <c r="MS82" s="12"/>
      <c r="MT82" s="12"/>
      <c r="MU82" s="12"/>
      <c r="MV82" s="12"/>
      <c r="MW82" s="12"/>
      <c r="MX82" s="12"/>
      <c r="MY82" s="12"/>
      <c r="MZ82" s="12"/>
      <c r="ND82" s="9"/>
      <c r="NH82" s="12"/>
      <c r="NI82" s="12"/>
      <c r="NJ82" s="12"/>
      <c r="NK82" s="12"/>
      <c r="NL82" s="12"/>
      <c r="NM82" s="12"/>
      <c r="NN82" s="12"/>
      <c r="NO82" s="12"/>
      <c r="NP82" s="12"/>
      <c r="NT82" s="9"/>
      <c r="NX82" s="12"/>
      <c r="NY82" s="12"/>
      <c r="NZ82" s="12"/>
      <c r="OA82" s="12"/>
      <c r="OB82" s="12"/>
      <c r="OC82" s="12"/>
      <c r="OD82" s="12"/>
      <c r="OE82" s="12"/>
      <c r="OF82" s="12"/>
      <c r="OJ82" s="9"/>
    </row>
    <row r="83" spans="1:401" x14ac:dyDescent="0.2">
      <c r="A83" s="17" t="s">
        <v>1314</v>
      </c>
      <c r="B83" s="19" t="s">
        <v>1319</v>
      </c>
      <c r="C83" s="19" t="s">
        <v>1319</v>
      </c>
      <c r="D83" s="19" t="s">
        <v>1319</v>
      </c>
      <c r="E83" s="19" t="s">
        <v>1319</v>
      </c>
      <c r="F83" s="19" t="s">
        <v>1319</v>
      </c>
      <c r="G83" s="19" t="s">
        <v>1319</v>
      </c>
      <c r="H83" s="19" t="s">
        <v>1319</v>
      </c>
      <c r="I83" s="19" t="s">
        <v>1319</v>
      </c>
      <c r="J83" s="19" t="s">
        <v>1319</v>
      </c>
      <c r="O83" s="17"/>
      <c r="P83" s="12"/>
      <c r="Q83" s="12"/>
      <c r="R83" s="12"/>
      <c r="S83" s="12"/>
      <c r="T83" s="12"/>
      <c r="U83" s="12"/>
      <c r="V83" s="12"/>
      <c r="W83" s="12"/>
      <c r="X83" s="12"/>
      <c r="AG83" s="17"/>
      <c r="AH83" s="12"/>
      <c r="AI83" s="12"/>
      <c r="AJ83" s="12"/>
      <c r="AK83" s="12"/>
      <c r="AL83" s="12"/>
      <c r="AM83" s="12"/>
      <c r="AN83" s="12"/>
      <c r="AO83" s="12"/>
      <c r="AP83" s="12"/>
      <c r="AY83" s="5"/>
      <c r="AZ83" s="12"/>
      <c r="BA83" s="12"/>
      <c r="BB83" s="12"/>
      <c r="BC83" s="12"/>
      <c r="BD83" s="12"/>
      <c r="BE83" s="12"/>
      <c r="BF83" s="12"/>
      <c r="BG83" s="12"/>
      <c r="BH83" s="12"/>
      <c r="BJ83" s="16"/>
      <c r="BL83" s="35"/>
      <c r="BO83" s="5"/>
      <c r="BP83" s="12"/>
      <c r="BQ83" s="12"/>
      <c r="BR83" s="12"/>
      <c r="BS83" s="12"/>
      <c r="BT83" s="12"/>
      <c r="BU83" s="12"/>
      <c r="BV83" s="12"/>
      <c r="BW83" s="12"/>
      <c r="BX83" s="12"/>
      <c r="BZ83" s="16"/>
      <c r="CB83" s="9"/>
      <c r="CE83" s="5"/>
      <c r="CF83" s="12"/>
      <c r="CG83" s="12"/>
      <c r="CH83" s="12"/>
      <c r="CI83" s="12"/>
      <c r="CJ83" s="12"/>
      <c r="CK83" s="12"/>
      <c r="CL83" s="12"/>
      <c r="CM83" s="12"/>
      <c r="CN83" s="12"/>
      <c r="CP83" s="16"/>
      <c r="CR83" s="35"/>
      <c r="CU83" s="5"/>
      <c r="CV83" s="12"/>
      <c r="CW83" s="12"/>
      <c r="CX83" s="12"/>
      <c r="CY83" s="12"/>
      <c r="CZ83" s="12"/>
      <c r="DA83" s="12"/>
      <c r="DB83" s="12"/>
      <c r="DC83" s="12"/>
      <c r="DD83" s="12"/>
      <c r="DF83" s="16"/>
      <c r="DH83" s="35"/>
      <c r="DK83" s="5"/>
      <c r="DL83" s="12"/>
      <c r="DM83" s="12"/>
      <c r="DN83" s="12"/>
      <c r="DO83" s="12"/>
      <c r="DP83" s="12"/>
      <c r="DQ83" s="12"/>
      <c r="DR83" s="12"/>
      <c r="DS83" s="12"/>
      <c r="DT83" s="12"/>
      <c r="DV83" s="16"/>
      <c r="DX83" s="35"/>
      <c r="EA83" s="5"/>
      <c r="EB83" s="12"/>
      <c r="EC83" s="12"/>
      <c r="ED83" s="12"/>
      <c r="EE83" s="12"/>
      <c r="EF83" s="12"/>
      <c r="EG83" s="12"/>
      <c r="EH83" s="12"/>
      <c r="EI83" s="12"/>
      <c r="EJ83" s="12"/>
      <c r="EL83" s="16"/>
      <c r="EN83" s="35"/>
      <c r="EQ83" s="5"/>
      <c r="ER83" s="12"/>
      <c r="ES83" s="12"/>
      <c r="ET83" s="12"/>
      <c r="EU83" s="12"/>
      <c r="EV83" s="12"/>
      <c r="EW83" s="12"/>
      <c r="EX83" s="12"/>
      <c r="EY83" s="12"/>
      <c r="EZ83" s="12"/>
      <c r="FB83" s="16"/>
      <c r="FD83" s="35"/>
      <c r="FG83" s="5"/>
      <c r="FH83" s="12"/>
      <c r="FI83" s="12"/>
      <c r="FJ83" s="12"/>
      <c r="FK83" s="12"/>
      <c r="FL83" s="12"/>
      <c r="FM83" s="12"/>
      <c r="FN83" s="12"/>
      <c r="FO83" s="12"/>
      <c r="FP83" s="12"/>
      <c r="FR83" s="16"/>
      <c r="FT83" s="35"/>
      <c r="FW83" s="5"/>
      <c r="FX83" s="12"/>
      <c r="FY83" s="12"/>
      <c r="FZ83" s="12"/>
      <c r="GA83" s="12"/>
      <c r="GB83" s="12"/>
      <c r="GC83" s="12"/>
      <c r="GD83" s="12"/>
      <c r="GE83" s="12"/>
      <c r="GF83" s="12"/>
      <c r="GH83" s="16"/>
      <c r="GJ83" s="35"/>
      <c r="GN83" s="12"/>
      <c r="GO83" s="12"/>
      <c r="GP83" s="12"/>
      <c r="GQ83" s="12"/>
      <c r="GR83" s="12"/>
      <c r="GS83" s="12"/>
      <c r="GT83" s="12"/>
      <c r="GU83" s="12"/>
      <c r="GV83" s="12"/>
      <c r="GX83" s="16"/>
      <c r="GZ83" s="35"/>
      <c r="HD83" s="12"/>
      <c r="HE83" s="12"/>
      <c r="HF83" s="12"/>
      <c r="HG83" s="12"/>
      <c r="HH83" s="12"/>
      <c r="HI83" s="12"/>
      <c r="HJ83" s="12"/>
      <c r="HK83" s="12"/>
      <c r="HL83" s="12"/>
      <c r="HN83" s="16"/>
      <c r="HP83" s="35"/>
      <c r="HT83" s="12"/>
      <c r="HU83" s="12"/>
      <c r="HV83" s="12"/>
      <c r="HW83" s="12"/>
      <c r="HX83" s="12"/>
      <c r="HY83" s="12"/>
      <c r="HZ83" s="12"/>
      <c r="IA83" s="12"/>
      <c r="IB83" s="12"/>
      <c r="ID83" s="16"/>
      <c r="IF83" s="35"/>
      <c r="IJ83" s="12"/>
      <c r="IK83" s="12"/>
      <c r="IL83" s="12"/>
      <c r="IM83" s="12"/>
      <c r="IN83" s="12"/>
      <c r="IO83" s="12"/>
      <c r="IP83" s="12"/>
      <c r="IQ83" s="12"/>
      <c r="IR83" s="12"/>
      <c r="IT83" s="16"/>
      <c r="IV83" s="35"/>
      <c r="IZ83" s="12"/>
      <c r="JA83" s="12"/>
      <c r="JB83" s="12"/>
      <c r="JC83" s="12"/>
      <c r="JD83" s="12"/>
      <c r="JE83" s="12"/>
      <c r="JF83" s="12"/>
      <c r="JG83" s="12"/>
      <c r="JH83" s="12"/>
      <c r="JL83" s="9"/>
      <c r="JP83" s="12"/>
      <c r="JQ83" s="12"/>
      <c r="JR83" s="12"/>
      <c r="JS83" s="12"/>
      <c r="JT83" s="12"/>
      <c r="JU83" s="12"/>
      <c r="JV83" s="12"/>
      <c r="JW83" s="12"/>
      <c r="JX83" s="12"/>
      <c r="KB83" s="9"/>
      <c r="KF83" s="12"/>
      <c r="KG83" s="12"/>
      <c r="KH83" s="12"/>
      <c r="KI83" s="12"/>
      <c r="KJ83" s="12"/>
      <c r="KK83" s="12"/>
      <c r="KL83" s="12"/>
      <c r="KM83" s="12"/>
      <c r="KN83" s="12"/>
      <c r="KR83" s="9"/>
      <c r="KV83" s="12"/>
      <c r="KW83" s="12"/>
      <c r="KX83" s="12"/>
      <c r="KY83" s="12"/>
      <c r="KZ83" s="12"/>
      <c r="LA83" s="12"/>
      <c r="LB83" s="12"/>
      <c r="LC83" s="12"/>
      <c r="LD83" s="12"/>
      <c r="LH83" s="9"/>
      <c r="LL83" s="12"/>
      <c r="LM83" s="12"/>
      <c r="LN83" s="12"/>
      <c r="LO83" s="12"/>
      <c r="LP83" s="12"/>
      <c r="LQ83" s="12"/>
      <c r="LR83" s="12"/>
      <c r="LS83" s="12"/>
      <c r="LT83" s="12"/>
      <c r="LX83" s="9"/>
      <c r="MB83" s="12"/>
      <c r="MC83" s="12"/>
      <c r="MD83" s="12"/>
      <c r="ME83" s="12"/>
      <c r="MF83" s="12"/>
      <c r="MG83" s="12"/>
      <c r="MH83" s="12"/>
      <c r="MI83" s="12"/>
      <c r="MJ83" s="12"/>
      <c r="MN83" s="9"/>
      <c r="MR83" s="12"/>
      <c r="MS83" s="12"/>
      <c r="MT83" s="12"/>
      <c r="MU83" s="12"/>
      <c r="MV83" s="12"/>
      <c r="MW83" s="12"/>
      <c r="MX83" s="12"/>
      <c r="MY83" s="12"/>
      <c r="MZ83" s="12"/>
      <c r="ND83" s="9"/>
      <c r="NH83" s="12"/>
      <c r="NI83" s="12"/>
      <c r="NJ83" s="12"/>
      <c r="NK83" s="12"/>
      <c r="NL83" s="12"/>
      <c r="NM83" s="12"/>
      <c r="NN83" s="12"/>
      <c r="NO83" s="12"/>
      <c r="NP83" s="12"/>
      <c r="NT83" s="9"/>
      <c r="NX83" s="12"/>
      <c r="NY83" s="12"/>
      <c r="NZ83" s="12"/>
      <c r="OA83" s="12"/>
      <c r="OB83" s="12"/>
      <c r="OC83" s="12"/>
      <c r="OD83" s="12"/>
      <c r="OE83" s="12"/>
      <c r="OF83" s="12"/>
      <c r="OJ83" s="9"/>
    </row>
    <row r="84" spans="1:401" x14ac:dyDescent="0.2">
      <c r="A84" s="17" t="s">
        <v>1725</v>
      </c>
      <c r="B84" s="12">
        <f t="shared" ref="B84:J84" si="517">P84+AH84+AZ84+BP84+CF84+CV84+DL84+EB84+ER84+FH84+FX84+GN84+HD84+HT84+IJ84+IZ84+JP84+KF84+KV84+LL84+MB84+MR84+NH84+NX84</f>
        <v>0</v>
      </c>
      <c r="C84" s="12">
        <f t="shared" si="517"/>
        <v>0</v>
      </c>
      <c r="D84" s="12">
        <f t="shared" si="517"/>
        <v>0</v>
      </c>
      <c r="E84" s="12">
        <f t="shared" si="517"/>
        <v>0</v>
      </c>
      <c r="F84" s="12">
        <f t="shared" si="517"/>
        <v>0</v>
      </c>
      <c r="G84" s="12">
        <f t="shared" si="517"/>
        <v>0</v>
      </c>
      <c r="H84" s="12">
        <f t="shared" si="517"/>
        <v>0</v>
      </c>
      <c r="I84" s="12">
        <f t="shared" si="517"/>
        <v>0</v>
      </c>
      <c r="J84" s="12">
        <f t="shared" si="517"/>
        <v>0</v>
      </c>
      <c r="O84" s="17"/>
      <c r="P84" s="12" cm="1">
        <f t="array" ref="P84">_xlfn.SWITCH(P$4, 0,0, 1, AA84,2,AC84,3,AE84,0)</f>
        <v>0</v>
      </c>
      <c r="Q84" s="12" cm="1">
        <f t="array" ref="Q84">_xlfn.SWITCH(Q$4, 0,0, 1, AA84,2,AC84,3,AE84,0)+P84</f>
        <v>0</v>
      </c>
      <c r="R84" s="12" cm="1">
        <f t="array" ref="R84">_xlfn.SWITCH(R$4, 0,0, 1, AA84,2,AC84,3,AE84,0)+Q84</f>
        <v>0</v>
      </c>
      <c r="S84" s="12" cm="1">
        <f t="array" ref="S84">_xlfn.SWITCH(S$4, 0,0, 1, AA84,2,AC84,3,AE84,0)+R84</f>
        <v>0</v>
      </c>
      <c r="T84" s="12" cm="1">
        <f t="array" ref="T84">_xlfn.SWITCH(T$4, 0,0, 1, AA84,2,AC84,3,AE84,0)+S84</f>
        <v>0</v>
      </c>
      <c r="U84" s="12" cm="1">
        <f t="array" ref="U84">_xlfn.SWITCH(U$4, 0,0, 1, AA84,2,AC84,3,AE84,0)+T84</f>
        <v>0</v>
      </c>
      <c r="V84" s="12" cm="1">
        <f t="array" ref="V84">_xlfn.SWITCH(V$4, 0,0, 1, AA84,2,AC84,3,AE84,0)+U84</f>
        <v>0</v>
      </c>
      <c r="W84" s="12" cm="1">
        <f t="array" ref="W84">_xlfn.SWITCH(W$4, 0,0, 1, AA84,2,AC84,3,AE84,0)+V84</f>
        <v>0</v>
      </c>
      <c r="X84" s="12" cm="1">
        <f t="array" ref="X84">_xlfn.SWITCH(X$4, 0,0, 1, AA84,2,AC84,3,AE84,0)+W84</f>
        <v>0</v>
      </c>
      <c r="Z84" t="s">
        <v>1304</v>
      </c>
      <c r="AA84">
        <f>_xlfn.XLOOKUP(Z84,'KPI Impacts'!$K$2:$Q$2,'KPI Impacts'!$K84:$Q84)</f>
        <v>0</v>
      </c>
      <c r="AB84" t="s">
        <v>1304</v>
      </c>
      <c r="AC84">
        <f>_xlfn.XLOOKUP(AB84,'KPI Impacts'!$K$2:$Q$2,'KPI Impacts'!$K84:$Q84)</f>
        <v>0</v>
      </c>
      <c r="AD84" t="s">
        <v>1304</v>
      </c>
      <c r="AE84">
        <f>_xlfn.XLOOKUP(AD84,'KPI Impacts'!$K$2:$Q$2,'KPI Impacts'!$K84:$Q84)</f>
        <v>0</v>
      </c>
      <c r="AG84" s="17"/>
      <c r="AH84" s="12" cm="1">
        <f t="array" ref="AH84">_xlfn.SWITCH(AH$4, 0,0, 1, AS84,2,AU84,3,AW84,0)</f>
        <v>0</v>
      </c>
      <c r="AI84" s="12" cm="1">
        <f t="array" ref="AI84">_xlfn.SWITCH(AI$4, 0,0, 1, AS84,2,AU84,3,AW84,0)+AH84</f>
        <v>0</v>
      </c>
      <c r="AJ84" s="12" cm="1">
        <f t="array" ref="AJ84">_xlfn.SWITCH(AJ$4, 0,0, 1, AS84,2,AU84,3,AW84,0)+AI84</f>
        <v>0</v>
      </c>
      <c r="AK84" s="12" cm="1">
        <f t="array" ref="AK84">_xlfn.SWITCH(AK$4, 0,0, 1, AS84,2,AU84,3,AW84,0)+AJ84</f>
        <v>0</v>
      </c>
      <c r="AL84" s="12" cm="1">
        <f t="array" ref="AL84">_xlfn.SWITCH(AL$4, 0,0, 1, AS84,2,AU84,3,AW84,0)+AK84</f>
        <v>0</v>
      </c>
      <c r="AM84" s="12" cm="1">
        <f t="array" ref="AM84">_xlfn.SWITCH(AM$4, 0,0, 1, AS84,2,AU84,3,AW84,0)+AL84</f>
        <v>0</v>
      </c>
      <c r="AN84" s="12" cm="1">
        <f t="array" ref="AN84">_xlfn.SWITCH(AN$4, 0,0, 1, AS84,2,AU84,3,AW84,0)+AM84</f>
        <v>0</v>
      </c>
      <c r="AO84" s="12" cm="1">
        <f t="array" ref="AO84">_xlfn.SWITCH(AO$4, 0,0, 1, AS84,2,AU84,3,AW84,0)+AN84</f>
        <v>0</v>
      </c>
      <c r="AP84" s="12" cm="1">
        <f t="array" ref="AP84">_xlfn.SWITCH(AP$4, 0,0, 1, AS84,2,AU84,3,AW84,0)+AO84</f>
        <v>0</v>
      </c>
      <c r="AR84" t="s">
        <v>1304</v>
      </c>
      <c r="AS84">
        <f>_xlfn.XLOOKUP(AR84,'KPI Impacts'!$K$2:$Q$2,'KPI Impacts'!$K84:$Q84)</f>
        <v>0</v>
      </c>
      <c r="AT84" t="s">
        <v>1304</v>
      </c>
      <c r="AU84">
        <f>_xlfn.XLOOKUP(AT84,'KPI Impacts'!$K$2:$Q$2,'KPI Impacts'!$K84:$Q84)</f>
        <v>0</v>
      </c>
      <c r="AV84" t="s">
        <v>1304</v>
      </c>
      <c r="AW84">
        <f>_xlfn.XLOOKUP(AV84,'KPI Impacts'!$K$2:$Q$2,'KPI Impacts'!$K84:$Q84)</f>
        <v>0</v>
      </c>
      <c r="AY84" s="17"/>
      <c r="AZ84" s="12">
        <f>AZ$4*BK84</f>
        <v>0</v>
      </c>
      <c r="BA84" s="12">
        <f>BA$4 * IF(AND(AZ$4=1,AZ$20=1), BM84, BK84)</f>
        <v>0</v>
      </c>
      <c r="BB84" s="12">
        <f>BB$4 * IF(AND(BA$4=1,AZ$20=1), BM84, BK84)</f>
        <v>0</v>
      </c>
      <c r="BC84" s="12">
        <f>BC$4 * IF(AND(BB$4=1,AZ$20=1), BM84, BK84)</f>
        <v>0</v>
      </c>
      <c r="BD84" s="12">
        <f>BD$4 * IF(AND(BC$4=1,AZ$20=1), BM84, BK84)</f>
        <v>0</v>
      </c>
      <c r="BE84" s="12">
        <f>BE$4 * IF(AND(BD$4=1,AZ$20=1), BM84, BK84)</f>
        <v>0</v>
      </c>
      <c r="BF84" s="12">
        <f>BF$4 * IF(AND(BE$4=1,AZ$20=1), BM84, BK84)</f>
        <v>0</v>
      </c>
      <c r="BG84" s="12">
        <f>BG$4 * IF(AND(BF$4=1,AZ$20=1), BM84, BK84)</f>
        <v>0</v>
      </c>
      <c r="BH84" s="12">
        <f>BH$4 * IF(AND(BG$4=1,AZ$20=1), BM84, BK84)</f>
        <v>0</v>
      </c>
      <c r="BJ84" s="16" t="s">
        <v>1304</v>
      </c>
      <c r="BK84">
        <f>_xlfn.XLOOKUP(BJ84,'KPI Impacts'!$B$2:$H$2,'KPI Impacts'!$B84:$H84)</f>
        <v>0</v>
      </c>
      <c r="BL84" s="35" t="s">
        <v>1304</v>
      </c>
      <c r="BM84">
        <f>_xlfn.XLOOKUP(BL84,'KPI Impacts'!$B$2:$H$2,'KPI Impacts'!$B84:$H84)</f>
        <v>0</v>
      </c>
      <c r="BO84" s="17"/>
      <c r="BP84" s="12">
        <f>BP$4*CA84</f>
        <v>0</v>
      </c>
      <c r="BQ84" s="12">
        <f>BQ$4 * IF(AND(BP$4=1,BP$20=1), CC84, CA84)</f>
        <v>0</v>
      </c>
      <c r="BR84" s="12">
        <f>BR$4 * IF(AND(BQ$4=1,BP$20=1), CC84, CA84)</f>
        <v>0</v>
      </c>
      <c r="BS84" s="12">
        <f>BS$4 * IF(AND(BR$4=1,BP$20=1), CC84, CA84)</f>
        <v>0</v>
      </c>
      <c r="BT84" s="12">
        <f>BT$4 * IF(AND(BS$4=1,BP$20=1), CC84, CA84)</f>
        <v>0</v>
      </c>
      <c r="BU84" s="12">
        <f>BU$4 * IF(AND(BT$4=1,BP$20=1), CC84, CA84)</f>
        <v>0</v>
      </c>
      <c r="BV84" s="12">
        <f>BV$4 * IF(AND(BU$4=1,BP$20=1), CC84, CA84)</f>
        <v>0</v>
      </c>
      <c r="BW84" s="12">
        <f>BW$4 * IF(AND(BV$4=1,BP$20=1), CC84, CA84)</f>
        <v>0</v>
      </c>
      <c r="BX84" s="12">
        <f>BX$4 * IF(AND(BW$4=1,BP$20=1), CC84, CA84)</f>
        <v>0</v>
      </c>
      <c r="BZ84" s="16" t="s">
        <v>1304</v>
      </c>
      <c r="CA84">
        <f>_xlfn.XLOOKUP(BZ84,'KPI Impacts'!$B$2:$H$2,'KPI Impacts'!$B84:$H84)</f>
        <v>0</v>
      </c>
      <c r="CB84" s="9" t="s">
        <v>1304</v>
      </c>
      <c r="CC84">
        <f>_xlfn.XLOOKUP(CB84,'KPI Impacts'!$B$2:$H$2,'KPI Impacts'!$B84:$H84)</f>
        <v>0</v>
      </c>
      <c r="CE84" s="17"/>
      <c r="CF84" s="12">
        <f>CF$4*CQ84</f>
        <v>0</v>
      </c>
      <c r="CG84" s="12">
        <f>CG$4 * IF(AND(CF$4=1,CF$20=1), CS84, CQ84)</f>
        <v>0</v>
      </c>
      <c r="CH84" s="12">
        <f>CH$4 * IF(AND(CG$4=1,CF$20=1), CS84, CQ84)</f>
        <v>0</v>
      </c>
      <c r="CI84" s="12">
        <f>CI$4 * IF(AND(CH$4=1,CF$20=1), CS84, CQ84)</f>
        <v>0</v>
      </c>
      <c r="CJ84" s="12">
        <f>CJ$4 * IF(AND(CI$4=1,CF$20=1), CS84, CQ84)</f>
        <v>0</v>
      </c>
      <c r="CK84" s="12">
        <f>CK$4 * IF(AND(CJ$4=1,CF$20=1), CS84, CQ84)</f>
        <v>0</v>
      </c>
      <c r="CL84" s="12">
        <f>CL$4 * IF(AND(CK$4=1,CF$20=1), CS84, CQ84)</f>
        <v>0</v>
      </c>
      <c r="CM84" s="12">
        <f>CM$4 * IF(AND(CL$4=1,CF$20=1), CS84, CQ84)</f>
        <v>0</v>
      </c>
      <c r="CN84" s="12">
        <f>CN$4 * IF(AND(CM$4=1,CF$20=1), CS84, CQ84)</f>
        <v>0</v>
      </c>
      <c r="CP84" s="16" t="s">
        <v>1304</v>
      </c>
      <c r="CQ84">
        <f>_xlfn.XLOOKUP(CP84,'KPI Impacts'!$B$2:$H$2,'KPI Impacts'!$B84:$H84)</f>
        <v>0</v>
      </c>
      <c r="CR84" s="35" t="s">
        <v>1304</v>
      </c>
      <c r="CS84">
        <f>_xlfn.XLOOKUP(CR84,'KPI Impacts'!$B$2:$H$2,'KPI Impacts'!$B84:$H84)</f>
        <v>0</v>
      </c>
      <c r="CU84" s="17"/>
      <c r="CV84" s="12">
        <f>CV$4*DG84</f>
        <v>0</v>
      </c>
      <c r="CW84" s="12">
        <f>CW$4 * IF(AND(CV$4=1,CV$20=1), DI84, DG84)</f>
        <v>0</v>
      </c>
      <c r="CX84" s="12">
        <f>CX$4 * IF(AND(CW$4=1,CV$20=1), DI84, DG84)</f>
        <v>0</v>
      </c>
      <c r="CY84" s="12">
        <f>CY$4 * IF(AND(CX$4=1,CV$20=1), DI84, DG84)</f>
        <v>0</v>
      </c>
      <c r="CZ84" s="12">
        <f>CZ$4 * IF(AND(CY$4=1,CV$20=1), DI84, DG84)</f>
        <v>0</v>
      </c>
      <c r="DA84" s="12">
        <f>DA$4 * IF(AND(CZ$4=1,CV$20=1), DI84, DG84)</f>
        <v>0</v>
      </c>
      <c r="DB84" s="12">
        <f>DB$4 * IF(AND(DA$4=1,CV$20=1), DI84, DG84)</f>
        <v>0</v>
      </c>
      <c r="DC84" s="12">
        <f>DC$4 * IF(AND(DB$4=1,CV$20=1), DI84, DG84)</f>
        <v>0</v>
      </c>
      <c r="DD84" s="12">
        <f>DD$4 * IF(AND(DC$4=1,CV$20=1), DI84, DG84)</f>
        <v>0</v>
      </c>
      <c r="DF84" s="16" t="s">
        <v>1304</v>
      </c>
      <c r="DG84">
        <f>_xlfn.XLOOKUP(DF84,'KPI Impacts'!$B$2:$H$2,'KPI Impacts'!$B84:$H84)</f>
        <v>0</v>
      </c>
      <c r="DH84" s="35" t="s">
        <v>1304</v>
      </c>
      <c r="DI84">
        <f>_xlfn.XLOOKUP(DH84,'KPI Impacts'!$B$2:$H$2,'KPI Impacts'!$B84:$H84)</f>
        <v>0</v>
      </c>
      <c r="DK84" s="17"/>
      <c r="DL84" s="12">
        <f>DL$4*DW84</f>
        <v>0</v>
      </c>
      <c r="DM84" s="12">
        <f>DM$4 * IF(AND(DL$4=1,DL$20=1), DY84, DW84)</f>
        <v>0</v>
      </c>
      <c r="DN84" s="12">
        <f>DN$4 * IF(AND(DM$4=1,DL$20=1), DY84, DW84)</f>
        <v>0</v>
      </c>
      <c r="DO84" s="12">
        <f>DO$4 * IF(AND(DN$4=1,DL$20=1), DY84, DW84)</f>
        <v>0</v>
      </c>
      <c r="DP84" s="12">
        <f>DP$4 * IF(AND(DO$4=1,DL$20=1), DY84, DW84)</f>
        <v>0</v>
      </c>
      <c r="DQ84" s="12">
        <f>DQ$4 * IF(AND(DP$4=1,DL$20=1), DY84, DW84)</f>
        <v>0</v>
      </c>
      <c r="DR84" s="12">
        <f>DR$4 * IF(AND(DQ$4=1,DL$20=1), DY84, DW84)</f>
        <v>0</v>
      </c>
      <c r="DS84" s="12">
        <f>DS$4 * IF(AND(DR$4=1,DL$20=1), DY84, DW84)</f>
        <v>0</v>
      </c>
      <c r="DT84" s="12">
        <f>DT$4 * IF(AND(DS$4=1,DL$20=1), DY84, DW84)</f>
        <v>0</v>
      </c>
      <c r="DV84" s="16" t="s">
        <v>1304</v>
      </c>
      <c r="DW84">
        <f>_xlfn.XLOOKUP(DV84,'KPI Impacts'!$B$2:$H$2,'KPI Impacts'!$B84:$H84)</f>
        <v>0</v>
      </c>
      <c r="DX84" s="35" t="s">
        <v>1304</v>
      </c>
      <c r="DY84">
        <f>_xlfn.XLOOKUP(DX84,'KPI Impacts'!$B$2:$H$2,'KPI Impacts'!$B84:$H84)</f>
        <v>0</v>
      </c>
      <c r="EA84" s="17"/>
      <c r="EB84" s="12">
        <f>EB$4*EM84</f>
        <v>0</v>
      </c>
      <c r="EC84" s="12">
        <f>EC$4 * IF(AND(EB$4=1,EB$20=1), EO84, EM84)</f>
        <v>0</v>
      </c>
      <c r="ED84" s="12">
        <f>ED$4 * IF(AND(EC$4=1,EB$20=1), EO84, EM84)</f>
        <v>0</v>
      </c>
      <c r="EE84" s="12">
        <f>EE$4 * IF(AND(ED$4=1,EB$20=1), EO84, EM84)</f>
        <v>0</v>
      </c>
      <c r="EF84" s="12">
        <f>EF$4 * IF(AND(EE$4=1,EB$20=1), EO84, EM84)</f>
        <v>0</v>
      </c>
      <c r="EG84" s="12">
        <f>EG$4 * IF(AND(EF$4=1,EB$20=1), EO84, EM84)</f>
        <v>0</v>
      </c>
      <c r="EH84" s="12">
        <f>EH$4 * IF(AND(EG$4=1,EB$20=1), EO84, EM84)</f>
        <v>0</v>
      </c>
      <c r="EI84" s="12">
        <f>EI$4 * IF(AND(EH$4=1,EB$20=1), EO84, EM84)</f>
        <v>0</v>
      </c>
      <c r="EJ84" s="12">
        <f>EJ$4 * IF(AND(EI$4=1,EB$20=1), EO84, EM84)</f>
        <v>0</v>
      </c>
      <c r="EL84" s="16" t="s">
        <v>1304</v>
      </c>
      <c r="EM84">
        <f>_xlfn.XLOOKUP(EL84,'KPI Impacts'!$B$2:$H$2,'KPI Impacts'!$B84:$H84)</f>
        <v>0</v>
      </c>
      <c r="EN84" s="35" t="s">
        <v>1304</v>
      </c>
      <c r="EO84">
        <f>_xlfn.XLOOKUP(EN84,'KPI Impacts'!$B$2:$H$2,'KPI Impacts'!$B84:$H84)</f>
        <v>0</v>
      </c>
      <c r="EQ84" s="17"/>
      <c r="ER84" s="12">
        <f>ER$4*FC84</f>
        <v>0</v>
      </c>
      <c r="ES84" s="12">
        <f>ES$4 * IF(AND(ER$4=1,ER$20=1), FE84, FC84)</f>
        <v>0</v>
      </c>
      <c r="ET84" s="12">
        <f>ET$4 * IF(AND(ES$4=1,ER$20=1), FE84, FC84)</f>
        <v>0</v>
      </c>
      <c r="EU84" s="12">
        <f>EU$4 * IF(AND(ET$4=1,ER$20=1), FE84, FC84)</f>
        <v>0</v>
      </c>
      <c r="EV84" s="12">
        <f>EV$4 * IF(AND(EU$4=1,ER$20=1), FE84, FC84)</f>
        <v>0</v>
      </c>
      <c r="EW84" s="12">
        <f>EW$4 * IF(AND(EV$4=1,ER$20=1), FE84, FC84)</f>
        <v>0</v>
      </c>
      <c r="EX84" s="12">
        <f>EX$4 * IF(AND(EW$4=1,ER$20=1), FE84, FC84)</f>
        <v>0</v>
      </c>
      <c r="EY84" s="12">
        <f>EY$4 * IF(AND(EX$4=1,ER$20=1), FE84, FC84)</f>
        <v>0</v>
      </c>
      <c r="EZ84" s="12">
        <f>EZ$4 * IF(AND(EY$4=1,ER$20=1), FE84, FC84)</f>
        <v>0</v>
      </c>
      <c r="FB84" s="16" t="s">
        <v>1304</v>
      </c>
      <c r="FC84">
        <f>_xlfn.XLOOKUP(FB84,'KPI Impacts'!$B$2:$H$2,'KPI Impacts'!$B84:$H84)</f>
        <v>0</v>
      </c>
      <c r="FD84" s="35" t="s">
        <v>1304</v>
      </c>
      <c r="FE84">
        <f>_xlfn.XLOOKUP(FD84,'KPI Impacts'!$B$2:$H$2,'KPI Impacts'!$B84:$H84)</f>
        <v>0</v>
      </c>
      <c r="FG84" s="17"/>
      <c r="FH84" s="12">
        <f>FH$4*FS84</f>
        <v>0</v>
      </c>
      <c r="FI84" s="12">
        <f>FI$4 * IF(AND(FH$4=1,FH$20=1), FU84, FS84)</f>
        <v>0</v>
      </c>
      <c r="FJ84" s="12">
        <f>FJ$4 * IF(AND(FI$4=1,FH$20=1), FU84, FS84)</f>
        <v>0</v>
      </c>
      <c r="FK84" s="12">
        <f>FK$4 * IF(AND(FJ$4=1,FH$20=1), FU84, FS84)</f>
        <v>0</v>
      </c>
      <c r="FL84" s="12">
        <f>FL$4 * IF(AND(FK$4=1,FH$20=1), FU84, FS84)</f>
        <v>0</v>
      </c>
      <c r="FM84" s="12">
        <f>FM$4 * IF(AND(FL$4=1,FH$20=1), FU84, FS84)</f>
        <v>0</v>
      </c>
      <c r="FN84" s="12">
        <f>FN$4 * IF(AND(FM$4=1,FH$20=1), FU84, FS84)</f>
        <v>0</v>
      </c>
      <c r="FO84" s="12">
        <f>FO$4 * IF(AND(FN$4=1,FH$20=1), FU84, FS84)</f>
        <v>0</v>
      </c>
      <c r="FP84" s="12">
        <f>FP$4 * IF(AND(FO$4=1,FH$20=1), FU84, FS84)</f>
        <v>0</v>
      </c>
      <c r="FR84" s="16" t="s">
        <v>1304</v>
      </c>
      <c r="FS84">
        <f>_xlfn.XLOOKUP(FR84,'KPI Impacts'!$B$2:$H$2,'KPI Impacts'!$B84:$H84)</f>
        <v>0</v>
      </c>
      <c r="FT84" s="35" t="s">
        <v>1304</v>
      </c>
      <c r="FU84">
        <f>_xlfn.XLOOKUP(FT84,'KPI Impacts'!$B$2:$H$2,'KPI Impacts'!$B84:$H84)</f>
        <v>0</v>
      </c>
      <c r="FW84" s="17"/>
      <c r="FX84" s="12">
        <f>FX$4*GI84</f>
        <v>0</v>
      </c>
      <c r="FY84" s="12">
        <f>FY$4 * IF(AND(FX$4=1,FX$20=1), GK84, GI84)</f>
        <v>0</v>
      </c>
      <c r="FZ84" s="12">
        <f>FZ$4 * IF(AND(FY$4=1,FX$20=1), GK84, GI84)</f>
        <v>0</v>
      </c>
      <c r="GA84" s="12">
        <f>GA$4 * IF(AND(FZ$4=1,FX$20=1), GK84, GI84)</f>
        <v>0</v>
      </c>
      <c r="GB84" s="12">
        <f>GB$4 * IF(AND(GA$4=1,FX$20=1), GK84, GI84)</f>
        <v>0</v>
      </c>
      <c r="GC84" s="12">
        <f>GC$4 * IF(AND(GB$4=1,FX$20=1), GK84, GI84)</f>
        <v>0</v>
      </c>
      <c r="GD84" s="12">
        <f>GD$4 * IF(AND(GC$4=1,FX$20=1), GK84, GI84)</f>
        <v>0</v>
      </c>
      <c r="GE84" s="12">
        <f>GE$4 * IF(AND(GD$4=1,FX$20=1), GK84, GI84)</f>
        <v>0</v>
      </c>
      <c r="GF84" s="12">
        <f>GF$4 * IF(AND(GE$4=1,FX$20=1), GK84, GI84)</f>
        <v>0</v>
      </c>
      <c r="GH84" s="16" t="s">
        <v>1304</v>
      </c>
      <c r="GI84">
        <f>_xlfn.XLOOKUP(GH84,'KPI Impacts'!$B$2:$H$2,'KPI Impacts'!$B84:$H84)</f>
        <v>0</v>
      </c>
      <c r="GJ84" s="35" t="s">
        <v>1304</v>
      </c>
      <c r="GK84">
        <f>_xlfn.XLOOKUP(GJ84,'KPI Impacts'!$B$2:$H$2,'KPI Impacts'!$B84:$H84)</f>
        <v>0</v>
      </c>
      <c r="GN84" s="12">
        <f>GN$4*GY84</f>
        <v>0</v>
      </c>
      <c r="GO84" s="12">
        <f>GO$4 * IF(AND(GN$4=1,GN$20=1), HA84, GY84)</f>
        <v>0</v>
      </c>
      <c r="GP84" s="12">
        <f>GP$4 * IF(AND(GO$4=1,GN$20=1), HA84, GY84)</f>
        <v>0</v>
      </c>
      <c r="GQ84" s="12">
        <f>GQ$4 * IF(AND(GP$4=1,GN$20=1), HA84, GY84)</f>
        <v>0</v>
      </c>
      <c r="GR84" s="12">
        <f>GR$4 * IF(AND(GQ$4=1,GN$20=1), HA84, GY84)</f>
        <v>0</v>
      </c>
      <c r="GS84" s="12">
        <f>GS$4 * IF(AND(GR$4=1,GN$20=1), HA84, GY84)</f>
        <v>0</v>
      </c>
      <c r="GT84" s="12">
        <f>GT$4 * IF(AND(GS$4=1,GN$20=1), HA84, GY84)</f>
        <v>0</v>
      </c>
      <c r="GU84" s="12">
        <f>GU$4 * IF(AND(GT$4=1,GN$20=1), HA84, GY84)</f>
        <v>0</v>
      </c>
      <c r="GV84" s="12">
        <f>GV$4 * IF(AND(GU$4=1,GN$20=1), HA84, GY84)</f>
        <v>0</v>
      </c>
      <c r="GX84" s="16" t="s">
        <v>1304</v>
      </c>
      <c r="GY84">
        <f>_xlfn.XLOOKUP(GX84,'KPI Impacts'!$B$2:$H$2,'KPI Impacts'!$B84:$H84)</f>
        <v>0</v>
      </c>
      <c r="GZ84" s="35" t="s">
        <v>1304</v>
      </c>
      <c r="HA84">
        <f>_xlfn.XLOOKUP(GZ84,'KPI Impacts'!$B$2:$H$2,'KPI Impacts'!$B84:$H84)</f>
        <v>0</v>
      </c>
      <c r="HD84" s="12">
        <f>HD$4*HO84</f>
        <v>0</v>
      </c>
      <c r="HE84" s="12">
        <f>HE$4 * IF(AND(HD$4=1,HD$20=1), HQ84, HO84)</f>
        <v>0</v>
      </c>
      <c r="HF84" s="12">
        <f>HF$4 * IF(AND(HE$4=1,HD$20=1), HQ84, HO84)</f>
        <v>0</v>
      </c>
      <c r="HG84" s="12">
        <f>HG$4 * IF(AND(HF$4=1,HD$20=1), HQ84, HO84)</f>
        <v>0</v>
      </c>
      <c r="HH84" s="12">
        <f>HH$4 * IF(AND(HG$4=1,HD$20=1), HQ84, HO84)</f>
        <v>0</v>
      </c>
      <c r="HI84" s="12">
        <f>HI$4 * IF(AND(HH$4=1,HD$20=1), HQ84, HO84)</f>
        <v>0</v>
      </c>
      <c r="HJ84" s="12">
        <f>HJ$4 * IF(AND(HI$4=1,HD$20=1), HQ84, HO84)</f>
        <v>0</v>
      </c>
      <c r="HK84" s="12">
        <f>HK$4 * IF(AND(HJ$4=1,HD$20=1), HQ84, HO84)</f>
        <v>0</v>
      </c>
      <c r="HL84" s="12">
        <f>HL$4 * IF(AND(HK$4=1,HD$20=1), HQ84, HO84)</f>
        <v>0</v>
      </c>
      <c r="HN84" s="16" t="s">
        <v>1304</v>
      </c>
      <c r="HO84">
        <f>_xlfn.XLOOKUP(HN84,'KPI Impacts'!$B$2:$H$2,'KPI Impacts'!$B84:$H84)</f>
        <v>0</v>
      </c>
      <c r="HP84" s="35" t="s">
        <v>1304</v>
      </c>
      <c r="HQ84">
        <f>_xlfn.XLOOKUP(HP84,'KPI Impacts'!$B$2:$H$2,'KPI Impacts'!$B84:$H84)</f>
        <v>0</v>
      </c>
      <c r="HT84" s="12">
        <f>HT$4*IE84</f>
        <v>0</v>
      </c>
      <c r="HU84" s="12">
        <f>HU$4 * IF(AND(HT$4=1,HT$20=1), IG84, IE84)</f>
        <v>0</v>
      </c>
      <c r="HV84" s="12">
        <f>HV$4 * IF(AND(HU$4=1,HT$20=1), IG84, IE84)</f>
        <v>0</v>
      </c>
      <c r="HW84" s="12">
        <f>HW$4 * IF(AND(HV$4=1,HT$20=1), IG84, IE84)</f>
        <v>0</v>
      </c>
      <c r="HX84" s="12">
        <f>HX$4 * IF(AND(HW$4=1,HT$20=1), IG84, IE84)</f>
        <v>0</v>
      </c>
      <c r="HY84" s="12">
        <f>HY$4 * IF(AND(HX$4=1,HT$20=1), IG84, IE84)</f>
        <v>0</v>
      </c>
      <c r="HZ84" s="12">
        <f>HZ$4 * IF(AND(HY$4=1,HT$20=1), IG84, IE84)</f>
        <v>0</v>
      </c>
      <c r="IA84" s="12">
        <f>IA$4 * IF(AND(HZ$4=1,HT$20=1), IG84, IE84)</f>
        <v>0</v>
      </c>
      <c r="IB84" s="12">
        <f>IB$4 * IF(AND(IA$4=1,HT$20=1), IG84, IE84)</f>
        <v>0</v>
      </c>
      <c r="ID84" s="16" t="s">
        <v>1304</v>
      </c>
      <c r="IE84">
        <f>_xlfn.XLOOKUP(ID84,'KPI Impacts'!$B$2:$H$2,'KPI Impacts'!$B84:$H84)</f>
        <v>0</v>
      </c>
      <c r="IF84" s="35" t="s">
        <v>1304</v>
      </c>
      <c r="IG84">
        <f>_xlfn.XLOOKUP(IF84,'KPI Impacts'!$B$2:$H$2,'KPI Impacts'!$B84:$H84)</f>
        <v>0</v>
      </c>
      <c r="IJ84" s="12">
        <f>IJ$4*IU84</f>
        <v>0</v>
      </c>
      <c r="IK84" s="12">
        <f>IK$4 * IF(AND(IJ$4=1,IJ$20=1), IW84, IU84)</f>
        <v>0</v>
      </c>
      <c r="IL84" s="12">
        <f>IL$4 * IF(AND(IK$4=1,IJ$20=1), IW84, IU84)</f>
        <v>0</v>
      </c>
      <c r="IM84" s="12">
        <f>IM$4 * IF(AND(IL$4=1,IJ$20=1), IW84, IU84)</f>
        <v>0</v>
      </c>
      <c r="IN84" s="12">
        <f>IN$4 * IF(AND(IM$4=1,IJ$20=1), IW84, IU84)</f>
        <v>0</v>
      </c>
      <c r="IO84" s="12">
        <f>IO$4 * IF(AND(IN$4=1,IJ$20=1), IW84, IU84)</f>
        <v>0</v>
      </c>
      <c r="IP84" s="12">
        <f>IP$4 * IF(AND(IO$4=1,IJ$20=1), IW84, IU84)</f>
        <v>0</v>
      </c>
      <c r="IQ84" s="12">
        <f>IQ$4 * IF(AND(IP$4=1,IJ$20=1), IW84, IU84)</f>
        <v>0</v>
      </c>
      <c r="IR84" s="12">
        <f>IR$4 * IF(AND(IQ$4=1,IJ$20=1), IW84, IU84)</f>
        <v>0</v>
      </c>
      <c r="IT84" s="16" t="s">
        <v>1304</v>
      </c>
      <c r="IU84">
        <f>_xlfn.XLOOKUP(IT84,'KPI Impacts'!$B$2:$H$2,'KPI Impacts'!$B84:$H84)</f>
        <v>0</v>
      </c>
      <c r="IV84" s="35" t="s">
        <v>1304</v>
      </c>
      <c r="IW84">
        <f>_xlfn.XLOOKUP(IV84,'KPI Impacts'!$B$2:$H$2,'KPI Impacts'!$B84:$H84)</f>
        <v>0</v>
      </c>
      <c r="IZ84" s="12">
        <f>IZ$4*JK84</f>
        <v>0</v>
      </c>
      <c r="JA84" s="12">
        <f>JA$4 * IF(AND(IZ$4=1,IZ$20=1), JM84, JK84)</f>
        <v>0</v>
      </c>
      <c r="JB84" s="12">
        <f>JB$4 * IF(AND(JA$4=1,IZ$20=1), JM84, JK84)</f>
        <v>0</v>
      </c>
      <c r="JC84" s="12">
        <f>JC$4 * IF(AND(JB$4=1,IZ$20=1), JM84, JK84)</f>
        <v>0</v>
      </c>
      <c r="JD84" s="12">
        <f>JD$4 * IF(AND(JC$4=1,IZ$20=1), JM84, JK84)</f>
        <v>0</v>
      </c>
      <c r="JE84" s="12">
        <f>JE$4 * IF(AND(JD$4=1,IZ$20=1), JM84, JK84)</f>
        <v>0</v>
      </c>
      <c r="JF84" s="12">
        <f>JF$4 * IF(AND(JE$4=1,IZ$20=1), JM84, JK84)</f>
        <v>0</v>
      </c>
      <c r="JG84" s="12">
        <f>JG$4 * IF(AND(JF$4=1,IZ$20=1), JM84, JK84)</f>
        <v>0</v>
      </c>
      <c r="JH84" s="12">
        <f>JH$4 * IF(AND(JG$4=1,IZ$20=1), JM84, JK84)</f>
        <v>0</v>
      </c>
      <c r="JJ84" t="s">
        <v>1304</v>
      </c>
      <c r="JK84">
        <f>_xlfn.XLOOKUP(JJ84,'KPI Impacts'!$B$2:$H$2,'KPI Impacts'!$B84:$H84)</f>
        <v>0</v>
      </c>
      <c r="JL84" s="9" t="s">
        <v>1304</v>
      </c>
      <c r="JM84">
        <f>_xlfn.XLOOKUP(JL84,'KPI Impacts'!$B$2:$H$2,'KPI Impacts'!$B84:$H84)</f>
        <v>0</v>
      </c>
      <c r="JP84" s="12">
        <f>JP$4*KA84</f>
        <v>0</v>
      </c>
      <c r="JQ84" s="12">
        <f>JQ$4 * IF(AND(JP$4=1,JP$20=1), KC84, KA84)</f>
        <v>0</v>
      </c>
      <c r="JR84" s="12">
        <f>JR$4 * IF(AND(JQ$4=1,JP$20=1), KC84, KA84)</f>
        <v>0</v>
      </c>
      <c r="JS84" s="12">
        <f>JS$4 * IF(AND(JR$4=1,JP$20=1), KC84, KA84)</f>
        <v>0</v>
      </c>
      <c r="JT84" s="12">
        <f>JT$4 * IF(AND(JS$4=1,JP$20=1), KC84, KA84)</f>
        <v>0</v>
      </c>
      <c r="JU84" s="12">
        <f>JU$4 * IF(AND(JT$4=1,JP$20=1), KC84, KA84)</f>
        <v>0</v>
      </c>
      <c r="JV84" s="12">
        <f>JV$4 * IF(AND(JU$4=1,JP$20=1), KC84, KA84)</f>
        <v>0</v>
      </c>
      <c r="JW84" s="12">
        <f>JW$4 * IF(AND(JV$4=1,JP$20=1), KC84, KA84)</f>
        <v>0</v>
      </c>
      <c r="JX84" s="12">
        <f>JX$4 * IF(AND(JW$4=1,JP$20=1), KC84, KA84)</f>
        <v>0</v>
      </c>
      <c r="JZ84" t="s">
        <v>1304</v>
      </c>
      <c r="KA84">
        <f>_xlfn.XLOOKUP(JZ84,'KPI Impacts'!$B$2:$H$2,'KPI Impacts'!$B84:$H84)</f>
        <v>0</v>
      </c>
      <c r="KB84" s="9" t="s">
        <v>1304</v>
      </c>
      <c r="KC84">
        <f>_xlfn.XLOOKUP(KB84,'KPI Impacts'!$B$2:$H$2,'KPI Impacts'!$B84:$H84)</f>
        <v>0</v>
      </c>
      <c r="KF84" s="12">
        <f>KF$4*KQ84</f>
        <v>0</v>
      </c>
      <c r="KG84" s="12">
        <f>KG$4 * IF(AND(KF$4=1,KF$20=1), KS84, KQ84)</f>
        <v>0</v>
      </c>
      <c r="KH84" s="12">
        <f>KH$4 * IF(AND(KG$4=1,KF$20=1), KS84, KQ84)</f>
        <v>0</v>
      </c>
      <c r="KI84" s="12">
        <f>KI$4 * IF(AND(KH$4=1,KF$20=1), KS84, KQ84)</f>
        <v>0</v>
      </c>
      <c r="KJ84" s="12">
        <f>KJ$4 * IF(AND(KI$4=1,KF$20=1), KS84, KQ84)</f>
        <v>0</v>
      </c>
      <c r="KK84" s="12">
        <f>KK$4 * IF(AND(KJ$4=1,KF$20=1), KS84, KQ84)</f>
        <v>0</v>
      </c>
      <c r="KL84" s="12">
        <f>KL$4 * IF(AND(KK$4=1,KF$20=1), KS84, KQ84)</f>
        <v>0</v>
      </c>
      <c r="KM84" s="12">
        <f>KM$4 * IF(AND(KL$4=1,KF$20=1), KS84, KQ84)</f>
        <v>0</v>
      </c>
      <c r="KN84" s="12">
        <f>KN$4 * IF(AND(KM$4=1,KF$20=1), KS84, KQ84)</f>
        <v>0</v>
      </c>
      <c r="KP84" t="s">
        <v>1304</v>
      </c>
      <c r="KQ84">
        <f>_xlfn.XLOOKUP(KP84,'KPI Impacts'!$B$2:$H$2,'KPI Impacts'!$B84:$H84)</f>
        <v>0</v>
      </c>
      <c r="KR84" s="9" t="s">
        <v>1304</v>
      </c>
      <c r="KS84">
        <f>_xlfn.XLOOKUP(KR84,'KPI Impacts'!$B$2:$H$2,'KPI Impacts'!$B84:$H84)</f>
        <v>0</v>
      </c>
      <c r="KV84" s="12">
        <f>KV$4*LG84</f>
        <v>0</v>
      </c>
      <c r="KW84" s="12">
        <f>KW$4 * IF(AND(KV$4=1,KV$20=1), LI84, LG84)</f>
        <v>0</v>
      </c>
      <c r="KX84" s="12">
        <f>KX$4 * IF(AND(KW$4=1,KV$20=1), LI84, LG84)</f>
        <v>0</v>
      </c>
      <c r="KY84" s="12">
        <f>KY$4 * IF(AND(KX$4=1,KV$20=1), LI84, LG84)</f>
        <v>0</v>
      </c>
      <c r="KZ84" s="12">
        <f>KZ$4 * IF(AND(KY$4=1,KV$20=1), LI84, LG84)</f>
        <v>0</v>
      </c>
      <c r="LA84" s="12">
        <f>LA$4 * IF(AND(KZ$4=1,KV$20=1), LI84, LG84)</f>
        <v>0</v>
      </c>
      <c r="LB84" s="12">
        <f>LB$4 * IF(AND(LA$4=1,KV$20=1), LI84, LG84)</f>
        <v>0</v>
      </c>
      <c r="LC84" s="12">
        <f>LC$4 * IF(AND(LB$4=1,KV$20=1), LI84, LG84)</f>
        <v>0</v>
      </c>
      <c r="LD84" s="12">
        <f>LD$4 * IF(AND(LC$4=1,KV$20=1), LI84, LG84)</f>
        <v>0</v>
      </c>
      <c r="LF84" t="s">
        <v>1304</v>
      </c>
      <c r="LG84">
        <f>_xlfn.XLOOKUP(LF84,'KPI Impacts'!$B$2:$H$2,'KPI Impacts'!$B84:$H84)</f>
        <v>0</v>
      </c>
      <c r="LH84" s="9" t="s">
        <v>1304</v>
      </c>
      <c r="LI84">
        <f>_xlfn.XLOOKUP(LH84,'KPI Impacts'!$B$2:$H$2,'KPI Impacts'!$B84:$H84)</f>
        <v>0</v>
      </c>
      <c r="LL84" s="12">
        <f>LL$4*LW84</f>
        <v>0</v>
      </c>
      <c r="LM84" s="12">
        <f>LM$4 * IF(AND(LL$4=1,LL$20=1), LY84, LW84)</f>
        <v>0</v>
      </c>
      <c r="LN84" s="12">
        <f>LN$4 * IF(AND(LM$4=1,LL$20=1), LY84, LW84)</f>
        <v>0</v>
      </c>
      <c r="LO84" s="12">
        <f>LO$4 * IF(AND(LN$4=1,LL$20=1), LY84, LW84)</f>
        <v>0</v>
      </c>
      <c r="LP84" s="12">
        <f>LP$4 * IF(AND(LO$4=1,LL$20=1), LY84, LW84)</f>
        <v>0</v>
      </c>
      <c r="LQ84" s="12">
        <f>LQ$4 * IF(AND(LP$4=1,LL$20=1), LY84, LW84)</f>
        <v>0</v>
      </c>
      <c r="LR84" s="12">
        <f>LR$4 * IF(AND(LQ$4=1,LL$20=1), LY84, LW84)</f>
        <v>0</v>
      </c>
      <c r="LS84" s="12">
        <f>LS$4 * IF(AND(LR$4=1,LL$20=1), LY84, LW84)</f>
        <v>0</v>
      </c>
      <c r="LT84" s="12">
        <f>LT$4 * IF(AND(LS$4=1,LL$20=1), LY84, LW84)</f>
        <v>0</v>
      </c>
      <c r="LV84" t="s">
        <v>1304</v>
      </c>
      <c r="LW84">
        <f>_xlfn.XLOOKUP(LV84,'KPI Impacts'!$B$2:$H$2,'KPI Impacts'!$B84:$H84)</f>
        <v>0</v>
      </c>
      <c r="LX84" s="9" t="s">
        <v>1304</v>
      </c>
      <c r="LY84">
        <f>_xlfn.XLOOKUP(LX84,'KPI Impacts'!$B$2:$H$2,'KPI Impacts'!$B84:$H84)</f>
        <v>0</v>
      </c>
      <c r="MB84" s="12">
        <f>MB$4*MM84</f>
        <v>0</v>
      </c>
      <c r="MC84" s="12">
        <f>MC$4 * IF(AND(MB$4=1,MB$20=1), MO84, MM84)</f>
        <v>0</v>
      </c>
      <c r="MD84" s="12">
        <f>MD$4 * IF(AND(MC$4=1,MB$20=1), MO84, MM84)</f>
        <v>0</v>
      </c>
      <c r="ME84" s="12">
        <f>ME$4 * IF(AND(MD$4=1,MB$20=1), MO84, MM84)</f>
        <v>0</v>
      </c>
      <c r="MF84" s="12">
        <f>MF$4 * IF(AND(ME$4=1,MB$20=1), MO84, MM84)</f>
        <v>0</v>
      </c>
      <c r="MG84" s="12">
        <f>MG$4 * IF(AND(MF$4=1,MB$20=1), MO84, MM84)</f>
        <v>0</v>
      </c>
      <c r="MH84" s="12">
        <f>MH$4 * IF(AND(MG$4=1,MB$20=1), MO84, MM84)</f>
        <v>0</v>
      </c>
      <c r="MI84" s="12">
        <f>MI$4 * IF(AND(MH$4=1,MB$20=1), MO84, MM84)</f>
        <v>0</v>
      </c>
      <c r="MJ84" s="12">
        <f>MJ$4 * IF(AND(MI$4=1,MB$20=1), MO84, MM84)</f>
        <v>0</v>
      </c>
      <c r="ML84" t="s">
        <v>1304</v>
      </c>
      <c r="MM84">
        <f>_xlfn.XLOOKUP(ML84,'KPI Impacts'!$B$2:$H$2,'KPI Impacts'!$B84:$H84)</f>
        <v>0</v>
      </c>
      <c r="MN84" s="9" t="s">
        <v>1304</v>
      </c>
      <c r="MO84">
        <f>_xlfn.XLOOKUP(MN84,'KPI Impacts'!$B$2:$H$2,'KPI Impacts'!$B84:$H84)</f>
        <v>0</v>
      </c>
      <c r="MR84" s="12">
        <f>MR$4*NC84</f>
        <v>0</v>
      </c>
      <c r="MS84" s="12">
        <f>MS$4 * IF(AND(MR$4=1,MR$20=1), NE84, NC84)</f>
        <v>0</v>
      </c>
      <c r="MT84" s="12">
        <f>MT$4 * IF(AND(MS$4=1,MR$20=1), NE84, NC84)</f>
        <v>0</v>
      </c>
      <c r="MU84" s="12">
        <f>MU$4 * IF(AND(MT$4=1,MR$20=1), NE84, NC84)</f>
        <v>0</v>
      </c>
      <c r="MV84" s="12">
        <f>MV$4 * IF(AND(MU$4=1,MR$20=1), NE84, NC84)</f>
        <v>0</v>
      </c>
      <c r="MW84" s="12">
        <f>MW$4 * IF(AND(MV$4=1,MR$20=1), NE84, NC84)</f>
        <v>0</v>
      </c>
      <c r="MX84" s="12">
        <f>MX$4 * IF(AND(MW$4=1,MR$20=1), NE84, NC84)</f>
        <v>0</v>
      </c>
      <c r="MY84" s="12">
        <f>MY$4 * IF(AND(MX$4=1,MR$20=1), NE84, NC84)</f>
        <v>0</v>
      </c>
      <c r="MZ84" s="12">
        <f>MZ$4 * IF(AND(MY$4=1,MR$20=1), NE84, NC84)</f>
        <v>0</v>
      </c>
      <c r="NB84" t="s">
        <v>1304</v>
      </c>
      <c r="NC84">
        <f>_xlfn.XLOOKUP(NB84,'KPI Impacts'!$B$2:$H$2,'KPI Impacts'!$B84:$H84)</f>
        <v>0</v>
      </c>
      <c r="ND84" s="9" t="s">
        <v>1304</v>
      </c>
      <c r="NE84">
        <f>_xlfn.XLOOKUP(ND84,'KPI Impacts'!$B$2:$H$2,'KPI Impacts'!$B84:$H84)</f>
        <v>0</v>
      </c>
      <c r="NH84" s="12">
        <f>NH$4*NS84</f>
        <v>0</v>
      </c>
      <c r="NI84" s="12">
        <f>NI$4 * IF(AND(NH$4=1,NH$20=1), NU84, NS84)</f>
        <v>0</v>
      </c>
      <c r="NJ84" s="12">
        <f>NJ$4 * IF(AND(NI$4=1,NH$20=1), NU84, NS84)</f>
        <v>0</v>
      </c>
      <c r="NK84" s="12">
        <f>NK$4 * IF(AND(NJ$4=1,NH$20=1), NU84, NS84)</f>
        <v>0</v>
      </c>
      <c r="NL84" s="12">
        <f>NL$4 * IF(AND(NK$4=1,NH$20=1), NU84, NS84)</f>
        <v>0</v>
      </c>
      <c r="NM84" s="12">
        <f>NM$4 * IF(AND(NL$4=1,NH$20=1), NU84, NS84)</f>
        <v>0</v>
      </c>
      <c r="NN84" s="12">
        <f>NN$4 * IF(AND(NM$4=1,NH$20=1), NU84, NS84)</f>
        <v>0</v>
      </c>
      <c r="NO84" s="12">
        <f>NO$4 * IF(AND(NN$4=1,NH$20=1), NU84, NS84)</f>
        <v>0</v>
      </c>
      <c r="NP84" s="12">
        <f>NP$4 * IF(AND(NO$4=1,NH$20=1), NU84, NS84)</f>
        <v>0</v>
      </c>
      <c r="NR84" t="s">
        <v>1304</v>
      </c>
      <c r="NS84">
        <f>_xlfn.XLOOKUP(NR84,'KPI Impacts'!$B$2:$H$2,'KPI Impacts'!$B84:$H84)</f>
        <v>0</v>
      </c>
      <c r="NT84" s="9" t="s">
        <v>1304</v>
      </c>
      <c r="NU84">
        <f>_xlfn.XLOOKUP(NT84,'KPI Impacts'!$B$2:$H$2,'KPI Impacts'!$B84:$H84)</f>
        <v>0</v>
      </c>
      <c r="NX84" s="12">
        <f>NX$4*OI84</f>
        <v>0</v>
      </c>
      <c r="NY84" s="12">
        <f>NY$4 * IF(AND(NX$4=1,NX$20=1), OK84, OI84)</f>
        <v>0</v>
      </c>
      <c r="NZ84" s="12">
        <f>NZ$4 * IF(AND(NY$4=1,NX$20=1), OK84, OI84)</f>
        <v>0</v>
      </c>
      <c r="OA84" s="12">
        <f>OA$4 * IF(AND(NZ$4=1,NX$20=1), OK84, OI84)</f>
        <v>0</v>
      </c>
      <c r="OB84" s="12">
        <f>OB$4 * IF(AND(OA$4=1,NX$20=1), OK84, OI84)</f>
        <v>0</v>
      </c>
      <c r="OC84" s="12">
        <f>OC$4 * IF(AND(OB$4=1,NX$20=1), OK84, OI84)</f>
        <v>0</v>
      </c>
      <c r="OD84" s="12">
        <f>OD$4 * IF(AND(OC$4=1,NX$20=1), OK84, OI84)</f>
        <v>0</v>
      </c>
      <c r="OE84" s="12">
        <f>OE$4 * IF(AND(OD$4=1,NX$20=1), OK84, OI84)</f>
        <v>0</v>
      </c>
      <c r="OF84" s="12">
        <f>OF$4 * IF(AND(OE$4=1,NX$20=1), OK84, OI84)</f>
        <v>0</v>
      </c>
      <c r="OH84" t="s">
        <v>1304</v>
      </c>
      <c r="OI84">
        <f>_xlfn.XLOOKUP(OH84,'KPI Impacts'!$B$2:$H$2,'KPI Impacts'!$B84:$H84)</f>
        <v>0</v>
      </c>
      <c r="OJ84" s="9" t="s">
        <v>1304</v>
      </c>
      <c r="OK84">
        <f>_xlfn.XLOOKUP(OJ84,'KPI Impacts'!$B$2:$H$2,'KPI Impacts'!$B84:$H84)</f>
        <v>0</v>
      </c>
    </row>
    <row r="85" spans="1:401" x14ac:dyDescent="0.2">
      <c r="A85" s="9" t="s">
        <v>1315</v>
      </c>
      <c r="B85" s="12">
        <f t="shared" ref="B85:J86" si="518">P85+AH85+AZ85+BP85+CF85+CV85+DL85+EB85+ER85+FH85+FX85+GN85+HD85+HT85+IJ85+IZ85+JP85+KF85+KV85+LL85+MB85+MR85+NH85+NX85</f>
        <v>0</v>
      </c>
      <c r="C85" s="12">
        <f t="shared" si="518"/>
        <v>0</v>
      </c>
      <c r="D85" s="12">
        <f t="shared" si="518"/>
        <v>0</v>
      </c>
      <c r="E85" s="12">
        <f t="shared" si="518"/>
        <v>0</v>
      </c>
      <c r="F85" s="12">
        <f t="shared" si="518"/>
        <v>0</v>
      </c>
      <c r="G85" s="12">
        <f t="shared" si="518"/>
        <v>0</v>
      </c>
      <c r="H85" s="12">
        <f t="shared" si="518"/>
        <v>0</v>
      </c>
      <c r="I85" s="12">
        <f t="shared" si="518"/>
        <v>0</v>
      </c>
      <c r="J85" s="12">
        <f t="shared" si="518"/>
        <v>0</v>
      </c>
      <c r="O85" s="17"/>
      <c r="P85" s="12" cm="1">
        <f t="array" ref="P85">_xlfn.SWITCH(P$4, 0,0, 1, AA85,2,AC85,3,AE85,0)</f>
        <v>0</v>
      </c>
      <c r="Q85" s="12" cm="1">
        <f t="array" ref="Q85">_xlfn.SWITCH(Q$4, 0,0, 1, AA85,2,AC85,3,AE85,0)+P85</f>
        <v>0</v>
      </c>
      <c r="R85" s="12" cm="1">
        <f t="array" ref="R85">_xlfn.SWITCH(R$4, 0,0, 1, AA85,2,AC85,3,AE85,0)+Q85</f>
        <v>0</v>
      </c>
      <c r="S85" s="12" cm="1">
        <f t="array" ref="S85">_xlfn.SWITCH(S$4, 0,0, 1, AA85,2,AC85,3,AE85,0)+R85</f>
        <v>0</v>
      </c>
      <c r="T85" s="12" cm="1">
        <f t="array" ref="T85">_xlfn.SWITCH(T$4, 0,0, 1, AA85,2,AC85,3,AE85,0)+S85</f>
        <v>0</v>
      </c>
      <c r="U85" s="12" cm="1">
        <f t="array" ref="U85">_xlfn.SWITCH(U$4, 0,0, 1, AA85,2,AC85,3,AE85,0)+T85</f>
        <v>0</v>
      </c>
      <c r="V85" s="12" cm="1">
        <f t="array" ref="V85">_xlfn.SWITCH(V$4, 0,0, 1, AA85,2,AC85,3,AE85,0)+U85</f>
        <v>0</v>
      </c>
      <c r="W85" s="12" cm="1">
        <f t="array" ref="W85">_xlfn.SWITCH(W$4, 0,0, 1, AA85,2,AC85,3,AE85,0)+V85</f>
        <v>0</v>
      </c>
      <c r="X85" s="12" cm="1">
        <f t="array" ref="X85">_xlfn.SWITCH(X$4, 0,0, 1, AA85,2,AC85,3,AE85,0)+W85</f>
        <v>0</v>
      </c>
      <c r="Z85" t="s">
        <v>1304</v>
      </c>
      <c r="AA85">
        <f>_xlfn.XLOOKUP(Z85,'KPI Impacts'!$K$2:$Q$2,'KPI Impacts'!$K85:$Q85)</f>
        <v>0</v>
      </c>
      <c r="AB85" t="s">
        <v>1304</v>
      </c>
      <c r="AC85">
        <f>_xlfn.XLOOKUP(AB85,'KPI Impacts'!$K$2:$Q$2,'KPI Impacts'!$K85:$Q85)</f>
        <v>0</v>
      </c>
      <c r="AD85" t="s">
        <v>1304</v>
      </c>
      <c r="AE85">
        <f>_xlfn.XLOOKUP(AD85,'KPI Impacts'!$K$2:$Q$2,'KPI Impacts'!$K85:$Q85)</f>
        <v>0</v>
      </c>
      <c r="AG85" s="17"/>
      <c r="AH85" s="12" cm="1">
        <f t="array" ref="AH85">_xlfn.SWITCH(AH$4, 0,0, 1, AS85,2,AU85,3,AW85,0)</f>
        <v>0</v>
      </c>
      <c r="AI85" s="12" cm="1">
        <f t="array" ref="AI85">_xlfn.SWITCH(AI$4, 0,0, 1, AS85,2,AU85,3,AW85,0)+AH85</f>
        <v>0</v>
      </c>
      <c r="AJ85" s="12" cm="1">
        <f t="array" ref="AJ85">_xlfn.SWITCH(AJ$4, 0,0, 1, AS85,2,AU85,3,AW85,0)+AI85</f>
        <v>0</v>
      </c>
      <c r="AK85" s="12" cm="1">
        <f t="array" ref="AK85">_xlfn.SWITCH(AK$4, 0,0, 1, AS85,2,AU85,3,AW85,0)+AJ85</f>
        <v>0</v>
      </c>
      <c r="AL85" s="12" cm="1">
        <f t="array" ref="AL85">_xlfn.SWITCH(AL$4, 0,0, 1, AS85,2,AU85,3,AW85,0)+AK85</f>
        <v>0</v>
      </c>
      <c r="AM85" s="12" cm="1">
        <f t="array" ref="AM85">_xlfn.SWITCH(AM$4, 0,0, 1, AS85,2,AU85,3,AW85,0)+AL85</f>
        <v>0</v>
      </c>
      <c r="AN85" s="12" cm="1">
        <f t="array" ref="AN85">_xlfn.SWITCH(AN$4, 0,0, 1, AS85,2,AU85,3,AW85,0)+AM85</f>
        <v>0</v>
      </c>
      <c r="AO85" s="12" cm="1">
        <f t="array" ref="AO85">_xlfn.SWITCH(AO$4, 0,0, 1, AS85,2,AU85,3,AW85,0)+AN85</f>
        <v>0</v>
      </c>
      <c r="AP85" s="12" cm="1">
        <f t="array" ref="AP85">_xlfn.SWITCH(AP$4, 0,0, 1, AS85,2,AU85,3,AW85,0)+AO85</f>
        <v>0</v>
      </c>
      <c r="AR85" t="s">
        <v>1304</v>
      </c>
      <c r="AS85">
        <f>_xlfn.XLOOKUP(AR85,'KPI Impacts'!$K$2:$Q$2,'KPI Impacts'!$K85:$Q85)</f>
        <v>0</v>
      </c>
      <c r="AT85" t="s">
        <v>1304</v>
      </c>
      <c r="AU85">
        <f>_xlfn.XLOOKUP(AT85,'KPI Impacts'!$K$2:$Q$2,'KPI Impacts'!$K85:$Q85)</f>
        <v>0</v>
      </c>
      <c r="AV85" t="s">
        <v>1304</v>
      </c>
      <c r="AW85">
        <f>_xlfn.XLOOKUP(AV85,'KPI Impacts'!$K$2:$Q$2,'KPI Impacts'!$K85:$Q85)</f>
        <v>0</v>
      </c>
      <c r="AY85" s="17"/>
      <c r="AZ85" s="12">
        <f>AZ$4*BK85</f>
        <v>0</v>
      </c>
      <c r="BA85" s="12">
        <f>BA$4 * IF(AND(AZ$4=1,AZ$20=1), BM85, BK85)</f>
        <v>0</v>
      </c>
      <c r="BB85" s="12">
        <f>BB$4 * IF(AND(BA$4=1,AZ$20=1), BM85, BK85)</f>
        <v>0</v>
      </c>
      <c r="BC85" s="12">
        <f>BC$4 * IF(AND(BB$4=1,AZ$20=1), BM85, BK85)</f>
        <v>0</v>
      </c>
      <c r="BD85" s="12">
        <f>BD$4 * IF(AND(BC$4=1,AZ$20=1), BM85, BK85)</f>
        <v>0</v>
      </c>
      <c r="BE85" s="12">
        <f>BE$4 * IF(AND(BD$4=1,AZ$20=1), BM85, BK85)</f>
        <v>0</v>
      </c>
      <c r="BF85" s="12">
        <f>BF$4 * IF(AND(BE$4=1,AZ$20=1), BM85, BK85)</f>
        <v>0</v>
      </c>
      <c r="BG85" s="12">
        <f>BG$4 * IF(AND(BF$4=1,AZ$20=1), BM85, BK85)</f>
        <v>0</v>
      </c>
      <c r="BH85" s="12">
        <f>BH$4 * IF(AND(BG$4=1,AZ$20=1), BM85, BK85)</f>
        <v>0</v>
      </c>
      <c r="BJ85" s="16" t="s">
        <v>1304</v>
      </c>
      <c r="BK85">
        <f>_xlfn.XLOOKUP(BJ85,'KPI Impacts'!$B$2:$H$2,'KPI Impacts'!$B85:$H85)</f>
        <v>0</v>
      </c>
      <c r="BL85" s="35" t="s">
        <v>1304</v>
      </c>
      <c r="BM85">
        <f>_xlfn.XLOOKUP(BL85,'KPI Impacts'!$B$2:$H$2,'KPI Impacts'!$B85:$H85)</f>
        <v>0</v>
      </c>
      <c r="BO85" s="17"/>
      <c r="BP85" s="12">
        <f>BP$4*CA85</f>
        <v>0</v>
      </c>
      <c r="BQ85" s="12">
        <f>BQ$4 * IF(AND(BP$4=1,BP$20=1), CC85, CA85)</f>
        <v>0</v>
      </c>
      <c r="BR85" s="12">
        <f>BR$4 * IF(AND(BQ$4=1,BP$20=1), CC85, CA85)</f>
        <v>0</v>
      </c>
      <c r="BS85" s="12">
        <f>BS$4 * IF(AND(BR$4=1,BP$20=1), CC85, CA85)</f>
        <v>0</v>
      </c>
      <c r="BT85" s="12">
        <f>BT$4 * IF(AND(BS$4=1,BP$20=1), CC85, CA85)</f>
        <v>0</v>
      </c>
      <c r="BU85" s="12">
        <f>BU$4 * IF(AND(BT$4=1,BP$20=1), CC85, CA85)</f>
        <v>0</v>
      </c>
      <c r="BV85" s="12">
        <f>BV$4 * IF(AND(BU$4=1,BP$20=1), CC85, CA85)</f>
        <v>0</v>
      </c>
      <c r="BW85" s="12">
        <f>BW$4 * IF(AND(BV$4=1,BP$20=1), CC85, CA85)</f>
        <v>0</v>
      </c>
      <c r="BX85" s="12">
        <f>BX$4 * IF(AND(BW$4=1,BP$20=1), CC85, CA85)</f>
        <v>0</v>
      </c>
      <c r="BZ85" s="16" t="s">
        <v>1304</v>
      </c>
      <c r="CA85">
        <f>_xlfn.XLOOKUP(BZ85,'KPI Impacts'!$B$2:$H$2,'KPI Impacts'!$B85:$H85)</f>
        <v>0</v>
      </c>
      <c r="CB85" s="9" t="s">
        <v>1304</v>
      </c>
      <c r="CC85">
        <f>_xlfn.XLOOKUP(CB85,'KPI Impacts'!$B$2:$H$2,'KPI Impacts'!$B85:$H85)</f>
        <v>0</v>
      </c>
      <c r="CE85" s="17"/>
      <c r="CF85" s="12">
        <f>CF$4*CQ85</f>
        <v>0</v>
      </c>
      <c r="CG85" s="12">
        <f>CG$4 * IF(AND(CF$4=1,CF$20=1), CS85, CQ85)</f>
        <v>0</v>
      </c>
      <c r="CH85" s="12">
        <f>CH$4 * IF(AND(CG$4=1,CF$20=1), CS85, CQ85)</f>
        <v>0</v>
      </c>
      <c r="CI85" s="12">
        <f>CI$4 * IF(AND(CH$4=1,CF$20=1), CS85, CQ85)</f>
        <v>0</v>
      </c>
      <c r="CJ85" s="12">
        <f>CJ$4 * IF(AND(CI$4=1,CF$20=1), CS85, CQ85)</f>
        <v>0</v>
      </c>
      <c r="CK85" s="12">
        <f>CK$4 * IF(AND(CJ$4=1,CF$20=1), CS85, CQ85)</f>
        <v>0</v>
      </c>
      <c r="CL85" s="12">
        <f>CL$4 * IF(AND(CK$4=1,CF$20=1), CS85, CQ85)</f>
        <v>0</v>
      </c>
      <c r="CM85" s="12">
        <f>CM$4 * IF(AND(CL$4=1,CF$20=1), CS85, CQ85)</f>
        <v>0</v>
      </c>
      <c r="CN85" s="12">
        <f>CN$4 * IF(AND(CM$4=1,CF$20=1), CS85, CQ85)</f>
        <v>0</v>
      </c>
      <c r="CP85" s="16" t="s">
        <v>1304</v>
      </c>
      <c r="CQ85">
        <f>_xlfn.XLOOKUP(CP85,'KPI Impacts'!$B$2:$H$2,'KPI Impacts'!$B85:$H85)</f>
        <v>0</v>
      </c>
      <c r="CR85" s="35" t="s">
        <v>1304</v>
      </c>
      <c r="CS85">
        <f>_xlfn.XLOOKUP(CR85,'KPI Impacts'!$B$2:$H$2,'KPI Impacts'!$B85:$H85)</f>
        <v>0</v>
      </c>
      <c r="CU85" s="17"/>
      <c r="CV85" s="12">
        <f>CV$4*DG85</f>
        <v>0</v>
      </c>
      <c r="CW85" s="12">
        <f>CW$4 * IF(AND(CV$4=1,CV$20=1), DI85, DG85)</f>
        <v>0</v>
      </c>
      <c r="CX85" s="12">
        <f>CX$4 * IF(AND(CW$4=1,CV$20=1), DI85, DG85)</f>
        <v>0</v>
      </c>
      <c r="CY85" s="12">
        <f>CY$4 * IF(AND(CX$4=1,CV$20=1), DI85, DG85)</f>
        <v>0</v>
      </c>
      <c r="CZ85" s="12">
        <f>CZ$4 * IF(AND(CY$4=1,CV$20=1), DI85, DG85)</f>
        <v>0</v>
      </c>
      <c r="DA85" s="12">
        <f>DA$4 * IF(AND(CZ$4=1,CV$20=1), DI85, DG85)</f>
        <v>0</v>
      </c>
      <c r="DB85" s="12">
        <f>DB$4 * IF(AND(DA$4=1,CV$20=1), DI85, DG85)</f>
        <v>0</v>
      </c>
      <c r="DC85" s="12">
        <f>DC$4 * IF(AND(DB$4=1,CV$20=1), DI85, DG85)</f>
        <v>0</v>
      </c>
      <c r="DD85" s="12">
        <f>DD$4 * IF(AND(DC$4=1,CV$20=1), DI85, DG85)</f>
        <v>0</v>
      </c>
      <c r="DF85" s="16" t="s">
        <v>1304</v>
      </c>
      <c r="DG85">
        <f>_xlfn.XLOOKUP(DF85,'KPI Impacts'!$B$2:$H$2,'KPI Impacts'!$B85:$H85)</f>
        <v>0</v>
      </c>
      <c r="DH85" s="35" t="s">
        <v>1304</v>
      </c>
      <c r="DI85">
        <f>_xlfn.XLOOKUP(DH85,'KPI Impacts'!$B$2:$H$2,'KPI Impacts'!$B85:$H85)</f>
        <v>0</v>
      </c>
      <c r="DK85" s="17"/>
      <c r="DL85" s="12">
        <f>DL$4*DW85</f>
        <v>0</v>
      </c>
      <c r="DM85" s="12">
        <f>DM$4 * IF(AND(DL$4=1,DL$20=1), DY85, DW85)</f>
        <v>0</v>
      </c>
      <c r="DN85" s="12">
        <f>DN$4 * IF(AND(DM$4=1,DL$20=1), DY85, DW85)</f>
        <v>0</v>
      </c>
      <c r="DO85" s="12">
        <f>DO$4 * IF(AND(DN$4=1,DL$20=1), DY85, DW85)</f>
        <v>0</v>
      </c>
      <c r="DP85" s="12">
        <f>DP$4 * IF(AND(DO$4=1,DL$20=1), DY85, DW85)</f>
        <v>0</v>
      </c>
      <c r="DQ85" s="12">
        <f>DQ$4 * IF(AND(DP$4=1,DL$20=1), DY85, DW85)</f>
        <v>0</v>
      </c>
      <c r="DR85" s="12">
        <f>DR$4 * IF(AND(DQ$4=1,DL$20=1), DY85, DW85)</f>
        <v>0</v>
      </c>
      <c r="DS85" s="12">
        <f>DS$4 * IF(AND(DR$4=1,DL$20=1), DY85, DW85)</f>
        <v>0</v>
      </c>
      <c r="DT85" s="12">
        <f>DT$4 * IF(AND(DS$4=1,DL$20=1), DY85, DW85)</f>
        <v>0</v>
      </c>
      <c r="DV85" s="16" t="s">
        <v>1304</v>
      </c>
      <c r="DW85">
        <f>_xlfn.XLOOKUP(DV85,'KPI Impacts'!$B$2:$H$2,'KPI Impacts'!$B85:$H85)</f>
        <v>0</v>
      </c>
      <c r="DX85" s="35" t="s">
        <v>1304</v>
      </c>
      <c r="DY85">
        <f>_xlfn.XLOOKUP(DX85,'KPI Impacts'!$B$2:$H$2,'KPI Impacts'!$B85:$H85)</f>
        <v>0</v>
      </c>
      <c r="EA85" s="17"/>
      <c r="EB85" s="12">
        <f>EB$4*EM85</f>
        <v>0</v>
      </c>
      <c r="EC85" s="12">
        <f>EC$4 * IF(AND(EB$4=1,EB$20=1), EO85, EM85)</f>
        <v>0</v>
      </c>
      <c r="ED85" s="12">
        <f>ED$4 * IF(AND(EC$4=1,EB$20=1), EO85, EM85)</f>
        <v>0</v>
      </c>
      <c r="EE85" s="12">
        <f>EE$4 * IF(AND(ED$4=1,EB$20=1), EO85, EM85)</f>
        <v>0</v>
      </c>
      <c r="EF85" s="12">
        <f>EF$4 * IF(AND(EE$4=1,EB$20=1), EO85, EM85)</f>
        <v>0</v>
      </c>
      <c r="EG85" s="12">
        <f>EG$4 * IF(AND(EF$4=1,EB$20=1), EO85, EM85)</f>
        <v>0</v>
      </c>
      <c r="EH85" s="12">
        <f>EH$4 * IF(AND(EG$4=1,EB$20=1), EO85, EM85)</f>
        <v>0</v>
      </c>
      <c r="EI85" s="12">
        <f>EI$4 * IF(AND(EH$4=1,EB$20=1), EO85, EM85)</f>
        <v>0</v>
      </c>
      <c r="EJ85" s="12">
        <f>EJ$4 * IF(AND(EI$4=1,EB$20=1), EO85, EM85)</f>
        <v>0</v>
      </c>
      <c r="EL85" s="16" t="s">
        <v>1304</v>
      </c>
      <c r="EM85">
        <f>_xlfn.XLOOKUP(EL85,'KPI Impacts'!$B$2:$H$2,'KPI Impacts'!$B85:$H85)</f>
        <v>0</v>
      </c>
      <c r="EN85" s="35" t="s">
        <v>1304</v>
      </c>
      <c r="EO85">
        <f>_xlfn.XLOOKUP(EN85,'KPI Impacts'!$B$2:$H$2,'KPI Impacts'!$B85:$H85)</f>
        <v>0</v>
      </c>
      <c r="EQ85" s="17"/>
      <c r="ER85" s="12">
        <f>ER$4*FC85</f>
        <v>0</v>
      </c>
      <c r="ES85" s="12">
        <f>ES$4 * IF(AND(ER$4=1,ER$20=1), FE85, FC85)</f>
        <v>0</v>
      </c>
      <c r="ET85" s="12">
        <f>ET$4 * IF(AND(ES$4=1,ER$20=1), FE85, FC85)</f>
        <v>0</v>
      </c>
      <c r="EU85" s="12">
        <f>EU$4 * IF(AND(ET$4=1,ER$20=1), FE85, FC85)</f>
        <v>0</v>
      </c>
      <c r="EV85" s="12">
        <f>EV$4 * IF(AND(EU$4=1,ER$20=1), FE85, FC85)</f>
        <v>0</v>
      </c>
      <c r="EW85" s="12">
        <f>EW$4 * IF(AND(EV$4=1,ER$20=1), FE85, FC85)</f>
        <v>0</v>
      </c>
      <c r="EX85" s="12">
        <f>EX$4 * IF(AND(EW$4=1,ER$20=1), FE85, FC85)</f>
        <v>0</v>
      </c>
      <c r="EY85" s="12">
        <f>EY$4 * IF(AND(EX$4=1,ER$20=1), FE85, FC85)</f>
        <v>0</v>
      </c>
      <c r="EZ85" s="12">
        <f>EZ$4 * IF(AND(EY$4=1,ER$20=1), FE85, FC85)</f>
        <v>0</v>
      </c>
      <c r="FB85" s="16" t="s">
        <v>1304</v>
      </c>
      <c r="FC85">
        <f>_xlfn.XLOOKUP(FB85,'KPI Impacts'!$B$2:$H$2,'KPI Impacts'!$B85:$H85)</f>
        <v>0</v>
      </c>
      <c r="FD85" s="35" t="s">
        <v>1304</v>
      </c>
      <c r="FE85">
        <f>_xlfn.XLOOKUP(FD85,'KPI Impacts'!$B$2:$H$2,'KPI Impacts'!$B85:$H85)</f>
        <v>0</v>
      </c>
      <c r="FG85" s="17"/>
      <c r="FH85" s="12">
        <f>FH$4*FS85</f>
        <v>0</v>
      </c>
      <c r="FI85" s="12">
        <f>FI$4 * IF(AND(FH$4=1,FH$20=1), FU85, FS85)</f>
        <v>0</v>
      </c>
      <c r="FJ85" s="12">
        <f>FJ$4 * IF(AND(FI$4=1,FH$20=1), FU85, FS85)</f>
        <v>0</v>
      </c>
      <c r="FK85" s="12">
        <f>FK$4 * IF(AND(FJ$4=1,FH$20=1), FU85, FS85)</f>
        <v>0</v>
      </c>
      <c r="FL85" s="12">
        <f>FL$4 * IF(AND(FK$4=1,FH$20=1), FU85, FS85)</f>
        <v>0</v>
      </c>
      <c r="FM85" s="12">
        <f>FM$4 * IF(AND(FL$4=1,FH$20=1), FU85, FS85)</f>
        <v>0</v>
      </c>
      <c r="FN85" s="12">
        <f>FN$4 * IF(AND(FM$4=1,FH$20=1), FU85, FS85)</f>
        <v>0</v>
      </c>
      <c r="FO85" s="12">
        <f>FO$4 * IF(AND(FN$4=1,FH$20=1), FU85, FS85)</f>
        <v>0</v>
      </c>
      <c r="FP85" s="12">
        <f>FP$4 * IF(AND(FO$4=1,FH$20=1), FU85, FS85)</f>
        <v>0</v>
      </c>
      <c r="FR85" s="16" t="s">
        <v>1304</v>
      </c>
      <c r="FS85">
        <f>_xlfn.XLOOKUP(FR85,'KPI Impacts'!$B$2:$H$2,'KPI Impacts'!$B85:$H85)</f>
        <v>0</v>
      </c>
      <c r="FT85" s="35" t="s">
        <v>1304</v>
      </c>
      <c r="FU85">
        <f>_xlfn.XLOOKUP(FT85,'KPI Impacts'!$B$2:$H$2,'KPI Impacts'!$B85:$H85)</f>
        <v>0</v>
      </c>
      <c r="FW85" s="17"/>
      <c r="FX85" s="12">
        <f>FX$4*GI85</f>
        <v>0</v>
      </c>
      <c r="FY85" s="12">
        <f>FY$4 * IF(AND(FX$4=1,FX$20=1), GK85, GI85)</f>
        <v>0</v>
      </c>
      <c r="FZ85" s="12">
        <f>FZ$4 * IF(AND(FY$4=1,FX$20=1), GK85, GI85)</f>
        <v>0</v>
      </c>
      <c r="GA85" s="12">
        <f>GA$4 * IF(AND(FZ$4=1,FX$20=1), GK85, GI85)</f>
        <v>0</v>
      </c>
      <c r="GB85" s="12">
        <f>GB$4 * IF(AND(GA$4=1,FX$20=1), GK85, GI85)</f>
        <v>0</v>
      </c>
      <c r="GC85" s="12">
        <f>GC$4 * IF(AND(GB$4=1,FX$20=1), GK85, GI85)</f>
        <v>0</v>
      </c>
      <c r="GD85" s="12">
        <f>GD$4 * IF(AND(GC$4=1,FX$20=1), GK85, GI85)</f>
        <v>0</v>
      </c>
      <c r="GE85" s="12">
        <f>GE$4 * IF(AND(GD$4=1,FX$20=1), GK85, GI85)</f>
        <v>0</v>
      </c>
      <c r="GF85" s="12">
        <f>GF$4 * IF(AND(GE$4=1,FX$20=1), GK85, GI85)</f>
        <v>0</v>
      </c>
      <c r="GH85" s="16" t="s">
        <v>1304</v>
      </c>
      <c r="GI85">
        <f>_xlfn.XLOOKUP(GH85,'KPI Impacts'!$B$2:$H$2,'KPI Impacts'!$B85:$H85)</f>
        <v>0</v>
      </c>
      <c r="GJ85" s="35" t="s">
        <v>1304</v>
      </c>
      <c r="GK85">
        <f>_xlfn.XLOOKUP(GJ85,'KPI Impacts'!$B$2:$H$2,'KPI Impacts'!$B85:$H85)</f>
        <v>0</v>
      </c>
      <c r="GN85" s="12">
        <f>GN$4*GY85</f>
        <v>0</v>
      </c>
      <c r="GO85" s="12">
        <f>GO$4 * IF(AND(GN$4=1,GN$20=1), HA85, GY85)</f>
        <v>0</v>
      </c>
      <c r="GP85" s="12">
        <f>GP$4 * IF(AND(GO$4=1,GN$20=1), HA85, GY85)</f>
        <v>0</v>
      </c>
      <c r="GQ85" s="12">
        <f>GQ$4 * IF(AND(GP$4=1,GN$20=1), HA85, GY85)</f>
        <v>0</v>
      </c>
      <c r="GR85" s="12">
        <f>GR$4 * IF(AND(GQ$4=1,GN$20=1), HA85, GY85)</f>
        <v>0</v>
      </c>
      <c r="GS85" s="12">
        <f>GS$4 * IF(AND(GR$4=1,GN$20=1), HA85, GY85)</f>
        <v>0</v>
      </c>
      <c r="GT85" s="12">
        <f>GT$4 * IF(AND(GS$4=1,GN$20=1), HA85, GY85)</f>
        <v>0</v>
      </c>
      <c r="GU85" s="12">
        <f>GU$4 * IF(AND(GT$4=1,GN$20=1), HA85, GY85)</f>
        <v>0</v>
      </c>
      <c r="GV85" s="12">
        <f>GV$4 * IF(AND(GU$4=1,GN$20=1), HA85, GY85)</f>
        <v>0</v>
      </c>
      <c r="GX85" s="16" t="s">
        <v>1304</v>
      </c>
      <c r="GY85">
        <f>_xlfn.XLOOKUP(GX85,'KPI Impacts'!$B$2:$H$2,'KPI Impacts'!$B85:$H85)</f>
        <v>0</v>
      </c>
      <c r="GZ85" s="35" t="s">
        <v>1304</v>
      </c>
      <c r="HA85">
        <f>_xlfn.XLOOKUP(GZ85,'KPI Impacts'!$B$2:$H$2,'KPI Impacts'!$B85:$H85)</f>
        <v>0</v>
      </c>
      <c r="HD85" s="12">
        <f>HD$4*HO85</f>
        <v>0</v>
      </c>
      <c r="HE85" s="12">
        <f>HE$4 * IF(AND(HD$4=1,HD$20=1), HQ85, HO85)</f>
        <v>0</v>
      </c>
      <c r="HF85" s="12">
        <f>HF$4 * IF(AND(HE$4=1,HD$20=1), HQ85, HO85)</f>
        <v>0</v>
      </c>
      <c r="HG85" s="12">
        <f>HG$4 * IF(AND(HF$4=1,HD$20=1), HQ85, HO85)</f>
        <v>0</v>
      </c>
      <c r="HH85" s="12">
        <f>HH$4 * IF(AND(HG$4=1,HD$20=1), HQ85, HO85)</f>
        <v>0</v>
      </c>
      <c r="HI85" s="12">
        <f>HI$4 * IF(AND(HH$4=1,HD$20=1), HQ85, HO85)</f>
        <v>0</v>
      </c>
      <c r="HJ85" s="12">
        <f>HJ$4 * IF(AND(HI$4=1,HD$20=1), HQ85, HO85)</f>
        <v>0</v>
      </c>
      <c r="HK85" s="12">
        <f>HK$4 * IF(AND(HJ$4=1,HD$20=1), HQ85, HO85)</f>
        <v>0</v>
      </c>
      <c r="HL85" s="12">
        <f>HL$4 * IF(AND(HK$4=1,HD$20=1), HQ85, HO85)</f>
        <v>0</v>
      </c>
      <c r="HN85" s="16" t="s">
        <v>1304</v>
      </c>
      <c r="HO85">
        <f>_xlfn.XLOOKUP(HN85,'KPI Impacts'!$B$2:$H$2,'KPI Impacts'!$B85:$H85)</f>
        <v>0</v>
      </c>
      <c r="HP85" s="35" t="s">
        <v>1304</v>
      </c>
      <c r="HQ85">
        <f>_xlfn.XLOOKUP(HP85,'KPI Impacts'!$B$2:$H$2,'KPI Impacts'!$B85:$H85)</f>
        <v>0</v>
      </c>
      <c r="HT85" s="12">
        <f>HT$4*IE85</f>
        <v>0</v>
      </c>
      <c r="HU85" s="12">
        <f>HU$4 * IF(AND(HT$4=1,HT$20=1), IG85, IE85)</f>
        <v>0</v>
      </c>
      <c r="HV85" s="12">
        <f>HV$4 * IF(AND(HU$4=1,HT$20=1), IG85, IE85)</f>
        <v>0</v>
      </c>
      <c r="HW85" s="12">
        <f>HW$4 * IF(AND(HV$4=1,HT$20=1), IG85, IE85)</f>
        <v>0</v>
      </c>
      <c r="HX85" s="12">
        <f>HX$4 * IF(AND(HW$4=1,HT$20=1), IG85, IE85)</f>
        <v>0</v>
      </c>
      <c r="HY85" s="12">
        <f>HY$4 * IF(AND(HX$4=1,HT$20=1), IG85, IE85)</f>
        <v>0</v>
      </c>
      <c r="HZ85" s="12">
        <f>HZ$4 * IF(AND(HY$4=1,HT$20=1), IG85, IE85)</f>
        <v>0</v>
      </c>
      <c r="IA85" s="12">
        <f>IA$4 * IF(AND(HZ$4=1,HT$20=1), IG85, IE85)</f>
        <v>0</v>
      </c>
      <c r="IB85" s="12">
        <f>IB$4 * IF(AND(IA$4=1,HT$20=1), IG85, IE85)</f>
        <v>0</v>
      </c>
      <c r="ID85" s="16" t="s">
        <v>1304</v>
      </c>
      <c r="IE85">
        <f>_xlfn.XLOOKUP(ID85,'KPI Impacts'!$B$2:$H$2,'KPI Impacts'!$B85:$H85)</f>
        <v>0</v>
      </c>
      <c r="IF85" s="35" t="s">
        <v>1304</v>
      </c>
      <c r="IG85">
        <f>_xlfn.XLOOKUP(IF85,'KPI Impacts'!$B$2:$H$2,'KPI Impacts'!$B85:$H85)</f>
        <v>0</v>
      </c>
      <c r="IJ85" s="12">
        <f>IJ$4*IU85</f>
        <v>0</v>
      </c>
      <c r="IK85" s="12">
        <f>IK$4 * IF(AND(IJ$4=1,IJ$20=1), IW85, IU85)</f>
        <v>0</v>
      </c>
      <c r="IL85" s="12">
        <f>IL$4 * IF(AND(IK$4=1,IJ$20=1), IW85, IU85)</f>
        <v>0</v>
      </c>
      <c r="IM85" s="12">
        <f>IM$4 * IF(AND(IL$4=1,IJ$20=1), IW85, IU85)</f>
        <v>0</v>
      </c>
      <c r="IN85" s="12">
        <f>IN$4 * IF(AND(IM$4=1,IJ$20=1), IW85, IU85)</f>
        <v>0</v>
      </c>
      <c r="IO85" s="12">
        <f>IO$4 * IF(AND(IN$4=1,IJ$20=1), IW85, IU85)</f>
        <v>0</v>
      </c>
      <c r="IP85" s="12">
        <f>IP$4 * IF(AND(IO$4=1,IJ$20=1), IW85, IU85)</f>
        <v>0</v>
      </c>
      <c r="IQ85" s="12">
        <f>IQ$4 * IF(AND(IP$4=1,IJ$20=1), IW85, IU85)</f>
        <v>0</v>
      </c>
      <c r="IR85" s="12">
        <f>IR$4 * IF(AND(IQ$4=1,IJ$20=1), IW85, IU85)</f>
        <v>0</v>
      </c>
      <c r="IT85" s="16" t="s">
        <v>1304</v>
      </c>
      <c r="IU85">
        <f>_xlfn.XLOOKUP(IT85,'KPI Impacts'!$B$2:$H$2,'KPI Impacts'!$B85:$H85)</f>
        <v>0</v>
      </c>
      <c r="IV85" s="35" t="s">
        <v>1304</v>
      </c>
      <c r="IW85">
        <f>_xlfn.XLOOKUP(IV85,'KPI Impacts'!$B$2:$H$2,'KPI Impacts'!$B85:$H85)</f>
        <v>0</v>
      </c>
      <c r="IZ85" s="12">
        <f>IZ$4*JK85</f>
        <v>0</v>
      </c>
      <c r="JA85" s="12">
        <f>JA$4 * IF(AND(IZ$4=1,IZ$20=1), JM85, JK85)</f>
        <v>0</v>
      </c>
      <c r="JB85" s="12">
        <f>JB$4 * IF(AND(JA$4=1,IZ$20=1), JM85, JK85)</f>
        <v>0</v>
      </c>
      <c r="JC85" s="12">
        <f>JC$4 * IF(AND(JB$4=1,IZ$20=1), JM85, JK85)</f>
        <v>0</v>
      </c>
      <c r="JD85" s="12">
        <f>JD$4 * IF(AND(JC$4=1,IZ$20=1), JM85, JK85)</f>
        <v>0</v>
      </c>
      <c r="JE85" s="12">
        <f>JE$4 * IF(AND(JD$4=1,IZ$20=1), JM85, JK85)</f>
        <v>0</v>
      </c>
      <c r="JF85" s="12">
        <f>JF$4 * IF(AND(JE$4=1,IZ$20=1), JM85, JK85)</f>
        <v>0</v>
      </c>
      <c r="JG85" s="12">
        <f>JG$4 * IF(AND(JF$4=1,IZ$20=1), JM85, JK85)</f>
        <v>0</v>
      </c>
      <c r="JH85" s="12">
        <f>JH$4 * IF(AND(JG$4=1,IZ$20=1), JM85, JK85)</f>
        <v>0</v>
      </c>
      <c r="JJ85" t="s">
        <v>1304</v>
      </c>
      <c r="JK85">
        <f>_xlfn.XLOOKUP(JJ85,'KPI Impacts'!$B$2:$H$2,'KPI Impacts'!$B85:$H85)</f>
        <v>0</v>
      </c>
      <c r="JL85" s="9" t="s">
        <v>1304</v>
      </c>
      <c r="JM85">
        <f>_xlfn.XLOOKUP(JL85,'KPI Impacts'!$B$2:$H$2,'KPI Impacts'!$B85:$H85)</f>
        <v>0</v>
      </c>
      <c r="JP85" s="12">
        <f>JP$4*KA85</f>
        <v>0</v>
      </c>
      <c r="JQ85" s="12">
        <f>JQ$4 * IF(AND(JP$4=1,JP$20=1), KC85, KA85)</f>
        <v>0</v>
      </c>
      <c r="JR85" s="12">
        <f>JR$4 * IF(AND(JQ$4=1,JP$20=1), KC85, KA85)</f>
        <v>0</v>
      </c>
      <c r="JS85" s="12">
        <f>JS$4 * IF(AND(JR$4=1,JP$20=1), KC85, KA85)</f>
        <v>0</v>
      </c>
      <c r="JT85" s="12">
        <f>JT$4 * IF(AND(JS$4=1,JP$20=1), KC85, KA85)</f>
        <v>0</v>
      </c>
      <c r="JU85" s="12">
        <f>JU$4 * IF(AND(JT$4=1,JP$20=1), KC85, KA85)</f>
        <v>0</v>
      </c>
      <c r="JV85" s="12">
        <f>JV$4 * IF(AND(JU$4=1,JP$20=1), KC85, KA85)</f>
        <v>0</v>
      </c>
      <c r="JW85" s="12">
        <f>JW$4 * IF(AND(JV$4=1,JP$20=1), KC85, KA85)</f>
        <v>0</v>
      </c>
      <c r="JX85" s="12">
        <f>JX$4 * IF(AND(JW$4=1,JP$20=1), KC85, KA85)</f>
        <v>0</v>
      </c>
      <c r="JZ85" t="s">
        <v>1304</v>
      </c>
      <c r="KA85">
        <f>_xlfn.XLOOKUP(JZ85,'KPI Impacts'!$B$2:$H$2,'KPI Impacts'!$B85:$H85)</f>
        <v>0</v>
      </c>
      <c r="KB85" s="9" t="s">
        <v>1304</v>
      </c>
      <c r="KC85">
        <f>_xlfn.XLOOKUP(KB85,'KPI Impacts'!$B$2:$H$2,'KPI Impacts'!$B85:$H85)</f>
        <v>0</v>
      </c>
      <c r="KF85" s="12">
        <f>KF$4*KQ85</f>
        <v>0</v>
      </c>
      <c r="KG85" s="12">
        <f>KG$4 * IF(AND(KF$4=1,KF$20=1), KS85, KQ85)</f>
        <v>0</v>
      </c>
      <c r="KH85" s="12">
        <f>KH$4 * IF(AND(KG$4=1,KF$20=1), KS85, KQ85)</f>
        <v>0</v>
      </c>
      <c r="KI85" s="12">
        <f>KI$4 * IF(AND(KH$4=1,KF$20=1), KS85, KQ85)</f>
        <v>0</v>
      </c>
      <c r="KJ85" s="12">
        <f>KJ$4 * IF(AND(KI$4=1,KF$20=1), KS85, KQ85)</f>
        <v>0</v>
      </c>
      <c r="KK85" s="12">
        <f>KK$4 * IF(AND(KJ$4=1,KF$20=1), KS85, KQ85)</f>
        <v>0</v>
      </c>
      <c r="KL85" s="12">
        <f>KL$4 * IF(AND(KK$4=1,KF$20=1), KS85, KQ85)</f>
        <v>0</v>
      </c>
      <c r="KM85" s="12">
        <f>KM$4 * IF(AND(KL$4=1,KF$20=1), KS85, KQ85)</f>
        <v>0</v>
      </c>
      <c r="KN85" s="12">
        <f>KN$4 * IF(AND(KM$4=1,KF$20=1), KS85, KQ85)</f>
        <v>0</v>
      </c>
      <c r="KP85" t="s">
        <v>1304</v>
      </c>
      <c r="KQ85">
        <f>_xlfn.XLOOKUP(KP85,'KPI Impacts'!$B$2:$H$2,'KPI Impacts'!$B85:$H85)</f>
        <v>0</v>
      </c>
      <c r="KR85" s="9" t="s">
        <v>1304</v>
      </c>
      <c r="KS85">
        <f>_xlfn.XLOOKUP(KR85,'KPI Impacts'!$B$2:$H$2,'KPI Impacts'!$B85:$H85)</f>
        <v>0</v>
      </c>
      <c r="KV85" s="12">
        <f>KV$4*LG85</f>
        <v>0</v>
      </c>
      <c r="KW85" s="12">
        <f>KW$4 * IF(AND(KV$4=1,KV$20=1), LI85, LG85)</f>
        <v>0</v>
      </c>
      <c r="KX85" s="12">
        <f>KX$4 * IF(AND(KW$4=1,KV$20=1), LI85, LG85)</f>
        <v>0</v>
      </c>
      <c r="KY85" s="12">
        <f>KY$4 * IF(AND(KX$4=1,KV$20=1), LI85, LG85)</f>
        <v>0</v>
      </c>
      <c r="KZ85" s="12">
        <f>KZ$4 * IF(AND(KY$4=1,KV$20=1), LI85, LG85)</f>
        <v>0</v>
      </c>
      <c r="LA85" s="12">
        <f>LA$4 * IF(AND(KZ$4=1,KV$20=1), LI85, LG85)</f>
        <v>0</v>
      </c>
      <c r="LB85" s="12">
        <f>LB$4 * IF(AND(LA$4=1,KV$20=1), LI85, LG85)</f>
        <v>0</v>
      </c>
      <c r="LC85" s="12">
        <f>LC$4 * IF(AND(LB$4=1,KV$20=1), LI85, LG85)</f>
        <v>0</v>
      </c>
      <c r="LD85" s="12">
        <f>LD$4 * IF(AND(LC$4=1,KV$20=1), LI85, LG85)</f>
        <v>0</v>
      </c>
      <c r="LF85" t="s">
        <v>1304</v>
      </c>
      <c r="LG85">
        <f>_xlfn.XLOOKUP(LF85,'KPI Impacts'!$B$2:$H$2,'KPI Impacts'!$B85:$H85)</f>
        <v>0</v>
      </c>
      <c r="LH85" s="9" t="s">
        <v>1304</v>
      </c>
      <c r="LI85">
        <f>_xlfn.XLOOKUP(LH85,'KPI Impacts'!$B$2:$H$2,'KPI Impacts'!$B85:$H85)</f>
        <v>0</v>
      </c>
      <c r="LL85" s="12">
        <f>LL$4*LW85</f>
        <v>0</v>
      </c>
      <c r="LM85" s="12">
        <f>LM$4 * IF(AND(LL$4=1,LL$20=1), LY85, LW85)</f>
        <v>0</v>
      </c>
      <c r="LN85" s="12">
        <f>LN$4 * IF(AND(LM$4=1,LL$20=1), LY85, LW85)</f>
        <v>0</v>
      </c>
      <c r="LO85" s="12">
        <f>LO$4 * IF(AND(LN$4=1,LL$20=1), LY85, LW85)</f>
        <v>0</v>
      </c>
      <c r="LP85" s="12">
        <f>LP$4 * IF(AND(LO$4=1,LL$20=1), LY85, LW85)</f>
        <v>0</v>
      </c>
      <c r="LQ85" s="12">
        <f>LQ$4 * IF(AND(LP$4=1,LL$20=1), LY85, LW85)</f>
        <v>0</v>
      </c>
      <c r="LR85" s="12">
        <f>LR$4 * IF(AND(LQ$4=1,LL$20=1), LY85, LW85)</f>
        <v>0</v>
      </c>
      <c r="LS85" s="12">
        <f>LS$4 * IF(AND(LR$4=1,LL$20=1), LY85, LW85)</f>
        <v>0</v>
      </c>
      <c r="LT85" s="12">
        <f>LT$4 * IF(AND(LS$4=1,LL$20=1), LY85, LW85)</f>
        <v>0</v>
      </c>
      <c r="LV85" t="s">
        <v>1304</v>
      </c>
      <c r="LW85">
        <f>_xlfn.XLOOKUP(LV85,'KPI Impacts'!$B$2:$H$2,'KPI Impacts'!$B85:$H85)</f>
        <v>0</v>
      </c>
      <c r="LX85" s="9" t="s">
        <v>1304</v>
      </c>
      <c r="LY85">
        <f>_xlfn.XLOOKUP(LX85,'KPI Impacts'!$B$2:$H$2,'KPI Impacts'!$B85:$H85)</f>
        <v>0</v>
      </c>
      <c r="MB85" s="12">
        <f>MB$4*MM85</f>
        <v>0</v>
      </c>
      <c r="MC85" s="12">
        <f>MC$4 * IF(AND(MB$4=1,MB$20=1), MO85, MM85)</f>
        <v>0</v>
      </c>
      <c r="MD85" s="12">
        <f>MD$4 * IF(AND(MC$4=1,MB$20=1), MO85, MM85)</f>
        <v>0</v>
      </c>
      <c r="ME85" s="12">
        <f>ME$4 * IF(AND(MD$4=1,MB$20=1), MO85, MM85)</f>
        <v>0</v>
      </c>
      <c r="MF85" s="12">
        <f>MF$4 * IF(AND(ME$4=1,MB$20=1), MO85, MM85)</f>
        <v>0</v>
      </c>
      <c r="MG85" s="12">
        <f>MG$4 * IF(AND(MF$4=1,MB$20=1), MO85, MM85)</f>
        <v>0</v>
      </c>
      <c r="MH85" s="12">
        <f>MH$4 * IF(AND(MG$4=1,MB$20=1), MO85, MM85)</f>
        <v>0</v>
      </c>
      <c r="MI85" s="12">
        <f>MI$4 * IF(AND(MH$4=1,MB$20=1), MO85, MM85)</f>
        <v>0</v>
      </c>
      <c r="MJ85" s="12">
        <f>MJ$4 * IF(AND(MI$4=1,MB$20=1), MO85, MM85)</f>
        <v>0</v>
      </c>
      <c r="ML85" t="s">
        <v>1304</v>
      </c>
      <c r="MM85">
        <f>_xlfn.XLOOKUP(ML85,'KPI Impacts'!$B$2:$H$2,'KPI Impacts'!$B85:$H85)</f>
        <v>0</v>
      </c>
      <c r="MN85" s="9" t="s">
        <v>1304</v>
      </c>
      <c r="MO85">
        <f>_xlfn.XLOOKUP(MN85,'KPI Impacts'!$B$2:$H$2,'KPI Impacts'!$B85:$H85)</f>
        <v>0</v>
      </c>
      <c r="MR85" s="12">
        <f>MR$4*NC85</f>
        <v>0</v>
      </c>
      <c r="MS85" s="12">
        <f>MS$4 * IF(AND(MR$4=1,MR$20=1), NE85, NC85)</f>
        <v>0</v>
      </c>
      <c r="MT85" s="12">
        <f>MT$4 * IF(AND(MS$4=1,MR$20=1), NE85, NC85)</f>
        <v>0</v>
      </c>
      <c r="MU85" s="12">
        <f>MU$4 * IF(AND(MT$4=1,MR$20=1), NE85, NC85)</f>
        <v>0</v>
      </c>
      <c r="MV85" s="12">
        <f>MV$4 * IF(AND(MU$4=1,MR$20=1), NE85, NC85)</f>
        <v>0</v>
      </c>
      <c r="MW85" s="12">
        <f>MW$4 * IF(AND(MV$4=1,MR$20=1), NE85, NC85)</f>
        <v>0</v>
      </c>
      <c r="MX85" s="12">
        <f>MX$4 * IF(AND(MW$4=1,MR$20=1), NE85, NC85)</f>
        <v>0</v>
      </c>
      <c r="MY85" s="12">
        <f>MY$4 * IF(AND(MX$4=1,MR$20=1), NE85, NC85)</f>
        <v>0</v>
      </c>
      <c r="MZ85" s="12">
        <f>MZ$4 * IF(AND(MY$4=1,MR$20=1), NE85, NC85)</f>
        <v>0</v>
      </c>
      <c r="NB85" t="s">
        <v>1304</v>
      </c>
      <c r="NC85">
        <f>_xlfn.XLOOKUP(NB85,'KPI Impacts'!$B$2:$H$2,'KPI Impacts'!$B85:$H85)</f>
        <v>0</v>
      </c>
      <c r="ND85" s="9" t="s">
        <v>1304</v>
      </c>
      <c r="NE85">
        <f>_xlfn.XLOOKUP(ND85,'KPI Impacts'!$B$2:$H$2,'KPI Impacts'!$B85:$H85)</f>
        <v>0</v>
      </c>
      <c r="NH85" s="12">
        <f>NH$4*NS85</f>
        <v>0</v>
      </c>
      <c r="NI85" s="12">
        <f>NI$4 * IF(AND(NH$4=1,NH$20=1), NU85, NS85)</f>
        <v>0</v>
      </c>
      <c r="NJ85" s="12">
        <f>NJ$4 * IF(AND(NI$4=1,NH$20=1), NU85, NS85)</f>
        <v>0</v>
      </c>
      <c r="NK85" s="12">
        <f>NK$4 * IF(AND(NJ$4=1,NH$20=1), NU85, NS85)</f>
        <v>0</v>
      </c>
      <c r="NL85" s="12">
        <f>NL$4 * IF(AND(NK$4=1,NH$20=1), NU85, NS85)</f>
        <v>0</v>
      </c>
      <c r="NM85" s="12">
        <f>NM$4 * IF(AND(NL$4=1,NH$20=1), NU85, NS85)</f>
        <v>0</v>
      </c>
      <c r="NN85" s="12">
        <f>NN$4 * IF(AND(NM$4=1,NH$20=1), NU85, NS85)</f>
        <v>0</v>
      </c>
      <c r="NO85" s="12">
        <f>NO$4 * IF(AND(NN$4=1,NH$20=1), NU85, NS85)</f>
        <v>0</v>
      </c>
      <c r="NP85" s="12">
        <f>NP$4 * IF(AND(NO$4=1,NH$20=1), NU85, NS85)</f>
        <v>0</v>
      </c>
      <c r="NR85" t="s">
        <v>1304</v>
      </c>
      <c r="NS85">
        <f>_xlfn.XLOOKUP(NR85,'KPI Impacts'!$B$2:$H$2,'KPI Impacts'!$B85:$H85)</f>
        <v>0</v>
      </c>
      <c r="NT85" s="9" t="s">
        <v>1304</v>
      </c>
      <c r="NU85">
        <f>_xlfn.XLOOKUP(NT85,'KPI Impacts'!$B$2:$H$2,'KPI Impacts'!$B85:$H85)</f>
        <v>0</v>
      </c>
      <c r="NX85" s="12">
        <f>NX$4*OI85</f>
        <v>0</v>
      </c>
      <c r="NY85" s="12">
        <f>NY$4 * IF(AND(NX$4=1,NX$20=1), OK85, OI85)</f>
        <v>0</v>
      </c>
      <c r="NZ85" s="12">
        <f>NZ$4 * IF(AND(NY$4=1,NX$20=1), OK85, OI85)</f>
        <v>0</v>
      </c>
      <c r="OA85" s="12">
        <f>OA$4 * IF(AND(NZ$4=1,NX$20=1), OK85, OI85)</f>
        <v>0</v>
      </c>
      <c r="OB85" s="12">
        <f>OB$4 * IF(AND(OA$4=1,NX$20=1), OK85, OI85)</f>
        <v>0</v>
      </c>
      <c r="OC85" s="12">
        <f>OC$4 * IF(AND(OB$4=1,NX$20=1), OK85, OI85)</f>
        <v>0</v>
      </c>
      <c r="OD85" s="12">
        <f>OD$4 * IF(AND(OC$4=1,NX$20=1), OK85, OI85)</f>
        <v>0</v>
      </c>
      <c r="OE85" s="12">
        <f>OE$4 * IF(AND(OD$4=1,NX$20=1), OK85, OI85)</f>
        <v>0</v>
      </c>
      <c r="OF85" s="12">
        <f>OF$4 * IF(AND(OE$4=1,NX$20=1), OK85, OI85)</f>
        <v>0</v>
      </c>
      <c r="OH85" t="s">
        <v>1304</v>
      </c>
      <c r="OI85">
        <f>_xlfn.XLOOKUP(OH85,'KPI Impacts'!$B$2:$H$2,'KPI Impacts'!$B85:$H85)</f>
        <v>0</v>
      </c>
      <c r="OJ85" s="9" t="s">
        <v>1304</v>
      </c>
      <c r="OK85">
        <f>_xlfn.XLOOKUP(OJ85,'KPI Impacts'!$B$2:$H$2,'KPI Impacts'!$B85:$H85)</f>
        <v>0</v>
      </c>
    </row>
    <row r="86" spans="1:401" x14ac:dyDescent="0.2">
      <c r="A86" s="9" t="s">
        <v>1316</v>
      </c>
      <c r="B86" s="12">
        <f t="shared" si="518"/>
        <v>0</v>
      </c>
      <c r="C86" s="12">
        <f t="shared" si="518"/>
        <v>0</v>
      </c>
      <c r="D86" s="12">
        <f t="shared" si="518"/>
        <v>0</v>
      </c>
      <c r="E86" s="12">
        <f t="shared" si="518"/>
        <v>0</v>
      </c>
      <c r="F86" s="12">
        <f t="shared" si="518"/>
        <v>0</v>
      </c>
      <c r="G86" s="12">
        <f t="shared" si="518"/>
        <v>0</v>
      </c>
      <c r="H86" s="12">
        <f t="shared" si="518"/>
        <v>0</v>
      </c>
      <c r="I86" s="12">
        <f t="shared" si="518"/>
        <v>0</v>
      </c>
      <c r="J86" s="12">
        <f t="shared" si="518"/>
        <v>0</v>
      </c>
      <c r="O86" s="17"/>
      <c r="P86" s="12" cm="1">
        <f t="array" ref="P86">_xlfn.SWITCH(P$4, 0,0, 1, AA86,2,AC86,3,AE86,0)</f>
        <v>0</v>
      </c>
      <c r="Q86" s="12" cm="1">
        <f t="array" ref="Q86">_xlfn.SWITCH(Q$4, 0,0, 1, AA86,2,AC86,3,AE86,0)+P86</f>
        <v>0</v>
      </c>
      <c r="R86" s="12" cm="1">
        <f t="array" ref="R86">_xlfn.SWITCH(R$4, 0,0, 1, AA86,2,AC86,3,AE86,0)+Q86</f>
        <v>0</v>
      </c>
      <c r="S86" s="12" cm="1">
        <f t="array" ref="S86">_xlfn.SWITCH(S$4, 0,0, 1, AA86,2,AC86,3,AE86,0)+R86</f>
        <v>0</v>
      </c>
      <c r="T86" s="12" cm="1">
        <f t="array" ref="T86">_xlfn.SWITCH(T$4, 0,0, 1, AA86,2,AC86,3,AE86,0)+S86</f>
        <v>0</v>
      </c>
      <c r="U86" s="12" cm="1">
        <f t="array" ref="U86">_xlfn.SWITCH(U$4, 0,0, 1, AA86,2,AC86,3,AE86,0)+T86</f>
        <v>0</v>
      </c>
      <c r="V86" s="12" cm="1">
        <f t="array" ref="V86">_xlfn.SWITCH(V$4, 0,0, 1, AA86,2,AC86,3,AE86,0)+U86</f>
        <v>0</v>
      </c>
      <c r="W86" s="12" cm="1">
        <f t="array" ref="W86">_xlfn.SWITCH(W$4, 0,0, 1, AA86,2,AC86,3,AE86,0)+V86</f>
        <v>0</v>
      </c>
      <c r="X86" s="12" cm="1">
        <f t="array" ref="X86">_xlfn.SWITCH(X$4, 0,0, 1, AA86,2,AC86,3,AE86,0)+W86</f>
        <v>0</v>
      </c>
      <c r="Z86" t="s">
        <v>1304</v>
      </c>
      <c r="AA86">
        <f>_xlfn.XLOOKUP(Z86,'KPI Impacts'!$K$2:$Q$2,'KPI Impacts'!$K86:$Q86)</f>
        <v>0</v>
      </c>
      <c r="AB86" t="s">
        <v>1304</v>
      </c>
      <c r="AC86">
        <f>_xlfn.XLOOKUP(AB86,'KPI Impacts'!$K$2:$Q$2,'KPI Impacts'!$K86:$Q86)</f>
        <v>0</v>
      </c>
      <c r="AD86" t="s">
        <v>1304</v>
      </c>
      <c r="AE86">
        <f>_xlfn.XLOOKUP(AD86,'KPI Impacts'!$K$2:$Q$2,'KPI Impacts'!$K86:$Q86)</f>
        <v>0</v>
      </c>
      <c r="AG86" s="17"/>
      <c r="AH86" s="12" cm="1">
        <f t="array" ref="AH86">_xlfn.SWITCH(AH$4, 0,0, 1, AS86,2,AU86,3,AW86,0)</f>
        <v>0</v>
      </c>
      <c r="AI86" s="12" cm="1">
        <f t="array" ref="AI86">_xlfn.SWITCH(AI$4, 0,0, 1, AS86,2,AU86,3,AW86,0)+AH86</f>
        <v>0</v>
      </c>
      <c r="AJ86" s="12" cm="1">
        <f t="array" ref="AJ86">_xlfn.SWITCH(AJ$4, 0,0, 1, AS86,2,AU86,3,AW86,0)+AI86</f>
        <v>0</v>
      </c>
      <c r="AK86" s="12" cm="1">
        <f t="array" ref="AK86">_xlfn.SWITCH(AK$4, 0,0, 1, AS86,2,AU86,3,AW86,0)+AJ86</f>
        <v>0</v>
      </c>
      <c r="AL86" s="12" cm="1">
        <f t="array" ref="AL86">_xlfn.SWITCH(AL$4, 0,0, 1, AS86,2,AU86,3,AW86,0)+AK86</f>
        <v>0</v>
      </c>
      <c r="AM86" s="12" cm="1">
        <f t="array" ref="AM86">_xlfn.SWITCH(AM$4, 0,0, 1, AS86,2,AU86,3,AW86,0)+AL86</f>
        <v>0</v>
      </c>
      <c r="AN86" s="12" cm="1">
        <f t="array" ref="AN86">_xlfn.SWITCH(AN$4, 0,0, 1, AS86,2,AU86,3,AW86,0)+AM86</f>
        <v>0</v>
      </c>
      <c r="AO86" s="12" cm="1">
        <f t="array" ref="AO86">_xlfn.SWITCH(AO$4, 0,0, 1, AS86,2,AU86,3,AW86,0)+AN86</f>
        <v>0</v>
      </c>
      <c r="AP86" s="12" cm="1">
        <f t="array" ref="AP86">_xlfn.SWITCH(AP$4, 0,0, 1, AS86,2,AU86,3,AW86,0)+AO86</f>
        <v>0</v>
      </c>
      <c r="AR86" t="s">
        <v>1304</v>
      </c>
      <c r="AS86">
        <f>_xlfn.XLOOKUP(AR86,'KPI Impacts'!$K$2:$Q$2,'KPI Impacts'!$K86:$Q86)</f>
        <v>0</v>
      </c>
      <c r="AT86" t="s">
        <v>1304</v>
      </c>
      <c r="AU86">
        <f>_xlfn.XLOOKUP(AT86,'KPI Impacts'!$K$2:$Q$2,'KPI Impacts'!$K86:$Q86)</f>
        <v>0</v>
      </c>
      <c r="AV86" t="s">
        <v>1304</v>
      </c>
      <c r="AW86">
        <f>_xlfn.XLOOKUP(AV86,'KPI Impacts'!$K$2:$Q$2,'KPI Impacts'!$K86:$Q86)</f>
        <v>0</v>
      </c>
      <c r="AY86" s="17"/>
      <c r="AZ86" s="12">
        <f>AZ$4*BK86</f>
        <v>0</v>
      </c>
      <c r="BA86" s="12">
        <f>BA$4 * IF(AND(AZ$4=1,AZ$20=1), BM86, BK86)</f>
        <v>0</v>
      </c>
      <c r="BB86" s="12">
        <f>BB$4 * IF(AND(BA$4=1,AZ$20=1), BM86, BK86)</f>
        <v>0</v>
      </c>
      <c r="BC86" s="12">
        <f>BC$4 * IF(AND(BB$4=1,AZ$20=1), BM86, BK86)</f>
        <v>0</v>
      </c>
      <c r="BD86" s="12">
        <f>BD$4 * IF(AND(BC$4=1,AZ$20=1), BM86, BK86)</f>
        <v>0</v>
      </c>
      <c r="BE86" s="12">
        <f>BE$4 * IF(AND(BD$4=1,AZ$20=1), BM86, BK86)</f>
        <v>0</v>
      </c>
      <c r="BF86" s="12">
        <f>BF$4 * IF(AND(BE$4=1,AZ$20=1), BM86, BK86)</f>
        <v>0</v>
      </c>
      <c r="BG86" s="12">
        <f>BG$4 * IF(AND(BF$4=1,AZ$20=1), BM86, BK86)</f>
        <v>0</v>
      </c>
      <c r="BH86" s="12">
        <f>BH$4 * IF(AND(BG$4=1,AZ$20=1), BM86, BK86)</f>
        <v>0</v>
      </c>
      <c r="BJ86" s="16" t="s">
        <v>1304</v>
      </c>
      <c r="BK86">
        <f>_xlfn.XLOOKUP(BJ86,'KPI Impacts'!$B$2:$H$2,'KPI Impacts'!$B86:$H86)</f>
        <v>0</v>
      </c>
      <c r="BL86" s="35" t="s">
        <v>1304</v>
      </c>
      <c r="BM86">
        <f>_xlfn.XLOOKUP(BL86,'KPI Impacts'!$B$2:$H$2,'KPI Impacts'!$B86:$H86)</f>
        <v>0</v>
      </c>
      <c r="BO86" s="17"/>
      <c r="BP86" s="12">
        <f>BP$4*CA86</f>
        <v>0</v>
      </c>
      <c r="BQ86" s="12">
        <f>BQ$4 * IF(AND(BP$4=1,BP$20=1), CC86, CA86)</f>
        <v>0</v>
      </c>
      <c r="BR86" s="12">
        <f>BR$4 * IF(AND(BQ$4=1,BP$20=1), CC86, CA86)</f>
        <v>0</v>
      </c>
      <c r="BS86" s="12">
        <f>BS$4 * IF(AND(BR$4=1,BP$20=1), CC86, CA86)</f>
        <v>0</v>
      </c>
      <c r="BT86" s="12">
        <f>BT$4 * IF(AND(BS$4=1,BP$20=1), CC86, CA86)</f>
        <v>0</v>
      </c>
      <c r="BU86" s="12">
        <f>BU$4 * IF(AND(BT$4=1,BP$20=1), CC86, CA86)</f>
        <v>0</v>
      </c>
      <c r="BV86" s="12">
        <f>BV$4 * IF(AND(BU$4=1,BP$20=1), CC86, CA86)</f>
        <v>0</v>
      </c>
      <c r="BW86" s="12">
        <f>BW$4 * IF(AND(BV$4=1,BP$20=1), CC86, CA86)</f>
        <v>0</v>
      </c>
      <c r="BX86" s="12">
        <f>BX$4 * IF(AND(BW$4=1,BP$20=1), CC86, CA86)</f>
        <v>0</v>
      </c>
      <c r="BZ86" s="16" t="s">
        <v>1304</v>
      </c>
      <c r="CA86">
        <f>_xlfn.XLOOKUP(BZ86,'KPI Impacts'!$B$2:$H$2,'KPI Impacts'!$B86:$H86)</f>
        <v>0</v>
      </c>
      <c r="CB86" s="9" t="s">
        <v>1304</v>
      </c>
      <c r="CC86">
        <f>_xlfn.XLOOKUP(CB86,'KPI Impacts'!$B$2:$H$2,'KPI Impacts'!$B86:$H86)</f>
        <v>0</v>
      </c>
      <c r="CE86" s="17"/>
      <c r="CF86" s="12">
        <f>CF$4*CQ86</f>
        <v>0</v>
      </c>
      <c r="CG86" s="12">
        <f>CG$4 * IF(AND(CF$4=1,CF$20=1), CS86, CQ86)</f>
        <v>0</v>
      </c>
      <c r="CH86" s="12">
        <f>CH$4 * IF(AND(CG$4=1,CF$20=1), CS86, CQ86)</f>
        <v>0</v>
      </c>
      <c r="CI86" s="12">
        <f>CI$4 * IF(AND(CH$4=1,CF$20=1), CS86, CQ86)</f>
        <v>0</v>
      </c>
      <c r="CJ86" s="12">
        <f>CJ$4 * IF(AND(CI$4=1,CF$20=1), CS86, CQ86)</f>
        <v>0</v>
      </c>
      <c r="CK86" s="12">
        <f>CK$4 * IF(AND(CJ$4=1,CF$20=1), CS86, CQ86)</f>
        <v>0</v>
      </c>
      <c r="CL86" s="12">
        <f>CL$4 * IF(AND(CK$4=1,CF$20=1), CS86, CQ86)</f>
        <v>0</v>
      </c>
      <c r="CM86" s="12">
        <f>CM$4 * IF(AND(CL$4=1,CF$20=1), CS86, CQ86)</f>
        <v>0</v>
      </c>
      <c r="CN86" s="12">
        <f>CN$4 * IF(AND(CM$4=1,CF$20=1), CS86, CQ86)</f>
        <v>0</v>
      </c>
      <c r="CP86" s="16" t="s">
        <v>1304</v>
      </c>
      <c r="CQ86">
        <f>_xlfn.XLOOKUP(CP86,'KPI Impacts'!$B$2:$H$2,'KPI Impacts'!$B86:$H86)</f>
        <v>0</v>
      </c>
      <c r="CR86" s="35" t="s">
        <v>1304</v>
      </c>
      <c r="CS86">
        <f>_xlfn.XLOOKUP(CR86,'KPI Impacts'!$B$2:$H$2,'KPI Impacts'!$B86:$H86)</f>
        <v>0</v>
      </c>
      <c r="CU86" s="17"/>
      <c r="CV86" s="12">
        <f>CV$4*DG86</f>
        <v>0</v>
      </c>
      <c r="CW86" s="12">
        <f>CW$4 * IF(AND(CV$4=1,CV$20=1), DI86, DG86)</f>
        <v>0</v>
      </c>
      <c r="CX86" s="12">
        <f>CX$4 * IF(AND(CW$4=1,CV$20=1), DI86, DG86)</f>
        <v>0</v>
      </c>
      <c r="CY86" s="12">
        <f>CY$4 * IF(AND(CX$4=1,CV$20=1), DI86, DG86)</f>
        <v>0</v>
      </c>
      <c r="CZ86" s="12">
        <f>CZ$4 * IF(AND(CY$4=1,CV$20=1), DI86, DG86)</f>
        <v>0</v>
      </c>
      <c r="DA86" s="12">
        <f>DA$4 * IF(AND(CZ$4=1,CV$20=1), DI86, DG86)</f>
        <v>0</v>
      </c>
      <c r="DB86" s="12">
        <f>DB$4 * IF(AND(DA$4=1,CV$20=1), DI86, DG86)</f>
        <v>0</v>
      </c>
      <c r="DC86" s="12">
        <f>DC$4 * IF(AND(DB$4=1,CV$20=1), DI86, DG86)</f>
        <v>0</v>
      </c>
      <c r="DD86" s="12">
        <f>DD$4 * IF(AND(DC$4=1,CV$20=1), DI86, DG86)</f>
        <v>0</v>
      </c>
      <c r="DF86" s="16" t="s">
        <v>1304</v>
      </c>
      <c r="DG86">
        <f>_xlfn.XLOOKUP(DF86,'KPI Impacts'!$B$2:$H$2,'KPI Impacts'!$B86:$H86)</f>
        <v>0</v>
      </c>
      <c r="DH86" s="35" t="s">
        <v>1304</v>
      </c>
      <c r="DI86">
        <f>_xlfn.XLOOKUP(DH86,'KPI Impacts'!$B$2:$H$2,'KPI Impacts'!$B86:$H86)</f>
        <v>0</v>
      </c>
      <c r="DK86" s="17"/>
      <c r="DL86" s="12">
        <f>DL$4*DW86</f>
        <v>0</v>
      </c>
      <c r="DM86" s="12">
        <f>DM$4 * IF(AND(DL$4=1,DL$20=1), DY86, DW86)</f>
        <v>0</v>
      </c>
      <c r="DN86" s="12">
        <f>DN$4 * IF(AND(DM$4=1,DL$20=1), DY86, DW86)</f>
        <v>0</v>
      </c>
      <c r="DO86" s="12">
        <f>DO$4 * IF(AND(DN$4=1,DL$20=1), DY86, DW86)</f>
        <v>0</v>
      </c>
      <c r="DP86" s="12">
        <f>DP$4 * IF(AND(DO$4=1,DL$20=1), DY86, DW86)</f>
        <v>0</v>
      </c>
      <c r="DQ86" s="12">
        <f>DQ$4 * IF(AND(DP$4=1,DL$20=1), DY86, DW86)</f>
        <v>0</v>
      </c>
      <c r="DR86" s="12">
        <f>DR$4 * IF(AND(DQ$4=1,DL$20=1), DY86, DW86)</f>
        <v>0</v>
      </c>
      <c r="DS86" s="12">
        <f>DS$4 * IF(AND(DR$4=1,DL$20=1), DY86, DW86)</f>
        <v>0</v>
      </c>
      <c r="DT86" s="12">
        <f>DT$4 * IF(AND(DS$4=1,DL$20=1), DY86, DW86)</f>
        <v>0</v>
      </c>
      <c r="DV86" s="16" t="s">
        <v>1304</v>
      </c>
      <c r="DW86">
        <f>_xlfn.XLOOKUP(DV86,'KPI Impacts'!$B$2:$H$2,'KPI Impacts'!$B86:$H86)</f>
        <v>0</v>
      </c>
      <c r="DX86" s="35" t="s">
        <v>1304</v>
      </c>
      <c r="DY86">
        <f>_xlfn.XLOOKUP(DX86,'KPI Impacts'!$B$2:$H$2,'KPI Impacts'!$B86:$H86)</f>
        <v>0</v>
      </c>
      <c r="EA86" s="17"/>
      <c r="EB86" s="12">
        <f>EB$4*EM86</f>
        <v>0</v>
      </c>
      <c r="EC86" s="12">
        <f>EC$4 * IF(AND(EB$4=1,EB$20=1), EO86, EM86)</f>
        <v>0</v>
      </c>
      <c r="ED86" s="12">
        <f>ED$4 * IF(AND(EC$4=1,EB$20=1), EO86, EM86)</f>
        <v>0</v>
      </c>
      <c r="EE86" s="12">
        <f>EE$4 * IF(AND(ED$4=1,EB$20=1), EO86, EM86)</f>
        <v>0</v>
      </c>
      <c r="EF86" s="12">
        <f>EF$4 * IF(AND(EE$4=1,EB$20=1), EO86, EM86)</f>
        <v>0</v>
      </c>
      <c r="EG86" s="12">
        <f>EG$4 * IF(AND(EF$4=1,EB$20=1), EO86, EM86)</f>
        <v>0</v>
      </c>
      <c r="EH86" s="12">
        <f>EH$4 * IF(AND(EG$4=1,EB$20=1), EO86, EM86)</f>
        <v>0</v>
      </c>
      <c r="EI86" s="12">
        <f>EI$4 * IF(AND(EH$4=1,EB$20=1), EO86, EM86)</f>
        <v>0</v>
      </c>
      <c r="EJ86" s="12">
        <f>EJ$4 * IF(AND(EI$4=1,EB$20=1), EO86, EM86)</f>
        <v>0</v>
      </c>
      <c r="EL86" s="16" t="s">
        <v>1304</v>
      </c>
      <c r="EM86">
        <f>_xlfn.XLOOKUP(EL86,'KPI Impacts'!$B$2:$H$2,'KPI Impacts'!$B86:$H86)</f>
        <v>0</v>
      </c>
      <c r="EN86" s="35" t="s">
        <v>1304</v>
      </c>
      <c r="EO86">
        <f>_xlfn.XLOOKUP(EN86,'KPI Impacts'!$B$2:$H$2,'KPI Impacts'!$B86:$H86)</f>
        <v>0</v>
      </c>
      <c r="EQ86" s="17"/>
      <c r="ER86" s="12">
        <f>ER$4*FC86</f>
        <v>0</v>
      </c>
      <c r="ES86" s="12">
        <f>ES$4 * IF(AND(ER$4=1,ER$20=1), FE86, FC86)</f>
        <v>0</v>
      </c>
      <c r="ET86" s="12">
        <f>ET$4 * IF(AND(ES$4=1,ER$20=1), FE86, FC86)</f>
        <v>0</v>
      </c>
      <c r="EU86" s="12">
        <f>EU$4 * IF(AND(ET$4=1,ER$20=1), FE86, FC86)</f>
        <v>0</v>
      </c>
      <c r="EV86" s="12">
        <f>EV$4 * IF(AND(EU$4=1,ER$20=1), FE86, FC86)</f>
        <v>0</v>
      </c>
      <c r="EW86" s="12">
        <f>EW$4 * IF(AND(EV$4=1,ER$20=1), FE86, FC86)</f>
        <v>0</v>
      </c>
      <c r="EX86" s="12">
        <f>EX$4 * IF(AND(EW$4=1,ER$20=1), FE86, FC86)</f>
        <v>0</v>
      </c>
      <c r="EY86" s="12">
        <f>EY$4 * IF(AND(EX$4=1,ER$20=1), FE86, FC86)</f>
        <v>0</v>
      </c>
      <c r="EZ86" s="12">
        <f>EZ$4 * IF(AND(EY$4=1,ER$20=1), FE86, FC86)</f>
        <v>0</v>
      </c>
      <c r="FB86" s="16" t="s">
        <v>1304</v>
      </c>
      <c r="FC86">
        <f>_xlfn.XLOOKUP(FB86,'KPI Impacts'!$B$2:$H$2,'KPI Impacts'!$B86:$H86)</f>
        <v>0</v>
      </c>
      <c r="FD86" s="35" t="s">
        <v>1304</v>
      </c>
      <c r="FE86">
        <f>_xlfn.XLOOKUP(FD86,'KPI Impacts'!$B$2:$H$2,'KPI Impacts'!$B86:$H86)</f>
        <v>0</v>
      </c>
      <c r="FG86" s="17"/>
      <c r="FH86" s="12">
        <f>FH$4*FS86</f>
        <v>0</v>
      </c>
      <c r="FI86" s="12">
        <f>FI$4 * IF(AND(FH$4=1,FH$20=1), FU86, FS86)</f>
        <v>0</v>
      </c>
      <c r="FJ86" s="12">
        <f>FJ$4 * IF(AND(FI$4=1,FH$20=1), FU86, FS86)</f>
        <v>0</v>
      </c>
      <c r="FK86" s="12">
        <f>FK$4 * IF(AND(FJ$4=1,FH$20=1), FU86, FS86)</f>
        <v>0</v>
      </c>
      <c r="FL86" s="12">
        <f>FL$4 * IF(AND(FK$4=1,FH$20=1), FU86, FS86)</f>
        <v>0</v>
      </c>
      <c r="FM86" s="12">
        <f>FM$4 * IF(AND(FL$4=1,FH$20=1), FU86, FS86)</f>
        <v>0</v>
      </c>
      <c r="FN86" s="12">
        <f>FN$4 * IF(AND(FM$4=1,FH$20=1), FU86, FS86)</f>
        <v>0</v>
      </c>
      <c r="FO86" s="12">
        <f>FO$4 * IF(AND(FN$4=1,FH$20=1), FU86, FS86)</f>
        <v>0</v>
      </c>
      <c r="FP86" s="12">
        <f>FP$4 * IF(AND(FO$4=1,FH$20=1), FU86, FS86)</f>
        <v>0</v>
      </c>
      <c r="FR86" s="16" t="s">
        <v>1304</v>
      </c>
      <c r="FS86">
        <f>_xlfn.XLOOKUP(FR86,'KPI Impacts'!$B$2:$H$2,'KPI Impacts'!$B86:$H86)</f>
        <v>0</v>
      </c>
      <c r="FT86" s="35" t="s">
        <v>1304</v>
      </c>
      <c r="FU86">
        <f>_xlfn.XLOOKUP(FT86,'KPI Impacts'!$B$2:$H$2,'KPI Impacts'!$B86:$H86)</f>
        <v>0</v>
      </c>
      <c r="FW86" s="17"/>
      <c r="FX86" s="12">
        <f>FX$4*GI86</f>
        <v>0</v>
      </c>
      <c r="FY86" s="12">
        <f>FY$4 * IF(AND(FX$4=1,FX$20=1), GK86, GI86)</f>
        <v>0</v>
      </c>
      <c r="FZ86" s="12">
        <f>FZ$4 * IF(AND(FY$4=1,FX$20=1), GK86, GI86)</f>
        <v>0</v>
      </c>
      <c r="GA86" s="12">
        <f>GA$4 * IF(AND(FZ$4=1,FX$20=1), GK86, GI86)</f>
        <v>0</v>
      </c>
      <c r="GB86" s="12">
        <f>GB$4 * IF(AND(GA$4=1,FX$20=1), GK86, GI86)</f>
        <v>0</v>
      </c>
      <c r="GC86" s="12">
        <f>GC$4 * IF(AND(GB$4=1,FX$20=1), GK86, GI86)</f>
        <v>0</v>
      </c>
      <c r="GD86" s="12">
        <f>GD$4 * IF(AND(GC$4=1,FX$20=1), GK86, GI86)</f>
        <v>0</v>
      </c>
      <c r="GE86" s="12">
        <f>GE$4 * IF(AND(GD$4=1,FX$20=1), GK86, GI86)</f>
        <v>0</v>
      </c>
      <c r="GF86" s="12">
        <f>GF$4 * IF(AND(GE$4=1,FX$20=1), GK86, GI86)</f>
        <v>0</v>
      </c>
      <c r="GH86" s="16" t="s">
        <v>1304</v>
      </c>
      <c r="GI86">
        <f>_xlfn.XLOOKUP(GH86,'KPI Impacts'!$B$2:$H$2,'KPI Impacts'!$B86:$H86)</f>
        <v>0</v>
      </c>
      <c r="GJ86" s="35" t="s">
        <v>1304</v>
      </c>
      <c r="GK86">
        <f>_xlfn.XLOOKUP(GJ86,'KPI Impacts'!$B$2:$H$2,'KPI Impacts'!$B86:$H86)</f>
        <v>0</v>
      </c>
      <c r="GN86" s="12">
        <f>GN$4*GY86</f>
        <v>0</v>
      </c>
      <c r="GO86" s="12">
        <f>GO$4 * IF(AND(GN$4=1,GN$20=1), HA86, GY86)</f>
        <v>0</v>
      </c>
      <c r="GP86" s="12">
        <f>GP$4 * IF(AND(GO$4=1,GN$20=1), HA86, GY86)</f>
        <v>0</v>
      </c>
      <c r="GQ86" s="12">
        <f>GQ$4 * IF(AND(GP$4=1,GN$20=1), HA86, GY86)</f>
        <v>0</v>
      </c>
      <c r="GR86" s="12">
        <f>GR$4 * IF(AND(GQ$4=1,GN$20=1), HA86, GY86)</f>
        <v>0</v>
      </c>
      <c r="GS86" s="12">
        <f>GS$4 * IF(AND(GR$4=1,GN$20=1), HA86, GY86)</f>
        <v>0</v>
      </c>
      <c r="GT86" s="12">
        <f>GT$4 * IF(AND(GS$4=1,GN$20=1), HA86, GY86)</f>
        <v>0</v>
      </c>
      <c r="GU86" s="12">
        <f>GU$4 * IF(AND(GT$4=1,GN$20=1), HA86, GY86)</f>
        <v>0</v>
      </c>
      <c r="GV86" s="12">
        <f>GV$4 * IF(AND(GU$4=1,GN$20=1), HA86, GY86)</f>
        <v>0</v>
      </c>
      <c r="GX86" s="16" t="s">
        <v>1304</v>
      </c>
      <c r="GY86">
        <f>_xlfn.XLOOKUP(GX86,'KPI Impacts'!$B$2:$H$2,'KPI Impacts'!$B86:$H86)</f>
        <v>0</v>
      </c>
      <c r="GZ86" s="35" t="s">
        <v>1304</v>
      </c>
      <c r="HA86">
        <f>_xlfn.XLOOKUP(GZ86,'KPI Impacts'!$B$2:$H$2,'KPI Impacts'!$B86:$H86)</f>
        <v>0</v>
      </c>
      <c r="HD86" s="12">
        <f>HD$4*HO86</f>
        <v>0</v>
      </c>
      <c r="HE86" s="12">
        <f>HE$4 * IF(AND(HD$4=1,HD$20=1), HQ86, HO86)</f>
        <v>0</v>
      </c>
      <c r="HF86" s="12">
        <f>HF$4 * IF(AND(HE$4=1,HD$20=1), HQ86, HO86)</f>
        <v>0</v>
      </c>
      <c r="HG86" s="12">
        <f>HG$4 * IF(AND(HF$4=1,HD$20=1), HQ86, HO86)</f>
        <v>0</v>
      </c>
      <c r="HH86" s="12">
        <f>HH$4 * IF(AND(HG$4=1,HD$20=1), HQ86, HO86)</f>
        <v>0</v>
      </c>
      <c r="HI86" s="12">
        <f>HI$4 * IF(AND(HH$4=1,HD$20=1), HQ86, HO86)</f>
        <v>0</v>
      </c>
      <c r="HJ86" s="12">
        <f>HJ$4 * IF(AND(HI$4=1,HD$20=1), HQ86, HO86)</f>
        <v>0</v>
      </c>
      <c r="HK86" s="12">
        <f>HK$4 * IF(AND(HJ$4=1,HD$20=1), HQ86, HO86)</f>
        <v>0</v>
      </c>
      <c r="HL86" s="12">
        <f>HL$4 * IF(AND(HK$4=1,HD$20=1), HQ86, HO86)</f>
        <v>0</v>
      </c>
      <c r="HN86" s="16" t="s">
        <v>1304</v>
      </c>
      <c r="HO86">
        <f>_xlfn.XLOOKUP(HN86,'KPI Impacts'!$B$2:$H$2,'KPI Impacts'!$B86:$H86)</f>
        <v>0</v>
      </c>
      <c r="HP86" s="35" t="s">
        <v>1304</v>
      </c>
      <c r="HQ86">
        <f>_xlfn.XLOOKUP(HP86,'KPI Impacts'!$B$2:$H$2,'KPI Impacts'!$B86:$H86)</f>
        <v>0</v>
      </c>
      <c r="HT86" s="12">
        <f>HT$4*IE86</f>
        <v>0</v>
      </c>
      <c r="HU86" s="12">
        <f>HU$4 * IF(AND(HT$4=1,HT$20=1), IG86, IE86)</f>
        <v>0</v>
      </c>
      <c r="HV86" s="12">
        <f>HV$4 * IF(AND(HU$4=1,HT$20=1), IG86, IE86)</f>
        <v>0</v>
      </c>
      <c r="HW86" s="12">
        <f>HW$4 * IF(AND(HV$4=1,HT$20=1), IG86, IE86)</f>
        <v>0</v>
      </c>
      <c r="HX86" s="12">
        <f>HX$4 * IF(AND(HW$4=1,HT$20=1), IG86, IE86)</f>
        <v>0</v>
      </c>
      <c r="HY86" s="12">
        <f>HY$4 * IF(AND(HX$4=1,HT$20=1), IG86, IE86)</f>
        <v>0</v>
      </c>
      <c r="HZ86" s="12">
        <f>HZ$4 * IF(AND(HY$4=1,HT$20=1), IG86, IE86)</f>
        <v>0</v>
      </c>
      <c r="IA86" s="12">
        <f>IA$4 * IF(AND(HZ$4=1,HT$20=1), IG86, IE86)</f>
        <v>0</v>
      </c>
      <c r="IB86" s="12">
        <f>IB$4 * IF(AND(IA$4=1,HT$20=1), IG86, IE86)</f>
        <v>0</v>
      </c>
      <c r="ID86" s="16" t="s">
        <v>1304</v>
      </c>
      <c r="IE86">
        <f>_xlfn.XLOOKUP(ID86,'KPI Impacts'!$B$2:$H$2,'KPI Impacts'!$B86:$H86)</f>
        <v>0</v>
      </c>
      <c r="IF86" s="35" t="s">
        <v>1304</v>
      </c>
      <c r="IG86">
        <f>_xlfn.XLOOKUP(IF86,'KPI Impacts'!$B$2:$H$2,'KPI Impacts'!$B86:$H86)</f>
        <v>0</v>
      </c>
      <c r="IJ86" s="12">
        <f>IJ$4*IU86</f>
        <v>0</v>
      </c>
      <c r="IK86" s="12">
        <f>IK$4 * IF(AND(IJ$4=1,IJ$20=1), IW86, IU86)</f>
        <v>0</v>
      </c>
      <c r="IL86" s="12">
        <f>IL$4 * IF(AND(IK$4=1,IJ$20=1), IW86, IU86)</f>
        <v>0</v>
      </c>
      <c r="IM86" s="12">
        <f>IM$4 * IF(AND(IL$4=1,IJ$20=1), IW86, IU86)</f>
        <v>0</v>
      </c>
      <c r="IN86" s="12">
        <f>IN$4 * IF(AND(IM$4=1,IJ$20=1), IW86, IU86)</f>
        <v>0</v>
      </c>
      <c r="IO86" s="12">
        <f>IO$4 * IF(AND(IN$4=1,IJ$20=1), IW86, IU86)</f>
        <v>0</v>
      </c>
      <c r="IP86" s="12">
        <f>IP$4 * IF(AND(IO$4=1,IJ$20=1), IW86, IU86)</f>
        <v>0</v>
      </c>
      <c r="IQ86" s="12">
        <f>IQ$4 * IF(AND(IP$4=1,IJ$20=1), IW86, IU86)</f>
        <v>0</v>
      </c>
      <c r="IR86" s="12">
        <f>IR$4 * IF(AND(IQ$4=1,IJ$20=1), IW86, IU86)</f>
        <v>0</v>
      </c>
      <c r="IT86" s="16" t="s">
        <v>1304</v>
      </c>
      <c r="IU86">
        <f>_xlfn.XLOOKUP(IT86,'KPI Impacts'!$B$2:$H$2,'KPI Impacts'!$B86:$H86)</f>
        <v>0</v>
      </c>
      <c r="IV86" s="35" t="s">
        <v>1304</v>
      </c>
      <c r="IW86">
        <f>_xlfn.XLOOKUP(IV86,'KPI Impacts'!$B$2:$H$2,'KPI Impacts'!$B86:$H86)</f>
        <v>0</v>
      </c>
      <c r="IZ86" s="12">
        <f>IZ$4*JK86</f>
        <v>0</v>
      </c>
      <c r="JA86" s="12">
        <f>JA$4 * IF(AND(IZ$4=1,IZ$20=1), JM86, JK86)</f>
        <v>0</v>
      </c>
      <c r="JB86" s="12">
        <f>JB$4 * IF(AND(JA$4=1,IZ$20=1), JM86, JK86)</f>
        <v>0</v>
      </c>
      <c r="JC86" s="12">
        <f>JC$4 * IF(AND(JB$4=1,IZ$20=1), JM86, JK86)</f>
        <v>0</v>
      </c>
      <c r="JD86" s="12">
        <f>JD$4 * IF(AND(JC$4=1,IZ$20=1), JM86, JK86)</f>
        <v>0</v>
      </c>
      <c r="JE86" s="12">
        <f>JE$4 * IF(AND(JD$4=1,IZ$20=1), JM86, JK86)</f>
        <v>0</v>
      </c>
      <c r="JF86" s="12">
        <f>JF$4 * IF(AND(JE$4=1,IZ$20=1), JM86, JK86)</f>
        <v>0</v>
      </c>
      <c r="JG86" s="12">
        <f>JG$4 * IF(AND(JF$4=1,IZ$20=1), JM86, JK86)</f>
        <v>0</v>
      </c>
      <c r="JH86" s="12">
        <f>JH$4 * IF(AND(JG$4=1,IZ$20=1), JM86, JK86)</f>
        <v>0</v>
      </c>
      <c r="JJ86" t="s">
        <v>1304</v>
      </c>
      <c r="JK86">
        <f>_xlfn.XLOOKUP(JJ86,'KPI Impacts'!$B$2:$H$2,'KPI Impacts'!$B86:$H86)</f>
        <v>0</v>
      </c>
      <c r="JL86" s="9" t="s">
        <v>1304</v>
      </c>
      <c r="JM86">
        <f>_xlfn.XLOOKUP(JL86,'KPI Impacts'!$B$2:$H$2,'KPI Impacts'!$B86:$H86)</f>
        <v>0</v>
      </c>
      <c r="JP86" s="12">
        <f>JP$4*KA86</f>
        <v>0</v>
      </c>
      <c r="JQ86" s="12">
        <f>JQ$4 * IF(AND(JP$4=1,JP$20=1), KC86, KA86)</f>
        <v>0</v>
      </c>
      <c r="JR86" s="12">
        <f>JR$4 * IF(AND(JQ$4=1,JP$20=1), KC86, KA86)</f>
        <v>0</v>
      </c>
      <c r="JS86" s="12">
        <f>JS$4 * IF(AND(JR$4=1,JP$20=1), KC86, KA86)</f>
        <v>0</v>
      </c>
      <c r="JT86" s="12">
        <f>JT$4 * IF(AND(JS$4=1,JP$20=1), KC86, KA86)</f>
        <v>0</v>
      </c>
      <c r="JU86" s="12">
        <f>JU$4 * IF(AND(JT$4=1,JP$20=1), KC86, KA86)</f>
        <v>0</v>
      </c>
      <c r="JV86" s="12">
        <f>JV$4 * IF(AND(JU$4=1,JP$20=1), KC86, KA86)</f>
        <v>0</v>
      </c>
      <c r="JW86" s="12">
        <f>JW$4 * IF(AND(JV$4=1,JP$20=1), KC86, KA86)</f>
        <v>0</v>
      </c>
      <c r="JX86" s="12">
        <f>JX$4 * IF(AND(JW$4=1,JP$20=1), KC86, KA86)</f>
        <v>0</v>
      </c>
      <c r="JZ86" t="s">
        <v>1304</v>
      </c>
      <c r="KA86">
        <f>_xlfn.XLOOKUP(JZ86,'KPI Impacts'!$B$2:$H$2,'KPI Impacts'!$B86:$H86)</f>
        <v>0</v>
      </c>
      <c r="KB86" s="9" t="s">
        <v>1304</v>
      </c>
      <c r="KC86">
        <f>_xlfn.XLOOKUP(KB86,'KPI Impacts'!$B$2:$H$2,'KPI Impacts'!$B86:$H86)</f>
        <v>0</v>
      </c>
      <c r="KF86" s="12">
        <f>KF$4*KQ86</f>
        <v>0</v>
      </c>
      <c r="KG86" s="12">
        <f>KG$4 * IF(AND(KF$4=1,KF$20=1), KS86, KQ86)</f>
        <v>0</v>
      </c>
      <c r="KH86" s="12">
        <f>KH$4 * IF(AND(KG$4=1,KF$20=1), KS86, KQ86)</f>
        <v>0</v>
      </c>
      <c r="KI86" s="12">
        <f>KI$4 * IF(AND(KH$4=1,KF$20=1), KS86, KQ86)</f>
        <v>0</v>
      </c>
      <c r="KJ86" s="12">
        <f>KJ$4 * IF(AND(KI$4=1,KF$20=1), KS86, KQ86)</f>
        <v>0</v>
      </c>
      <c r="KK86" s="12">
        <f>KK$4 * IF(AND(KJ$4=1,KF$20=1), KS86, KQ86)</f>
        <v>0</v>
      </c>
      <c r="KL86" s="12">
        <f>KL$4 * IF(AND(KK$4=1,KF$20=1), KS86, KQ86)</f>
        <v>0</v>
      </c>
      <c r="KM86" s="12">
        <f>KM$4 * IF(AND(KL$4=1,KF$20=1), KS86, KQ86)</f>
        <v>0</v>
      </c>
      <c r="KN86" s="12">
        <f>KN$4 * IF(AND(KM$4=1,KF$20=1), KS86, KQ86)</f>
        <v>0</v>
      </c>
      <c r="KP86" t="s">
        <v>1304</v>
      </c>
      <c r="KQ86">
        <f>_xlfn.XLOOKUP(KP86,'KPI Impacts'!$B$2:$H$2,'KPI Impacts'!$B86:$H86)</f>
        <v>0</v>
      </c>
      <c r="KR86" s="9" t="s">
        <v>1304</v>
      </c>
      <c r="KS86">
        <f>_xlfn.XLOOKUP(KR86,'KPI Impacts'!$B$2:$H$2,'KPI Impacts'!$B86:$H86)</f>
        <v>0</v>
      </c>
      <c r="KV86" s="12">
        <f>KV$4*LG86</f>
        <v>0</v>
      </c>
      <c r="KW86" s="12">
        <f>KW$4 * IF(AND(KV$4=1,KV$20=1), LI86, LG86)</f>
        <v>0</v>
      </c>
      <c r="KX86" s="12">
        <f>KX$4 * IF(AND(KW$4=1,KV$20=1), LI86, LG86)</f>
        <v>0</v>
      </c>
      <c r="KY86" s="12">
        <f>KY$4 * IF(AND(KX$4=1,KV$20=1), LI86, LG86)</f>
        <v>0</v>
      </c>
      <c r="KZ86" s="12">
        <f>KZ$4 * IF(AND(KY$4=1,KV$20=1), LI86, LG86)</f>
        <v>0</v>
      </c>
      <c r="LA86" s="12">
        <f>LA$4 * IF(AND(KZ$4=1,KV$20=1), LI86, LG86)</f>
        <v>0</v>
      </c>
      <c r="LB86" s="12">
        <f>LB$4 * IF(AND(LA$4=1,KV$20=1), LI86, LG86)</f>
        <v>0</v>
      </c>
      <c r="LC86" s="12">
        <f>LC$4 * IF(AND(LB$4=1,KV$20=1), LI86, LG86)</f>
        <v>0</v>
      </c>
      <c r="LD86" s="12">
        <f>LD$4 * IF(AND(LC$4=1,KV$20=1), LI86, LG86)</f>
        <v>0</v>
      </c>
      <c r="LF86" t="s">
        <v>1304</v>
      </c>
      <c r="LG86">
        <f>_xlfn.XLOOKUP(LF86,'KPI Impacts'!$B$2:$H$2,'KPI Impacts'!$B86:$H86)</f>
        <v>0</v>
      </c>
      <c r="LH86" s="9" t="s">
        <v>1304</v>
      </c>
      <c r="LI86">
        <f>_xlfn.XLOOKUP(LH86,'KPI Impacts'!$B$2:$H$2,'KPI Impacts'!$B86:$H86)</f>
        <v>0</v>
      </c>
      <c r="LL86" s="12">
        <f>LL$4*LW86</f>
        <v>0</v>
      </c>
      <c r="LM86" s="12">
        <f>LM$4 * IF(AND(LL$4=1,LL$20=1), LY86, LW86)</f>
        <v>0</v>
      </c>
      <c r="LN86" s="12">
        <f>LN$4 * IF(AND(LM$4=1,LL$20=1), LY86, LW86)</f>
        <v>0</v>
      </c>
      <c r="LO86" s="12">
        <f>LO$4 * IF(AND(LN$4=1,LL$20=1), LY86, LW86)</f>
        <v>0</v>
      </c>
      <c r="LP86" s="12">
        <f>LP$4 * IF(AND(LO$4=1,LL$20=1), LY86, LW86)</f>
        <v>0</v>
      </c>
      <c r="LQ86" s="12">
        <f>LQ$4 * IF(AND(LP$4=1,LL$20=1), LY86, LW86)</f>
        <v>0</v>
      </c>
      <c r="LR86" s="12">
        <f>LR$4 * IF(AND(LQ$4=1,LL$20=1), LY86, LW86)</f>
        <v>0</v>
      </c>
      <c r="LS86" s="12">
        <f>LS$4 * IF(AND(LR$4=1,LL$20=1), LY86, LW86)</f>
        <v>0</v>
      </c>
      <c r="LT86" s="12">
        <f>LT$4 * IF(AND(LS$4=1,LL$20=1), LY86, LW86)</f>
        <v>0</v>
      </c>
      <c r="LV86" t="s">
        <v>1304</v>
      </c>
      <c r="LW86">
        <f>_xlfn.XLOOKUP(LV86,'KPI Impacts'!$B$2:$H$2,'KPI Impacts'!$B86:$H86)</f>
        <v>0</v>
      </c>
      <c r="LX86" s="9" t="s">
        <v>1304</v>
      </c>
      <c r="LY86">
        <f>_xlfn.XLOOKUP(LX86,'KPI Impacts'!$B$2:$H$2,'KPI Impacts'!$B86:$H86)</f>
        <v>0</v>
      </c>
      <c r="MB86" s="12">
        <f>MB$4*MM86</f>
        <v>0</v>
      </c>
      <c r="MC86" s="12">
        <f>MC$4 * IF(AND(MB$4=1,MB$20=1), MO86, MM86)</f>
        <v>0</v>
      </c>
      <c r="MD86" s="12">
        <f>MD$4 * IF(AND(MC$4=1,MB$20=1), MO86, MM86)</f>
        <v>0</v>
      </c>
      <c r="ME86" s="12">
        <f>ME$4 * IF(AND(MD$4=1,MB$20=1), MO86, MM86)</f>
        <v>0</v>
      </c>
      <c r="MF86" s="12">
        <f>MF$4 * IF(AND(ME$4=1,MB$20=1), MO86, MM86)</f>
        <v>0</v>
      </c>
      <c r="MG86" s="12">
        <f>MG$4 * IF(AND(MF$4=1,MB$20=1), MO86, MM86)</f>
        <v>0</v>
      </c>
      <c r="MH86" s="12">
        <f>MH$4 * IF(AND(MG$4=1,MB$20=1), MO86, MM86)</f>
        <v>0</v>
      </c>
      <c r="MI86" s="12">
        <f>MI$4 * IF(AND(MH$4=1,MB$20=1), MO86, MM86)</f>
        <v>0</v>
      </c>
      <c r="MJ86" s="12">
        <f>MJ$4 * IF(AND(MI$4=1,MB$20=1), MO86, MM86)</f>
        <v>0</v>
      </c>
      <c r="ML86" t="s">
        <v>1304</v>
      </c>
      <c r="MM86">
        <f>_xlfn.XLOOKUP(ML86,'KPI Impacts'!$B$2:$H$2,'KPI Impacts'!$B86:$H86)</f>
        <v>0</v>
      </c>
      <c r="MN86" s="9" t="s">
        <v>1304</v>
      </c>
      <c r="MO86">
        <f>_xlfn.XLOOKUP(MN86,'KPI Impacts'!$B$2:$H$2,'KPI Impacts'!$B86:$H86)</f>
        <v>0</v>
      </c>
      <c r="MR86" s="12">
        <f>MR$4*NC86</f>
        <v>0</v>
      </c>
      <c r="MS86" s="12">
        <f>MS$4 * IF(AND(MR$4=1,MR$20=1), NE86, NC86)</f>
        <v>0</v>
      </c>
      <c r="MT86" s="12">
        <f>MT$4 * IF(AND(MS$4=1,MR$20=1), NE86, NC86)</f>
        <v>0</v>
      </c>
      <c r="MU86" s="12">
        <f>MU$4 * IF(AND(MT$4=1,MR$20=1), NE86, NC86)</f>
        <v>0</v>
      </c>
      <c r="MV86" s="12">
        <f>MV$4 * IF(AND(MU$4=1,MR$20=1), NE86, NC86)</f>
        <v>0</v>
      </c>
      <c r="MW86" s="12">
        <f>MW$4 * IF(AND(MV$4=1,MR$20=1), NE86, NC86)</f>
        <v>0</v>
      </c>
      <c r="MX86" s="12">
        <f>MX$4 * IF(AND(MW$4=1,MR$20=1), NE86, NC86)</f>
        <v>0</v>
      </c>
      <c r="MY86" s="12">
        <f>MY$4 * IF(AND(MX$4=1,MR$20=1), NE86, NC86)</f>
        <v>0</v>
      </c>
      <c r="MZ86" s="12">
        <f>MZ$4 * IF(AND(MY$4=1,MR$20=1), NE86, NC86)</f>
        <v>0</v>
      </c>
      <c r="NB86" t="s">
        <v>1304</v>
      </c>
      <c r="NC86">
        <f>_xlfn.XLOOKUP(NB86,'KPI Impacts'!$B$2:$H$2,'KPI Impacts'!$B86:$H86)</f>
        <v>0</v>
      </c>
      <c r="ND86" s="9" t="s">
        <v>1304</v>
      </c>
      <c r="NE86">
        <f>_xlfn.XLOOKUP(ND86,'KPI Impacts'!$B$2:$H$2,'KPI Impacts'!$B86:$H86)</f>
        <v>0</v>
      </c>
      <c r="NH86" s="12">
        <f>NH$4*NS86</f>
        <v>0</v>
      </c>
      <c r="NI86" s="12">
        <f>NI$4 * IF(AND(NH$4=1,NH$20=1), NU86, NS86)</f>
        <v>0</v>
      </c>
      <c r="NJ86" s="12">
        <f>NJ$4 * IF(AND(NI$4=1,NH$20=1), NU86, NS86)</f>
        <v>0</v>
      </c>
      <c r="NK86" s="12">
        <f>NK$4 * IF(AND(NJ$4=1,NH$20=1), NU86, NS86)</f>
        <v>0</v>
      </c>
      <c r="NL86" s="12">
        <f>NL$4 * IF(AND(NK$4=1,NH$20=1), NU86, NS86)</f>
        <v>0</v>
      </c>
      <c r="NM86" s="12">
        <f>NM$4 * IF(AND(NL$4=1,NH$20=1), NU86, NS86)</f>
        <v>0</v>
      </c>
      <c r="NN86" s="12">
        <f>NN$4 * IF(AND(NM$4=1,NH$20=1), NU86, NS86)</f>
        <v>0</v>
      </c>
      <c r="NO86" s="12">
        <f>NO$4 * IF(AND(NN$4=1,NH$20=1), NU86, NS86)</f>
        <v>0</v>
      </c>
      <c r="NP86" s="12">
        <f>NP$4 * IF(AND(NO$4=1,NH$20=1), NU86, NS86)</f>
        <v>0</v>
      </c>
      <c r="NR86" t="s">
        <v>1304</v>
      </c>
      <c r="NS86">
        <f>_xlfn.XLOOKUP(NR86,'KPI Impacts'!$B$2:$H$2,'KPI Impacts'!$B86:$H86)</f>
        <v>0</v>
      </c>
      <c r="NT86" s="9" t="s">
        <v>1304</v>
      </c>
      <c r="NU86">
        <f>_xlfn.XLOOKUP(NT86,'KPI Impacts'!$B$2:$H$2,'KPI Impacts'!$B86:$H86)</f>
        <v>0</v>
      </c>
      <c r="NX86" s="12">
        <f>NX$4*OI86</f>
        <v>0</v>
      </c>
      <c r="NY86" s="12">
        <f>NY$4 * IF(AND(NX$4=1,NX$20=1), OK86, OI86)</f>
        <v>0</v>
      </c>
      <c r="NZ86" s="12">
        <f>NZ$4 * IF(AND(NY$4=1,NX$20=1), OK86, OI86)</f>
        <v>0</v>
      </c>
      <c r="OA86" s="12">
        <f>OA$4 * IF(AND(NZ$4=1,NX$20=1), OK86, OI86)</f>
        <v>0</v>
      </c>
      <c r="OB86" s="12">
        <f>OB$4 * IF(AND(OA$4=1,NX$20=1), OK86, OI86)</f>
        <v>0</v>
      </c>
      <c r="OC86" s="12">
        <f>OC$4 * IF(AND(OB$4=1,NX$20=1), OK86, OI86)</f>
        <v>0</v>
      </c>
      <c r="OD86" s="12">
        <f>OD$4 * IF(AND(OC$4=1,NX$20=1), OK86, OI86)</f>
        <v>0</v>
      </c>
      <c r="OE86" s="12">
        <f>OE$4 * IF(AND(OD$4=1,NX$20=1), OK86, OI86)</f>
        <v>0</v>
      </c>
      <c r="OF86" s="12">
        <f>OF$4 * IF(AND(OE$4=1,NX$20=1), OK86, OI86)</f>
        <v>0</v>
      </c>
      <c r="OH86" t="s">
        <v>1304</v>
      </c>
      <c r="OI86">
        <f>_xlfn.XLOOKUP(OH86,'KPI Impacts'!$B$2:$H$2,'KPI Impacts'!$B86:$H86)</f>
        <v>0</v>
      </c>
      <c r="OJ86" s="9" t="s">
        <v>1304</v>
      </c>
      <c r="OK86">
        <f>_xlfn.XLOOKUP(OJ86,'KPI Impacts'!$B$2:$H$2,'KPI Impacts'!$B86:$H86)</f>
        <v>0</v>
      </c>
    </row>
    <row r="87" spans="1:401" x14ac:dyDescent="0.2">
      <c r="A87" s="9" t="s">
        <v>1294</v>
      </c>
      <c r="B87" s="19" t="s">
        <v>1319</v>
      </c>
      <c r="C87" s="19" t="s">
        <v>1319</v>
      </c>
      <c r="D87" s="19" t="s">
        <v>1319</v>
      </c>
      <c r="E87" s="19" t="s">
        <v>1319</v>
      </c>
      <c r="F87" s="19" t="s">
        <v>1319</v>
      </c>
      <c r="G87" s="19" t="s">
        <v>1319</v>
      </c>
      <c r="H87" s="19" t="s">
        <v>1319</v>
      </c>
      <c r="I87" s="19" t="s">
        <v>1319</v>
      </c>
      <c r="J87" s="19" t="s">
        <v>1319</v>
      </c>
      <c r="M87" s="6"/>
      <c r="N87" s="6"/>
      <c r="O87" s="9"/>
      <c r="P87" s="12"/>
      <c r="Q87" s="12"/>
      <c r="R87" s="12"/>
      <c r="S87" s="12"/>
      <c r="T87" s="12"/>
      <c r="U87" s="12"/>
      <c r="V87" s="12"/>
      <c r="W87" s="12"/>
      <c r="X87" s="12"/>
      <c r="AG87" s="9"/>
      <c r="AH87" s="12"/>
      <c r="AI87" s="12"/>
      <c r="AJ87" s="12"/>
      <c r="AK87" s="12"/>
      <c r="AL87" s="12"/>
      <c r="AM87" s="12"/>
      <c r="AN87" s="12"/>
      <c r="AO87" s="12"/>
      <c r="AP87" s="12"/>
      <c r="AY87" s="17"/>
      <c r="AZ87" s="12"/>
      <c r="BA87" s="12"/>
      <c r="BB87" s="12"/>
      <c r="BC87" s="12"/>
      <c r="BD87" s="12"/>
      <c r="BE87" s="12"/>
      <c r="BF87" s="12"/>
      <c r="BG87" s="12"/>
      <c r="BH87" s="12"/>
      <c r="BJ87" s="16"/>
      <c r="BL87" s="35"/>
      <c r="BO87" s="17"/>
      <c r="BP87" s="12"/>
      <c r="BQ87" s="12"/>
      <c r="BR87" s="12"/>
      <c r="BS87" s="12"/>
      <c r="BT87" s="12"/>
      <c r="BU87" s="12"/>
      <c r="BV87" s="12"/>
      <c r="BW87" s="12"/>
      <c r="BX87" s="12"/>
      <c r="BZ87" s="16"/>
      <c r="CB87" s="9"/>
      <c r="CE87" s="17"/>
      <c r="CF87" s="12"/>
      <c r="CG87" s="12"/>
      <c r="CH87" s="12"/>
      <c r="CI87" s="12"/>
      <c r="CJ87" s="12"/>
      <c r="CK87" s="12"/>
      <c r="CL87" s="12"/>
      <c r="CM87" s="12"/>
      <c r="CN87" s="12"/>
      <c r="CP87" s="16"/>
      <c r="CR87" s="35"/>
      <c r="CU87" s="17"/>
      <c r="CV87" s="12"/>
      <c r="CW87" s="12"/>
      <c r="CX87" s="12"/>
      <c r="CY87" s="12"/>
      <c r="CZ87" s="12"/>
      <c r="DA87" s="12"/>
      <c r="DB87" s="12"/>
      <c r="DC87" s="12"/>
      <c r="DD87" s="12"/>
      <c r="DF87" s="16"/>
      <c r="DH87" s="35"/>
      <c r="DK87" s="17"/>
      <c r="DL87" s="12"/>
      <c r="DM87" s="12"/>
      <c r="DN87" s="12"/>
      <c r="DO87" s="12"/>
      <c r="DP87" s="12"/>
      <c r="DQ87" s="12"/>
      <c r="DR87" s="12"/>
      <c r="DS87" s="12"/>
      <c r="DT87" s="12"/>
      <c r="DV87" s="16"/>
      <c r="DX87" s="35"/>
      <c r="EA87" s="17"/>
      <c r="EB87" s="12"/>
      <c r="EC87" s="12"/>
      <c r="ED87" s="12"/>
      <c r="EE87" s="12"/>
      <c r="EF87" s="12"/>
      <c r="EG87" s="12"/>
      <c r="EH87" s="12"/>
      <c r="EI87" s="12"/>
      <c r="EJ87" s="12"/>
      <c r="EL87" s="16"/>
      <c r="EN87" s="35"/>
      <c r="EQ87" s="17"/>
      <c r="ER87" s="12"/>
      <c r="ES87" s="12"/>
      <c r="ET87" s="12"/>
      <c r="EU87" s="12"/>
      <c r="EV87" s="12"/>
      <c r="EW87" s="12"/>
      <c r="EX87" s="12"/>
      <c r="EY87" s="12"/>
      <c r="EZ87" s="12"/>
      <c r="FB87" s="16"/>
      <c r="FD87" s="35"/>
      <c r="FG87" s="17"/>
      <c r="FH87" s="12"/>
      <c r="FI87" s="12"/>
      <c r="FJ87" s="12"/>
      <c r="FK87" s="12"/>
      <c r="FL87" s="12"/>
      <c r="FM87" s="12"/>
      <c r="FN87" s="12"/>
      <c r="FO87" s="12"/>
      <c r="FP87" s="12"/>
      <c r="FR87" s="16"/>
      <c r="FT87" s="35"/>
      <c r="FW87" s="17"/>
      <c r="FX87" s="12"/>
      <c r="FY87" s="12"/>
      <c r="FZ87" s="12"/>
      <c r="GA87" s="12"/>
      <c r="GB87" s="12"/>
      <c r="GC87" s="12"/>
      <c r="GD87" s="12"/>
      <c r="GE87" s="12"/>
      <c r="GF87" s="12"/>
      <c r="GH87" s="16"/>
      <c r="GJ87" s="35"/>
      <c r="GN87" s="12"/>
      <c r="GO87" s="12"/>
      <c r="GP87" s="12"/>
      <c r="GQ87" s="12"/>
      <c r="GR87" s="12"/>
      <c r="GS87" s="12"/>
      <c r="GT87" s="12"/>
      <c r="GU87" s="12"/>
      <c r="GV87" s="12"/>
      <c r="GX87" s="16"/>
      <c r="GZ87" s="35"/>
      <c r="HD87" s="12"/>
      <c r="HE87" s="12"/>
      <c r="HF87" s="12"/>
      <c r="HG87" s="12"/>
      <c r="HH87" s="12"/>
      <c r="HI87" s="12"/>
      <c r="HJ87" s="12"/>
      <c r="HK87" s="12"/>
      <c r="HL87" s="12"/>
      <c r="HN87" s="16"/>
      <c r="HP87" s="35"/>
      <c r="HT87" s="12"/>
      <c r="HU87" s="12"/>
      <c r="HV87" s="12"/>
      <c r="HW87" s="12"/>
      <c r="HX87" s="12"/>
      <c r="HY87" s="12"/>
      <c r="HZ87" s="12"/>
      <c r="IA87" s="12"/>
      <c r="IB87" s="12"/>
      <c r="ID87" s="16"/>
      <c r="IF87" s="35"/>
      <c r="IJ87" s="12"/>
      <c r="IK87" s="12"/>
      <c r="IL87" s="12"/>
      <c r="IM87" s="12"/>
      <c r="IN87" s="12"/>
      <c r="IO87" s="12"/>
      <c r="IP87" s="12"/>
      <c r="IQ87" s="12"/>
      <c r="IR87" s="12"/>
      <c r="IT87" s="16"/>
      <c r="IV87" s="35"/>
      <c r="IZ87" s="12"/>
      <c r="JA87" s="12"/>
      <c r="JB87" s="12"/>
      <c r="JC87" s="12"/>
      <c r="JD87" s="12"/>
      <c r="JE87" s="12"/>
      <c r="JF87" s="12"/>
      <c r="JG87" s="12"/>
      <c r="JH87" s="12"/>
      <c r="JL87" s="9"/>
      <c r="JP87" s="12"/>
      <c r="JQ87" s="12"/>
      <c r="JR87" s="12"/>
      <c r="JS87" s="12"/>
      <c r="JT87" s="12"/>
      <c r="JU87" s="12"/>
      <c r="JV87" s="12"/>
      <c r="JW87" s="12"/>
      <c r="JX87" s="12"/>
      <c r="KB87" s="9"/>
      <c r="KF87" s="12"/>
      <c r="KG87" s="12"/>
      <c r="KH87" s="12"/>
      <c r="KI87" s="12"/>
      <c r="KJ87" s="12"/>
      <c r="KK87" s="12"/>
      <c r="KL87" s="12"/>
      <c r="KM87" s="12"/>
      <c r="KN87" s="12"/>
      <c r="KR87" s="9"/>
      <c r="KV87" s="12"/>
      <c r="KW87" s="12"/>
      <c r="KX87" s="12"/>
      <c r="KY87" s="12"/>
      <c r="KZ87" s="12"/>
      <c r="LA87" s="12"/>
      <c r="LB87" s="12"/>
      <c r="LC87" s="12"/>
      <c r="LD87" s="12"/>
      <c r="LH87" s="9"/>
      <c r="LL87" s="12"/>
      <c r="LM87" s="12"/>
      <c r="LN87" s="12"/>
      <c r="LO87" s="12"/>
      <c r="LP87" s="12"/>
      <c r="LQ87" s="12"/>
      <c r="LR87" s="12"/>
      <c r="LS87" s="12"/>
      <c r="LT87" s="12"/>
      <c r="LX87" s="9"/>
      <c r="MB87" s="12"/>
      <c r="MC87" s="12"/>
      <c r="MD87" s="12"/>
      <c r="ME87" s="12"/>
      <c r="MF87" s="12"/>
      <c r="MG87" s="12"/>
      <c r="MH87" s="12"/>
      <c r="MI87" s="12"/>
      <c r="MJ87" s="12"/>
      <c r="MN87" s="9"/>
      <c r="MR87" s="12"/>
      <c r="MS87" s="12"/>
      <c r="MT87" s="12"/>
      <c r="MU87" s="12"/>
      <c r="MV87" s="12"/>
      <c r="MW87" s="12"/>
      <c r="MX87" s="12"/>
      <c r="MY87" s="12"/>
      <c r="MZ87" s="12"/>
      <c r="ND87" s="9"/>
      <c r="NH87" s="12"/>
      <c r="NI87" s="12"/>
      <c r="NJ87" s="12"/>
      <c r="NK87" s="12"/>
      <c r="NL87" s="12"/>
      <c r="NM87" s="12"/>
      <c r="NN87" s="12"/>
      <c r="NO87" s="12"/>
      <c r="NP87" s="12"/>
      <c r="NT87" s="9"/>
      <c r="NX87" s="12"/>
      <c r="NY87" s="12"/>
      <c r="NZ87" s="12"/>
      <c r="OA87" s="12"/>
      <c r="OB87" s="12"/>
      <c r="OC87" s="12"/>
      <c r="OD87" s="12"/>
      <c r="OE87" s="12"/>
      <c r="OF87" s="12"/>
      <c r="OJ87" s="9"/>
    </row>
    <row r="88" spans="1:401" x14ac:dyDescent="0.2">
      <c r="A88" s="9" t="s">
        <v>1291</v>
      </c>
      <c r="B88" s="12">
        <f t="shared" ref="B88:J88" si="519">P88+AH88+AZ88+BP88+CF88+CV88+DL88+EB88+ER88+FH88+FX88+GN88+HD88+HT88+IJ88+IZ88+JP88+KF88+KV88+LL88+MB88+MR88+NH88+NX88</f>
        <v>0</v>
      </c>
      <c r="C88" s="12">
        <f t="shared" si="519"/>
        <v>0</v>
      </c>
      <c r="D88" s="12">
        <f t="shared" si="519"/>
        <v>0</v>
      </c>
      <c r="E88" s="12">
        <f t="shared" si="519"/>
        <v>0</v>
      </c>
      <c r="F88" s="12">
        <f t="shared" si="519"/>
        <v>0</v>
      </c>
      <c r="G88" s="12">
        <f t="shared" si="519"/>
        <v>0</v>
      </c>
      <c r="H88" s="12">
        <f t="shared" si="519"/>
        <v>0</v>
      </c>
      <c r="I88" s="12">
        <f t="shared" si="519"/>
        <v>0</v>
      </c>
      <c r="J88" s="12">
        <f t="shared" si="519"/>
        <v>0</v>
      </c>
      <c r="M88" s="6"/>
      <c r="N88" s="6"/>
      <c r="O88" s="9"/>
      <c r="P88" s="12" cm="1">
        <f t="array" ref="P88">_xlfn.SWITCH(P$4, 0,0, 1, AA88,2,AC88,3,AE88,0)</f>
        <v>0</v>
      </c>
      <c r="Q88" s="12" cm="1">
        <f t="array" ref="Q88">_xlfn.SWITCH(Q$4, 0,0, 1, AA88,2,AC88,3,AE88,0)+P88</f>
        <v>0</v>
      </c>
      <c r="R88" s="12" cm="1">
        <f t="array" ref="R88">_xlfn.SWITCH(R$4, 0,0, 1, AA88,2,AC88,3,AE88,0)+Q88</f>
        <v>0</v>
      </c>
      <c r="S88" s="12" cm="1">
        <f t="array" ref="S88">_xlfn.SWITCH(S$4, 0,0, 1, AA88,2,AC88,3,AE88,0)+R88</f>
        <v>0</v>
      </c>
      <c r="T88" s="12" cm="1">
        <f t="array" ref="T88">_xlfn.SWITCH(T$4, 0,0, 1, AA88,2,AC88,3,AE88,0)+S88</f>
        <v>0</v>
      </c>
      <c r="U88" s="12" cm="1">
        <f t="array" ref="U88">_xlfn.SWITCH(U$4, 0,0, 1, AA88,2,AC88,3,AE88,0)+T88</f>
        <v>0</v>
      </c>
      <c r="V88" s="12" cm="1">
        <f t="array" ref="V88">_xlfn.SWITCH(V$4, 0,0, 1, AA88,2,AC88,3,AE88,0)+U88</f>
        <v>0</v>
      </c>
      <c r="W88" s="12" cm="1">
        <f t="array" ref="W88">_xlfn.SWITCH(W$4, 0,0, 1, AA88,2,AC88,3,AE88,0)+V88</f>
        <v>0</v>
      </c>
      <c r="X88" s="12" cm="1">
        <f t="array" ref="X88">_xlfn.SWITCH(X$4, 0,0, 1, AA88,2,AC88,3,AE88,0)+W88</f>
        <v>0</v>
      </c>
      <c r="Z88" t="s">
        <v>1304</v>
      </c>
      <c r="AA88">
        <f>_xlfn.XLOOKUP(Z88,'KPI Impacts'!$K$2:$Q$2,'KPI Impacts'!$K88:$Q88)</f>
        <v>0</v>
      </c>
      <c r="AB88" t="s">
        <v>1304</v>
      </c>
      <c r="AC88">
        <f>_xlfn.XLOOKUP(AB88,'KPI Impacts'!$K$2:$Q$2,'KPI Impacts'!$K88:$Q88)</f>
        <v>0</v>
      </c>
      <c r="AD88" t="s">
        <v>1304</v>
      </c>
      <c r="AE88">
        <f>_xlfn.XLOOKUP(AD88,'KPI Impacts'!$K$2:$Q$2,'KPI Impacts'!$K88:$Q88)</f>
        <v>0</v>
      </c>
      <c r="AG88" s="9"/>
      <c r="AH88" s="12" cm="1">
        <f t="array" ref="AH88">_xlfn.SWITCH(AH$4, 0,0, 1, AS88,2,AU88,3,AW88,0)</f>
        <v>0</v>
      </c>
      <c r="AI88" s="12" cm="1">
        <f t="array" ref="AI88">_xlfn.SWITCH(AI$4, 0,0, 1, AS88,2,AU88,3,AW88,0)+AH88</f>
        <v>0</v>
      </c>
      <c r="AJ88" s="12" cm="1">
        <f t="array" ref="AJ88">_xlfn.SWITCH(AJ$4, 0,0, 1, AS88,2,AU88,3,AW88,0)+AI88</f>
        <v>0</v>
      </c>
      <c r="AK88" s="12" cm="1">
        <f t="array" ref="AK88">_xlfn.SWITCH(AK$4, 0,0, 1, AS88,2,AU88,3,AW88,0)+AJ88</f>
        <v>0</v>
      </c>
      <c r="AL88" s="12" cm="1">
        <f t="array" ref="AL88">_xlfn.SWITCH(AL$4, 0,0, 1, AS88,2,AU88,3,AW88,0)+AK88</f>
        <v>0</v>
      </c>
      <c r="AM88" s="12" cm="1">
        <f t="array" ref="AM88">_xlfn.SWITCH(AM$4, 0,0, 1, AS88,2,AU88,3,AW88,0)+AL88</f>
        <v>0</v>
      </c>
      <c r="AN88" s="12" cm="1">
        <f t="array" ref="AN88">_xlfn.SWITCH(AN$4, 0,0, 1, AS88,2,AU88,3,AW88,0)+AM88</f>
        <v>0</v>
      </c>
      <c r="AO88" s="12" cm="1">
        <f t="array" ref="AO88">_xlfn.SWITCH(AO$4, 0,0, 1, AS88,2,AU88,3,AW88,0)+AN88</f>
        <v>0</v>
      </c>
      <c r="AP88" s="12" cm="1">
        <f t="array" ref="AP88">_xlfn.SWITCH(AP$4, 0,0, 1, AS88,2,AU88,3,AW88,0)+AO88</f>
        <v>0</v>
      </c>
      <c r="AR88" t="s">
        <v>1304</v>
      </c>
      <c r="AS88">
        <f>_xlfn.XLOOKUP(AR88,'KPI Impacts'!$K$2:$Q$2,'KPI Impacts'!$K88:$Q88)</f>
        <v>0</v>
      </c>
      <c r="AT88" t="s">
        <v>1304</v>
      </c>
      <c r="AU88">
        <f>_xlfn.XLOOKUP(AT88,'KPI Impacts'!$K$2:$Q$2,'KPI Impacts'!$K88:$Q88)</f>
        <v>0</v>
      </c>
      <c r="AV88" t="s">
        <v>1304</v>
      </c>
      <c r="AW88">
        <f>_xlfn.XLOOKUP(AV88,'KPI Impacts'!$K$2:$Q$2,'KPI Impacts'!$K88:$Q88)</f>
        <v>0</v>
      </c>
      <c r="AY88" s="9"/>
      <c r="AZ88" s="12">
        <f>AZ$4*BK88</f>
        <v>0</v>
      </c>
      <c r="BA88" s="12">
        <f>BA$4 * IF(AND(AZ$4=1,AZ$20=1), BM88, BK88)</f>
        <v>0</v>
      </c>
      <c r="BB88" s="12">
        <f>BB$4 * IF(AND(BA$4=1,AZ$20=1), BM88, BK88)</f>
        <v>0</v>
      </c>
      <c r="BC88" s="12">
        <f>BC$4 * IF(AND(BB$4=1,AZ$20=1), BM88, BK88)</f>
        <v>0</v>
      </c>
      <c r="BD88" s="12">
        <f>BD$4 * IF(AND(BC$4=1,AZ$20=1), BM88, BK88)</f>
        <v>0</v>
      </c>
      <c r="BE88" s="12">
        <f>BE$4 * IF(AND(BD$4=1,AZ$20=1), BM88, BK88)</f>
        <v>0</v>
      </c>
      <c r="BF88" s="12">
        <f>BF$4 * IF(AND(BE$4=1,AZ$20=1), BM88, BK88)</f>
        <v>0</v>
      </c>
      <c r="BG88" s="12">
        <f>BG$4 * IF(AND(BF$4=1,AZ$20=1), BM88, BK88)</f>
        <v>0</v>
      </c>
      <c r="BH88" s="12">
        <f>BH$4 * IF(AND(BG$4=1,AZ$20=1), BM88, BK88)</f>
        <v>0</v>
      </c>
      <c r="BJ88" s="16" t="s">
        <v>1304</v>
      </c>
      <c r="BK88">
        <f>_xlfn.XLOOKUP(BJ88,'KPI Impacts'!$B$2:$H$2,'KPI Impacts'!$B88:$H88)</f>
        <v>0</v>
      </c>
      <c r="BL88" s="35" t="s">
        <v>1304</v>
      </c>
      <c r="BM88">
        <f>_xlfn.XLOOKUP(BL88,'KPI Impacts'!$B$2:$H$2,'KPI Impacts'!$B88:$H88)</f>
        <v>0</v>
      </c>
      <c r="BO88" s="9"/>
      <c r="BP88" s="12">
        <f>BP$4*CA88</f>
        <v>0</v>
      </c>
      <c r="BQ88" s="12">
        <f>BQ$4 * IF(AND(BP$4=1,BP$20=1), CC88, CA88)</f>
        <v>0</v>
      </c>
      <c r="BR88" s="12">
        <f>BR$4 * IF(AND(BQ$4=1,BP$20=1), CC88, CA88)</f>
        <v>0</v>
      </c>
      <c r="BS88" s="12">
        <f>BS$4 * IF(AND(BR$4=1,BP$20=1), CC88, CA88)</f>
        <v>0</v>
      </c>
      <c r="BT88" s="12">
        <f>BT$4 * IF(AND(BS$4=1,BP$20=1), CC88, CA88)</f>
        <v>0</v>
      </c>
      <c r="BU88" s="12">
        <f>BU$4 * IF(AND(BT$4=1,BP$20=1), CC88, CA88)</f>
        <v>0</v>
      </c>
      <c r="BV88" s="12">
        <f>BV$4 * IF(AND(BU$4=1,BP$20=1), CC88, CA88)</f>
        <v>0</v>
      </c>
      <c r="BW88" s="12">
        <f>BW$4 * IF(AND(BV$4=1,BP$20=1), CC88, CA88)</f>
        <v>0</v>
      </c>
      <c r="BX88" s="12">
        <f>BX$4 * IF(AND(BW$4=1,BP$20=1), CC88, CA88)</f>
        <v>0</v>
      </c>
      <c r="BZ88" s="16" t="s">
        <v>1304</v>
      </c>
      <c r="CA88">
        <f>_xlfn.XLOOKUP(BZ88,'KPI Impacts'!$B$2:$H$2,'KPI Impacts'!$B88:$H88)</f>
        <v>0</v>
      </c>
      <c r="CB88" s="9" t="s">
        <v>1304</v>
      </c>
      <c r="CC88">
        <f>_xlfn.XLOOKUP(CB88,'KPI Impacts'!$B$2:$H$2,'KPI Impacts'!$B88:$H88)</f>
        <v>0</v>
      </c>
      <c r="CE88" s="9"/>
      <c r="CF88" s="12">
        <f>CF$4*CQ88</f>
        <v>0</v>
      </c>
      <c r="CG88" s="12">
        <f>CG$4 * IF(AND(CF$4=1,CF$20=1), CS88, CQ88)</f>
        <v>0</v>
      </c>
      <c r="CH88" s="12">
        <f>CH$4 * IF(AND(CG$4=1,CF$20=1), CS88, CQ88)</f>
        <v>0</v>
      </c>
      <c r="CI88" s="12">
        <f>CI$4 * IF(AND(CH$4=1,CF$20=1), CS88, CQ88)</f>
        <v>0</v>
      </c>
      <c r="CJ88" s="12">
        <f>CJ$4 * IF(AND(CI$4=1,CF$20=1), CS88, CQ88)</f>
        <v>0</v>
      </c>
      <c r="CK88" s="12">
        <f>CK$4 * IF(AND(CJ$4=1,CF$20=1), CS88, CQ88)</f>
        <v>0</v>
      </c>
      <c r="CL88" s="12">
        <f>CL$4 * IF(AND(CK$4=1,CF$20=1), CS88, CQ88)</f>
        <v>0</v>
      </c>
      <c r="CM88" s="12">
        <f>CM$4 * IF(AND(CL$4=1,CF$20=1), CS88, CQ88)</f>
        <v>0</v>
      </c>
      <c r="CN88" s="12">
        <f>CN$4 * IF(AND(CM$4=1,CF$20=1), CS88, CQ88)</f>
        <v>0</v>
      </c>
      <c r="CP88" s="16" t="s">
        <v>1304</v>
      </c>
      <c r="CQ88">
        <f>_xlfn.XLOOKUP(CP88,'KPI Impacts'!$B$2:$H$2,'KPI Impacts'!$B88:$H88)</f>
        <v>0</v>
      </c>
      <c r="CR88" s="35" t="s">
        <v>1304</v>
      </c>
      <c r="CS88">
        <f>_xlfn.XLOOKUP(CR88,'KPI Impacts'!$B$2:$H$2,'KPI Impacts'!$B88:$H88)</f>
        <v>0</v>
      </c>
      <c r="CU88" s="9"/>
      <c r="CV88" s="12">
        <f>CV$4*DG88</f>
        <v>0</v>
      </c>
      <c r="CW88" s="12">
        <f>CW$4 * IF(AND(CV$4=1,CV$20=1), DI88, DG88)</f>
        <v>0</v>
      </c>
      <c r="CX88" s="12">
        <f>CX$4 * IF(AND(CW$4=1,CV$20=1), DI88, DG88)</f>
        <v>0</v>
      </c>
      <c r="CY88" s="12">
        <f>CY$4 * IF(AND(CX$4=1,CV$20=1), DI88, DG88)</f>
        <v>0</v>
      </c>
      <c r="CZ88" s="12">
        <f>CZ$4 * IF(AND(CY$4=1,CV$20=1), DI88, DG88)</f>
        <v>0</v>
      </c>
      <c r="DA88" s="12">
        <f>DA$4 * IF(AND(CZ$4=1,CV$20=1), DI88, DG88)</f>
        <v>0</v>
      </c>
      <c r="DB88" s="12">
        <f>DB$4 * IF(AND(DA$4=1,CV$20=1), DI88, DG88)</f>
        <v>0</v>
      </c>
      <c r="DC88" s="12">
        <f>DC$4 * IF(AND(DB$4=1,CV$20=1), DI88, DG88)</f>
        <v>0</v>
      </c>
      <c r="DD88" s="12">
        <f>DD$4 * IF(AND(DC$4=1,CV$20=1), DI88, DG88)</f>
        <v>0</v>
      </c>
      <c r="DF88" s="16" t="s">
        <v>1304</v>
      </c>
      <c r="DG88">
        <f>_xlfn.XLOOKUP(DF88,'KPI Impacts'!$B$2:$H$2,'KPI Impacts'!$B88:$H88)</f>
        <v>0</v>
      </c>
      <c r="DH88" s="35" t="s">
        <v>1304</v>
      </c>
      <c r="DI88">
        <f>_xlfn.XLOOKUP(DH88,'KPI Impacts'!$B$2:$H$2,'KPI Impacts'!$B88:$H88)</f>
        <v>0</v>
      </c>
      <c r="DK88" s="9"/>
      <c r="DL88" s="12">
        <f>DL$4*DW88</f>
        <v>0</v>
      </c>
      <c r="DM88" s="12">
        <f>DM$4 * IF(AND(DL$4=1,DL$20=1), DY88, DW88)</f>
        <v>0</v>
      </c>
      <c r="DN88" s="12">
        <f>DN$4 * IF(AND(DM$4=1,DL$20=1), DY88, DW88)</f>
        <v>0</v>
      </c>
      <c r="DO88" s="12">
        <f>DO$4 * IF(AND(DN$4=1,DL$20=1), DY88, DW88)</f>
        <v>0</v>
      </c>
      <c r="DP88" s="12">
        <f>DP$4 * IF(AND(DO$4=1,DL$20=1), DY88, DW88)</f>
        <v>0</v>
      </c>
      <c r="DQ88" s="12">
        <f>DQ$4 * IF(AND(DP$4=1,DL$20=1), DY88, DW88)</f>
        <v>0</v>
      </c>
      <c r="DR88" s="12">
        <f>DR$4 * IF(AND(DQ$4=1,DL$20=1), DY88, DW88)</f>
        <v>0</v>
      </c>
      <c r="DS88" s="12">
        <f>DS$4 * IF(AND(DR$4=1,DL$20=1), DY88, DW88)</f>
        <v>0</v>
      </c>
      <c r="DT88" s="12">
        <f>DT$4 * IF(AND(DS$4=1,DL$20=1), DY88, DW88)</f>
        <v>0</v>
      </c>
      <c r="DV88" s="16" t="s">
        <v>1304</v>
      </c>
      <c r="DW88">
        <f>_xlfn.XLOOKUP(DV88,'KPI Impacts'!$B$2:$H$2,'KPI Impacts'!$B88:$H88)</f>
        <v>0</v>
      </c>
      <c r="DX88" s="35" t="s">
        <v>1304</v>
      </c>
      <c r="DY88">
        <f>_xlfn.XLOOKUP(DX88,'KPI Impacts'!$B$2:$H$2,'KPI Impacts'!$B88:$H88)</f>
        <v>0</v>
      </c>
      <c r="EA88" s="9"/>
      <c r="EB88" s="12">
        <f>EB$4*EM88</f>
        <v>0</v>
      </c>
      <c r="EC88" s="12">
        <f>EC$4 * IF(AND(EB$4=1,EB$20=1), EO88, EM88)</f>
        <v>0</v>
      </c>
      <c r="ED88" s="12">
        <f>ED$4 * IF(AND(EC$4=1,EB$20=1), EO88, EM88)</f>
        <v>0</v>
      </c>
      <c r="EE88" s="12">
        <f>EE$4 * IF(AND(ED$4=1,EB$20=1), EO88, EM88)</f>
        <v>0</v>
      </c>
      <c r="EF88" s="12">
        <f>EF$4 * IF(AND(EE$4=1,EB$20=1), EO88, EM88)</f>
        <v>0</v>
      </c>
      <c r="EG88" s="12">
        <f>EG$4 * IF(AND(EF$4=1,EB$20=1), EO88, EM88)</f>
        <v>0</v>
      </c>
      <c r="EH88" s="12">
        <f>EH$4 * IF(AND(EG$4=1,EB$20=1), EO88, EM88)</f>
        <v>0</v>
      </c>
      <c r="EI88" s="12">
        <f>EI$4 * IF(AND(EH$4=1,EB$20=1), EO88, EM88)</f>
        <v>0</v>
      </c>
      <c r="EJ88" s="12">
        <f>EJ$4 * IF(AND(EI$4=1,EB$20=1), EO88, EM88)</f>
        <v>0</v>
      </c>
      <c r="EL88" s="16" t="s">
        <v>1304</v>
      </c>
      <c r="EM88">
        <f>_xlfn.XLOOKUP(EL88,'KPI Impacts'!$B$2:$H$2,'KPI Impacts'!$B88:$H88)</f>
        <v>0</v>
      </c>
      <c r="EN88" s="35" t="s">
        <v>1304</v>
      </c>
      <c r="EO88">
        <f>_xlfn.XLOOKUP(EN88,'KPI Impacts'!$B$2:$H$2,'KPI Impacts'!$B88:$H88)</f>
        <v>0</v>
      </c>
      <c r="EQ88" s="9"/>
      <c r="ER88" s="12">
        <f>ER$4*FC88</f>
        <v>0</v>
      </c>
      <c r="ES88" s="12">
        <f>ES$4 * IF(AND(ER$4=1,ER$20=1), FE88, FC88)</f>
        <v>0</v>
      </c>
      <c r="ET88" s="12">
        <f>ET$4 * IF(AND(ES$4=1,ER$20=1), FE88, FC88)</f>
        <v>0</v>
      </c>
      <c r="EU88" s="12">
        <f>EU$4 * IF(AND(ET$4=1,ER$20=1), FE88, FC88)</f>
        <v>0</v>
      </c>
      <c r="EV88" s="12">
        <f>EV$4 * IF(AND(EU$4=1,ER$20=1), FE88, FC88)</f>
        <v>0</v>
      </c>
      <c r="EW88" s="12">
        <f>EW$4 * IF(AND(EV$4=1,ER$20=1), FE88, FC88)</f>
        <v>0</v>
      </c>
      <c r="EX88" s="12">
        <f>EX$4 * IF(AND(EW$4=1,ER$20=1), FE88, FC88)</f>
        <v>0</v>
      </c>
      <c r="EY88" s="12">
        <f>EY$4 * IF(AND(EX$4=1,ER$20=1), FE88, FC88)</f>
        <v>0</v>
      </c>
      <c r="EZ88" s="12">
        <f>EZ$4 * IF(AND(EY$4=1,ER$20=1), FE88, FC88)</f>
        <v>0</v>
      </c>
      <c r="FB88" s="16" t="s">
        <v>1304</v>
      </c>
      <c r="FC88">
        <f>_xlfn.XLOOKUP(FB88,'KPI Impacts'!$B$2:$H$2,'KPI Impacts'!$B88:$H88)</f>
        <v>0</v>
      </c>
      <c r="FD88" s="35" t="s">
        <v>1304</v>
      </c>
      <c r="FE88">
        <f>_xlfn.XLOOKUP(FD88,'KPI Impacts'!$B$2:$H$2,'KPI Impacts'!$B88:$H88)</f>
        <v>0</v>
      </c>
      <c r="FG88" s="9"/>
      <c r="FH88" s="12">
        <f>FH$4*FS88</f>
        <v>0</v>
      </c>
      <c r="FI88" s="12">
        <f>FI$4 * IF(AND(FH$4=1,FH$20=1), FU88, FS88)</f>
        <v>0</v>
      </c>
      <c r="FJ88" s="12">
        <f>FJ$4 * IF(AND(FI$4=1,FH$20=1), FU88, FS88)</f>
        <v>0</v>
      </c>
      <c r="FK88" s="12">
        <f>FK$4 * IF(AND(FJ$4=1,FH$20=1), FU88, FS88)</f>
        <v>0</v>
      </c>
      <c r="FL88" s="12">
        <f>FL$4 * IF(AND(FK$4=1,FH$20=1), FU88, FS88)</f>
        <v>0</v>
      </c>
      <c r="FM88" s="12">
        <f>FM$4 * IF(AND(FL$4=1,FH$20=1), FU88, FS88)</f>
        <v>0</v>
      </c>
      <c r="FN88" s="12">
        <f>FN$4 * IF(AND(FM$4=1,FH$20=1), FU88, FS88)</f>
        <v>0</v>
      </c>
      <c r="FO88" s="12">
        <f>FO$4 * IF(AND(FN$4=1,FH$20=1), FU88, FS88)</f>
        <v>0</v>
      </c>
      <c r="FP88" s="12">
        <f>FP$4 * IF(AND(FO$4=1,FH$20=1), FU88, FS88)</f>
        <v>0</v>
      </c>
      <c r="FR88" s="16" t="s">
        <v>1304</v>
      </c>
      <c r="FS88">
        <f>_xlfn.XLOOKUP(FR88,'KPI Impacts'!$B$2:$H$2,'KPI Impacts'!$B88:$H88)</f>
        <v>0</v>
      </c>
      <c r="FT88" s="35" t="s">
        <v>1304</v>
      </c>
      <c r="FU88">
        <f>_xlfn.XLOOKUP(FT88,'KPI Impacts'!$B$2:$H$2,'KPI Impacts'!$B88:$H88)</f>
        <v>0</v>
      </c>
      <c r="FW88" s="9"/>
      <c r="FX88" s="12">
        <f>FX$4*GI88</f>
        <v>0</v>
      </c>
      <c r="FY88" s="12">
        <f>FY$4 * IF(AND(FX$4=1,FX$20=1), GK88, GI88)</f>
        <v>0</v>
      </c>
      <c r="FZ88" s="12">
        <f>FZ$4 * IF(AND(FY$4=1,FX$20=1), GK88, GI88)</f>
        <v>0</v>
      </c>
      <c r="GA88" s="12">
        <f>GA$4 * IF(AND(FZ$4=1,FX$20=1), GK88, GI88)</f>
        <v>0</v>
      </c>
      <c r="GB88" s="12">
        <f>GB$4 * IF(AND(GA$4=1,FX$20=1), GK88, GI88)</f>
        <v>0</v>
      </c>
      <c r="GC88" s="12">
        <f>GC$4 * IF(AND(GB$4=1,FX$20=1), GK88, GI88)</f>
        <v>0</v>
      </c>
      <c r="GD88" s="12">
        <f>GD$4 * IF(AND(GC$4=1,FX$20=1), GK88, GI88)</f>
        <v>0</v>
      </c>
      <c r="GE88" s="12">
        <f>GE$4 * IF(AND(GD$4=1,FX$20=1), GK88, GI88)</f>
        <v>0</v>
      </c>
      <c r="GF88" s="12">
        <f>GF$4 * IF(AND(GE$4=1,FX$20=1), GK88, GI88)</f>
        <v>0</v>
      </c>
      <c r="GH88" s="16" t="s">
        <v>1304</v>
      </c>
      <c r="GI88">
        <f>_xlfn.XLOOKUP(GH88,'KPI Impacts'!$B$2:$H$2,'KPI Impacts'!$B88:$H88)</f>
        <v>0</v>
      </c>
      <c r="GJ88" s="35" t="s">
        <v>1304</v>
      </c>
      <c r="GK88">
        <f>_xlfn.XLOOKUP(GJ88,'KPI Impacts'!$B$2:$H$2,'KPI Impacts'!$B88:$H88)</f>
        <v>0</v>
      </c>
      <c r="GN88" s="12">
        <f>GN$4*GY88</f>
        <v>0</v>
      </c>
      <c r="GO88" s="12">
        <f>GO$4 * IF(AND(GN$4=1,GN$20=1), HA88, GY88)</f>
        <v>0</v>
      </c>
      <c r="GP88" s="12">
        <f>GP$4 * IF(AND(GO$4=1,GN$20=1), HA88, GY88)</f>
        <v>0</v>
      </c>
      <c r="GQ88" s="12">
        <f>GQ$4 * IF(AND(GP$4=1,GN$20=1), HA88, GY88)</f>
        <v>0</v>
      </c>
      <c r="GR88" s="12">
        <f>GR$4 * IF(AND(GQ$4=1,GN$20=1), HA88, GY88)</f>
        <v>0</v>
      </c>
      <c r="GS88" s="12">
        <f>GS$4 * IF(AND(GR$4=1,GN$20=1), HA88, GY88)</f>
        <v>0</v>
      </c>
      <c r="GT88" s="12">
        <f>GT$4 * IF(AND(GS$4=1,GN$20=1), HA88, GY88)</f>
        <v>0</v>
      </c>
      <c r="GU88" s="12">
        <f>GU$4 * IF(AND(GT$4=1,GN$20=1), HA88, GY88)</f>
        <v>0</v>
      </c>
      <c r="GV88" s="12">
        <f>GV$4 * IF(AND(GU$4=1,GN$20=1), HA88, GY88)</f>
        <v>0</v>
      </c>
      <c r="GX88" s="16" t="s">
        <v>1304</v>
      </c>
      <c r="GY88">
        <f>_xlfn.XLOOKUP(GX88,'KPI Impacts'!$B$2:$H$2,'KPI Impacts'!$B88:$H88)</f>
        <v>0</v>
      </c>
      <c r="GZ88" s="35" t="s">
        <v>1304</v>
      </c>
      <c r="HA88">
        <f>_xlfn.XLOOKUP(GZ88,'KPI Impacts'!$B$2:$H$2,'KPI Impacts'!$B88:$H88)</f>
        <v>0</v>
      </c>
      <c r="HD88" s="12">
        <f>HD$4*HO88</f>
        <v>0</v>
      </c>
      <c r="HE88" s="12">
        <f>HE$4 * IF(AND(HD$4=1,HD$20=1), HQ88, HO88)</f>
        <v>0</v>
      </c>
      <c r="HF88" s="12">
        <f>HF$4 * IF(AND(HE$4=1,HD$20=1), HQ88, HO88)</f>
        <v>0</v>
      </c>
      <c r="HG88" s="12">
        <f>HG$4 * IF(AND(HF$4=1,HD$20=1), HQ88, HO88)</f>
        <v>0</v>
      </c>
      <c r="HH88" s="12">
        <f>HH$4 * IF(AND(HG$4=1,HD$20=1), HQ88, HO88)</f>
        <v>0</v>
      </c>
      <c r="HI88" s="12">
        <f>HI$4 * IF(AND(HH$4=1,HD$20=1), HQ88, HO88)</f>
        <v>0</v>
      </c>
      <c r="HJ88" s="12">
        <f>HJ$4 * IF(AND(HI$4=1,HD$20=1), HQ88, HO88)</f>
        <v>0</v>
      </c>
      <c r="HK88" s="12">
        <f>HK$4 * IF(AND(HJ$4=1,HD$20=1), HQ88, HO88)</f>
        <v>0</v>
      </c>
      <c r="HL88" s="12">
        <f>HL$4 * IF(AND(HK$4=1,HD$20=1), HQ88, HO88)</f>
        <v>0</v>
      </c>
      <c r="HN88" s="16" t="s">
        <v>1304</v>
      </c>
      <c r="HO88">
        <f>_xlfn.XLOOKUP(HN88,'KPI Impacts'!$B$2:$H$2,'KPI Impacts'!$B88:$H88)</f>
        <v>0</v>
      </c>
      <c r="HP88" s="35" t="s">
        <v>1304</v>
      </c>
      <c r="HQ88">
        <f>_xlfn.XLOOKUP(HP88,'KPI Impacts'!$B$2:$H$2,'KPI Impacts'!$B88:$H88)</f>
        <v>0</v>
      </c>
      <c r="HT88" s="12">
        <f>HT$4*IE88</f>
        <v>0</v>
      </c>
      <c r="HU88" s="12">
        <f>HU$4 * IF(AND(HT$4=1,HT$20=1), IG88, IE88)</f>
        <v>0</v>
      </c>
      <c r="HV88" s="12">
        <f>HV$4 * IF(AND(HU$4=1,HT$20=1), IG88, IE88)</f>
        <v>0</v>
      </c>
      <c r="HW88" s="12">
        <f>HW$4 * IF(AND(HV$4=1,HT$20=1), IG88, IE88)</f>
        <v>0</v>
      </c>
      <c r="HX88" s="12">
        <f>HX$4 * IF(AND(HW$4=1,HT$20=1), IG88, IE88)</f>
        <v>0</v>
      </c>
      <c r="HY88" s="12">
        <f>HY$4 * IF(AND(HX$4=1,HT$20=1), IG88, IE88)</f>
        <v>0</v>
      </c>
      <c r="HZ88" s="12">
        <f>HZ$4 * IF(AND(HY$4=1,HT$20=1), IG88, IE88)</f>
        <v>0</v>
      </c>
      <c r="IA88" s="12">
        <f>IA$4 * IF(AND(HZ$4=1,HT$20=1), IG88, IE88)</f>
        <v>0</v>
      </c>
      <c r="IB88" s="12">
        <f>IB$4 * IF(AND(IA$4=1,HT$20=1), IG88, IE88)</f>
        <v>0</v>
      </c>
      <c r="ID88" s="16" t="s">
        <v>1304</v>
      </c>
      <c r="IE88">
        <f>_xlfn.XLOOKUP(ID88,'KPI Impacts'!$B$2:$H$2,'KPI Impacts'!$B88:$H88)</f>
        <v>0</v>
      </c>
      <c r="IF88" s="35" t="s">
        <v>1304</v>
      </c>
      <c r="IG88">
        <f>_xlfn.XLOOKUP(IF88,'KPI Impacts'!$B$2:$H$2,'KPI Impacts'!$B88:$H88)</f>
        <v>0</v>
      </c>
      <c r="IJ88" s="12">
        <f>IJ$4*IU88</f>
        <v>0</v>
      </c>
      <c r="IK88" s="12">
        <f>IK$4 * IF(AND(IJ$4=1,IJ$20=1), IW88, IU88)</f>
        <v>0</v>
      </c>
      <c r="IL88" s="12">
        <f>IL$4 * IF(AND(IK$4=1,IJ$20=1), IW88, IU88)</f>
        <v>0</v>
      </c>
      <c r="IM88" s="12">
        <f>IM$4 * IF(AND(IL$4=1,IJ$20=1), IW88, IU88)</f>
        <v>0</v>
      </c>
      <c r="IN88" s="12">
        <f>IN$4 * IF(AND(IM$4=1,IJ$20=1), IW88, IU88)</f>
        <v>0</v>
      </c>
      <c r="IO88" s="12">
        <f>IO$4 * IF(AND(IN$4=1,IJ$20=1), IW88, IU88)</f>
        <v>0</v>
      </c>
      <c r="IP88" s="12">
        <f>IP$4 * IF(AND(IO$4=1,IJ$20=1), IW88, IU88)</f>
        <v>0</v>
      </c>
      <c r="IQ88" s="12">
        <f>IQ$4 * IF(AND(IP$4=1,IJ$20=1), IW88, IU88)</f>
        <v>0</v>
      </c>
      <c r="IR88" s="12">
        <f>IR$4 * IF(AND(IQ$4=1,IJ$20=1), IW88, IU88)</f>
        <v>0</v>
      </c>
      <c r="IT88" s="16" t="s">
        <v>1304</v>
      </c>
      <c r="IU88">
        <f>_xlfn.XLOOKUP(IT88,'KPI Impacts'!$B$2:$H$2,'KPI Impacts'!$B88:$H88)</f>
        <v>0</v>
      </c>
      <c r="IV88" s="35" t="s">
        <v>1304</v>
      </c>
      <c r="IW88">
        <f>_xlfn.XLOOKUP(IV88,'KPI Impacts'!$B$2:$H$2,'KPI Impacts'!$B88:$H88)</f>
        <v>0</v>
      </c>
      <c r="IZ88" s="12">
        <f>IZ$4*JK88</f>
        <v>0</v>
      </c>
      <c r="JA88" s="12">
        <f>JA$4 * IF(AND(IZ$4=1,IZ$20=1), JM88, JK88)</f>
        <v>0</v>
      </c>
      <c r="JB88" s="12">
        <f>JB$4 * IF(AND(JA$4=1,IZ$20=1), JM88, JK88)</f>
        <v>0</v>
      </c>
      <c r="JC88" s="12">
        <f>JC$4 * IF(AND(JB$4=1,IZ$20=1), JM88, JK88)</f>
        <v>0</v>
      </c>
      <c r="JD88" s="12">
        <f>JD$4 * IF(AND(JC$4=1,IZ$20=1), JM88, JK88)</f>
        <v>0</v>
      </c>
      <c r="JE88" s="12">
        <f>JE$4 * IF(AND(JD$4=1,IZ$20=1), JM88, JK88)</f>
        <v>0</v>
      </c>
      <c r="JF88" s="12">
        <f>JF$4 * IF(AND(JE$4=1,IZ$20=1), JM88, JK88)</f>
        <v>0</v>
      </c>
      <c r="JG88" s="12">
        <f>JG$4 * IF(AND(JF$4=1,IZ$20=1), JM88, JK88)</f>
        <v>0</v>
      </c>
      <c r="JH88" s="12">
        <f>JH$4 * IF(AND(JG$4=1,IZ$20=1), JM88, JK88)</f>
        <v>0</v>
      </c>
      <c r="JJ88" t="s">
        <v>1304</v>
      </c>
      <c r="JK88">
        <f>_xlfn.XLOOKUP(JJ88,'KPI Impacts'!$B$2:$H$2,'KPI Impacts'!$B88:$H88)</f>
        <v>0</v>
      </c>
      <c r="JL88" s="9" t="s">
        <v>1304</v>
      </c>
      <c r="JM88">
        <f>_xlfn.XLOOKUP(JL88,'KPI Impacts'!$B$2:$H$2,'KPI Impacts'!$B88:$H88)</f>
        <v>0</v>
      </c>
      <c r="JP88" s="12">
        <f>JP$4*KA88</f>
        <v>0</v>
      </c>
      <c r="JQ88" s="12">
        <f>JQ$4 * IF(AND(JP$4=1,JP$20=1), KC88, KA88)</f>
        <v>0</v>
      </c>
      <c r="JR88" s="12">
        <f>JR$4 * IF(AND(JQ$4=1,JP$20=1), KC88, KA88)</f>
        <v>0</v>
      </c>
      <c r="JS88" s="12">
        <f>JS$4 * IF(AND(JR$4=1,JP$20=1), KC88, KA88)</f>
        <v>0</v>
      </c>
      <c r="JT88" s="12">
        <f>JT$4 * IF(AND(JS$4=1,JP$20=1), KC88, KA88)</f>
        <v>0</v>
      </c>
      <c r="JU88" s="12">
        <f>JU$4 * IF(AND(JT$4=1,JP$20=1), KC88, KA88)</f>
        <v>0</v>
      </c>
      <c r="JV88" s="12">
        <f>JV$4 * IF(AND(JU$4=1,JP$20=1), KC88, KA88)</f>
        <v>0</v>
      </c>
      <c r="JW88" s="12">
        <f>JW$4 * IF(AND(JV$4=1,JP$20=1), KC88, KA88)</f>
        <v>0</v>
      </c>
      <c r="JX88" s="12">
        <f>JX$4 * IF(AND(JW$4=1,JP$20=1), KC88, KA88)</f>
        <v>0</v>
      </c>
      <c r="JZ88" t="s">
        <v>1304</v>
      </c>
      <c r="KA88">
        <f>_xlfn.XLOOKUP(JZ88,'KPI Impacts'!$B$2:$H$2,'KPI Impacts'!$B88:$H88)</f>
        <v>0</v>
      </c>
      <c r="KB88" s="9" t="s">
        <v>1304</v>
      </c>
      <c r="KC88">
        <f>_xlfn.XLOOKUP(KB88,'KPI Impacts'!$B$2:$H$2,'KPI Impacts'!$B88:$H88)</f>
        <v>0</v>
      </c>
      <c r="KF88" s="12">
        <f>KF$4*KQ88</f>
        <v>0</v>
      </c>
      <c r="KG88" s="12">
        <f>KG$4 * IF(AND(KF$4=1,KF$20=1), KS88, KQ88)</f>
        <v>0</v>
      </c>
      <c r="KH88" s="12">
        <f>KH$4 * IF(AND(KG$4=1,KF$20=1), KS88, KQ88)</f>
        <v>0</v>
      </c>
      <c r="KI88" s="12">
        <f>KI$4 * IF(AND(KH$4=1,KF$20=1), KS88, KQ88)</f>
        <v>0</v>
      </c>
      <c r="KJ88" s="12">
        <f>KJ$4 * IF(AND(KI$4=1,KF$20=1), KS88, KQ88)</f>
        <v>0</v>
      </c>
      <c r="KK88" s="12">
        <f>KK$4 * IF(AND(KJ$4=1,KF$20=1), KS88, KQ88)</f>
        <v>0</v>
      </c>
      <c r="KL88" s="12">
        <f>KL$4 * IF(AND(KK$4=1,KF$20=1), KS88, KQ88)</f>
        <v>0</v>
      </c>
      <c r="KM88" s="12">
        <f>KM$4 * IF(AND(KL$4=1,KF$20=1), KS88, KQ88)</f>
        <v>0</v>
      </c>
      <c r="KN88" s="12">
        <f>KN$4 * IF(AND(KM$4=1,KF$20=1), KS88, KQ88)</f>
        <v>0</v>
      </c>
      <c r="KP88" t="s">
        <v>1304</v>
      </c>
      <c r="KQ88">
        <f>_xlfn.XLOOKUP(KP88,'KPI Impacts'!$B$2:$H$2,'KPI Impacts'!$B88:$H88)</f>
        <v>0</v>
      </c>
      <c r="KR88" s="9" t="s">
        <v>1304</v>
      </c>
      <c r="KS88">
        <f>_xlfn.XLOOKUP(KR88,'KPI Impacts'!$B$2:$H$2,'KPI Impacts'!$B88:$H88)</f>
        <v>0</v>
      </c>
      <c r="KV88" s="12">
        <f>KV$4*LG88</f>
        <v>0</v>
      </c>
      <c r="KW88" s="12">
        <f>KW$4 * IF(AND(KV$4=1,KV$20=1), LI88, LG88)</f>
        <v>0</v>
      </c>
      <c r="KX88" s="12">
        <f>KX$4 * IF(AND(KW$4=1,KV$20=1), LI88, LG88)</f>
        <v>0</v>
      </c>
      <c r="KY88" s="12">
        <f>KY$4 * IF(AND(KX$4=1,KV$20=1), LI88, LG88)</f>
        <v>0</v>
      </c>
      <c r="KZ88" s="12">
        <f>KZ$4 * IF(AND(KY$4=1,KV$20=1), LI88, LG88)</f>
        <v>0</v>
      </c>
      <c r="LA88" s="12">
        <f>LA$4 * IF(AND(KZ$4=1,KV$20=1), LI88, LG88)</f>
        <v>0</v>
      </c>
      <c r="LB88" s="12">
        <f>LB$4 * IF(AND(LA$4=1,KV$20=1), LI88, LG88)</f>
        <v>0</v>
      </c>
      <c r="LC88" s="12">
        <f>LC$4 * IF(AND(LB$4=1,KV$20=1), LI88, LG88)</f>
        <v>0</v>
      </c>
      <c r="LD88" s="12">
        <f>LD$4 * IF(AND(LC$4=1,KV$20=1), LI88, LG88)</f>
        <v>0</v>
      </c>
      <c r="LF88" t="s">
        <v>1304</v>
      </c>
      <c r="LG88">
        <f>_xlfn.XLOOKUP(LF88,'KPI Impacts'!$B$2:$H$2,'KPI Impacts'!$B88:$H88)</f>
        <v>0</v>
      </c>
      <c r="LH88" s="9" t="s">
        <v>1304</v>
      </c>
      <c r="LI88">
        <f>_xlfn.XLOOKUP(LH88,'KPI Impacts'!$B$2:$H$2,'KPI Impacts'!$B88:$H88)</f>
        <v>0</v>
      </c>
      <c r="LL88" s="12">
        <f>LL$4*LW88</f>
        <v>0</v>
      </c>
      <c r="LM88" s="12">
        <f>LM$4 * IF(AND(LL$4=1,LL$20=1), LY88, LW88)</f>
        <v>0</v>
      </c>
      <c r="LN88" s="12">
        <f>LN$4 * IF(AND(LM$4=1,LL$20=1), LY88, LW88)</f>
        <v>0</v>
      </c>
      <c r="LO88" s="12">
        <f>LO$4 * IF(AND(LN$4=1,LL$20=1), LY88, LW88)</f>
        <v>0</v>
      </c>
      <c r="LP88" s="12">
        <f>LP$4 * IF(AND(LO$4=1,LL$20=1), LY88, LW88)</f>
        <v>0</v>
      </c>
      <c r="LQ88" s="12">
        <f>LQ$4 * IF(AND(LP$4=1,LL$20=1), LY88, LW88)</f>
        <v>0</v>
      </c>
      <c r="LR88" s="12">
        <f>LR$4 * IF(AND(LQ$4=1,LL$20=1), LY88, LW88)</f>
        <v>0</v>
      </c>
      <c r="LS88" s="12">
        <f>LS$4 * IF(AND(LR$4=1,LL$20=1), LY88, LW88)</f>
        <v>0</v>
      </c>
      <c r="LT88" s="12">
        <f>LT$4 * IF(AND(LS$4=1,LL$20=1), LY88, LW88)</f>
        <v>0</v>
      </c>
      <c r="LV88" t="s">
        <v>1304</v>
      </c>
      <c r="LW88">
        <f>_xlfn.XLOOKUP(LV88,'KPI Impacts'!$B$2:$H$2,'KPI Impacts'!$B88:$H88)</f>
        <v>0</v>
      </c>
      <c r="LX88" s="9" t="s">
        <v>1304</v>
      </c>
      <c r="LY88">
        <f>_xlfn.XLOOKUP(LX88,'KPI Impacts'!$B$2:$H$2,'KPI Impacts'!$B88:$H88)</f>
        <v>0</v>
      </c>
      <c r="MB88" s="12">
        <f>MB$4*MM88</f>
        <v>0</v>
      </c>
      <c r="MC88" s="12">
        <f>MC$4 * IF(AND(MB$4=1,MB$20=1), MO88, MM88)</f>
        <v>0</v>
      </c>
      <c r="MD88" s="12">
        <f>MD$4 * IF(AND(MC$4=1,MB$20=1), MO88, MM88)</f>
        <v>0</v>
      </c>
      <c r="ME88" s="12">
        <f>ME$4 * IF(AND(MD$4=1,MB$20=1), MO88, MM88)</f>
        <v>0</v>
      </c>
      <c r="MF88" s="12">
        <f>MF$4 * IF(AND(ME$4=1,MB$20=1), MO88, MM88)</f>
        <v>0</v>
      </c>
      <c r="MG88" s="12">
        <f>MG$4 * IF(AND(MF$4=1,MB$20=1), MO88, MM88)</f>
        <v>0</v>
      </c>
      <c r="MH88" s="12">
        <f>MH$4 * IF(AND(MG$4=1,MB$20=1), MO88, MM88)</f>
        <v>0</v>
      </c>
      <c r="MI88" s="12">
        <f>MI$4 * IF(AND(MH$4=1,MB$20=1), MO88, MM88)</f>
        <v>0</v>
      </c>
      <c r="MJ88" s="12">
        <f>MJ$4 * IF(AND(MI$4=1,MB$20=1), MO88, MM88)</f>
        <v>0</v>
      </c>
      <c r="ML88" t="s">
        <v>1304</v>
      </c>
      <c r="MM88">
        <f>_xlfn.XLOOKUP(ML88,'KPI Impacts'!$B$2:$H$2,'KPI Impacts'!$B88:$H88)</f>
        <v>0</v>
      </c>
      <c r="MN88" s="9" t="s">
        <v>1304</v>
      </c>
      <c r="MO88">
        <f>_xlfn.XLOOKUP(MN88,'KPI Impacts'!$B$2:$H$2,'KPI Impacts'!$B88:$H88)</f>
        <v>0</v>
      </c>
      <c r="MR88" s="12">
        <f>MR$4*NC88</f>
        <v>0</v>
      </c>
      <c r="MS88" s="12">
        <f>MS$4 * IF(AND(MR$4=1,MR$20=1), NE88, NC88)</f>
        <v>0</v>
      </c>
      <c r="MT88" s="12">
        <f>MT$4 * IF(AND(MS$4=1,MR$20=1), NE88, NC88)</f>
        <v>0</v>
      </c>
      <c r="MU88" s="12">
        <f>MU$4 * IF(AND(MT$4=1,MR$20=1), NE88, NC88)</f>
        <v>0</v>
      </c>
      <c r="MV88" s="12">
        <f>MV$4 * IF(AND(MU$4=1,MR$20=1), NE88, NC88)</f>
        <v>0</v>
      </c>
      <c r="MW88" s="12">
        <f>MW$4 * IF(AND(MV$4=1,MR$20=1), NE88, NC88)</f>
        <v>0</v>
      </c>
      <c r="MX88" s="12">
        <f>MX$4 * IF(AND(MW$4=1,MR$20=1), NE88, NC88)</f>
        <v>0</v>
      </c>
      <c r="MY88" s="12">
        <f>MY$4 * IF(AND(MX$4=1,MR$20=1), NE88, NC88)</f>
        <v>0</v>
      </c>
      <c r="MZ88" s="12">
        <f>MZ$4 * IF(AND(MY$4=1,MR$20=1), NE88, NC88)</f>
        <v>0</v>
      </c>
      <c r="NB88" t="s">
        <v>1304</v>
      </c>
      <c r="NC88">
        <f>_xlfn.XLOOKUP(NB88,'KPI Impacts'!$B$2:$H$2,'KPI Impacts'!$B88:$H88)</f>
        <v>0</v>
      </c>
      <c r="ND88" s="9" t="s">
        <v>1304</v>
      </c>
      <c r="NE88">
        <f>_xlfn.XLOOKUP(ND88,'KPI Impacts'!$B$2:$H$2,'KPI Impacts'!$B88:$H88)</f>
        <v>0</v>
      </c>
      <c r="NH88" s="12">
        <f>NH$4*NS88</f>
        <v>0</v>
      </c>
      <c r="NI88" s="12">
        <f>NI$4 * IF(AND(NH$4=1,NH$20=1), NU88, NS88)</f>
        <v>0</v>
      </c>
      <c r="NJ88" s="12">
        <f>NJ$4 * IF(AND(NI$4=1,NH$20=1), NU88, NS88)</f>
        <v>0</v>
      </c>
      <c r="NK88" s="12">
        <f>NK$4 * IF(AND(NJ$4=1,NH$20=1), NU88, NS88)</f>
        <v>0</v>
      </c>
      <c r="NL88" s="12">
        <f>NL$4 * IF(AND(NK$4=1,NH$20=1), NU88, NS88)</f>
        <v>0</v>
      </c>
      <c r="NM88" s="12">
        <f>NM$4 * IF(AND(NL$4=1,NH$20=1), NU88, NS88)</f>
        <v>0</v>
      </c>
      <c r="NN88" s="12">
        <f>NN$4 * IF(AND(NM$4=1,NH$20=1), NU88, NS88)</f>
        <v>0</v>
      </c>
      <c r="NO88" s="12">
        <f>NO$4 * IF(AND(NN$4=1,NH$20=1), NU88, NS88)</f>
        <v>0</v>
      </c>
      <c r="NP88" s="12">
        <f>NP$4 * IF(AND(NO$4=1,NH$20=1), NU88, NS88)</f>
        <v>0</v>
      </c>
      <c r="NR88" t="s">
        <v>1304</v>
      </c>
      <c r="NS88">
        <f>_xlfn.XLOOKUP(NR88,'KPI Impacts'!$B$2:$H$2,'KPI Impacts'!$B88:$H88)</f>
        <v>0</v>
      </c>
      <c r="NT88" s="9" t="s">
        <v>1304</v>
      </c>
      <c r="NU88">
        <f>_xlfn.XLOOKUP(NT88,'KPI Impacts'!$B$2:$H$2,'KPI Impacts'!$B88:$H88)</f>
        <v>0</v>
      </c>
      <c r="NX88" s="12">
        <f>NX$4*OI88</f>
        <v>0</v>
      </c>
      <c r="NY88" s="12">
        <f>NY$4 * IF(AND(NX$4=1,NX$20=1), OK88, OI88)</f>
        <v>0</v>
      </c>
      <c r="NZ88" s="12">
        <f>NZ$4 * IF(AND(NY$4=1,NX$20=1), OK88, OI88)</f>
        <v>0</v>
      </c>
      <c r="OA88" s="12">
        <f>OA$4 * IF(AND(NZ$4=1,NX$20=1), OK88, OI88)</f>
        <v>0</v>
      </c>
      <c r="OB88" s="12">
        <f>OB$4 * IF(AND(OA$4=1,NX$20=1), OK88, OI88)</f>
        <v>0</v>
      </c>
      <c r="OC88" s="12">
        <f>OC$4 * IF(AND(OB$4=1,NX$20=1), OK88, OI88)</f>
        <v>0</v>
      </c>
      <c r="OD88" s="12">
        <f>OD$4 * IF(AND(OC$4=1,NX$20=1), OK88, OI88)</f>
        <v>0</v>
      </c>
      <c r="OE88" s="12">
        <f>OE$4 * IF(AND(OD$4=1,NX$20=1), OK88, OI88)</f>
        <v>0</v>
      </c>
      <c r="OF88" s="12">
        <f>OF$4 * IF(AND(OE$4=1,NX$20=1), OK88, OI88)</f>
        <v>0</v>
      </c>
      <c r="OH88" t="s">
        <v>1304</v>
      </c>
      <c r="OI88">
        <f>_xlfn.XLOOKUP(OH88,'KPI Impacts'!$B$2:$H$2,'KPI Impacts'!$B88:$H88)</f>
        <v>0</v>
      </c>
      <c r="OJ88" s="9" t="s">
        <v>1304</v>
      </c>
      <c r="OK88">
        <f>_xlfn.XLOOKUP(OJ88,'KPI Impacts'!$B$2:$H$2,'KPI Impacts'!$B88:$H88)</f>
        <v>0</v>
      </c>
    </row>
    <row r="89" spans="1:401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M89" s="6"/>
      <c r="N89" s="6"/>
      <c r="O89" s="9"/>
      <c r="P89" s="12"/>
      <c r="Q89" s="12"/>
      <c r="R89" s="12"/>
      <c r="S89" s="12"/>
      <c r="T89" s="12"/>
      <c r="U89" s="12"/>
      <c r="V89" s="12"/>
      <c r="W89" s="12"/>
      <c r="X89" s="12"/>
      <c r="AG89" s="9"/>
      <c r="AH89" s="12"/>
      <c r="AI89" s="12"/>
      <c r="AJ89" s="12"/>
      <c r="AK89" s="12"/>
      <c r="AL89" s="12"/>
      <c r="AM89" s="12"/>
      <c r="AN89" s="12"/>
      <c r="AO89" s="12"/>
      <c r="AP89" s="12"/>
      <c r="AY89" s="9"/>
      <c r="AZ89" s="12"/>
      <c r="BA89" s="12"/>
      <c r="BB89" s="12"/>
      <c r="BC89" s="12"/>
      <c r="BD89" s="12"/>
      <c r="BE89" s="12"/>
      <c r="BF89" s="12"/>
      <c r="BG89" s="12"/>
      <c r="BH89" s="12"/>
      <c r="BJ89" s="16"/>
      <c r="BL89" s="35"/>
      <c r="BO89" s="9"/>
      <c r="BP89" s="12"/>
      <c r="BQ89" s="12"/>
      <c r="BR89" s="12"/>
      <c r="BS89" s="12"/>
      <c r="BT89" s="12"/>
      <c r="BU89" s="12"/>
      <c r="BV89" s="12"/>
      <c r="BW89" s="12"/>
      <c r="BX89" s="12"/>
      <c r="BZ89" s="16"/>
      <c r="CB89" s="9"/>
      <c r="CE89" s="9"/>
      <c r="CF89" s="12"/>
      <c r="CG89" s="12"/>
      <c r="CH89" s="12"/>
      <c r="CI89" s="12"/>
      <c r="CJ89" s="12"/>
      <c r="CK89" s="12"/>
      <c r="CL89" s="12"/>
      <c r="CM89" s="12"/>
      <c r="CN89" s="12"/>
      <c r="CP89" s="16"/>
      <c r="CR89" s="35"/>
      <c r="CU89" s="9"/>
      <c r="CV89" s="12"/>
      <c r="CW89" s="12"/>
      <c r="CX89" s="12"/>
      <c r="CY89" s="12"/>
      <c r="CZ89" s="12"/>
      <c r="DA89" s="12"/>
      <c r="DB89" s="12"/>
      <c r="DC89" s="12"/>
      <c r="DD89" s="12"/>
      <c r="DF89" s="16"/>
      <c r="DH89" s="35"/>
      <c r="DK89" s="9"/>
      <c r="DL89" s="12"/>
      <c r="DM89" s="12"/>
      <c r="DN89" s="12"/>
      <c r="DO89" s="12"/>
      <c r="DP89" s="12"/>
      <c r="DQ89" s="12"/>
      <c r="DR89" s="12"/>
      <c r="DS89" s="12"/>
      <c r="DT89" s="12"/>
      <c r="DV89" s="16"/>
      <c r="DX89" s="35"/>
      <c r="EA89" s="9"/>
      <c r="EB89" s="12"/>
      <c r="EC89" s="12"/>
      <c r="ED89" s="12"/>
      <c r="EE89" s="12"/>
      <c r="EF89" s="12"/>
      <c r="EG89" s="12"/>
      <c r="EH89" s="12"/>
      <c r="EI89" s="12"/>
      <c r="EJ89" s="12"/>
      <c r="EL89" s="16"/>
      <c r="EN89" s="35"/>
      <c r="EQ89" s="9"/>
      <c r="ER89" s="12"/>
      <c r="ES89" s="12"/>
      <c r="ET89" s="12"/>
      <c r="EU89" s="12"/>
      <c r="EV89" s="12"/>
      <c r="EW89" s="12"/>
      <c r="EX89" s="12"/>
      <c r="EY89" s="12"/>
      <c r="EZ89" s="12"/>
      <c r="FB89" s="16"/>
      <c r="FD89" s="35"/>
      <c r="FG89" s="9"/>
      <c r="FH89" s="12"/>
      <c r="FI89" s="12"/>
      <c r="FJ89" s="12"/>
      <c r="FK89" s="12"/>
      <c r="FL89" s="12"/>
      <c r="FM89" s="12"/>
      <c r="FN89" s="12"/>
      <c r="FO89" s="12"/>
      <c r="FP89" s="12"/>
      <c r="FR89" s="16"/>
      <c r="FT89" s="35"/>
      <c r="FW89" s="9"/>
      <c r="FX89" s="12"/>
      <c r="FY89" s="12"/>
      <c r="FZ89" s="12"/>
      <c r="GA89" s="12"/>
      <c r="GB89" s="12"/>
      <c r="GC89" s="12"/>
      <c r="GD89" s="12"/>
      <c r="GE89" s="12"/>
      <c r="GF89" s="12"/>
      <c r="GH89" s="16"/>
      <c r="GJ89" s="35"/>
      <c r="GN89" s="12"/>
      <c r="GO89" s="12"/>
      <c r="GP89" s="12"/>
      <c r="GQ89" s="12"/>
      <c r="GR89" s="12"/>
      <c r="GS89" s="12"/>
      <c r="GT89" s="12"/>
      <c r="GU89" s="12"/>
      <c r="GV89" s="12"/>
      <c r="GX89" s="16"/>
      <c r="GZ89" s="35"/>
      <c r="HD89" s="12"/>
      <c r="HE89" s="12"/>
      <c r="HF89" s="12"/>
      <c r="HG89" s="12"/>
      <c r="HH89" s="12"/>
      <c r="HI89" s="12"/>
      <c r="HJ89" s="12"/>
      <c r="HK89" s="12"/>
      <c r="HL89" s="12"/>
      <c r="HN89" s="16"/>
      <c r="HP89" s="35"/>
      <c r="HT89" s="12"/>
      <c r="HU89" s="12"/>
      <c r="HV89" s="12"/>
      <c r="HW89" s="12"/>
      <c r="HX89" s="12"/>
      <c r="HY89" s="12"/>
      <c r="HZ89" s="12"/>
      <c r="IA89" s="12"/>
      <c r="IB89" s="12"/>
      <c r="ID89" s="16"/>
      <c r="IF89" s="35"/>
      <c r="IJ89" s="12"/>
      <c r="IK89" s="12"/>
      <c r="IL89" s="12"/>
      <c r="IM89" s="12"/>
      <c r="IN89" s="12"/>
      <c r="IO89" s="12"/>
      <c r="IP89" s="12"/>
      <c r="IQ89" s="12"/>
      <c r="IR89" s="12"/>
      <c r="IT89" s="16"/>
      <c r="IV89" s="35"/>
      <c r="IZ89" s="12"/>
      <c r="JA89" s="12"/>
      <c r="JB89" s="12"/>
      <c r="JC89" s="12"/>
      <c r="JD89" s="12"/>
      <c r="JE89" s="12"/>
      <c r="JF89" s="12"/>
      <c r="JG89" s="12"/>
      <c r="JH89" s="12"/>
      <c r="JL89" s="9"/>
      <c r="JP89" s="12"/>
      <c r="JQ89" s="12"/>
      <c r="JR89" s="12"/>
      <c r="JS89" s="12"/>
      <c r="JT89" s="12"/>
      <c r="JU89" s="12"/>
      <c r="JV89" s="12"/>
      <c r="JW89" s="12"/>
      <c r="JX89" s="12"/>
      <c r="KB89" s="9"/>
      <c r="KF89" s="12"/>
      <c r="KG89" s="12"/>
      <c r="KH89" s="12"/>
      <c r="KI89" s="12"/>
      <c r="KJ89" s="12"/>
      <c r="KK89" s="12"/>
      <c r="KL89" s="12"/>
      <c r="KM89" s="12"/>
      <c r="KN89" s="12"/>
      <c r="KR89" s="9"/>
      <c r="KV89" s="12"/>
      <c r="KW89" s="12"/>
      <c r="KX89" s="12"/>
      <c r="KY89" s="12"/>
      <c r="KZ89" s="12"/>
      <c r="LA89" s="12"/>
      <c r="LB89" s="12"/>
      <c r="LC89" s="12"/>
      <c r="LD89" s="12"/>
      <c r="LH89" s="9"/>
      <c r="LL89" s="12"/>
      <c r="LM89" s="12"/>
      <c r="LN89" s="12"/>
      <c r="LO89" s="12"/>
      <c r="LP89" s="12"/>
      <c r="LQ89" s="12"/>
      <c r="LR89" s="12"/>
      <c r="LS89" s="12"/>
      <c r="LT89" s="12"/>
      <c r="LX89" s="9"/>
      <c r="MB89" s="12"/>
      <c r="MC89" s="12"/>
      <c r="MD89" s="12"/>
      <c r="ME89" s="12"/>
      <c r="MF89" s="12"/>
      <c r="MG89" s="12"/>
      <c r="MH89" s="12"/>
      <c r="MI89" s="12"/>
      <c r="MJ89" s="12"/>
      <c r="MN89" s="9"/>
      <c r="MR89" s="12"/>
      <c r="MS89" s="12"/>
      <c r="MT89" s="12"/>
      <c r="MU89" s="12"/>
      <c r="MV89" s="12"/>
      <c r="MW89" s="12"/>
      <c r="MX89" s="12"/>
      <c r="MY89" s="12"/>
      <c r="MZ89" s="12"/>
      <c r="ND89" s="9"/>
      <c r="NH89" s="12"/>
      <c r="NI89" s="12"/>
      <c r="NJ89" s="12"/>
      <c r="NK89" s="12"/>
      <c r="NL89" s="12"/>
      <c r="NM89" s="12"/>
      <c r="NN89" s="12"/>
      <c r="NO89" s="12"/>
      <c r="NP89" s="12"/>
      <c r="NT89" s="9"/>
      <c r="NX89" s="12"/>
      <c r="NY89" s="12"/>
      <c r="NZ89" s="12"/>
      <c r="OA89" s="12"/>
      <c r="OB89" s="12"/>
      <c r="OC89" s="12"/>
      <c r="OD89" s="12"/>
      <c r="OE89" s="12"/>
      <c r="OF89" s="12"/>
      <c r="OJ89" s="9"/>
    </row>
    <row r="90" spans="1:401" x14ac:dyDescent="0.2">
      <c r="B90" s="12"/>
      <c r="M90" s="6"/>
      <c r="O90" s="9"/>
      <c r="P90" s="12"/>
      <c r="Q90" s="12"/>
      <c r="R90" s="12"/>
      <c r="S90" s="12"/>
      <c r="T90" s="12"/>
      <c r="U90" s="12"/>
      <c r="V90" s="12"/>
      <c r="W90" s="12"/>
      <c r="X90" s="12"/>
      <c r="AG90" s="9"/>
      <c r="AH90" s="12"/>
      <c r="AI90" s="12"/>
      <c r="AJ90" s="12"/>
      <c r="AK90" s="12"/>
      <c r="AL90" s="12"/>
      <c r="AM90" s="12"/>
      <c r="AN90" s="12"/>
      <c r="AO90" s="12"/>
      <c r="AP90" s="12"/>
      <c r="AY90" s="9"/>
      <c r="AZ90" s="12"/>
      <c r="BA90" s="12"/>
      <c r="BB90" s="12"/>
      <c r="BC90" s="12"/>
      <c r="BD90" s="12"/>
      <c r="BE90" s="12"/>
      <c r="BF90" s="12"/>
      <c r="BG90" s="12"/>
      <c r="BH90" s="12"/>
      <c r="BJ90" s="16"/>
      <c r="BL90" s="35"/>
      <c r="BO90" s="9"/>
      <c r="BP90" s="12"/>
      <c r="BQ90" s="12"/>
      <c r="BR90" s="12"/>
      <c r="BS90" s="12"/>
      <c r="BT90" s="12"/>
      <c r="BU90" s="12"/>
      <c r="BV90" s="12"/>
      <c r="BW90" s="12"/>
      <c r="BX90" s="12"/>
      <c r="BZ90" s="16"/>
      <c r="CB90" s="9"/>
      <c r="CE90" s="9"/>
      <c r="CF90" s="12"/>
      <c r="CG90" s="12"/>
      <c r="CH90" s="12"/>
      <c r="CI90" s="12"/>
      <c r="CJ90" s="12"/>
      <c r="CK90" s="12"/>
      <c r="CL90" s="12"/>
      <c r="CM90" s="12"/>
      <c r="CN90" s="12"/>
      <c r="CP90" s="16"/>
      <c r="CR90" s="35"/>
      <c r="CU90" s="9"/>
      <c r="CV90" s="12"/>
      <c r="CW90" s="12"/>
      <c r="CX90" s="12"/>
      <c r="CY90" s="12"/>
      <c r="CZ90" s="12"/>
      <c r="DA90" s="12"/>
      <c r="DB90" s="12"/>
      <c r="DC90" s="12"/>
      <c r="DD90" s="12"/>
      <c r="DF90" s="16"/>
      <c r="DH90" s="35"/>
      <c r="DK90" s="9"/>
      <c r="DL90" s="12"/>
      <c r="DM90" s="12"/>
      <c r="DN90" s="12"/>
      <c r="DO90" s="12"/>
      <c r="DP90" s="12"/>
      <c r="DQ90" s="12"/>
      <c r="DR90" s="12"/>
      <c r="DS90" s="12"/>
      <c r="DT90" s="12"/>
      <c r="DV90" s="16"/>
      <c r="DX90" s="35"/>
      <c r="EA90" s="9"/>
      <c r="EB90" s="12"/>
      <c r="EC90" s="12"/>
      <c r="ED90" s="12"/>
      <c r="EE90" s="12"/>
      <c r="EF90" s="12"/>
      <c r="EG90" s="12"/>
      <c r="EH90" s="12"/>
      <c r="EI90" s="12"/>
      <c r="EJ90" s="12"/>
      <c r="EL90" s="16"/>
      <c r="EN90" s="35"/>
      <c r="EQ90" s="9"/>
      <c r="ER90" s="12"/>
      <c r="ES90" s="12"/>
      <c r="ET90" s="12"/>
      <c r="EU90" s="12"/>
      <c r="EV90" s="12"/>
      <c r="EW90" s="12"/>
      <c r="EX90" s="12"/>
      <c r="EY90" s="12"/>
      <c r="EZ90" s="12"/>
      <c r="FB90" s="16"/>
      <c r="FD90" s="35"/>
      <c r="FG90" s="9"/>
      <c r="FH90" s="12"/>
      <c r="FI90" s="12"/>
      <c r="FJ90" s="12"/>
      <c r="FK90" s="12"/>
      <c r="FL90" s="12"/>
      <c r="FM90" s="12"/>
      <c r="FN90" s="12"/>
      <c r="FO90" s="12"/>
      <c r="FP90" s="12"/>
      <c r="FR90" s="16"/>
      <c r="FT90" s="35"/>
      <c r="FW90" s="9"/>
      <c r="FX90" s="12"/>
      <c r="FY90" s="12"/>
      <c r="FZ90" s="12"/>
      <c r="GA90" s="12"/>
      <c r="GB90" s="12"/>
      <c r="GC90" s="12"/>
      <c r="GD90" s="12"/>
      <c r="GE90" s="12"/>
      <c r="GF90" s="12"/>
      <c r="GH90" s="16"/>
      <c r="GJ90" s="35"/>
      <c r="GN90" s="12"/>
      <c r="GO90" s="12"/>
      <c r="GP90" s="12"/>
      <c r="GQ90" s="12"/>
      <c r="GR90" s="12"/>
      <c r="GS90" s="12"/>
      <c r="GT90" s="12"/>
      <c r="GU90" s="12"/>
      <c r="GV90" s="12"/>
      <c r="GX90" s="16"/>
      <c r="GZ90" s="35"/>
      <c r="HD90" s="12"/>
      <c r="HE90" s="12"/>
      <c r="HF90" s="12"/>
      <c r="HG90" s="12"/>
      <c r="HH90" s="12"/>
      <c r="HI90" s="12"/>
      <c r="HJ90" s="12"/>
      <c r="HK90" s="12"/>
      <c r="HL90" s="12"/>
      <c r="HN90" s="16"/>
      <c r="HP90" s="35"/>
      <c r="HT90" s="12"/>
      <c r="HU90" s="12"/>
      <c r="HV90" s="12"/>
      <c r="HW90" s="12"/>
      <c r="HX90" s="12"/>
      <c r="HY90" s="12"/>
      <c r="HZ90" s="12"/>
      <c r="IA90" s="12"/>
      <c r="IB90" s="12"/>
      <c r="ID90" s="16"/>
      <c r="IF90" s="35"/>
      <c r="IJ90" s="12"/>
      <c r="IK90" s="12"/>
      <c r="IL90" s="12"/>
      <c r="IM90" s="12"/>
      <c r="IN90" s="12"/>
      <c r="IO90" s="12"/>
      <c r="IP90" s="12"/>
      <c r="IQ90" s="12"/>
      <c r="IR90" s="12"/>
      <c r="IT90" s="16"/>
      <c r="IV90" s="35"/>
      <c r="IZ90" s="12"/>
      <c r="JA90" s="12"/>
      <c r="JB90" s="12"/>
      <c r="JC90" s="12"/>
      <c r="JD90" s="12"/>
      <c r="JE90" s="12"/>
      <c r="JF90" s="12"/>
      <c r="JG90" s="12"/>
      <c r="JH90" s="12"/>
      <c r="JL90" s="9"/>
      <c r="JP90" s="12"/>
      <c r="JQ90" s="12"/>
      <c r="JR90" s="12"/>
      <c r="JS90" s="12"/>
      <c r="JT90" s="12"/>
      <c r="JU90" s="12"/>
      <c r="JV90" s="12"/>
      <c r="JW90" s="12"/>
      <c r="JX90" s="12"/>
      <c r="KB90" s="9"/>
      <c r="KF90" s="12"/>
      <c r="KG90" s="12"/>
      <c r="KH90" s="12"/>
      <c r="KI90" s="12"/>
      <c r="KJ90" s="12"/>
      <c r="KK90" s="12"/>
      <c r="KL90" s="12"/>
      <c r="KM90" s="12"/>
      <c r="KN90" s="12"/>
      <c r="KR90" s="9"/>
      <c r="KV90" s="12"/>
      <c r="KW90" s="12"/>
      <c r="KX90" s="12"/>
      <c r="KY90" s="12"/>
      <c r="KZ90" s="12"/>
      <c r="LA90" s="12"/>
      <c r="LB90" s="12"/>
      <c r="LC90" s="12"/>
      <c r="LD90" s="12"/>
      <c r="LH90" s="9"/>
      <c r="LL90" s="12"/>
      <c r="LM90" s="12"/>
      <c r="LN90" s="12"/>
      <c r="LO90" s="12"/>
      <c r="LP90" s="12"/>
      <c r="LQ90" s="12"/>
      <c r="LR90" s="12"/>
      <c r="LS90" s="12"/>
      <c r="LT90" s="12"/>
      <c r="LX90" s="9"/>
      <c r="MB90" s="12"/>
      <c r="MC90" s="12"/>
      <c r="MD90" s="12"/>
      <c r="ME90" s="12"/>
      <c r="MF90" s="12"/>
      <c r="MG90" s="12"/>
      <c r="MH90" s="12"/>
      <c r="MI90" s="12"/>
      <c r="MJ90" s="12"/>
      <c r="MN90" s="9"/>
      <c r="MR90" s="12"/>
      <c r="MS90" s="12"/>
      <c r="MT90" s="12"/>
      <c r="MU90" s="12"/>
      <c r="MV90" s="12"/>
      <c r="MW90" s="12"/>
      <c r="MX90" s="12"/>
      <c r="MY90" s="12"/>
      <c r="MZ90" s="12"/>
      <c r="ND90" s="9"/>
      <c r="NH90" s="12"/>
      <c r="NI90" s="12"/>
      <c r="NJ90" s="12"/>
      <c r="NK90" s="12"/>
      <c r="NL90" s="12"/>
      <c r="NM90" s="12"/>
      <c r="NN90" s="12"/>
      <c r="NO90" s="12"/>
      <c r="NP90" s="12"/>
      <c r="NT90" s="9"/>
      <c r="NX90" s="12"/>
      <c r="NY90" s="12"/>
      <c r="NZ90" s="12"/>
      <c r="OA90" s="12"/>
      <c r="OB90" s="12"/>
      <c r="OC90" s="12"/>
      <c r="OD90" s="12"/>
      <c r="OE90" s="12"/>
      <c r="OF90" s="12"/>
      <c r="OJ90" s="9"/>
    </row>
    <row r="91" spans="1:401" x14ac:dyDescent="0.2">
      <c r="M91" s="6"/>
      <c r="O91" s="5"/>
      <c r="P91" s="12"/>
      <c r="Q91" s="12"/>
      <c r="R91" s="12"/>
      <c r="S91" s="12"/>
      <c r="T91" s="12"/>
      <c r="U91" s="12"/>
      <c r="V91" s="12"/>
      <c r="W91" s="12"/>
      <c r="X91" s="12"/>
      <c r="AG91" s="5"/>
      <c r="AH91" s="12"/>
      <c r="AI91" s="12"/>
      <c r="AJ91" s="12"/>
      <c r="AK91" s="12"/>
      <c r="AL91" s="12"/>
      <c r="AM91" s="12"/>
      <c r="AN91" s="12"/>
      <c r="AO91" s="12"/>
      <c r="AP91" s="12"/>
      <c r="AY91" s="9"/>
      <c r="AZ91" s="12"/>
      <c r="BA91" s="12"/>
      <c r="BB91" s="12"/>
      <c r="BC91" s="12"/>
      <c r="BD91" s="12"/>
      <c r="BE91" s="12"/>
      <c r="BF91" s="12"/>
      <c r="BG91" s="12"/>
      <c r="BH91" s="12"/>
      <c r="BJ91" s="16"/>
      <c r="BL91" s="35"/>
      <c r="BO91" s="9"/>
      <c r="BP91" s="12"/>
      <c r="BQ91" s="12"/>
      <c r="BR91" s="12"/>
      <c r="BS91" s="12"/>
      <c r="BT91" s="12"/>
      <c r="BU91" s="12"/>
      <c r="BV91" s="12"/>
      <c r="BW91" s="12"/>
      <c r="BX91" s="12"/>
      <c r="BZ91" s="16"/>
      <c r="CB91" s="9"/>
      <c r="CE91" s="9"/>
      <c r="CF91" s="12"/>
      <c r="CG91" s="12"/>
      <c r="CH91" s="12"/>
      <c r="CI91" s="12"/>
      <c r="CJ91" s="12"/>
      <c r="CK91" s="12"/>
      <c r="CL91" s="12"/>
      <c r="CM91" s="12"/>
      <c r="CN91" s="12"/>
      <c r="CP91" s="16"/>
      <c r="CR91" s="35"/>
      <c r="CU91" s="9"/>
      <c r="CV91" s="12"/>
      <c r="CW91" s="12"/>
      <c r="CX91" s="12"/>
      <c r="CY91" s="12"/>
      <c r="CZ91" s="12"/>
      <c r="DA91" s="12"/>
      <c r="DB91" s="12"/>
      <c r="DC91" s="12"/>
      <c r="DD91" s="12"/>
      <c r="DF91" s="16"/>
      <c r="DH91" s="35"/>
      <c r="DK91" s="9"/>
      <c r="DL91" s="12"/>
      <c r="DM91" s="12"/>
      <c r="DN91" s="12"/>
      <c r="DO91" s="12"/>
      <c r="DP91" s="12"/>
      <c r="DQ91" s="12"/>
      <c r="DR91" s="12"/>
      <c r="DS91" s="12"/>
      <c r="DT91" s="12"/>
      <c r="DV91" s="16"/>
      <c r="DX91" s="35"/>
      <c r="EA91" s="9"/>
      <c r="EB91" s="12"/>
      <c r="EC91" s="12"/>
      <c r="ED91" s="12"/>
      <c r="EE91" s="12"/>
      <c r="EF91" s="12"/>
      <c r="EG91" s="12"/>
      <c r="EH91" s="12"/>
      <c r="EI91" s="12"/>
      <c r="EJ91" s="12"/>
      <c r="EL91" s="16"/>
      <c r="EN91" s="35"/>
      <c r="EQ91" s="9"/>
      <c r="ER91" s="12"/>
      <c r="ES91" s="12"/>
      <c r="ET91" s="12"/>
      <c r="EU91" s="12"/>
      <c r="EV91" s="12"/>
      <c r="EW91" s="12"/>
      <c r="EX91" s="12"/>
      <c r="EY91" s="12"/>
      <c r="EZ91" s="12"/>
      <c r="FB91" s="16"/>
      <c r="FD91" s="35"/>
      <c r="FG91" s="9"/>
      <c r="FH91" s="12"/>
      <c r="FI91" s="12"/>
      <c r="FJ91" s="12"/>
      <c r="FK91" s="12"/>
      <c r="FL91" s="12"/>
      <c r="FM91" s="12"/>
      <c r="FN91" s="12"/>
      <c r="FO91" s="12"/>
      <c r="FP91" s="12"/>
      <c r="FR91" s="16"/>
      <c r="FT91" s="35"/>
      <c r="FW91" s="9"/>
      <c r="FX91" s="12"/>
      <c r="FY91" s="12"/>
      <c r="FZ91" s="12"/>
      <c r="GA91" s="12"/>
      <c r="GB91" s="12"/>
      <c r="GC91" s="12"/>
      <c r="GD91" s="12"/>
      <c r="GE91" s="12"/>
      <c r="GF91" s="12"/>
      <c r="GH91" s="16"/>
      <c r="GJ91" s="35"/>
      <c r="GN91" s="12"/>
      <c r="GO91" s="12"/>
      <c r="GP91" s="12"/>
      <c r="GQ91" s="12"/>
      <c r="GR91" s="12"/>
      <c r="GS91" s="12"/>
      <c r="GT91" s="12"/>
      <c r="GU91" s="12"/>
      <c r="GV91" s="12"/>
      <c r="GX91" s="16"/>
      <c r="GZ91" s="35"/>
      <c r="HD91" s="12"/>
      <c r="HE91" s="12"/>
      <c r="HF91" s="12"/>
      <c r="HG91" s="12"/>
      <c r="HH91" s="12"/>
      <c r="HI91" s="12"/>
      <c r="HJ91" s="12"/>
      <c r="HK91" s="12"/>
      <c r="HL91" s="12"/>
      <c r="HN91" s="16"/>
      <c r="HP91" s="35"/>
      <c r="HT91" s="12"/>
      <c r="HU91" s="12"/>
      <c r="HV91" s="12"/>
      <c r="HW91" s="12"/>
      <c r="HX91" s="12"/>
      <c r="HY91" s="12"/>
      <c r="HZ91" s="12"/>
      <c r="IA91" s="12"/>
      <c r="IB91" s="12"/>
      <c r="ID91" s="16"/>
      <c r="IF91" s="35"/>
      <c r="IJ91" s="12"/>
      <c r="IK91" s="12"/>
      <c r="IL91" s="12"/>
      <c r="IM91" s="12"/>
      <c r="IN91" s="12"/>
      <c r="IO91" s="12"/>
      <c r="IP91" s="12"/>
      <c r="IQ91" s="12"/>
      <c r="IR91" s="12"/>
      <c r="IT91" s="16"/>
      <c r="IV91" s="35"/>
      <c r="IZ91" s="12"/>
      <c r="JA91" s="12"/>
      <c r="JB91" s="12"/>
      <c r="JC91" s="12"/>
      <c r="JD91" s="12"/>
      <c r="JE91" s="12"/>
      <c r="JF91" s="12"/>
      <c r="JG91" s="12"/>
      <c r="JH91" s="12"/>
      <c r="JL91" s="9"/>
      <c r="JP91" s="12"/>
      <c r="JQ91" s="12"/>
      <c r="JR91" s="12"/>
      <c r="JS91" s="12"/>
      <c r="JT91" s="12"/>
      <c r="JU91" s="12"/>
      <c r="JV91" s="12"/>
      <c r="JW91" s="12"/>
      <c r="JX91" s="12"/>
      <c r="KB91" s="9"/>
      <c r="KF91" s="12"/>
      <c r="KG91" s="12"/>
      <c r="KH91" s="12"/>
      <c r="KI91" s="12"/>
      <c r="KJ91" s="12"/>
      <c r="KK91" s="12"/>
      <c r="KL91" s="12"/>
      <c r="KM91" s="12"/>
      <c r="KN91" s="12"/>
      <c r="KR91" s="9"/>
      <c r="KV91" s="12"/>
      <c r="KW91" s="12"/>
      <c r="KX91" s="12"/>
      <c r="KY91" s="12"/>
      <c r="KZ91" s="12"/>
      <c r="LA91" s="12"/>
      <c r="LB91" s="12"/>
      <c r="LC91" s="12"/>
      <c r="LD91" s="12"/>
      <c r="LH91" s="9"/>
      <c r="LL91" s="12"/>
      <c r="LM91" s="12"/>
      <c r="LN91" s="12"/>
      <c r="LO91" s="12"/>
      <c r="LP91" s="12"/>
      <c r="LQ91" s="12"/>
      <c r="LR91" s="12"/>
      <c r="LS91" s="12"/>
      <c r="LT91" s="12"/>
      <c r="LX91" s="9"/>
      <c r="MB91" s="12"/>
      <c r="MC91" s="12"/>
      <c r="MD91" s="12"/>
      <c r="ME91" s="12"/>
      <c r="MF91" s="12"/>
      <c r="MG91" s="12"/>
      <c r="MH91" s="12"/>
      <c r="MI91" s="12"/>
      <c r="MJ91" s="12"/>
      <c r="MN91" s="9"/>
      <c r="MR91" s="12"/>
      <c r="MS91" s="12"/>
      <c r="MT91" s="12"/>
      <c r="MU91" s="12"/>
      <c r="MV91" s="12"/>
      <c r="MW91" s="12"/>
      <c r="MX91" s="12"/>
      <c r="MY91" s="12"/>
      <c r="MZ91" s="12"/>
      <c r="ND91" s="9"/>
      <c r="NH91" s="12"/>
      <c r="NI91" s="12"/>
      <c r="NJ91" s="12"/>
      <c r="NK91" s="12"/>
      <c r="NL91" s="12"/>
      <c r="NM91" s="12"/>
      <c r="NN91" s="12"/>
      <c r="NO91" s="12"/>
      <c r="NP91" s="12"/>
      <c r="NT91" s="9"/>
      <c r="NX91" s="12"/>
      <c r="NY91" s="12"/>
      <c r="NZ91" s="12"/>
      <c r="OA91" s="12"/>
      <c r="OB91" s="12"/>
      <c r="OC91" s="12"/>
      <c r="OD91" s="12"/>
      <c r="OE91" s="12"/>
      <c r="OF91" s="12"/>
      <c r="OJ91" s="9"/>
    </row>
    <row r="92" spans="1:401" x14ac:dyDescent="0.2">
      <c r="A92" s="5" t="s">
        <v>52</v>
      </c>
      <c r="B92" s="12"/>
      <c r="M92" s="6"/>
      <c r="P92" s="12"/>
      <c r="Q92" s="12"/>
      <c r="R92" s="12"/>
      <c r="S92" s="12"/>
      <c r="T92" s="12"/>
      <c r="U92" s="12"/>
      <c r="V92" s="12"/>
      <c r="W92" s="12"/>
      <c r="X92" s="12"/>
      <c r="AH92" s="12"/>
      <c r="AI92" s="12"/>
      <c r="AJ92" s="12"/>
      <c r="AK92" s="12"/>
      <c r="AL92" s="12"/>
      <c r="AM92" s="12"/>
      <c r="AN92" s="12"/>
      <c r="AO92" s="12"/>
      <c r="AP92" s="12"/>
      <c r="AY92" s="5"/>
      <c r="AZ92" s="12"/>
      <c r="BA92" s="12"/>
      <c r="BB92" s="12"/>
      <c r="BC92" s="12"/>
      <c r="BD92" s="12"/>
      <c r="BE92" s="12"/>
      <c r="BF92" s="12"/>
      <c r="BG92" s="12"/>
      <c r="BH92" s="12"/>
      <c r="BJ92" s="16"/>
      <c r="BL92" s="35"/>
      <c r="BO92" s="5"/>
      <c r="BP92" s="12"/>
      <c r="BQ92" s="12"/>
      <c r="BR92" s="12"/>
      <c r="BS92" s="12"/>
      <c r="BT92" s="12"/>
      <c r="BU92" s="12"/>
      <c r="BV92" s="12"/>
      <c r="BW92" s="12"/>
      <c r="BX92" s="12"/>
      <c r="BZ92" s="16"/>
      <c r="CB92" s="9"/>
      <c r="CE92" s="5"/>
      <c r="CF92" s="12"/>
      <c r="CG92" s="12"/>
      <c r="CH92" s="12"/>
      <c r="CI92" s="12"/>
      <c r="CJ92" s="12"/>
      <c r="CK92" s="12"/>
      <c r="CL92" s="12"/>
      <c r="CM92" s="12"/>
      <c r="CN92" s="12"/>
      <c r="CP92" s="16"/>
      <c r="CR92" s="35"/>
      <c r="CU92" s="5"/>
      <c r="CV92" s="12"/>
      <c r="CW92" s="12"/>
      <c r="CX92" s="12"/>
      <c r="CY92" s="12"/>
      <c r="CZ92" s="12"/>
      <c r="DA92" s="12"/>
      <c r="DB92" s="12"/>
      <c r="DC92" s="12"/>
      <c r="DD92" s="12"/>
      <c r="DF92" s="16"/>
      <c r="DH92" s="35"/>
      <c r="DK92" s="5"/>
      <c r="DL92" s="12"/>
      <c r="DM92" s="12"/>
      <c r="DN92" s="12"/>
      <c r="DO92" s="12"/>
      <c r="DP92" s="12"/>
      <c r="DQ92" s="12"/>
      <c r="DR92" s="12"/>
      <c r="DS92" s="12"/>
      <c r="DT92" s="12"/>
      <c r="DV92" s="16"/>
      <c r="DX92" s="35"/>
      <c r="EA92" s="5"/>
      <c r="EB92" s="12"/>
      <c r="EC92" s="12"/>
      <c r="ED92" s="12"/>
      <c r="EE92" s="12"/>
      <c r="EF92" s="12"/>
      <c r="EG92" s="12"/>
      <c r="EH92" s="12"/>
      <c r="EI92" s="12"/>
      <c r="EJ92" s="12"/>
      <c r="EL92" s="16"/>
      <c r="EN92" s="35"/>
      <c r="EQ92" s="5"/>
      <c r="ER92" s="12"/>
      <c r="ES92" s="12"/>
      <c r="ET92" s="12"/>
      <c r="EU92" s="12"/>
      <c r="EV92" s="12"/>
      <c r="EW92" s="12"/>
      <c r="EX92" s="12"/>
      <c r="EY92" s="12"/>
      <c r="EZ92" s="12"/>
      <c r="FB92" s="16"/>
      <c r="FD92" s="35"/>
      <c r="FG92" s="5"/>
      <c r="FH92" s="12"/>
      <c r="FI92" s="12"/>
      <c r="FJ92" s="12"/>
      <c r="FK92" s="12"/>
      <c r="FL92" s="12"/>
      <c r="FM92" s="12"/>
      <c r="FN92" s="12"/>
      <c r="FO92" s="12"/>
      <c r="FP92" s="12"/>
      <c r="FR92" s="16"/>
      <c r="FT92" s="35"/>
      <c r="FW92" s="5"/>
      <c r="FX92" s="12"/>
      <c r="FY92" s="12"/>
      <c r="FZ92" s="12"/>
      <c r="GA92" s="12"/>
      <c r="GB92" s="12"/>
      <c r="GC92" s="12"/>
      <c r="GD92" s="12"/>
      <c r="GE92" s="12"/>
      <c r="GF92" s="12"/>
      <c r="GH92" s="16"/>
      <c r="GJ92" s="35"/>
      <c r="GN92" s="12"/>
      <c r="GO92" s="12"/>
      <c r="GP92" s="12"/>
      <c r="GQ92" s="12"/>
      <c r="GR92" s="12"/>
      <c r="GS92" s="12"/>
      <c r="GT92" s="12"/>
      <c r="GU92" s="12"/>
      <c r="GV92" s="12"/>
      <c r="GX92" s="16"/>
      <c r="GZ92" s="35"/>
      <c r="HD92" s="12"/>
      <c r="HE92" s="12"/>
      <c r="HF92" s="12"/>
      <c r="HG92" s="12"/>
      <c r="HH92" s="12"/>
      <c r="HI92" s="12"/>
      <c r="HJ92" s="12"/>
      <c r="HK92" s="12"/>
      <c r="HL92" s="12"/>
      <c r="HN92" s="16"/>
      <c r="HP92" s="35"/>
      <c r="HT92" s="12"/>
      <c r="HU92" s="12"/>
      <c r="HV92" s="12"/>
      <c r="HW92" s="12"/>
      <c r="HX92" s="12"/>
      <c r="HY92" s="12"/>
      <c r="HZ92" s="12"/>
      <c r="IA92" s="12"/>
      <c r="IB92" s="12"/>
      <c r="ID92" s="16"/>
      <c r="IF92" s="35"/>
      <c r="IJ92" s="12"/>
      <c r="IK92" s="12"/>
      <c r="IL92" s="12"/>
      <c r="IM92" s="12"/>
      <c r="IN92" s="12"/>
      <c r="IO92" s="12"/>
      <c r="IP92" s="12"/>
      <c r="IQ92" s="12"/>
      <c r="IR92" s="12"/>
      <c r="IT92" s="16"/>
      <c r="IV92" s="35"/>
      <c r="IZ92" s="12"/>
      <c r="JA92" s="12"/>
      <c r="JB92" s="12"/>
      <c r="JC92" s="12"/>
      <c r="JD92" s="12"/>
      <c r="JE92" s="12"/>
      <c r="JF92" s="12"/>
      <c r="JG92" s="12"/>
      <c r="JH92" s="12"/>
      <c r="JL92" s="9"/>
      <c r="JP92" s="12"/>
      <c r="JQ92" s="12"/>
      <c r="JR92" s="12"/>
      <c r="JS92" s="12"/>
      <c r="JT92" s="12"/>
      <c r="JU92" s="12"/>
      <c r="JV92" s="12"/>
      <c r="JW92" s="12"/>
      <c r="JX92" s="12"/>
      <c r="KB92" s="9"/>
      <c r="KF92" s="12"/>
      <c r="KG92" s="12"/>
      <c r="KH92" s="12"/>
      <c r="KI92" s="12"/>
      <c r="KJ92" s="12"/>
      <c r="KK92" s="12"/>
      <c r="KL92" s="12"/>
      <c r="KM92" s="12"/>
      <c r="KN92" s="12"/>
      <c r="KR92" s="9"/>
      <c r="KV92" s="12"/>
      <c r="KW92" s="12"/>
      <c r="KX92" s="12"/>
      <c r="KY92" s="12"/>
      <c r="KZ92" s="12"/>
      <c r="LA92" s="12"/>
      <c r="LB92" s="12"/>
      <c r="LC92" s="12"/>
      <c r="LD92" s="12"/>
      <c r="LH92" s="9"/>
      <c r="LL92" s="12"/>
      <c r="LM92" s="12"/>
      <c r="LN92" s="12"/>
      <c r="LO92" s="12"/>
      <c r="LP92" s="12"/>
      <c r="LQ92" s="12"/>
      <c r="LR92" s="12"/>
      <c r="LS92" s="12"/>
      <c r="LT92" s="12"/>
      <c r="LX92" s="9"/>
      <c r="MB92" s="12"/>
      <c r="MC92" s="12"/>
      <c r="MD92" s="12"/>
      <c r="ME92" s="12"/>
      <c r="MF92" s="12"/>
      <c r="MG92" s="12"/>
      <c r="MH92" s="12"/>
      <c r="MI92" s="12"/>
      <c r="MJ92" s="12"/>
      <c r="MN92" s="9"/>
      <c r="MR92" s="12"/>
      <c r="MS92" s="12"/>
      <c r="MT92" s="12"/>
      <c r="MU92" s="12"/>
      <c r="MV92" s="12"/>
      <c r="MW92" s="12"/>
      <c r="MX92" s="12"/>
      <c r="MY92" s="12"/>
      <c r="MZ92" s="12"/>
      <c r="ND92" s="9"/>
      <c r="NH92" s="12"/>
      <c r="NI92" s="12"/>
      <c r="NJ92" s="12"/>
      <c r="NK92" s="12"/>
      <c r="NL92" s="12"/>
      <c r="NM92" s="12"/>
      <c r="NN92" s="12"/>
      <c r="NO92" s="12"/>
      <c r="NP92" s="12"/>
      <c r="NT92" s="9"/>
      <c r="NX92" s="12"/>
      <c r="NY92" s="12"/>
      <c r="NZ92" s="12"/>
      <c r="OA92" s="12"/>
      <c r="OB92" s="12"/>
      <c r="OC92" s="12"/>
      <c r="OD92" s="12"/>
      <c r="OE92" s="12"/>
      <c r="OF92" s="12"/>
      <c r="OJ92" s="9"/>
    </row>
    <row r="93" spans="1:401" x14ac:dyDescent="0.2">
      <c r="A93" t="s">
        <v>56</v>
      </c>
      <c r="B93" s="12">
        <f t="shared" ref="B93:J96" si="520">P93+AH93+AZ93+BP93+CF93+CV93+DL93+EB93+ER93+FH93+FX93+GN93+HD93+HT93+IJ93+IZ93+JP93+KF93+KV93+LL93+MB93+MR93+NH93+NX93</f>
        <v>0</v>
      </c>
      <c r="C93" s="12">
        <f t="shared" si="520"/>
        <v>0</v>
      </c>
      <c r="D93" s="12">
        <f t="shared" si="520"/>
        <v>0</v>
      </c>
      <c r="E93" s="12">
        <f t="shared" si="520"/>
        <v>0</v>
      </c>
      <c r="F93" s="12">
        <f t="shared" si="520"/>
        <v>0</v>
      </c>
      <c r="G93" s="12">
        <f t="shared" si="520"/>
        <v>0</v>
      </c>
      <c r="H93" s="12">
        <f t="shared" si="520"/>
        <v>0</v>
      </c>
      <c r="I93" s="12">
        <f t="shared" si="520"/>
        <v>0</v>
      </c>
      <c r="J93" s="12">
        <f t="shared" si="520"/>
        <v>0</v>
      </c>
      <c r="M93" s="6"/>
      <c r="N93" s="6"/>
      <c r="P93" s="12" cm="1">
        <f t="array" ref="P93">_xlfn.SWITCH(P$4, 0,0, 1, AA93,2,AC93,3,AE93,0)</f>
        <v>0</v>
      </c>
      <c r="Q93" s="12" cm="1">
        <f t="array" ref="Q93">_xlfn.SWITCH(Q$4, 0,0, 1, AA93,2,AC93,3,AE93,0)+P93</f>
        <v>0</v>
      </c>
      <c r="R93" s="12" cm="1">
        <f t="array" ref="R93">_xlfn.SWITCH(R$4, 0,0, 1, AA93,2,AC93,3,AE93,0)+Q93</f>
        <v>0</v>
      </c>
      <c r="S93" s="12" cm="1">
        <f t="array" ref="S93">_xlfn.SWITCH(S$4, 0,0, 1, AA93,2,AC93,3,AE93,0)+R93</f>
        <v>0</v>
      </c>
      <c r="T93" s="12" cm="1">
        <f t="array" ref="T93">_xlfn.SWITCH(T$4, 0,0, 1, AA93,2,AC93,3,AE93,0)+S93</f>
        <v>0</v>
      </c>
      <c r="U93" s="12" cm="1">
        <f t="array" ref="U93">_xlfn.SWITCH(U$4, 0,0, 1, AA93,2,AC93,3,AE93,0)+T93</f>
        <v>0</v>
      </c>
      <c r="V93" s="12" cm="1">
        <f t="array" ref="V93">_xlfn.SWITCH(V$4, 0,0, 1, AA93,2,AC93,3,AE93,0)+U93</f>
        <v>0</v>
      </c>
      <c r="W93" s="12" cm="1">
        <f t="array" ref="W93">_xlfn.SWITCH(W$4, 0,0, 1, AA93,2,AC93,3,AE93,0)+V93</f>
        <v>0</v>
      </c>
      <c r="X93" s="12" cm="1">
        <f t="array" ref="X93">_xlfn.SWITCH(X$4, 0,0, 1, AA93,2,AC93,3,AE93,0)+W93</f>
        <v>0</v>
      </c>
      <c r="Z93" t="s">
        <v>1308</v>
      </c>
      <c r="AA93">
        <f>_xlfn.XLOOKUP(Z93,'KPI Impacts'!$K$2:$Q$2,'KPI Impacts'!$K93:$Q93)</f>
        <v>0.3</v>
      </c>
      <c r="AB93" t="s">
        <v>1310</v>
      </c>
      <c r="AC93">
        <f>_xlfn.XLOOKUP(AB93,'KPI Impacts'!$K$2:$Q$2,'KPI Impacts'!$K93:$Q93)</f>
        <v>0.6</v>
      </c>
      <c r="AD93" t="s">
        <v>1309</v>
      </c>
      <c r="AE93">
        <f>_xlfn.XLOOKUP(AD93,'KPI Impacts'!$K$2:$Q$2,'KPI Impacts'!$K93:$Q93)</f>
        <v>0.89999999999999991</v>
      </c>
      <c r="AH93" s="12" cm="1">
        <f t="array" ref="AH93">_xlfn.SWITCH(AH$4, 0,0, 1, AS93,2,AU93,3,AW93,0)</f>
        <v>0</v>
      </c>
      <c r="AI93" s="12" cm="1">
        <f t="array" ref="AI93">_xlfn.SWITCH(AI$4, 0,0, 1, AS93,2,AU93,3,AW93,0)+AH93</f>
        <v>0</v>
      </c>
      <c r="AJ93" s="12" cm="1">
        <f t="array" ref="AJ93">_xlfn.SWITCH(AJ$4, 0,0, 1, AS93,2,AU93,3,AW93,0)+AI93</f>
        <v>0</v>
      </c>
      <c r="AK93" s="12" cm="1">
        <f t="array" ref="AK93">_xlfn.SWITCH(AK$4, 0,0, 1, AS93,2,AU93,3,AW93,0)+AJ93</f>
        <v>0</v>
      </c>
      <c r="AL93" s="12" cm="1">
        <f t="array" ref="AL93">_xlfn.SWITCH(AL$4, 0,0, 1, AS93,2,AU93,3,AW93,0)+AK93</f>
        <v>0</v>
      </c>
      <c r="AM93" s="12" cm="1">
        <f t="array" ref="AM93">_xlfn.SWITCH(AM$4, 0,0, 1, AS93,2,AU93,3,AW93,0)+AL93</f>
        <v>0</v>
      </c>
      <c r="AN93" s="12" cm="1">
        <f t="array" ref="AN93">_xlfn.SWITCH(AN$4, 0,0, 1, AS93,2,AU93,3,AW93,0)+AM93</f>
        <v>0</v>
      </c>
      <c r="AO93" s="12" cm="1">
        <f t="array" ref="AO93">_xlfn.SWITCH(AO$4, 0,0, 1, AS93,2,AU93,3,AW93,0)+AN93</f>
        <v>0</v>
      </c>
      <c r="AP93" s="12" cm="1">
        <f t="array" ref="AP93">_xlfn.SWITCH(AP$4, 0,0, 1, AS93,2,AU93,3,AW93,0)+AO93</f>
        <v>0</v>
      </c>
      <c r="AR93" t="s">
        <v>1308</v>
      </c>
      <c r="AS93">
        <f>_xlfn.XLOOKUP(AR93,'KPI Impacts'!$K$2:$Q$2,'KPI Impacts'!$K93:$Q93)</f>
        <v>0.3</v>
      </c>
      <c r="AT93" t="s">
        <v>1310</v>
      </c>
      <c r="AU93">
        <f>_xlfn.XLOOKUP(AT93,'KPI Impacts'!$K$2:$Q$2,'KPI Impacts'!$K93:$Q93)</f>
        <v>0.6</v>
      </c>
      <c r="AV93" t="s">
        <v>1309</v>
      </c>
      <c r="AW93">
        <f>_xlfn.XLOOKUP(AV93,'KPI Impacts'!$K$2:$Q$2,'KPI Impacts'!$K93:$Q93)</f>
        <v>0.89999999999999991</v>
      </c>
      <c r="AZ93" s="12">
        <f>AZ$4*BK93</f>
        <v>0</v>
      </c>
      <c r="BA93" s="12">
        <f>BA$4 * IF(AND(AZ$4=1,AZ$20=1), BM93, BK93)</f>
        <v>0</v>
      </c>
      <c r="BB93" s="12">
        <f>BB$4 * IF(AND(BA$4=1,AZ$20=1), BM93, BK93)</f>
        <v>0</v>
      </c>
      <c r="BC93" s="12">
        <f>BC$4 * IF(AND(BB$4=1,AZ$20=1), BM93, BK93)</f>
        <v>0</v>
      </c>
      <c r="BD93" s="12">
        <f>BD$4 * IF(AND(BC$4=1,AZ$20=1), BM93, BK93)</f>
        <v>0</v>
      </c>
      <c r="BE93" s="12">
        <f>BE$4 * IF(AND(BD$4=1,AZ$20=1), BM93, BK93)</f>
        <v>0</v>
      </c>
      <c r="BF93" s="12">
        <f>BF$4 * IF(AND(BE$4=1,AZ$20=1), BM93, BK93)</f>
        <v>0</v>
      </c>
      <c r="BG93" s="12">
        <f>BG$4 * IF(AND(BF$4=1,AZ$20=1), BM93, BK93)</f>
        <v>0</v>
      </c>
      <c r="BH93" s="12">
        <f>BH$4 * IF(AND(BG$4=1,AZ$20=1), BM93, BK93)</f>
        <v>0</v>
      </c>
      <c r="BJ93" s="16" t="s">
        <v>1304</v>
      </c>
      <c r="BK93">
        <f>_xlfn.XLOOKUP(BJ93,'KPI Impacts'!$B$2:$H$2,'KPI Impacts'!$B93:$H93)</f>
        <v>0</v>
      </c>
      <c r="BL93" s="35" t="s">
        <v>1304</v>
      </c>
      <c r="BM93">
        <f>_xlfn.XLOOKUP(BL93,'KPI Impacts'!$B$2:$H$2,'KPI Impacts'!$B93:$H93)</f>
        <v>0</v>
      </c>
      <c r="BP93" s="12">
        <f>BP$4*CA93</f>
        <v>0</v>
      </c>
      <c r="BQ93" s="12">
        <f>BQ$4 * IF(AND(BP$4=1,BP$20=1), CC93, CA93)</f>
        <v>0</v>
      </c>
      <c r="BR93" s="12">
        <f>BR$4 * IF(AND(BQ$4=1,BP$20=1), CC93, CA93)</f>
        <v>0</v>
      </c>
      <c r="BS93" s="12">
        <f>BS$4 * IF(AND(BR$4=1,BP$20=1), CC93, CA93)</f>
        <v>0</v>
      </c>
      <c r="BT93" s="12">
        <f>BT$4 * IF(AND(BS$4=1,BP$20=1), CC93, CA93)</f>
        <v>0</v>
      </c>
      <c r="BU93" s="12">
        <f>BU$4 * IF(AND(BT$4=1,BP$20=1), CC93, CA93)</f>
        <v>0</v>
      </c>
      <c r="BV93" s="12">
        <f>BV$4 * IF(AND(BU$4=1,BP$20=1), CC93, CA93)</f>
        <v>0</v>
      </c>
      <c r="BW93" s="12">
        <f>BW$4 * IF(AND(BV$4=1,BP$20=1), CC93, CA93)</f>
        <v>0</v>
      </c>
      <c r="BX93" s="12">
        <f>BX$4 * IF(AND(BW$4=1,BP$20=1), CC93, CA93)</f>
        <v>0</v>
      </c>
      <c r="BZ93" s="30" t="s">
        <v>1308</v>
      </c>
      <c r="CA93">
        <f>_xlfn.XLOOKUP(BZ93,'KPI Impacts'!$B$2:$H$2,'KPI Impacts'!$B93:$H93)</f>
        <v>1</v>
      </c>
      <c r="CB93" s="9" t="s">
        <v>1304</v>
      </c>
      <c r="CC93">
        <f>_xlfn.XLOOKUP(CB93,'KPI Impacts'!$B$2:$H$2,'KPI Impacts'!$B93:$H93)</f>
        <v>0</v>
      </c>
      <c r="CF93" s="12">
        <f>CF$4*CQ93</f>
        <v>0</v>
      </c>
      <c r="CG93" s="12">
        <f>CG$4 * IF(AND(CF$4=1,CF$20=1), CS93, CQ93)</f>
        <v>0</v>
      </c>
      <c r="CH93" s="12">
        <f>CH$4 * IF(AND(CG$4=1,CF$20=1), CS93, CQ93)</f>
        <v>0</v>
      </c>
      <c r="CI93" s="12">
        <f>CI$4 * IF(AND(CH$4=1,CF$20=1), CS93, CQ93)</f>
        <v>0</v>
      </c>
      <c r="CJ93" s="12">
        <f>CJ$4 * IF(AND(CI$4=1,CF$20=1), CS93, CQ93)</f>
        <v>0</v>
      </c>
      <c r="CK93" s="12">
        <f>CK$4 * IF(AND(CJ$4=1,CF$20=1), CS93, CQ93)</f>
        <v>0</v>
      </c>
      <c r="CL93" s="12">
        <f>CL$4 * IF(AND(CK$4=1,CF$20=1), CS93, CQ93)</f>
        <v>0</v>
      </c>
      <c r="CM93" s="12">
        <f>CM$4 * IF(AND(CL$4=1,CF$20=1), CS93, CQ93)</f>
        <v>0</v>
      </c>
      <c r="CN93" s="12">
        <f>CN$4 * IF(AND(CM$4=1,CF$20=1), CS93, CQ93)</f>
        <v>0</v>
      </c>
      <c r="CP93" s="16" t="s">
        <v>1304</v>
      </c>
      <c r="CQ93">
        <f>_xlfn.XLOOKUP(CP93,'KPI Impacts'!$B$2:$H$2,'KPI Impacts'!$B93:$H93)</f>
        <v>0</v>
      </c>
      <c r="CR93" s="35" t="s">
        <v>1304</v>
      </c>
      <c r="CS93">
        <f>_xlfn.XLOOKUP(CR93,'KPI Impacts'!$B$2:$H$2,'KPI Impacts'!$B93:$H93)</f>
        <v>0</v>
      </c>
      <c r="CV93" s="12">
        <f>CV$4*DG93</f>
        <v>0</v>
      </c>
      <c r="CW93" s="12">
        <f>CW$4 * IF(AND(CV$4=1,CV$20=1), DI93, DG93)</f>
        <v>0</v>
      </c>
      <c r="CX93" s="12">
        <f>CX$4 * IF(AND(CW$4=1,CV$20=1), DI93, DG93)</f>
        <v>0</v>
      </c>
      <c r="CY93" s="12">
        <f>CY$4 * IF(AND(CX$4=1,CV$20=1), DI93, DG93)</f>
        <v>0</v>
      </c>
      <c r="CZ93" s="12">
        <f>CZ$4 * IF(AND(CY$4=1,CV$20=1), DI93, DG93)</f>
        <v>0</v>
      </c>
      <c r="DA93" s="12">
        <f>DA$4 * IF(AND(CZ$4=1,CV$20=1), DI93, DG93)</f>
        <v>0</v>
      </c>
      <c r="DB93" s="12">
        <f>DB$4 * IF(AND(DA$4=1,CV$20=1), DI93, DG93)</f>
        <v>0</v>
      </c>
      <c r="DC93" s="12">
        <f>DC$4 * IF(AND(DB$4=1,CV$20=1), DI93, DG93)</f>
        <v>0</v>
      </c>
      <c r="DD93" s="12">
        <f>DD$4 * IF(AND(DC$4=1,CV$20=1), DI93, DG93)</f>
        <v>0</v>
      </c>
      <c r="DF93" s="30" t="s">
        <v>1310</v>
      </c>
      <c r="DG93">
        <f>_xlfn.XLOOKUP(DF93,'KPI Impacts'!$B$2:$H$2,'KPI Impacts'!$B93:$H93)</f>
        <v>1.5</v>
      </c>
      <c r="DH93" s="35" t="s">
        <v>1304</v>
      </c>
      <c r="DI93">
        <f>_xlfn.XLOOKUP(DH93,'KPI Impacts'!$B$2:$H$2,'KPI Impacts'!$B93:$H93)</f>
        <v>0</v>
      </c>
      <c r="DL93" s="12">
        <f>DL$4*DW93</f>
        <v>0</v>
      </c>
      <c r="DM93" s="12">
        <f>DM$4 * IF(AND(DL$4=1,DL$20=1), DY93, DW93)</f>
        <v>0</v>
      </c>
      <c r="DN93" s="12">
        <f>DN$4 * IF(AND(DM$4=1,DL$20=1), DY93, DW93)</f>
        <v>0</v>
      </c>
      <c r="DO93" s="12">
        <f>DO$4 * IF(AND(DN$4=1,DL$20=1), DY93, DW93)</f>
        <v>0</v>
      </c>
      <c r="DP93" s="12">
        <f>DP$4 * IF(AND(DO$4=1,DL$20=1), DY93, DW93)</f>
        <v>0</v>
      </c>
      <c r="DQ93" s="12">
        <f>DQ$4 * IF(AND(DP$4=1,DL$20=1), DY93, DW93)</f>
        <v>0</v>
      </c>
      <c r="DR93" s="12">
        <f>DR$4 * IF(AND(DQ$4=1,DL$20=1), DY93, DW93)</f>
        <v>0</v>
      </c>
      <c r="DS93" s="12">
        <f>DS$4 * IF(AND(DR$4=1,DL$20=1), DY93, DW93)</f>
        <v>0</v>
      </c>
      <c r="DT93" s="12">
        <f>DT$4 * IF(AND(DS$4=1,DL$20=1), DY93, DW93)</f>
        <v>0</v>
      </c>
      <c r="DV93" s="30" t="s">
        <v>1310</v>
      </c>
      <c r="DW93">
        <f>_xlfn.XLOOKUP(DV93,'KPI Impacts'!$B$2:$H$2,'KPI Impacts'!$B93:$H93)</f>
        <v>1.5</v>
      </c>
      <c r="DX93" s="35" t="s">
        <v>1304</v>
      </c>
      <c r="DY93">
        <f>_xlfn.XLOOKUP(DX93,'KPI Impacts'!$B$2:$H$2,'KPI Impacts'!$B93:$H93)</f>
        <v>0</v>
      </c>
      <c r="EB93" s="12">
        <f>EB$4*EM93</f>
        <v>0</v>
      </c>
      <c r="EC93" s="12">
        <f>EC$4 * IF(AND(EB$4=1,EB$20=1), EO93, EM93)</f>
        <v>0</v>
      </c>
      <c r="ED93" s="12">
        <f>ED$4 * IF(AND(EC$4=1,EB$20=1), EO93, EM93)</f>
        <v>0</v>
      </c>
      <c r="EE93" s="12">
        <f>EE$4 * IF(AND(ED$4=1,EB$20=1), EO93, EM93)</f>
        <v>0</v>
      </c>
      <c r="EF93" s="12">
        <f>EF$4 * IF(AND(EE$4=1,EB$20=1), EO93, EM93)</f>
        <v>0</v>
      </c>
      <c r="EG93" s="12">
        <f>EG$4 * IF(AND(EF$4=1,EB$20=1), EO93, EM93)</f>
        <v>0</v>
      </c>
      <c r="EH93" s="12">
        <f>EH$4 * IF(AND(EG$4=1,EB$20=1), EO93, EM93)</f>
        <v>0</v>
      </c>
      <c r="EI93" s="12">
        <f>EI$4 * IF(AND(EH$4=1,EB$20=1), EO93, EM93)</f>
        <v>0</v>
      </c>
      <c r="EJ93" s="12">
        <f>EJ$4 * IF(AND(EI$4=1,EB$20=1), EO93, EM93)</f>
        <v>0</v>
      </c>
      <c r="EL93" s="16" t="s">
        <v>1304</v>
      </c>
      <c r="EM93">
        <f>_xlfn.XLOOKUP(EL93,'KPI Impacts'!$B$2:$H$2,'KPI Impacts'!$B93:$H93)</f>
        <v>0</v>
      </c>
      <c r="EN93" s="35" t="s">
        <v>1304</v>
      </c>
      <c r="EO93">
        <f>_xlfn.XLOOKUP(EN93,'KPI Impacts'!$B$2:$H$2,'KPI Impacts'!$B93:$H93)</f>
        <v>0</v>
      </c>
      <c r="ER93" s="12">
        <f>ER$4*FC93</f>
        <v>0</v>
      </c>
      <c r="ES93" s="12">
        <f>ES$4 * IF(AND(ER$4=1,ER$20=1), FE93, FC93)</f>
        <v>0</v>
      </c>
      <c r="ET93" s="12">
        <f>ET$4 * IF(AND(ES$4=1,ER$20=1), FE93, FC93)</f>
        <v>0</v>
      </c>
      <c r="EU93" s="12">
        <f>EU$4 * IF(AND(ET$4=1,ER$20=1), FE93, FC93)</f>
        <v>0</v>
      </c>
      <c r="EV93" s="12">
        <f>EV$4 * IF(AND(EU$4=1,ER$20=1), FE93, FC93)</f>
        <v>0</v>
      </c>
      <c r="EW93" s="12">
        <f>EW$4 * IF(AND(EV$4=1,ER$20=1), FE93, FC93)</f>
        <v>0</v>
      </c>
      <c r="EX93" s="12">
        <f>EX$4 * IF(AND(EW$4=1,ER$20=1), FE93, FC93)</f>
        <v>0</v>
      </c>
      <c r="EY93" s="12">
        <f>EY$4 * IF(AND(EX$4=1,ER$20=1), FE93, FC93)</f>
        <v>0</v>
      </c>
      <c r="EZ93" s="12">
        <f>EZ$4 * IF(AND(EY$4=1,ER$20=1), FE93, FC93)</f>
        <v>0</v>
      </c>
      <c r="FB93" s="30" t="s">
        <v>1310</v>
      </c>
      <c r="FC93">
        <f>_xlfn.XLOOKUP(FB93,'KPI Impacts'!$B$2:$H$2,'KPI Impacts'!$B93:$H93)</f>
        <v>1.5</v>
      </c>
      <c r="FD93" s="35" t="s">
        <v>1304</v>
      </c>
      <c r="FE93">
        <f>_xlfn.XLOOKUP(FD93,'KPI Impacts'!$B$2:$H$2,'KPI Impacts'!$B93:$H93)</f>
        <v>0</v>
      </c>
      <c r="FH93" s="12">
        <f>FH$4*FS93</f>
        <v>0</v>
      </c>
      <c r="FI93" s="12">
        <f>FI$4 * IF(AND(FH$4=1,FH$20=1), FU93, FS93)</f>
        <v>0</v>
      </c>
      <c r="FJ93" s="12">
        <f>FJ$4 * IF(AND(FI$4=1,FH$20=1), FU93, FS93)</f>
        <v>0</v>
      </c>
      <c r="FK93" s="12">
        <f>FK$4 * IF(AND(FJ$4=1,FH$20=1), FU93, FS93)</f>
        <v>0</v>
      </c>
      <c r="FL93" s="12">
        <f>FL$4 * IF(AND(FK$4=1,FH$20=1), FU93, FS93)</f>
        <v>0</v>
      </c>
      <c r="FM93" s="12">
        <f>FM$4 * IF(AND(FL$4=1,FH$20=1), FU93, FS93)</f>
        <v>0</v>
      </c>
      <c r="FN93" s="12">
        <f>FN$4 * IF(AND(FM$4=1,FH$20=1), FU93, FS93)</f>
        <v>0</v>
      </c>
      <c r="FO93" s="12">
        <f>FO$4 * IF(AND(FN$4=1,FH$20=1), FU93, FS93)</f>
        <v>0</v>
      </c>
      <c r="FP93" s="12">
        <f>FP$4 * IF(AND(FO$4=1,FH$20=1), FU93, FS93)</f>
        <v>0</v>
      </c>
      <c r="FR93" s="30" t="s">
        <v>1308</v>
      </c>
      <c r="FS93">
        <f>_xlfn.XLOOKUP(FR93,'KPI Impacts'!$B$2:$H$2,'KPI Impacts'!$B93:$H93)</f>
        <v>1</v>
      </c>
      <c r="FT93" s="35" t="s">
        <v>1304</v>
      </c>
      <c r="FU93">
        <f>_xlfn.XLOOKUP(FT93,'KPI Impacts'!$B$2:$H$2,'KPI Impacts'!$B93:$H93)</f>
        <v>0</v>
      </c>
      <c r="FX93" s="12">
        <f>FX$4*GI93</f>
        <v>0</v>
      </c>
      <c r="FY93" s="12">
        <f>FY$4 * IF(AND(FX$4=1,FX$20=1), GK93, GI93)</f>
        <v>0</v>
      </c>
      <c r="FZ93" s="12">
        <f>FZ$4 * IF(AND(FY$4=1,FX$20=1), GK93, GI93)</f>
        <v>0</v>
      </c>
      <c r="GA93" s="12">
        <f>GA$4 * IF(AND(FZ$4=1,FX$20=1), GK93, GI93)</f>
        <v>0</v>
      </c>
      <c r="GB93" s="12">
        <f>GB$4 * IF(AND(GA$4=1,FX$20=1), GK93, GI93)</f>
        <v>0</v>
      </c>
      <c r="GC93" s="12">
        <f>GC$4 * IF(AND(GB$4=1,FX$20=1), GK93, GI93)</f>
        <v>0</v>
      </c>
      <c r="GD93" s="12">
        <f>GD$4 * IF(AND(GC$4=1,FX$20=1), GK93, GI93)</f>
        <v>0</v>
      </c>
      <c r="GE93" s="12">
        <f>GE$4 * IF(AND(GD$4=1,FX$20=1), GK93, GI93)</f>
        <v>0</v>
      </c>
      <c r="GF93" s="12">
        <f>GF$4 * IF(AND(GE$4=1,FX$20=1), GK93, GI93)</f>
        <v>0</v>
      </c>
      <c r="GH93" s="16" t="s">
        <v>1304</v>
      </c>
      <c r="GI93">
        <f>_xlfn.XLOOKUP(GH93,'KPI Impacts'!$B$2:$H$2,'KPI Impacts'!$B93:$H93)</f>
        <v>0</v>
      </c>
      <c r="GJ93" s="35" t="s">
        <v>1304</v>
      </c>
      <c r="GK93">
        <f>_xlfn.XLOOKUP(GJ93,'KPI Impacts'!$B$2:$H$2,'KPI Impacts'!$B93:$H93)</f>
        <v>0</v>
      </c>
      <c r="GN93" s="12">
        <f>GN$4*GY93</f>
        <v>0</v>
      </c>
      <c r="GO93" s="12">
        <f>GO$4 * IF(AND(GN$4=1,GN$20=1), HA93, GY93)</f>
        <v>0</v>
      </c>
      <c r="GP93" s="12">
        <f>GP$4 * IF(AND(GO$4=1,GN$20=1), HA93, GY93)</f>
        <v>0</v>
      </c>
      <c r="GQ93" s="12">
        <f>GQ$4 * IF(AND(GP$4=1,GN$20=1), HA93, GY93)</f>
        <v>0</v>
      </c>
      <c r="GR93" s="12">
        <f>GR$4 * IF(AND(GQ$4=1,GN$20=1), HA93, GY93)</f>
        <v>0</v>
      </c>
      <c r="GS93" s="12">
        <f>GS$4 * IF(AND(GR$4=1,GN$20=1), HA93, GY93)</f>
        <v>0</v>
      </c>
      <c r="GT93" s="12">
        <f>GT$4 * IF(AND(GS$4=1,GN$20=1), HA93, GY93)</f>
        <v>0</v>
      </c>
      <c r="GU93" s="12">
        <f>GU$4 * IF(AND(GT$4=1,GN$20=1), HA93, GY93)</f>
        <v>0</v>
      </c>
      <c r="GV93" s="12">
        <f>GV$4 * IF(AND(GU$4=1,GN$20=1), HA93, GY93)</f>
        <v>0</v>
      </c>
      <c r="GX93" s="30" t="s">
        <v>1308</v>
      </c>
      <c r="GY93">
        <f>_xlfn.XLOOKUP(GX93,'KPI Impacts'!$B$2:$H$2,'KPI Impacts'!$B93:$H93)</f>
        <v>1</v>
      </c>
      <c r="GZ93" s="35" t="s">
        <v>1304</v>
      </c>
      <c r="HA93">
        <f>_xlfn.XLOOKUP(GZ93,'KPI Impacts'!$B$2:$H$2,'KPI Impacts'!$B93:$H93)</f>
        <v>0</v>
      </c>
      <c r="HD93" s="12">
        <f>HD$4*HO93</f>
        <v>0</v>
      </c>
      <c r="HE93" s="12">
        <f>HE$4 * IF(AND(HD$4=1,HD$20=1), HQ93, HO93)</f>
        <v>0</v>
      </c>
      <c r="HF93" s="12">
        <f>HF$4 * IF(AND(HE$4=1,HD$20=1), HQ93, HO93)</f>
        <v>0</v>
      </c>
      <c r="HG93" s="12">
        <f>HG$4 * IF(AND(HF$4=1,HD$20=1), HQ93, HO93)</f>
        <v>0</v>
      </c>
      <c r="HH93" s="12">
        <f>HH$4 * IF(AND(HG$4=1,HD$20=1), HQ93, HO93)</f>
        <v>0</v>
      </c>
      <c r="HI93" s="12">
        <f>HI$4 * IF(AND(HH$4=1,HD$20=1), HQ93, HO93)</f>
        <v>0</v>
      </c>
      <c r="HJ93" s="12">
        <f>HJ$4 * IF(AND(HI$4=1,HD$20=1), HQ93, HO93)</f>
        <v>0</v>
      </c>
      <c r="HK93" s="12">
        <f>HK$4 * IF(AND(HJ$4=1,HD$20=1), HQ93, HO93)</f>
        <v>0</v>
      </c>
      <c r="HL93" s="12">
        <f>HL$4 * IF(AND(HK$4=1,HD$20=1), HQ93, HO93)</f>
        <v>0</v>
      </c>
      <c r="HN93" s="16" t="s">
        <v>1304</v>
      </c>
      <c r="HO93">
        <f>_xlfn.XLOOKUP(HN93,'KPI Impacts'!$B$2:$H$2,'KPI Impacts'!$B93:$H93)</f>
        <v>0</v>
      </c>
      <c r="HP93" s="35" t="s">
        <v>1304</v>
      </c>
      <c r="HQ93">
        <f>_xlfn.XLOOKUP(HP93,'KPI Impacts'!$B$2:$H$2,'KPI Impacts'!$B93:$H93)</f>
        <v>0</v>
      </c>
      <c r="HT93" s="12">
        <f>HT$4*IE93</f>
        <v>0</v>
      </c>
      <c r="HU93" s="12">
        <f>HU$4 * IF(AND(HT$4=1,HT$20=1), IG93, IE93)</f>
        <v>0</v>
      </c>
      <c r="HV93" s="12">
        <f>HV$4 * IF(AND(HU$4=1,HT$20=1), IG93, IE93)</f>
        <v>0</v>
      </c>
      <c r="HW93" s="12">
        <f>HW$4 * IF(AND(HV$4=1,HT$20=1), IG93, IE93)</f>
        <v>0</v>
      </c>
      <c r="HX93" s="12">
        <f>HX$4 * IF(AND(HW$4=1,HT$20=1), IG93, IE93)</f>
        <v>0</v>
      </c>
      <c r="HY93" s="12">
        <f>HY$4 * IF(AND(HX$4=1,HT$20=1), IG93, IE93)</f>
        <v>0</v>
      </c>
      <c r="HZ93" s="12">
        <f>HZ$4 * IF(AND(HY$4=1,HT$20=1), IG93, IE93)</f>
        <v>0</v>
      </c>
      <c r="IA93" s="12">
        <f>IA$4 * IF(AND(HZ$4=1,HT$20=1), IG93, IE93)</f>
        <v>0</v>
      </c>
      <c r="IB93" s="12">
        <f>IB$4 * IF(AND(IA$4=1,HT$20=1), IG93, IE93)</f>
        <v>0</v>
      </c>
      <c r="ID93" s="29" t="s">
        <v>1305</v>
      </c>
      <c r="IE93">
        <f>_xlfn.XLOOKUP(ID93,'KPI Impacts'!$B$2:$H$2,'KPI Impacts'!$B93:$H93)</f>
        <v>-0.8</v>
      </c>
      <c r="IF93" s="35" t="s">
        <v>1304</v>
      </c>
      <c r="IG93">
        <f>_xlfn.XLOOKUP(IF93,'KPI Impacts'!$B$2:$H$2,'KPI Impacts'!$B93:$H93)</f>
        <v>0</v>
      </c>
      <c r="IJ93" s="12">
        <f>IJ$4*IU93</f>
        <v>0</v>
      </c>
      <c r="IK93" s="12">
        <f>IK$4 * IF(AND(IJ$4=1,IJ$20=1), IW93, IU93)</f>
        <v>0</v>
      </c>
      <c r="IL93" s="12">
        <f>IL$4 * IF(AND(IK$4=1,IJ$20=1), IW93, IU93)</f>
        <v>0</v>
      </c>
      <c r="IM93" s="12">
        <f>IM$4 * IF(AND(IL$4=1,IJ$20=1), IW93, IU93)</f>
        <v>0</v>
      </c>
      <c r="IN93" s="12">
        <f>IN$4 * IF(AND(IM$4=1,IJ$20=1), IW93, IU93)</f>
        <v>0</v>
      </c>
      <c r="IO93" s="12">
        <f>IO$4 * IF(AND(IN$4=1,IJ$20=1), IW93, IU93)</f>
        <v>0</v>
      </c>
      <c r="IP93" s="12">
        <f>IP$4 * IF(AND(IO$4=1,IJ$20=1), IW93, IU93)</f>
        <v>0</v>
      </c>
      <c r="IQ93" s="12">
        <f>IQ$4 * IF(AND(IP$4=1,IJ$20=1), IW93, IU93)</f>
        <v>0</v>
      </c>
      <c r="IR93" s="12">
        <f>IR$4 * IF(AND(IQ$4=1,IJ$20=1), IW93, IU93)</f>
        <v>0</v>
      </c>
      <c r="IT93" s="30" t="s">
        <v>1310</v>
      </c>
      <c r="IU93">
        <f>_xlfn.XLOOKUP(IT93,'KPI Impacts'!$B$2:$H$2,'KPI Impacts'!$B93:$H93)</f>
        <v>1.5</v>
      </c>
      <c r="IV93" s="35" t="s">
        <v>1304</v>
      </c>
      <c r="IW93">
        <f>_xlfn.XLOOKUP(IV93,'KPI Impacts'!$B$2:$H$2,'KPI Impacts'!$B93:$H93)</f>
        <v>0</v>
      </c>
      <c r="IZ93" s="12">
        <f>IZ$4*JK93</f>
        <v>0</v>
      </c>
      <c r="JA93" s="12">
        <f>JA$4 * IF(AND(IZ$4=1,IZ$20=1), JM93, JK93)</f>
        <v>0</v>
      </c>
      <c r="JB93" s="12">
        <f>JB$4 * IF(AND(JA$4=1,IZ$20=1), JM93, JK93)</f>
        <v>0</v>
      </c>
      <c r="JC93" s="12">
        <f>JC$4 * IF(AND(JB$4=1,IZ$20=1), JM93, JK93)</f>
        <v>0</v>
      </c>
      <c r="JD93" s="12">
        <f>JD$4 * IF(AND(JC$4=1,IZ$20=1), JM93, JK93)</f>
        <v>0</v>
      </c>
      <c r="JE93" s="12">
        <f>JE$4 * IF(AND(JD$4=1,IZ$20=1), JM93, JK93)</f>
        <v>0</v>
      </c>
      <c r="JF93" s="12">
        <f>JF$4 * IF(AND(JE$4=1,IZ$20=1), JM93, JK93)</f>
        <v>0</v>
      </c>
      <c r="JG93" s="12">
        <f>JG$4 * IF(AND(JF$4=1,IZ$20=1), JM93, JK93)</f>
        <v>0</v>
      </c>
      <c r="JH93" s="12">
        <f>JH$4 * IF(AND(JG$4=1,IZ$20=1), JM93, JK93)</f>
        <v>0</v>
      </c>
      <c r="JJ93" t="s">
        <v>1304</v>
      </c>
      <c r="JK93">
        <f>_xlfn.XLOOKUP(JJ93,'KPI Impacts'!$B$2:$H$2,'KPI Impacts'!$B93:$H93)</f>
        <v>0</v>
      </c>
      <c r="JL93" s="9" t="s">
        <v>1304</v>
      </c>
      <c r="JM93">
        <f>_xlfn.XLOOKUP(JL93,'KPI Impacts'!$B$2:$H$2,'KPI Impacts'!$B93:$H93)</f>
        <v>0</v>
      </c>
      <c r="JP93" s="12">
        <f>JP$4*KA93</f>
        <v>0</v>
      </c>
      <c r="JQ93" s="12">
        <f>JQ$4 * IF(AND(JP$4=1,JP$20=1), KC93, KA93)</f>
        <v>0</v>
      </c>
      <c r="JR93" s="12">
        <f>JR$4 * IF(AND(JQ$4=1,JP$20=1), KC93, KA93)</f>
        <v>0</v>
      </c>
      <c r="JS93" s="12">
        <f>JS$4 * IF(AND(JR$4=1,JP$20=1), KC93, KA93)</f>
        <v>0</v>
      </c>
      <c r="JT93" s="12">
        <f>JT$4 * IF(AND(JS$4=1,JP$20=1), KC93, KA93)</f>
        <v>0</v>
      </c>
      <c r="JU93" s="12">
        <f>JU$4 * IF(AND(JT$4=1,JP$20=1), KC93, KA93)</f>
        <v>0</v>
      </c>
      <c r="JV93" s="12">
        <f>JV$4 * IF(AND(JU$4=1,JP$20=1), KC93, KA93)</f>
        <v>0</v>
      </c>
      <c r="JW93" s="12">
        <f>JW$4 * IF(AND(JV$4=1,JP$20=1), KC93, KA93)</f>
        <v>0</v>
      </c>
      <c r="JX93" s="12">
        <f>JX$4 * IF(AND(JW$4=1,JP$20=1), KC93, KA93)</f>
        <v>0</v>
      </c>
      <c r="JZ93" t="s">
        <v>1304</v>
      </c>
      <c r="KA93">
        <f>_xlfn.XLOOKUP(JZ93,'KPI Impacts'!$B$2:$H$2,'KPI Impacts'!$B93:$H93)</f>
        <v>0</v>
      </c>
      <c r="KB93" s="9" t="s">
        <v>1304</v>
      </c>
      <c r="KC93">
        <f>_xlfn.XLOOKUP(KB93,'KPI Impacts'!$B$2:$H$2,'KPI Impacts'!$B93:$H93)</f>
        <v>0</v>
      </c>
      <c r="KF93" s="12">
        <f>KF$4*KQ93</f>
        <v>0</v>
      </c>
      <c r="KG93" s="12">
        <f>KG$4 * IF(AND(KF$4=1,KF$20=1), KS93, KQ93)</f>
        <v>0</v>
      </c>
      <c r="KH93" s="12">
        <f>KH$4 * IF(AND(KG$4=1,KF$20=1), KS93, KQ93)</f>
        <v>0</v>
      </c>
      <c r="KI93" s="12">
        <f>KI$4 * IF(AND(KH$4=1,KF$20=1), KS93, KQ93)</f>
        <v>0</v>
      </c>
      <c r="KJ93" s="12">
        <f>KJ$4 * IF(AND(KI$4=1,KF$20=1), KS93, KQ93)</f>
        <v>0</v>
      </c>
      <c r="KK93" s="12">
        <f>KK$4 * IF(AND(KJ$4=1,KF$20=1), KS93, KQ93)</f>
        <v>0</v>
      </c>
      <c r="KL93" s="12">
        <f>KL$4 * IF(AND(KK$4=1,KF$20=1), KS93, KQ93)</f>
        <v>0</v>
      </c>
      <c r="KM93" s="12">
        <f>KM$4 * IF(AND(KL$4=1,KF$20=1), KS93, KQ93)</f>
        <v>0</v>
      </c>
      <c r="KN93" s="12">
        <f>KN$4 * IF(AND(KM$4=1,KF$20=1), KS93, KQ93)</f>
        <v>0</v>
      </c>
      <c r="KP93" t="s">
        <v>1304</v>
      </c>
      <c r="KQ93">
        <f>_xlfn.XLOOKUP(KP93,'KPI Impacts'!$B$2:$H$2,'KPI Impacts'!$B93:$H93)</f>
        <v>0</v>
      </c>
      <c r="KR93" s="9" t="s">
        <v>1304</v>
      </c>
      <c r="KS93">
        <f>_xlfn.XLOOKUP(KR93,'KPI Impacts'!$B$2:$H$2,'KPI Impacts'!$B93:$H93)</f>
        <v>0</v>
      </c>
      <c r="KV93" s="12">
        <f>KV$4*LG93</f>
        <v>0</v>
      </c>
      <c r="KW93" s="12">
        <f>KW$4 * IF(AND(KV$4=1,KV$20=1), LI93, LG93)</f>
        <v>0</v>
      </c>
      <c r="KX93" s="12">
        <f>KX$4 * IF(AND(KW$4=1,KV$20=1), LI93, LG93)</f>
        <v>0</v>
      </c>
      <c r="KY93" s="12">
        <f>KY$4 * IF(AND(KX$4=1,KV$20=1), LI93, LG93)</f>
        <v>0</v>
      </c>
      <c r="KZ93" s="12">
        <f>KZ$4 * IF(AND(KY$4=1,KV$20=1), LI93, LG93)</f>
        <v>0</v>
      </c>
      <c r="LA93" s="12">
        <f>LA$4 * IF(AND(KZ$4=1,KV$20=1), LI93, LG93)</f>
        <v>0</v>
      </c>
      <c r="LB93" s="12">
        <f>LB$4 * IF(AND(LA$4=1,KV$20=1), LI93, LG93)</f>
        <v>0</v>
      </c>
      <c r="LC93" s="12">
        <f>LC$4 * IF(AND(LB$4=1,KV$20=1), LI93, LG93)</f>
        <v>0</v>
      </c>
      <c r="LD93" s="12">
        <f>LD$4 * IF(AND(LC$4=1,KV$20=1), LI93, LG93)</f>
        <v>0</v>
      </c>
      <c r="LF93" t="s">
        <v>1304</v>
      </c>
      <c r="LG93">
        <f>_xlfn.XLOOKUP(LF93,'KPI Impacts'!$B$2:$H$2,'KPI Impacts'!$B93:$H93)</f>
        <v>0</v>
      </c>
      <c r="LH93" s="9" t="s">
        <v>1304</v>
      </c>
      <c r="LI93">
        <f>_xlfn.XLOOKUP(LH93,'KPI Impacts'!$B$2:$H$2,'KPI Impacts'!$B93:$H93)</f>
        <v>0</v>
      </c>
      <c r="LL93" s="12">
        <f>LL$4*LW93</f>
        <v>0</v>
      </c>
      <c r="LM93" s="12">
        <f>LM$4 * IF(AND(LL$4=1,LL$20=1), LY93, LW93)</f>
        <v>0</v>
      </c>
      <c r="LN93" s="12">
        <f>LN$4 * IF(AND(LM$4=1,LL$20=1), LY93, LW93)</f>
        <v>0</v>
      </c>
      <c r="LO93" s="12">
        <f>LO$4 * IF(AND(LN$4=1,LL$20=1), LY93, LW93)</f>
        <v>0</v>
      </c>
      <c r="LP93" s="12">
        <f>LP$4 * IF(AND(LO$4=1,LL$20=1), LY93, LW93)</f>
        <v>0</v>
      </c>
      <c r="LQ93" s="12">
        <f>LQ$4 * IF(AND(LP$4=1,LL$20=1), LY93, LW93)</f>
        <v>0</v>
      </c>
      <c r="LR93" s="12">
        <f>LR$4 * IF(AND(LQ$4=1,LL$20=1), LY93, LW93)</f>
        <v>0</v>
      </c>
      <c r="LS93" s="12">
        <f>LS$4 * IF(AND(LR$4=1,LL$20=1), LY93, LW93)</f>
        <v>0</v>
      </c>
      <c r="LT93" s="12">
        <f>LT$4 * IF(AND(LS$4=1,LL$20=1), LY93, LW93)</f>
        <v>0</v>
      </c>
      <c r="LV93" t="s">
        <v>1304</v>
      </c>
      <c r="LW93">
        <f>_xlfn.XLOOKUP(LV93,'KPI Impacts'!$B$2:$H$2,'KPI Impacts'!$B93:$H93)</f>
        <v>0</v>
      </c>
      <c r="LX93" s="9" t="s">
        <v>1304</v>
      </c>
      <c r="LY93">
        <f>_xlfn.XLOOKUP(LX93,'KPI Impacts'!$B$2:$H$2,'KPI Impacts'!$B93:$H93)</f>
        <v>0</v>
      </c>
      <c r="MB93" s="12">
        <f>MB$4*MM93</f>
        <v>0</v>
      </c>
      <c r="MC93" s="12">
        <f>MC$4 * IF(AND(MB$4=1,MB$20=1), MO93, MM93)</f>
        <v>0</v>
      </c>
      <c r="MD93" s="12">
        <f>MD$4 * IF(AND(MC$4=1,MB$20=1), MO93, MM93)</f>
        <v>0</v>
      </c>
      <c r="ME93" s="12">
        <f>ME$4 * IF(AND(MD$4=1,MB$20=1), MO93, MM93)</f>
        <v>0</v>
      </c>
      <c r="MF93" s="12">
        <f>MF$4 * IF(AND(ME$4=1,MB$20=1), MO93, MM93)</f>
        <v>0</v>
      </c>
      <c r="MG93" s="12">
        <f>MG$4 * IF(AND(MF$4=1,MB$20=1), MO93, MM93)</f>
        <v>0</v>
      </c>
      <c r="MH93" s="12">
        <f>MH$4 * IF(AND(MG$4=1,MB$20=1), MO93, MM93)</f>
        <v>0</v>
      </c>
      <c r="MI93" s="12">
        <f>MI$4 * IF(AND(MH$4=1,MB$20=1), MO93, MM93)</f>
        <v>0</v>
      </c>
      <c r="MJ93" s="12">
        <f>MJ$4 * IF(AND(MI$4=1,MB$20=1), MO93, MM93)</f>
        <v>0</v>
      </c>
      <c r="ML93" t="s">
        <v>1304</v>
      </c>
      <c r="MM93">
        <f>_xlfn.XLOOKUP(ML93,'KPI Impacts'!$B$2:$H$2,'KPI Impacts'!$B93:$H93)</f>
        <v>0</v>
      </c>
      <c r="MN93" s="9" t="s">
        <v>1304</v>
      </c>
      <c r="MO93">
        <f>_xlfn.XLOOKUP(MN93,'KPI Impacts'!$B$2:$H$2,'KPI Impacts'!$B93:$H93)</f>
        <v>0</v>
      </c>
      <c r="MR93" s="12">
        <f>MR$4*NC93</f>
        <v>0</v>
      </c>
      <c r="MS93" s="12">
        <f>MS$4 * IF(AND(MR$4=1,MR$20=1), NE93, NC93)</f>
        <v>0</v>
      </c>
      <c r="MT93" s="12">
        <f>MT$4 * IF(AND(MS$4=1,MR$20=1), NE93, NC93)</f>
        <v>0</v>
      </c>
      <c r="MU93" s="12">
        <f>MU$4 * IF(AND(MT$4=1,MR$20=1), NE93, NC93)</f>
        <v>0</v>
      </c>
      <c r="MV93" s="12">
        <f>MV$4 * IF(AND(MU$4=1,MR$20=1), NE93, NC93)</f>
        <v>0</v>
      </c>
      <c r="MW93" s="12">
        <f>MW$4 * IF(AND(MV$4=1,MR$20=1), NE93, NC93)</f>
        <v>0</v>
      </c>
      <c r="MX93" s="12">
        <f>MX$4 * IF(AND(MW$4=1,MR$20=1), NE93, NC93)</f>
        <v>0</v>
      </c>
      <c r="MY93" s="12">
        <f>MY$4 * IF(AND(MX$4=1,MR$20=1), NE93, NC93)</f>
        <v>0</v>
      </c>
      <c r="MZ93" s="12">
        <f>MZ$4 * IF(AND(MY$4=1,MR$20=1), NE93, NC93)</f>
        <v>0</v>
      </c>
      <c r="NB93" t="s">
        <v>1304</v>
      </c>
      <c r="NC93">
        <f>_xlfn.XLOOKUP(NB93,'KPI Impacts'!$B$2:$H$2,'KPI Impacts'!$B93:$H93)</f>
        <v>0</v>
      </c>
      <c r="ND93" s="9" t="s">
        <v>1304</v>
      </c>
      <c r="NE93">
        <f>_xlfn.XLOOKUP(ND93,'KPI Impacts'!$B$2:$H$2,'KPI Impacts'!$B93:$H93)</f>
        <v>0</v>
      </c>
      <c r="NH93" s="12">
        <f>NH$4*NS93</f>
        <v>0</v>
      </c>
      <c r="NI93" s="12">
        <f>NI$4 * IF(AND(NH$4=1,NH$20=1), NU93, NS93)</f>
        <v>0</v>
      </c>
      <c r="NJ93" s="12">
        <f>NJ$4 * IF(AND(NI$4=1,NH$20=1), NU93, NS93)</f>
        <v>0</v>
      </c>
      <c r="NK93" s="12">
        <f>NK$4 * IF(AND(NJ$4=1,NH$20=1), NU93, NS93)</f>
        <v>0</v>
      </c>
      <c r="NL93" s="12">
        <f>NL$4 * IF(AND(NK$4=1,NH$20=1), NU93, NS93)</f>
        <v>0</v>
      </c>
      <c r="NM93" s="12">
        <f>NM$4 * IF(AND(NL$4=1,NH$20=1), NU93, NS93)</f>
        <v>0</v>
      </c>
      <c r="NN93" s="12">
        <f>NN$4 * IF(AND(NM$4=1,NH$20=1), NU93, NS93)</f>
        <v>0</v>
      </c>
      <c r="NO93" s="12">
        <f>NO$4 * IF(AND(NN$4=1,NH$20=1), NU93, NS93)</f>
        <v>0</v>
      </c>
      <c r="NP93" s="12">
        <f>NP$4 * IF(AND(NO$4=1,NH$20=1), NU93, NS93)</f>
        <v>0</v>
      </c>
      <c r="NR93" t="s">
        <v>1304</v>
      </c>
      <c r="NS93">
        <f>_xlfn.XLOOKUP(NR93,'KPI Impacts'!$B$2:$H$2,'KPI Impacts'!$B93:$H93)</f>
        <v>0</v>
      </c>
      <c r="NT93" s="9" t="s">
        <v>1304</v>
      </c>
      <c r="NU93">
        <f>_xlfn.XLOOKUP(NT93,'KPI Impacts'!$B$2:$H$2,'KPI Impacts'!$B93:$H93)</f>
        <v>0</v>
      </c>
      <c r="NX93" s="12">
        <f>NX$4*OI93</f>
        <v>0</v>
      </c>
      <c r="NY93" s="12">
        <f>NY$4 * IF(AND(NX$4=1,NX$20=1), OK93, OI93)</f>
        <v>0</v>
      </c>
      <c r="NZ93" s="12">
        <f>NZ$4 * IF(AND(NY$4=1,NX$20=1), OK93, OI93)</f>
        <v>0</v>
      </c>
      <c r="OA93" s="12">
        <f>OA$4 * IF(AND(NZ$4=1,NX$20=1), OK93, OI93)</f>
        <v>0</v>
      </c>
      <c r="OB93" s="12">
        <f>OB$4 * IF(AND(OA$4=1,NX$20=1), OK93, OI93)</f>
        <v>0</v>
      </c>
      <c r="OC93" s="12">
        <f>OC$4 * IF(AND(OB$4=1,NX$20=1), OK93, OI93)</f>
        <v>0</v>
      </c>
      <c r="OD93" s="12">
        <f>OD$4 * IF(AND(OC$4=1,NX$20=1), OK93, OI93)</f>
        <v>0</v>
      </c>
      <c r="OE93" s="12">
        <f>OE$4 * IF(AND(OD$4=1,NX$20=1), OK93, OI93)</f>
        <v>0</v>
      </c>
      <c r="OF93" s="12">
        <f>OF$4 * IF(AND(OE$4=1,NX$20=1), OK93, OI93)</f>
        <v>0</v>
      </c>
      <c r="OH93" t="s">
        <v>1304</v>
      </c>
      <c r="OI93">
        <f>_xlfn.XLOOKUP(OH93,'KPI Impacts'!$B$2:$H$2,'KPI Impacts'!$B93:$H93)</f>
        <v>0</v>
      </c>
      <c r="OJ93" s="9" t="s">
        <v>1304</v>
      </c>
      <c r="OK93">
        <f>_xlfn.XLOOKUP(OJ93,'KPI Impacts'!$B$2:$H$2,'KPI Impacts'!$B93:$H93)</f>
        <v>0</v>
      </c>
    </row>
    <row r="94" spans="1:401" x14ac:dyDescent="0.2">
      <c r="A94" s="9" t="s">
        <v>1727</v>
      </c>
      <c r="B94" s="12">
        <f t="shared" si="520"/>
        <v>0</v>
      </c>
      <c r="C94" s="12">
        <f t="shared" si="520"/>
        <v>0</v>
      </c>
      <c r="D94" s="12">
        <f t="shared" si="520"/>
        <v>0</v>
      </c>
      <c r="E94" s="12">
        <f t="shared" si="520"/>
        <v>0</v>
      </c>
      <c r="F94" s="12">
        <f t="shared" si="520"/>
        <v>0</v>
      </c>
      <c r="G94" s="12">
        <f t="shared" si="520"/>
        <v>0</v>
      </c>
      <c r="H94" s="12">
        <f t="shared" si="520"/>
        <v>0</v>
      </c>
      <c r="I94" s="12">
        <f t="shared" si="520"/>
        <v>0</v>
      </c>
      <c r="J94" s="12">
        <f t="shared" si="520"/>
        <v>0</v>
      </c>
      <c r="M94" s="6"/>
      <c r="N94" s="6"/>
      <c r="P94" s="12" cm="1">
        <f t="array" ref="P94">_xlfn.SWITCH(P$4, 0,0, 1, AA94,2,AC94,3,AE94,0)</f>
        <v>0</v>
      </c>
      <c r="Q94" s="12" cm="1">
        <f t="array" ref="Q94">_xlfn.SWITCH(Q$4, 0,0, 1, AA94,2,AC94,3,AE94,0)+P94</f>
        <v>0</v>
      </c>
      <c r="R94" s="12" cm="1">
        <f t="array" ref="R94">_xlfn.SWITCH(R$4, 0,0, 1, AA94,2,AC94,3,AE94,0)+Q94</f>
        <v>0</v>
      </c>
      <c r="S94" s="12" cm="1">
        <f t="array" ref="S94">_xlfn.SWITCH(S$4, 0,0, 1, AA94,2,AC94,3,AE94,0)+R94</f>
        <v>0</v>
      </c>
      <c r="T94" s="12" cm="1">
        <f t="array" ref="T94">_xlfn.SWITCH(T$4, 0,0, 1, AA94,2,AC94,3,AE94,0)+S94</f>
        <v>0</v>
      </c>
      <c r="U94" s="12" cm="1">
        <f t="array" ref="U94">_xlfn.SWITCH(U$4, 0,0, 1, AA94,2,AC94,3,AE94,0)+T94</f>
        <v>0</v>
      </c>
      <c r="V94" s="12" cm="1">
        <f t="array" ref="V94">_xlfn.SWITCH(V$4, 0,0, 1, AA94,2,AC94,3,AE94,0)+U94</f>
        <v>0</v>
      </c>
      <c r="W94" s="12" cm="1">
        <f t="array" ref="W94">_xlfn.SWITCH(W$4, 0,0, 1, AA94,2,AC94,3,AE94,0)+V94</f>
        <v>0</v>
      </c>
      <c r="X94" s="12" cm="1">
        <f t="array" ref="X94">_xlfn.SWITCH(X$4, 0,0, 1, AA94,2,AC94,3,AE94,0)+W94</f>
        <v>0</v>
      </c>
      <c r="Z94" t="s">
        <v>1308</v>
      </c>
      <c r="AA94">
        <f>_xlfn.XLOOKUP(Z94,'KPI Impacts'!$K$2:$Q$2,'KPI Impacts'!$K94:$Q94)</f>
        <v>0.3</v>
      </c>
      <c r="AB94" t="s">
        <v>1310</v>
      </c>
      <c r="AC94">
        <f>_xlfn.XLOOKUP(AB94,'KPI Impacts'!$K$2:$Q$2,'KPI Impacts'!$K94:$Q94)</f>
        <v>0.6</v>
      </c>
      <c r="AD94" t="s">
        <v>1309</v>
      </c>
      <c r="AE94">
        <f>_xlfn.XLOOKUP(AD94,'KPI Impacts'!$K$2:$Q$2,'KPI Impacts'!$K94:$Q94)</f>
        <v>0.89999999999999991</v>
      </c>
      <c r="AH94" s="12" cm="1">
        <f t="array" ref="AH94">_xlfn.SWITCH(AH$4, 0,0, 1, AS94,2,AU94,3,AW94,0)</f>
        <v>0</v>
      </c>
      <c r="AI94" s="12" cm="1">
        <f t="array" ref="AI94">_xlfn.SWITCH(AI$4, 0,0, 1, AS94,2,AU94,3,AW94,0)+AH94</f>
        <v>0</v>
      </c>
      <c r="AJ94" s="12" cm="1">
        <f t="array" ref="AJ94">_xlfn.SWITCH(AJ$4, 0,0, 1, AS94,2,AU94,3,AW94,0)+AI94</f>
        <v>0</v>
      </c>
      <c r="AK94" s="12" cm="1">
        <f t="array" ref="AK94">_xlfn.SWITCH(AK$4, 0,0, 1, AS94,2,AU94,3,AW94,0)+AJ94</f>
        <v>0</v>
      </c>
      <c r="AL94" s="12" cm="1">
        <f t="array" ref="AL94">_xlfn.SWITCH(AL$4, 0,0, 1, AS94,2,AU94,3,AW94,0)+AK94</f>
        <v>0</v>
      </c>
      <c r="AM94" s="12" cm="1">
        <f t="array" ref="AM94">_xlfn.SWITCH(AM$4, 0,0, 1, AS94,2,AU94,3,AW94,0)+AL94</f>
        <v>0</v>
      </c>
      <c r="AN94" s="12" cm="1">
        <f t="array" ref="AN94">_xlfn.SWITCH(AN$4, 0,0, 1, AS94,2,AU94,3,AW94,0)+AM94</f>
        <v>0</v>
      </c>
      <c r="AO94" s="12" cm="1">
        <f t="array" ref="AO94">_xlfn.SWITCH(AO$4, 0,0, 1, AS94,2,AU94,3,AW94,0)+AN94</f>
        <v>0</v>
      </c>
      <c r="AP94" s="12" cm="1">
        <f t="array" ref="AP94">_xlfn.SWITCH(AP$4, 0,0, 1, AS94,2,AU94,3,AW94,0)+AO94</f>
        <v>0</v>
      </c>
      <c r="AR94" t="s">
        <v>1308</v>
      </c>
      <c r="AS94">
        <f>_xlfn.XLOOKUP(AR94,'KPI Impacts'!$K$2:$Q$2,'KPI Impacts'!$K94:$Q94)</f>
        <v>0.3</v>
      </c>
      <c r="AT94" t="s">
        <v>1310</v>
      </c>
      <c r="AU94">
        <f>_xlfn.XLOOKUP(AT94,'KPI Impacts'!$K$2:$Q$2,'KPI Impacts'!$K94:$Q94)</f>
        <v>0.6</v>
      </c>
      <c r="AV94" t="s">
        <v>1309</v>
      </c>
      <c r="AW94">
        <f>_xlfn.XLOOKUP(AV94,'KPI Impacts'!$K$2:$Q$2,'KPI Impacts'!$K94:$Q94)</f>
        <v>0.89999999999999991</v>
      </c>
      <c r="AZ94" s="12">
        <f>AZ$4*BK94</f>
        <v>0</v>
      </c>
      <c r="BA94" s="12">
        <f>BA$4 * IF(AND(AZ$4=1,AZ$20=1), BM94, BK94)</f>
        <v>0</v>
      </c>
      <c r="BB94" s="12">
        <f>BB$4 * IF(AND(BA$4=1,AZ$20=1), BM94, BK94)</f>
        <v>0</v>
      </c>
      <c r="BC94" s="12">
        <f>BC$4 * IF(AND(BB$4=1,AZ$20=1), BM94, BK94)</f>
        <v>0</v>
      </c>
      <c r="BD94" s="12">
        <f>BD$4 * IF(AND(BC$4=1,AZ$20=1), BM94, BK94)</f>
        <v>0</v>
      </c>
      <c r="BE94" s="12">
        <f>BE$4 * IF(AND(BD$4=1,AZ$20=1), BM94, BK94)</f>
        <v>0</v>
      </c>
      <c r="BF94" s="12">
        <f>BF$4 * IF(AND(BE$4=1,AZ$20=1), BM94, BK94)</f>
        <v>0</v>
      </c>
      <c r="BG94" s="12">
        <f>BG$4 * IF(AND(BF$4=1,AZ$20=1), BM94, BK94)</f>
        <v>0</v>
      </c>
      <c r="BH94" s="12">
        <f>BH$4 * IF(AND(BG$4=1,AZ$20=1), BM94, BK94)</f>
        <v>0</v>
      </c>
      <c r="BJ94" s="30" t="s">
        <v>1310</v>
      </c>
      <c r="BK94">
        <f>_xlfn.XLOOKUP(BJ94,'KPI Impacts'!$B$2:$H$2,'KPI Impacts'!$B94:$H94)</f>
        <v>1.5</v>
      </c>
      <c r="BL94" s="35" t="s">
        <v>1304</v>
      </c>
      <c r="BM94">
        <f>_xlfn.XLOOKUP(BL94,'KPI Impacts'!$B$2:$H$2,'KPI Impacts'!$B94:$H94)</f>
        <v>0</v>
      </c>
      <c r="BP94" s="12">
        <f>BP$4*CA94</f>
        <v>0</v>
      </c>
      <c r="BQ94" s="12">
        <f>BQ$4 * IF(AND(BP$4=1,BP$20=1), CC94, CA94)</f>
        <v>0</v>
      </c>
      <c r="BR94" s="12">
        <f>BR$4 * IF(AND(BQ$4=1,BP$20=1), CC94, CA94)</f>
        <v>0</v>
      </c>
      <c r="BS94" s="12">
        <f>BS$4 * IF(AND(BR$4=1,BP$20=1), CC94, CA94)</f>
        <v>0</v>
      </c>
      <c r="BT94" s="12">
        <f>BT$4 * IF(AND(BS$4=1,BP$20=1), CC94, CA94)</f>
        <v>0</v>
      </c>
      <c r="BU94" s="12">
        <f>BU$4 * IF(AND(BT$4=1,BP$20=1), CC94, CA94)</f>
        <v>0</v>
      </c>
      <c r="BV94" s="12">
        <f>BV$4 * IF(AND(BU$4=1,BP$20=1), CC94, CA94)</f>
        <v>0</v>
      </c>
      <c r="BW94" s="12">
        <f>BW$4 * IF(AND(BV$4=1,BP$20=1), CC94, CA94)</f>
        <v>0</v>
      </c>
      <c r="BX94" s="12">
        <f>BX$4 * IF(AND(BW$4=1,BP$20=1), CC94, CA94)</f>
        <v>0</v>
      </c>
      <c r="BZ94" s="30" t="s">
        <v>1310</v>
      </c>
      <c r="CA94">
        <f>_xlfn.XLOOKUP(BZ94,'KPI Impacts'!$B$2:$H$2,'KPI Impacts'!$B94:$H94)</f>
        <v>1.5</v>
      </c>
      <c r="CB94" s="9" t="s">
        <v>1304</v>
      </c>
      <c r="CC94">
        <f>_xlfn.XLOOKUP(CB94,'KPI Impacts'!$B$2:$H$2,'KPI Impacts'!$B94:$H94)</f>
        <v>0</v>
      </c>
      <c r="CF94" s="12">
        <f>CF$4*CQ94</f>
        <v>0</v>
      </c>
      <c r="CG94" s="12">
        <f>CG$4 * IF(AND(CF$4=1,CF$20=1), CS94, CQ94)</f>
        <v>0</v>
      </c>
      <c r="CH94" s="12">
        <f>CH$4 * IF(AND(CG$4=1,CF$20=1), CS94, CQ94)</f>
        <v>0</v>
      </c>
      <c r="CI94" s="12">
        <f>CI$4 * IF(AND(CH$4=1,CF$20=1), CS94, CQ94)</f>
        <v>0</v>
      </c>
      <c r="CJ94" s="12">
        <f>CJ$4 * IF(AND(CI$4=1,CF$20=1), CS94, CQ94)</f>
        <v>0</v>
      </c>
      <c r="CK94" s="12">
        <f>CK$4 * IF(AND(CJ$4=1,CF$20=1), CS94, CQ94)</f>
        <v>0</v>
      </c>
      <c r="CL94" s="12">
        <f>CL$4 * IF(AND(CK$4=1,CF$20=1), CS94, CQ94)</f>
        <v>0</v>
      </c>
      <c r="CM94" s="12">
        <f>CM$4 * IF(AND(CL$4=1,CF$20=1), CS94, CQ94)</f>
        <v>0</v>
      </c>
      <c r="CN94" s="12">
        <f>CN$4 * IF(AND(CM$4=1,CF$20=1), CS94, CQ94)</f>
        <v>0</v>
      </c>
      <c r="CP94" s="30" t="s">
        <v>1310</v>
      </c>
      <c r="CQ94">
        <f>_xlfn.XLOOKUP(CP94,'KPI Impacts'!$B$2:$H$2,'KPI Impacts'!$B94:$H94)</f>
        <v>1.5</v>
      </c>
      <c r="CR94" s="35" t="s">
        <v>1304</v>
      </c>
      <c r="CS94">
        <f>_xlfn.XLOOKUP(CR94,'KPI Impacts'!$B$2:$H$2,'KPI Impacts'!$B94:$H94)</f>
        <v>0</v>
      </c>
      <c r="CV94" s="12">
        <f>CV$4*DG94</f>
        <v>0</v>
      </c>
      <c r="CW94" s="12">
        <f>CW$4 * IF(AND(CV$4=1,CV$20=1), DI94, DG94)</f>
        <v>0</v>
      </c>
      <c r="CX94" s="12">
        <f>CX$4 * IF(AND(CW$4=1,CV$20=1), DI94, DG94)</f>
        <v>0</v>
      </c>
      <c r="CY94" s="12">
        <f>CY$4 * IF(AND(CX$4=1,CV$20=1), DI94, DG94)</f>
        <v>0</v>
      </c>
      <c r="CZ94" s="12">
        <f>CZ$4 * IF(AND(CY$4=1,CV$20=1), DI94, DG94)</f>
        <v>0</v>
      </c>
      <c r="DA94" s="12">
        <f>DA$4 * IF(AND(CZ$4=1,CV$20=1), DI94, DG94)</f>
        <v>0</v>
      </c>
      <c r="DB94" s="12">
        <f>DB$4 * IF(AND(DA$4=1,CV$20=1), DI94, DG94)</f>
        <v>0</v>
      </c>
      <c r="DC94" s="12">
        <f>DC$4 * IF(AND(DB$4=1,CV$20=1), DI94, DG94)</f>
        <v>0</v>
      </c>
      <c r="DD94" s="12">
        <f>DD$4 * IF(AND(DC$4=1,CV$20=1), DI94, DG94)</f>
        <v>0</v>
      </c>
      <c r="DF94" s="30" t="s">
        <v>1308</v>
      </c>
      <c r="DG94">
        <f>_xlfn.XLOOKUP(DF94,'KPI Impacts'!$B$2:$H$2,'KPI Impacts'!$B94:$H94)</f>
        <v>1</v>
      </c>
      <c r="DH94" s="35" t="s">
        <v>1304</v>
      </c>
      <c r="DI94">
        <f>_xlfn.XLOOKUP(DH94,'KPI Impacts'!$B$2:$H$2,'KPI Impacts'!$B94:$H94)</f>
        <v>0</v>
      </c>
      <c r="DL94" s="12">
        <f>DL$4*DW94</f>
        <v>0</v>
      </c>
      <c r="DM94" s="12">
        <f>DM$4 * IF(AND(DL$4=1,DL$20=1), DY94, DW94)</f>
        <v>0</v>
      </c>
      <c r="DN94" s="12">
        <f>DN$4 * IF(AND(DM$4=1,DL$20=1), DY94, DW94)</f>
        <v>0</v>
      </c>
      <c r="DO94" s="12">
        <f>DO$4 * IF(AND(DN$4=1,DL$20=1), DY94, DW94)</f>
        <v>0</v>
      </c>
      <c r="DP94" s="12">
        <f>DP$4 * IF(AND(DO$4=1,DL$20=1), DY94, DW94)</f>
        <v>0</v>
      </c>
      <c r="DQ94" s="12">
        <f>DQ$4 * IF(AND(DP$4=1,DL$20=1), DY94, DW94)</f>
        <v>0</v>
      </c>
      <c r="DR94" s="12">
        <f>DR$4 * IF(AND(DQ$4=1,DL$20=1), DY94, DW94)</f>
        <v>0</v>
      </c>
      <c r="DS94" s="12">
        <f>DS$4 * IF(AND(DR$4=1,DL$20=1), DY94, DW94)</f>
        <v>0</v>
      </c>
      <c r="DT94" s="12">
        <f>DT$4 * IF(AND(DS$4=1,DL$20=1), DY94, DW94)</f>
        <v>0</v>
      </c>
      <c r="DV94" s="30" t="s">
        <v>1308</v>
      </c>
      <c r="DW94">
        <f>_xlfn.XLOOKUP(DV94,'KPI Impacts'!$B$2:$H$2,'KPI Impacts'!$B94:$H94)</f>
        <v>1</v>
      </c>
      <c r="DX94" s="35" t="s">
        <v>1304</v>
      </c>
      <c r="DY94">
        <f>_xlfn.XLOOKUP(DX94,'KPI Impacts'!$B$2:$H$2,'KPI Impacts'!$B94:$H94)</f>
        <v>0</v>
      </c>
      <c r="EB94" s="12">
        <f>EB$4*EM94</f>
        <v>0</v>
      </c>
      <c r="EC94" s="12">
        <f>EC$4 * IF(AND(EB$4=1,EB$20=1), EO94, EM94)</f>
        <v>0</v>
      </c>
      <c r="ED94" s="12">
        <f>ED$4 * IF(AND(EC$4=1,EB$20=1), EO94, EM94)</f>
        <v>0</v>
      </c>
      <c r="EE94" s="12">
        <f>EE$4 * IF(AND(ED$4=1,EB$20=1), EO94, EM94)</f>
        <v>0</v>
      </c>
      <c r="EF94" s="12">
        <f>EF$4 * IF(AND(EE$4=1,EB$20=1), EO94, EM94)</f>
        <v>0</v>
      </c>
      <c r="EG94" s="12">
        <f>EG$4 * IF(AND(EF$4=1,EB$20=1), EO94, EM94)</f>
        <v>0</v>
      </c>
      <c r="EH94" s="12">
        <f>EH$4 * IF(AND(EG$4=1,EB$20=1), EO94, EM94)</f>
        <v>0</v>
      </c>
      <c r="EI94" s="12">
        <f>EI$4 * IF(AND(EH$4=1,EB$20=1), EO94, EM94)</f>
        <v>0</v>
      </c>
      <c r="EJ94" s="12">
        <f>EJ$4 * IF(AND(EI$4=1,EB$20=1), EO94, EM94)</f>
        <v>0</v>
      </c>
      <c r="EL94" s="30" t="s">
        <v>1309</v>
      </c>
      <c r="EM94">
        <f>_xlfn.XLOOKUP(EL94,'KPI Impacts'!$B$2:$H$2,'KPI Impacts'!$B94:$H94)</f>
        <v>2.5</v>
      </c>
      <c r="EN94" s="35" t="s">
        <v>1304</v>
      </c>
      <c r="EO94">
        <f>_xlfn.XLOOKUP(EN94,'KPI Impacts'!$B$2:$H$2,'KPI Impacts'!$B94:$H94)</f>
        <v>0</v>
      </c>
      <c r="ER94" s="12">
        <f>ER$4*FC94</f>
        <v>0</v>
      </c>
      <c r="ES94" s="12">
        <f>ES$4 * IF(AND(ER$4=1,ER$20=1), FE94, FC94)</f>
        <v>0</v>
      </c>
      <c r="ET94" s="12">
        <f>ET$4 * IF(AND(ES$4=1,ER$20=1), FE94, FC94)</f>
        <v>0</v>
      </c>
      <c r="EU94" s="12">
        <f>EU$4 * IF(AND(ET$4=1,ER$20=1), FE94, FC94)</f>
        <v>0</v>
      </c>
      <c r="EV94" s="12">
        <f>EV$4 * IF(AND(EU$4=1,ER$20=1), FE94, FC94)</f>
        <v>0</v>
      </c>
      <c r="EW94" s="12">
        <f>EW$4 * IF(AND(EV$4=1,ER$20=1), FE94, FC94)</f>
        <v>0</v>
      </c>
      <c r="EX94" s="12">
        <f>EX$4 * IF(AND(EW$4=1,ER$20=1), FE94, FC94)</f>
        <v>0</v>
      </c>
      <c r="EY94" s="12">
        <f>EY$4 * IF(AND(EX$4=1,ER$20=1), FE94, FC94)</f>
        <v>0</v>
      </c>
      <c r="EZ94" s="12">
        <f>EZ$4 * IF(AND(EY$4=1,ER$20=1), FE94, FC94)</f>
        <v>0</v>
      </c>
      <c r="FB94" s="16" t="s">
        <v>1304</v>
      </c>
      <c r="FC94">
        <f>_xlfn.XLOOKUP(FB94,'KPI Impacts'!$B$2:$H$2,'KPI Impacts'!$B94:$H94)</f>
        <v>0</v>
      </c>
      <c r="FD94" s="35" t="s">
        <v>1304</v>
      </c>
      <c r="FE94">
        <f>_xlfn.XLOOKUP(FD94,'KPI Impacts'!$B$2:$H$2,'KPI Impacts'!$B94:$H94)</f>
        <v>0</v>
      </c>
      <c r="FH94" s="12">
        <f>FH$4*FS94</f>
        <v>0</v>
      </c>
      <c r="FI94" s="12">
        <f>FI$4 * IF(AND(FH$4=1,FH$20=1), FU94, FS94)</f>
        <v>0</v>
      </c>
      <c r="FJ94" s="12">
        <f>FJ$4 * IF(AND(FI$4=1,FH$20=1), FU94, FS94)</f>
        <v>0</v>
      </c>
      <c r="FK94" s="12">
        <f>FK$4 * IF(AND(FJ$4=1,FH$20=1), FU94, FS94)</f>
        <v>0</v>
      </c>
      <c r="FL94" s="12">
        <f>FL$4 * IF(AND(FK$4=1,FH$20=1), FU94, FS94)</f>
        <v>0</v>
      </c>
      <c r="FM94" s="12">
        <f>FM$4 * IF(AND(FL$4=1,FH$20=1), FU94, FS94)</f>
        <v>0</v>
      </c>
      <c r="FN94" s="12">
        <f>FN$4 * IF(AND(FM$4=1,FH$20=1), FU94, FS94)</f>
        <v>0</v>
      </c>
      <c r="FO94" s="12">
        <f>FO$4 * IF(AND(FN$4=1,FH$20=1), FU94, FS94)</f>
        <v>0</v>
      </c>
      <c r="FP94" s="12">
        <f>FP$4 * IF(AND(FO$4=1,FH$20=1), FU94, FS94)</f>
        <v>0</v>
      </c>
      <c r="FR94" s="30" t="s">
        <v>1308</v>
      </c>
      <c r="FS94">
        <f>_xlfn.XLOOKUP(FR94,'KPI Impacts'!$B$2:$H$2,'KPI Impacts'!$B94:$H94)</f>
        <v>1</v>
      </c>
      <c r="FT94" s="35" t="s">
        <v>1304</v>
      </c>
      <c r="FU94">
        <f>_xlfn.XLOOKUP(FT94,'KPI Impacts'!$B$2:$H$2,'KPI Impacts'!$B94:$H94)</f>
        <v>0</v>
      </c>
      <c r="FX94" s="12">
        <f>FX$4*GI94</f>
        <v>0</v>
      </c>
      <c r="FY94" s="12">
        <f>FY$4 * IF(AND(FX$4=1,FX$20=1), GK94, GI94)</f>
        <v>0</v>
      </c>
      <c r="FZ94" s="12">
        <f>FZ$4 * IF(AND(FY$4=1,FX$20=1), GK94, GI94)</f>
        <v>0</v>
      </c>
      <c r="GA94" s="12">
        <f>GA$4 * IF(AND(FZ$4=1,FX$20=1), GK94, GI94)</f>
        <v>0</v>
      </c>
      <c r="GB94" s="12">
        <f>GB$4 * IF(AND(GA$4=1,FX$20=1), GK94, GI94)</f>
        <v>0</v>
      </c>
      <c r="GC94" s="12">
        <f>GC$4 * IF(AND(GB$4=1,FX$20=1), GK94, GI94)</f>
        <v>0</v>
      </c>
      <c r="GD94" s="12">
        <f>GD$4 * IF(AND(GC$4=1,FX$20=1), GK94, GI94)</f>
        <v>0</v>
      </c>
      <c r="GE94" s="12">
        <f>GE$4 * IF(AND(GD$4=1,FX$20=1), GK94, GI94)</f>
        <v>0</v>
      </c>
      <c r="GF94" s="12">
        <f>GF$4 * IF(AND(GE$4=1,FX$20=1), GK94, GI94)</f>
        <v>0</v>
      </c>
      <c r="GH94" s="16" t="s">
        <v>1304</v>
      </c>
      <c r="GI94">
        <f>_xlfn.XLOOKUP(GH94,'KPI Impacts'!$B$2:$H$2,'KPI Impacts'!$B94:$H94)</f>
        <v>0</v>
      </c>
      <c r="GJ94" s="35" t="s">
        <v>1304</v>
      </c>
      <c r="GK94">
        <f>_xlfn.XLOOKUP(GJ94,'KPI Impacts'!$B$2:$H$2,'KPI Impacts'!$B94:$H94)</f>
        <v>0</v>
      </c>
      <c r="GN94" s="12">
        <f>GN$4*GY94</f>
        <v>0</v>
      </c>
      <c r="GO94" s="12">
        <f>GO$4 * IF(AND(GN$4=1,GN$20=1), HA94, GY94)</f>
        <v>0</v>
      </c>
      <c r="GP94" s="12">
        <f>GP$4 * IF(AND(GO$4=1,GN$20=1), HA94, GY94)</f>
        <v>0</v>
      </c>
      <c r="GQ94" s="12">
        <f>GQ$4 * IF(AND(GP$4=1,GN$20=1), HA94, GY94)</f>
        <v>0</v>
      </c>
      <c r="GR94" s="12">
        <f>GR$4 * IF(AND(GQ$4=1,GN$20=1), HA94, GY94)</f>
        <v>0</v>
      </c>
      <c r="GS94" s="12">
        <f>GS$4 * IF(AND(GR$4=1,GN$20=1), HA94, GY94)</f>
        <v>0</v>
      </c>
      <c r="GT94" s="12">
        <f>GT$4 * IF(AND(GS$4=1,GN$20=1), HA94, GY94)</f>
        <v>0</v>
      </c>
      <c r="GU94" s="12">
        <f>GU$4 * IF(AND(GT$4=1,GN$20=1), HA94, GY94)</f>
        <v>0</v>
      </c>
      <c r="GV94" s="12">
        <f>GV$4 * IF(AND(GU$4=1,GN$20=1), HA94, GY94)</f>
        <v>0</v>
      </c>
      <c r="GX94" s="16" t="s">
        <v>1304</v>
      </c>
      <c r="GY94">
        <f>_xlfn.XLOOKUP(GX94,'KPI Impacts'!$B$2:$H$2,'KPI Impacts'!$B94:$H94)</f>
        <v>0</v>
      </c>
      <c r="GZ94" s="35" t="s">
        <v>1304</v>
      </c>
      <c r="HA94">
        <f>_xlfn.XLOOKUP(GZ94,'KPI Impacts'!$B$2:$H$2,'KPI Impacts'!$B94:$H94)</f>
        <v>0</v>
      </c>
      <c r="HD94" s="12">
        <f>HD$4*HO94</f>
        <v>0</v>
      </c>
      <c r="HE94" s="12">
        <f>HE$4 * IF(AND(HD$4=1,HD$20=1), HQ94, HO94)</f>
        <v>0</v>
      </c>
      <c r="HF94" s="12">
        <f>HF$4 * IF(AND(HE$4=1,HD$20=1), HQ94, HO94)</f>
        <v>0</v>
      </c>
      <c r="HG94" s="12">
        <f>HG$4 * IF(AND(HF$4=1,HD$20=1), HQ94, HO94)</f>
        <v>0</v>
      </c>
      <c r="HH94" s="12">
        <f>HH$4 * IF(AND(HG$4=1,HD$20=1), HQ94, HO94)</f>
        <v>0</v>
      </c>
      <c r="HI94" s="12">
        <f>HI$4 * IF(AND(HH$4=1,HD$20=1), HQ94, HO94)</f>
        <v>0</v>
      </c>
      <c r="HJ94" s="12">
        <f>HJ$4 * IF(AND(HI$4=1,HD$20=1), HQ94, HO94)</f>
        <v>0</v>
      </c>
      <c r="HK94" s="12">
        <f>HK$4 * IF(AND(HJ$4=1,HD$20=1), HQ94, HO94)</f>
        <v>0</v>
      </c>
      <c r="HL94" s="12">
        <f>HL$4 * IF(AND(HK$4=1,HD$20=1), HQ94, HO94)</f>
        <v>0</v>
      </c>
      <c r="HN94" s="16" t="s">
        <v>1304</v>
      </c>
      <c r="HO94">
        <f>_xlfn.XLOOKUP(HN94,'KPI Impacts'!$B$2:$H$2,'KPI Impacts'!$B94:$H94)</f>
        <v>0</v>
      </c>
      <c r="HP94" s="35" t="s">
        <v>1304</v>
      </c>
      <c r="HQ94">
        <f>_xlfn.XLOOKUP(HP94,'KPI Impacts'!$B$2:$H$2,'KPI Impacts'!$B94:$H94)</f>
        <v>0</v>
      </c>
      <c r="HT94" s="12">
        <f>HT$4*IE94</f>
        <v>0</v>
      </c>
      <c r="HU94" s="12">
        <f>HU$4 * IF(AND(HT$4=1,HT$20=1), IG94, IE94)</f>
        <v>0</v>
      </c>
      <c r="HV94" s="12">
        <f>HV$4 * IF(AND(HU$4=1,HT$20=1), IG94, IE94)</f>
        <v>0</v>
      </c>
      <c r="HW94" s="12">
        <f>HW$4 * IF(AND(HV$4=1,HT$20=1), IG94, IE94)</f>
        <v>0</v>
      </c>
      <c r="HX94" s="12">
        <f>HX$4 * IF(AND(HW$4=1,HT$20=1), IG94, IE94)</f>
        <v>0</v>
      </c>
      <c r="HY94" s="12">
        <f>HY$4 * IF(AND(HX$4=1,HT$20=1), IG94, IE94)</f>
        <v>0</v>
      </c>
      <c r="HZ94" s="12">
        <f>HZ$4 * IF(AND(HY$4=1,HT$20=1), IG94, IE94)</f>
        <v>0</v>
      </c>
      <c r="IA94" s="12">
        <f>IA$4 * IF(AND(HZ$4=1,HT$20=1), IG94, IE94)</f>
        <v>0</v>
      </c>
      <c r="IB94" s="12">
        <f>IB$4 * IF(AND(IA$4=1,HT$20=1), IG94, IE94)</f>
        <v>0</v>
      </c>
      <c r="ID94" s="16" t="s">
        <v>1304</v>
      </c>
      <c r="IE94">
        <f>_xlfn.XLOOKUP(ID94,'KPI Impacts'!$B$2:$H$2,'KPI Impacts'!$B94:$H94)</f>
        <v>0</v>
      </c>
      <c r="IF94" s="35" t="s">
        <v>1304</v>
      </c>
      <c r="IG94">
        <f>_xlfn.XLOOKUP(IF94,'KPI Impacts'!$B$2:$H$2,'KPI Impacts'!$B94:$H94)</f>
        <v>0</v>
      </c>
      <c r="IJ94" s="12">
        <f>IJ$4*IU94</f>
        <v>0</v>
      </c>
      <c r="IK94" s="12">
        <f>IK$4 * IF(AND(IJ$4=1,IJ$20=1), IW94, IU94)</f>
        <v>0</v>
      </c>
      <c r="IL94" s="12">
        <f>IL$4 * IF(AND(IK$4=1,IJ$20=1), IW94, IU94)</f>
        <v>0</v>
      </c>
      <c r="IM94" s="12">
        <f>IM$4 * IF(AND(IL$4=1,IJ$20=1), IW94, IU94)</f>
        <v>0</v>
      </c>
      <c r="IN94" s="12">
        <f>IN$4 * IF(AND(IM$4=1,IJ$20=1), IW94, IU94)</f>
        <v>0</v>
      </c>
      <c r="IO94" s="12">
        <f>IO$4 * IF(AND(IN$4=1,IJ$20=1), IW94, IU94)</f>
        <v>0</v>
      </c>
      <c r="IP94" s="12">
        <f>IP$4 * IF(AND(IO$4=1,IJ$20=1), IW94, IU94)</f>
        <v>0</v>
      </c>
      <c r="IQ94" s="12">
        <f>IQ$4 * IF(AND(IP$4=1,IJ$20=1), IW94, IU94)</f>
        <v>0</v>
      </c>
      <c r="IR94" s="12">
        <f>IR$4 * IF(AND(IQ$4=1,IJ$20=1), IW94, IU94)</f>
        <v>0</v>
      </c>
      <c r="IT94" s="30" t="s">
        <v>1310</v>
      </c>
      <c r="IU94">
        <f>_xlfn.XLOOKUP(IT94,'KPI Impacts'!$B$2:$H$2,'KPI Impacts'!$B94:$H94)</f>
        <v>1.5</v>
      </c>
      <c r="IV94" s="35" t="s">
        <v>1304</v>
      </c>
      <c r="IW94">
        <f>_xlfn.XLOOKUP(IV94,'KPI Impacts'!$B$2:$H$2,'KPI Impacts'!$B94:$H94)</f>
        <v>0</v>
      </c>
      <c r="IZ94" s="12">
        <f>IZ$4*JK94</f>
        <v>0</v>
      </c>
      <c r="JA94" s="12">
        <f>JA$4 * IF(AND(IZ$4=1,IZ$20=1), JM94, JK94)</f>
        <v>0</v>
      </c>
      <c r="JB94" s="12">
        <f>JB$4 * IF(AND(JA$4=1,IZ$20=1), JM94, JK94)</f>
        <v>0</v>
      </c>
      <c r="JC94" s="12">
        <f>JC$4 * IF(AND(JB$4=1,IZ$20=1), JM94, JK94)</f>
        <v>0</v>
      </c>
      <c r="JD94" s="12">
        <f>JD$4 * IF(AND(JC$4=1,IZ$20=1), JM94, JK94)</f>
        <v>0</v>
      </c>
      <c r="JE94" s="12">
        <f>JE$4 * IF(AND(JD$4=1,IZ$20=1), JM94, JK94)</f>
        <v>0</v>
      </c>
      <c r="JF94" s="12">
        <f>JF$4 * IF(AND(JE$4=1,IZ$20=1), JM94, JK94)</f>
        <v>0</v>
      </c>
      <c r="JG94" s="12">
        <f>JG$4 * IF(AND(JF$4=1,IZ$20=1), JM94, JK94)</f>
        <v>0</v>
      </c>
      <c r="JH94" s="12">
        <f>JH$4 * IF(AND(JG$4=1,IZ$20=1), JM94, JK94)</f>
        <v>0</v>
      </c>
      <c r="JJ94" t="s">
        <v>1304</v>
      </c>
      <c r="JK94">
        <f>_xlfn.XLOOKUP(JJ94,'KPI Impacts'!$B$2:$H$2,'KPI Impacts'!$B94:$H94)</f>
        <v>0</v>
      </c>
      <c r="JL94" s="9" t="s">
        <v>1304</v>
      </c>
      <c r="JM94">
        <f>_xlfn.XLOOKUP(JL94,'KPI Impacts'!$B$2:$H$2,'KPI Impacts'!$B94:$H94)</f>
        <v>0</v>
      </c>
      <c r="JP94" s="12">
        <f>JP$4*KA94</f>
        <v>0</v>
      </c>
      <c r="JQ94" s="12">
        <f>JQ$4 * IF(AND(JP$4=1,JP$20=1), KC94, KA94)</f>
        <v>0</v>
      </c>
      <c r="JR94" s="12">
        <f>JR$4 * IF(AND(JQ$4=1,JP$20=1), KC94, KA94)</f>
        <v>0</v>
      </c>
      <c r="JS94" s="12">
        <f>JS$4 * IF(AND(JR$4=1,JP$20=1), KC94, KA94)</f>
        <v>0</v>
      </c>
      <c r="JT94" s="12">
        <f>JT$4 * IF(AND(JS$4=1,JP$20=1), KC94, KA94)</f>
        <v>0</v>
      </c>
      <c r="JU94" s="12">
        <f>JU$4 * IF(AND(JT$4=1,JP$20=1), KC94, KA94)</f>
        <v>0</v>
      </c>
      <c r="JV94" s="12">
        <f>JV$4 * IF(AND(JU$4=1,JP$20=1), KC94, KA94)</f>
        <v>0</v>
      </c>
      <c r="JW94" s="12">
        <f>JW$4 * IF(AND(JV$4=1,JP$20=1), KC94, KA94)</f>
        <v>0</v>
      </c>
      <c r="JX94" s="12">
        <f>JX$4 * IF(AND(JW$4=1,JP$20=1), KC94, KA94)</f>
        <v>0</v>
      </c>
      <c r="JZ94" t="s">
        <v>1304</v>
      </c>
      <c r="KA94">
        <f>_xlfn.XLOOKUP(JZ94,'KPI Impacts'!$B$2:$H$2,'KPI Impacts'!$B94:$H94)</f>
        <v>0</v>
      </c>
      <c r="KB94" s="9" t="s">
        <v>1304</v>
      </c>
      <c r="KC94">
        <f>_xlfn.XLOOKUP(KB94,'KPI Impacts'!$B$2:$H$2,'KPI Impacts'!$B94:$H94)</f>
        <v>0</v>
      </c>
      <c r="KF94" s="12">
        <f>KF$4*KQ94</f>
        <v>0</v>
      </c>
      <c r="KG94" s="12">
        <f>KG$4 * IF(AND(KF$4=1,KF$20=1), KS94, KQ94)</f>
        <v>0</v>
      </c>
      <c r="KH94" s="12">
        <f>KH$4 * IF(AND(KG$4=1,KF$20=1), KS94, KQ94)</f>
        <v>0</v>
      </c>
      <c r="KI94" s="12">
        <f>KI$4 * IF(AND(KH$4=1,KF$20=1), KS94, KQ94)</f>
        <v>0</v>
      </c>
      <c r="KJ94" s="12">
        <f>KJ$4 * IF(AND(KI$4=1,KF$20=1), KS94, KQ94)</f>
        <v>0</v>
      </c>
      <c r="KK94" s="12">
        <f>KK$4 * IF(AND(KJ$4=1,KF$20=1), KS94, KQ94)</f>
        <v>0</v>
      </c>
      <c r="KL94" s="12">
        <f>KL$4 * IF(AND(KK$4=1,KF$20=1), KS94, KQ94)</f>
        <v>0</v>
      </c>
      <c r="KM94" s="12">
        <f>KM$4 * IF(AND(KL$4=1,KF$20=1), KS94, KQ94)</f>
        <v>0</v>
      </c>
      <c r="KN94" s="12">
        <f>KN$4 * IF(AND(KM$4=1,KF$20=1), KS94, KQ94)</f>
        <v>0</v>
      </c>
      <c r="KP94" t="s">
        <v>1304</v>
      </c>
      <c r="KQ94">
        <f>_xlfn.XLOOKUP(KP94,'KPI Impacts'!$B$2:$H$2,'KPI Impacts'!$B94:$H94)</f>
        <v>0</v>
      </c>
      <c r="KR94" s="9" t="s">
        <v>1304</v>
      </c>
      <c r="KS94">
        <f>_xlfn.XLOOKUP(KR94,'KPI Impacts'!$B$2:$H$2,'KPI Impacts'!$B94:$H94)</f>
        <v>0</v>
      </c>
      <c r="KV94" s="12">
        <f>KV$4*LG94</f>
        <v>0</v>
      </c>
      <c r="KW94" s="12">
        <f>KW$4 * IF(AND(KV$4=1,KV$20=1), LI94, LG94)</f>
        <v>0</v>
      </c>
      <c r="KX94" s="12">
        <f>KX$4 * IF(AND(KW$4=1,KV$20=1), LI94, LG94)</f>
        <v>0</v>
      </c>
      <c r="KY94" s="12">
        <f>KY$4 * IF(AND(KX$4=1,KV$20=1), LI94, LG94)</f>
        <v>0</v>
      </c>
      <c r="KZ94" s="12">
        <f>KZ$4 * IF(AND(KY$4=1,KV$20=1), LI94, LG94)</f>
        <v>0</v>
      </c>
      <c r="LA94" s="12">
        <f>LA$4 * IF(AND(KZ$4=1,KV$20=1), LI94, LG94)</f>
        <v>0</v>
      </c>
      <c r="LB94" s="12">
        <f>LB$4 * IF(AND(LA$4=1,KV$20=1), LI94, LG94)</f>
        <v>0</v>
      </c>
      <c r="LC94" s="12">
        <f>LC$4 * IF(AND(LB$4=1,KV$20=1), LI94, LG94)</f>
        <v>0</v>
      </c>
      <c r="LD94" s="12">
        <f>LD$4 * IF(AND(LC$4=1,KV$20=1), LI94, LG94)</f>
        <v>0</v>
      </c>
      <c r="LF94" t="s">
        <v>1304</v>
      </c>
      <c r="LG94">
        <f>_xlfn.XLOOKUP(LF94,'KPI Impacts'!$B$2:$H$2,'KPI Impacts'!$B94:$H94)</f>
        <v>0</v>
      </c>
      <c r="LH94" s="9" t="s">
        <v>1304</v>
      </c>
      <c r="LI94">
        <f>_xlfn.XLOOKUP(LH94,'KPI Impacts'!$B$2:$H$2,'KPI Impacts'!$B94:$H94)</f>
        <v>0</v>
      </c>
      <c r="LL94" s="12">
        <f>LL$4*LW94</f>
        <v>0</v>
      </c>
      <c r="LM94" s="12">
        <f>LM$4 * IF(AND(LL$4=1,LL$20=1), LY94, LW94)</f>
        <v>0</v>
      </c>
      <c r="LN94" s="12">
        <f>LN$4 * IF(AND(LM$4=1,LL$20=1), LY94, LW94)</f>
        <v>0</v>
      </c>
      <c r="LO94" s="12">
        <f>LO$4 * IF(AND(LN$4=1,LL$20=1), LY94, LW94)</f>
        <v>0</v>
      </c>
      <c r="LP94" s="12">
        <f>LP$4 * IF(AND(LO$4=1,LL$20=1), LY94, LW94)</f>
        <v>0</v>
      </c>
      <c r="LQ94" s="12">
        <f>LQ$4 * IF(AND(LP$4=1,LL$20=1), LY94, LW94)</f>
        <v>0</v>
      </c>
      <c r="LR94" s="12">
        <f>LR$4 * IF(AND(LQ$4=1,LL$20=1), LY94, LW94)</f>
        <v>0</v>
      </c>
      <c r="LS94" s="12">
        <f>LS$4 * IF(AND(LR$4=1,LL$20=1), LY94, LW94)</f>
        <v>0</v>
      </c>
      <c r="LT94" s="12">
        <f>LT$4 * IF(AND(LS$4=1,LL$20=1), LY94, LW94)</f>
        <v>0</v>
      </c>
      <c r="LV94" t="s">
        <v>1304</v>
      </c>
      <c r="LW94">
        <f>_xlfn.XLOOKUP(LV94,'KPI Impacts'!$B$2:$H$2,'KPI Impacts'!$B94:$H94)</f>
        <v>0</v>
      </c>
      <c r="LX94" s="9" t="s">
        <v>1304</v>
      </c>
      <c r="LY94">
        <f>_xlfn.XLOOKUP(LX94,'KPI Impacts'!$B$2:$H$2,'KPI Impacts'!$B94:$H94)</f>
        <v>0</v>
      </c>
      <c r="MB94" s="12">
        <f>MB$4*MM94</f>
        <v>0</v>
      </c>
      <c r="MC94" s="12">
        <f>MC$4 * IF(AND(MB$4=1,MB$20=1), MO94, MM94)</f>
        <v>0</v>
      </c>
      <c r="MD94" s="12">
        <f>MD$4 * IF(AND(MC$4=1,MB$20=1), MO94, MM94)</f>
        <v>0</v>
      </c>
      <c r="ME94" s="12">
        <f>ME$4 * IF(AND(MD$4=1,MB$20=1), MO94, MM94)</f>
        <v>0</v>
      </c>
      <c r="MF94" s="12">
        <f>MF$4 * IF(AND(ME$4=1,MB$20=1), MO94, MM94)</f>
        <v>0</v>
      </c>
      <c r="MG94" s="12">
        <f>MG$4 * IF(AND(MF$4=1,MB$20=1), MO94, MM94)</f>
        <v>0</v>
      </c>
      <c r="MH94" s="12">
        <f>MH$4 * IF(AND(MG$4=1,MB$20=1), MO94, MM94)</f>
        <v>0</v>
      </c>
      <c r="MI94" s="12">
        <f>MI$4 * IF(AND(MH$4=1,MB$20=1), MO94, MM94)</f>
        <v>0</v>
      </c>
      <c r="MJ94" s="12">
        <f>MJ$4 * IF(AND(MI$4=1,MB$20=1), MO94, MM94)</f>
        <v>0</v>
      </c>
      <c r="ML94" t="s">
        <v>1304</v>
      </c>
      <c r="MM94">
        <f>_xlfn.XLOOKUP(ML94,'KPI Impacts'!$B$2:$H$2,'KPI Impacts'!$B94:$H94)</f>
        <v>0</v>
      </c>
      <c r="MN94" s="9" t="s">
        <v>1304</v>
      </c>
      <c r="MO94">
        <f>_xlfn.XLOOKUP(MN94,'KPI Impacts'!$B$2:$H$2,'KPI Impacts'!$B94:$H94)</f>
        <v>0</v>
      </c>
      <c r="MR94" s="12">
        <f>MR$4*NC94</f>
        <v>0</v>
      </c>
      <c r="MS94" s="12">
        <f>MS$4 * IF(AND(MR$4=1,MR$20=1), NE94, NC94)</f>
        <v>0</v>
      </c>
      <c r="MT94" s="12">
        <f>MT$4 * IF(AND(MS$4=1,MR$20=1), NE94, NC94)</f>
        <v>0</v>
      </c>
      <c r="MU94" s="12">
        <f>MU$4 * IF(AND(MT$4=1,MR$20=1), NE94, NC94)</f>
        <v>0</v>
      </c>
      <c r="MV94" s="12">
        <f>MV$4 * IF(AND(MU$4=1,MR$20=1), NE94, NC94)</f>
        <v>0</v>
      </c>
      <c r="MW94" s="12">
        <f>MW$4 * IF(AND(MV$4=1,MR$20=1), NE94, NC94)</f>
        <v>0</v>
      </c>
      <c r="MX94" s="12">
        <f>MX$4 * IF(AND(MW$4=1,MR$20=1), NE94, NC94)</f>
        <v>0</v>
      </c>
      <c r="MY94" s="12">
        <f>MY$4 * IF(AND(MX$4=1,MR$20=1), NE94, NC94)</f>
        <v>0</v>
      </c>
      <c r="MZ94" s="12">
        <f>MZ$4 * IF(AND(MY$4=1,MR$20=1), NE94, NC94)</f>
        <v>0</v>
      </c>
      <c r="NB94" t="s">
        <v>1304</v>
      </c>
      <c r="NC94">
        <f>_xlfn.XLOOKUP(NB94,'KPI Impacts'!$B$2:$H$2,'KPI Impacts'!$B94:$H94)</f>
        <v>0</v>
      </c>
      <c r="ND94" s="9" t="s">
        <v>1304</v>
      </c>
      <c r="NE94">
        <f>_xlfn.XLOOKUP(ND94,'KPI Impacts'!$B$2:$H$2,'KPI Impacts'!$B94:$H94)</f>
        <v>0</v>
      </c>
      <c r="NH94" s="12">
        <f>NH$4*NS94</f>
        <v>0</v>
      </c>
      <c r="NI94" s="12">
        <f>NI$4 * IF(AND(NH$4=1,NH$20=1), NU94, NS94)</f>
        <v>0</v>
      </c>
      <c r="NJ94" s="12">
        <f>NJ$4 * IF(AND(NI$4=1,NH$20=1), NU94, NS94)</f>
        <v>0</v>
      </c>
      <c r="NK94" s="12">
        <f>NK$4 * IF(AND(NJ$4=1,NH$20=1), NU94, NS94)</f>
        <v>0</v>
      </c>
      <c r="NL94" s="12">
        <f>NL$4 * IF(AND(NK$4=1,NH$20=1), NU94, NS94)</f>
        <v>0</v>
      </c>
      <c r="NM94" s="12">
        <f>NM$4 * IF(AND(NL$4=1,NH$20=1), NU94, NS94)</f>
        <v>0</v>
      </c>
      <c r="NN94" s="12">
        <f>NN$4 * IF(AND(NM$4=1,NH$20=1), NU94, NS94)</f>
        <v>0</v>
      </c>
      <c r="NO94" s="12">
        <f>NO$4 * IF(AND(NN$4=1,NH$20=1), NU94, NS94)</f>
        <v>0</v>
      </c>
      <c r="NP94" s="12">
        <f>NP$4 * IF(AND(NO$4=1,NH$20=1), NU94, NS94)</f>
        <v>0</v>
      </c>
      <c r="NR94" t="s">
        <v>1304</v>
      </c>
      <c r="NS94">
        <f>_xlfn.XLOOKUP(NR94,'KPI Impacts'!$B$2:$H$2,'KPI Impacts'!$B94:$H94)</f>
        <v>0</v>
      </c>
      <c r="NT94" s="9" t="s">
        <v>1304</v>
      </c>
      <c r="NU94">
        <f>_xlfn.XLOOKUP(NT94,'KPI Impacts'!$B$2:$H$2,'KPI Impacts'!$B94:$H94)</f>
        <v>0</v>
      </c>
      <c r="NX94" s="12">
        <f>NX$4*OI94</f>
        <v>0</v>
      </c>
      <c r="NY94" s="12">
        <f>NY$4 * IF(AND(NX$4=1,NX$20=1), OK94, OI94)</f>
        <v>0</v>
      </c>
      <c r="NZ94" s="12">
        <f>NZ$4 * IF(AND(NY$4=1,NX$20=1), OK94, OI94)</f>
        <v>0</v>
      </c>
      <c r="OA94" s="12">
        <f>OA$4 * IF(AND(NZ$4=1,NX$20=1), OK94, OI94)</f>
        <v>0</v>
      </c>
      <c r="OB94" s="12">
        <f>OB$4 * IF(AND(OA$4=1,NX$20=1), OK94, OI94)</f>
        <v>0</v>
      </c>
      <c r="OC94" s="12">
        <f>OC$4 * IF(AND(OB$4=1,NX$20=1), OK94, OI94)</f>
        <v>0</v>
      </c>
      <c r="OD94" s="12">
        <f>OD$4 * IF(AND(OC$4=1,NX$20=1), OK94, OI94)</f>
        <v>0</v>
      </c>
      <c r="OE94" s="12">
        <f>OE$4 * IF(AND(OD$4=1,NX$20=1), OK94, OI94)</f>
        <v>0</v>
      </c>
      <c r="OF94" s="12">
        <f>OF$4 * IF(AND(OE$4=1,NX$20=1), OK94, OI94)</f>
        <v>0</v>
      </c>
      <c r="OH94" t="s">
        <v>1304</v>
      </c>
      <c r="OI94">
        <f>_xlfn.XLOOKUP(OH94,'KPI Impacts'!$B$2:$H$2,'KPI Impacts'!$B94:$H94)</f>
        <v>0</v>
      </c>
      <c r="OJ94" s="9" t="s">
        <v>1304</v>
      </c>
      <c r="OK94">
        <f>_xlfn.XLOOKUP(OJ94,'KPI Impacts'!$B$2:$H$2,'KPI Impacts'!$B94:$H94)</f>
        <v>0</v>
      </c>
    </row>
    <row r="95" spans="1:401" x14ac:dyDescent="0.2">
      <c r="A95" t="s">
        <v>1317</v>
      </c>
      <c r="B95" s="12">
        <f t="shared" si="520"/>
        <v>0</v>
      </c>
      <c r="C95" s="12">
        <f t="shared" si="520"/>
        <v>0</v>
      </c>
      <c r="D95" s="12">
        <f t="shared" si="520"/>
        <v>0</v>
      </c>
      <c r="E95" s="12">
        <f t="shared" si="520"/>
        <v>0</v>
      </c>
      <c r="F95" s="12">
        <f t="shared" si="520"/>
        <v>0</v>
      </c>
      <c r="G95" s="12">
        <f t="shared" si="520"/>
        <v>0</v>
      </c>
      <c r="H95" s="12">
        <f t="shared" si="520"/>
        <v>0</v>
      </c>
      <c r="I95" s="12">
        <f t="shared" si="520"/>
        <v>0</v>
      </c>
      <c r="J95" s="12">
        <f t="shared" si="520"/>
        <v>0</v>
      </c>
      <c r="M95" s="6"/>
      <c r="N95" s="6"/>
      <c r="P95" s="12" cm="1">
        <f t="array" ref="P95">_xlfn.SWITCH(P$4, 0,0, 1, AA95,2,AC95,3,AE95,0)</f>
        <v>0</v>
      </c>
      <c r="Q95" s="12" cm="1">
        <f t="array" ref="Q95">_xlfn.SWITCH(Q$4, 0,0, 1, AA95,2,AC95,3,AE95,0)+P95</f>
        <v>0</v>
      </c>
      <c r="R95" s="12" cm="1">
        <f t="array" ref="R95">_xlfn.SWITCH(R$4, 0,0, 1, AA95,2,AC95,3,AE95,0)+Q95</f>
        <v>0</v>
      </c>
      <c r="S95" s="12" cm="1">
        <f t="array" ref="S95">_xlfn.SWITCH(S$4, 0,0, 1, AA95,2,AC95,3,AE95,0)+R95</f>
        <v>0</v>
      </c>
      <c r="T95" s="12" cm="1">
        <f t="array" ref="T95">_xlfn.SWITCH(T$4, 0,0, 1, AA95,2,AC95,3,AE95,0)+S95</f>
        <v>0</v>
      </c>
      <c r="U95" s="12" cm="1">
        <f t="array" ref="U95">_xlfn.SWITCH(U$4, 0,0, 1, AA95,2,AC95,3,AE95,0)+T95</f>
        <v>0</v>
      </c>
      <c r="V95" s="12" cm="1">
        <f t="array" ref="V95">_xlfn.SWITCH(V$4, 0,0, 1, AA95,2,AC95,3,AE95,0)+U95</f>
        <v>0</v>
      </c>
      <c r="W95" s="12" cm="1">
        <f t="array" ref="W95">_xlfn.SWITCH(W$4, 0,0, 1, AA95,2,AC95,3,AE95,0)+V95</f>
        <v>0</v>
      </c>
      <c r="X95" s="12" cm="1">
        <f t="array" ref="X95">_xlfn.SWITCH(X$4, 0,0, 1, AA95,2,AC95,3,AE95,0)+W95</f>
        <v>0</v>
      </c>
      <c r="Z95" t="s">
        <v>1308</v>
      </c>
      <c r="AA95">
        <f>_xlfn.XLOOKUP(Z95,'KPI Impacts'!$K$2:$Q$2,'KPI Impacts'!$K95:$Q95)</f>
        <v>90000000</v>
      </c>
      <c r="AB95" t="s">
        <v>1310</v>
      </c>
      <c r="AC95">
        <f>_xlfn.XLOOKUP(AB95,'KPI Impacts'!$K$2:$Q$2,'KPI Impacts'!$K95:$Q95)</f>
        <v>240000000</v>
      </c>
      <c r="AD95" t="s">
        <v>1309</v>
      </c>
      <c r="AE95">
        <f>_xlfn.XLOOKUP(AD95,'KPI Impacts'!$K$2:$Q$2,'KPI Impacts'!$K95:$Q95)</f>
        <v>450000000</v>
      </c>
      <c r="AH95" s="12" cm="1">
        <f t="array" ref="AH95">_xlfn.SWITCH(AH$4, 0,0, 1, AS95,2,AU95,3,AW95,0)</f>
        <v>0</v>
      </c>
      <c r="AI95" s="12" cm="1">
        <f t="array" ref="AI95">_xlfn.SWITCH(AI$4, 0,0, 1, AS95,2,AU95,3,AW95,0)+AH95</f>
        <v>0</v>
      </c>
      <c r="AJ95" s="12" cm="1">
        <f t="array" ref="AJ95">_xlfn.SWITCH(AJ$4, 0,0, 1, AS95,2,AU95,3,AW95,0)+AI95</f>
        <v>0</v>
      </c>
      <c r="AK95" s="12" cm="1">
        <f t="array" ref="AK95">_xlfn.SWITCH(AK$4, 0,0, 1, AS95,2,AU95,3,AW95,0)+AJ95</f>
        <v>0</v>
      </c>
      <c r="AL95" s="12" cm="1">
        <f t="array" ref="AL95">_xlfn.SWITCH(AL$4, 0,0, 1, AS95,2,AU95,3,AW95,0)+AK95</f>
        <v>0</v>
      </c>
      <c r="AM95" s="12" cm="1">
        <f t="array" ref="AM95">_xlfn.SWITCH(AM$4, 0,0, 1, AS95,2,AU95,3,AW95,0)+AL95</f>
        <v>0</v>
      </c>
      <c r="AN95" s="12" cm="1">
        <f t="array" ref="AN95">_xlfn.SWITCH(AN$4, 0,0, 1, AS95,2,AU95,3,AW95,0)+AM95</f>
        <v>0</v>
      </c>
      <c r="AO95" s="12" cm="1">
        <f t="array" ref="AO95">_xlfn.SWITCH(AO$4, 0,0, 1, AS95,2,AU95,3,AW95,0)+AN95</f>
        <v>0</v>
      </c>
      <c r="AP95" s="12" cm="1">
        <f t="array" ref="AP95">_xlfn.SWITCH(AP$4, 0,0, 1, AS95,2,AU95,3,AW95,0)+AO95</f>
        <v>0</v>
      </c>
      <c r="AR95" t="s">
        <v>1308</v>
      </c>
      <c r="AS95">
        <f>_xlfn.XLOOKUP(AR95,'KPI Impacts'!$K$2:$Q$2,'KPI Impacts'!$K95:$Q95)</f>
        <v>90000000</v>
      </c>
      <c r="AT95" t="s">
        <v>1310</v>
      </c>
      <c r="AU95">
        <f>_xlfn.XLOOKUP(AT95,'KPI Impacts'!$K$2:$Q$2,'KPI Impacts'!$K95:$Q95)</f>
        <v>240000000</v>
      </c>
      <c r="AV95" t="s">
        <v>1309</v>
      </c>
      <c r="AW95">
        <f>_xlfn.XLOOKUP(AV95,'KPI Impacts'!$K$2:$Q$2,'KPI Impacts'!$K95:$Q95)</f>
        <v>450000000</v>
      </c>
      <c r="AZ95" s="12">
        <f>AZ$4*BK95</f>
        <v>0</v>
      </c>
      <c r="BA95" s="12">
        <f>BA$4 * IF(AND(AZ$4=1,AZ$20=1), BM95, BK95)</f>
        <v>0</v>
      </c>
      <c r="BB95" s="12">
        <f>BB$4 * IF(AND(BA$4=1,AZ$20=1), BM95, BK95)</f>
        <v>0</v>
      </c>
      <c r="BC95" s="12">
        <f>BC$4 * IF(AND(BB$4=1,AZ$20=1), BM95, BK95)</f>
        <v>0</v>
      </c>
      <c r="BD95" s="12">
        <f>BD$4 * IF(AND(BC$4=1,AZ$20=1), BM95, BK95)</f>
        <v>0</v>
      </c>
      <c r="BE95" s="12">
        <f>BE$4 * IF(AND(BD$4=1,AZ$20=1), BM95, BK95)</f>
        <v>0</v>
      </c>
      <c r="BF95" s="12">
        <f>BF$4 * IF(AND(BE$4=1,AZ$20=1), BM95, BK95)</f>
        <v>0</v>
      </c>
      <c r="BG95" s="12">
        <f>BG$4 * IF(AND(BF$4=1,AZ$20=1), BM95, BK95)</f>
        <v>0</v>
      </c>
      <c r="BH95" s="12">
        <f>BH$4 * IF(AND(BG$4=1,AZ$20=1), BM95, BK95)</f>
        <v>0</v>
      </c>
      <c r="BJ95" s="16" t="s">
        <v>1304</v>
      </c>
      <c r="BK95">
        <f>_xlfn.XLOOKUP(BJ95,'KPI Impacts'!$B$2:$H$2,'KPI Impacts'!$B95:$H95)</f>
        <v>0</v>
      </c>
      <c r="BL95" s="35" t="s">
        <v>1304</v>
      </c>
      <c r="BM95">
        <f>_xlfn.XLOOKUP(BL95,'KPI Impacts'!$B$2:$H$2,'KPI Impacts'!$B95:$H95)</f>
        <v>0</v>
      </c>
      <c r="BP95" s="12">
        <f>BP$4*CA95</f>
        <v>0</v>
      </c>
      <c r="BQ95" s="12">
        <f>BQ$4 * IF(AND(BP$4=1,BP$20=1), CC95, CA95)</f>
        <v>0</v>
      </c>
      <c r="BR95" s="12">
        <f>BR$4 * IF(AND(BQ$4=1,BP$20=1), CC95, CA95)</f>
        <v>0</v>
      </c>
      <c r="BS95" s="12">
        <f>BS$4 * IF(AND(BR$4=1,BP$20=1), CC95, CA95)</f>
        <v>0</v>
      </c>
      <c r="BT95" s="12">
        <f>BT$4 * IF(AND(BS$4=1,BP$20=1), CC95, CA95)</f>
        <v>0</v>
      </c>
      <c r="BU95" s="12">
        <f>BU$4 * IF(AND(BT$4=1,BP$20=1), CC95, CA95)</f>
        <v>0</v>
      </c>
      <c r="BV95" s="12">
        <f>BV$4 * IF(AND(BU$4=1,BP$20=1), CC95, CA95)</f>
        <v>0</v>
      </c>
      <c r="BW95" s="12">
        <f>BW$4 * IF(AND(BV$4=1,BP$20=1), CC95, CA95)</f>
        <v>0</v>
      </c>
      <c r="BX95" s="12">
        <f>BX$4 * IF(AND(BW$4=1,BP$20=1), CC95, CA95)</f>
        <v>0</v>
      </c>
      <c r="BZ95" s="16" t="s">
        <v>1304</v>
      </c>
      <c r="CA95">
        <f>_xlfn.XLOOKUP(BZ95,'KPI Impacts'!$B$2:$H$2,'KPI Impacts'!$B95:$H95)</f>
        <v>0</v>
      </c>
      <c r="CB95" s="9" t="s">
        <v>1304</v>
      </c>
      <c r="CC95">
        <f>_xlfn.XLOOKUP(CB95,'KPI Impacts'!$B$2:$H$2,'KPI Impacts'!$B95:$H95)</f>
        <v>0</v>
      </c>
      <c r="CF95" s="12">
        <f>CF$4*CQ95</f>
        <v>0</v>
      </c>
      <c r="CG95" s="12">
        <f>CG$4 * IF(AND(CF$4=1,CF$20=1), CS95, CQ95)</f>
        <v>0</v>
      </c>
      <c r="CH95" s="12">
        <f>CH$4 * IF(AND(CG$4=1,CF$20=1), CS95, CQ95)</f>
        <v>0</v>
      </c>
      <c r="CI95" s="12">
        <f>CI$4 * IF(AND(CH$4=1,CF$20=1), CS95, CQ95)</f>
        <v>0</v>
      </c>
      <c r="CJ95" s="12">
        <f>CJ$4 * IF(AND(CI$4=1,CF$20=1), CS95, CQ95)</f>
        <v>0</v>
      </c>
      <c r="CK95" s="12">
        <f>CK$4 * IF(AND(CJ$4=1,CF$20=1), CS95, CQ95)</f>
        <v>0</v>
      </c>
      <c r="CL95" s="12">
        <f>CL$4 * IF(AND(CK$4=1,CF$20=1), CS95, CQ95)</f>
        <v>0</v>
      </c>
      <c r="CM95" s="12">
        <f>CM$4 * IF(AND(CL$4=1,CF$20=1), CS95, CQ95)</f>
        <v>0</v>
      </c>
      <c r="CN95" s="12">
        <f>CN$4 * IF(AND(CM$4=1,CF$20=1), CS95, CQ95)</f>
        <v>0</v>
      </c>
      <c r="CP95" s="29" t="s">
        <v>1305</v>
      </c>
      <c r="CQ95">
        <f>_xlfn.XLOOKUP(CP95,'KPI Impacts'!$B$2:$H$2,'KPI Impacts'!$B95:$H95)</f>
        <v>-320000000</v>
      </c>
      <c r="CR95" s="35" t="s">
        <v>1304</v>
      </c>
      <c r="CS95">
        <f>_xlfn.XLOOKUP(CR95,'KPI Impacts'!$B$2:$H$2,'KPI Impacts'!$B95:$H95)</f>
        <v>0</v>
      </c>
      <c r="CV95" s="12">
        <f>CV$4*DG95</f>
        <v>0</v>
      </c>
      <c r="CW95" s="12">
        <f>CW$4 * IF(AND(CV$4=1,CV$20=1), DI95, DG95)</f>
        <v>0</v>
      </c>
      <c r="CX95" s="12">
        <f>CX$4 * IF(AND(CW$4=1,CV$20=1), DI95, DG95)</f>
        <v>0</v>
      </c>
      <c r="CY95" s="12">
        <f>CY$4 * IF(AND(CX$4=1,CV$20=1), DI95, DG95)</f>
        <v>0</v>
      </c>
      <c r="CZ95" s="12">
        <f>CZ$4 * IF(AND(CY$4=1,CV$20=1), DI95, DG95)</f>
        <v>0</v>
      </c>
      <c r="DA95" s="12">
        <f>DA$4 * IF(AND(CZ$4=1,CV$20=1), DI95, DG95)</f>
        <v>0</v>
      </c>
      <c r="DB95" s="12">
        <f>DB$4 * IF(AND(DA$4=1,CV$20=1), DI95, DG95)</f>
        <v>0</v>
      </c>
      <c r="DC95" s="12">
        <f>DC$4 * IF(AND(DB$4=1,CV$20=1), DI95, DG95)</f>
        <v>0</v>
      </c>
      <c r="DD95" s="12">
        <f>DD$4 * IF(AND(DC$4=1,CV$20=1), DI95, DG95)</f>
        <v>0</v>
      </c>
      <c r="DF95" s="16" t="s">
        <v>1304</v>
      </c>
      <c r="DG95">
        <f>_xlfn.XLOOKUP(DF95,'KPI Impacts'!$B$2:$H$2,'KPI Impacts'!$B95:$H95)</f>
        <v>0</v>
      </c>
      <c r="DH95" s="35" t="s">
        <v>1304</v>
      </c>
      <c r="DI95">
        <f>_xlfn.XLOOKUP(DH95,'KPI Impacts'!$B$2:$H$2,'KPI Impacts'!$B95:$H95)</f>
        <v>0</v>
      </c>
      <c r="DL95" s="12">
        <f>DL$4*DW95</f>
        <v>0</v>
      </c>
      <c r="DM95" s="12">
        <f>DM$4 * IF(AND(DL$4=1,DL$20=1), DY95, DW95)</f>
        <v>0</v>
      </c>
      <c r="DN95" s="12">
        <f>DN$4 * IF(AND(DM$4=1,DL$20=1), DY95, DW95)</f>
        <v>0</v>
      </c>
      <c r="DO95" s="12">
        <f>DO$4 * IF(AND(DN$4=1,DL$20=1), DY95, DW95)</f>
        <v>0</v>
      </c>
      <c r="DP95" s="12">
        <f>DP$4 * IF(AND(DO$4=1,DL$20=1), DY95, DW95)</f>
        <v>0</v>
      </c>
      <c r="DQ95" s="12">
        <f>DQ$4 * IF(AND(DP$4=1,DL$20=1), DY95, DW95)</f>
        <v>0</v>
      </c>
      <c r="DR95" s="12">
        <f>DR$4 * IF(AND(DQ$4=1,DL$20=1), DY95, DW95)</f>
        <v>0</v>
      </c>
      <c r="DS95" s="12">
        <f>DS$4 * IF(AND(DR$4=1,DL$20=1), DY95, DW95)</f>
        <v>0</v>
      </c>
      <c r="DT95" s="12">
        <f>DT$4 * IF(AND(DS$4=1,DL$20=1), DY95, DW95)</f>
        <v>0</v>
      </c>
      <c r="DV95" s="30" t="s">
        <v>1310</v>
      </c>
      <c r="DW95">
        <f>_xlfn.XLOOKUP(DV95,'KPI Impacts'!$B$2:$H$2,'KPI Impacts'!$B95:$H95)</f>
        <v>1000000000</v>
      </c>
      <c r="DX95" s="35" t="s">
        <v>1304</v>
      </c>
      <c r="DY95">
        <f>_xlfn.XLOOKUP(DX95,'KPI Impacts'!$B$2:$H$2,'KPI Impacts'!$B95:$H95)</f>
        <v>0</v>
      </c>
      <c r="EB95" s="12">
        <f>EB$4*EM95</f>
        <v>0</v>
      </c>
      <c r="EC95" s="12">
        <f>EC$4 * IF(AND(EB$4=1,EB$20=1), EO95, EM95)</f>
        <v>0</v>
      </c>
      <c r="ED95" s="12">
        <f>ED$4 * IF(AND(EC$4=1,EB$20=1), EO95, EM95)</f>
        <v>0</v>
      </c>
      <c r="EE95" s="12">
        <f>EE$4 * IF(AND(ED$4=1,EB$20=1), EO95, EM95)</f>
        <v>0</v>
      </c>
      <c r="EF95" s="12">
        <f>EF$4 * IF(AND(EE$4=1,EB$20=1), EO95, EM95)</f>
        <v>0</v>
      </c>
      <c r="EG95" s="12">
        <f>EG$4 * IF(AND(EF$4=1,EB$20=1), EO95, EM95)</f>
        <v>0</v>
      </c>
      <c r="EH95" s="12">
        <f>EH$4 * IF(AND(EG$4=1,EB$20=1), EO95, EM95)</f>
        <v>0</v>
      </c>
      <c r="EI95" s="12">
        <f>EI$4 * IF(AND(EH$4=1,EB$20=1), EO95, EM95)</f>
        <v>0</v>
      </c>
      <c r="EJ95" s="12">
        <f>EJ$4 * IF(AND(EI$4=1,EB$20=1), EO95, EM95)</f>
        <v>0</v>
      </c>
      <c r="EL95" s="29" t="s">
        <v>1305</v>
      </c>
      <c r="EM95">
        <f>_xlfn.XLOOKUP(EL95,'KPI Impacts'!$B$2:$H$2,'KPI Impacts'!$B95:$H95)</f>
        <v>-320000000</v>
      </c>
      <c r="EN95" s="35" t="s">
        <v>1304</v>
      </c>
      <c r="EO95">
        <f>_xlfn.XLOOKUP(EN95,'KPI Impacts'!$B$2:$H$2,'KPI Impacts'!$B95:$H95)</f>
        <v>0</v>
      </c>
      <c r="ER95" s="12">
        <f>ER$4*FC95</f>
        <v>0</v>
      </c>
      <c r="ES95" s="12">
        <f>ES$4 * IF(AND(ER$4=1,ER$20=1), FE95, FC95)</f>
        <v>0</v>
      </c>
      <c r="ET95" s="12">
        <f>ET$4 * IF(AND(ES$4=1,ER$20=1), FE95, FC95)</f>
        <v>0</v>
      </c>
      <c r="EU95" s="12">
        <f>EU$4 * IF(AND(ET$4=1,ER$20=1), FE95, FC95)</f>
        <v>0</v>
      </c>
      <c r="EV95" s="12">
        <f>EV$4 * IF(AND(EU$4=1,ER$20=1), FE95, FC95)</f>
        <v>0</v>
      </c>
      <c r="EW95" s="12">
        <f>EW$4 * IF(AND(EV$4=1,ER$20=1), FE95, FC95)</f>
        <v>0</v>
      </c>
      <c r="EX95" s="12">
        <f>EX$4 * IF(AND(EW$4=1,ER$20=1), FE95, FC95)</f>
        <v>0</v>
      </c>
      <c r="EY95" s="12">
        <f>EY$4 * IF(AND(EX$4=1,ER$20=1), FE95, FC95)</f>
        <v>0</v>
      </c>
      <c r="EZ95" s="12">
        <f>EZ$4 * IF(AND(EY$4=1,ER$20=1), FE95, FC95)</f>
        <v>0</v>
      </c>
      <c r="FB95" s="16" t="s">
        <v>1304</v>
      </c>
      <c r="FC95">
        <f>_xlfn.XLOOKUP(FB95,'KPI Impacts'!$B$2:$H$2,'KPI Impacts'!$B95:$H95)</f>
        <v>0</v>
      </c>
      <c r="FD95" s="35" t="s">
        <v>1304</v>
      </c>
      <c r="FE95">
        <f>_xlfn.XLOOKUP(FD95,'KPI Impacts'!$B$2:$H$2,'KPI Impacts'!$B95:$H95)</f>
        <v>0</v>
      </c>
      <c r="FH95" s="12">
        <f>FH$4*FS95</f>
        <v>0</v>
      </c>
      <c r="FI95" s="12">
        <f>FI$4 * IF(AND(FH$4=1,FH$20=1), FU95, FS95)</f>
        <v>0</v>
      </c>
      <c r="FJ95" s="12">
        <f>FJ$4 * IF(AND(FI$4=1,FH$20=1), FU95, FS95)</f>
        <v>0</v>
      </c>
      <c r="FK95" s="12">
        <f>FK$4 * IF(AND(FJ$4=1,FH$20=1), FU95, FS95)</f>
        <v>0</v>
      </c>
      <c r="FL95" s="12">
        <f>FL$4 * IF(AND(FK$4=1,FH$20=1), FU95, FS95)</f>
        <v>0</v>
      </c>
      <c r="FM95" s="12">
        <f>FM$4 * IF(AND(FL$4=1,FH$20=1), FU95, FS95)</f>
        <v>0</v>
      </c>
      <c r="FN95" s="12">
        <f>FN$4 * IF(AND(FM$4=1,FH$20=1), FU95, FS95)</f>
        <v>0</v>
      </c>
      <c r="FO95" s="12">
        <f>FO$4 * IF(AND(FN$4=1,FH$20=1), FU95, FS95)</f>
        <v>0</v>
      </c>
      <c r="FP95" s="12">
        <f>FP$4 * IF(AND(FO$4=1,FH$20=1), FU95, FS95)</f>
        <v>0</v>
      </c>
      <c r="FR95" s="16" t="s">
        <v>1304</v>
      </c>
      <c r="FS95">
        <f>_xlfn.XLOOKUP(FR95,'KPI Impacts'!$B$2:$H$2,'KPI Impacts'!$B95:$H95)</f>
        <v>0</v>
      </c>
      <c r="FT95" s="35" t="s">
        <v>1304</v>
      </c>
      <c r="FU95">
        <f>_xlfn.XLOOKUP(FT95,'KPI Impacts'!$B$2:$H$2,'KPI Impacts'!$B95:$H95)</f>
        <v>0</v>
      </c>
      <c r="FX95" s="12">
        <f>FX$4*GI95</f>
        <v>0</v>
      </c>
      <c r="FY95" s="12">
        <f>FY$4 * IF(AND(FX$4=1,FX$20=1), GK95, GI95)</f>
        <v>0</v>
      </c>
      <c r="FZ95" s="12">
        <f>FZ$4 * IF(AND(FY$4=1,FX$20=1), GK95, GI95)</f>
        <v>0</v>
      </c>
      <c r="GA95" s="12">
        <f>GA$4 * IF(AND(FZ$4=1,FX$20=1), GK95, GI95)</f>
        <v>0</v>
      </c>
      <c r="GB95" s="12">
        <f>GB$4 * IF(AND(GA$4=1,FX$20=1), GK95, GI95)</f>
        <v>0</v>
      </c>
      <c r="GC95" s="12">
        <f>GC$4 * IF(AND(GB$4=1,FX$20=1), GK95, GI95)</f>
        <v>0</v>
      </c>
      <c r="GD95" s="12">
        <f>GD$4 * IF(AND(GC$4=1,FX$20=1), GK95, GI95)</f>
        <v>0</v>
      </c>
      <c r="GE95" s="12">
        <f>GE$4 * IF(AND(GD$4=1,FX$20=1), GK95, GI95)</f>
        <v>0</v>
      </c>
      <c r="GF95" s="12">
        <f>GF$4 * IF(AND(GE$4=1,FX$20=1), GK95, GI95)</f>
        <v>0</v>
      </c>
      <c r="GH95" s="30" t="s">
        <v>1308</v>
      </c>
      <c r="GI95">
        <f>_xlfn.XLOOKUP(GH95,'KPI Impacts'!$B$2:$H$2,'KPI Impacts'!$B95:$H95)</f>
        <v>400000000</v>
      </c>
      <c r="GJ95" s="35" t="s">
        <v>1304</v>
      </c>
      <c r="GK95">
        <f>_xlfn.XLOOKUP(GJ95,'KPI Impacts'!$B$2:$H$2,'KPI Impacts'!$B95:$H95)</f>
        <v>0</v>
      </c>
      <c r="GN95" s="12">
        <f>GN$4*GY95</f>
        <v>0</v>
      </c>
      <c r="GO95" s="12">
        <f>GO$4 * IF(AND(GN$4=1,GN$20=1), HA95, GY95)</f>
        <v>0</v>
      </c>
      <c r="GP95" s="12">
        <f>GP$4 * IF(AND(GO$4=1,GN$20=1), HA95, GY95)</f>
        <v>0</v>
      </c>
      <c r="GQ95" s="12">
        <f>GQ$4 * IF(AND(GP$4=1,GN$20=1), HA95, GY95)</f>
        <v>0</v>
      </c>
      <c r="GR95" s="12">
        <f>GR$4 * IF(AND(GQ$4=1,GN$20=1), HA95, GY95)</f>
        <v>0</v>
      </c>
      <c r="GS95" s="12">
        <f>GS$4 * IF(AND(GR$4=1,GN$20=1), HA95, GY95)</f>
        <v>0</v>
      </c>
      <c r="GT95" s="12">
        <f>GT$4 * IF(AND(GS$4=1,GN$20=1), HA95, GY95)</f>
        <v>0</v>
      </c>
      <c r="GU95" s="12">
        <f>GU$4 * IF(AND(GT$4=1,GN$20=1), HA95, GY95)</f>
        <v>0</v>
      </c>
      <c r="GV95" s="12">
        <f>GV$4 * IF(AND(GU$4=1,GN$20=1), HA95, GY95)</f>
        <v>0</v>
      </c>
      <c r="GX95" s="16" t="s">
        <v>1304</v>
      </c>
      <c r="GY95">
        <f>_xlfn.XLOOKUP(GX95,'KPI Impacts'!$B$2:$H$2,'KPI Impacts'!$B95:$H95)</f>
        <v>0</v>
      </c>
      <c r="GZ95" s="35" t="s">
        <v>1304</v>
      </c>
      <c r="HA95">
        <f>_xlfn.XLOOKUP(GZ95,'KPI Impacts'!$B$2:$H$2,'KPI Impacts'!$B95:$H95)</f>
        <v>0</v>
      </c>
      <c r="HD95" s="12">
        <f>HD$4*HO95</f>
        <v>0</v>
      </c>
      <c r="HE95" s="12">
        <f>HE$4 * IF(AND(HD$4=1,HD$20=1), HQ95, HO95)</f>
        <v>0</v>
      </c>
      <c r="HF95" s="12">
        <f>HF$4 * IF(AND(HE$4=1,HD$20=1), HQ95, HO95)</f>
        <v>0</v>
      </c>
      <c r="HG95" s="12">
        <f>HG$4 * IF(AND(HF$4=1,HD$20=1), HQ95, HO95)</f>
        <v>0</v>
      </c>
      <c r="HH95" s="12">
        <f>HH$4 * IF(AND(HG$4=1,HD$20=1), HQ95, HO95)</f>
        <v>0</v>
      </c>
      <c r="HI95" s="12">
        <f>HI$4 * IF(AND(HH$4=1,HD$20=1), HQ95, HO95)</f>
        <v>0</v>
      </c>
      <c r="HJ95" s="12">
        <f>HJ$4 * IF(AND(HI$4=1,HD$20=1), HQ95, HO95)</f>
        <v>0</v>
      </c>
      <c r="HK95" s="12">
        <f>HK$4 * IF(AND(HJ$4=1,HD$20=1), HQ95, HO95)</f>
        <v>0</v>
      </c>
      <c r="HL95" s="12">
        <f>HL$4 * IF(AND(HK$4=1,HD$20=1), HQ95, HO95)</f>
        <v>0</v>
      </c>
      <c r="HN95" s="30" t="s">
        <v>1310</v>
      </c>
      <c r="HO95">
        <f>_xlfn.XLOOKUP(HN95,'KPI Impacts'!$B$2:$H$2,'KPI Impacts'!$B95:$H95)</f>
        <v>1000000000</v>
      </c>
      <c r="HP95" s="35" t="s">
        <v>1304</v>
      </c>
      <c r="HQ95">
        <f>_xlfn.XLOOKUP(HP95,'KPI Impacts'!$B$2:$H$2,'KPI Impacts'!$B95:$H95)</f>
        <v>0</v>
      </c>
      <c r="HT95" s="12">
        <f>HT$4*IE95</f>
        <v>0</v>
      </c>
      <c r="HU95" s="12">
        <f>HU$4 * IF(AND(HT$4=1,HT$20=1), IG95, IE95)</f>
        <v>0</v>
      </c>
      <c r="HV95" s="12">
        <f>HV$4 * IF(AND(HU$4=1,HT$20=1), IG95, IE95)</f>
        <v>0</v>
      </c>
      <c r="HW95" s="12">
        <f>HW$4 * IF(AND(HV$4=1,HT$20=1), IG95, IE95)</f>
        <v>0</v>
      </c>
      <c r="HX95" s="12">
        <f>HX$4 * IF(AND(HW$4=1,HT$20=1), IG95, IE95)</f>
        <v>0</v>
      </c>
      <c r="HY95" s="12">
        <f>HY$4 * IF(AND(HX$4=1,HT$20=1), IG95, IE95)</f>
        <v>0</v>
      </c>
      <c r="HZ95" s="12">
        <f>HZ$4 * IF(AND(HY$4=1,HT$20=1), IG95, IE95)</f>
        <v>0</v>
      </c>
      <c r="IA95" s="12">
        <f>IA$4 * IF(AND(HZ$4=1,HT$20=1), IG95, IE95)</f>
        <v>0</v>
      </c>
      <c r="IB95" s="12">
        <f>IB$4 * IF(AND(IA$4=1,HT$20=1), IG95, IE95)</f>
        <v>0</v>
      </c>
      <c r="ID95" s="30" t="s">
        <v>1308</v>
      </c>
      <c r="IE95">
        <f>_xlfn.XLOOKUP(ID95,'KPI Impacts'!$B$2:$H$2,'KPI Impacts'!$B95:$H95)</f>
        <v>400000000</v>
      </c>
      <c r="IF95" s="35" t="s">
        <v>1304</v>
      </c>
      <c r="IG95">
        <f>_xlfn.XLOOKUP(IF95,'KPI Impacts'!$B$2:$H$2,'KPI Impacts'!$B95:$H95)</f>
        <v>0</v>
      </c>
      <c r="IJ95" s="12">
        <f>IJ$4*IU95</f>
        <v>0</v>
      </c>
      <c r="IK95" s="12">
        <f>IK$4 * IF(AND(IJ$4=1,IJ$20=1), IW95, IU95)</f>
        <v>0</v>
      </c>
      <c r="IL95" s="12">
        <f>IL$4 * IF(AND(IK$4=1,IJ$20=1), IW95, IU95)</f>
        <v>0</v>
      </c>
      <c r="IM95" s="12">
        <f>IM$4 * IF(AND(IL$4=1,IJ$20=1), IW95, IU95)</f>
        <v>0</v>
      </c>
      <c r="IN95" s="12">
        <f>IN$4 * IF(AND(IM$4=1,IJ$20=1), IW95, IU95)</f>
        <v>0</v>
      </c>
      <c r="IO95" s="12">
        <f>IO$4 * IF(AND(IN$4=1,IJ$20=1), IW95, IU95)</f>
        <v>0</v>
      </c>
      <c r="IP95" s="12">
        <f>IP$4 * IF(AND(IO$4=1,IJ$20=1), IW95, IU95)</f>
        <v>0</v>
      </c>
      <c r="IQ95" s="12">
        <f>IQ$4 * IF(AND(IP$4=1,IJ$20=1), IW95, IU95)</f>
        <v>0</v>
      </c>
      <c r="IR95" s="12">
        <f>IR$4 * IF(AND(IQ$4=1,IJ$20=1), IW95, IU95)</f>
        <v>0</v>
      </c>
      <c r="IT95" s="16" t="s">
        <v>1304</v>
      </c>
      <c r="IU95">
        <f>_xlfn.XLOOKUP(IT95,'KPI Impacts'!$B$2:$H$2,'KPI Impacts'!$B95:$H95)</f>
        <v>0</v>
      </c>
      <c r="IV95" s="35" t="s">
        <v>1304</v>
      </c>
      <c r="IW95">
        <f>_xlfn.XLOOKUP(IV95,'KPI Impacts'!$B$2:$H$2,'KPI Impacts'!$B95:$H95)</f>
        <v>0</v>
      </c>
      <c r="IZ95" s="12">
        <f>IZ$4*JK95</f>
        <v>0</v>
      </c>
      <c r="JA95" s="12">
        <f>JA$4 * IF(AND(IZ$4=1,IZ$20=1), JM95, JK95)</f>
        <v>0</v>
      </c>
      <c r="JB95" s="12">
        <f>JB$4 * IF(AND(JA$4=1,IZ$20=1), JM95, JK95)</f>
        <v>0</v>
      </c>
      <c r="JC95" s="12">
        <f>JC$4 * IF(AND(JB$4=1,IZ$20=1), JM95, JK95)</f>
        <v>0</v>
      </c>
      <c r="JD95" s="12">
        <f>JD$4 * IF(AND(JC$4=1,IZ$20=1), JM95, JK95)</f>
        <v>0</v>
      </c>
      <c r="JE95" s="12">
        <f>JE$4 * IF(AND(JD$4=1,IZ$20=1), JM95, JK95)</f>
        <v>0</v>
      </c>
      <c r="JF95" s="12">
        <f>JF$4 * IF(AND(JE$4=1,IZ$20=1), JM95, JK95)</f>
        <v>0</v>
      </c>
      <c r="JG95" s="12">
        <f>JG$4 * IF(AND(JF$4=1,IZ$20=1), JM95, JK95)</f>
        <v>0</v>
      </c>
      <c r="JH95" s="12">
        <f>JH$4 * IF(AND(JG$4=1,IZ$20=1), JM95, JK95)</f>
        <v>0</v>
      </c>
      <c r="JJ95" t="s">
        <v>1304</v>
      </c>
      <c r="JK95">
        <f>_xlfn.XLOOKUP(JJ95,'KPI Impacts'!$B$2:$H$2,'KPI Impacts'!$B95:$H95)</f>
        <v>0</v>
      </c>
      <c r="JL95" s="9" t="s">
        <v>1304</v>
      </c>
      <c r="JM95">
        <f>_xlfn.XLOOKUP(JL95,'KPI Impacts'!$B$2:$H$2,'KPI Impacts'!$B95:$H95)</f>
        <v>0</v>
      </c>
      <c r="JP95" s="12">
        <f>JP$4*KA95</f>
        <v>0</v>
      </c>
      <c r="JQ95" s="12">
        <f>JQ$4 * IF(AND(JP$4=1,JP$20=1), KC95, KA95)</f>
        <v>0</v>
      </c>
      <c r="JR95" s="12">
        <f>JR$4 * IF(AND(JQ$4=1,JP$20=1), KC95, KA95)</f>
        <v>0</v>
      </c>
      <c r="JS95" s="12">
        <f>JS$4 * IF(AND(JR$4=1,JP$20=1), KC95, KA95)</f>
        <v>0</v>
      </c>
      <c r="JT95" s="12">
        <f>JT$4 * IF(AND(JS$4=1,JP$20=1), KC95, KA95)</f>
        <v>0</v>
      </c>
      <c r="JU95" s="12">
        <f>JU$4 * IF(AND(JT$4=1,JP$20=1), KC95, KA95)</f>
        <v>0</v>
      </c>
      <c r="JV95" s="12">
        <f>JV$4 * IF(AND(JU$4=1,JP$20=1), KC95, KA95)</f>
        <v>0</v>
      </c>
      <c r="JW95" s="12">
        <f>JW$4 * IF(AND(JV$4=1,JP$20=1), KC95, KA95)</f>
        <v>0</v>
      </c>
      <c r="JX95" s="12">
        <f>JX$4 * IF(AND(JW$4=1,JP$20=1), KC95, KA95)</f>
        <v>0</v>
      </c>
      <c r="JZ95" t="s">
        <v>1304</v>
      </c>
      <c r="KA95">
        <f>_xlfn.XLOOKUP(JZ95,'KPI Impacts'!$B$2:$H$2,'KPI Impacts'!$B95:$H95)</f>
        <v>0</v>
      </c>
      <c r="KB95" s="9" t="s">
        <v>1304</v>
      </c>
      <c r="KC95">
        <f>_xlfn.XLOOKUP(KB95,'KPI Impacts'!$B$2:$H$2,'KPI Impacts'!$B95:$H95)</f>
        <v>0</v>
      </c>
      <c r="KF95" s="12">
        <f>KF$4*KQ95</f>
        <v>0</v>
      </c>
      <c r="KG95" s="12">
        <f>KG$4 * IF(AND(KF$4=1,KF$20=1), KS95, KQ95)</f>
        <v>0</v>
      </c>
      <c r="KH95" s="12">
        <f>KH$4 * IF(AND(KG$4=1,KF$20=1), KS95, KQ95)</f>
        <v>0</v>
      </c>
      <c r="KI95" s="12">
        <f>KI$4 * IF(AND(KH$4=1,KF$20=1), KS95, KQ95)</f>
        <v>0</v>
      </c>
      <c r="KJ95" s="12">
        <f>KJ$4 * IF(AND(KI$4=1,KF$20=1), KS95, KQ95)</f>
        <v>0</v>
      </c>
      <c r="KK95" s="12">
        <f>KK$4 * IF(AND(KJ$4=1,KF$20=1), KS95, KQ95)</f>
        <v>0</v>
      </c>
      <c r="KL95" s="12">
        <f>KL$4 * IF(AND(KK$4=1,KF$20=1), KS95, KQ95)</f>
        <v>0</v>
      </c>
      <c r="KM95" s="12">
        <f>KM$4 * IF(AND(KL$4=1,KF$20=1), KS95, KQ95)</f>
        <v>0</v>
      </c>
      <c r="KN95" s="12">
        <f>KN$4 * IF(AND(KM$4=1,KF$20=1), KS95, KQ95)</f>
        <v>0</v>
      </c>
      <c r="KP95" t="s">
        <v>1304</v>
      </c>
      <c r="KQ95">
        <f>_xlfn.XLOOKUP(KP95,'KPI Impacts'!$B$2:$H$2,'KPI Impacts'!$B95:$H95)</f>
        <v>0</v>
      </c>
      <c r="KR95" s="9" t="s">
        <v>1304</v>
      </c>
      <c r="KS95">
        <f>_xlfn.XLOOKUP(KR95,'KPI Impacts'!$B$2:$H$2,'KPI Impacts'!$B95:$H95)</f>
        <v>0</v>
      </c>
      <c r="KV95" s="12">
        <f>KV$4*LG95</f>
        <v>0</v>
      </c>
      <c r="KW95" s="12">
        <f>KW$4 * IF(AND(KV$4=1,KV$20=1), LI95, LG95)</f>
        <v>0</v>
      </c>
      <c r="KX95" s="12">
        <f>KX$4 * IF(AND(KW$4=1,KV$20=1), LI95, LG95)</f>
        <v>0</v>
      </c>
      <c r="KY95" s="12">
        <f>KY$4 * IF(AND(KX$4=1,KV$20=1), LI95, LG95)</f>
        <v>0</v>
      </c>
      <c r="KZ95" s="12">
        <f>KZ$4 * IF(AND(KY$4=1,KV$20=1), LI95, LG95)</f>
        <v>0</v>
      </c>
      <c r="LA95" s="12">
        <f>LA$4 * IF(AND(KZ$4=1,KV$20=1), LI95, LG95)</f>
        <v>0</v>
      </c>
      <c r="LB95" s="12">
        <f>LB$4 * IF(AND(LA$4=1,KV$20=1), LI95, LG95)</f>
        <v>0</v>
      </c>
      <c r="LC95" s="12">
        <f>LC$4 * IF(AND(LB$4=1,KV$20=1), LI95, LG95)</f>
        <v>0</v>
      </c>
      <c r="LD95" s="12">
        <f>LD$4 * IF(AND(LC$4=1,KV$20=1), LI95, LG95)</f>
        <v>0</v>
      </c>
      <c r="LF95" t="s">
        <v>1304</v>
      </c>
      <c r="LG95">
        <f>_xlfn.XLOOKUP(LF95,'KPI Impacts'!$B$2:$H$2,'KPI Impacts'!$B95:$H95)</f>
        <v>0</v>
      </c>
      <c r="LH95" s="9" t="s">
        <v>1304</v>
      </c>
      <c r="LI95">
        <f>_xlfn.XLOOKUP(LH95,'KPI Impacts'!$B$2:$H$2,'KPI Impacts'!$B95:$H95)</f>
        <v>0</v>
      </c>
      <c r="LL95" s="12">
        <f>LL$4*LW95</f>
        <v>0</v>
      </c>
      <c r="LM95" s="12">
        <f>LM$4 * IF(AND(LL$4=1,LL$20=1), LY95, LW95)</f>
        <v>0</v>
      </c>
      <c r="LN95" s="12">
        <f>LN$4 * IF(AND(LM$4=1,LL$20=1), LY95, LW95)</f>
        <v>0</v>
      </c>
      <c r="LO95" s="12">
        <f>LO$4 * IF(AND(LN$4=1,LL$20=1), LY95, LW95)</f>
        <v>0</v>
      </c>
      <c r="LP95" s="12">
        <f>LP$4 * IF(AND(LO$4=1,LL$20=1), LY95, LW95)</f>
        <v>0</v>
      </c>
      <c r="LQ95" s="12">
        <f>LQ$4 * IF(AND(LP$4=1,LL$20=1), LY95, LW95)</f>
        <v>0</v>
      </c>
      <c r="LR95" s="12">
        <f>LR$4 * IF(AND(LQ$4=1,LL$20=1), LY95, LW95)</f>
        <v>0</v>
      </c>
      <c r="LS95" s="12">
        <f>LS$4 * IF(AND(LR$4=1,LL$20=1), LY95, LW95)</f>
        <v>0</v>
      </c>
      <c r="LT95" s="12">
        <f>LT$4 * IF(AND(LS$4=1,LL$20=1), LY95, LW95)</f>
        <v>0</v>
      </c>
      <c r="LV95" t="s">
        <v>1304</v>
      </c>
      <c r="LW95">
        <f>_xlfn.XLOOKUP(LV95,'KPI Impacts'!$B$2:$H$2,'KPI Impacts'!$B95:$H95)</f>
        <v>0</v>
      </c>
      <c r="LX95" s="9" t="s">
        <v>1304</v>
      </c>
      <c r="LY95">
        <f>_xlfn.XLOOKUP(LX95,'KPI Impacts'!$B$2:$H$2,'KPI Impacts'!$B95:$H95)</f>
        <v>0</v>
      </c>
      <c r="MB95" s="12">
        <f>MB$4*MM95</f>
        <v>0</v>
      </c>
      <c r="MC95" s="12">
        <f>MC$4 * IF(AND(MB$4=1,MB$20=1), MO95, MM95)</f>
        <v>0</v>
      </c>
      <c r="MD95" s="12">
        <f>MD$4 * IF(AND(MC$4=1,MB$20=1), MO95, MM95)</f>
        <v>0</v>
      </c>
      <c r="ME95" s="12">
        <f>ME$4 * IF(AND(MD$4=1,MB$20=1), MO95, MM95)</f>
        <v>0</v>
      </c>
      <c r="MF95" s="12">
        <f>MF$4 * IF(AND(ME$4=1,MB$20=1), MO95, MM95)</f>
        <v>0</v>
      </c>
      <c r="MG95" s="12">
        <f>MG$4 * IF(AND(MF$4=1,MB$20=1), MO95, MM95)</f>
        <v>0</v>
      </c>
      <c r="MH95" s="12">
        <f>MH$4 * IF(AND(MG$4=1,MB$20=1), MO95, MM95)</f>
        <v>0</v>
      </c>
      <c r="MI95" s="12">
        <f>MI$4 * IF(AND(MH$4=1,MB$20=1), MO95, MM95)</f>
        <v>0</v>
      </c>
      <c r="MJ95" s="12">
        <f>MJ$4 * IF(AND(MI$4=1,MB$20=1), MO95, MM95)</f>
        <v>0</v>
      </c>
      <c r="ML95" t="s">
        <v>1304</v>
      </c>
      <c r="MM95">
        <f>_xlfn.XLOOKUP(ML95,'KPI Impacts'!$B$2:$H$2,'KPI Impacts'!$B95:$H95)</f>
        <v>0</v>
      </c>
      <c r="MN95" s="9" t="s">
        <v>1304</v>
      </c>
      <c r="MO95">
        <f>_xlfn.XLOOKUP(MN95,'KPI Impacts'!$B$2:$H$2,'KPI Impacts'!$B95:$H95)</f>
        <v>0</v>
      </c>
      <c r="MR95" s="12">
        <f>MR$4*NC95</f>
        <v>0</v>
      </c>
      <c r="MS95" s="12">
        <f>MS$4 * IF(AND(MR$4=1,MR$20=1), NE95, NC95)</f>
        <v>0</v>
      </c>
      <c r="MT95" s="12">
        <f>MT$4 * IF(AND(MS$4=1,MR$20=1), NE95, NC95)</f>
        <v>0</v>
      </c>
      <c r="MU95" s="12">
        <f>MU$4 * IF(AND(MT$4=1,MR$20=1), NE95, NC95)</f>
        <v>0</v>
      </c>
      <c r="MV95" s="12">
        <f>MV$4 * IF(AND(MU$4=1,MR$20=1), NE95, NC95)</f>
        <v>0</v>
      </c>
      <c r="MW95" s="12">
        <f>MW$4 * IF(AND(MV$4=1,MR$20=1), NE95, NC95)</f>
        <v>0</v>
      </c>
      <c r="MX95" s="12">
        <f>MX$4 * IF(AND(MW$4=1,MR$20=1), NE95, NC95)</f>
        <v>0</v>
      </c>
      <c r="MY95" s="12">
        <f>MY$4 * IF(AND(MX$4=1,MR$20=1), NE95, NC95)</f>
        <v>0</v>
      </c>
      <c r="MZ95" s="12">
        <f>MZ$4 * IF(AND(MY$4=1,MR$20=1), NE95, NC95)</f>
        <v>0</v>
      </c>
      <c r="NB95" t="s">
        <v>1304</v>
      </c>
      <c r="NC95">
        <f>_xlfn.XLOOKUP(NB95,'KPI Impacts'!$B$2:$H$2,'KPI Impacts'!$B95:$H95)</f>
        <v>0</v>
      </c>
      <c r="ND95" s="9" t="s">
        <v>1304</v>
      </c>
      <c r="NE95">
        <f>_xlfn.XLOOKUP(ND95,'KPI Impacts'!$B$2:$H$2,'KPI Impacts'!$B95:$H95)</f>
        <v>0</v>
      </c>
      <c r="NH95" s="12">
        <f>NH$4*NS95</f>
        <v>0</v>
      </c>
      <c r="NI95" s="12">
        <f>NI$4 * IF(AND(NH$4=1,NH$20=1), NU95, NS95)</f>
        <v>0</v>
      </c>
      <c r="NJ95" s="12">
        <f>NJ$4 * IF(AND(NI$4=1,NH$20=1), NU95, NS95)</f>
        <v>0</v>
      </c>
      <c r="NK95" s="12">
        <f>NK$4 * IF(AND(NJ$4=1,NH$20=1), NU95, NS95)</f>
        <v>0</v>
      </c>
      <c r="NL95" s="12">
        <f>NL$4 * IF(AND(NK$4=1,NH$20=1), NU95, NS95)</f>
        <v>0</v>
      </c>
      <c r="NM95" s="12">
        <f>NM$4 * IF(AND(NL$4=1,NH$20=1), NU95, NS95)</f>
        <v>0</v>
      </c>
      <c r="NN95" s="12">
        <f>NN$4 * IF(AND(NM$4=1,NH$20=1), NU95, NS95)</f>
        <v>0</v>
      </c>
      <c r="NO95" s="12">
        <f>NO$4 * IF(AND(NN$4=1,NH$20=1), NU95, NS95)</f>
        <v>0</v>
      </c>
      <c r="NP95" s="12">
        <f>NP$4 * IF(AND(NO$4=1,NH$20=1), NU95, NS95)</f>
        <v>0</v>
      </c>
      <c r="NR95" t="s">
        <v>1304</v>
      </c>
      <c r="NS95">
        <f>_xlfn.XLOOKUP(NR95,'KPI Impacts'!$B$2:$H$2,'KPI Impacts'!$B95:$H95)</f>
        <v>0</v>
      </c>
      <c r="NT95" s="9" t="s">
        <v>1304</v>
      </c>
      <c r="NU95">
        <f>_xlfn.XLOOKUP(NT95,'KPI Impacts'!$B$2:$H$2,'KPI Impacts'!$B95:$H95)</f>
        <v>0</v>
      </c>
      <c r="NX95" s="12">
        <f>NX$4*OI95</f>
        <v>0</v>
      </c>
      <c r="NY95" s="12">
        <f>NY$4 * IF(AND(NX$4=1,NX$20=1), OK95, OI95)</f>
        <v>0</v>
      </c>
      <c r="NZ95" s="12">
        <f>NZ$4 * IF(AND(NY$4=1,NX$20=1), OK95, OI95)</f>
        <v>0</v>
      </c>
      <c r="OA95" s="12">
        <f>OA$4 * IF(AND(NZ$4=1,NX$20=1), OK95, OI95)</f>
        <v>0</v>
      </c>
      <c r="OB95" s="12">
        <f>OB$4 * IF(AND(OA$4=1,NX$20=1), OK95, OI95)</f>
        <v>0</v>
      </c>
      <c r="OC95" s="12">
        <f>OC$4 * IF(AND(OB$4=1,NX$20=1), OK95, OI95)</f>
        <v>0</v>
      </c>
      <c r="OD95" s="12">
        <f>OD$4 * IF(AND(OC$4=1,NX$20=1), OK95, OI95)</f>
        <v>0</v>
      </c>
      <c r="OE95" s="12">
        <f>OE$4 * IF(AND(OD$4=1,NX$20=1), OK95, OI95)</f>
        <v>0</v>
      </c>
      <c r="OF95" s="12">
        <f>OF$4 * IF(AND(OE$4=1,NX$20=1), OK95, OI95)</f>
        <v>0</v>
      </c>
      <c r="OH95" t="s">
        <v>1304</v>
      </c>
      <c r="OI95">
        <f>_xlfn.XLOOKUP(OH95,'KPI Impacts'!$B$2:$H$2,'KPI Impacts'!$B95:$H95)</f>
        <v>0</v>
      </c>
      <c r="OJ95" s="9" t="s">
        <v>1304</v>
      </c>
      <c r="OK95">
        <f>_xlfn.XLOOKUP(OJ95,'KPI Impacts'!$B$2:$H$2,'KPI Impacts'!$B95:$H95)</f>
        <v>0</v>
      </c>
    </row>
    <row r="96" spans="1:401" x14ac:dyDescent="0.2">
      <c r="A96" t="s">
        <v>1318</v>
      </c>
      <c r="B96" s="12">
        <f t="shared" si="520"/>
        <v>0</v>
      </c>
      <c r="C96" s="12">
        <f t="shared" si="520"/>
        <v>0</v>
      </c>
      <c r="D96" s="12">
        <f t="shared" si="520"/>
        <v>0</v>
      </c>
      <c r="E96" s="12">
        <f t="shared" si="520"/>
        <v>0</v>
      </c>
      <c r="F96" s="12">
        <f t="shared" si="520"/>
        <v>0</v>
      </c>
      <c r="G96" s="12">
        <f t="shared" si="520"/>
        <v>0</v>
      </c>
      <c r="H96" s="12">
        <f t="shared" si="520"/>
        <v>0</v>
      </c>
      <c r="I96" s="12">
        <f t="shared" si="520"/>
        <v>0</v>
      </c>
      <c r="J96" s="12">
        <f t="shared" si="520"/>
        <v>0</v>
      </c>
      <c r="M96" s="6"/>
      <c r="N96" s="6"/>
      <c r="P96" s="12" cm="1">
        <f t="array" ref="P96">_xlfn.SWITCH(P$4, 0,0, 1, AA96,2,AC96,3,AE96,0)</f>
        <v>0</v>
      </c>
      <c r="Q96" s="12" cm="1">
        <f t="array" ref="Q96">_xlfn.SWITCH(Q$4, 0,0, 1, AA96,2,AC96,3,AE96,0)+P96</f>
        <v>0</v>
      </c>
      <c r="R96" s="12" cm="1">
        <f t="array" ref="R96">_xlfn.SWITCH(R$4, 0,0, 1, AA96,2,AC96,3,AE96,0)+Q96</f>
        <v>0</v>
      </c>
      <c r="S96" s="12" cm="1">
        <f t="array" ref="S96">_xlfn.SWITCH(S$4, 0,0, 1, AA96,2,AC96,3,AE96,0)+R96</f>
        <v>0</v>
      </c>
      <c r="T96" s="12" cm="1">
        <f t="array" ref="T96">_xlfn.SWITCH(T$4, 0,0, 1, AA96,2,AC96,3,AE96,0)+S96</f>
        <v>0</v>
      </c>
      <c r="U96" s="12" cm="1">
        <f t="array" ref="U96">_xlfn.SWITCH(U$4, 0,0, 1, AA96,2,AC96,3,AE96,0)+T96</f>
        <v>0</v>
      </c>
      <c r="V96" s="12" cm="1">
        <f t="array" ref="V96">_xlfn.SWITCH(V$4, 0,0, 1, AA96,2,AC96,3,AE96,0)+U96</f>
        <v>0</v>
      </c>
      <c r="W96" s="12" cm="1">
        <f t="array" ref="W96">_xlfn.SWITCH(W$4, 0,0, 1, AA96,2,AC96,3,AE96,0)+V96</f>
        <v>0</v>
      </c>
      <c r="X96" s="12" cm="1">
        <f t="array" ref="X96">_xlfn.SWITCH(X$4, 0,0, 1, AA96,2,AC96,3,AE96,0)+W96</f>
        <v>0</v>
      </c>
      <c r="Z96" t="s">
        <v>1308</v>
      </c>
      <c r="AA96">
        <f>_xlfn.XLOOKUP(Z96,'KPI Impacts'!$K$2:$Q$2,'KPI Impacts'!$K96:$Q96)</f>
        <v>90000000</v>
      </c>
      <c r="AB96" t="s">
        <v>1310</v>
      </c>
      <c r="AC96">
        <f>_xlfn.XLOOKUP(AB96,'KPI Impacts'!$K$2:$Q$2,'KPI Impacts'!$K96:$Q96)</f>
        <v>240000000</v>
      </c>
      <c r="AD96" t="s">
        <v>1309</v>
      </c>
      <c r="AE96">
        <f>_xlfn.XLOOKUP(AD96,'KPI Impacts'!$K$2:$Q$2,'KPI Impacts'!$K96:$Q96)</f>
        <v>450000000</v>
      </c>
      <c r="AH96" s="12" cm="1">
        <f t="array" ref="AH96">_xlfn.SWITCH(AH$4, 0,0, 1, AS96,2,AU96,3,AW96,0)</f>
        <v>0</v>
      </c>
      <c r="AI96" s="12" cm="1">
        <f t="array" ref="AI96">_xlfn.SWITCH(AI$4, 0,0, 1, AS96,2,AU96,3,AW96,0)+AH96</f>
        <v>0</v>
      </c>
      <c r="AJ96" s="12" cm="1">
        <f t="array" ref="AJ96">_xlfn.SWITCH(AJ$4, 0,0, 1, AS96,2,AU96,3,AW96,0)+AI96</f>
        <v>0</v>
      </c>
      <c r="AK96" s="12" cm="1">
        <f t="array" ref="AK96">_xlfn.SWITCH(AK$4, 0,0, 1, AS96,2,AU96,3,AW96,0)+AJ96</f>
        <v>0</v>
      </c>
      <c r="AL96" s="12" cm="1">
        <f t="array" ref="AL96">_xlfn.SWITCH(AL$4, 0,0, 1, AS96,2,AU96,3,AW96,0)+AK96</f>
        <v>0</v>
      </c>
      <c r="AM96" s="12" cm="1">
        <f t="array" ref="AM96">_xlfn.SWITCH(AM$4, 0,0, 1, AS96,2,AU96,3,AW96,0)+AL96</f>
        <v>0</v>
      </c>
      <c r="AN96" s="12" cm="1">
        <f t="array" ref="AN96">_xlfn.SWITCH(AN$4, 0,0, 1, AS96,2,AU96,3,AW96,0)+AM96</f>
        <v>0</v>
      </c>
      <c r="AO96" s="12" cm="1">
        <f t="array" ref="AO96">_xlfn.SWITCH(AO$4, 0,0, 1, AS96,2,AU96,3,AW96,0)+AN96</f>
        <v>0</v>
      </c>
      <c r="AP96" s="12" cm="1">
        <f t="array" ref="AP96">_xlfn.SWITCH(AP$4, 0,0, 1, AS96,2,AU96,3,AW96,0)+AO96</f>
        <v>0</v>
      </c>
      <c r="AR96" t="s">
        <v>1308</v>
      </c>
      <c r="AS96">
        <f>_xlfn.XLOOKUP(AR96,'KPI Impacts'!$K$2:$Q$2,'KPI Impacts'!$K96:$Q96)</f>
        <v>90000000</v>
      </c>
      <c r="AT96" t="s">
        <v>1310</v>
      </c>
      <c r="AU96">
        <f>_xlfn.XLOOKUP(AT96,'KPI Impacts'!$K$2:$Q$2,'KPI Impacts'!$K96:$Q96)</f>
        <v>240000000</v>
      </c>
      <c r="AV96" t="s">
        <v>1309</v>
      </c>
      <c r="AW96">
        <f>_xlfn.XLOOKUP(AV96,'KPI Impacts'!$K$2:$Q$2,'KPI Impacts'!$K96:$Q96)</f>
        <v>450000000</v>
      </c>
      <c r="AZ96" s="12">
        <f>AZ$4*BK96</f>
        <v>0</v>
      </c>
      <c r="BA96" s="12">
        <f>BA$4 * IF(AND(AZ$4=1,AZ$20=1), BM96, BK96)</f>
        <v>0</v>
      </c>
      <c r="BB96" s="12">
        <f>BB$4 * IF(AND(BA$4=1,AZ$20=1), BM96, BK96)</f>
        <v>0</v>
      </c>
      <c r="BC96" s="12">
        <f>BC$4 * IF(AND(BB$4=1,AZ$20=1), BM96, BK96)</f>
        <v>0</v>
      </c>
      <c r="BD96" s="12">
        <f>BD$4 * IF(AND(BC$4=1,AZ$20=1), BM96, BK96)</f>
        <v>0</v>
      </c>
      <c r="BE96" s="12">
        <f>BE$4 * IF(AND(BD$4=1,AZ$20=1), BM96, BK96)</f>
        <v>0</v>
      </c>
      <c r="BF96" s="12">
        <f>BF$4 * IF(AND(BE$4=1,AZ$20=1), BM96, BK96)</f>
        <v>0</v>
      </c>
      <c r="BG96" s="12">
        <f>BG$4 * IF(AND(BF$4=1,AZ$20=1), BM96, BK96)</f>
        <v>0</v>
      </c>
      <c r="BH96" s="12">
        <f>BH$4 * IF(AND(BG$4=1,AZ$20=1), BM96, BK96)</f>
        <v>0</v>
      </c>
      <c r="BJ96" s="29" t="s">
        <v>1305</v>
      </c>
      <c r="BK96">
        <f>_xlfn.XLOOKUP(BJ96,'KPI Impacts'!$B$2:$H$2,'KPI Impacts'!$B96:$H96)</f>
        <v>-120000000</v>
      </c>
      <c r="BL96" s="35" t="s">
        <v>1304</v>
      </c>
      <c r="BM96">
        <f>_xlfn.XLOOKUP(BL96,'KPI Impacts'!$B$2:$H$2,'KPI Impacts'!$B96:$H96)</f>
        <v>0</v>
      </c>
      <c r="BP96" s="12">
        <f>BP$4*CA96</f>
        <v>0</v>
      </c>
      <c r="BQ96" s="12">
        <f>BQ$4 * IF(AND(BP$4=1,BP$20=1), CC96, CA96)</f>
        <v>0</v>
      </c>
      <c r="BR96" s="12">
        <f>BR$4 * IF(AND(BQ$4=1,BP$20=1), CC96, CA96)</f>
        <v>0</v>
      </c>
      <c r="BS96" s="12">
        <f>BS$4 * IF(AND(BR$4=1,BP$20=1), CC96, CA96)</f>
        <v>0</v>
      </c>
      <c r="BT96" s="12">
        <f>BT$4 * IF(AND(BS$4=1,BP$20=1), CC96, CA96)</f>
        <v>0</v>
      </c>
      <c r="BU96" s="12">
        <f>BU$4 * IF(AND(BT$4=1,BP$20=1), CC96, CA96)</f>
        <v>0</v>
      </c>
      <c r="BV96" s="12">
        <f>BV$4 * IF(AND(BU$4=1,BP$20=1), CC96, CA96)</f>
        <v>0</v>
      </c>
      <c r="BW96" s="12">
        <f>BW$4 * IF(AND(BV$4=1,BP$20=1), CC96, CA96)</f>
        <v>0</v>
      </c>
      <c r="BX96" s="12">
        <f>BX$4 * IF(AND(BW$4=1,BP$20=1), CC96, CA96)</f>
        <v>0</v>
      </c>
      <c r="BZ96" s="16" t="s">
        <v>1304</v>
      </c>
      <c r="CA96">
        <f>_xlfn.XLOOKUP(BZ96,'KPI Impacts'!$B$2:$H$2,'KPI Impacts'!$B96:$H96)</f>
        <v>0</v>
      </c>
      <c r="CB96" s="9" t="s">
        <v>1304</v>
      </c>
      <c r="CC96">
        <f>_xlfn.XLOOKUP(CB96,'KPI Impacts'!$B$2:$H$2,'KPI Impacts'!$B96:$H96)</f>
        <v>0</v>
      </c>
      <c r="CF96" s="12">
        <f>CF$4*CQ96</f>
        <v>0</v>
      </c>
      <c r="CG96" s="12">
        <f>CG$4 * IF(AND(CF$4=1,CF$20=1), CS96, CQ96)</f>
        <v>0</v>
      </c>
      <c r="CH96" s="12">
        <f>CH$4 * IF(AND(CG$4=1,CF$20=1), CS96, CQ96)</f>
        <v>0</v>
      </c>
      <c r="CI96" s="12">
        <f>CI$4 * IF(AND(CH$4=1,CF$20=1), CS96, CQ96)</f>
        <v>0</v>
      </c>
      <c r="CJ96" s="12">
        <f>CJ$4 * IF(AND(CI$4=1,CF$20=1), CS96, CQ96)</f>
        <v>0</v>
      </c>
      <c r="CK96" s="12">
        <f>CK$4 * IF(AND(CJ$4=1,CF$20=1), CS96, CQ96)</f>
        <v>0</v>
      </c>
      <c r="CL96" s="12">
        <f>CL$4 * IF(AND(CK$4=1,CF$20=1), CS96, CQ96)</f>
        <v>0</v>
      </c>
      <c r="CM96" s="12">
        <f>CM$4 * IF(AND(CL$4=1,CF$20=1), CS96, CQ96)</f>
        <v>0</v>
      </c>
      <c r="CN96" s="12">
        <f>CN$4 * IF(AND(CM$4=1,CF$20=1), CS96, CQ96)</f>
        <v>0</v>
      </c>
      <c r="CP96" s="16" t="s">
        <v>1304</v>
      </c>
      <c r="CQ96">
        <f>_xlfn.XLOOKUP(CP96,'KPI Impacts'!$B$2:$H$2,'KPI Impacts'!$B96:$H96)</f>
        <v>0</v>
      </c>
      <c r="CR96" s="35" t="s">
        <v>1304</v>
      </c>
      <c r="CS96">
        <f>_xlfn.XLOOKUP(CR96,'KPI Impacts'!$B$2:$H$2,'KPI Impacts'!$B96:$H96)</f>
        <v>0</v>
      </c>
      <c r="CV96" s="12">
        <f>CV$4*DG96</f>
        <v>0</v>
      </c>
      <c r="CW96" s="12">
        <f>CW$4 * IF(AND(CV$4=1,CV$20=1), DI96, DG96)</f>
        <v>0</v>
      </c>
      <c r="CX96" s="12">
        <f>CX$4 * IF(AND(CW$4=1,CV$20=1), DI96, DG96)</f>
        <v>0</v>
      </c>
      <c r="CY96" s="12">
        <f>CY$4 * IF(AND(CX$4=1,CV$20=1), DI96, DG96)</f>
        <v>0</v>
      </c>
      <c r="CZ96" s="12">
        <f>CZ$4 * IF(AND(CY$4=1,CV$20=1), DI96, DG96)</f>
        <v>0</v>
      </c>
      <c r="DA96" s="12">
        <f>DA$4 * IF(AND(CZ$4=1,CV$20=1), DI96, DG96)</f>
        <v>0</v>
      </c>
      <c r="DB96" s="12">
        <f>DB$4 * IF(AND(DA$4=1,CV$20=1), DI96, DG96)</f>
        <v>0</v>
      </c>
      <c r="DC96" s="12">
        <f>DC$4 * IF(AND(DB$4=1,CV$20=1), DI96, DG96)</f>
        <v>0</v>
      </c>
      <c r="DD96" s="12">
        <f>DD$4 * IF(AND(DC$4=1,CV$20=1), DI96, DG96)</f>
        <v>0</v>
      </c>
      <c r="DF96" s="16" t="s">
        <v>1304</v>
      </c>
      <c r="DG96">
        <f>_xlfn.XLOOKUP(DF96,'KPI Impacts'!$B$2:$H$2,'KPI Impacts'!$B96:$H96)</f>
        <v>0</v>
      </c>
      <c r="DH96" s="35" t="s">
        <v>1304</v>
      </c>
      <c r="DI96">
        <f>_xlfn.XLOOKUP(DH96,'KPI Impacts'!$B$2:$H$2,'KPI Impacts'!$B96:$H96)</f>
        <v>0</v>
      </c>
      <c r="DL96" s="12">
        <f>DL$4*DW96</f>
        <v>0</v>
      </c>
      <c r="DM96" s="12">
        <f>DM$4 * IF(AND(DL$4=1,DL$20=1), DY96, DW96)</f>
        <v>0</v>
      </c>
      <c r="DN96" s="12">
        <f>DN$4 * IF(AND(DM$4=1,DL$20=1), DY96, DW96)</f>
        <v>0</v>
      </c>
      <c r="DO96" s="12">
        <f>DO$4 * IF(AND(DN$4=1,DL$20=1), DY96, DW96)</f>
        <v>0</v>
      </c>
      <c r="DP96" s="12">
        <f>DP$4 * IF(AND(DO$4=1,DL$20=1), DY96, DW96)</f>
        <v>0</v>
      </c>
      <c r="DQ96" s="12">
        <f>DQ$4 * IF(AND(DP$4=1,DL$20=1), DY96, DW96)</f>
        <v>0</v>
      </c>
      <c r="DR96" s="12">
        <f>DR$4 * IF(AND(DQ$4=1,DL$20=1), DY96, DW96)</f>
        <v>0</v>
      </c>
      <c r="DS96" s="12">
        <f>DS$4 * IF(AND(DR$4=1,DL$20=1), DY96, DW96)</f>
        <v>0</v>
      </c>
      <c r="DT96" s="12">
        <f>DT$4 * IF(AND(DS$4=1,DL$20=1), DY96, DW96)</f>
        <v>0</v>
      </c>
      <c r="DV96" s="30" t="s">
        <v>1308</v>
      </c>
      <c r="DW96">
        <f>_xlfn.XLOOKUP(DV96,'KPI Impacts'!$B$2:$H$2,'KPI Impacts'!$B96:$H96)</f>
        <v>150000000</v>
      </c>
      <c r="DX96" s="35" t="s">
        <v>1304</v>
      </c>
      <c r="DY96">
        <f>_xlfn.XLOOKUP(DX96,'KPI Impacts'!$B$2:$H$2,'KPI Impacts'!$B96:$H96)</f>
        <v>0</v>
      </c>
      <c r="EB96" s="12">
        <f>EB$4*EM96</f>
        <v>0</v>
      </c>
      <c r="EC96" s="12">
        <f>EC$4 * IF(AND(EB$4=1,EB$20=1), EO96, EM96)</f>
        <v>0</v>
      </c>
      <c r="ED96" s="12">
        <f>ED$4 * IF(AND(EC$4=1,EB$20=1), EO96, EM96)</f>
        <v>0</v>
      </c>
      <c r="EE96" s="12">
        <f>EE$4 * IF(AND(ED$4=1,EB$20=1), EO96, EM96)</f>
        <v>0</v>
      </c>
      <c r="EF96" s="12">
        <f>EF$4 * IF(AND(EE$4=1,EB$20=1), EO96, EM96)</f>
        <v>0</v>
      </c>
      <c r="EG96" s="12">
        <f>EG$4 * IF(AND(EF$4=1,EB$20=1), EO96, EM96)</f>
        <v>0</v>
      </c>
      <c r="EH96" s="12">
        <f>EH$4 * IF(AND(EG$4=1,EB$20=1), EO96, EM96)</f>
        <v>0</v>
      </c>
      <c r="EI96" s="12">
        <f>EI$4 * IF(AND(EH$4=1,EB$20=1), EO96, EM96)</f>
        <v>0</v>
      </c>
      <c r="EJ96" s="12">
        <f>EJ$4 * IF(AND(EI$4=1,EB$20=1), EO96, EM96)</f>
        <v>0</v>
      </c>
      <c r="EL96" s="29" t="s">
        <v>1307</v>
      </c>
      <c r="EM96">
        <f>_xlfn.XLOOKUP(EL96,'KPI Impacts'!$B$2:$H$2,'KPI Impacts'!$B96:$H96)</f>
        <v>-320000000</v>
      </c>
      <c r="EN96" s="35" t="s">
        <v>1304</v>
      </c>
      <c r="EO96">
        <f>_xlfn.XLOOKUP(EN96,'KPI Impacts'!$B$2:$H$2,'KPI Impacts'!$B96:$H96)</f>
        <v>0</v>
      </c>
      <c r="ER96" s="12">
        <f>ER$4*FC96</f>
        <v>0</v>
      </c>
      <c r="ES96" s="12">
        <f>ES$4 * IF(AND(ER$4=1,ER$20=1), FE96, FC96)</f>
        <v>0</v>
      </c>
      <c r="ET96" s="12">
        <f>ET$4 * IF(AND(ES$4=1,ER$20=1), FE96, FC96)</f>
        <v>0</v>
      </c>
      <c r="EU96" s="12">
        <f>EU$4 * IF(AND(ET$4=1,ER$20=1), FE96, FC96)</f>
        <v>0</v>
      </c>
      <c r="EV96" s="12">
        <f>EV$4 * IF(AND(EU$4=1,ER$20=1), FE96, FC96)</f>
        <v>0</v>
      </c>
      <c r="EW96" s="12">
        <f>EW$4 * IF(AND(EV$4=1,ER$20=1), FE96, FC96)</f>
        <v>0</v>
      </c>
      <c r="EX96" s="12">
        <f>EX$4 * IF(AND(EW$4=1,ER$20=1), FE96, FC96)</f>
        <v>0</v>
      </c>
      <c r="EY96" s="12">
        <f>EY$4 * IF(AND(EX$4=1,ER$20=1), FE96, FC96)</f>
        <v>0</v>
      </c>
      <c r="EZ96" s="12">
        <f>EZ$4 * IF(AND(EY$4=1,ER$20=1), FE96, FC96)</f>
        <v>0</v>
      </c>
      <c r="FB96" s="16" t="s">
        <v>1304</v>
      </c>
      <c r="FC96">
        <f>_xlfn.XLOOKUP(FB96,'KPI Impacts'!$B$2:$H$2,'KPI Impacts'!$B96:$H96)</f>
        <v>0</v>
      </c>
      <c r="FD96" s="35" t="s">
        <v>1304</v>
      </c>
      <c r="FE96">
        <f>_xlfn.XLOOKUP(FD96,'KPI Impacts'!$B$2:$H$2,'KPI Impacts'!$B96:$H96)</f>
        <v>0</v>
      </c>
      <c r="FH96" s="12">
        <f>FH$4*FS96</f>
        <v>0</v>
      </c>
      <c r="FI96" s="12">
        <f>FI$4 * IF(AND(FH$4=1,FH$20=1), FU96, FS96)</f>
        <v>0</v>
      </c>
      <c r="FJ96" s="12">
        <f>FJ$4 * IF(AND(FI$4=1,FH$20=1), FU96, FS96)</f>
        <v>0</v>
      </c>
      <c r="FK96" s="12">
        <f>FK$4 * IF(AND(FJ$4=1,FH$20=1), FU96, FS96)</f>
        <v>0</v>
      </c>
      <c r="FL96" s="12">
        <f>FL$4 * IF(AND(FK$4=1,FH$20=1), FU96, FS96)</f>
        <v>0</v>
      </c>
      <c r="FM96" s="12">
        <f>FM$4 * IF(AND(FL$4=1,FH$20=1), FU96, FS96)</f>
        <v>0</v>
      </c>
      <c r="FN96" s="12">
        <f>FN$4 * IF(AND(FM$4=1,FH$20=1), FU96, FS96)</f>
        <v>0</v>
      </c>
      <c r="FO96" s="12">
        <f>FO$4 * IF(AND(FN$4=1,FH$20=1), FU96, FS96)</f>
        <v>0</v>
      </c>
      <c r="FP96" s="12">
        <f>FP$4 * IF(AND(FO$4=1,FH$20=1), FU96, FS96)</f>
        <v>0</v>
      </c>
      <c r="FR96" s="29" t="s">
        <v>1305</v>
      </c>
      <c r="FS96">
        <f>_xlfn.XLOOKUP(FR96,'KPI Impacts'!$B$2:$H$2,'KPI Impacts'!$B96:$H96)</f>
        <v>-120000000</v>
      </c>
      <c r="FT96" s="35" t="s">
        <v>1304</v>
      </c>
      <c r="FU96">
        <f>_xlfn.XLOOKUP(FT96,'KPI Impacts'!$B$2:$H$2,'KPI Impacts'!$B96:$H96)</f>
        <v>0</v>
      </c>
      <c r="FX96" s="12">
        <f>FX$4*GI96</f>
        <v>0</v>
      </c>
      <c r="FY96" s="12">
        <f>FY$4 * IF(AND(FX$4=1,FX$20=1), GK96, GI96)</f>
        <v>0</v>
      </c>
      <c r="FZ96" s="12">
        <f>FZ$4 * IF(AND(FY$4=1,FX$20=1), GK96, GI96)</f>
        <v>0</v>
      </c>
      <c r="GA96" s="12">
        <f>GA$4 * IF(AND(FZ$4=1,FX$20=1), GK96, GI96)</f>
        <v>0</v>
      </c>
      <c r="GB96" s="12">
        <f>GB$4 * IF(AND(GA$4=1,FX$20=1), GK96, GI96)</f>
        <v>0</v>
      </c>
      <c r="GC96" s="12">
        <f>GC$4 * IF(AND(GB$4=1,FX$20=1), GK96, GI96)</f>
        <v>0</v>
      </c>
      <c r="GD96" s="12">
        <f>GD$4 * IF(AND(GC$4=1,FX$20=1), GK96, GI96)</f>
        <v>0</v>
      </c>
      <c r="GE96" s="12">
        <f>GE$4 * IF(AND(GD$4=1,FX$20=1), GK96, GI96)</f>
        <v>0</v>
      </c>
      <c r="GF96" s="12">
        <f>GF$4 * IF(AND(GE$4=1,FX$20=1), GK96, GI96)</f>
        <v>0</v>
      </c>
      <c r="GH96" s="16" t="s">
        <v>1304</v>
      </c>
      <c r="GI96">
        <f>_xlfn.XLOOKUP(GH96,'KPI Impacts'!$B$2:$H$2,'KPI Impacts'!$B96:$H96)</f>
        <v>0</v>
      </c>
      <c r="GJ96" s="35" t="s">
        <v>1304</v>
      </c>
      <c r="GK96">
        <f>_xlfn.XLOOKUP(GJ96,'KPI Impacts'!$B$2:$H$2,'KPI Impacts'!$B96:$H96)</f>
        <v>0</v>
      </c>
      <c r="GN96" s="12">
        <f>GN$4*GY96</f>
        <v>0</v>
      </c>
      <c r="GO96" s="12">
        <f>GO$4 * IF(AND(GN$4=1,GN$20=1), HA96, GY96)</f>
        <v>0</v>
      </c>
      <c r="GP96" s="12">
        <f>GP$4 * IF(AND(GO$4=1,GN$20=1), HA96, GY96)</f>
        <v>0</v>
      </c>
      <c r="GQ96" s="12">
        <f>GQ$4 * IF(AND(GP$4=1,GN$20=1), HA96, GY96)</f>
        <v>0</v>
      </c>
      <c r="GR96" s="12">
        <f>GR$4 * IF(AND(GQ$4=1,GN$20=1), HA96, GY96)</f>
        <v>0</v>
      </c>
      <c r="GS96" s="12">
        <f>GS$4 * IF(AND(GR$4=1,GN$20=1), HA96, GY96)</f>
        <v>0</v>
      </c>
      <c r="GT96" s="12">
        <f>GT$4 * IF(AND(GS$4=1,GN$20=1), HA96, GY96)</f>
        <v>0</v>
      </c>
      <c r="GU96" s="12">
        <f>GU$4 * IF(AND(GT$4=1,GN$20=1), HA96, GY96)</f>
        <v>0</v>
      </c>
      <c r="GV96" s="12">
        <f>GV$4 * IF(AND(GU$4=1,GN$20=1), HA96, GY96)</f>
        <v>0</v>
      </c>
      <c r="GX96" s="16" t="s">
        <v>1304</v>
      </c>
      <c r="GY96">
        <f>_xlfn.XLOOKUP(GX96,'KPI Impacts'!$B$2:$H$2,'KPI Impacts'!$B96:$H96)</f>
        <v>0</v>
      </c>
      <c r="GZ96" s="35" t="s">
        <v>1304</v>
      </c>
      <c r="HA96">
        <f>_xlfn.XLOOKUP(GZ96,'KPI Impacts'!$B$2:$H$2,'KPI Impacts'!$B96:$H96)</f>
        <v>0</v>
      </c>
      <c r="HD96" s="12">
        <f>HD$4*HO96</f>
        <v>0</v>
      </c>
      <c r="HE96" s="12">
        <f>HE$4 * IF(AND(HD$4=1,HD$20=1), HQ96, HO96)</f>
        <v>0</v>
      </c>
      <c r="HF96" s="12">
        <f>HF$4 * IF(AND(HE$4=1,HD$20=1), HQ96, HO96)</f>
        <v>0</v>
      </c>
      <c r="HG96" s="12">
        <f>HG$4 * IF(AND(HF$4=1,HD$20=1), HQ96, HO96)</f>
        <v>0</v>
      </c>
      <c r="HH96" s="12">
        <f>HH$4 * IF(AND(HG$4=1,HD$20=1), HQ96, HO96)</f>
        <v>0</v>
      </c>
      <c r="HI96" s="12">
        <f>HI$4 * IF(AND(HH$4=1,HD$20=1), HQ96, HO96)</f>
        <v>0</v>
      </c>
      <c r="HJ96" s="12">
        <f>HJ$4 * IF(AND(HI$4=1,HD$20=1), HQ96, HO96)</f>
        <v>0</v>
      </c>
      <c r="HK96" s="12">
        <f>HK$4 * IF(AND(HJ$4=1,HD$20=1), HQ96, HO96)</f>
        <v>0</v>
      </c>
      <c r="HL96" s="12">
        <f>HL$4 * IF(AND(HK$4=1,HD$20=1), HQ96, HO96)</f>
        <v>0</v>
      </c>
      <c r="HN96" s="16" t="s">
        <v>1304</v>
      </c>
      <c r="HO96">
        <f>_xlfn.XLOOKUP(HN96,'KPI Impacts'!$B$2:$H$2,'KPI Impacts'!$B96:$H96)</f>
        <v>0</v>
      </c>
      <c r="HP96" s="35" t="s">
        <v>1304</v>
      </c>
      <c r="HQ96">
        <f>_xlfn.XLOOKUP(HP96,'KPI Impacts'!$B$2:$H$2,'KPI Impacts'!$B96:$H96)</f>
        <v>0</v>
      </c>
      <c r="HT96" s="12">
        <f>HT$4*IE96</f>
        <v>0</v>
      </c>
      <c r="HU96" s="12">
        <f>HU$4 * IF(AND(HT$4=1,HT$20=1), IG96, IE96)</f>
        <v>0</v>
      </c>
      <c r="HV96" s="12">
        <f>HV$4 * IF(AND(HU$4=1,HT$20=1), IG96, IE96)</f>
        <v>0</v>
      </c>
      <c r="HW96" s="12">
        <f>HW$4 * IF(AND(HV$4=1,HT$20=1), IG96, IE96)</f>
        <v>0</v>
      </c>
      <c r="HX96" s="12">
        <f>HX$4 * IF(AND(HW$4=1,HT$20=1), IG96, IE96)</f>
        <v>0</v>
      </c>
      <c r="HY96" s="12">
        <f>HY$4 * IF(AND(HX$4=1,HT$20=1), IG96, IE96)</f>
        <v>0</v>
      </c>
      <c r="HZ96" s="12">
        <f>HZ$4 * IF(AND(HY$4=1,HT$20=1), IG96, IE96)</f>
        <v>0</v>
      </c>
      <c r="IA96" s="12">
        <f>IA$4 * IF(AND(HZ$4=1,HT$20=1), IG96, IE96)</f>
        <v>0</v>
      </c>
      <c r="IB96" s="12">
        <f>IB$4 * IF(AND(IA$4=1,HT$20=1), IG96, IE96)</f>
        <v>0</v>
      </c>
      <c r="ID96" s="16" t="s">
        <v>1304</v>
      </c>
      <c r="IE96">
        <f>_xlfn.XLOOKUP(ID96,'KPI Impacts'!$B$2:$H$2,'KPI Impacts'!$B96:$H96)</f>
        <v>0</v>
      </c>
      <c r="IF96" s="35" t="s">
        <v>1304</v>
      </c>
      <c r="IG96">
        <f>_xlfn.XLOOKUP(IF96,'KPI Impacts'!$B$2:$H$2,'KPI Impacts'!$B96:$H96)</f>
        <v>0</v>
      </c>
      <c r="IJ96" s="12">
        <f>IJ$4*IU96</f>
        <v>0</v>
      </c>
      <c r="IK96" s="12">
        <f>IK$4 * IF(AND(IJ$4=1,IJ$20=1), IW96, IU96)</f>
        <v>0</v>
      </c>
      <c r="IL96" s="12">
        <f>IL$4 * IF(AND(IK$4=1,IJ$20=1), IW96, IU96)</f>
        <v>0</v>
      </c>
      <c r="IM96" s="12">
        <f>IM$4 * IF(AND(IL$4=1,IJ$20=1), IW96, IU96)</f>
        <v>0</v>
      </c>
      <c r="IN96" s="12">
        <f>IN$4 * IF(AND(IM$4=1,IJ$20=1), IW96, IU96)</f>
        <v>0</v>
      </c>
      <c r="IO96" s="12">
        <f>IO$4 * IF(AND(IN$4=1,IJ$20=1), IW96, IU96)</f>
        <v>0</v>
      </c>
      <c r="IP96" s="12">
        <f>IP$4 * IF(AND(IO$4=1,IJ$20=1), IW96, IU96)</f>
        <v>0</v>
      </c>
      <c r="IQ96" s="12">
        <f>IQ$4 * IF(AND(IP$4=1,IJ$20=1), IW96, IU96)</f>
        <v>0</v>
      </c>
      <c r="IR96" s="12">
        <f>IR$4 * IF(AND(IQ$4=1,IJ$20=1), IW96, IU96)</f>
        <v>0</v>
      </c>
      <c r="IT96" s="29" t="s">
        <v>1305</v>
      </c>
      <c r="IU96">
        <f>_xlfn.XLOOKUP(IT96,'KPI Impacts'!$B$2:$H$2,'KPI Impacts'!$B96:$H96)</f>
        <v>-120000000</v>
      </c>
      <c r="IV96" s="35" t="s">
        <v>1304</v>
      </c>
      <c r="IW96">
        <f>_xlfn.XLOOKUP(IV96,'KPI Impacts'!$B$2:$H$2,'KPI Impacts'!$B96:$H96)</f>
        <v>0</v>
      </c>
      <c r="IZ96" s="12">
        <f>IZ$4*JK96</f>
        <v>0</v>
      </c>
      <c r="JA96" s="12">
        <f>JA$4 * IF(AND(IZ$4=1,IZ$20=1), JM96, JK96)</f>
        <v>0</v>
      </c>
      <c r="JB96" s="12">
        <f>JB$4 * IF(AND(JA$4=1,IZ$20=1), JM96, JK96)</f>
        <v>0</v>
      </c>
      <c r="JC96" s="12">
        <f>JC$4 * IF(AND(JB$4=1,IZ$20=1), JM96, JK96)</f>
        <v>0</v>
      </c>
      <c r="JD96" s="12">
        <f>JD$4 * IF(AND(JC$4=1,IZ$20=1), JM96, JK96)</f>
        <v>0</v>
      </c>
      <c r="JE96" s="12">
        <f>JE$4 * IF(AND(JD$4=1,IZ$20=1), JM96, JK96)</f>
        <v>0</v>
      </c>
      <c r="JF96" s="12">
        <f>JF$4 * IF(AND(JE$4=1,IZ$20=1), JM96, JK96)</f>
        <v>0</v>
      </c>
      <c r="JG96" s="12">
        <f>JG$4 * IF(AND(JF$4=1,IZ$20=1), JM96, JK96)</f>
        <v>0</v>
      </c>
      <c r="JH96" s="12">
        <f>JH$4 * IF(AND(JG$4=1,IZ$20=1), JM96, JK96)</f>
        <v>0</v>
      </c>
      <c r="JJ96" t="s">
        <v>1304</v>
      </c>
      <c r="JK96">
        <f>_xlfn.XLOOKUP(JJ96,'KPI Impacts'!$B$2:$H$2,'KPI Impacts'!$B96:$H96)</f>
        <v>0</v>
      </c>
      <c r="JL96" s="9" t="s">
        <v>1304</v>
      </c>
      <c r="JM96">
        <f>_xlfn.XLOOKUP(JL96,'KPI Impacts'!$B$2:$H$2,'KPI Impacts'!$B96:$H96)</f>
        <v>0</v>
      </c>
      <c r="JP96" s="12">
        <f>JP$4*KA96</f>
        <v>0</v>
      </c>
      <c r="JQ96" s="12">
        <f>JQ$4 * IF(AND(JP$4=1,JP$20=1), KC96, KA96)</f>
        <v>0</v>
      </c>
      <c r="JR96" s="12">
        <f>JR$4 * IF(AND(JQ$4=1,JP$20=1), KC96, KA96)</f>
        <v>0</v>
      </c>
      <c r="JS96" s="12">
        <f>JS$4 * IF(AND(JR$4=1,JP$20=1), KC96, KA96)</f>
        <v>0</v>
      </c>
      <c r="JT96" s="12">
        <f>JT$4 * IF(AND(JS$4=1,JP$20=1), KC96, KA96)</f>
        <v>0</v>
      </c>
      <c r="JU96" s="12">
        <f>JU$4 * IF(AND(JT$4=1,JP$20=1), KC96, KA96)</f>
        <v>0</v>
      </c>
      <c r="JV96" s="12">
        <f>JV$4 * IF(AND(JU$4=1,JP$20=1), KC96, KA96)</f>
        <v>0</v>
      </c>
      <c r="JW96" s="12">
        <f>JW$4 * IF(AND(JV$4=1,JP$20=1), KC96, KA96)</f>
        <v>0</v>
      </c>
      <c r="JX96" s="12">
        <f>JX$4 * IF(AND(JW$4=1,JP$20=1), KC96, KA96)</f>
        <v>0</v>
      </c>
      <c r="JZ96" t="s">
        <v>1304</v>
      </c>
      <c r="KA96">
        <f>_xlfn.XLOOKUP(JZ96,'KPI Impacts'!$B$2:$H$2,'KPI Impacts'!$B96:$H96)</f>
        <v>0</v>
      </c>
      <c r="KB96" s="9" t="s">
        <v>1304</v>
      </c>
      <c r="KC96">
        <f>_xlfn.XLOOKUP(KB96,'KPI Impacts'!$B$2:$H$2,'KPI Impacts'!$B96:$H96)</f>
        <v>0</v>
      </c>
      <c r="KF96" s="12">
        <f>KF$4*KQ96</f>
        <v>0</v>
      </c>
      <c r="KG96" s="12">
        <f>KG$4 * IF(AND(KF$4=1,KF$20=1), KS96, KQ96)</f>
        <v>0</v>
      </c>
      <c r="KH96" s="12">
        <f>KH$4 * IF(AND(KG$4=1,KF$20=1), KS96, KQ96)</f>
        <v>0</v>
      </c>
      <c r="KI96" s="12">
        <f>KI$4 * IF(AND(KH$4=1,KF$20=1), KS96, KQ96)</f>
        <v>0</v>
      </c>
      <c r="KJ96" s="12">
        <f>KJ$4 * IF(AND(KI$4=1,KF$20=1), KS96, KQ96)</f>
        <v>0</v>
      </c>
      <c r="KK96" s="12">
        <f>KK$4 * IF(AND(KJ$4=1,KF$20=1), KS96, KQ96)</f>
        <v>0</v>
      </c>
      <c r="KL96" s="12">
        <f>KL$4 * IF(AND(KK$4=1,KF$20=1), KS96, KQ96)</f>
        <v>0</v>
      </c>
      <c r="KM96" s="12">
        <f>KM$4 * IF(AND(KL$4=1,KF$20=1), KS96, KQ96)</f>
        <v>0</v>
      </c>
      <c r="KN96" s="12">
        <f>KN$4 * IF(AND(KM$4=1,KF$20=1), KS96, KQ96)</f>
        <v>0</v>
      </c>
      <c r="KP96" t="s">
        <v>1304</v>
      </c>
      <c r="KQ96">
        <f>_xlfn.XLOOKUP(KP96,'KPI Impacts'!$B$2:$H$2,'KPI Impacts'!$B96:$H96)</f>
        <v>0</v>
      </c>
      <c r="KR96" s="9" t="s">
        <v>1304</v>
      </c>
      <c r="KS96">
        <f>_xlfn.XLOOKUP(KR96,'KPI Impacts'!$B$2:$H$2,'KPI Impacts'!$B96:$H96)</f>
        <v>0</v>
      </c>
      <c r="KV96" s="12">
        <f>KV$4*LG96</f>
        <v>0</v>
      </c>
      <c r="KW96" s="12">
        <f>KW$4 * IF(AND(KV$4=1,KV$20=1), LI96, LG96)</f>
        <v>0</v>
      </c>
      <c r="KX96" s="12">
        <f>KX$4 * IF(AND(KW$4=1,KV$20=1), LI96, LG96)</f>
        <v>0</v>
      </c>
      <c r="KY96" s="12">
        <f>KY$4 * IF(AND(KX$4=1,KV$20=1), LI96, LG96)</f>
        <v>0</v>
      </c>
      <c r="KZ96" s="12">
        <f>KZ$4 * IF(AND(KY$4=1,KV$20=1), LI96, LG96)</f>
        <v>0</v>
      </c>
      <c r="LA96" s="12">
        <f>LA$4 * IF(AND(KZ$4=1,KV$20=1), LI96, LG96)</f>
        <v>0</v>
      </c>
      <c r="LB96" s="12">
        <f>LB$4 * IF(AND(LA$4=1,KV$20=1), LI96, LG96)</f>
        <v>0</v>
      </c>
      <c r="LC96" s="12">
        <f>LC$4 * IF(AND(LB$4=1,KV$20=1), LI96, LG96)</f>
        <v>0</v>
      </c>
      <c r="LD96" s="12">
        <f>LD$4 * IF(AND(LC$4=1,KV$20=1), LI96, LG96)</f>
        <v>0</v>
      </c>
      <c r="LF96" t="s">
        <v>1304</v>
      </c>
      <c r="LG96">
        <f>_xlfn.XLOOKUP(LF96,'KPI Impacts'!$B$2:$H$2,'KPI Impacts'!$B96:$H96)</f>
        <v>0</v>
      </c>
      <c r="LH96" s="9" t="s">
        <v>1304</v>
      </c>
      <c r="LI96">
        <f>_xlfn.XLOOKUP(LH96,'KPI Impacts'!$B$2:$H$2,'KPI Impacts'!$B96:$H96)</f>
        <v>0</v>
      </c>
      <c r="LL96" s="12">
        <f>LL$4*LW96</f>
        <v>0</v>
      </c>
      <c r="LM96" s="12">
        <f>LM$4 * IF(AND(LL$4=1,LL$20=1), LY96, LW96)</f>
        <v>0</v>
      </c>
      <c r="LN96" s="12">
        <f>LN$4 * IF(AND(LM$4=1,LL$20=1), LY96, LW96)</f>
        <v>0</v>
      </c>
      <c r="LO96" s="12">
        <f>LO$4 * IF(AND(LN$4=1,LL$20=1), LY96, LW96)</f>
        <v>0</v>
      </c>
      <c r="LP96" s="12">
        <f>LP$4 * IF(AND(LO$4=1,LL$20=1), LY96, LW96)</f>
        <v>0</v>
      </c>
      <c r="LQ96" s="12">
        <f>LQ$4 * IF(AND(LP$4=1,LL$20=1), LY96, LW96)</f>
        <v>0</v>
      </c>
      <c r="LR96" s="12">
        <f>LR$4 * IF(AND(LQ$4=1,LL$20=1), LY96, LW96)</f>
        <v>0</v>
      </c>
      <c r="LS96" s="12">
        <f>LS$4 * IF(AND(LR$4=1,LL$20=1), LY96, LW96)</f>
        <v>0</v>
      </c>
      <c r="LT96" s="12">
        <f>LT$4 * IF(AND(LS$4=1,LL$20=1), LY96, LW96)</f>
        <v>0</v>
      </c>
      <c r="LV96" t="s">
        <v>1304</v>
      </c>
      <c r="LW96">
        <f>_xlfn.XLOOKUP(LV96,'KPI Impacts'!$B$2:$H$2,'KPI Impacts'!$B96:$H96)</f>
        <v>0</v>
      </c>
      <c r="LX96" s="9" t="s">
        <v>1304</v>
      </c>
      <c r="LY96">
        <f>_xlfn.XLOOKUP(LX96,'KPI Impacts'!$B$2:$H$2,'KPI Impacts'!$B96:$H96)</f>
        <v>0</v>
      </c>
      <c r="MB96" s="12">
        <f>MB$4*MM96</f>
        <v>0</v>
      </c>
      <c r="MC96" s="12">
        <f>MC$4 * IF(AND(MB$4=1,MB$20=1), MO96, MM96)</f>
        <v>0</v>
      </c>
      <c r="MD96" s="12">
        <f>MD$4 * IF(AND(MC$4=1,MB$20=1), MO96, MM96)</f>
        <v>0</v>
      </c>
      <c r="ME96" s="12">
        <f>ME$4 * IF(AND(MD$4=1,MB$20=1), MO96, MM96)</f>
        <v>0</v>
      </c>
      <c r="MF96" s="12">
        <f>MF$4 * IF(AND(ME$4=1,MB$20=1), MO96, MM96)</f>
        <v>0</v>
      </c>
      <c r="MG96" s="12">
        <f>MG$4 * IF(AND(MF$4=1,MB$20=1), MO96, MM96)</f>
        <v>0</v>
      </c>
      <c r="MH96" s="12">
        <f>MH$4 * IF(AND(MG$4=1,MB$20=1), MO96, MM96)</f>
        <v>0</v>
      </c>
      <c r="MI96" s="12">
        <f>MI$4 * IF(AND(MH$4=1,MB$20=1), MO96, MM96)</f>
        <v>0</v>
      </c>
      <c r="MJ96" s="12">
        <f>MJ$4 * IF(AND(MI$4=1,MB$20=1), MO96, MM96)</f>
        <v>0</v>
      </c>
      <c r="ML96" t="s">
        <v>1304</v>
      </c>
      <c r="MM96">
        <f>_xlfn.XLOOKUP(ML96,'KPI Impacts'!$B$2:$H$2,'KPI Impacts'!$B96:$H96)</f>
        <v>0</v>
      </c>
      <c r="MN96" s="9" t="s">
        <v>1304</v>
      </c>
      <c r="MO96">
        <f>_xlfn.XLOOKUP(MN96,'KPI Impacts'!$B$2:$H$2,'KPI Impacts'!$B96:$H96)</f>
        <v>0</v>
      </c>
      <c r="MR96" s="12">
        <f>MR$4*NC96</f>
        <v>0</v>
      </c>
      <c r="MS96" s="12">
        <f>MS$4 * IF(AND(MR$4=1,MR$20=1), NE96, NC96)</f>
        <v>0</v>
      </c>
      <c r="MT96" s="12">
        <f>MT$4 * IF(AND(MS$4=1,MR$20=1), NE96, NC96)</f>
        <v>0</v>
      </c>
      <c r="MU96" s="12">
        <f>MU$4 * IF(AND(MT$4=1,MR$20=1), NE96, NC96)</f>
        <v>0</v>
      </c>
      <c r="MV96" s="12">
        <f>MV$4 * IF(AND(MU$4=1,MR$20=1), NE96, NC96)</f>
        <v>0</v>
      </c>
      <c r="MW96" s="12">
        <f>MW$4 * IF(AND(MV$4=1,MR$20=1), NE96, NC96)</f>
        <v>0</v>
      </c>
      <c r="MX96" s="12">
        <f>MX$4 * IF(AND(MW$4=1,MR$20=1), NE96, NC96)</f>
        <v>0</v>
      </c>
      <c r="MY96" s="12">
        <f>MY$4 * IF(AND(MX$4=1,MR$20=1), NE96, NC96)</f>
        <v>0</v>
      </c>
      <c r="MZ96" s="12">
        <f>MZ$4 * IF(AND(MY$4=1,MR$20=1), NE96, NC96)</f>
        <v>0</v>
      </c>
      <c r="NB96" t="s">
        <v>1304</v>
      </c>
      <c r="NC96">
        <f>_xlfn.XLOOKUP(NB96,'KPI Impacts'!$B$2:$H$2,'KPI Impacts'!$B96:$H96)</f>
        <v>0</v>
      </c>
      <c r="ND96" s="9" t="s">
        <v>1304</v>
      </c>
      <c r="NE96">
        <f>_xlfn.XLOOKUP(ND96,'KPI Impacts'!$B$2:$H$2,'KPI Impacts'!$B96:$H96)</f>
        <v>0</v>
      </c>
      <c r="NH96" s="12">
        <f>NH$4*NS96</f>
        <v>0</v>
      </c>
      <c r="NI96" s="12">
        <f>NI$4 * IF(AND(NH$4=1,NH$20=1), NU96, NS96)</f>
        <v>0</v>
      </c>
      <c r="NJ96" s="12">
        <f>NJ$4 * IF(AND(NI$4=1,NH$20=1), NU96, NS96)</f>
        <v>0</v>
      </c>
      <c r="NK96" s="12">
        <f>NK$4 * IF(AND(NJ$4=1,NH$20=1), NU96, NS96)</f>
        <v>0</v>
      </c>
      <c r="NL96" s="12">
        <f>NL$4 * IF(AND(NK$4=1,NH$20=1), NU96, NS96)</f>
        <v>0</v>
      </c>
      <c r="NM96" s="12">
        <f>NM$4 * IF(AND(NL$4=1,NH$20=1), NU96, NS96)</f>
        <v>0</v>
      </c>
      <c r="NN96" s="12">
        <f>NN$4 * IF(AND(NM$4=1,NH$20=1), NU96, NS96)</f>
        <v>0</v>
      </c>
      <c r="NO96" s="12">
        <f>NO$4 * IF(AND(NN$4=1,NH$20=1), NU96, NS96)</f>
        <v>0</v>
      </c>
      <c r="NP96" s="12">
        <f>NP$4 * IF(AND(NO$4=1,NH$20=1), NU96, NS96)</f>
        <v>0</v>
      </c>
      <c r="NR96" t="s">
        <v>1304</v>
      </c>
      <c r="NS96">
        <f>_xlfn.XLOOKUP(NR96,'KPI Impacts'!$B$2:$H$2,'KPI Impacts'!$B96:$H96)</f>
        <v>0</v>
      </c>
      <c r="NT96" s="9" t="s">
        <v>1304</v>
      </c>
      <c r="NU96">
        <f>_xlfn.XLOOKUP(NT96,'KPI Impacts'!$B$2:$H$2,'KPI Impacts'!$B96:$H96)</f>
        <v>0</v>
      </c>
      <c r="NX96" s="12">
        <f>NX$4*OI96</f>
        <v>0</v>
      </c>
      <c r="NY96" s="12">
        <f>NY$4 * IF(AND(NX$4=1,NX$20=1), OK96, OI96)</f>
        <v>0</v>
      </c>
      <c r="NZ96" s="12">
        <f>NZ$4 * IF(AND(NY$4=1,NX$20=1), OK96, OI96)</f>
        <v>0</v>
      </c>
      <c r="OA96" s="12">
        <f>OA$4 * IF(AND(NZ$4=1,NX$20=1), OK96, OI96)</f>
        <v>0</v>
      </c>
      <c r="OB96" s="12">
        <f>OB$4 * IF(AND(OA$4=1,NX$20=1), OK96, OI96)</f>
        <v>0</v>
      </c>
      <c r="OC96" s="12">
        <f>OC$4 * IF(AND(OB$4=1,NX$20=1), OK96, OI96)</f>
        <v>0</v>
      </c>
      <c r="OD96" s="12">
        <f>OD$4 * IF(AND(OC$4=1,NX$20=1), OK96, OI96)</f>
        <v>0</v>
      </c>
      <c r="OE96" s="12">
        <f>OE$4 * IF(AND(OD$4=1,NX$20=1), OK96, OI96)</f>
        <v>0</v>
      </c>
      <c r="OF96" s="12">
        <f>OF$4 * IF(AND(OE$4=1,NX$20=1), OK96, OI96)</f>
        <v>0</v>
      </c>
      <c r="OH96" t="s">
        <v>1304</v>
      </c>
      <c r="OI96">
        <f>_xlfn.XLOOKUP(OH96,'KPI Impacts'!$B$2:$H$2,'KPI Impacts'!$B96:$H96)</f>
        <v>0</v>
      </c>
      <c r="OJ96" s="9" t="s">
        <v>1304</v>
      </c>
      <c r="OK96">
        <f>_xlfn.XLOOKUP(OJ96,'KPI Impacts'!$B$2:$H$2,'KPI Impacts'!$B96:$H96)</f>
        <v>0</v>
      </c>
    </row>
    <row r="97" spans="1:499" x14ac:dyDescent="0.2">
      <c r="A97" t="s">
        <v>1295</v>
      </c>
      <c r="B97" s="19" t="s">
        <v>1319</v>
      </c>
      <c r="C97" s="19" t="s">
        <v>1319</v>
      </c>
      <c r="D97" s="19" t="s">
        <v>1319</v>
      </c>
      <c r="E97" s="19" t="s">
        <v>1319</v>
      </c>
      <c r="F97" s="19" t="s">
        <v>1319</v>
      </c>
      <c r="G97" s="19" t="s">
        <v>1319</v>
      </c>
      <c r="H97" s="19" t="s">
        <v>1319</v>
      </c>
      <c r="I97" s="19" t="s">
        <v>1319</v>
      </c>
      <c r="J97" s="19" t="s">
        <v>1319</v>
      </c>
      <c r="M97" s="6"/>
      <c r="N97" s="6"/>
      <c r="P97" s="12"/>
      <c r="Q97" s="12"/>
      <c r="R97" s="12"/>
      <c r="S97" s="12"/>
      <c r="T97" s="12"/>
      <c r="U97" s="12"/>
      <c r="V97" s="12"/>
      <c r="W97" s="12"/>
      <c r="X97" s="12"/>
      <c r="AH97" s="12"/>
      <c r="AI97" s="12"/>
      <c r="AJ97" s="12"/>
      <c r="AK97" s="12"/>
      <c r="AL97" s="12"/>
      <c r="AM97" s="12"/>
      <c r="AN97" s="12"/>
      <c r="AO97" s="12"/>
      <c r="AP97" s="12"/>
      <c r="AZ97" s="12"/>
      <c r="BA97" s="12"/>
      <c r="BB97" s="12"/>
      <c r="BC97" s="12"/>
      <c r="BD97" s="12"/>
      <c r="BE97" s="12"/>
      <c r="BF97" s="12"/>
      <c r="BG97" s="12"/>
      <c r="BH97" s="12"/>
      <c r="BL97" s="9"/>
      <c r="BP97" s="12"/>
      <c r="BQ97" s="12"/>
      <c r="BR97" s="12"/>
      <c r="BS97" s="12"/>
      <c r="BT97" s="12"/>
      <c r="BU97" s="12"/>
      <c r="BV97" s="12"/>
      <c r="BW97" s="12"/>
      <c r="BX97" s="12"/>
      <c r="CB97" s="9"/>
      <c r="CF97" s="12"/>
      <c r="CG97" s="12"/>
      <c r="CH97" s="12"/>
      <c r="CI97" s="12"/>
      <c r="CJ97" s="12"/>
      <c r="CK97" s="12"/>
      <c r="CL97" s="12"/>
      <c r="CM97" s="12"/>
      <c r="CN97" s="12"/>
      <c r="CR97" s="9"/>
      <c r="CV97" s="12"/>
      <c r="CW97" s="12"/>
      <c r="CX97" s="12"/>
      <c r="CY97" s="12"/>
      <c r="CZ97" s="12"/>
      <c r="DA97" s="12"/>
      <c r="DB97" s="12"/>
      <c r="DC97" s="12"/>
      <c r="DD97" s="12"/>
      <c r="DH97" s="9"/>
      <c r="DL97" s="12"/>
      <c r="DM97" s="12"/>
      <c r="DN97" s="12"/>
      <c r="DO97" s="12"/>
      <c r="DP97" s="12"/>
      <c r="DQ97" s="12"/>
      <c r="DR97" s="12"/>
      <c r="DS97" s="12"/>
      <c r="DT97" s="12"/>
      <c r="DX97" s="9"/>
      <c r="EB97" s="12"/>
      <c r="EC97" s="12"/>
      <c r="ED97" s="12"/>
      <c r="EE97" s="12"/>
      <c r="EF97" s="12"/>
      <c r="EG97" s="12"/>
      <c r="EH97" s="12"/>
      <c r="EI97" s="12"/>
      <c r="EJ97" s="12"/>
      <c r="EN97" s="9"/>
      <c r="ER97" s="12"/>
      <c r="ES97" s="12"/>
      <c r="ET97" s="12"/>
      <c r="EU97" s="12"/>
      <c r="EV97" s="12"/>
      <c r="EW97" s="12"/>
      <c r="EX97" s="12"/>
      <c r="EY97" s="12"/>
      <c r="EZ97" s="12"/>
      <c r="FD97" s="9"/>
      <c r="FH97" s="12"/>
      <c r="FI97" s="12"/>
      <c r="FJ97" s="12"/>
      <c r="FK97" s="12"/>
      <c r="FL97" s="12"/>
      <c r="FM97" s="12"/>
      <c r="FN97" s="12"/>
      <c r="FO97" s="12"/>
      <c r="FP97" s="12"/>
      <c r="FT97" s="9"/>
      <c r="FX97" s="12"/>
      <c r="FY97" s="12"/>
      <c r="FZ97" s="12"/>
      <c r="GA97" s="12"/>
      <c r="GB97" s="12"/>
      <c r="GC97" s="12"/>
      <c r="GD97" s="12"/>
      <c r="GE97" s="12"/>
      <c r="GF97" s="12"/>
      <c r="GJ97" s="9"/>
      <c r="GN97" s="12"/>
      <c r="GO97" s="12"/>
      <c r="GP97" s="12"/>
      <c r="GQ97" s="12"/>
      <c r="GR97" s="12"/>
      <c r="GS97" s="12"/>
      <c r="GT97" s="12"/>
      <c r="GU97" s="12"/>
      <c r="GV97" s="12"/>
      <c r="GZ97" s="9"/>
      <c r="HD97" s="12"/>
      <c r="HE97" s="12"/>
      <c r="HF97" s="12"/>
      <c r="HG97" s="12"/>
      <c r="HH97" s="12"/>
      <c r="HI97" s="12"/>
      <c r="HJ97" s="12"/>
      <c r="HK97" s="12"/>
      <c r="HL97" s="12"/>
      <c r="HP97" s="9"/>
      <c r="HT97" s="12"/>
      <c r="HU97" s="12"/>
      <c r="HV97" s="12"/>
      <c r="HW97" s="12"/>
      <c r="HX97" s="12"/>
      <c r="HY97" s="12"/>
      <c r="HZ97" s="12"/>
      <c r="IA97" s="12"/>
      <c r="IB97" s="12"/>
      <c r="IF97" s="9"/>
      <c r="IJ97" s="12"/>
      <c r="IK97" s="12"/>
      <c r="IL97" s="12"/>
      <c r="IM97" s="12"/>
      <c r="IN97" s="12"/>
      <c r="IO97" s="12"/>
      <c r="IP97" s="12"/>
      <c r="IQ97" s="12"/>
      <c r="IR97" s="12"/>
      <c r="IV97" s="9"/>
      <c r="IZ97" s="12"/>
      <c r="JA97" s="12"/>
      <c r="JB97" s="12"/>
      <c r="JC97" s="12"/>
      <c r="JD97" s="12"/>
      <c r="JE97" s="12"/>
      <c r="JF97" s="12"/>
      <c r="JG97" s="12"/>
      <c r="JH97" s="12"/>
      <c r="JL97" s="9"/>
      <c r="JP97" s="12"/>
      <c r="JQ97" s="12"/>
      <c r="JR97" s="12"/>
      <c r="JS97" s="12"/>
      <c r="JT97" s="12"/>
      <c r="JU97" s="12"/>
      <c r="JV97" s="12"/>
      <c r="JW97" s="12"/>
      <c r="JX97" s="12"/>
      <c r="KB97" s="9"/>
      <c r="KF97" s="12"/>
      <c r="KG97" s="12"/>
      <c r="KH97" s="12"/>
      <c r="KI97" s="12"/>
      <c r="KJ97" s="12"/>
      <c r="KK97" s="12"/>
      <c r="KL97" s="12"/>
      <c r="KM97" s="12"/>
      <c r="KN97" s="12"/>
      <c r="KR97" s="9"/>
      <c r="KV97" s="12"/>
      <c r="KW97" s="12"/>
      <c r="KX97" s="12"/>
      <c r="KY97" s="12"/>
      <c r="KZ97" s="12"/>
      <c r="LA97" s="12"/>
      <c r="LB97" s="12"/>
      <c r="LC97" s="12"/>
      <c r="LD97" s="12"/>
      <c r="LH97" s="9"/>
      <c r="LL97" s="12"/>
      <c r="LM97" s="12"/>
      <c r="LN97" s="12"/>
      <c r="LO97" s="12"/>
      <c r="LP97" s="12"/>
      <c r="LQ97" s="12"/>
      <c r="LR97" s="12"/>
      <c r="LS97" s="12"/>
      <c r="LT97" s="12"/>
      <c r="LX97" s="9"/>
      <c r="MB97" s="12"/>
      <c r="MC97" s="12"/>
      <c r="MD97" s="12"/>
      <c r="ME97" s="12"/>
      <c r="MF97" s="12"/>
      <c r="MG97" s="12"/>
      <c r="MH97" s="12"/>
      <c r="MI97" s="12"/>
      <c r="MJ97" s="12"/>
      <c r="MN97" s="9"/>
      <c r="MR97" s="12"/>
      <c r="MS97" s="12"/>
      <c r="MT97" s="12"/>
      <c r="MU97" s="12"/>
      <c r="MV97" s="12"/>
      <c r="MW97" s="12"/>
      <c r="MX97" s="12"/>
      <c r="MY97" s="12"/>
      <c r="MZ97" s="12"/>
      <c r="ND97" s="9"/>
      <c r="NH97" s="12"/>
      <c r="NI97" s="12"/>
      <c r="NJ97" s="12"/>
      <c r="NK97" s="12"/>
      <c r="NL97" s="12"/>
      <c r="NM97" s="12"/>
      <c r="NN97" s="12"/>
      <c r="NO97" s="12"/>
      <c r="NP97" s="12"/>
      <c r="NT97" s="9"/>
      <c r="NX97" s="12"/>
      <c r="NY97" s="12"/>
      <c r="NZ97" s="12"/>
      <c r="OA97" s="12"/>
      <c r="OB97" s="12"/>
      <c r="OC97" s="12"/>
      <c r="OD97" s="12"/>
      <c r="OE97" s="12"/>
      <c r="OF97" s="12"/>
      <c r="OJ97" s="9"/>
    </row>
    <row r="98" spans="1:499" hidden="1" x14ac:dyDescent="0.2">
      <c r="B98" s="12"/>
      <c r="P98" s="12"/>
      <c r="Q98" s="12"/>
      <c r="R98" s="12"/>
      <c r="S98" s="12"/>
      <c r="T98" s="12"/>
      <c r="U98" s="12"/>
      <c r="V98" s="12"/>
      <c r="W98" s="12"/>
      <c r="X98" s="12"/>
      <c r="AH98" s="12"/>
      <c r="AI98" s="12"/>
      <c r="AJ98" s="12"/>
      <c r="AK98" s="12"/>
      <c r="AL98" s="12"/>
      <c r="AM98" s="12"/>
      <c r="AN98" s="12"/>
      <c r="AO98" s="12"/>
      <c r="AP98" s="12"/>
      <c r="AZ98" s="12"/>
      <c r="BA98" s="12"/>
      <c r="BB98" s="12"/>
      <c r="BC98" s="12"/>
      <c r="BD98" s="12"/>
      <c r="BE98" s="12"/>
      <c r="BF98" s="12"/>
      <c r="BG98" s="12"/>
      <c r="BH98" s="12"/>
      <c r="BL98" s="9"/>
      <c r="BP98" s="12"/>
      <c r="BQ98" s="12"/>
      <c r="BR98" s="12"/>
      <c r="BS98" s="12"/>
      <c r="BT98" s="12"/>
      <c r="BU98" s="12"/>
      <c r="BV98" s="12"/>
      <c r="BW98" s="12"/>
      <c r="BX98" s="12"/>
      <c r="CB98" s="9"/>
      <c r="CF98" s="12"/>
      <c r="CG98" s="12"/>
      <c r="CH98" s="12"/>
      <c r="CI98" s="12"/>
      <c r="CJ98" s="12"/>
      <c r="CK98" s="12"/>
      <c r="CL98" s="12"/>
      <c r="CM98" s="12"/>
      <c r="CN98" s="12"/>
      <c r="CR98" s="9"/>
      <c r="CV98" s="12"/>
      <c r="CW98" s="12"/>
      <c r="CX98" s="12"/>
      <c r="CY98" s="12"/>
      <c r="CZ98" s="12"/>
      <c r="DA98" s="12"/>
      <c r="DB98" s="12"/>
      <c r="DC98" s="12"/>
      <c r="DD98" s="12"/>
      <c r="DH98" s="9"/>
      <c r="DL98" s="12"/>
      <c r="DM98" s="12"/>
      <c r="DN98" s="12"/>
      <c r="DO98" s="12"/>
      <c r="DP98" s="12"/>
      <c r="DQ98" s="12"/>
      <c r="DR98" s="12"/>
      <c r="DS98" s="12"/>
      <c r="DT98" s="12"/>
      <c r="DX98" s="9"/>
      <c r="EB98" s="12"/>
      <c r="EC98" s="12"/>
      <c r="ED98" s="12"/>
      <c r="EE98" s="12"/>
      <c r="EF98" s="12"/>
      <c r="EG98" s="12"/>
      <c r="EH98" s="12"/>
      <c r="EI98" s="12"/>
      <c r="EJ98" s="12"/>
      <c r="EN98" s="9"/>
      <c r="ER98" s="12"/>
      <c r="ES98" s="12"/>
      <c r="ET98" s="12"/>
      <c r="EU98" s="12"/>
      <c r="EV98" s="12"/>
      <c r="EW98" s="12"/>
      <c r="EX98" s="12"/>
      <c r="EY98" s="12"/>
      <c r="EZ98" s="12"/>
      <c r="FD98" s="9"/>
      <c r="FH98" s="12"/>
      <c r="FI98" s="12"/>
      <c r="FJ98" s="12"/>
      <c r="FK98" s="12"/>
      <c r="FL98" s="12"/>
      <c r="FM98" s="12"/>
      <c r="FN98" s="12"/>
      <c r="FO98" s="12"/>
      <c r="FP98" s="12"/>
      <c r="FT98" s="9"/>
      <c r="FX98" s="12"/>
      <c r="FY98" s="12"/>
      <c r="FZ98" s="12"/>
      <c r="GA98" s="12"/>
      <c r="GB98" s="12"/>
      <c r="GC98" s="12"/>
      <c r="GD98" s="12"/>
      <c r="GE98" s="12"/>
      <c r="GF98" s="12"/>
      <c r="GJ98" s="9"/>
      <c r="GN98" s="12"/>
      <c r="GO98" s="12"/>
      <c r="GP98" s="12"/>
      <c r="GQ98" s="12"/>
      <c r="GR98" s="12"/>
      <c r="GS98" s="12"/>
      <c r="GT98" s="12"/>
      <c r="GU98" s="12"/>
      <c r="GV98" s="12"/>
      <c r="GZ98" s="9"/>
      <c r="HD98" s="12"/>
      <c r="HE98" s="12"/>
      <c r="HF98" s="12"/>
      <c r="HG98" s="12"/>
      <c r="HH98" s="12"/>
      <c r="HI98" s="12"/>
      <c r="HJ98" s="12"/>
      <c r="HK98" s="12"/>
      <c r="HL98" s="12"/>
      <c r="HP98" s="9"/>
      <c r="HT98" s="12"/>
      <c r="HU98" s="12"/>
      <c r="HV98" s="12"/>
      <c r="HW98" s="12"/>
      <c r="HX98" s="12"/>
      <c r="HY98" s="12"/>
      <c r="HZ98" s="12"/>
      <c r="IA98" s="12"/>
      <c r="IB98" s="12"/>
      <c r="IF98" s="9"/>
      <c r="IJ98" s="12"/>
      <c r="IK98" s="12"/>
      <c r="IL98" s="12"/>
      <c r="IM98" s="12"/>
      <c r="IN98" s="12"/>
      <c r="IO98" s="12"/>
      <c r="IP98" s="12"/>
      <c r="IQ98" s="12"/>
      <c r="IR98" s="12"/>
      <c r="IV98" s="9"/>
      <c r="IZ98" s="12"/>
      <c r="JA98" s="12"/>
      <c r="JB98" s="12"/>
      <c r="JC98" s="12"/>
      <c r="JD98" s="12"/>
      <c r="JE98" s="12"/>
      <c r="JF98" s="12"/>
      <c r="JG98" s="12"/>
      <c r="JH98" s="12"/>
      <c r="JL98" s="9"/>
      <c r="JP98" s="12"/>
      <c r="JQ98" s="12"/>
      <c r="JR98" s="12"/>
      <c r="JS98" s="12"/>
      <c r="JT98" s="12"/>
      <c r="JU98" s="12"/>
      <c r="JV98" s="12"/>
      <c r="JW98" s="12"/>
      <c r="JX98" s="12"/>
      <c r="KB98" s="9"/>
      <c r="KF98" s="12"/>
      <c r="KG98" s="12"/>
      <c r="KH98" s="12"/>
      <c r="KI98" s="12"/>
      <c r="KJ98" s="12"/>
      <c r="KK98" s="12"/>
      <c r="KL98" s="12"/>
      <c r="KM98" s="12"/>
      <c r="KN98" s="12"/>
      <c r="KR98" s="9"/>
      <c r="KV98" s="12"/>
      <c r="KW98" s="12"/>
      <c r="KX98" s="12"/>
      <c r="KY98" s="12"/>
      <c r="KZ98" s="12"/>
      <c r="LA98" s="12"/>
      <c r="LB98" s="12"/>
      <c r="LC98" s="12"/>
      <c r="LD98" s="12"/>
      <c r="LH98" s="9"/>
      <c r="LL98" s="12"/>
      <c r="LM98" s="12"/>
      <c r="LN98" s="12"/>
      <c r="LO98" s="12"/>
      <c r="LP98" s="12"/>
      <c r="LQ98" s="12"/>
      <c r="LR98" s="12"/>
      <c r="LS98" s="12"/>
      <c r="LT98" s="12"/>
      <c r="LX98" s="9"/>
      <c r="MB98" s="12"/>
      <c r="MC98" s="12"/>
      <c r="MD98" s="12"/>
      <c r="ME98" s="12"/>
      <c r="MF98" s="12"/>
      <c r="MG98" s="12"/>
      <c r="MH98" s="12"/>
      <c r="MI98" s="12"/>
      <c r="MJ98" s="12"/>
      <c r="MN98" s="9"/>
      <c r="MR98" s="12"/>
      <c r="MS98" s="12"/>
      <c r="MT98" s="12"/>
      <c r="MU98" s="12"/>
      <c r="MV98" s="12"/>
      <c r="MW98" s="12"/>
      <c r="MX98" s="12"/>
      <c r="MY98" s="12"/>
      <c r="MZ98" s="12"/>
      <c r="ND98" s="9"/>
      <c r="NH98" s="12"/>
      <c r="NI98" s="12"/>
      <c r="NJ98" s="12"/>
      <c r="NK98" s="12"/>
      <c r="NL98" s="12"/>
      <c r="NM98" s="12"/>
      <c r="NN98" s="12"/>
      <c r="NO98" s="12"/>
      <c r="NP98" s="12"/>
      <c r="NT98" s="9"/>
      <c r="NX98" s="12"/>
      <c r="NY98" s="12"/>
      <c r="NZ98" s="12"/>
      <c r="OA98" s="12"/>
      <c r="OB98" s="12"/>
      <c r="OC98" s="12"/>
      <c r="OD98" s="12"/>
      <c r="OE98" s="12"/>
      <c r="OF98" s="12"/>
      <c r="OJ98" s="9"/>
    </row>
    <row r="99" spans="1:499" x14ac:dyDescent="0.2">
      <c r="B99" s="12"/>
      <c r="P99" s="12"/>
      <c r="Q99" s="12"/>
      <c r="R99" s="12"/>
      <c r="S99" s="12"/>
      <c r="T99" s="12"/>
      <c r="U99" s="12"/>
      <c r="V99" s="12"/>
      <c r="W99" s="12"/>
      <c r="X99" s="12"/>
      <c r="AH99" s="12"/>
      <c r="AI99" s="12"/>
      <c r="AJ99" s="12"/>
      <c r="AK99" s="12"/>
      <c r="AL99" s="12"/>
      <c r="AM99" s="12"/>
      <c r="AN99" s="12"/>
      <c r="AO99" s="12"/>
      <c r="AP99" s="12"/>
      <c r="AZ99" s="12"/>
      <c r="BA99" s="12"/>
      <c r="BB99" s="12"/>
      <c r="BC99" s="12"/>
      <c r="BD99" s="12"/>
      <c r="BE99" s="12"/>
      <c r="BF99" s="12"/>
      <c r="BG99" s="12"/>
      <c r="BH99" s="12"/>
      <c r="BL99" s="9"/>
      <c r="BP99" s="12"/>
      <c r="BQ99" s="12"/>
      <c r="BR99" s="12"/>
      <c r="BS99" s="12"/>
      <c r="BT99" s="12"/>
      <c r="BU99" s="12"/>
      <c r="BV99" s="12"/>
      <c r="BW99" s="12"/>
      <c r="BX99" s="12"/>
      <c r="CB99" s="9"/>
      <c r="CF99" s="12"/>
      <c r="CG99" s="12"/>
      <c r="CH99" s="12"/>
      <c r="CI99" s="12"/>
      <c r="CJ99" s="12"/>
      <c r="CK99" s="12"/>
      <c r="CL99" s="12"/>
      <c r="CM99" s="12"/>
      <c r="CN99" s="12"/>
      <c r="CR99" s="9"/>
      <c r="CV99" s="12"/>
      <c r="CW99" s="12"/>
      <c r="CX99" s="12"/>
      <c r="CY99" s="12"/>
      <c r="CZ99" s="12"/>
      <c r="DA99" s="12"/>
      <c r="DB99" s="12"/>
      <c r="DC99" s="12"/>
      <c r="DD99" s="12"/>
      <c r="DH99" s="9"/>
      <c r="DL99" s="12"/>
      <c r="DM99" s="12"/>
      <c r="DN99" s="12"/>
      <c r="DO99" s="12"/>
      <c r="DP99" s="12"/>
      <c r="DQ99" s="12"/>
      <c r="DR99" s="12"/>
      <c r="DS99" s="12"/>
      <c r="DT99" s="12"/>
      <c r="DX99" s="9"/>
      <c r="EB99" s="12"/>
      <c r="EC99" s="12"/>
      <c r="ED99" s="12"/>
      <c r="EE99" s="12"/>
      <c r="EF99" s="12"/>
      <c r="EG99" s="12"/>
      <c r="EH99" s="12"/>
      <c r="EI99" s="12"/>
      <c r="EJ99" s="12"/>
      <c r="EN99" s="9"/>
      <c r="ER99" s="12"/>
      <c r="ES99" s="12"/>
      <c r="ET99" s="12"/>
      <c r="EU99" s="12"/>
      <c r="EV99" s="12"/>
      <c r="EW99" s="12"/>
      <c r="EX99" s="12"/>
      <c r="EY99" s="12"/>
      <c r="EZ99" s="12"/>
      <c r="FD99" s="9"/>
      <c r="FH99" s="12"/>
      <c r="FI99" s="12"/>
      <c r="FJ99" s="12"/>
      <c r="FK99" s="12"/>
      <c r="FL99" s="12"/>
      <c r="FM99" s="12"/>
      <c r="FN99" s="12"/>
      <c r="FO99" s="12"/>
      <c r="FP99" s="12"/>
      <c r="FT99" s="9"/>
      <c r="FX99" s="12"/>
      <c r="FY99" s="12"/>
      <c r="FZ99" s="12"/>
      <c r="GA99" s="12"/>
      <c r="GB99" s="12"/>
      <c r="GC99" s="12"/>
      <c r="GD99" s="12"/>
      <c r="GE99" s="12"/>
      <c r="GF99" s="12"/>
      <c r="GJ99" s="9"/>
      <c r="GN99" s="12"/>
      <c r="GO99" s="12"/>
      <c r="GP99" s="12"/>
      <c r="GQ99" s="12"/>
      <c r="GR99" s="12"/>
      <c r="GS99" s="12"/>
      <c r="GT99" s="12"/>
      <c r="GU99" s="12"/>
      <c r="GV99" s="12"/>
      <c r="GZ99" s="9"/>
      <c r="HD99" s="12"/>
      <c r="HE99" s="12"/>
      <c r="HF99" s="12"/>
      <c r="HG99" s="12"/>
      <c r="HH99" s="12"/>
      <c r="HI99" s="12"/>
      <c r="HJ99" s="12"/>
      <c r="HK99" s="12"/>
      <c r="HL99" s="12"/>
      <c r="HP99" s="9"/>
      <c r="HT99" s="12"/>
      <c r="HU99" s="12"/>
      <c r="HV99" s="12"/>
      <c r="HW99" s="12"/>
      <c r="HX99" s="12"/>
      <c r="HY99" s="12"/>
      <c r="HZ99" s="12"/>
      <c r="IA99" s="12"/>
      <c r="IB99" s="12"/>
      <c r="IF99" s="9"/>
      <c r="IJ99" s="12"/>
      <c r="IK99" s="12"/>
      <c r="IL99" s="12"/>
      <c r="IM99" s="12"/>
      <c r="IN99" s="12"/>
      <c r="IO99" s="12"/>
      <c r="IP99" s="12"/>
      <c r="IQ99" s="12"/>
      <c r="IR99" s="12"/>
      <c r="IV99" s="9"/>
      <c r="IZ99" s="12"/>
      <c r="JA99" s="12"/>
      <c r="JB99" s="12"/>
      <c r="JC99" s="12"/>
      <c r="JD99" s="12"/>
      <c r="JE99" s="12"/>
      <c r="JF99" s="12"/>
      <c r="JG99" s="12"/>
      <c r="JH99" s="12"/>
      <c r="JL99" s="9"/>
      <c r="JP99" s="12"/>
      <c r="JQ99" s="12"/>
      <c r="JR99" s="12"/>
      <c r="JS99" s="12"/>
      <c r="JT99" s="12"/>
      <c r="JU99" s="12"/>
      <c r="JV99" s="12"/>
      <c r="JW99" s="12"/>
      <c r="JX99" s="12"/>
      <c r="KB99" s="9"/>
      <c r="KF99" s="12"/>
      <c r="KG99" s="12"/>
      <c r="KH99" s="12"/>
      <c r="KI99" s="12"/>
      <c r="KJ99" s="12"/>
      <c r="KK99" s="12"/>
      <c r="KL99" s="12"/>
      <c r="KM99" s="12"/>
      <c r="KN99" s="12"/>
      <c r="KR99" s="9"/>
      <c r="KV99" s="12"/>
      <c r="KW99" s="12"/>
      <c r="KX99" s="12"/>
      <c r="KY99" s="12"/>
      <c r="KZ99" s="12"/>
      <c r="LA99" s="12"/>
      <c r="LB99" s="12"/>
      <c r="LC99" s="12"/>
      <c r="LD99" s="12"/>
      <c r="LH99" s="9"/>
      <c r="LL99" s="12"/>
      <c r="LM99" s="12"/>
      <c r="LN99" s="12"/>
      <c r="LO99" s="12"/>
      <c r="LP99" s="12"/>
      <c r="LQ99" s="12"/>
      <c r="LR99" s="12"/>
      <c r="LS99" s="12"/>
      <c r="LT99" s="12"/>
      <c r="LX99" s="9"/>
      <c r="MB99" s="12"/>
      <c r="MC99" s="12"/>
      <c r="MD99" s="12"/>
      <c r="ME99" s="12"/>
      <c r="MF99" s="12"/>
      <c r="MG99" s="12"/>
      <c r="MH99" s="12"/>
      <c r="MI99" s="12"/>
      <c r="MJ99" s="12"/>
      <c r="MN99" s="9"/>
      <c r="MR99" s="12"/>
      <c r="MS99" s="12"/>
      <c r="MT99" s="12"/>
      <c r="MU99" s="12"/>
      <c r="MV99" s="12"/>
      <c r="MW99" s="12"/>
      <c r="MX99" s="12"/>
      <c r="MY99" s="12"/>
      <c r="MZ99" s="12"/>
      <c r="ND99" s="9"/>
      <c r="NH99" s="12"/>
      <c r="NI99" s="12"/>
      <c r="NJ99" s="12"/>
      <c r="NK99" s="12"/>
      <c r="NL99" s="12"/>
      <c r="NM99" s="12"/>
      <c r="NN99" s="12"/>
      <c r="NO99" s="12"/>
      <c r="NP99" s="12"/>
      <c r="NT99" s="9"/>
      <c r="NX99" s="12"/>
      <c r="NY99" s="12"/>
      <c r="NZ99" s="12"/>
      <c r="OA99" s="12"/>
      <c r="OB99" s="12"/>
      <c r="OC99" s="12"/>
      <c r="OD99" s="12"/>
      <c r="OE99" s="12"/>
      <c r="OF99" s="12"/>
      <c r="OJ99" s="9"/>
    </row>
    <row r="100" spans="1:499" x14ac:dyDescent="0.2">
      <c r="B100" s="12"/>
      <c r="P100" s="12"/>
      <c r="Q100" s="12"/>
      <c r="R100" s="12"/>
      <c r="S100" s="12"/>
      <c r="T100" s="12"/>
      <c r="U100" s="12"/>
      <c r="V100" s="12"/>
      <c r="W100" s="12"/>
      <c r="X100" s="12"/>
      <c r="AH100" s="12"/>
      <c r="AI100" s="12"/>
      <c r="AJ100" s="12"/>
      <c r="AK100" s="12"/>
      <c r="AL100" s="12"/>
      <c r="AM100" s="12"/>
      <c r="AN100" s="12"/>
      <c r="AO100" s="12"/>
      <c r="AP100" s="12"/>
      <c r="AZ100" s="12"/>
      <c r="BA100" s="12"/>
      <c r="BB100" s="12"/>
      <c r="BC100" s="12"/>
      <c r="BD100" s="12"/>
      <c r="BE100" s="12"/>
      <c r="BF100" s="12"/>
      <c r="BG100" s="12"/>
      <c r="BH100" s="12"/>
      <c r="BL100" s="9"/>
      <c r="BP100" s="12"/>
      <c r="BQ100" s="12"/>
      <c r="BR100" s="12"/>
      <c r="BS100" s="12"/>
      <c r="BT100" s="12"/>
      <c r="BU100" s="12"/>
      <c r="BV100" s="12"/>
      <c r="BW100" s="12"/>
      <c r="BX100" s="12"/>
      <c r="CB100" s="9"/>
      <c r="CF100" s="12"/>
      <c r="CG100" s="12"/>
      <c r="CH100" s="12"/>
      <c r="CI100" s="12"/>
      <c r="CJ100" s="12"/>
      <c r="CK100" s="12"/>
      <c r="CL100" s="12"/>
      <c r="CM100" s="12"/>
      <c r="CN100" s="12"/>
      <c r="CR100" s="9"/>
      <c r="CV100" s="12"/>
      <c r="CW100" s="12"/>
      <c r="CX100" s="12"/>
      <c r="CY100" s="12"/>
      <c r="CZ100" s="12"/>
      <c r="DA100" s="12"/>
      <c r="DB100" s="12"/>
      <c r="DC100" s="12"/>
      <c r="DD100" s="12"/>
      <c r="DH100" s="9"/>
      <c r="DL100" s="12"/>
      <c r="DM100" s="12"/>
      <c r="DN100" s="12"/>
      <c r="DO100" s="12"/>
      <c r="DP100" s="12"/>
      <c r="DQ100" s="12"/>
      <c r="DR100" s="12"/>
      <c r="DS100" s="12"/>
      <c r="DT100" s="12"/>
      <c r="DX100" s="9"/>
      <c r="EB100" s="12"/>
      <c r="EC100" s="12"/>
      <c r="ED100" s="12"/>
      <c r="EE100" s="12"/>
      <c r="EF100" s="12"/>
      <c r="EG100" s="12"/>
      <c r="EH100" s="12"/>
      <c r="EI100" s="12"/>
      <c r="EJ100" s="12"/>
      <c r="EN100" s="9"/>
      <c r="ER100" s="12"/>
      <c r="ES100" s="12"/>
      <c r="ET100" s="12"/>
      <c r="EU100" s="12"/>
      <c r="EV100" s="12"/>
      <c r="EW100" s="12"/>
      <c r="EX100" s="12"/>
      <c r="EY100" s="12"/>
      <c r="EZ100" s="12"/>
      <c r="FD100" s="9"/>
      <c r="FH100" s="12"/>
      <c r="FI100" s="12"/>
      <c r="FJ100" s="12"/>
      <c r="FK100" s="12"/>
      <c r="FL100" s="12"/>
      <c r="FM100" s="12"/>
      <c r="FN100" s="12"/>
      <c r="FO100" s="12"/>
      <c r="FP100" s="12"/>
      <c r="FT100" s="9"/>
      <c r="FX100" s="12"/>
      <c r="FY100" s="12"/>
      <c r="FZ100" s="12"/>
      <c r="GA100" s="12"/>
      <c r="GB100" s="12"/>
      <c r="GC100" s="12"/>
      <c r="GD100" s="12"/>
      <c r="GE100" s="12"/>
      <c r="GF100" s="12"/>
      <c r="GJ100" s="9"/>
      <c r="GN100" s="12"/>
      <c r="GO100" s="12"/>
      <c r="GP100" s="12"/>
      <c r="GQ100" s="12"/>
      <c r="GR100" s="12"/>
      <c r="GS100" s="12"/>
      <c r="GT100" s="12"/>
      <c r="GU100" s="12"/>
      <c r="GV100" s="12"/>
      <c r="GZ100" s="9"/>
      <c r="HD100" s="12"/>
      <c r="HE100" s="12"/>
      <c r="HF100" s="12"/>
      <c r="HG100" s="12"/>
      <c r="HH100" s="12"/>
      <c r="HI100" s="12"/>
      <c r="HJ100" s="12"/>
      <c r="HK100" s="12"/>
      <c r="HL100" s="12"/>
      <c r="HP100" s="9"/>
      <c r="HT100" s="12"/>
      <c r="HU100" s="12"/>
      <c r="HV100" s="12"/>
      <c r="HW100" s="12"/>
      <c r="HX100" s="12"/>
      <c r="HY100" s="12"/>
      <c r="HZ100" s="12"/>
      <c r="IA100" s="12"/>
      <c r="IB100" s="12"/>
      <c r="IF100" s="9"/>
      <c r="IJ100" s="12"/>
      <c r="IK100" s="12"/>
      <c r="IL100" s="12"/>
      <c r="IM100" s="12"/>
      <c r="IN100" s="12"/>
      <c r="IO100" s="12"/>
      <c r="IP100" s="12"/>
      <c r="IQ100" s="12"/>
      <c r="IR100" s="12"/>
      <c r="IV100" s="9"/>
      <c r="IZ100" s="12"/>
      <c r="JA100" s="12"/>
      <c r="JB100" s="12"/>
      <c r="JC100" s="12"/>
      <c r="JD100" s="12"/>
      <c r="JE100" s="12"/>
      <c r="JF100" s="12"/>
      <c r="JG100" s="12"/>
      <c r="JH100" s="12"/>
      <c r="JL100" s="9"/>
      <c r="JP100" s="12"/>
      <c r="JQ100" s="12"/>
      <c r="JR100" s="12"/>
      <c r="JS100" s="12"/>
      <c r="JT100" s="12"/>
      <c r="JU100" s="12"/>
      <c r="JV100" s="12"/>
      <c r="JW100" s="12"/>
      <c r="JX100" s="12"/>
      <c r="KB100" s="9"/>
      <c r="KF100" s="12"/>
      <c r="KG100" s="12"/>
      <c r="KH100" s="12"/>
      <c r="KI100" s="12"/>
      <c r="KJ100" s="12"/>
      <c r="KK100" s="12"/>
      <c r="KL100" s="12"/>
      <c r="KM100" s="12"/>
      <c r="KN100" s="12"/>
      <c r="KR100" s="9"/>
      <c r="KV100" s="12"/>
      <c r="KW100" s="12"/>
      <c r="KX100" s="12"/>
      <c r="KY100" s="12"/>
      <c r="KZ100" s="12"/>
      <c r="LA100" s="12"/>
      <c r="LB100" s="12"/>
      <c r="LC100" s="12"/>
      <c r="LD100" s="12"/>
      <c r="LH100" s="9"/>
      <c r="LL100" s="12"/>
      <c r="LM100" s="12"/>
      <c r="LN100" s="12"/>
      <c r="LO100" s="12"/>
      <c r="LP100" s="12"/>
      <c r="LQ100" s="12"/>
      <c r="LR100" s="12"/>
      <c r="LS100" s="12"/>
      <c r="LT100" s="12"/>
      <c r="LX100" s="9"/>
      <c r="MB100" s="12"/>
      <c r="MC100" s="12"/>
      <c r="MD100" s="12"/>
      <c r="ME100" s="12"/>
      <c r="MF100" s="12"/>
      <c r="MG100" s="12"/>
      <c r="MH100" s="12"/>
      <c r="MI100" s="12"/>
      <c r="MJ100" s="12"/>
      <c r="MN100" s="9"/>
      <c r="MR100" s="12"/>
      <c r="MS100" s="12"/>
      <c r="MT100" s="12"/>
      <c r="MU100" s="12"/>
      <c r="MV100" s="12"/>
      <c r="MW100" s="12"/>
      <c r="MX100" s="12"/>
      <c r="MY100" s="12"/>
      <c r="MZ100" s="12"/>
      <c r="ND100" s="9"/>
      <c r="NH100" s="12"/>
      <c r="NI100" s="12"/>
      <c r="NJ100" s="12"/>
      <c r="NK100" s="12"/>
      <c r="NL100" s="12"/>
      <c r="NM100" s="12"/>
      <c r="NN100" s="12"/>
      <c r="NO100" s="12"/>
      <c r="NP100" s="12"/>
      <c r="NT100" s="9"/>
      <c r="NX100" s="12"/>
      <c r="NY100" s="12"/>
      <c r="NZ100" s="12"/>
      <c r="OA100" s="12"/>
      <c r="OB100" s="12"/>
      <c r="OC100" s="12"/>
      <c r="OD100" s="12"/>
      <c r="OE100" s="12"/>
      <c r="OF100" s="12"/>
      <c r="OJ100" s="9"/>
    </row>
    <row r="101" spans="1:499" x14ac:dyDescent="0.2">
      <c r="A101" s="5" t="s">
        <v>53</v>
      </c>
      <c r="B101" s="12"/>
      <c r="P101" s="12"/>
      <c r="Q101" s="12"/>
      <c r="R101" s="12"/>
      <c r="S101" s="12"/>
      <c r="T101" s="12"/>
      <c r="U101" s="12"/>
      <c r="V101" s="12"/>
      <c r="W101" s="12"/>
      <c r="X101" s="12"/>
      <c r="AH101" s="12"/>
      <c r="AI101" s="12"/>
      <c r="AJ101" s="12"/>
      <c r="AK101" s="12"/>
      <c r="AL101" s="12"/>
      <c r="AM101" s="12"/>
      <c r="AN101" s="12"/>
      <c r="AO101" s="12"/>
      <c r="AP101" s="12"/>
      <c r="AZ101" s="12"/>
      <c r="BA101" s="12"/>
      <c r="BB101" s="12"/>
      <c r="BC101" s="12"/>
      <c r="BD101" s="12"/>
      <c r="BE101" s="12"/>
      <c r="BF101" s="12"/>
      <c r="BG101" s="12"/>
      <c r="BH101" s="12"/>
      <c r="BL101" s="9"/>
      <c r="BP101" s="12"/>
      <c r="BQ101" s="12"/>
      <c r="BR101" s="12"/>
      <c r="BS101" s="12"/>
      <c r="BT101" s="12"/>
      <c r="BU101" s="12"/>
      <c r="BV101" s="12"/>
      <c r="BW101" s="12"/>
      <c r="BX101" s="12"/>
      <c r="CB101" s="9"/>
      <c r="CF101" s="12"/>
      <c r="CG101" s="12"/>
      <c r="CH101" s="12"/>
      <c r="CI101" s="12"/>
      <c r="CJ101" s="12"/>
      <c r="CK101" s="12"/>
      <c r="CL101" s="12"/>
      <c r="CM101" s="12"/>
      <c r="CN101" s="12"/>
      <c r="CR101" s="9"/>
      <c r="CV101" s="12"/>
      <c r="CW101" s="12"/>
      <c r="CX101" s="12"/>
      <c r="CY101" s="12"/>
      <c r="CZ101" s="12"/>
      <c r="DA101" s="12"/>
      <c r="DB101" s="12"/>
      <c r="DC101" s="12"/>
      <c r="DD101" s="12"/>
      <c r="DH101" s="9"/>
      <c r="DL101" s="12"/>
      <c r="DM101" s="12"/>
      <c r="DN101" s="12"/>
      <c r="DO101" s="12"/>
      <c r="DP101" s="12"/>
      <c r="DQ101" s="12"/>
      <c r="DR101" s="12"/>
      <c r="DS101" s="12"/>
      <c r="DT101" s="12"/>
      <c r="DX101" s="9"/>
      <c r="EB101" s="12"/>
      <c r="EC101" s="12"/>
      <c r="ED101" s="12"/>
      <c r="EE101" s="12"/>
      <c r="EF101" s="12"/>
      <c r="EG101" s="12"/>
      <c r="EH101" s="12"/>
      <c r="EI101" s="12"/>
      <c r="EJ101" s="12"/>
      <c r="EN101" s="9"/>
      <c r="ER101" s="12"/>
      <c r="ES101" s="12"/>
      <c r="ET101" s="12"/>
      <c r="EU101" s="12"/>
      <c r="EV101" s="12"/>
      <c r="EW101" s="12"/>
      <c r="EX101" s="12"/>
      <c r="EY101" s="12"/>
      <c r="EZ101" s="12"/>
      <c r="FD101" s="9"/>
      <c r="FH101" s="12"/>
      <c r="FI101" s="12"/>
      <c r="FJ101" s="12"/>
      <c r="FK101" s="12"/>
      <c r="FL101" s="12"/>
      <c r="FM101" s="12"/>
      <c r="FN101" s="12"/>
      <c r="FO101" s="12"/>
      <c r="FP101" s="12"/>
      <c r="FT101" s="9"/>
      <c r="FX101" s="12"/>
      <c r="FY101" s="12"/>
      <c r="FZ101" s="12"/>
      <c r="GA101" s="12"/>
      <c r="GB101" s="12"/>
      <c r="GC101" s="12"/>
      <c r="GD101" s="12"/>
      <c r="GE101" s="12"/>
      <c r="GF101" s="12"/>
      <c r="GJ101" s="9"/>
      <c r="GN101" s="12"/>
      <c r="GO101" s="12"/>
      <c r="GP101" s="12"/>
      <c r="GQ101" s="12"/>
      <c r="GR101" s="12"/>
      <c r="GS101" s="12"/>
      <c r="GT101" s="12"/>
      <c r="GU101" s="12"/>
      <c r="GV101" s="12"/>
      <c r="GZ101" s="9"/>
      <c r="HD101" s="12"/>
      <c r="HE101" s="12"/>
      <c r="HF101" s="12"/>
      <c r="HG101" s="12"/>
      <c r="HH101" s="12"/>
      <c r="HI101" s="12"/>
      <c r="HJ101" s="12"/>
      <c r="HK101" s="12"/>
      <c r="HL101" s="12"/>
      <c r="HP101" s="9"/>
      <c r="HT101" s="12"/>
      <c r="HU101" s="12"/>
      <c r="HV101" s="12"/>
      <c r="HW101" s="12"/>
      <c r="HX101" s="12"/>
      <c r="HY101" s="12"/>
      <c r="HZ101" s="12"/>
      <c r="IA101" s="12"/>
      <c r="IB101" s="12"/>
      <c r="IF101" s="9"/>
      <c r="IJ101" s="12"/>
      <c r="IK101" s="12"/>
      <c r="IL101" s="12"/>
      <c r="IM101" s="12"/>
      <c r="IN101" s="12"/>
      <c r="IO101" s="12"/>
      <c r="IP101" s="12"/>
      <c r="IQ101" s="12"/>
      <c r="IR101" s="12"/>
      <c r="IV101" s="9"/>
      <c r="IZ101" s="12"/>
      <c r="JA101" s="12"/>
      <c r="JB101" s="12"/>
      <c r="JC101" s="12"/>
      <c r="JD101" s="12"/>
      <c r="JE101" s="12"/>
      <c r="JF101" s="12"/>
      <c r="JG101" s="12"/>
      <c r="JH101" s="12"/>
      <c r="JL101" s="9"/>
      <c r="JP101" s="12"/>
      <c r="JQ101" s="12"/>
      <c r="JR101" s="12"/>
      <c r="JS101" s="12"/>
      <c r="JT101" s="12"/>
      <c r="JU101" s="12"/>
      <c r="JV101" s="12"/>
      <c r="JW101" s="12"/>
      <c r="JX101" s="12"/>
      <c r="KB101" s="9"/>
      <c r="KF101" s="12"/>
      <c r="KG101" s="12"/>
      <c r="KH101" s="12"/>
      <c r="KI101" s="12"/>
      <c r="KJ101" s="12"/>
      <c r="KK101" s="12"/>
      <c r="KL101" s="12"/>
      <c r="KM101" s="12"/>
      <c r="KN101" s="12"/>
      <c r="KR101" s="9"/>
      <c r="KV101" s="12"/>
      <c r="KW101" s="12"/>
      <c r="KX101" s="12"/>
      <c r="KY101" s="12"/>
      <c r="KZ101" s="12"/>
      <c r="LA101" s="12"/>
      <c r="LB101" s="12"/>
      <c r="LC101" s="12"/>
      <c r="LD101" s="12"/>
      <c r="LH101" s="9"/>
      <c r="LL101" s="12"/>
      <c r="LM101" s="12"/>
      <c r="LN101" s="12"/>
      <c r="LO101" s="12"/>
      <c r="LP101" s="12"/>
      <c r="LQ101" s="12"/>
      <c r="LR101" s="12"/>
      <c r="LS101" s="12"/>
      <c r="LT101" s="12"/>
      <c r="LX101" s="9"/>
      <c r="MB101" s="12"/>
      <c r="MC101" s="12"/>
      <c r="MD101" s="12"/>
      <c r="ME101" s="12"/>
      <c r="MF101" s="12"/>
      <c r="MG101" s="12"/>
      <c r="MH101" s="12"/>
      <c r="MI101" s="12"/>
      <c r="MJ101" s="12"/>
      <c r="MN101" s="9"/>
      <c r="MR101" s="12"/>
      <c r="MS101" s="12"/>
      <c r="MT101" s="12"/>
      <c r="MU101" s="12"/>
      <c r="MV101" s="12"/>
      <c r="MW101" s="12"/>
      <c r="MX101" s="12"/>
      <c r="MY101" s="12"/>
      <c r="MZ101" s="12"/>
      <c r="ND101" s="9"/>
      <c r="NH101" s="12"/>
      <c r="NI101" s="12"/>
      <c r="NJ101" s="12"/>
      <c r="NK101" s="12"/>
      <c r="NL101" s="12"/>
      <c r="NM101" s="12"/>
      <c r="NN101" s="12"/>
      <c r="NO101" s="12"/>
      <c r="NP101" s="12"/>
      <c r="NT101" s="9"/>
      <c r="NX101" s="12"/>
      <c r="NY101" s="12"/>
      <c r="NZ101" s="12"/>
      <c r="OA101" s="12"/>
      <c r="OB101" s="12"/>
      <c r="OC101" s="12"/>
      <c r="OD101" s="12"/>
      <c r="OE101" s="12"/>
      <c r="OF101" s="12"/>
      <c r="OJ101" s="9"/>
    </row>
    <row r="102" spans="1:499" x14ac:dyDescent="0.2">
      <c r="A102" t="s">
        <v>57</v>
      </c>
      <c r="B102" s="12">
        <f t="shared" ref="B102:J104" si="521">P102+AH102+AZ102+BP102+CF102+CV102+DL102+EB102+ER102+FH102+FX102+GN102+HD102+HT102+IJ102+IZ102+JP102+KF102+KV102+LL102+MB102+MR102+NH102+NX102</f>
        <v>0</v>
      </c>
      <c r="C102" s="12">
        <f t="shared" si="521"/>
        <v>0</v>
      </c>
      <c r="D102" s="12">
        <f t="shared" si="521"/>
        <v>0</v>
      </c>
      <c r="E102" s="12">
        <f t="shared" si="521"/>
        <v>0</v>
      </c>
      <c r="F102" s="12">
        <f t="shared" si="521"/>
        <v>0</v>
      </c>
      <c r="G102" s="12">
        <f t="shared" si="521"/>
        <v>0</v>
      </c>
      <c r="H102" s="12">
        <f t="shared" si="521"/>
        <v>0</v>
      </c>
      <c r="I102" s="12">
        <f t="shared" si="521"/>
        <v>0</v>
      </c>
      <c r="J102" s="12">
        <f t="shared" si="521"/>
        <v>0</v>
      </c>
      <c r="P102" s="12" cm="1">
        <f t="array" ref="P102">_xlfn.SWITCH(P$4, 0,0, 1, AA102,2,AC102,3,AE102,0)</f>
        <v>0</v>
      </c>
      <c r="Q102" s="12" cm="1">
        <f t="array" ref="Q102">_xlfn.SWITCH(Q$4, 0,0, 1, AA102,2,AC102,3,AE102,0)+P102</f>
        <v>0</v>
      </c>
      <c r="R102" s="12" cm="1">
        <f t="array" ref="R102">_xlfn.SWITCH(R$4, 0,0, 1, AA102,2,AC102,3,AE102,0)+Q102</f>
        <v>0</v>
      </c>
      <c r="S102" s="12" cm="1">
        <f t="array" ref="S102">_xlfn.SWITCH(S$4, 0,0, 1, AA102,2,AC102,3,AE102,0)+R102</f>
        <v>0</v>
      </c>
      <c r="T102" s="12" cm="1">
        <f t="array" ref="T102">_xlfn.SWITCH(T$4, 0,0, 1, AA102,2,AC102,3,AE102,0)+S102</f>
        <v>0</v>
      </c>
      <c r="U102" s="12" cm="1">
        <f t="array" ref="U102">_xlfn.SWITCH(U$4, 0,0, 1, AA102,2,AC102,3,AE102,0)+T102</f>
        <v>0</v>
      </c>
      <c r="V102" s="12" cm="1">
        <f t="array" ref="V102">_xlfn.SWITCH(V$4, 0,0, 1, AA102,2,AC102,3,AE102,0)+U102</f>
        <v>0</v>
      </c>
      <c r="W102" s="12" cm="1">
        <f t="array" ref="W102">_xlfn.SWITCH(W$4, 0,0, 1, AA102,2,AC102,3,AE102,0)+V102</f>
        <v>0</v>
      </c>
      <c r="X102" s="12" cm="1">
        <f t="array" ref="X102">_xlfn.SWITCH(X$4, 0,0, 1, AA102,2,AC102,3,AE102,0)+W102</f>
        <v>0</v>
      </c>
      <c r="Z102" t="s">
        <v>1304</v>
      </c>
      <c r="AA102">
        <f>_xlfn.XLOOKUP(Z102,'KPI Impacts'!$K$2:$Q$2,'KPI Impacts'!$K102:$Q102)</f>
        <v>0</v>
      </c>
      <c r="AB102" t="s">
        <v>1304</v>
      </c>
      <c r="AC102">
        <f>_xlfn.XLOOKUP(AB102,'KPI Impacts'!$K$2:$Q$2,'KPI Impacts'!$K102:$Q102)</f>
        <v>0</v>
      </c>
      <c r="AD102" t="s">
        <v>1304</v>
      </c>
      <c r="AE102">
        <f>_xlfn.XLOOKUP(AD102,'KPI Impacts'!$K$2:$Q$2,'KPI Impacts'!$K102:$Q102)</f>
        <v>0</v>
      </c>
      <c r="AH102" s="12" cm="1">
        <f t="array" ref="AH102">_xlfn.SWITCH(AH$4, 0,0, 1, AS102,2,AU102,3,AW102,0)</f>
        <v>0</v>
      </c>
      <c r="AI102" s="12" cm="1">
        <f t="array" ref="AI102">_xlfn.SWITCH(AI$4, 0,0, 1, AS102,2,AU102,3,AW102,0)+AH102</f>
        <v>0</v>
      </c>
      <c r="AJ102" s="12" cm="1">
        <f t="array" ref="AJ102">_xlfn.SWITCH(AJ$4, 0,0, 1, AS102,2,AU102,3,AW102,0)+AI102</f>
        <v>0</v>
      </c>
      <c r="AK102" s="12" cm="1">
        <f t="array" ref="AK102">_xlfn.SWITCH(AK$4, 0,0, 1, AS102,2,AU102,3,AW102,0)+AJ102</f>
        <v>0</v>
      </c>
      <c r="AL102" s="12" cm="1">
        <f t="array" ref="AL102">_xlfn.SWITCH(AL$4, 0,0, 1, AS102,2,AU102,3,AW102,0)+AK102</f>
        <v>0</v>
      </c>
      <c r="AM102" s="12" cm="1">
        <f t="array" ref="AM102">_xlfn.SWITCH(AM$4, 0,0, 1, AS102,2,AU102,3,AW102,0)+AL102</f>
        <v>0</v>
      </c>
      <c r="AN102" s="12" cm="1">
        <f t="array" ref="AN102">_xlfn.SWITCH(AN$4, 0,0, 1, AS102,2,AU102,3,AW102,0)+AM102</f>
        <v>0</v>
      </c>
      <c r="AO102" s="12" cm="1">
        <f t="array" ref="AO102">_xlfn.SWITCH(AO$4, 0,0, 1, AS102,2,AU102,3,AW102,0)+AN102</f>
        <v>0</v>
      </c>
      <c r="AP102" s="12" cm="1">
        <f t="array" ref="AP102">_xlfn.SWITCH(AP$4, 0,0, 1, AS102,2,AU102,3,AW102,0)+AO102</f>
        <v>0</v>
      </c>
      <c r="AR102" t="s">
        <v>1304</v>
      </c>
      <c r="AS102">
        <f>_xlfn.XLOOKUP(AR102,'KPI Impacts'!$K$2:$Q$2,'KPI Impacts'!$K102:$Q102)</f>
        <v>0</v>
      </c>
      <c r="AT102" t="s">
        <v>1304</v>
      </c>
      <c r="AU102">
        <f>_xlfn.XLOOKUP(AT102,'KPI Impacts'!$K$2:$Q$2,'KPI Impacts'!$K102:$Q102)</f>
        <v>0</v>
      </c>
      <c r="AV102" t="s">
        <v>1304</v>
      </c>
      <c r="AW102">
        <f>_xlfn.XLOOKUP(AV102,'KPI Impacts'!$K$2:$Q$2,'KPI Impacts'!$K102:$Q102)</f>
        <v>0</v>
      </c>
      <c r="AZ102" s="12">
        <f>AZ$4*BK102</f>
        <v>0</v>
      </c>
      <c r="BA102" s="12">
        <f>BA$4 * IF(AND(AZ$4=1,AZ$20=1), BM102, BK102)</f>
        <v>0</v>
      </c>
      <c r="BB102" s="12">
        <f>BB$4 * IF(AND(BA$4=1,AZ$20=1), BM102, BK102)</f>
        <v>0</v>
      </c>
      <c r="BC102" s="12">
        <f>BC$4 * IF(AND(BB$4=1,AZ$20=1), BM102, BK102)</f>
        <v>0</v>
      </c>
      <c r="BD102" s="12">
        <f>BD$4 * IF(AND(BC$4=1,AZ$20=1), BM102, BK102)</f>
        <v>0</v>
      </c>
      <c r="BE102" s="12">
        <f>BE$4 * IF(AND(BD$4=1,AZ$20=1), BM102, BK102)</f>
        <v>0</v>
      </c>
      <c r="BF102" s="12">
        <f>BF$4 * IF(AND(BE$4=1,AZ$20=1), BM102, BK102)</f>
        <v>0</v>
      </c>
      <c r="BG102" s="12">
        <f>BG$4 * IF(AND(BF$4=1,AZ$20=1), BM102, BK102)</f>
        <v>0</v>
      </c>
      <c r="BH102" s="12">
        <f>BH$4 * IF(AND(BG$4=1,AZ$20=1), BM102, BK102)</f>
        <v>0</v>
      </c>
      <c r="BJ102" t="s">
        <v>1304</v>
      </c>
      <c r="BK102">
        <f>_xlfn.XLOOKUP(BJ102,'KPI Impacts'!$B$2:$H$2,'KPI Impacts'!$B102:$H102)</f>
        <v>0</v>
      </c>
      <c r="BL102" s="9" t="s">
        <v>1304</v>
      </c>
      <c r="BM102">
        <f>_xlfn.XLOOKUP(BL102,'KPI Impacts'!$B$2:$H$2,'KPI Impacts'!$B102:$H102)</f>
        <v>0</v>
      </c>
      <c r="BP102" s="12">
        <f>BP$4*CA102</f>
        <v>0</v>
      </c>
      <c r="BQ102" s="12">
        <f>BQ$4 * IF(AND(BP$4=1,BP$20=1), CC102, CA102)</f>
        <v>0</v>
      </c>
      <c r="BR102" s="12">
        <f>BR$4 * IF(AND(BQ$4=1,BP$20=1), CC102, CA102)</f>
        <v>0</v>
      </c>
      <c r="BS102" s="12">
        <f>BS$4 * IF(AND(BR$4=1,BP$20=1), CC102, CA102)</f>
        <v>0</v>
      </c>
      <c r="BT102" s="12">
        <f>BT$4 * IF(AND(BS$4=1,BP$20=1), CC102, CA102)</f>
        <v>0</v>
      </c>
      <c r="BU102" s="12">
        <f>BU$4 * IF(AND(BT$4=1,BP$20=1), CC102, CA102)</f>
        <v>0</v>
      </c>
      <c r="BV102" s="12">
        <f>BV$4 * IF(AND(BU$4=1,BP$20=1), CC102, CA102)</f>
        <v>0</v>
      </c>
      <c r="BW102" s="12">
        <f>BW$4 * IF(AND(BV$4=1,BP$20=1), CC102, CA102)</f>
        <v>0</v>
      </c>
      <c r="BX102" s="12">
        <f>BX$4 * IF(AND(BW$4=1,BP$20=1), CC102, CA102)</f>
        <v>0</v>
      </c>
      <c r="BZ102" t="s">
        <v>1304</v>
      </c>
      <c r="CA102">
        <f>_xlfn.XLOOKUP(BZ102,'KPI Impacts'!$B$2:$H$2,'KPI Impacts'!$B102:$H102)</f>
        <v>0</v>
      </c>
      <c r="CB102" s="9" t="s">
        <v>1304</v>
      </c>
      <c r="CC102">
        <f>_xlfn.XLOOKUP(CB102,'KPI Impacts'!$B$2:$H$2,'KPI Impacts'!$B102:$H102)</f>
        <v>0</v>
      </c>
      <c r="CF102" s="12">
        <f>CF$4*CQ102</f>
        <v>0</v>
      </c>
      <c r="CG102" s="12">
        <f>CG$4 * IF(AND(CF$4=1,CF$20=1), CS102, CQ102)</f>
        <v>0</v>
      </c>
      <c r="CH102" s="12">
        <f>CH$4 * IF(AND(CG$4=1,CF$20=1), CS102, CQ102)</f>
        <v>0</v>
      </c>
      <c r="CI102" s="12">
        <f>CI$4 * IF(AND(CH$4=1,CF$20=1), CS102, CQ102)</f>
        <v>0</v>
      </c>
      <c r="CJ102" s="12">
        <f>CJ$4 * IF(AND(CI$4=1,CF$20=1), CS102, CQ102)</f>
        <v>0</v>
      </c>
      <c r="CK102" s="12">
        <f>CK$4 * IF(AND(CJ$4=1,CF$20=1), CS102, CQ102)</f>
        <v>0</v>
      </c>
      <c r="CL102" s="12">
        <f>CL$4 * IF(AND(CK$4=1,CF$20=1), CS102, CQ102)</f>
        <v>0</v>
      </c>
      <c r="CM102" s="12">
        <f>CM$4 * IF(AND(CL$4=1,CF$20=1), CS102, CQ102)</f>
        <v>0</v>
      </c>
      <c r="CN102" s="12">
        <f>CN$4 * IF(AND(CM$4=1,CF$20=1), CS102, CQ102)</f>
        <v>0</v>
      </c>
      <c r="CP102" t="s">
        <v>1304</v>
      </c>
      <c r="CQ102">
        <f>_xlfn.XLOOKUP(CP102,'KPI Impacts'!$B$2:$H$2,'KPI Impacts'!$B102:$H102)</f>
        <v>0</v>
      </c>
      <c r="CR102" s="9" t="s">
        <v>1304</v>
      </c>
      <c r="CS102">
        <f>_xlfn.XLOOKUP(CR102,'KPI Impacts'!$B$2:$H$2,'KPI Impacts'!$B102:$H102)</f>
        <v>0</v>
      </c>
      <c r="CV102" s="12">
        <f>CV$4*DG102</f>
        <v>0</v>
      </c>
      <c r="CW102" s="12">
        <f>CW$4 * IF(AND(CV$4=1,CV$20=1), DI102, DG102)</f>
        <v>0</v>
      </c>
      <c r="CX102" s="12">
        <f>CX$4 * IF(AND(CW$4=1,CV$20=1), DI102, DG102)</f>
        <v>0</v>
      </c>
      <c r="CY102" s="12">
        <f>CY$4 * IF(AND(CX$4=1,CV$20=1), DI102, DG102)</f>
        <v>0</v>
      </c>
      <c r="CZ102" s="12">
        <f>CZ$4 * IF(AND(CY$4=1,CV$20=1), DI102, DG102)</f>
        <v>0</v>
      </c>
      <c r="DA102" s="12">
        <f>DA$4 * IF(AND(CZ$4=1,CV$20=1), DI102, DG102)</f>
        <v>0</v>
      </c>
      <c r="DB102" s="12">
        <f>DB$4 * IF(AND(DA$4=1,CV$20=1), DI102, DG102)</f>
        <v>0</v>
      </c>
      <c r="DC102" s="12">
        <f>DC$4 * IF(AND(DB$4=1,CV$20=1), DI102, DG102)</f>
        <v>0</v>
      </c>
      <c r="DD102" s="12">
        <f>DD$4 * IF(AND(DC$4=1,CV$20=1), DI102, DG102)</f>
        <v>0</v>
      </c>
      <c r="DF102" t="s">
        <v>1304</v>
      </c>
      <c r="DG102">
        <f>_xlfn.XLOOKUP(DF102,'KPI Impacts'!$B$2:$H$2,'KPI Impacts'!$B102:$H102)</f>
        <v>0</v>
      </c>
      <c r="DH102" s="9" t="s">
        <v>1304</v>
      </c>
      <c r="DI102">
        <f>_xlfn.XLOOKUP(DH102,'KPI Impacts'!$B$2:$H$2,'KPI Impacts'!$B102:$H102)</f>
        <v>0</v>
      </c>
      <c r="DL102" s="12">
        <f>DL$4*DW102</f>
        <v>0</v>
      </c>
      <c r="DM102" s="12">
        <f>DM$4 * IF(AND(DL$4=1,DL$20=1), DY102, DW102)</f>
        <v>0</v>
      </c>
      <c r="DN102" s="12">
        <f>DN$4 * IF(AND(DM$4=1,DL$20=1), DY102, DW102)</f>
        <v>0</v>
      </c>
      <c r="DO102" s="12">
        <f>DO$4 * IF(AND(DN$4=1,DL$20=1), DY102, DW102)</f>
        <v>0</v>
      </c>
      <c r="DP102" s="12">
        <f>DP$4 * IF(AND(DO$4=1,DL$20=1), DY102, DW102)</f>
        <v>0</v>
      </c>
      <c r="DQ102" s="12">
        <f>DQ$4 * IF(AND(DP$4=1,DL$20=1), DY102, DW102)</f>
        <v>0</v>
      </c>
      <c r="DR102" s="12">
        <f>DR$4 * IF(AND(DQ$4=1,DL$20=1), DY102, DW102)</f>
        <v>0</v>
      </c>
      <c r="DS102" s="12">
        <f>DS$4 * IF(AND(DR$4=1,DL$20=1), DY102, DW102)</f>
        <v>0</v>
      </c>
      <c r="DT102" s="12">
        <f>DT$4 * IF(AND(DS$4=1,DL$20=1), DY102, DW102)</f>
        <v>0</v>
      </c>
      <c r="DV102" t="s">
        <v>1304</v>
      </c>
      <c r="DW102">
        <f>_xlfn.XLOOKUP(DV102,'KPI Impacts'!$B$2:$H$2,'KPI Impacts'!$B102:$H102)</f>
        <v>0</v>
      </c>
      <c r="DX102" s="9" t="s">
        <v>1304</v>
      </c>
      <c r="DY102">
        <f>_xlfn.XLOOKUP(DX102,'KPI Impacts'!$B$2:$H$2,'KPI Impacts'!$B102:$H102)</f>
        <v>0</v>
      </c>
      <c r="EB102" s="12">
        <f>EB$4*EM102</f>
        <v>0</v>
      </c>
      <c r="EC102" s="12">
        <f>EC$4 * IF(AND(EB$4=1,EB$20=1), EO102, EM102)</f>
        <v>0</v>
      </c>
      <c r="ED102" s="12">
        <f>ED$4 * IF(AND(EC$4=1,EB$20=1), EO102, EM102)</f>
        <v>0</v>
      </c>
      <c r="EE102" s="12">
        <f>EE$4 * IF(AND(ED$4=1,EB$20=1), EO102, EM102)</f>
        <v>0</v>
      </c>
      <c r="EF102" s="12">
        <f>EF$4 * IF(AND(EE$4=1,EB$20=1), EO102, EM102)</f>
        <v>0</v>
      </c>
      <c r="EG102" s="12">
        <f>EG$4 * IF(AND(EF$4=1,EB$20=1), EO102, EM102)</f>
        <v>0</v>
      </c>
      <c r="EH102" s="12">
        <f>EH$4 * IF(AND(EG$4=1,EB$20=1), EO102, EM102)</f>
        <v>0</v>
      </c>
      <c r="EI102" s="12">
        <f>EI$4 * IF(AND(EH$4=1,EB$20=1), EO102, EM102)</f>
        <v>0</v>
      </c>
      <c r="EJ102" s="12">
        <f>EJ$4 * IF(AND(EI$4=1,EB$20=1), EO102, EM102)</f>
        <v>0</v>
      </c>
      <c r="EL102" t="s">
        <v>1304</v>
      </c>
      <c r="EM102">
        <f>_xlfn.XLOOKUP(EL102,'KPI Impacts'!$B$2:$H$2,'KPI Impacts'!$B102:$H102)</f>
        <v>0</v>
      </c>
      <c r="EN102" s="9" t="s">
        <v>1304</v>
      </c>
      <c r="EO102">
        <f>_xlfn.XLOOKUP(EN102,'KPI Impacts'!$B$2:$H$2,'KPI Impacts'!$B102:$H102)</f>
        <v>0</v>
      </c>
      <c r="ER102" s="12">
        <f>ER$4*FC102</f>
        <v>0</v>
      </c>
      <c r="ES102" s="12">
        <f>ES$4 * IF(AND(ER$4=1,ER$20=1), FE102, FC102)</f>
        <v>0</v>
      </c>
      <c r="ET102" s="12">
        <f>ET$4 * IF(AND(ES$4=1,ER$20=1), FE102, FC102)</f>
        <v>0</v>
      </c>
      <c r="EU102" s="12">
        <f>EU$4 * IF(AND(ET$4=1,ER$20=1), FE102, FC102)</f>
        <v>0</v>
      </c>
      <c r="EV102" s="12">
        <f>EV$4 * IF(AND(EU$4=1,ER$20=1), FE102, FC102)</f>
        <v>0</v>
      </c>
      <c r="EW102" s="12">
        <f>EW$4 * IF(AND(EV$4=1,ER$20=1), FE102, FC102)</f>
        <v>0</v>
      </c>
      <c r="EX102" s="12">
        <f>EX$4 * IF(AND(EW$4=1,ER$20=1), FE102, FC102)</f>
        <v>0</v>
      </c>
      <c r="EY102" s="12">
        <f>EY$4 * IF(AND(EX$4=1,ER$20=1), FE102, FC102)</f>
        <v>0</v>
      </c>
      <c r="EZ102" s="12">
        <f>EZ$4 * IF(AND(EY$4=1,ER$20=1), FE102, FC102)</f>
        <v>0</v>
      </c>
      <c r="FB102" t="s">
        <v>1304</v>
      </c>
      <c r="FC102">
        <f>_xlfn.XLOOKUP(FB102,'KPI Impacts'!$B$2:$H$2,'KPI Impacts'!$B102:$H102)</f>
        <v>0</v>
      </c>
      <c r="FD102" s="9" t="s">
        <v>1304</v>
      </c>
      <c r="FE102">
        <f>_xlfn.XLOOKUP(FD102,'KPI Impacts'!$B$2:$H$2,'KPI Impacts'!$B102:$H102)</f>
        <v>0</v>
      </c>
      <c r="FH102" s="12">
        <f>FH$4*FS102</f>
        <v>0</v>
      </c>
      <c r="FI102" s="12">
        <f>FI$4 * IF(AND(FH$4=1,FH$20=1), FU102, FS102)</f>
        <v>0</v>
      </c>
      <c r="FJ102" s="12">
        <f>FJ$4 * IF(AND(FI$4=1,FH$20=1), FU102, FS102)</f>
        <v>0</v>
      </c>
      <c r="FK102" s="12">
        <f>FK$4 * IF(AND(FJ$4=1,FH$20=1), FU102, FS102)</f>
        <v>0</v>
      </c>
      <c r="FL102" s="12">
        <f>FL$4 * IF(AND(FK$4=1,FH$20=1), FU102, FS102)</f>
        <v>0</v>
      </c>
      <c r="FM102" s="12">
        <f>FM$4 * IF(AND(FL$4=1,FH$20=1), FU102, FS102)</f>
        <v>0</v>
      </c>
      <c r="FN102" s="12">
        <f>FN$4 * IF(AND(FM$4=1,FH$20=1), FU102, FS102)</f>
        <v>0</v>
      </c>
      <c r="FO102" s="12">
        <f>FO$4 * IF(AND(FN$4=1,FH$20=1), FU102, FS102)</f>
        <v>0</v>
      </c>
      <c r="FP102" s="12">
        <f>FP$4 * IF(AND(FO$4=1,FH$20=1), FU102, FS102)</f>
        <v>0</v>
      </c>
      <c r="FR102" t="s">
        <v>1304</v>
      </c>
      <c r="FS102">
        <f>_xlfn.XLOOKUP(FR102,'KPI Impacts'!$B$2:$H$2,'KPI Impacts'!$B102:$H102)</f>
        <v>0</v>
      </c>
      <c r="FT102" s="9" t="s">
        <v>1304</v>
      </c>
      <c r="FU102">
        <f>_xlfn.XLOOKUP(FT102,'KPI Impacts'!$B$2:$H$2,'KPI Impacts'!$B102:$H102)</f>
        <v>0</v>
      </c>
      <c r="FX102" s="12">
        <f>FX$4*GI102</f>
        <v>0</v>
      </c>
      <c r="FY102" s="12">
        <f>FY$4 * IF(AND(FX$4=1,FX$20=1), GK102, GI102)</f>
        <v>0</v>
      </c>
      <c r="FZ102" s="12">
        <f>FZ$4 * IF(AND(FY$4=1,FX$20=1), GK102, GI102)</f>
        <v>0</v>
      </c>
      <c r="GA102" s="12">
        <f>GA$4 * IF(AND(FZ$4=1,FX$20=1), GK102, GI102)</f>
        <v>0</v>
      </c>
      <c r="GB102" s="12">
        <f>GB$4 * IF(AND(GA$4=1,FX$20=1), GK102, GI102)</f>
        <v>0</v>
      </c>
      <c r="GC102" s="12">
        <f>GC$4 * IF(AND(GB$4=1,FX$20=1), GK102, GI102)</f>
        <v>0</v>
      </c>
      <c r="GD102" s="12">
        <f>GD$4 * IF(AND(GC$4=1,FX$20=1), GK102, GI102)</f>
        <v>0</v>
      </c>
      <c r="GE102" s="12">
        <f>GE$4 * IF(AND(GD$4=1,FX$20=1), GK102, GI102)</f>
        <v>0</v>
      </c>
      <c r="GF102" s="12">
        <f>GF$4 * IF(AND(GE$4=1,FX$20=1), GK102, GI102)</f>
        <v>0</v>
      </c>
      <c r="GH102" t="s">
        <v>1304</v>
      </c>
      <c r="GI102">
        <f>_xlfn.XLOOKUP(GH102,'KPI Impacts'!$B$2:$H$2,'KPI Impacts'!$B102:$H102)</f>
        <v>0</v>
      </c>
      <c r="GJ102" s="9" t="s">
        <v>1304</v>
      </c>
      <c r="GK102">
        <f>_xlfn.XLOOKUP(GJ102,'KPI Impacts'!$B$2:$H$2,'KPI Impacts'!$B102:$H102)</f>
        <v>0</v>
      </c>
      <c r="GN102" s="12">
        <f>GN$4*GY102</f>
        <v>0</v>
      </c>
      <c r="GO102" s="12">
        <f>GO$4 * IF(AND(GN$4=1,GN$20=1), HA102, GY102)</f>
        <v>0</v>
      </c>
      <c r="GP102" s="12">
        <f>GP$4 * IF(AND(GO$4=1,GN$20=1), HA102, GY102)</f>
        <v>0</v>
      </c>
      <c r="GQ102" s="12">
        <f>GQ$4 * IF(AND(GP$4=1,GN$20=1), HA102, GY102)</f>
        <v>0</v>
      </c>
      <c r="GR102" s="12">
        <f>GR$4 * IF(AND(GQ$4=1,GN$20=1), HA102, GY102)</f>
        <v>0</v>
      </c>
      <c r="GS102" s="12">
        <f>GS$4 * IF(AND(GR$4=1,GN$20=1), HA102, GY102)</f>
        <v>0</v>
      </c>
      <c r="GT102" s="12">
        <f>GT$4 * IF(AND(GS$4=1,GN$20=1), HA102, GY102)</f>
        <v>0</v>
      </c>
      <c r="GU102" s="12">
        <f>GU$4 * IF(AND(GT$4=1,GN$20=1), HA102, GY102)</f>
        <v>0</v>
      </c>
      <c r="GV102" s="12">
        <f>GV$4 * IF(AND(GU$4=1,GN$20=1), HA102, GY102)</f>
        <v>0</v>
      </c>
      <c r="GX102" t="s">
        <v>1304</v>
      </c>
      <c r="GY102">
        <f>_xlfn.XLOOKUP(GX102,'KPI Impacts'!$B$2:$H$2,'KPI Impacts'!$B102:$H102)</f>
        <v>0</v>
      </c>
      <c r="GZ102" s="9" t="s">
        <v>1304</v>
      </c>
      <c r="HA102">
        <f>_xlfn.XLOOKUP(GZ102,'KPI Impacts'!$B$2:$H$2,'KPI Impacts'!$B102:$H102)</f>
        <v>0</v>
      </c>
      <c r="HD102" s="12">
        <f>HD$4*HO102</f>
        <v>0</v>
      </c>
      <c r="HE102" s="12">
        <f>HE$4 * IF(AND(HD$4=1,HD$20=1), HQ102, HO102)</f>
        <v>0</v>
      </c>
      <c r="HF102" s="12">
        <f>HF$4 * IF(AND(HE$4=1,HD$20=1), HQ102, HO102)</f>
        <v>0</v>
      </c>
      <c r="HG102" s="12">
        <f>HG$4 * IF(AND(HF$4=1,HD$20=1), HQ102, HO102)</f>
        <v>0</v>
      </c>
      <c r="HH102" s="12">
        <f>HH$4 * IF(AND(HG$4=1,HD$20=1), HQ102, HO102)</f>
        <v>0</v>
      </c>
      <c r="HI102" s="12">
        <f>HI$4 * IF(AND(HH$4=1,HD$20=1), HQ102, HO102)</f>
        <v>0</v>
      </c>
      <c r="HJ102" s="12">
        <f>HJ$4 * IF(AND(HI$4=1,HD$20=1), HQ102, HO102)</f>
        <v>0</v>
      </c>
      <c r="HK102" s="12">
        <f>HK$4 * IF(AND(HJ$4=1,HD$20=1), HQ102, HO102)</f>
        <v>0</v>
      </c>
      <c r="HL102" s="12">
        <f>HL$4 * IF(AND(HK$4=1,HD$20=1), HQ102, HO102)</f>
        <v>0</v>
      </c>
      <c r="HN102" t="s">
        <v>1304</v>
      </c>
      <c r="HO102">
        <f>_xlfn.XLOOKUP(HN102,'KPI Impacts'!$B$2:$H$2,'KPI Impacts'!$B102:$H102)</f>
        <v>0</v>
      </c>
      <c r="HP102" s="9" t="s">
        <v>1304</v>
      </c>
      <c r="HQ102">
        <f>_xlfn.XLOOKUP(HP102,'KPI Impacts'!$B$2:$H$2,'KPI Impacts'!$B102:$H102)</f>
        <v>0</v>
      </c>
      <c r="HT102" s="12">
        <f>HT$4*IE102</f>
        <v>0</v>
      </c>
      <c r="HU102" s="12">
        <f>HU$4 * IF(AND(HT$4=1,HT$20=1), IG102, IE102)</f>
        <v>0</v>
      </c>
      <c r="HV102" s="12">
        <f>HV$4 * IF(AND(HU$4=1,HT$20=1), IG102, IE102)</f>
        <v>0</v>
      </c>
      <c r="HW102" s="12">
        <f>HW$4 * IF(AND(HV$4=1,HT$20=1), IG102, IE102)</f>
        <v>0</v>
      </c>
      <c r="HX102" s="12">
        <f>HX$4 * IF(AND(HW$4=1,HT$20=1), IG102, IE102)</f>
        <v>0</v>
      </c>
      <c r="HY102" s="12">
        <f>HY$4 * IF(AND(HX$4=1,HT$20=1), IG102, IE102)</f>
        <v>0</v>
      </c>
      <c r="HZ102" s="12">
        <f>HZ$4 * IF(AND(HY$4=1,HT$20=1), IG102, IE102)</f>
        <v>0</v>
      </c>
      <c r="IA102" s="12">
        <f>IA$4 * IF(AND(HZ$4=1,HT$20=1), IG102, IE102)</f>
        <v>0</v>
      </c>
      <c r="IB102" s="12">
        <f>IB$4 * IF(AND(IA$4=1,HT$20=1), IG102, IE102)</f>
        <v>0</v>
      </c>
      <c r="ID102" t="s">
        <v>1304</v>
      </c>
      <c r="IE102">
        <f>_xlfn.XLOOKUP(ID102,'KPI Impacts'!$B$2:$H$2,'KPI Impacts'!$B102:$H102)</f>
        <v>0</v>
      </c>
      <c r="IF102" s="9" t="s">
        <v>1304</v>
      </c>
      <c r="IG102">
        <f>_xlfn.XLOOKUP(IF102,'KPI Impacts'!$B$2:$H$2,'KPI Impacts'!$B102:$H102)</f>
        <v>0</v>
      </c>
      <c r="IJ102" s="12">
        <f>IJ$4*IU102</f>
        <v>0</v>
      </c>
      <c r="IK102" s="12">
        <f>IK$4 * IF(AND(IJ$4=1,IJ$20=1), IW102, IU102)</f>
        <v>0</v>
      </c>
      <c r="IL102" s="12">
        <f>IL$4 * IF(AND(IK$4=1,IJ$20=1), IW102, IU102)</f>
        <v>0</v>
      </c>
      <c r="IM102" s="12">
        <f>IM$4 * IF(AND(IL$4=1,IJ$20=1), IW102, IU102)</f>
        <v>0</v>
      </c>
      <c r="IN102" s="12">
        <f>IN$4 * IF(AND(IM$4=1,IJ$20=1), IW102, IU102)</f>
        <v>0</v>
      </c>
      <c r="IO102" s="12">
        <f>IO$4 * IF(AND(IN$4=1,IJ$20=1), IW102, IU102)</f>
        <v>0</v>
      </c>
      <c r="IP102" s="12">
        <f>IP$4 * IF(AND(IO$4=1,IJ$20=1), IW102, IU102)</f>
        <v>0</v>
      </c>
      <c r="IQ102" s="12">
        <f>IQ$4 * IF(AND(IP$4=1,IJ$20=1), IW102, IU102)</f>
        <v>0</v>
      </c>
      <c r="IR102" s="12">
        <f>IR$4 * IF(AND(IQ$4=1,IJ$20=1), IW102, IU102)</f>
        <v>0</v>
      </c>
      <c r="IT102" t="s">
        <v>1304</v>
      </c>
      <c r="IU102">
        <f>_xlfn.XLOOKUP(IT102,'KPI Impacts'!$B$2:$H$2,'KPI Impacts'!$B102:$H102)</f>
        <v>0</v>
      </c>
      <c r="IV102" s="9" t="s">
        <v>1304</v>
      </c>
      <c r="IW102">
        <f>_xlfn.XLOOKUP(IV102,'KPI Impacts'!$B$2:$H$2,'KPI Impacts'!$B102:$H102)</f>
        <v>0</v>
      </c>
      <c r="IZ102" s="12">
        <f>IZ$4*JK102</f>
        <v>0</v>
      </c>
      <c r="JA102" s="12">
        <f>JA$4 * IF(AND(IZ$4=1,IZ$20=1), JM102, JK102)</f>
        <v>0</v>
      </c>
      <c r="JB102" s="12">
        <f>JB$4 * IF(AND(JA$4=1,IZ$20=1), JM102, JK102)</f>
        <v>0</v>
      </c>
      <c r="JC102" s="12">
        <f>JC$4 * IF(AND(JB$4=1,IZ$20=1), JM102, JK102)</f>
        <v>0</v>
      </c>
      <c r="JD102" s="12">
        <f>JD$4 * IF(AND(JC$4=1,IZ$20=1), JM102, JK102)</f>
        <v>0</v>
      </c>
      <c r="JE102" s="12">
        <f>JE$4 * IF(AND(JD$4=1,IZ$20=1), JM102, JK102)</f>
        <v>0</v>
      </c>
      <c r="JF102" s="12">
        <f>JF$4 * IF(AND(JE$4=1,IZ$20=1), JM102, JK102)</f>
        <v>0</v>
      </c>
      <c r="JG102" s="12">
        <f>JG$4 * IF(AND(JF$4=1,IZ$20=1), JM102, JK102)</f>
        <v>0</v>
      </c>
      <c r="JH102" s="12">
        <f>JH$4 * IF(AND(JG$4=1,IZ$20=1), JM102, JK102)</f>
        <v>0</v>
      </c>
      <c r="JJ102" t="s">
        <v>1304</v>
      </c>
      <c r="JK102">
        <f>_xlfn.XLOOKUP(JJ102,'KPI Impacts'!$B$2:$H$2,'KPI Impacts'!$B102:$H102)</f>
        <v>0</v>
      </c>
      <c r="JL102" s="9" t="s">
        <v>1304</v>
      </c>
      <c r="JM102">
        <f>_xlfn.XLOOKUP(JL102,'KPI Impacts'!$B$2:$H$2,'KPI Impacts'!$B102:$H102)</f>
        <v>0</v>
      </c>
      <c r="JP102" s="12">
        <f>JP$4*KA102</f>
        <v>0</v>
      </c>
      <c r="JQ102" s="12">
        <f>JQ$4 * IF(AND(JP$4=1,JP$20=1), KC102, KA102)</f>
        <v>0</v>
      </c>
      <c r="JR102" s="12">
        <f>JR$4 * IF(AND(JQ$4=1,JP$20=1), KC102, KA102)</f>
        <v>0</v>
      </c>
      <c r="JS102" s="12">
        <f>JS$4 * IF(AND(JR$4=1,JP$20=1), KC102, KA102)</f>
        <v>0</v>
      </c>
      <c r="JT102" s="12">
        <f>JT$4 * IF(AND(JS$4=1,JP$20=1), KC102, KA102)</f>
        <v>0</v>
      </c>
      <c r="JU102" s="12">
        <f>JU$4 * IF(AND(JT$4=1,JP$20=1), KC102, KA102)</f>
        <v>0</v>
      </c>
      <c r="JV102" s="12">
        <f>JV$4 * IF(AND(JU$4=1,JP$20=1), KC102, KA102)</f>
        <v>0</v>
      </c>
      <c r="JW102" s="12">
        <f>JW$4 * IF(AND(JV$4=1,JP$20=1), KC102, KA102)</f>
        <v>0</v>
      </c>
      <c r="JX102" s="12">
        <f>JX$4 * IF(AND(JW$4=1,JP$20=1), KC102, KA102)</f>
        <v>0</v>
      </c>
      <c r="JZ102" t="s">
        <v>1304</v>
      </c>
      <c r="KA102">
        <f>_xlfn.XLOOKUP(JZ102,'KPI Impacts'!$B$2:$H$2,'KPI Impacts'!$B102:$H102)</f>
        <v>0</v>
      </c>
      <c r="KB102" s="9" t="s">
        <v>1304</v>
      </c>
      <c r="KC102">
        <f>_xlfn.XLOOKUP(KB102,'KPI Impacts'!$B$2:$H$2,'KPI Impacts'!$B102:$H102)</f>
        <v>0</v>
      </c>
      <c r="KF102" s="12">
        <f>KF$4*KQ102</f>
        <v>0</v>
      </c>
      <c r="KG102" s="12">
        <f>KG$4 * IF(AND(KF$4=1,KF$20=1), KS102, KQ102)</f>
        <v>0</v>
      </c>
      <c r="KH102" s="12">
        <f>KH$4 * IF(AND(KG$4=1,KF$20=1), KS102, KQ102)</f>
        <v>0</v>
      </c>
      <c r="KI102" s="12">
        <f>KI$4 * IF(AND(KH$4=1,KF$20=1), KS102, KQ102)</f>
        <v>0</v>
      </c>
      <c r="KJ102" s="12">
        <f>KJ$4 * IF(AND(KI$4=1,KF$20=1), KS102, KQ102)</f>
        <v>0</v>
      </c>
      <c r="KK102" s="12">
        <f>KK$4 * IF(AND(KJ$4=1,KF$20=1), KS102, KQ102)</f>
        <v>0</v>
      </c>
      <c r="KL102" s="12">
        <f>KL$4 * IF(AND(KK$4=1,KF$20=1), KS102, KQ102)</f>
        <v>0</v>
      </c>
      <c r="KM102" s="12">
        <f>KM$4 * IF(AND(KL$4=1,KF$20=1), KS102, KQ102)</f>
        <v>0</v>
      </c>
      <c r="KN102" s="12">
        <f>KN$4 * IF(AND(KM$4=1,KF$20=1), KS102, KQ102)</f>
        <v>0</v>
      </c>
      <c r="KP102" t="s">
        <v>1304</v>
      </c>
      <c r="KQ102">
        <f>_xlfn.XLOOKUP(KP102,'KPI Impacts'!$B$2:$H$2,'KPI Impacts'!$B102:$H102)</f>
        <v>0</v>
      </c>
      <c r="KR102" s="9" t="s">
        <v>1304</v>
      </c>
      <c r="KS102">
        <f>_xlfn.XLOOKUP(KR102,'KPI Impacts'!$B$2:$H$2,'KPI Impacts'!$B102:$H102)</f>
        <v>0</v>
      </c>
      <c r="KV102" s="12">
        <f>KV$4*LG102</f>
        <v>0</v>
      </c>
      <c r="KW102" s="12">
        <f>KW$4 * IF(AND(KV$4=1,KV$20=1), LI102, LG102)</f>
        <v>0</v>
      </c>
      <c r="KX102" s="12">
        <f>KX$4 * IF(AND(KW$4=1,KV$20=1), LI102, LG102)</f>
        <v>0</v>
      </c>
      <c r="KY102" s="12">
        <f>KY$4 * IF(AND(KX$4=1,KV$20=1), LI102, LG102)</f>
        <v>0</v>
      </c>
      <c r="KZ102" s="12">
        <f>KZ$4 * IF(AND(KY$4=1,KV$20=1), LI102, LG102)</f>
        <v>0</v>
      </c>
      <c r="LA102" s="12">
        <f>LA$4 * IF(AND(KZ$4=1,KV$20=1), LI102, LG102)</f>
        <v>0</v>
      </c>
      <c r="LB102" s="12">
        <f>LB$4 * IF(AND(LA$4=1,KV$20=1), LI102, LG102)</f>
        <v>0</v>
      </c>
      <c r="LC102" s="12">
        <f>LC$4 * IF(AND(LB$4=1,KV$20=1), LI102, LG102)</f>
        <v>0</v>
      </c>
      <c r="LD102" s="12">
        <f>LD$4 * IF(AND(LC$4=1,KV$20=1), LI102, LG102)</f>
        <v>0</v>
      </c>
      <c r="LF102" t="s">
        <v>1304</v>
      </c>
      <c r="LG102">
        <f>_xlfn.XLOOKUP(LF102,'KPI Impacts'!$B$2:$H$2,'KPI Impacts'!$B102:$H102)</f>
        <v>0</v>
      </c>
      <c r="LH102" s="9" t="s">
        <v>1304</v>
      </c>
      <c r="LI102">
        <f>_xlfn.XLOOKUP(LH102,'KPI Impacts'!$B$2:$H$2,'KPI Impacts'!$B102:$H102)</f>
        <v>0</v>
      </c>
      <c r="LL102" s="12">
        <f>LL$4*LW102</f>
        <v>0</v>
      </c>
      <c r="LM102" s="12">
        <f>LM$4 * IF(AND(LL$4=1,LL$20=1), LY102, LW102)</f>
        <v>0</v>
      </c>
      <c r="LN102" s="12">
        <f>LN$4 * IF(AND(LM$4=1,LL$20=1), LY102, LW102)</f>
        <v>0</v>
      </c>
      <c r="LO102" s="12">
        <f>LO$4 * IF(AND(LN$4=1,LL$20=1), LY102, LW102)</f>
        <v>0</v>
      </c>
      <c r="LP102" s="12">
        <f>LP$4 * IF(AND(LO$4=1,LL$20=1), LY102, LW102)</f>
        <v>0</v>
      </c>
      <c r="LQ102" s="12">
        <f>LQ$4 * IF(AND(LP$4=1,LL$20=1), LY102, LW102)</f>
        <v>0</v>
      </c>
      <c r="LR102" s="12">
        <f>LR$4 * IF(AND(LQ$4=1,LL$20=1), LY102, LW102)</f>
        <v>0</v>
      </c>
      <c r="LS102" s="12">
        <f>LS$4 * IF(AND(LR$4=1,LL$20=1), LY102, LW102)</f>
        <v>0</v>
      </c>
      <c r="LT102" s="12">
        <f>LT$4 * IF(AND(LS$4=1,LL$20=1), LY102, LW102)</f>
        <v>0</v>
      </c>
      <c r="LV102" t="s">
        <v>1304</v>
      </c>
      <c r="LW102">
        <f>_xlfn.XLOOKUP(LV102,'KPI Impacts'!$B$2:$H$2,'KPI Impacts'!$B102:$H102)</f>
        <v>0</v>
      </c>
      <c r="LX102" s="9" t="s">
        <v>1304</v>
      </c>
      <c r="LY102">
        <f>_xlfn.XLOOKUP(LX102,'KPI Impacts'!$B$2:$H$2,'KPI Impacts'!$B102:$H102)</f>
        <v>0</v>
      </c>
      <c r="MB102" s="12">
        <f>MB$4*MM102</f>
        <v>0</v>
      </c>
      <c r="MC102" s="12">
        <f>MC$4 * IF(AND(MB$4=1,MB$20=1), MO102, MM102)</f>
        <v>0</v>
      </c>
      <c r="MD102" s="12">
        <f>MD$4 * IF(AND(MC$4=1,MB$20=1), MO102, MM102)</f>
        <v>0</v>
      </c>
      <c r="ME102" s="12">
        <f>ME$4 * IF(AND(MD$4=1,MB$20=1), MO102, MM102)</f>
        <v>0</v>
      </c>
      <c r="MF102" s="12">
        <f>MF$4 * IF(AND(ME$4=1,MB$20=1), MO102, MM102)</f>
        <v>0</v>
      </c>
      <c r="MG102" s="12">
        <f>MG$4 * IF(AND(MF$4=1,MB$20=1), MO102, MM102)</f>
        <v>0</v>
      </c>
      <c r="MH102" s="12">
        <f>MH$4 * IF(AND(MG$4=1,MB$20=1), MO102, MM102)</f>
        <v>0</v>
      </c>
      <c r="MI102" s="12">
        <f>MI$4 * IF(AND(MH$4=1,MB$20=1), MO102, MM102)</f>
        <v>0</v>
      </c>
      <c r="MJ102" s="12">
        <f>MJ$4 * IF(AND(MI$4=1,MB$20=1), MO102, MM102)</f>
        <v>0</v>
      </c>
      <c r="ML102" t="s">
        <v>1304</v>
      </c>
      <c r="MM102">
        <f>_xlfn.XLOOKUP(ML102,'KPI Impacts'!$B$2:$H$2,'KPI Impacts'!$B102:$H102)</f>
        <v>0</v>
      </c>
      <c r="MN102" s="9" t="s">
        <v>1304</v>
      </c>
      <c r="MO102">
        <f>_xlfn.XLOOKUP(MN102,'KPI Impacts'!$B$2:$H$2,'KPI Impacts'!$B102:$H102)</f>
        <v>0</v>
      </c>
      <c r="MR102" s="12">
        <f>MR$4*NC102</f>
        <v>0</v>
      </c>
      <c r="MS102" s="12">
        <f>MS$4 * IF(AND(MR$4=1,MR$20=1), NE102, NC102)</f>
        <v>0</v>
      </c>
      <c r="MT102" s="12">
        <f>MT$4 * IF(AND(MS$4=1,MR$20=1), NE102, NC102)</f>
        <v>0</v>
      </c>
      <c r="MU102" s="12">
        <f>MU$4 * IF(AND(MT$4=1,MR$20=1), NE102, NC102)</f>
        <v>0</v>
      </c>
      <c r="MV102" s="12">
        <f>MV$4 * IF(AND(MU$4=1,MR$20=1), NE102, NC102)</f>
        <v>0</v>
      </c>
      <c r="MW102" s="12">
        <f>MW$4 * IF(AND(MV$4=1,MR$20=1), NE102, NC102)</f>
        <v>0</v>
      </c>
      <c r="MX102" s="12">
        <f>MX$4 * IF(AND(MW$4=1,MR$20=1), NE102, NC102)</f>
        <v>0</v>
      </c>
      <c r="MY102" s="12">
        <f>MY$4 * IF(AND(MX$4=1,MR$20=1), NE102, NC102)</f>
        <v>0</v>
      </c>
      <c r="MZ102" s="12">
        <f>MZ$4 * IF(AND(MY$4=1,MR$20=1), NE102, NC102)</f>
        <v>0</v>
      </c>
      <c r="NB102" t="s">
        <v>1304</v>
      </c>
      <c r="NC102">
        <f>_xlfn.XLOOKUP(NB102,'KPI Impacts'!$B$2:$H$2,'KPI Impacts'!$B102:$H102)</f>
        <v>0</v>
      </c>
      <c r="ND102" s="9" t="s">
        <v>1304</v>
      </c>
      <c r="NE102">
        <f>_xlfn.XLOOKUP(ND102,'KPI Impacts'!$B$2:$H$2,'KPI Impacts'!$B102:$H102)</f>
        <v>0</v>
      </c>
      <c r="NH102" s="12">
        <f>NH$4*NS102</f>
        <v>0</v>
      </c>
      <c r="NI102" s="12">
        <f>NI$4 * IF(AND(NH$4=1,NH$20=1), NU102, NS102)</f>
        <v>0</v>
      </c>
      <c r="NJ102" s="12">
        <f>NJ$4 * IF(AND(NI$4=1,NH$20=1), NU102, NS102)</f>
        <v>0</v>
      </c>
      <c r="NK102" s="12">
        <f>NK$4 * IF(AND(NJ$4=1,NH$20=1), NU102, NS102)</f>
        <v>0</v>
      </c>
      <c r="NL102" s="12">
        <f>NL$4 * IF(AND(NK$4=1,NH$20=1), NU102, NS102)</f>
        <v>0</v>
      </c>
      <c r="NM102" s="12">
        <f>NM$4 * IF(AND(NL$4=1,NH$20=1), NU102, NS102)</f>
        <v>0</v>
      </c>
      <c r="NN102" s="12">
        <f>NN$4 * IF(AND(NM$4=1,NH$20=1), NU102, NS102)</f>
        <v>0</v>
      </c>
      <c r="NO102" s="12">
        <f>NO$4 * IF(AND(NN$4=1,NH$20=1), NU102, NS102)</f>
        <v>0</v>
      </c>
      <c r="NP102" s="12">
        <f>NP$4 * IF(AND(NO$4=1,NH$20=1), NU102, NS102)</f>
        <v>0</v>
      </c>
      <c r="NR102" t="s">
        <v>1304</v>
      </c>
      <c r="NS102">
        <f>_xlfn.XLOOKUP(NR102,'KPI Impacts'!$B$2:$H$2,'KPI Impacts'!$B102:$H102)</f>
        <v>0</v>
      </c>
      <c r="NT102" s="9" t="s">
        <v>1304</v>
      </c>
      <c r="NU102">
        <f>_xlfn.XLOOKUP(NT102,'KPI Impacts'!$B$2:$H$2,'KPI Impacts'!$B102:$H102)</f>
        <v>0</v>
      </c>
      <c r="NX102" s="12">
        <f>NX$4*OI102</f>
        <v>0</v>
      </c>
      <c r="NY102" s="12">
        <f>NY$4 * IF(AND(NX$4=1,NX$20=1), OK102, OI102)</f>
        <v>0</v>
      </c>
      <c r="NZ102" s="12">
        <f>NZ$4 * IF(AND(NY$4=1,NX$20=1), OK102, OI102)</f>
        <v>0</v>
      </c>
      <c r="OA102" s="12">
        <f>OA$4 * IF(AND(NZ$4=1,NX$20=1), OK102, OI102)</f>
        <v>0</v>
      </c>
      <c r="OB102" s="12">
        <f>OB$4 * IF(AND(OA$4=1,NX$20=1), OK102, OI102)</f>
        <v>0</v>
      </c>
      <c r="OC102" s="12">
        <f>OC$4 * IF(AND(OB$4=1,NX$20=1), OK102, OI102)</f>
        <v>0</v>
      </c>
      <c r="OD102" s="12">
        <f>OD$4 * IF(AND(OC$4=1,NX$20=1), OK102, OI102)</f>
        <v>0</v>
      </c>
      <c r="OE102" s="12">
        <f>OE$4 * IF(AND(OD$4=1,NX$20=1), OK102, OI102)</f>
        <v>0</v>
      </c>
      <c r="OF102" s="12">
        <f>OF$4 * IF(AND(OE$4=1,NX$20=1), OK102, OI102)</f>
        <v>0</v>
      </c>
      <c r="OH102" t="s">
        <v>1304</v>
      </c>
      <c r="OI102">
        <f>_xlfn.XLOOKUP(OH102,'KPI Impacts'!$B$2:$H$2,'KPI Impacts'!$B102:$H102)</f>
        <v>0</v>
      </c>
      <c r="OJ102" s="9" t="s">
        <v>1304</v>
      </c>
      <c r="OK102">
        <f>_xlfn.XLOOKUP(OJ102,'KPI Impacts'!$B$2:$H$2,'KPI Impacts'!$B102:$H102)</f>
        <v>0</v>
      </c>
    </row>
    <row r="103" spans="1:499" x14ac:dyDescent="0.2">
      <c r="A103" t="s">
        <v>58</v>
      </c>
      <c r="B103" s="12">
        <f t="shared" si="521"/>
        <v>0</v>
      </c>
      <c r="C103" s="12">
        <f t="shared" si="521"/>
        <v>0</v>
      </c>
      <c r="D103" s="12">
        <f t="shared" si="521"/>
        <v>0</v>
      </c>
      <c r="E103" s="12">
        <f t="shared" si="521"/>
        <v>0</v>
      </c>
      <c r="F103" s="12">
        <f t="shared" si="521"/>
        <v>0</v>
      </c>
      <c r="G103" s="12">
        <f t="shared" si="521"/>
        <v>0</v>
      </c>
      <c r="H103" s="12">
        <f t="shared" si="521"/>
        <v>0</v>
      </c>
      <c r="I103" s="12">
        <f t="shared" si="521"/>
        <v>0</v>
      </c>
      <c r="J103" s="12">
        <f t="shared" si="521"/>
        <v>0</v>
      </c>
      <c r="P103" s="12" cm="1">
        <f t="array" ref="P103">_xlfn.SWITCH(P$4, 0,0, 1, AA103,2,AC103,3,AE103,0)</f>
        <v>0</v>
      </c>
      <c r="Q103" s="12" cm="1">
        <f t="array" ref="Q103">_xlfn.SWITCH(Q$4, 0,0, 1, AA103,2,AC103,3,AE103,0)+P103</f>
        <v>0</v>
      </c>
      <c r="R103" s="12" cm="1">
        <f t="array" ref="R103">_xlfn.SWITCH(R$4, 0,0, 1, AA103,2,AC103,3,AE103,0)+Q103</f>
        <v>0</v>
      </c>
      <c r="S103" s="12" cm="1">
        <f t="array" ref="S103">_xlfn.SWITCH(S$4, 0,0, 1, AA103,2,AC103,3,AE103,0)+R103</f>
        <v>0</v>
      </c>
      <c r="T103" s="12" cm="1">
        <f t="array" ref="T103">_xlfn.SWITCH(T$4, 0,0, 1, AA103,2,AC103,3,AE103,0)+S103</f>
        <v>0</v>
      </c>
      <c r="U103" s="12" cm="1">
        <f t="array" ref="U103">_xlfn.SWITCH(U$4, 0,0, 1, AA103,2,AC103,3,AE103,0)+T103</f>
        <v>0</v>
      </c>
      <c r="V103" s="12" cm="1">
        <f t="array" ref="V103">_xlfn.SWITCH(V$4, 0,0, 1, AA103,2,AC103,3,AE103,0)+U103</f>
        <v>0</v>
      </c>
      <c r="W103" s="12" cm="1">
        <f t="array" ref="W103">_xlfn.SWITCH(W$4, 0,0, 1, AA103,2,AC103,3,AE103,0)+V103</f>
        <v>0</v>
      </c>
      <c r="X103" s="12" cm="1">
        <f t="array" ref="X103">_xlfn.SWITCH(X$4, 0,0, 1, AA103,2,AC103,3,AE103,0)+W103</f>
        <v>0</v>
      </c>
      <c r="Z103" t="s">
        <v>1304</v>
      </c>
      <c r="AA103">
        <f>_xlfn.XLOOKUP(Z103,'KPI Impacts'!$K$2:$Q$2,'KPI Impacts'!$K103:$Q103)</f>
        <v>0</v>
      </c>
      <c r="AB103" t="s">
        <v>1304</v>
      </c>
      <c r="AC103">
        <f>_xlfn.XLOOKUP(AB103,'KPI Impacts'!$K$2:$Q$2,'KPI Impacts'!$K103:$Q103)</f>
        <v>0</v>
      </c>
      <c r="AD103" t="s">
        <v>1304</v>
      </c>
      <c r="AE103">
        <f>_xlfn.XLOOKUP(AD103,'KPI Impacts'!$K$2:$Q$2,'KPI Impacts'!$K103:$Q103)</f>
        <v>0</v>
      </c>
      <c r="AH103" s="12" cm="1">
        <f t="array" ref="AH103">_xlfn.SWITCH(AH$4, 0,0, 1, AS103,2,AU103,3,AW103,0)</f>
        <v>0</v>
      </c>
      <c r="AI103" s="12" cm="1">
        <f t="array" ref="AI103">_xlfn.SWITCH(AI$4, 0,0, 1, AS103,2,AU103,3,AW103,0)+AH103</f>
        <v>0</v>
      </c>
      <c r="AJ103" s="12" cm="1">
        <f t="array" ref="AJ103">_xlfn.SWITCH(AJ$4, 0,0, 1, AS103,2,AU103,3,AW103,0)+AI103</f>
        <v>0</v>
      </c>
      <c r="AK103" s="12" cm="1">
        <f t="array" ref="AK103">_xlfn.SWITCH(AK$4, 0,0, 1, AS103,2,AU103,3,AW103,0)+AJ103</f>
        <v>0</v>
      </c>
      <c r="AL103" s="12" cm="1">
        <f t="array" ref="AL103">_xlfn.SWITCH(AL$4, 0,0, 1, AS103,2,AU103,3,AW103,0)+AK103</f>
        <v>0</v>
      </c>
      <c r="AM103" s="12" cm="1">
        <f t="array" ref="AM103">_xlfn.SWITCH(AM$4, 0,0, 1, AS103,2,AU103,3,AW103,0)+AL103</f>
        <v>0</v>
      </c>
      <c r="AN103" s="12" cm="1">
        <f t="array" ref="AN103">_xlfn.SWITCH(AN$4, 0,0, 1, AS103,2,AU103,3,AW103,0)+AM103</f>
        <v>0</v>
      </c>
      <c r="AO103" s="12" cm="1">
        <f t="array" ref="AO103">_xlfn.SWITCH(AO$4, 0,0, 1, AS103,2,AU103,3,AW103,0)+AN103</f>
        <v>0</v>
      </c>
      <c r="AP103" s="12" cm="1">
        <f t="array" ref="AP103">_xlfn.SWITCH(AP$4, 0,0, 1, AS103,2,AU103,3,AW103,0)+AO103</f>
        <v>0</v>
      </c>
      <c r="AR103" t="s">
        <v>1304</v>
      </c>
      <c r="AS103">
        <f>_xlfn.XLOOKUP(AR103,'KPI Impacts'!$K$2:$Q$2,'KPI Impacts'!$K103:$Q103)</f>
        <v>0</v>
      </c>
      <c r="AT103" t="s">
        <v>1304</v>
      </c>
      <c r="AU103">
        <f>_xlfn.XLOOKUP(AT103,'KPI Impacts'!$K$2:$Q$2,'KPI Impacts'!$K103:$Q103)</f>
        <v>0</v>
      </c>
      <c r="AV103" t="s">
        <v>1304</v>
      </c>
      <c r="AW103">
        <f>_xlfn.XLOOKUP(AV103,'KPI Impacts'!$K$2:$Q$2,'KPI Impacts'!$K103:$Q103)</f>
        <v>0</v>
      </c>
      <c r="AZ103" s="12">
        <f>AZ$4*BK103</f>
        <v>0</v>
      </c>
      <c r="BA103" s="12">
        <f>BA$4 * IF(AND(AZ$4=1,AZ$20=1), BM103, BK103)</f>
        <v>0</v>
      </c>
      <c r="BB103" s="12">
        <f>BB$4 * IF(AND(BA$4=1,AZ$20=1), BM103, BK103)</f>
        <v>0</v>
      </c>
      <c r="BC103" s="12">
        <f>BC$4 * IF(AND(BB$4=1,AZ$20=1), BM103, BK103)</f>
        <v>0</v>
      </c>
      <c r="BD103" s="12">
        <f>BD$4 * IF(AND(BC$4=1,AZ$20=1), BM103, BK103)</f>
        <v>0</v>
      </c>
      <c r="BE103" s="12">
        <f>BE$4 * IF(AND(BD$4=1,AZ$20=1), BM103, BK103)</f>
        <v>0</v>
      </c>
      <c r="BF103" s="12">
        <f>BF$4 * IF(AND(BE$4=1,AZ$20=1), BM103, BK103)</f>
        <v>0</v>
      </c>
      <c r="BG103" s="12">
        <f>BG$4 * IF(AND(BF$4=1,AZ$20=1), BM103, BK103)</f>
        <v>0</v>
      </c>
      <c r="BH103" s="12">
        <f>BH$4 * IF(AND(BG$4=1,AZ$20=1), BM103, BK103)</f>
        <v>0</v>
      </c>
      <c r="BJ103" t="s">
        <v>1304</v>
      </c>
      <c r="BK103">
        <f>_xlfn.XLOOKUP(BJ103,'KPI Impacts'!$B$2:$H$2,'KPI Impacts'!$B103:$H103)</f>
        <v>0</v>
      </c>
      <c r="BL103" s="9" t="s">
        <v>1304</v>
      </c>
      <c r="BM103">
        <f>_xlfn.XLOOKUP(BL103,'KPI Impacts'!$B$2:$H$2,'KPI Impacts'!$B103:$H103)</f>
        <v>0</v>
      </c>
      <c r="BP103" s="12">
        <f>BP$4*CA103</f>
        <v>0</v>
      </c>
      <c r="BQ103" s="12">
        <f>BQ$4 * IF(AND(BP$4=1,BP$20=1), CC103, CA103)</f>
        <v>0</v>
      </c>
      <c r="BR103" s="12">
        <f>BR$4 * IF(AND(BQ$4=1,BP$20=1), CC103, CA103)</f>
        <v>0</v>
      </c>
      <c r="BS103" s="12">
        <f>BS$4 * IF(AND(BR$4=1,BP$20=1), CC103, CA103)</f>
        <v>0</v>
      </c>
      <c r="BT103" s="12">
        <f>BT$4 * IF(AND(BS$4=1,BP$20=1), CC103, CA103)</f>
        <v>0</v>
      </c>
      <c r="BU103" s="12">
        <f>BU$4 * IF(AND(BT$4=1,BP$20=1), CC103, CA103)</f>
        <v>0</v>
      </c>
      <c r="BV103" s="12">
        <f>BV$4 * IF(AND(BU$4=1,BP$20=1), CC103, CA103)</f>
        <v>0</v>
      </c>
      <c r="BW103" s="12">
        <f>BW$4 * IF(AND(BV$4=1,BP$20=1), CC103, CA103)</f>
        <v>0</v>
      </c>
      <c r="BX103" s="12">
        <f>BX$4 * IF(AND(BW$4=1,BP$20=1), CC103, CA103)</f>
        <v>0</v>
      </c>
      <c r="BZ103" t="s">
        <v>1304</v>
      </c>
      <c r="CA103">
        <f>_xlfn.XLOOKUP(BZ103,'KPI Impacts'!$B$2:$H$2,'KPI Impacts'!$B103:$H103)</f>
        <v>0</v>
      </c>
      <c r="CB103" s="9" t="s">
        <v>1304</v>
      </c>
      <c r="CC103">
        <f>_xlfn.XLOOKUP(CB103,'KPI Impacts'!$B$2:$H$2,'KPI Impacts'!$B103:$H103)</f>
        <v>0</v>
      </c>
      <c r="CF103" s="12">
        <f>CF$4*CQ103</f>
        <v>0</v>
      </c>
      <c r="CG103" s="12">
        <f>CG$4 * IF(AND(CF$4=1,CF$20=1), CS103, CQ103)</f>
        <v>0</v>
      </c>
      <c r="CH103" s="12">
        <f>CH$4 * IF(AND(CG$4=1,CF$20=1), CS103, CQ103)</f>
        <v>0</v>
      </c>
      <c r="CI103" s="12">
        <f>CI$4 * IF(AND(CH$4=1,CF$20=1), CS103, CQ103)</f>
        <v>0</v>
      </c>
      <c r="CJ103" s="12">
        <f>CJ$4 * IF(AND(CI$4=1,CF$20=1), CS103, CQ103)</f>
        <v>0</v>
      </c>
      <c r="CK103" s="12">
        <f>CK$4 * IF(AND(CJ$4=1,CF$20=1), CS103, CQ103)</f>
        <v>0</v>
      </c>
      <c r="CL103" s="12">
        <f>CL$4 * IF(AND(CK$4=1,CF$20=1), CS103, CQ103)</f>
        <v>0</v>
      </c>
      <c r="CM103" s="12">
        <f>CM$4 * IF(AND(CL$4=1,CF$20=1), CS103, CQ103)</f>
        <v>0</v>
      </c>
      <c r="CN103" s="12">
        <f>CN$4 * IF(AND(CM$4=1,CF$20=1), CS103, CQ103)</f>
        <v>0</v>
      </c>
      <c r="CP103" t="s">
        <v>1304</v>
      </c>
      <c r="CQ103">
        <f>_xlfn.XLOOKUP(CP103,'KPI Impacts'!$B$2:$H$2,'KPI Impacts'!$B103:$H103)</f>
        <v>0</v>
      </c>
      <c r="CR103" s="9" t="s">
        <v>1304</v>
      </c>
      <c r="CS103">
        <f>_xlfn.XLOOKUP(CR103,'KPI Impacts'!$B$2:$H$2,'KPI Impacts'!$B103:$H103)</f>
        <v>0</v>
      </c>
      <c r="CV103" s="12">
        <f>CV$4*DG103</f>
        <v>0</v>
      </c>
      <c r="CW103" s="12">
        <f>CW$4 * IF(AND(CV$4=1,CV$20=1), DI103, DG103)</f>
        <v>0</v>
      </c>
      <c r="CX103" s="12">
        <f>CX$4 * IF(AND(CW$4=1,CV$20=1), DI103, DG103)</f>
        <v>0</v>
      </c>
      <c r="CY103" s="12">
        <f>CY$4 * IF(AND(CX$4=1,CV$20=1), DI103, DG103)</f>
        <v>0</v>
      </c>
      <c r="CZ103" s="12">
        <f>CZ$4 * IF(AND(CY$4=1,CV$20=1), DI103, DG103)</f>
        <v>0</v>
      </c>
      <c r="DA103" s="12">
        <f>DA$4 * IF(AND(CZ$4=1,CV$20=1), DI103, DG103)</f>
        <v>0</v>
      </c>
      <c r="DB103" s="12">
        <f>DB$4 * IF(AND(DA$4=1,CV$20=1), DI103, DG103)</f>
        <v>0</v>
      </c>
      <c r="DC103" s="12">
        <f>DC$4 * IF(AND(DB$4=1,CV$20=1), DI103, DG103)</f>
        <v>0</v>
      </c>
      <c r="DD103" s="12">
        <f>DD$4 * IF(AND(DC$4=1,CV$20=1), DI103, DG103)</f>
        <v>0</v>
      </c>
      <c r="DF103" t="s">
        <v>1304</v>
      </c>
      <c r="DG103">
        <f>_xlfn.XLOOKUP(DF103,'KPI Impacts'!$B$2:$H$2,'KPI Impacts'!$B103:$H103)</f>
        <v>0</v>
      </c>
      <c r="DH103" s="9" t="s">
        <v>1304</v>
      </c>
      <c r="DI103">
        <f>_xlfn.XLOOKUP(DH103,'KPI Impacts'!$B$2:$H$2,'KPI Impacts'!$B103:$H103)</f>
        <v>0</v>
      </c>
      <c r="DL103" s="12">
        <f>DL$4*DW103</f>
        <v>0</v>
      </c>
      <c r="DM103" s="12">
        <f>DM$4 * IF(AND(DL$4=1,DL$20=1), DY103, DW103)</f>
        <v>0</v>
      </c>
      <c r="DN103" s="12">
        <f>DN$4 * IF(AND(DM$4=1,DL$20=1), DY103, DW103)</f>
        <v>0</v>
      </c>
      <c r="DO103" s="12">
        <f>DO$4 * IF(AND(DN$4=1,DL$20=1), DY103, DW103)</f>
        <v>0</v>
      </c>
      <c r="DP103" s="12">
        <f>DP$4 * IF(AND(DO$4=1,DL$20=1), DY103, DW103)</f>
        <v>0</v>
      </c>
      <c r="DQ103" s="12">
        <f>DQ$4 * IF(AND(DP$4=1,DL$20=1), DY103, DW103)</f>
        <v>0</v>
      </c>
      <c r="DR103" s="12">
        <f>DR$4 * IF(AND(DQ$4=1,DL$20=1), DY103, DW103)</f>
        <v>0</v>
      </c>
      <c r="DS103" s="12">
        <f>DS$4 * IF(AND(DR$4=1,DL$20=1), DY103, DW103)</f>
        <v>0</v>
      </c>
      <c r="DT103" s="12">
        <f>DT$4 * IF(AND(DS$4=1,DL$20=1), DY103, DW103)</f>
        <v>0</v>
      </c>
      <c r="DV103" t="s">
        <v>1304</v>
      </c>
      <c r="DW103">
        <f>_xlfn.XLOOKUP(DV103,'KPI Impacts'!$B$2:$H$2,'KPI Impacts'!$B103:$H103)</f>
        <v>0</v>
      </c>
      <c r="DX103" s="9" t="s">
        <v>1304</v>
      </c>
      <c r="DY103">
        <f>_xlfn.XLOOKUP(DX103,'KPI Impacts'!$B$2:$H$2,'KPI Impacts'!$B103:$H103)</f>
        <v>0</v>
      </c>
      <c r="EB103" s="12">
        <f>EB$4*EM103</f>
        <v>0</v>
      </c>
      <c r="EC103" s="12">
        <f>EC$4 * IF(AND(EB$4=1,EB$20=1), EO103, EM103)</f>
        <v>0</v>
      </c>
      <c r="ED103" s="12">
        <f>ED$4 * IF(AND(EC$4=1,EB$20=1), EO103, EM103)</f>
        <v>0</v>
      </c>
      <c r="EE103" s="12">
        <f>EE$4 * IF(AND(ED$4=1,EB$20=1), EO103, EM103)</f>
        <v>0</v>
      </c>
      <c r="EF103" s="12">
        <f>EF$4 * IF(AND(EE$4=1,EB$20=1), EO103, EM103)</f>
        <v>0</v>
      </c>
      <c r="EG103" s="12">
        <f>EG$4 * IF(AND(EF$4=1,EB$20=1), EO103, EM103)</f>
        <v>0</v>
      </c>
      <c r="EH103" s="12">
        <f>EH$4 * IF(AND(EG$4=1,EB$20=1), EO103, EM103)</f>
        <v>0</v>
      </c>
      <c r="EI103" s="12">
        <f>EI$4 * IF(AND(EH$4=1,EB$20=1), EO103, EM103)</f>
        <v>0</v>
      </c>
      <c r="EJ103" s="12">
        <f>EJ$4 * IF(AND(EI$4=1,EB$20=1), EO103, EM103)</f>
        <v>0</v>
      </c>
      <c r="EL103" t="s">
        <v>1304</v>
      </c>
      <c r="EM103">
        <f>_xlfn.XLOOKUP(EL103,'KPI Impacts'!$B$2:$H$2,'KPI Impacts'!$B103:$H103)</f>
        <v>0</v>
      </c>
      <c r="EN103" s="9" t="s">
        <v>1304</v>
      </c>
      <c r="EO103">
        <f>_xlfn.XLOOKUP(EN103,'KPI Impacts'!$B$2:$H$2,'KPI Impacts'!$B103:$H103)</f>
        <v>0</v>
      </c>
      <c r="ER103" s="12">
        <f>ER$4*FC103</f>
        <v>0</v>
      </c>
      <c r="ES103" s="12">
        <f>ES$4 * IF(AND(ER$4=1,ER$20=1), FE103, FC103)</f>
        <v>0</v>
      </c>
      <c r="ET103" s="12">
        <f>ET$4 * IF(AND(ES$4=1,ER$20=1), FE103, FC103)</f>
        <v>0</v>
      </c>
      <c r="EU103" s="12">
        <f>EU$4 * IF(AND(ET$4=1,ER$20=1), FE103, FC103)</f>
        <v>0</v>
      </c>
      <c r="EV103" s="12">
        <f>EV$4 * IF(AND(EU$4=1,ER$20=1), FE103, FC103)</f>
        <v>0</v>
      </c>
      <c r="EW103" s="12">
        <f>EW$4 * IF(AND(EV$4=1,ER$20=1), FE103, FC103)</f>
        <v>0</v>
      </c>
      <c r="EX103" s="12">
        <f>EX$4 * IF(AND(EW$4=1,ER$20=1), FE103, FC103)</f>
        <v>0</v>
      </c>
      <c r="EY103" s="12">
        <f>EY$4 * IF(AND(EX$4=1,ER$20=1), FE103, FC103)</f>
        <v>0</v>
      </c>
      <c r="EZ103" s="12">
        <f>EZ$4 * IF(AND(EY$4=1,ER$20=1), FE103, FC103)</f>
        <v>0</v>
      </c>
      <c r="FB103" t="s">
        <v>1304</v>
      </c>
      <c r="FC103">
        <f>_xlfn.XLOOKUP(FB103,'KPI Impacts'!$B$2:$H$2,'KPI Impacts'!$B103:$H103)</f>
        <v>0</v>
      </c>
      <c r="FD103" s="9" t="s">
        <v>1304</v>
      </c>
      <c r="FE103">
        <f>_xlfn.XLOOKUP(FD103,'KPI Impacts'!$B$2:$H$2,'KPI Impacts'!$B103:$H103)</f>
        <v>0</v>
      </c>
      <c r="FH103" s="12">
        <f>FH$4*FS103</f>
        <v>0</v>
      </c>
      <c r="FI103" s="12">
        <f>FI$4 * IF(AND(FH$4=1,FH$20=1), FU103, FS103)</f>
        <v>0</v>
      </c>
      <c r="FJ103" s="12">
        <f>FJ$4 * IF(AND(FI$4=1,FH$20=1), FU103, FS103)</f>
        <v>0</v>
      </c>
      <c r="FK103" s="12">
        <f>FK$4 * IF(AND(FJ$4=1,FH$20=1), FU103, FS103)</f>
        <v>0</v>
      </c>
      <c r="FL103" s="12">
        <f>FL$4 * IF(AND(FK$4=1,FH$20=1), FU103, FS103)</f>
        <v>0</v>
      </c>
      <c r="FM103" s="12">
        <f>FM$4 * IF(AND(FL$4=1,FH$20=1), FU103, FS103)</f>
        <v>0</v>
      </c>
      <c r="FN103" s="12">
        <f>FN$4 * IF(AND(FM$4=1,FH$20=1), FU103, FS103)</f>
        <v>0</v>
      </c>
      <c r="FO103" s="12">
        <f>FO$4 * IF(AND(FN$4=1,FH$20=1), FU103, FS103)</f>
        <v>0</v>
      </c>
      <c r="FP103" s="12">
        <f>FP$4 * IF(AND(FO$4=1,FH$20=1), FU103, FS103)</f>
        <v>0</v>
      </c>
      <c r="FR103" t="s">
        <v>1304</v>
      </c>
      <c r="FS103">
        <f>_xlfn.XLOOKUP(FR103,'KPI Impacts'!$B$2:$H$2,'KPI Impacts'!$B103:$H103)</f>
        <v>0</v>
      </c>
      <c r="FT103" s="9" t="s">
        <v>1304</v>
      </c>
      <c r="FU103">
        <f>_xlfn.XLOOKUP(FT103,'KPI Impacts'!$B$2:$H$2,'KPI Impacts'!$B103:$H103)</f>
        <v>0</v>
      </c>
      <c r="FX103" s="12">
        <f>FX$4*GI103</f>
        <v>0</v>
      </c>
      <c r="FY103" s="12">
        <f>FY$4 * IF(AND(FX$4=1,FX$20=1), GK103, GI103)</f>
        <v>0</v>
      </c>
      <c r="FZ103" s="12">
        <f>FZ$4 * IF(AND(FY$4=1,FX$20=1), GK103, GI103)</f>
        <v>0</v>
      </c>
      <c r="GA103" s="12">
        <f>GA$4 * IF(AND(FZ$4=1,FX$20=1), GK103, GI103)</f>
        <v>0</v>
      </c>
      <c r="GB103" s="12">
        <f>GB$4 * IF(AND(GA$4=1,FX$20=1), GK103, GI103)</f>
        <v>0</v>
      </c>
      <c r="GC103" s="12">
        <f>GC$4 * IF(AND(GB$4=1,FX$20=1), GK103, GI103)</f>
        <v>0</v>
      </c>
      <c r="GD103" s="12">
        <f>GD$4 * IF(AND(GC$4=1,FX$20=1), GK103, GI103)</f>
        <v>0</v>
      </c>
      <c r="GE103" s="12">
        <f>GE$4 * IF(AND(GD$4=1,FX$20=1), GK103, GI103)</f>
        <v>0</v>
      </c>
      <c r="GF103" s="12">
        <f>GF$4 * IF(AND(GE$4=1,FX$20=1), GK103, GI103)</f>
        <v>0</v>
      </c>
      <c r="GH103" t="s">
        <v>1304</v>
      </c>
      <c r="GI103">
        <f>_xlfn.XLOOKUP(GH103,'KPI Impacts'!$B$2:$H$2,'KPI Impacts'!$B103:$H103)</f>
        <v>0</v>
      </c>
      <c r="GJ103" s="9" t="s">
        <v>1304</v>
      </c>
      <c r="GK103">
        <f>_xlfn.XLOOKUP(GJ103,'KPI Impacts'!$B$2:$H$2,'KPI Impacts'!$B103:$H103)</f>
        <v>0</v>
      </c>
      <c r="GN103" s="12">
        <f>GN$4*GY103</f>
        <v>0</v>
      </c>
      <c r="GO103" s="12">
        <f>GO$4 * IF(AND(GN$4=1,GN$20=1), HA103, GY103)</f>
        <v>0</v>
      </c>
      <c r="GP103" s="12">
        <f>GP$4 * IF(AND(GO$4=1,GN$20=1), HA103, GY103)</f>
        <v>0</v>
      </c>
      <c r="GQ103" s="12">
        <f>GQ$4 * IF(AND(GP$4=1,GN$20=1), HA103, GY103)</f>
        <v>0</v>
      </c>
      <c r="GR103" s="12">
        <f>GR$4 * IF(AND(GQ$4=1,GN$20=1), HA103, GY103)</f>
        <v>0</v>
      </c>
      <c r="GS103" s="12">
        <f>GS$4 * IF(AND(GR$4=1,GN$20=1), HA103, GY103)</f>
        <v>0</v>
      </c>
      <c r="GT103" s="12">
        <f>GT$4 * IF(AND(GS$4=1,GN$20=1), HA103, GY103)</f>
        <v>0</v>
      </c>
      <c r="GU103" s="12">
        <f>GU$4 * IF(AND(GT$4=1,GN$20=1), HA103, GY103)</f>
        <v>0</v>
      </c>
      <c r="GV103" s="12">
        <f>GV$4 * IF(AND(GU$4=1,GN$20=1), HA103, GY103)</f>
        <v>0</v>
      </c>
      <c r="GX103" t="s">
        <v>1304</v>
      </c>
      <c r="GY103">
        <f>_xlfn.XLOOKUP(GX103,'KPI Impacts'!$B$2:$H$2,'KPI Impacts'!$B103:$H103)</f>
        <v>0</v>
      </c>
      <c r="GZ103" s="9" t="s">
        <v>1304</v>
      </c>
      <c r="HA103">
        <f>_xlfn.XLOOKUP(GZ103,'KPI Impacts'!$B$2:$H$2,'KPI Impacts'!$B103:$H103)</f>
        <v>0</v>
      </c>
      <c r="HD103" s="12">
        <f>HD$4*HO103</f>
        <v>0</v>
      </c>
      <c r="HE103" s="12">
        <f>HE$4 * IF(AND(HD$4=1,HD$20=1), HQ103, HO103)</f>
        <v>0</v>
      </c>
      <c r="HF103" s="12">
        <f>HF$4 * IF(AND(HE$4=1,HD$20=1), HQ103, HO103)</f>
        <v>0</v>
      </c>
      <c r="HG103" s="12">
        <f>HG$4 * IF(AND(HF$4=1,HD$20=1), HQ103, HO103)</f>
        <v>0</v>
      </c>
      <c r="HH103" s="12">
        <f>HH$4 * IF(AND(HG$4=1,HD$20=1), HQ103, HO103)</f>
        <v>0</v>
      </c>
      <c r="HI103" s="12">
        <f>HI$4 * IF(AND(HH$4=1,HD$20=1), HQ103, HO103)</f>
        <v>0</v>
      </c>
      <c r="HJ103" s="12">
        <f>HJ$4 * IF(AND(HI$4=1,HD$20=1), HQ103, HO103)</f>
        <v>0</v>
      </c>
      <c r="HK103" s="12">
        <f>HK$4 * IF(AND(HJ$4=1,HD$20=1), HQ103, HO103)</f>
        <v>0</v>
      </c>
      <c r="HL103" s="12">
        <f>HL$4 * IF(AND(HK$4=1,HD$20=1), HQ103, HO103)</f>
        <v>0</v>
      </c>
      <c r="HN103" t="s">
        <v>1304</v>
      </c>
      <c r="HO103">
        <f>_xlfn.XLOOKUP(HN103,'KPI Impacts'!$B$2:$H$2,'KPI Impacts'!$B103:$H103)</f>
        <v>0</v>
      </c>
      <c r="HP103" s="9" t="s">
        <v>1304</v>
      </c>
      <c r="HQ103">
        <f>_xlfn.XLOOKUP(HP103,'KPI Impacts'!$B$2:$H$2,'KPI Impacts'!$B103:$H103)</f>
        <v>0</v>
      </c>
      <c r="HT103" s="12">
        <f>HT$4*IE103</f>
        <v>0</v>
      </c>
      <c r="HU103" s="12">
        <f>HU$4 * IF(AND(HT$4=1,HT$20=1), IG103, IE103)</f>
        <v>0</v>
      </c>
      <c r="HV103" s="12">
        <f>HV$4 * IF(AND(HU$4=1,HT$20=1), IG103, IE103)</f>
        <v>0</v>
      </c>
      <c r="HW103" s="12">
        <f>HW$4 * IF(AND(HV$4=1,HT$20=1), IG103, IE103)</f>
        <v>0</v>
      </c>
      <c r="HX103" s="12">
        <f>HX$4 * IF(AND(HW$4=1,HT$20=1), IG103, IE103)</f>
        <v>0</v>
      </c>
      <c r="HY103" s="12">
        <f>HY$4 * IF(AND(HX$4=1,HT$20=1), IG103, IE103)</f>
        <v>0</v>
      </c>
      <c r="HZ103" s="12">
        <f>HZ$4 * IF(AND(HY$4=1,HT$20=1), IG103, IE103)</f>
        <v>0</v>
      </c>
      <c r="IA103" s="12">
        <f>IA$4 * IF(AND(HZ$4=1,HT$20=1), IG103, IE103)</f>
        <v>0</v>
      </c>
      <c r="IB103" s="12">
        <f>IB$4 * IF(AND(IA$4=1,HT$20=1), IG103, IE103)</f>
        <v>0</v>
      </c>
      <c r="ID103" t="s">
        <v>1304</v>
      </c>
      <c r="IE103">
        <f>_xlfn.XLOOKUP(ID103,'KPI Impacts'!$B$2:$H$2,'KPI Impacts'!$B103:$H103)</f>
        <v>0</v>
      </c>
      <c r="IF103" s="9" t="s">
        <v>1304</v>
      </c>
      <c r="IG103">
        <f>_xlfn.XLOOKUP(IF103,'KPI Impacts'!$B$2:$H$2,'KPI Impacts'!$B103:$H103)</f>
        <v>0</v>
      </c>
      <c r="IJ103" s="12">
        <f>IJ$4*IU103</f>
        <v>0</v>
      </c>
      <c r="IK103" s="12">
        <f>IK$4 * IF(AND(IJ$4=1,IJ$20=1), IW103, IU103)</f>
        <v>0</v>
      </c>
      <c r="IL103" s="12">
        <f>IL$4 * IF(AND(IK$4=1,IJ$20=1), IW103, IU103)</f>
        <v>0</v>
      </c>
      <c r="IM103" s="12">
        <f>IM$4 * IF(AND(IL$4=1,IJ$20=1), IW103, IU103)</f>
        <v>0</v>
      </c>
      <c r="IN103" s="12">
        <f>IN$4 * IF(AND(IM$4=1,IJ$20=1), IW103, IU103)</f>
        <v>0</v>
      </c>
      <c r="IO103" s="12">
        <f>IO$4 * IF(AND(IN$4=1,IJ$20=1), IW103, IU103)</f>
        <v>0</v>
      </c>
      <c r="IP103" s="12">
        <f>IP$4 * IF(AND(IO$4=1,IJ$20=1), IW103, IU103)</f>
        <v>0</v>
      </c>
      <c r="IQ103" s="12">
        <f>IQ$4 * IF(AND(IP$4=1,IJ$20=1), IW103, IU103)</f>
        <v>0</v>
      </c>
      <c r="IR103" s="12">
        <f>IR$4 * IF(AND(IQ$4=1,IJ$20=1), IW103, IU103)</f>
        <v>0</v>
      </c>
      <c r="IT103" t="s">
        <v>1304</v>
      </c>
      <c r="IU103">
        <f>_xlfn.XLOOKUP(IT103,'KPI Impacts'!$B$2:$H$2,'KPI Impacts'!$B103:$H103)</f>
        <v>0</v>
      </c>
      <c r="IV103" s="9" t="s">
        <v>1304</v>
      </c>
      <c r="IW103">
        <f>_xlfn.XLOOKUP(IV103,'KPI Impacts'!$B$2:$H$2,'KPI Impacts'!$B103:$H103)</f>
        <v>0</v>
      </c>
      <c r="IZ103" s="12">
        <f>IZ$4*JK103</f>
        <v>0</v>
      </c>
      <c r="JA103" s="12">
        <f>JA$4 * IF(AND(IZ$4=1,IZ$20=1), JM103, JK103)</f>
        <v>0</v>
      </c>
      <c r="JB103" s="12">
        <f>JB$4 * IF(AND(JA$4=1,IZ$20=1), JM103, JK103)</f>
        <v>0</v>
      </c>
      <c r="JC103" s="12">
        <f>JC$4 * IF(AND(JB$4=1,IZ$20=1), JM103, JK103)</f>
        <v>0</v>
      </c>
      <c r="JD103" s="12">
        <f>JD$4 * IF(AND(JC$4=1,IZ$20=1), JM103, JK103)</f>
        <v>0</v>
      </c>
      <c r="JE103" s="12">
        <f>JE$4 * IF(AND(JD$4=1,IZ$20=1), JM103, JK103)</f>
        <v>0</v>
      </c>
      <c r="JF103" s="12">
        <f>JF$4 * IF(AND(JE$4=1,IZ$20=1), JM103, JK103)</f>
        <v>0</v>
      </c>
      <c r="JG103" s="12">
        <f>JG$4 * IF(AND(JF$4=1,IZ$20=1), JM103, JK103)</f>
        <v>0</v>
      </c>
      <c r="JH103" s="12">
        <f>JH$4 * IF(AND(JG$4=1,IZ$20=1), JM103, JK103)</f>
        <v>0</v>
      </c>
      <c r="JJ103" t="s">
        <v>1304</v>
      </c>
      <c r="JK103">
        <f>_xlfn.XLOOKUP(JJ103,'KPI Impacts'!$B$2:$H$2,'KPI Impacts'!$B103:$H103)</f>
        <v>0</v>
      </c>
      <c r="JL103" s="9" t="s">
        <v>1304</v>
      </c>
      <c r="JM103">
        <f>_xlfn.XLOOKUP(JL103,'KPI Impacts'!$B$2:$H$2,'KPI Impacts'!$B103:$H103)</f>
        <v>0</v>
      </c>
      <c r="JP103" s="12">
        <f>JP$4*KA103</f>
        <v>0</v>
      </c>
      <c r="JQ103" s="12">
        <f>JQ$4 * IF(AND(JP$4=1,JP$20=1), KC103, KA103)</f>
        <v>0</v>
      </c>
      <c r="JR103" s="12">
        <f>JR$4 * IF(AND(JQ$4=1,JP$20=1), KC103, KA103)</f>
        <v>0</v>
      </c>
      <c r="JS103" s="12">
        <f>JS$4 * IF(AND(JR$4=1,JP$20=1), KC103, KA103)</f>
        <v>0</v>
      </c>
      <c r="JT103" s="12">
        <f>JT$4 * IF(AND(JS$4=1,JP$20=1), KC103, KA103)</f>
        <v>0</v>
      </c>
      <c r="JU103" s="12">
        <f>JU$4 * IF(AND(JT$4=1,JP$20=1), KC103, KA103)</f>
        <v>0</v>
      </c>
      <c r="JV103" s="12">
        <f>JV$4 * IF(AND(JU$4=1,JP$20=1), KC103, KA103)</f>
        <v>0</v>
      </c>
      <c r="JW103" s="12">
        <f>JW$4 * IF(AND(JV$4=1,JP$20=1), KC103, KA103)</f>
        <v>0</v>
      </c>
      <c r="JX103" s="12">
        <f>JX$4 * IF(AND(JW$4=1,JP$20=1), KC103, KA103)</f>
        <v>0</v>
      </c>
      <c r="JZ103" t="s">
        <v>1304</v>
      </c>
      <c r="KA103">
        <f>_xlfn.XLOOKUP(JZ103,'KPI Impacts'!$B$2:$H$2,'KPI Impacts'!$B103:$H103)</f>
        <v>0</v>
      </c>
      <c r="KB103" s="9" t="s">
        <v>1304</v>
      </c>
      <c r="KC103">
        <f>_xlfn.XLOOKUP(KB103,'KPI Impacts'!$B$2:$H$2,'KPI Impacts'!$B103:$H103)</f>
        <v>0</v>
      </c>
      <c r="KF103" s="12">
        <f>KF$4*KQ103</f>
        <v>0</v>
      </c>
      <c r="KG103" s="12">
        <f>KG$4 * IF(AND(KF$4=1,KF$20=1), KS103, KQ103)</f>
        <v>0</v>
      </c>
      <c r="KH103" s="12">
        <f>KH$4 * IF(AND(KG$4=1,KF$20=1), KS103, KQ103)</f>
        <v>0</v>
      </c>
      <c r="KI103" s="12">
        <f>KI$4 * IF(AND(KH$4=1,KF$20=1), KS103, KQ103)</f>
        <v>0</v>
      </c>
      <c r="KJ103" s="12">
        <f>KJ$4 * IF(AND(KI$4=1,KF$20=1), KS103, KQ103)</f>
        <v>0</v>
      </c>
      <c r="KK103" s="12">
        <f>KK$4 * IF(AND(KJ$4=1,KF$20=1), KS103, KQ103)</f>
        <v>0</v>
      </c>
      <c r="KL103" s="12">
        <f>KL$4 * IF(AND(KK$4=1,KF$20=1), KS103, KQ103)</f>
        <v>0</v>
      </c>
      <c r="KM103" s="12">
        <f>KM$4 * IF(AND(KL$4=1,KF$20=1), KS103, KQ103)</f>
        <v>0</v>
      </c>
      <c r="KN103" s="12">
        <f>KN$4 * IF(AND(KM$4=1,KF$20=1), KS103, KQ103)</f>
        <v>0</v>
      </c>
      <c r="KP103" t="s">
        <v>1304</v>
      </c>
      <c r="KQ103">
        <f>_xlfn.XLOOKUP(KP103,'KPI Impacts'!$B$2:$H$2,'KPI Impacts'!$B103:$H103)</f>
        <v>0</v>
      </c>
      <c r="KR103" s="9" t="s">
        <v>1304</v>
      </c>
      <c r="KS103">
        <f>_xlfn.XLOOKUP(KR103,'KPI Impacts'!$B$2:$H$2,'KPI Impacts'!$B103:$H103)</f>
        <v>0</v>
      </c>
      <c r="KV103" s="12">
        <f>KV$4*LG103</f>
        <v>0</v>
      </c>
      <c r="KW103" s="12">
        <f>KW$4 * IF(AND(KV$4=1,KV$20=1), LI103, LG103)</f>
        <v>0</v>
      </c>
      <c r="KX103" s="12">
        <f>KX$4 * IF(AND(KW$4=1,KV$20=1), LI103, LG103)</f>
        <v>0</v>
      </c>
      <c r="KY103" s="12">
        <f>KY$4 * IF(AND(KX$4=1,KV$20=1), LI103, LG103)</f>
        <v>0</v>
      </c>
      <c r="KZ103" s="12">
        <f>KZ$4 * IF(AND(KY$4=1,KV$20=1), LI103, LG103)</f>
        <v>0</v>
      </c>
      <c r="LA103" s="12">
        <f>LA$4 * IF(AND(KZ$4=1,KV$20=1), LI103, LG103)</f>
        <v>0</v>
      </c>
      <c r="LB103" s="12">
        <f>LB$4 * IF(AND(LA$4=1,KV$20=1), LI103, LG103)</f>
        <v>0</v>
      </c>
      <c r="LC103" s="12">
        <f>LC$4 * IF(AND(LB$4=1,KV$20=1), LI103, LG103)</f>
        <v>0</v>
      </c>
      <c r="LD103" s="12">
        <f>LD$4 * IF(AND(LC$4=1,KV$20=1), LI103, LG103)</f>
        <v>0</v>
      </c>
      <c r="LF103" t="s">
        <v>1304</v>
      </c>
      <c r="LG103">
        <f>_xlfn.XLOOKUP(LF103,'KPI Impacts'!$B$2:$H$2,'KPI Impacts'!$B103:$H103)</f>
        <v>0</v>
      </c>
      <c r="LH103" s="9" t="s">
        <v>1304</v>
      </c>
      <c r="LI103">
        <f>_xlfn.XLOOKUP(LH103,'KPI Impacts'!$B$2:$H$2,'KPI Impacts'!$B103:$H103)</f>
        <v>0</v>
      </c>
      <c r="LL103" s="12">
        <f>LL$4*LW103</f>
        <v>0</v>
      </c>
      <c r="LM103" s="12">
        <f>LM$4 * IF(AND(LL$4=1,LL$20=1), LY103, LW103)</f>
        <v>0</v>
      </c>
      <c r="LN103" s="12">
        <f>LN$4 * IF(AND(LM$4=1,LL$20=1), LY103, LW103)</f>
        <v>0</v>
      </c>
      <c r="LO103" s="12">
        <f>LO$4 * IF(AND(LN$4=1,LL$20=1), LY103, LW103)</f>
        <v>0</v>
      </c>
      <c r="LP103" s="12">
        <f>LP$4 * IF(AND(LO$4=1,LL$20=1), LY103, LW103)</f>
        <v>0</v>
      </c>
      <c r="LQ103" s="12">
        <f>LQ$4 * IF(AND(LP$4=1,LL$20=1), LY103, LW103)</f>
        <v>0</v>
      </c>
      <c r="LR103" s="12">
        <f>LR$4 * IF(AND(LQ$4=1,LL$20=1), LY103, LW103)</f>
        <v>0</v>
      </c>
      <c r="LS103" s="12">
        <f>LS$4 * IF(AND(LR$4=1,LL$20=1), LY103, LW103)</f>
        <v>0</v>
      </c>
      <c r="LT103" s="12">
        <f>LT$4 * IF(AND(LS$4=1,LL$20=1), LY103, LW103)</f>
        <v>0</v>
      </c>
      <c r="LV103" t="s">
        <v>1304</v>
      </c>
      <c r="LW103">
        <f>_xlfn.XLOOKUP(LV103,'KPI Impacts'!$B$2:$H$2,'KPI Impacts'!$B103:$H103)</f>
        <v>0</v>
      </c>
      <c r="LX103" s="9" t="s">
        <v>1304</v>
      </c>
      <c r="LY103">
        <f>_xlfn.XLOOKUP(LX103,'KPI Impacts'!$B$2:$H$2,'KPI Impacts'!$B103:$H103)</f>
        <v>0</v>
      </c>
      <c r="MB103" s="12">
        <f>MB$4*MM103</f>
        <v>0</v>
      </c>
      <c r="MC103" s="12">
        <f>MC$4 * IF(AND(MB$4=1,MB$20=1), MO103, MM103)</f>
        <v>0</v>
      </c>
      <c r="MD103" s="12">
        <f>MD$4 * IF(AND(MC$4=1,MB$20=1), MO103, MM103)</f>
        <v>0</v>
      </c>
      <c r="ME103" s="12">
        <f>ME$4 * IF(AND(MD$4=1,MB$20=1), MO103, MM103)</f>
        <v>0</v>
      </c>
      <c r="MF103" s="12">
        <f>MF$4 * IF(AND(ME$4=1,MB$20=1), MO103, MM103)</f>
        <v>0</v>
      </c>
      <c r="MG103" s="12">
        <f>MG$4 * IF(AND(MF$4=1,MB$20=1), MO103, MM103)</f>
        <v>0</v>
      </c>
      <c r="MH103" s="12">
        <f>MH$4 * IF(AND(MG$4=1,MB$20=1), MO103, MM103)</f>
        <v>0</v>
      </c>
      <c r="MI103" s="12">
        <f>MI$4 * IF(AND(MH$4=1,MB$20=1), MO103, MM103)</f>
        <v>0</v>
      </c>
      <c r="MJ103" s="12">
        <f>MJ$4 * IF(AND(MI$4=1,MB$20=1), MO103, MM103)</f>
        <v>0</v>
      </c>
      <c r="ML103" t="s">
        <v>1304</v>
      </c>
      <c r="MM103">
        <f>_xlfn.XLOOKUP(ML103,'KPI Impacts'!$B$2:$H$2,'KPI Impacts'!$B103:$H103)</f>
        <v>0</v>
      </c>
      <c r="MN103" s="9" t="s">
        <v>1304</v>
      </c>
      <c r="MO103">
        <f>_xlfn.XLOOKUP(MN103,'KPI Impacts'!$B$2:$H$2,'KPI Impacts'!$B103:$H103)</f>
        <v>0</v>
      </c>
      <c r="MR103" s="12">
        <f>MR$4*NC103</f>
        <v>0</v>
      </c>
      <c r="MS103" s="12">
        <f>MS$4 * IF(AND(MR$4=1,MR$20=1), NE103, NC103)</f>
        <v>0</v>
      </c>
      <c r="MT103" s="12">
        <f>MT$4 * IF(AND(MS$4=1,MR$20=1), NE103, NC103)</f>
        <v>0</v>
      </c>
      <c r="MU103" s="12">
        <f>MU$4 * IF(AND(MT$4=1,MR$20=1), NE103, NC103)</f>
        <v>0</v>
      </c>
      <c r="MV103" s="12">
        <f>MV$4 * IF(AND(MU$4=1,MR$20=1), NE103, NC103)</f>
        <v>0</v>
      </c>
      <c r="MW103" s="12">
        <f>MW$4 * IF(AND(MV$4=1,MR$20=1), NE103, NC103)</f>
        <v>0</v>
      </c>
      <c r="MX103" s="12">
        <f>MX$4 * IF(AND(MW$4=1,MR$20=1), NE103, NC103)</f>
        <v>0</v>
      </c>
      <c r="MY103" s="12">
        <f>MY$4 * IF(AND(MX$4=1,MR$20=1), NE103, NC103)</f>
        <v>0</v>
      </c>
      <c r="MZ103" s="12">
        <f>MZ$4 * IF(AND(MY$4=1,MR$20=1), NE103, NC103)</f>
        <v>0</v>
      </c>
      <c r="NB103" t="s">
        <v>1304</v>
      </c>
      <c r="NC103">
        <f>_xlfn.XLOOKUP(NB103,'KPI Impacts'!$B$2:$H$2,'KPI Impacts'!$B103:$H103)</f>
        <v>0</v>
      </c>
      <c r="ND103" s="9" t="s">
        <v>1304</v>
      </c>
      <c r="NE103">
        <f>_xlfn.XLOOKUP(ND103,'KPI Impacts'!$B$2:$H$2,'KPI Impacts'!$B103:$H103)</f>
        <v>0</v>
      </c>
      <c r="NH103" s="12">
        <f>NH$4*NS103</f>
        <v>0</v>
      </c>
      <c r="NI103" s="12">
        <f>NI$4 * IF(AND(NH$4=1,NH$20=1), NU103, NS103)</f>
        <v>0</v>
      </c>
      <c r="NJ103" s="12">
        <f>NJ$4 * IF(AND(NI$4=1,NH$20=1), NU103, NS103)</f>
        <v>0</v>
      </c>
      <c r="NK103" s="12">
        <f>NK$4 * IF(AND(NJ$4=1,NH$20=1), NU103, NS103)</f>
        <v>0</v>
      </c>
      <c r="NL103" s="12">
        <f>NL$4 * IF(AND(NK$4=1,NH$20=1), NU103, NS103)</f>
        <v>0</v>
      </c>
      <c r="NM103" s="12">
        <f>NM$4 * IF(AND(NL$4=1,NH$20=1), NU103, NS103)</f>
        <v>0</v>
      </c>
      <c r="NN103" s="12">
        <f>NN$4 * IF(AND(NM$4=1,NH$20=1), NU103, NS103)</f>
        <v>0</v>
      </c>
      <c r="NO103" s="12">
        <f>NO$4 * IF(AND(NN$4=1,NH$20=1), NU103, NS103)</f>
        <v>0</v>
      </c>
      <c r="NP103" s="12">
        <f>NP$4 * IF(AND(NO$4=1,NH$20=1), NU103, NS103)</f>
        <v>0</v>
      </c>
      <c r="NR103" t="s">
        <v>1304</v>
      </c>
      <c r="NS103">
        <f>_xlfn.XLOOKUP(NR103,'KPI Impacts'!$B$2:$H$2,'KPI Impacts'!$B103:$H103)</f>
        <v>0</v>
      </c>
      <c r="NT103" s="9" t="s">
        <v>1304</v>
      </c>
      <c r="NU103">
        <f>_xlfn.XLOOKUP(NT103,'KPI Impacts'!$B$2:$H$2,'KPI Impacts'!$B103:$H103)</f>
        <v>0</v>
      </c>
      <c r="NX103" s="12">
        <f>NX$4*OI103</f>
        <v>0</v>
      </c>
      <c r="NY103" s="12">
        <f>NY$4 * IF(AND(NX$4=1,NX$20=1), OK103, OI103)</f>
        <v>0</v>
      </c>
      <c r="NZ103" s="12">
        <f>NZ$4 * IF(AND(NY$4=1,NX$20=1), OK103, OI103)</f>
        <v>0</v>
      </c>
      <c r="OA103" s="12">
        <f>OA$4 * IF(AND(NZ$4=1,NX$20=1), OK103, OI103)</f>
        <v>0</v>
      </c>
      <c r="OB103" s="12">
        <f>OB$4 * IF(AND(OA$4=1,NX$20=1), OK103, OI103)</f>
        <v>0</v>
      </c>
      <c r="OC103" s="12">
        <f>OC$4 * IF(AND(OB$4=1,NX$20=1), OK103, OI103)</f>
        <v>0</v>
      </c>
      <c r="OD103" s="12">
        <f>OD$4 * IF(AND(OC$4=1,NX$20=1), OK103, OI103)</f>
        <v>0</v>
      </c>
      <c r="OE103" s="12">
        <f>OE$4 * IF(AND(OD$4=1,NX$20=1), OK103, OI103)</f>
        <v>0</v>
      </c>
      <c r="OF103" s="12">
        <f>OF$4 * IF(AND(OE$4=1,NX$20=1), OK103, OI103)</f>
        <v>0</v>
      </c>
      <c r="OH103" t="s">
        <v>1304</v>
      </c>
      <c r="OI103">
        <f>_xlfn.XLOOKUP(OH103,'KPI Impacts'!$B$2:$H$2,'KPI Impacts'!$B103:$H103)</f>
        <v>0</v>
      </c>
      <c r="OJ103" s="9" t="s">
        <v>1304</v>
      </c>
      <c r="OK103">
        <f>_xlfn.XLOOKUP(OJ103,'KPI Impacts'!$B$2:$H$2,'KPI Impacts'!$B103:$H103)</f>
        <v>0</v>
      </c>
    </row>
    <row r="104" spans="1:499" x14ac:dyDescent="0.2">
      <c r="A104" t="s">
        <v>1296</v>
      </c>
      <c r="B104" s="12">
        <f t="shared" si="521"/>
        <v>0</v>
      </c>
      <c r="C104" s="12">
        <f t="shared" si="521"/>
        <v>0</v>
      </c>
      <c r="D104" s="12">
        <f t="shared" si="521"/>
        <v>0</v>
      </c>
      <c r="E104" s="12">
        <f t="shared" si="521"/>
        <v>0</v>
      </c>
      <c r="F104" s="12">
        <f t="shared" si="521"/>
        <v>0</v>
      </c>
      <c r="G104" s="12">
        <f t="shared" si="521"/>
        <v>0</v>
      </c>
      <c r="H104" s="12">
        <f t="shared" si="521"/>
        <v>0</v>
      </c>
      <c r="I104" s="12">
        <f t="shared" si="521"/>
        <v>0</v>
      </c>
      <c r="J104" s="12">
        <f t="shared" si="521"/>
        <v>0</v>
      </c>
      <c r="P104" s="12" cm="1">
        <f t="array" ref="P104">_xlfn.SWITCH(P$4, 0,0, 1, AA104,2,AC104,3,AE104,0)</f>
        <v>0</v>
      </c>
      <c r="Q104" s="12" cm="1">
        <f t="array" ref="Q104">_xlfn.SWITCH(Q$4, 0,0, 1, AA104,2,AC104,3,AE104,0)+P104</f>
        <v>0</v>
      </c>
      <c r="R104" s="12" cm="1">
        <f t="array" ref="R104">_xlfn.SWITCH(R$4, 0,0, 1, AA104,2,AC104,3,AE104,0)+Q104</f>
        <v>0</v>
      </c>
      <c r="S104" s="12" cm="1">
        <f t="array" ref="S104">_xlfn.SWITCH(S$4, 0,0, 1, AA104,2,AC104,3,AE104,0)+R104</f>
        <v>0</v>
      </c>
      <c r="T104" s="12" cm="1">
        <f t="array" ref="T104">_xlfn.SWITCH(T$4, 0,0, 1, AA104,2,AC104,3,AE104,0)+S104</f>
        <v>0</v>
      </c>
      <c r="U104" s="12" cm="1">
        <f t="array" ref="U104">_xlfn.SWITCH(U$4, 0,0, 1, AA104,2,AC104,3,AE104,0)+T104</f>
        <v>0</v>
      </c>
      <c r="V104" s="12" cm="1">
        <f t="array" ref="V104">_xlfn.SWITCH(V$4, 0,0, 1, AA104,2,AC104,3,AE104,0)+U104</f>
        <v>0</v>
      </c>
      <c r="W104" s="12" cm="1">
        <f t="array" ref="W104">_xlfn.SWITCH(W$4, 0,0, 1, AA104,2,AC104,3,AE104,0)+V104</f>
        <v>0</v>
      </c>
      <c r="X104" s="12" cm="1">
        <f t="array" ref="X104">_xlfn.SWITCH(X$4, 0,0, 1, AA104,2,AC104,3,AE104,0)+W104</f>
        <v>0</v>
      </c>
      <c r="Z104" t="s">
        <v>1304</v>
      </c>
      <c r="AA104">
        <f>_xlfn.XLOOKUP(Z104,'KPI Impacts'!$K$2:$Q$2,'KPI Impacts'!$K104:$Q104)</f>
        <v>0</v>
      </c>
      <c r="AB104" t="s">
        <v>1304</v>
      </c>
      <c r="AC104">
        <f>_xlfn.XLOOKUP(AB104,'KPI Impacts'!$K$2:$Q$2,'KPI Impacts'!$K104:$Q104)</f>
        <v>0</v>
      </c>
      <c r="AD104" t="s">
        <v>1304</v>
      </c>
      <c r="AE104">
        <f>_xlfn.XLOOKUP(AD104,'KPI Impacts'!$K$2:$Q$2,'KPI Impacts'!$K104:$Q104)</f>
        <v>0</v>
      </c>
      <c r="AH104" s="12" cm="1">
        <f t="array" ref="AH104">_xlfn.SWITCH(AH$4, 0,0, 1, AS104,2,AU104,3,AW104,0)</f>
        <v>0</v>
      </c>
      <c r="AI104" s="12" cm="1">
        <f t="array" ref="AI104">_xlfn.SWITCH(AI$4, 0,0, 1, AS104,2,AU104,3,AW104,0)+AH104</f>
        <v>0</v>
      </c>
      <c r="AJ104" s="12" cm="1">
        <f t="array" ref="AJ104">_xlfn.SWITCH(AJ$4, 0,0, 1, AS104,2,AU104,3,AW104,0)+AI104</f>
        <v>0</v>
      </c>
      <c r="AK104" s="12" cm="1">
        <f t="array" ref="AK104">_xlfn.SWITCH(AK$4, 0,0, 1, AS104,2,AU104,3,AW104,0)+AJ104</f>
        <v>0</v>
      </c>
      <c r="AL104" s="12" cm="1">
        <f t="array" ref="AL104">_xlfn.SWITCH(AL$4, 0,0, 1, AS104,2,AU104,3,AW104,0)+AK104</f>
        <v>0</v>
      </c>
      <c r="AM104" s="12" cm="1">
        <f t="array" ref="AM104">_xlfn.SWITCH(AM$4, 0,0, 1, AS104,2,AU104,3,AW104,0)+AL104</f>
        <v>0</v>
      </c>
      <c r="AN104" s="12" cm="1">
        <f t="array" ref="AN104">_xlfn.SWITCH(AN$4, 0,0, 1, AS104,2,AU104,3,AW104,0)+AM104</f>
        <v>0</v>
      </c>
      <c r="AO104" s="12" cm="1">
        <f t="array" ref="AO104">_xlfn.SWITCH(AO$4, 0,0, 1, AS104,2,AU104,3,AW104,0)+AN104</f>
        <v>0</v>
      </c>
      <c r="AP104" s="12" cm="1">
        <f t="array" ref="AP104">_xlfn.SWITCH(AP$4, 0,0, 1, AS104,2,AU104,3,AW104,0)+AO104</f>
        <v>0</v>
      </c>
      <c r="AR104" t="s">
        <v>1304</v>
      </c>
      <c r="AS104">
        <f>_xlfn.XLOOKUP(AR104,'KPI Impacts'!$K$2:$Q$2,'KPI Impacts'!$K104:$Q104)</f>
        <v>0</v>
      </c>
      <c r="AT104" t="s">
        <v>1304</v>
      </c>
      <c r="AU104">
        <f>_xlfn.XLOOKUP(AT104,'KPI Impacts'!$K$2:$Q$2,'KPI Impacts'!$K104:$Q104)</f>
        <v>0</v>
      </c>
      <c r="AV104" t="s">
        <v>1304</v>
      </c>
      <c r="AW104">
        <f>_xlfn.XLOOKUP(AV104,'KPI Impacts'!$K$2:$Q$2,'KPI Impacts'!$K104:$Q104)</f>
        <v>0</v>
      </c>
      <c r="AZ104" s="12">
        <f>AZ$4*BK104</f>
        <v>0</v>
      </c>
      <c r="BA104" s="12">
        <f>BA$4 * IF(AND(AZ$4=1,AZ$20=1), BM104, BK104)</f>
        <v>0</v>
      </c>
      <c r="BB104" s="12">
        <f>BB$4 * IF(AND(BA$4=1,AZ$20=1), BM104, BK104)</f>
        <v>0</v>
      </c>
      <c r="BC104" s="12">
        <f>BC$4 * IF(AND(BB$4=1,AZ$20=1), BM104, BK104)</f>
        <v>0</v>
      </c>
      <c r="BD104" s="12">
        <f>BD$4 * IF(AND(BC$4=1,AZ$20=1), BM104, BK104)</f>
        <v>0</v>
      </c>
      <c r="BE104" s="12">
        <f>BE$4 * IF(AND(BD$4=1,AZ$20=1), BM104, BK104)</f>
        <v>0</v>
      </c>
      <c r="BF104" s="12">
        <f>BF$4 * IF(AND(BE$4=1,AZ$20=1), BM104, BK104)</f>
        <v>0</v>
      </c>
      <c r="BG104" s="12">
        <f>BG$4 * IF(AND(BF$4=1,AZ$20=1), BM104, BK104)</f>
        <v>0</v>
      </c>
      <c r="BH104" s="12">
        <f>BH$4 * IF(AND(BG$4=1,AZ$20=1), BM104, BK104)</f>
        <v>0</v>
      </c>
      <c r="BJ104" t="s">
        <v>1304</v>
      </c>
      <c r="BK104">
        <f>_xlfn.XLOOKUP(BJ104,'KPI Impacts'!$B$2:$H$2,'KPI Impacts'!$B104:$H104)</f>
        <v>0</v>
      </c>
      <c r="BL104" s="9" t="s">
        <v>1304</v>
      </c>
      <c r="BM104">
        <f>_xlfn.XLOOKUP(BL104,'KPI Impacts'!$B$2:$H$2,'KPI Impacts'!$B104:$H104)</f>
        <v>0</v>
      </c>
      <c r="BP104" s="12">
        <f>BP$4*CA104</f>
        <v>0</v>
      </c>
      <c r="BQ104" s="12">
        <f>BQ$4 * IF(AND(BP$4=1,BP$20=1), CC104, CA104)</f>
        <v>0</v>
      </c>
      <c r="BR104" s="12">
        <f>BR$4 * IF(AND(BQ$4=1,BP$20=1), CC104, CA104)</f>
        <v>0</v>
      </c>
      <c r="BS104" s="12">
        <f>BS$4 * IF(AND(BR$4=1,BP$20=1), CC104, CA104)</f>
        <v>0</v>
      </c>
      <c r="BT104" s="12">
        <f>BT$4 * IF(AND(BS$4=1,BP$20=1), CC104, CA104)</f>
        <v>0</v>
      </c>
      <c r="BU104" s="12">
        <f>BU$4 * IF(AND(BT$4=1,BP$20=1), CC104, CA104)</f>
        <v>0</v>
      </c>
      <c r="BV104" s="12">
        <f>BV$4 * IF(AND(BU$4=1,BP$20=1), CC104, CA104)</f>
        <v>0</v>
      </c>
      <c r="BW104" s="12">
        <f>BW$4 * IF(AND(BV$4=1,BP$20=1), CC104, CA104)</f>
        <v>0</v>
      </c>
      <c r="BX104" s="12">
        <f>BX$4 * IF(AND(BW$4=1,BP$20=1), CC104, CA104)</f>
        <v>0</v>
      </c>
      <c r="BZ104" t="s">
        <v>1304</v>
      </c>
      <c r="CA104">
        <f>_xlfn.XLOOKUP(BZ104,'KPI Impacts'!$B$2:$H$2,'KPI Impacts'!$B104:$H104)</f>
        <v>0</v>
      </c>
      <c r="CB104" s="9" t="s">
        <v>1304</v>
      </c>
      <c r="CC104">
        <f>_xlfn.XLOOKUP(CB104,'KPI Impacts'!$B$2:$H$2,'KPI Impacts'!$B104:$H104)</f>
        <v>0</v>
      </c>
      <c r="CF104" s="12">
        <f>CF$4*CQ104</f>
        <v>0</v>
      </c>
      <c r="CG104" s="12">
        <f>CG$4 * IF(AND(CF$4=1,CF$20=1), CS104, CQ104)</f>
        <v>0</v>
      </c>
      <c r="CH104" s="12">
        <f>CH$4 * IF(AND(CG$4=1,CF$20=1), CS104, CQ104)</f>
        <v>0</v>
      </c>
      <c r="CI104" s="12">
        <f>CI$4 * IF(AND(CH$4=1,CF$20=1), CS104, CQ104)</f>
        <v>0</v>
      </c>
      <c r="CJ104" s="12">
        <f>CJ$4 * IF(AND(CI$4=1,CF$20=1), CS104, CQ104)</f>
        <v>0</v>
      </c>
      <c r="CK104" s="12">
        <f>CK$4 * IF(AND(CJ$4=1,CF$20=1), CS104, CQ104)</f>
        <v>0</v>
      </c>
      <c r="CL104" s="12">
        <f>CL$4 * IF(AND(CK$4=1,CF$20=1), CS104, CQ104)</f>
        <v>0</v>
      </c>
      <c r="CM104" s="12">
        <f>CM$4 * IF(AND(CL$4=1,CF$20=1), CS104, CQ104)</f>
        <v>0</v>
      </c>
      <c r="CN104" s="12">
        <f>CN$4 * IF(AND(CM$4=1,CF$20=1), CS104, CQ104)</f>
        <v>0</v>
      </c>
      <c r="CP104" t="s">
        <v>1304</v>
      </c>
      <c r="CQ104">
        <f>_xlfn.XLOOKUP(CP104,'KPI Impacts'!$B$2:$H$2,'KPI Impacts'!$B104:$H104)</f>
        <v>0</v>
      </c>
      <c r="CR104" s="9" t="s">
        <v>1304</v>
      </c>
      <c r="CS104">
        <f>_xlfn.XLOOKUP(CR104,'KPI Impacts'!$B$2:$H$2,'KPI Impacts'!$B104:$H104)</f>
        <v>0</v>
      </c>
      <c r="CV104" s="12">
        <f>CV$4*DG104</f>
        <v>0</v>
      </c>
      <c r="CW104" s="12">
        <f>CW$4 * IF(AND(CV$4=1,CV$20=1), DI104, DG104)</f>
        <v>0</v>
      </c>
      <c r="CX104" s="12">
        <f>CX$4 * IF(AND(CW$4=1,CV$20=1), DI104, DG104)</f>
        <v>0</v>
      </c>
      <c r="CY104" s="12">
        <f>CY$4 * IF(AND(CX$4=1,CV$20=1), DI104, DG104)</f>
        <v>0</v>
      </c>
      <c r="CZ104" s="12">
        <f>CZ$4 * IF(AND(CY$4=1,CV$20=1), DI104, DG104)</f>
        <v>0</v>
      </c>
      <c r="DA104" s="12">
        <f>DA$4 * IF(AND(CZ$4=1,CV$20=1), DI104, DG104)</f>
        <v>0</v>
      </c>
      <c r="DB104" s="12">
        <f>DB$4 * IF(AND(DA$4=1,CV$20=1), DI104, DG104)</f>
        <v>0</v>
      </c>
      <c r="DC104" s="12">
        <f>DC$4 * IF(AND(DB$4=1,CV$20=1), DI104, DG104)</f>
        <v>0</v>
      </c>
      <c r="DD104" s="12">
        <f>DD$4 * IF(AND(DC$4=1,CV$20=1), DI104, DG104)</f>
        <v>0</v>
      </c>
      <c r="DF104" t="s">
        <v>1304</v>
      </c>
      <c r="DG104">
        <f>_xlfn.XLOOKUP(DF104,'KPI Impacts'!$B$2:$H$2,'KPI Impacts'!$B104:$H104)</f>
        <v>0</v>
      </c>
      <c r="DH104" s="9" t="s">
        <v>1304</v>
      </c>
      <c r="DI104">
        <f>_xlfn.XLOOKUP(DH104,'KPI Impacts'!$B$2:$H$2,'KPI Impacts'!$B104:$H104)</f>
        <v>0</v>
      </c>
      <c r="DL104" s="12">
        <f>DL$4*DW104</f>
        <v>0</v>
      </c>
      <c r="DM104" s="12">
        <f>DM$4 * IF(AND(DL$4=1,DL$20=1), DY104, DW104)</f>
        <v>0</v>
      </c>
      <c r="DN104" s="12">
        <f>DN$4 * IF(AND(DM$4=1,DL$20=1), DY104, DW104)</f>
        <v>0</v>
      </c>
      <c r="DO104" s="12">
        <f>DO$4 * IF(AND(DN$4=1,DL$20=1), DY104, DW104)</f>
        <v>0</v>
      </c>
      <c r="DP104" s="12">
        <f>DP$4 * IF(AND(DO$4=1,DL$20=1), DY104, DW104)</f>
        <v>0</v>
      </c>
      <c r="DQ104" s="12">
        <f>DQ$4 * IF(AND(DP$4=1,DL$20=1), DY104, DW104)</f>
        <v>0</v>
      </c>
      <c r="DR104" s="12">
        <f>DR$4 * IF(AND(DQ$4=1,DL$20=1), DY104, DW104)</f>
        <v>0</v>
      </c>
      <c r="DS104" s="12">
        <f>DS$4 * IF(AND(DR$4=1,DL$20=1), DY104, DW104)</f>
        <v>0</v>
      </c>
      <c r="DT104" s="12">
        <f>DT$4 * IF(AND(DS$4=1,DL$20=1), DY104, DW104)</f>
        <v>0</v>
      </c>
      <c r="DV104" t="s">
        <v>1304</v>
      </c>
      <c r="DW104">
        <f>_xlfn.XLOOKUP(DV104,'KPI Impacts'!$B$2:$H$2,'KPI Impacts'!$B104:$H104)</f>
        <v>0</v>
      </c>
      <c r="DX104" s="9" t="s">
        <v>1304</v>
      </c>
      <c r="DY104">
        <f>_xlfn.XLOOKUP(DX104,'KPI Impacts'!$B$2:$H$2,'KPI Impacts'!$B104:$H104)</f>
        <v>0</v>
      </c>
      <c r="EB104" s="12">
        <f>EB$4*EM104</f>
        <v>0</v>
      </c>
      <c r="EC104" s="12">
        <f>EC$4 * IF(AND(EB$4=1,EB$20=1), EO104, EM104)</f>
        <v>0</v>
      </c>
      <c r="ED104" s="12">
        <f>ED$4 * IF(AND(EC$4=1,EB$20=1), EO104, EM104)</f>
        <v>0</v>
      </c>
      <c r="EE104" s="12">
        <f>EE$4 * IF(AND(ED$4=1,EB$20=1), EO104, EM104)</f>
        <v>0</v>
      </c>
      <c r="EF104" s="12">
        <f>EF$4 * IF(AND(EE$4=1,EB$20=1), EO104, EM104)</f>
        <v>0</v>
      </c>
      <c r="EG104" s="12">
        <f>EG$4 * IF(AND(EF$4=1,EB$20=1), EO104, EM104)</f>
        <v>0</v>
      </c>
      <c r="EH104" s="12">
        <f>EH$4 * IF(AND(EG$4=1,EB$20=1), EO104, EM104)</f>
        <v>0</v>
      </c>
      <c r="EI104" s="12">
        <f>EI$4 * IF(AND(EH$4=1,EB$20=1), EO104, EM104)</f>
        <v>0</v>
      </c>
      <c r="EJ104" s="12">
        <f>EJ$4 * IF(AND(EI$4=1,EB$20=1), EO104, EM104)</f>
        <v>0</v>
      </c>
      <c r="EL104" t="s">
        <v>1304</v>
      </c>
      <c r="EM104">
        <f>_xlfn.XLOOKUP(EL104,'KPI Impacts'!$B$2:$H$2,'KPI Impacts'!$B104:$H104)</f>
        <v>0</v>
      </c>
      <c r="EN104" s="9" t="s">
        <v>1304</v>
      </c>
      <c r="EO104">
        <f>_xlfn.XLOOKUP(EN104,'KPI Impacts'!$B$2:$H$2,'KPI Impacts'!$B104:$H104)</f>
        <v>0</v>
      </c>
      <c r="ER104" s="12">
        <f>ER$4*FC104</f>
        <v>0</v>
      </c>
      <c r="ES104" s="12">
        <f>ES$4 * IF(AND(ER$4=1,ER$20=1), FE104, FC104)</f>
        <v>0</v>
      </c>
      <c r="ET104" s="12">
        <f>ET$4 * IF(AND(ES$4=1,ER$20=1), FE104, FC104)</f>
        <v>0</v>
      </c>
      <c r="EU104" s="12">
        <f>EU$4 * IF(AND(ET$4=1,ER$20=1), FE104, FC104)</f>
        <v>0</v>
      </c>
      <c r="EV104" s="12">
        <f>EV$4 * IF(AND(EU$4=1,ER$20=1), FE104, FC104)</f>
        <v>0</v>
      </c>
      <c r="EW104" s="12">
        <f>EW$4 * IF(AND(EV$4=1,ER$20=1), FE104, FC104)</f>
        <v>0</v>
      </c>
      <c r="EX104" s="12">
        <f>EX$4 * IF(AND(EW$4=1,ER$20=1), FE104, FC104)</f>
        <v>0</v>
      </c>
      <c r="EY104" s="12">
        <f>EY$4 * IF(AND(EX$4=1,ER$20=1), FE104, FC104)</f>
        <v>0</v>
      </c>
      <c r="EZ104" s="12">
        <f>EZ$4 * IF(AND(EY$4=1,ER$20=1), FE104, FC104)</f>
        <v>0</v>
      </c>
      <c r="FB104" t="s">
        <v>1304</v>
      </c>
      <c r="FC104">
        <f>_xlfn.XLOOKUP(FB104,'KPI Impacts'!$B$2:$H$2,'KPI Impacts'!$B104:$H104)</f>
        <v>0</v>
      </c>
      <c r="FD104" s="9" t="s">
        <v>1304</v>
      </c>
      <c r="FE104">
        <f>_xlfn.XLOOKUP(FD104,'KPI Impacts'!$B$2:$H$2,'KPI Impacts'!$B104:$H104)</f>
        <v>0</v>
      </c>
      <c r="FH104" s="12">
        <f>FH$4*FS104</f>
        <v>0</v>
      </c>
      <c r="FI104" s="12">
        <f>FI$4 * IF(AND(FH$4=1,FH$20=1), FU104, FS104)</f>
        <v>0</v>
      </c>
      <c r="FJ104" s="12">
        <f>FJ$4 * IF(AND(FI$4=1,FH$20=1), FU104, FS104)</f>
        <v>0</v>
      </c>
      <c r="FK104" s="12">
        <f>FK$4 * IF(AND(FJ$4=1,FH$20=1), FU104, FS104)</f>
        <v>0</v>
      </c>
      <c r="FL104" s="12">
        <f>FL$4 * IF(AND(FK$4=1,FH$20=1), FU104, FS104)</f>
        <v>0</v>
      </c>
      <c r="FM104" s="12">
        <f>FM$4 * IF(AND(FL$4=1,FH$20=1), FU104, FS104)</f>
        <v>0</v>
      </c>
      <c r="FN104" s="12">
        <f>FN$4 * IF(AND(FM$4=1,FH$20=1), FU104, FS104)</f>
        <v>0</v>
      </c>
      <c r="FO104" s="12">
        <f>FO$4 * IF(AND(FN$4=1,FH$20=1), FU104, FS104)</f>
        <v>0</v>
      </c>
      <c r="FP104" s="12">
        <f>FP$4 * IF(AND(FO$4=1,FH$20=1), FU104, FS104)</f>
        <v>0</v>
      </c>
      <c r="FR104" t="s">
        <v>1304</v>
      </c>
      <c r="FS104">
        <f>_xlfn.XLOOKUP(FR104,'KPI Impacts'!$B$2:$H$2,'KPI Impacts'!$B104:$H104)</f>
        <v>0</v>
      </c>
      <c r="FT104" s="9" t="s">
        <v>1304</v>
      </c>
      <c r="FU104">
        <f>_xlfn.XLOOKUP(FT104,'KPI Impacts'!$B$2:$H$2,'KPI Impacts'!$B104:$H104)</f>
        <v>0</v>
      </c>
      <c r="FX104" s="12">
        <f>FX$4*GI104</f>
        <v>0</v>
      </c>
      <c r="FY104" s="12">
        <f>FY$4 * IF(AND(FX$4=1,FX$20=1), GK104, GI104)</f>
        <v>0</v>
      </c>
      <c r="FZ104" s="12">
        <f>FZ$4 * IF(AND(FY$4=1,FX$20=1), GK104, GI104)</f>
        <v>0</v>
      </c>
      <c r="GA104" s="12">
        <f>GA$4 * IF(AND(FZ$4=1,FX$20=1), GK104, GI104)</f>
        <v>0</v>
      </c>
      <c r="GB104" s="12">
        <f>GB$4 * IF(AND(GA$4=1,FX$20=1), GK104, GI104)</f>
        <v>0</v>
      </c>
      <c r="GC104" s="12">
        <f>GC$4 * IF(AND(GB$4=1,FX$20=1), GK104, GI104)</f>
        <v>0</v>
      </c>
      <c r="GD104" s="12">
        <f>GD$4 * IF(AND(GC$4=1,FX$20=1), GK104, GI104)</f>
        <v>0</v>
      </c>
      <c r="GE104" s="12">
        <f>GE$4 * IF(AND(GD$4=1,FX$20=1), GK104, GI104)</f>
        <v>0</v>
      </c>
      <c r="GF104" s="12">
        <f>GF$4 * IF(AND(GE$4=1,FX$20=1), GK104, GI104)</f>
        <v>0</v>
      </c>
      <c r="GH104" t="s">
        <v>1304</v>
      </c>
      <c r="GI104">
        <f>_xlfn.XLOOKUP(GH104,'KPI Impacts'!$B$2:$H$2,'KPI Impacts'!$B104:$H104)</f>
        <v>0</v>
      </c>
      <c r="GJ104" s="9" t="s">
        <v>1304</v>
      </c>
      <c r="GK104">
        <f>_xlfn.XLOOKUP(GJ104,'KPI Impacts'!$B$2:$H$2,'KPI Impacts'!$B104:$H104)</f>
        <v>0</v>
      </c>
      <c r="GN104" s="12">
        <f>GN$4*GY104</f>
        <v>0</v>
      </c>
      <c r="GO104" s="12">
        <f>GO$4 * IF(AND(GN$4=1,GN$20=1), HA104, GY104)</f>
        <v>0</v>
      </c>
      <c r="GP104" s="12">
        <f>GP$4 * IF(AND(GO$4=1,GN$20=1), HA104, GY104)</f>
        <v>0</v>
      </c>
      <c r="GQ104" s="12">
        <f>GQ$4 * IF(AND(GP$4=1,GN$20=1), HA104, GY104)</f>
        <v>0</v>
      </c>
      <c r="GR104" s="12">
        <f>GR$4 * IF(AND(GQ$4=1,GN$20=1), HA104, GY104)</f>
        <v>0</v>
      </c>
      <c r="GS104" s="12">
        <f>GS$4 * IF(AND(GR$4=1,GN$20=1), HA104, GY104)</f>
        <v>0</v>
      </c>
      <c r="GT104" s="12">
        <f>GT$4 * IF(AND(GS$4=1,GN$20=1), HA104, GY104)</f>
        <v>0</v>
      </c>
      <c r="GU104" s="12">
        <f>GU$4 * IF(AND(GT$4=1,GN$20=1), HA104, GY104)</f>
        <v>0</v>
      </c>
      <c r="GV104" s="12">
        <f>GV$4 * IF(AND(GU$4=1,GN$20=1), HA104, GY104)</f>
        <v>0</v>
      </c>
      <c r="GX104" t="s">
        <v>1304</v>
      </c>
      <c r="GY104">
        <f>_xlfn.XLOOKUP(GX104,'KPI Impacts'!$B$2:$H$2,'KPI Impacts'!$B104:$H104)</f>
        <v>0</v>
      </c>
      <c r="GZ104" s="9" t="s">
        <v>1304</v>
      </c>
      <c r="HA104">
        <f>_xlfn.XLOOKUP(GZ104,'KPI Impacts'!$B$2:$H$2,'KPI Impacts'!$B104:$H104)</f>
        <v>0</v>
      </c>
      <c r="HD104" s="12">
        <f>HD$4*HO104</f>
        <v>0</v>
      </c>
      <c r="HE104" s="12">
        <f>HE$4 * IF(AND(HD$4=1,HD$20=1), HQ104, HO104)</f>
        <v>0</v>
      </c>
      <c r="HF104" s="12">
        <f>HF$4 * IF(AND(HE$4=1,HD$20=1), HQ104, HO104)</f>
        <v>0</v>
      </c>
      <c r="HG104" s="12">
        <f>HG$4 * IF(AND(HF$4=1,HD$20=1), HQ104, HO104)</f>
        <v>0</v>
      </c>
      <c r="HH104" s="12">
        <f>HH$4 * IF(AND(HG$4=1,HD$20=1), HQ104, HO104)</f>
        <v>0</v>
      </c>
      <c r="HI104" s="12">
        <f>HI$4 * IF(AND(HH$4=1,HD$20=1), HQ104, HO104)</f>
        <v>0</v>
      </c>
      <c r="HJ104" s="12">
        <f>HJ$4 * IF(AND(HI$4=1,HD$20=1), HQ104, HO104)</f>
        <v>0</v>
      </c>
      <c r="HK104" s="12">
        <f>HK$4 * IF(AND(HJ$4=1,HD$20=1), HQ104, HO104)</f>
        <v>0</v>
      </c>
      <c r="HL104" s="12">
        <f>HL$4 * IF(AND(HK$4=1,HD$20=1), HQ104, HO104)</f>
        <v>0</v>
      </c>
      <c r="HN104" t="s">
        <v>1304</v>
      </c>
      <c r="HO104">
        <f>_xlfn.XLOOKUP(HN104,'KPI Impacts'!$B$2:$H$2,'KPI Impacts'!$B104:$H104)</f>
        <v>0</v>
      </c>
      <c r="HP104" s="9" t="s">
        <v>1304</v>
      </c>
      <c r="HQ104">
        <f>_xlfn.XLOOKUP(HP104,'KPI Impacts'!$B$2:$H$2,'KPI Impacts'!$B104:$H104)</f>
        <v>0</v>
      </c>
      <c r="HT104" s="12">
        <f>HT$4*IE104</f>
        <v>0</v>
      </c>
      <c r="HU104" s="12">
        <f>HU$4 * IF(AND(HT$4=1,HT$20=1), IG104, IE104)</f>
        <v>0</v>
      </c>
      <c r="HV104" s="12">
        <f>HV$4 * IF(AND(HU$4=1,HT$20=1), IG104, IE104)</f>
        <v>0</v>
      </c>
      <c r="HW104" s="12">
        <f>HW$4 * IF(AND(HV$4=1,HT$20=1), IG104, IE104)</f>
        <v>0</v>
      </c>
      <c r="HX104" s="12">
        <f>HX$4 * IF(AND(HW$4=1,HT$20=1), IG104, IE104)</f>
        <v>0</v>
      </c>
      <c r="HY104" s="12">
        <f>HY$4 * IF(AND(HX$4=1,HT$20=1), IG104, IE104)</f>
        <v>0</v>
      </c>
      <c r="HZ104" s="12">
        <f>HZ$4 * IF(AND(HY$4=1,HT$20=1), IG104, IE104)</f>
        <v>0</v>
      </c>
      <c r="IA104" s="12">
        <f>IA$4 * IF(AND(HZ$4=1,HT$20=1), IG104, IE104)</f>
        <v>0</v>
      </c>
      <c r="IB104" s="12">
        <f>IB$4 * IF(AND(IA$4=1,HT$20=1), IG104, IE104)</f>
        <v>0</v>
      </c>
      <c r="ID104" t="s">
        <v>1304</v>
      </c>
      <c r="IE104">
        <f>_xlfn.XLOOKUP(ID104,'KPI Impacts'!$B$2:$H$2,'KPI Impacts'!$B104:$H104)</f>
        <v>0</v>
      </c>
      <c r="IF104" s="9" t="s">
        <v>1304</v>
      </c>
      <c r="IG104">
        <f>_xlfn.XLOOKUP(IF104,'KPI Impacts'!$B$2:$H$2,'KPI Impacts'!$B104:$H104)</f>
        <v>0</v>
      </c>
      <c r="IJ104" s="12">
        <f>IJ$4*IU104</f>
        <v>0</v>
      </c>
      <c r="IK104" s="12">
        <f>IK$4 * IF(AND(IJ$4=1,IJ$20=1), IW104, IU104)</f>
        <v>0</v>
      </c>
      <c r="IL104" s="12">
        <f>IL$4 * IF(AND(IK$4=1,IJ$20=1), IW104, IU104)</f>
        <v>0</v>
      </c>
      <c r="IM104" s="12">
        <f>IM$4 * IF(AND(IL$4=1,IJ$20=1), IW104, IU104)</f>
        <v>0</v>
      </c>
      <c r="IN104" s="12">
        <f>IN$4 * IF(AND(IM$4=1,IJ$20=1), IW104, IU104)</f>
        <v>0</v>
      </c>
      <c r="IO104" s="12">
        <f>IO$4 * IF(AND(IN$4=1,IJ$20=1), IW104, IU104)</f>
        <v>0</v>
      </c>
      <c r="IP104" s="12">
        <f>IP$4 * IF(AND(IO$4=1,IJ$20=1), IW104, IU104)</f>
        <v>0</v>
      </c>
      <c r="IQ104" s="12">
        <f>IQ$4 * IF(AND(IP$4=1,IJ$20=1), IW104, IU104)</f>
        <v>0</v>
      </c>
      <c r="IR104" s="12">
        <f>IR$4 * IF(AND(IQ$4=1,IJ$20=1), IW104, IU104)</f>
        <v>0</v>
      </c>
      <c r="IT104" t="s">
        <v>1304</v>
      </c>
      <c r="IU104">
        <f>_xlfn.XLOOKUP(IT104,'KPI Impacts'!$B$2:$H$2,'KPI Impacts'!$B104:$H104)</f>
        <v>0</v>
      </c>
      <c r="IV104" s="9" t="s">
        <v>1304</v>
      </c>
      <c r="IW104">
        <f>_xlfn.XLOOKUP(IV104,'KPI Impacts'!$B$2:$H$2,'KPI Impacts'!$B104:$H104)</f>
        <v>0</v>
      </c>
      <c r="IZ104" s="12">
        <f>IZ$4*JK104</f>
        <v>0</v>
      </c>
      <c r="JA104" s="12">
        <f>JA$4 * IF(AND(IZ$4=1,IZ$20=1), JM104, JK104)</f>
        <v>0</v>
      </c>
      <c r="JB104" s="12">
        <f>JB$4 * IF(AND(JA$4=1,IZ$20=1), JM104, JK104)</f>
        <v>0</v>
      </c>
      <c r="JC104" s="12">
        <f>JC$4 * IF(AND(JB$4=1,IZ$20=1), JM104, JK104)</f>
        <v>0</v>
      </c>
      <c r="JD104" s="12">
        <f>JD$4 * IF(AND(JC$4=1,IZ$20=1), JM104, JK104)</f>
        <v>0</v>
      </c>
      <c r="JE104" s="12">
        <f>JE$4 * IF(AND(JD$4=1,IZ$20=1), JM104, JK104)</f>
        <v>0</v>
      </c>
      <c r="JF104" s="12">
        <f>JF$4 * IF(AND(JE$4=1,IZ$20=1), JM104, JK104)</f>
        <v>0</v>
      </c>
      <c r="JG104" s="12">
        <f>JG$4 * IF(AND(JF$4=1,IZ$20=1), JM104, JK104)</f>
        <v>0</v>
      </c>
      <c r="JH104" s="12">
        <f>JH$4 * IF(AND(JG$4=1,IZ$20=1), JM104, JK104)</f>
        <v>0</v>
      </c>
      <c r="JJ104" t="s">
        <v>1304</v>
      </c>
      <c r="JK104">
        <f>_xlfn.XLOOKUP(JJ104,'KPI Impacts'!$B$2:$H$2,'KPI Impacts'!$B104:$H104)</f>
        <v>0</v>
      </c>
      <c r="JL104" s="9" t="s">
        <v>1304</v>
      </c>
      <c r="JM104">
        <f>_xlfn.XLOOKUP(JL104,'KPI Impacts'!$B$2:$H$2,'KPI Impacts'!$B104:$H104)</f>
        <v>0</v>
      </c>
      <c r="JP104" s="12">
        <f>JP$4*KA104</f>
        <v>0</v>
      </c>
      <c r="JQ104" s="12">
        <f>JQ$4 * IF(AND(JP$4=1,JP$20=1), KC104, KA104)</f>
        <v>0</v>
      </c>
      <c r="JR104" s="12">
        <f>JR$4 * IF(AND(JQ$4=1,JP$20=1), KC104, KA104)</f>
        <v>0</v>
      </c>
      <c r="JS104" s="12">
        <f>JS$4 * IF(AND(JR$4=1,JP$20=1), KC104, KA104)</f>
        <v>0</v>
      </c>
      <c r="JT104" s="12">
        <f>JT$4 * IF(AND(JS$4=1,JP$20=1), KC104, KA104)</f>
        <v>0</v>
      </c>
      <c r="JU104" s="12">
        <f>JU$4 * IF(AND(JT$4=1,JP$20=1), KC104, KA104)</f>
        <v>0</v>
      </c>
      <c r="JV104" s="12">
        <f>JV$4 * IF(AND(JU$4=1,JP$20=1), KC104, KA104)</f>
        <v>0</v>
      </c>
      <c r="JW104" s="12">
        <f>JW$4 * IF(AND(JV$4=1,JP$20=1), KC104, KA104)</f>
        <v>0</v>
      </c>
      <c r="JX104" s="12">
        <f>JX$4 * IF(AND(JW$4=1,JP$20=1), KC104, KA104)</f>
        <v>0</v>
      </c>
      <c r="JZ104" t="s">
        <v>1304</v>
      </c>
      <c r="KA104">
        <f>_xlfn.XLOOKUP(JZ104,'KPI Impacts'!$B$2:$H$2,'KPI Impacts'!$B104:$H104)</f>
        <v>0</v>
      </c>
      <c r="KB104" s="9" t="s">
        <v>1304</v>
      </c>
      <c r="KC104">
        <f>_xlfn.XLOOKUP(KB104,'KPI Impacts'!$B$2:$H$2,'KPI Impacts'!$B104:$H104)</f>
        <v>0</v>
      </c>
      <c r="KF104" s="12">
        <f>KF$4*KQ104</f>
        <v>0</v>
      </c>
      <c r="KG104" s="12">
        <f>KG$4 * IF(AND(KF$4=1,KF$20=1), KS104, KQ104)</f>
        <v>0</v>
      </c>
      <c r="KH104" s="12">
        <f>KH$4 * IF(AND(KG$4=1,KF$20=1), KS104, KQ104)</f>
        <v>0</v>
      </c>
      <c r="KI104" s="12">
        <f>KI$4 * IF(AND(KH$4=1,KF$20=1), KS104, KQ104)</f>
        <v>0</v>
      </c>
      <c r="KJ104" s="12">
        <f>KJ$4 * IF(AND(KI$4=1,KF$20=1), KS104, KQ104)</f>
        <v>0</v>
      </c>
      <c r="KK104" s="12">
        <f>KK$4 * IF(AND(KJ$4=1,KF$20=1), KS104, KQ104)</f>
        <v>0</v>
      </c>
      <c r="KL104" s="12">
        <f>KL$4 * IF(AND(KK$4=1,KF$20=1), KS104, KQ104)</f>
        <v>0</v>
      </c>
      <c r="KM104" s="12">
        <f>KM$4 * IF(AND(KL$4=1,KF$20=1), KS104, KQ104)</f>
        <v>0</v>
      </c>
      <c r="KN104" s="12">
        <f>KN$4 * IF(AND(KM$4=1,KF$20=1), KS104, KQ104)</f>
        <v>0</v>
      </c>
      <c r="KP104" t="s">
        <v>1304</v>
      </c>
      <c r="KQ104">
        <f>_xlfn.XLOOKUP(KP104,'KPI Impacts'!$B$2:$H$2,'KPI Impacts'!$B104:$H104)</f>
        <v>0</v>
      </c>
      <c r="KR104" s="9" t="s">
        <v>1304</v>
      </c>
      <c r="KS104">
        <f>_xlfn.XLOOKUP(KR104,'KPI Impacts'!$B$2:$H$2,'KPI Impacts'!$B104:$H104)</f>
        <v>0</v>
      </c>
      <c r="KV104" s="12">
        <f>KV$4*LG104</f>
        <v>0</v>
      </c>
      <c r="KW104" s="12">
        <f>KW$4 * IF(AND(KV$4=1,KV$20=1), LI104, LG104)</f>
        <v>0</v>
      </c>
      <c r="KX104" s="12">
        <f>KX$4 * IF(AND(KW$4=1,KV$20=1), LI104, LG104)</f>
        <v>0</v>
      </c>
      <c r="KY104" s="12">
        <f>KY$4 * IF(AND(KX$4=1,KV$20=1), LI104, LG104)</f>
        <v>0</v>
      </c>
      <c r="KZ104" s="12">
        <f>KZ$4 * IF(AND(KY$4=1,KV$20=1), LI104, LG104)</f>
        <v>0</v>
      </c>
      <c r="LA104" s="12">
        <f>LA$4 * IF(AND(KZ$4=1,KV$20=1), LI104, LG104)</f>
        <v>0</v>
      </c>
      <c r="LB104" s="12">
        <f>LB$4 * IF(AND(LA$4=1,KV$20=1), LI104, LG104)</f>
        <v>0</v>
      </c>
      <c r="LC104" s="12">
        <f>LC$4 * IF(AND(LB$4=1,KV$20=1), LI104, LG104)</f>
        <v>0</v>
      </c>
      <c r="LD104" s="12">
        <f>LD$4 * IF(AND(LC$4=1,KV$20=1), LI104, LG104)</f>
        <v>0</v>
      </c>
      <c r="LF104" t="s">
        <v>1304</v>
      </c>
      <c r="LG104">
        <f>_xlfn.XLOOKUP(LF104,'KPI Impacts'!$B$2:$H$2,'KPI Impacts'!$B104:$H104)</f>
        <v>0</v>
      </c>
      <c r="LH104" s="9" t="s">
        <v>1304</v>
      </c>
      <c r="LI104">
        <f>_xlfn.XLOOKUP(LH104,'KPI Impacts'!$B$2:$H$2,'KPI Impacts'!$B104:$H104)</f>
        <v>0</v>
      </c>
      <c r="LL104" s="12">
        <f>LL$4*LW104</f>
        <v>0</v>
      </c>
      <c r="LM104" s="12">
        <f>LM$4 * IF(AND(LL$4=1,LL$20=1), LY104, LW104)</f>
        <v>0</v>
      </c>
      <c r="LN104" s="12">
        <f>LN$4 * IF(AND(LM$4=1,LL$20=1), LY104, LW104)</f>
        <v>0</v>
      </c>
      <c r="LO104" s="12">
        <f>LO$4 * IF(AND(LN$4=1,LL$20=1), LY104, LW104)</f>
        <v>0</v>
      </c>
      <c r="LP104" s="12">
        <f>LP$4 * IF(AND(LO$4=1,LL$20=1), LY104, LW104)</f>
        <v>0</v>
      </c>
      <c r="LQ104" s="12">
        <f>LQ$4 * IF(AND(LP$4=1,LL$20=1), LY104, LW104)</f>
        <v>0</v>
      </c>
      <c r="LR104" s="12">
        <f>LR$4 * IF(AND(LQ$4=1,LL$20=1), LY104, LW104)</f>
        <v>0</v>
      </c>
      <c r="LS104" s="12">
        <f>LS$4 * IF(AND(LR$4=1,LL$20=1), LY104, LW104)</f>
        <v>0</v>
      </c>
      <c r="LT104" s="12">
        <f>LT$4 * IF(AND(LS$4=1,LL$20=1), LY104, LW104)</f>
        <v>0</v>
      </c>
      <c r="LV104" t="s">
        <v>1304</v>
      </c>
      <c r="LW104">
        <f>_xlfn.XLOOKUP(LV104,'KPI Impacts'!$B$2:$H$2,'KPI Impacts'!$B104:$H104)</f>
        <v>0</v>
      </c>
      <c r="LX104" s="9" t="s">
        <v>1304</v>
      </c>
      <c r="LY104">
        <f>_xlfn.XLOOKUP(LX104,'KPI Impacts'!$B$2:$H$2,'KPI Impacts'!$B104:$H104)</f>
        <v>0</v>
      </c>
      <c r="MB104" s="12">
        <f>MB$4*MM104</f>
        <v>0</v>
      </c>
      <c r="MC104" s="12">
        <f>MC$4 * IF(AND(MB$4=1,MB$20=1), MO104, MM104)</f>
        <v>0</v>
      </c>
      <c r="MD104" s="12">
        <f>MD$4 * IF(AND(MC$4=1,MB$20=1), MO104, MM104)</f>
        <v>0</v>
      </c>
      <c r="ME104" s="12">
        <f>ME$4 * IF(AND(MD$4=1,MB$20=1), MO104, MM104)</f>
        <v>0</v>
      </c>
      <c r="MF104" s="12">
        <f>MF$4 * IF(AND(ME$4=1,MB$20=1), MO104, MM104)</f>
        <v>0</v>
      </c>
      <c r="MG104" s="12">
        <f>MG$4 * IF(AND(MF$4=1,MB$20=1), MO104, MM104)</f>
        <v>0</v>
      </c>
      <c r="MH104" s="12">
        <f>MH$4 * IF(AND(MG$4=1,MB$20=1), MO104, MM104)</f>
        <v>0</v>
      </c>
      <c r="MI104" s="12">
        <f>MI$4 * IF(AND(MH$4=1,MB$20=1), MO104, MM104)</f>
        <v>0</v>
      </c>
      <c r="MJ104" s="12">
        <f>MJ$4 * IF(AND(MI$4=1,MB$20=1), MO104, MM104)</f>
        <v>0</v>
      </c>
      <c r="ML104" t="s">
        <v>1304</v>
      </c>
      <c r="MM104">
        <f>_xlfn.XLOOKUP(ML104,'KPI Impacts'!$B$2:$H$2,'KPI Impacts'!$B104:$H104)</f>
        <v>0</v>
      </c>
      <c r="MN104" s="9" t="s">
        <v>1304</v>
      </c>
      <c r="MO104">
        <f>_xlfn.XLOOKUP(MN104,'KPI Impacts'!$B$2:$H$2,'KPI Impacts'!$B104:$H104)</f>
        <v>0</v>
      </c>
      <c r="MR104" s="12">
        <f>MR$4*NC104</f>
        <v>0</v>
      </c>
      <c r="MS104" s="12">
        <f>MS$4 * IF(AND(MR$4=1,MR$20=1), NE104, NC104)</f>
        <v>0</v>
      </c>
      <c r="MT104" s="12">
        <f>MT$4 * IF(AND(MS$4=1,MR$20=1), NE104, NC104)</f>
        <v>0</v>
      </c>
      <c r="MU104" s="12">
        <f>MU$4 * IF(AND(MT$4=1,MR$20=1), NE104, NC104)</f>
        <v>0</v>
      </c>
      <c r="MV104" s="12">
        <f>MV$4 * IF(AND(MU$4=1,MR$20=1), NE104, NC104)</f>
        <v>0</v>
      </c>
      <c r="MW104" s="12">
        <f>MW$4 * IF(AND(MV$4=1,MR$20=1), NE104, NC104)</f>
        <v>0</v>
      </c>
      <c r="MX104" s="12">
        <f>MX$4 * IF(AND(MW$4=1,MR$20=1), NE104, NC104)</f>
        <v>0</v>
      </c>
      <c r="MY104" s="12">
        <f>MY$4 * IF(AND(MX$4=1,MR$20=1), NE104, NC104)</f>
        <v>0</v>
      </c>
      <c r="MZ104" s="12">
        <f>MZ$4 * IF(AND(MY$4=1,MR$20=1), NE104, NC104)</f>
        <v>0</v>
      </c>
      <c r="NB104" t="s">
        <v>1304</v>
      </c>
      <c r="NC104">
        <f>_xlfn.XLOOKUP(NB104,'KPI Impacts'!$B$2:$H$2,'KPI Impacts'!$B104:$H104)</f>
        <v>0</v>
      </c>
      <c r="ND104" s="9" t="s">
        <v>1304</v>
      </c>
      <c r="NE104">
        <f>_xlfn.XLOOKUP(ND104,'KPI Impacts'!$B$2:$H$2,'KPI Impacts'!$B104:$H104)</f>
        <v>0</v>
      </c>
      <c r="NH104" s="12">
        <f>NH$4*NS104</f>
        <v>0</v>
      </c>
      <c r="NI104" s="12">
        <f>NI$4 * IF(AND(NH$4=1,NH$20=1), NU104, NS104)</f>
        <v>0</v>
      </c>
      <c r="NJ104" s="12">
        <f>NJ$4 * IF(AND(NI$4=1,NH$20=1), NU104, NS104)</f>
        <v>0</v>
      </c>
      <c r="NK104" s="12">
        <f>NK$4 * IF(AND(NJ$4=1,NH$20=1), NU104, NS104)</f>
        <v>0</v>
      </c>
      <c r="NL104" s="12">
        <f>NL$4 * IF(AND(NK$4=1,NH$20=1), NU104, NS104)</f>
        <v>0</v>
      </c>
      <c r="NM104" s="12">
        <f>NM$4 * IF(AND(NL$4=1,NH$20=1), NU104, NS104)</f>
        <v>0</v>
      </c>
      <c r="NN104" s="12">
        <f>NN$4 * IF(AND(NM$4=1,NH$20=1), NU104, NS104)</f>
        <v>0</v>
      </c>
      <c r="NO104" s="12">
        <f>NO$4 * IF(AND(NN$4=1,NH$20=1), NU104, NS104)</f>
        <v>0</v>
      </c>
      <c r="NP104" s="12">
        <f>NP$4 * IF(AND(NO$4=1,NH$20=1), NU104, NS104)</f>
        <v>0</v>
      </c>
      <c r="NR104" t="s">
        <v>1304</v>
      </c>
      <c r="NS104">
        <f>_xlfn.XLOOKUP(NR104,'KPI Impacts'!$B$2:$H$2,'KPI Impacts'!$B104:$H104)</f>
        <v>0</v>
      </c>
      <c r="NT104" s="9" t="s">
        <v>1304</v>
      </c>
      <c r="NU104">
        <f>_xlfn.XLOOKUP(NT104,'KPI Impacts'!$B$2:$H$2,'KPI Impacts'!$B104:$H104)</f>
        <v>0</v>
      </c>
      <c r="NX104" s="12">
        <f>NX$4*OI104</f>
        <v>0</v>
      </c>
      <c r="NY104" s="12">
        <f>NY$4 * IF(AND(NX$4=1,NX$20=1), OK104, OI104)</f>
        <v>0</v>
      </c>
      <c r="NZ104" s="12">
        <f>NZ$4 * IF(AND(NY$4=1,NX$20=1), OK104, OI104)</f>
        <v>0</v>
      </c>
      <c r="OA104" s="12">
        <f>OA$4 * IF(AND(NZ$4=1,NX$20=1), OK104, OI104)</f>
        <v>0</v>
      </c>
      <c r="OB104" s="12">
        <f>OB$4 * IF(AND(OA$4=1,NX$20=1), OK104, OI104)</f>
        <v>0</v>
      </c>
      <c r="OC104" s="12">
        <f>OC$4 * IF(AND(OB$4=1,NX$20=1), OK104, OI104)</f>
        <v>0</v>
      </c>
      <c r="OD104" s="12">
        <f>OD$4 * IF(AND(OC$4=1,NX$20=1), OK104, OI104)</f>
        <v>0</v>
      </c>
      <c r="OE104" s="12">
        <f>OE$4 * IF(AND(OD$4=1,NX$20=1), OK104, OI104)</f>
        <v>0</v>
      </c>
      <c r="OF104" s="12">
        <f>OF$4 * IF(AND(OE$4=1,NX$20=1), OK104, OI104)</f>
        <v>0</v>
      </c>
      <c r="OH104" t="s">
        <v>1304</v>
      </c>
      <c r="OI104">
        <f>_xlfn.XLOOKUP(OH104,'KPI Impacts'!$B$2:$H$2,'KPI Impacts'!$B104:$H104)</f>
        <v>0</v>
      </c>
      <c r="OJ104" s="9" t="s">
        <v>1304</v>
      </c>
      <c r="OK104">
        <f>_xlfn.XLOOKUP(OJ104,'KPI Impacts'!$B$2:$H$2,'KPI Impacts'!$B104:$H104)</f>
        <v>0</v>
      </c>
    </row>
    <row r="105" spans="1:499" x14ac:dyDescent="0.2">
      <c r="B105" s="6"/>
      <c r="C105" s="6"/>
      <c r="D105" s="6"/>
      <c r="E105" s="6"/>
      <c r="F105" s="6"/>
      <c r="G105" s="6"/>
      <c r="H105" s="6"/>
      <c r="I105" s="6"/>
      <c r="J105" s="6"/>
      <c r="BL105" s="9"/>
      <c r="CB105" s="9"/>
      <c r="CR105" s="9"/>
      <c r="DH105" s="9"/>
      <c r="DX105" s="9"/>
      <c r="EN105" s="9"/>
      <c r="FD105" s="9"/>
      <c r="FT105" s="9"/>
      <c r="GJ105" s="9"/>
      <c r="GZ105" s="9"/>
      <c r="HP105" s="9"/>
      <c r="IF105" s="9"/>
      <c r="IV105" s="9"/>
      <c r="JL105" s="9"/>
      <c r="KB105" s="9"/>
      <c r="KR105" s="9"/>
      <c r="LH105" s="9"/>
      <c r="LX105" s="9"/>
      <c r="MN105" s="9"/>
      <c r="ND105" s="9"/>
      <c r="NT105" s="9"/>
      <c r="OJ105" s="9"/>
    </row>
    <row r="106" spans="1:499" x14ac:dyDescent="0.2">
      <c r="A106" s="3"/>
      <c r="BL106" s="9"/>
      <c r="CB106" s="9"/>
      <c r="CR106" s="9"/>
      <c r="DH106" s="9"/>
      <c r="DX106" s="9"/>
      <c r="EN106" s="9"/>
      <c r="FD106" s="9"/>
      <c r="FT106" s="9"/>
      <c r="GJ106" s="9"/>
      <c r="GM106" s="3"/>
      <c r="GZ106" s="9"/>
      <c r="HC106" s="3"/>
      <c r="HP106" s="9"/>
      <c r="HS106" s="3"/>
      <c r="IF106" s="9"/>
      <c r="II106" s="3"/>
      <c r="IV106" s="9"/>
      <c r="IY106" s="3"/>
      <c r="JL106" s="9"/>
      <c r="JO106" s="3"/>
      <c r="KB106" s="9"/>
      <c r="KE106" s="3"/>
      <c r="KR106" s="9"/>
      <c r="KU106" s="3"/>
      <c r="LH106" s="9"/>
      <c r="LK106" s="3"/>
      <c r="LX106" s="9"/>
      <c r="MA106" s="3"/>
      <c r="MN106" s="9"/>
      <c r="MQ106" s="3"/>
      <c r="ND106" s="9"/>
      <c r="NG106" s="3"/>
      <c r="NT106" s="9"/>
      <c r="NW106" s="3"/>
      <c r="OJ106" s="9"/>
      <c r="OY106" s="3"/>
      <c r="PM106" s="3"/>
      <c r="QA106" s="3"/>
      <c r="QO106" s="3"/>
      <c r="RC106" s="3"/>
      <c r="SE106" s="3"/>
    </row>
    <row r="107" spans="1:499" x14ac:dyDescent="0.2">
      <c r="A107" s="5" t="s">
        <v>42</v>
      </c>
      <c r="BL107" s="9"/>
      <c r="CB107" s="9"/>
      <c r="CR107" s="9"/>
      <c r="DH107" s="9"/>
      <c r="DX107" s="9"/>
      <c r="EN107" s="9"/>
      <c r="FD107" s="9"/>
      <c r="FT107" s="9"/>
      <c r="GJ107" s="9"/>
      <c r="GZ107" s="9"/>
      <c r="HP107" s="9"/>
      <c r="IF107" s="9"/>
      <c r="IV107" s="9"/>
      <c r="JL107" s="9"/>
      <c r="KB107" s="9"/>
      <c r="KR107" s="9"/>
      <c r="LH107" s="9"/>
      <c r="LX107" s="9"/>
      <c r="MN107" s="9"/>
      <c r="ND107" s="9"/>
      <c r="NT107" s="9"/>
      <c r="OJ107" s="9"/>
    </row>
    <row r="108" spans="1:499" x14ac:dyDescent="0.2">
      <c r="A108" t="s">
        <v>1622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BL108" s="9"/>
      <c r="CB108" s="9"/>
      <c r="CR108" s="9"/>
      <c r="DH108" s="9"/>
      <c r="DX108" s="9"/>
      <c r="EN108" s="9"/>
      <c r="FD108" s="9"/>
      <c r="FT108" s="9"/>
      <c r="GJ108" s="9"/>
      <c r="GZ108" s="9"/>
      <c r="HP108" s="9"/>
      <c r="IF108" s="9"/>
      <c r="IV108" s="9"/>
      <c r="JL108" s="9"/>
      <c r="KB108" s="9"/>
      <c r="KR108" s="9"/>
      <c r="LH108" s="9"/>
      <c r="LX108" s="9"/>
      <c r="MN108" s="9"/>
      <c r="ND108" s="9"/>
      <c r="NT108" s="9"/>
      <c r="OJ108" s="9"/>
    </row>
    <row r="109" spans="1:499" x14ac:dyDescent="0.2">
      <c r="A109" t="s">
        <v>1623</v>
      </c>
      <c r="B109" s="8">
        <f>P6+AH6+AZ11+BP11+CF11+CV11+DL11+EB11+ER11+FH11+FX11+GN11+HD11+HT11+IJ11+IZ11+JP11+KF11+KV11+LL11+MB11+MR11+NH11+NX11</f>
        <v>0</v>
      </c>
      <c r="C109" s="8">
        <f t="shared" ref="C109:J109" si="522">Q6+AI6+BA11+BQ11+CG11+CW11+DM11+EC11+ES11+FI11+FY11+GO11+HE11+HU11+IK11+JA11+JQ11+KG11+KW11+LM11+MC11+MS11+NI11+NY11</f>
        <v>0</v>
      </c>
      <c r="D109" s="8">
        <f t="shared" si="522"/>
        <v>0</v>
      </c>
      <c r="E109" s="8">
        <f t="shared" si="522"/>
        <v>0</v>
      </c>
      <c r="F109" s="8">
        <f t="shared" si="522"/>
        <v>0</v>
      </c>
      <c r="G109" s="8">
        <f t="shared" si="522"/>
        <v>0</v>
      </c>
      <c r="H109" s="8">
        <f t="shared" si="522"/>
        <v>0</v>
      </c>
      <c r="I109" s="8">
        <f>W6+AO6+BG11+BW11+CM11+DC11+DS11+EI11+EY11+FO11+GE11+GU11+HK11+IA11+IQ11+JG11+JW11+KM11+LC11+LS11+MI11+MY11+NO11+OE11</f>
        <v>0</v>
      </c>
      <c r="J109" s="8">
        <f t="shared" si="522"/>
        <v>0</v>
      </c>
      <c r="K109" s="8"/>
      <c r="L109" s="8"/>
      <c r="M109" s="8"/>
      <c r="BL109" s="9"/>
      <c r="CB109" s="9"/>
      <c r="CR109" s="9"/>
      <c r="DH109" s="9"/>
      <c r="DX109" s="9"/>
      <c r="EN109" s="9"/>
      <c r="FD109" s="9"/>
      <c r="FT109" s="9"/>
      <c r="GJ109" s="9"/>
      <c r="GZ109" s="9"/>
      <c r="HP109" s="9"/>
      <c r="IF109" s="9"/>
      <c r="IV109" s="9"/>
      <c r="JL109" s="9"/>
      <c r="KB109" s="9"/>
      <c r="KR109" s="9"/>
      <c r="LH109" s="9"/>
      <c r="LX109" s="9"/>
      <c r="MN109" s="9"/>
      <c r="ND109" s="9"/>
      <c r="NT109" s="9"/>
      <c r="OJ109" s="9"/>
    </row>
    <row r="110" spans="1:499" x14ac:dyDescent="0.2">
      <c r="A110" t="s">
        <v>1624</v>
      </c>
      <c r="B110" s="10">
        <f t="shared" ref="B110:J110" si="523">AZ13+BP13+CF13+CV13+DL13+EB13+ER13+FH13+FX13+GN13+HD13+HT13+IJ13+IZ13+JP13+KF13+KV13+LL13+MB13+MR13+NH13+NX13</f>
        <v>0</v>
      </c>
      <c r="C110" s="10">
        <f t="shared" si="523"/>
        <v>0</v>
      </c>
      <c r="D110" s="10">
        <f t="shared" si="523"/>
        <v>0</v>
      </c>
      <c r="E110" s="10">
        <f t="shared" si="523"/>
        <v>0</v>
      </c>
      <c r="F110" s="10">
        <f t="shared" si="523"/>
        <v>0</v>
      </c>
      <c r="G110" s="10">
        <f t="shared" si="523"/>
        <v>0</v>
      </c>
      <c r="H110" s="10">
        <f t="shared" si="523"/>
        <v>0</v>
      </c>
      <c r="I110" s="10">
        <f t="shared" si="523"/>
        <v>0</v>
      </c>
      <c r="J110" s="10">
        <f t="shared" si="523"/>
        <v>0</v>
      </c>
      <c r="BL110" s="9"/>
      <c r="CB110" s="9"/>
      <c r="CR110" s="9"/>
      <c r="DH110" s="9"/>
      <c r="DX110" s="9"/>
      <c r="EN110" s="9"/>
      <c r="FD110" s="9"/>
      <c r="FT110" s="9"/>
      <c r="GJ110" s="9"/>
      <c r="GZ110" s="9"/>
      <c r="HP110" s="9"/>
      <c r="IF110" s="9"/>
      <c r="IV110" s="9"/>
      <c r="JL110" s="9"/>
      <c r="KB110" s="9"/>
      <c r="KR110" s="9"/>
      <c r="LH110" s="9"/>
      <c r="LX110" s="9"/>
      <c r="MN110" s="9"/>
      <c r="ND110" s="9"/>
      <c r="NT110" s="9"/>
      <c r="OJ110" s="9"/>
    </row>
    <row r="111" spans="1:499" x14ac:dyDescent="0.2">
      <c r="A111" t="s">
        <v>1625</v>
      </c>
      <c r="B111" s="10">
        <f>B108-B110</f>
        <v>0</v>
      </c>
      <c r="C111" s="10">
        <f t="shared" ref="C111:J111" si="524">C108-C110</f>
        <v>100000000</v>
      </c>
      <c r="D111" s="10">
        <f t="shared" si="524"/>
        <v>100000000</v>
      </c>
      <c r="E111" s="10">
        <f t="shared" si="524"/>
        <v>100000000</v>
      </c>
      <c r="F111" s="10">
        <f t="shared" si="524"/>
        <v>100000000</v>
      </c>
      <c r="G111" s="10">
        <f t="shared" si="524"/>
        <v>100000000</v>
      </c>
      <c r="H111" s="10">
        <f t="shared" si="524"/>
        <v>100000000</v>
      </c>
      <c r="I111" s="10">
        <f t="shared" si="524"/>
        <v>100000000</v>
      </c>
      <c r="J111" s="10">
        <f t="shared" si="524"/>
        <v>100000000</v>
      </c>
      <c r="BL111" s="9"/>
      <c r="CB111" s="9"/>
      <c r="CR111" s="9"/>
      <c r="DH111" s="9"/>
      <c r="DX111" s="9"/>
      <c r="EN111" s="9"/>
      <c r="FD111" s="9"/>
      <c r="FT111" s="9"/>
      <c r="GJ111" s="9"/>
      <c r="GZ111" s="9"/>
      <c r="HP111" s="9"/>
      <c r="IF111" s="9"/>
      <c r="IV111" s="9"/>
      <c r="JL111" s="9"/>
      <c r="KB111" s="9"/>
      <c r="KR111" s="9"/>
      <c r="LH111" s="9"/>
      <c r="LX111" s="9"/>
      <c r="MN111" s="9"/>
      <c r="ND111" s="9"/>
      <c r="NT111" s="9"/>
      <c r="OJ111" s="9"/>
    </row>
    <row r="112" spans="1:499" x14ac:dyDescent="0.2">
      <c r="A112" t="s">
        <v>1626</v>
      </c>
      <c r="B112" s="8">
        <f>B109+B110</f>
        <v>0</v>
      </c>
      <c r="C112" s="8">
        <f t="shared" ref="C112:J112" si="525">C109+C110</f>
        <v>0</v>
      </c>
      <c r="D112" s="8">
        <f t="shared" si="525"/>
        <v>0</v>
      </c>
      <c r="E112" s="8">
        <f t="shared" si="525"/>
        <v>0</v>
      </c>
      <c r="F112" s="8">
        <f t="shared" si="525"/>
        <v>0</v>
      </c>
      <c r="G112" s="8">
        <f t="shared" si="525"/>
        <v>0</v>
      </c>
      <c r="H112" s="8">
        <f t="shared" si="525"/>
        <v>0</v>
      </c>
      <c r="I112" s="8">
        <f t="shared" si="525"/>
        <v>0</v>
      </c>
      <c r="J112" s="8">
        <f t="shared" si="525"/>
        <v>0</v>
      </c>
      <c r="O112" s="5"/>
      <c r="AG112" s="5"/>
      <c r="BL112" s="9"/>
      <c r="CB112" s="9"/>
      <c r="CR112" s="9"/>
      <c r="DH112" s="9"/>
      <c r="DX112" s="9"/>
      <c r="EN112" s="9"/>
      <c r="FD112" s="9"/>
      <c r="FT112" s="9"/>
      <c r="GJ112" s="9"/>
      <c r="GZ112" s="9"/>
      <c r="HP112" s="9"/>
      <c r="IF112" s="9"/>
      <c r="IV112" s="9"/>
      <c r="JL112" s="9"/>
      <c r="KB112" s="9"/>
      <c r="KR112" s="9"/>
      <c r="LH112" s="9"/>
      <c r="LX112" s="9"/>
      <c r="MN112" s="9"/>
      <c r="ND112" s="9"/>
      <c r="NT112" s="9"/>
      <c r="OJ112" s="9"/>
    </row>
    <row r="113" spans="1:400" x14ac:dyDescent="0.2">
      <c r="A113" t="s">
        <v>1627</v>
      </c>
      <c r="B113" s="8">
        <f>B108-B112</f>
        <v>0</v>
      </c>
      <c r="C113" s="8">
        <f t="shared" ref="C113:J113" si="526">C108-C112</f>
        <v>100000000</v>
      </c>
      <c r="D113" s="8">
        <f t="shared" si="526"/>
        <v>100000000</v>
      </c>
      <c r="E113" s="8">
        <f t="shared" si="526"/>
        <v>100000000</v>
      </c>
      <c r="F113" s="8">
        <f t="shared" si="526"/>
        <v>100000000</v>
      </c>
      <c r="G113" s="8">
        <f t="shared" si="526"/>
        <v>100000000</v>
      </c>
      <c r="H113" s="8">
        <f t="shared" si="526"/>
        <v>100000000</v>
      </c>
      <c r="I113" s="8">
        <f t="shared" si="526"/>
        <v>100000000</v>
      </c>
      <c r="J113" s="8">
        <f t="shared" si="526"/>
        <v>100000000</v>
      </c>
      <c r="K113" s="8"/>
      <c r="L113" s="8"/>
      <c r="M113" s="8"/>
      <c r="AY113" s="5"/>
      <c r="BL113" s="9"/>
      <c r="BO113" s="5"/>
      <c r="CB113" s="9"/>
      <c r="CE113" s="5"/>
      <c r="CR113" s="9"/>
      <c r="CU113" s="5"/>
      <c r="DH113" s="9"/>
      <c r="DK113" s="5"/>
      <c r="DX113" s="9"/>
      <c r="EA113" s="5"/>
      <c r="EN113" s="9"/>
      <c r="EQ113" s="5"/>
      <c r="FD113" s="9"/>
      <c r="FG113" s="5"/>
      <c r="FT113" s="9"/>
      <c r="FW113" s="5"/>
      <c r="GJ113" s="9"/>
      <c r="GZ113" s="9"/>
      <c r="HP113" s="9"/>
      <c r="IF113" s="9"/>
      <c r="IV113" s="9"/>
      <c r="JL113" s="9"/>
      <c r="KB113" s="9"/>
      <c r="KR113" s="9"/>
      <c r="LH113" s="9"/>
      <c r="LX113" s="9"/>
      <c r="MN113" s="9"/>
      <c r="ND113" s="9"/>
      <c r="NT113" s="9"/>
      <c r="OJ113" s="9"/>
    </row>
    <row r="114" spans="1:400" x14ac:dyDescent="0.2">
      <c r="A114" t="s">
        <v>1628</v>
      </c>
      <c r="B114" s="8">
        <f>C110</f>
        <v>0</v>
      </c>
      <c r="C114" s="8">
        <f t="shared" ref="C114:I114" si="527">D110</f>
        <v>0</v>
      </c>
      <c r="D114" s="8">
        <f t="shared" si="527"/>
        <v>0</v>
      </c>
      <c r="E114" s="8">
        <f t="shared" si="527"/>
        <v>0</v>
      </c>
      <c r="F114" s="8">
        <f t="shared" si="527"/>
        <v>0</v>
      </c>
      <c r="G114" s="8">
        <f t="shared" si="527"/>
        <v>0</v>
      </c>
      <c r="H114" s="8">
        <f t="shared" si="527"/>
        <v>0</v>
      </c>
      <c r="I114" s="8">
        <f t="shared" si="527"/>
        <v>0</v>
      </c>
      <c r="J114" s="8">
        <f>K110</f>
        <v>0</v>
      </c>
      <c r="K114" s="8"/>
      <c r="L114" s="8"/>
      <c r="M114" s="8"/>
      <c r="BL114" s="9"/>
      <c r="CB114" s="9"/>
      <c r="CR114" s="9"/>
      <c r="DH114" s="9"/>
      <c r="DX114" s="9"/>
      <c r="EN114" s="9"/>
      <c r="FD114" s="9"/>
      <c r="FT114" s="9"/>
      <c r="GJ114" s="9"/>
      <c r="GZ114" s="9"/>
      <c r="HP114" s="9"/>
      <c r="IF114" s="9"/>
      <c r="IV114" s="9"/>
      <c r="JL114" s="9"/>
      <c r="KB114" s="9"/>
      <c r="KR114" s="9"/>
      <c r="LH114" s="9"/>
      <c r="LX114" s="9"/>
      <c r="MN114" s="9"/>
      <c r="ND114" s="9"/>
      <c r="NT114" s="9"/>
      <c r="OJ114" s="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A5A5-374B-104D-9B7F-A4AE6537500C}">
  <dimension ref="A1:SN114"/>
  <sheetViews>
    <sheetView zoomScaleNormal="100" workbookViewId="0">
      <pane xSplit="1" ySplit="20" topLeftCell="GM21" activePane="bottomRight" state="frozen"/>
      <selection pane="topRight" activeCell="B1" sqref="B1"/>
      <selection pane="bottomLeft" activeCell="A21" sqref="A21"/>
      <selection pane="bottomRight" activeCell="GM62" sqref="GM62"/>
    </sheetView>
  </sheetViews>
  <sheetFormatPr baseColWidth="10" defaultColWidth="13.83203125" defaultRowHeight="15" x14ac:dyDescent="0.2"/>
  <cols>
    <col min="1" max="1" width="25.83203125" customWidth="1"/>
    <col min="2" max="10" width="16.1640625" customWidth="1"/>
    <col min="15" max="15" width="25.83203125" customWidth="1"/>
    <col min="33" max="33" width="25.83203125" customWidth="1"/>
    <col min="51" max="51" width="25.83203125" customWidth="1"/>
    <col min="67" max="67" width="25.83203125" customWidth="1"/>
    <col min="83" max="83" width="25.83203125" customWidth="1"/>
    <col min="99" max="99" width="25.83203125" customWidth="1"/>
    <col min="115" max="115" width="25.83203125" customWidth="1"/>
    <col min="131" max="131" width="25.83203125" customWidth="1"/>
    <col min="147" max="147" width="25.83203125" customWidth="1"/>
    <col min="163" max="163" width="25.6640625" customWidth="1"/>
    <col min="179" max="179" width="25.6640625" customWidth="1"/>
    <col min="195" max="195" width="25.6640625" customWidth="1"/>
    <col min="211" max="211" width="25.6640625" customWidth="1"/>
    <col min="227" max="227" width="25.6640625" customWidth="1"/>
    <col min="243" max="243" width="25.6640625" customWidth="1"/>
    <col min="259" max="259" width="25.6640625" customWidth="1"/>
    <col min="275" max="275" width="25.6640625" customWidth="1"/>
    <col min="291" max="291" width="25.6640625" customWidth="1"/>
    <col min="307" max="307" width="25.6640625" customWidth="1"/>
    <col min="323" max="323" width="25.6640625" customWidth="1"/>
    <col min="339" max="339" width="25.6640625" customWidth="1"/>
    <col min="355" max="355" width="25.6640625" customWidth="1"/>
    <col min="371" max="371" width="25.6640625" customWidth="1"/>
    <col min="387" max="387" width="25.6640625" customWidth="1"/>
  </cols>
  <sheetData>
    <row r="1" spans="1:508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 s="9"/>
      <c r="P1">
        <v>0</v>
      </c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Z1" s="26" t="s">
        <v>10</v>
      </c>
      <c r="AA1" s="6"/>
      <c r="AB1" s="26" t="s">
        <v>7</v>
      </c>
      <c r="AC1" s="6"/>
      <c r="AD1" s="26" t="s">
        <v>11</v>
      </c>
      <c r="AE1" s="6"/>
      <c r="AH1">
        <v>0</v>
      </c>
      <c r="AI1">
        <v>1</v>
      </c>
      <c r="AJ1">
        <v>2</v>
      </c>
      <c r="AK1">
        <v>3</v>
      </c>
      <c r="AL1">
        <v>4</v>
      </c>
      <c r="AM1">
        <v>5</v>
      </c>
      <c r="AN1">
        <v>6</v>
      </c>
      <c r="AO1">
        <v>7</v>
      </c>
      <c r="AP1">
        <v>8</v>
      </c>
      <c r="AR1" s="26" t="s">
        <v>10</v>
      </c>
      <c r="AS1" s="6"/>
      <c r="AT1" s="26" t="s">
        <v>7</v>
      </c>
      <c r="AU1" s="6"/>
      <c r="AV1" s="26" t="s">
        <v>11</v>
      </c>
      <c r="AW1" s="6"/>
      <c r="AZ1">
        <v>0</v>
      </c>
      <c r="BA1">
        <v>1</v>
      </c>
      <c r="BB1">
        <v>2</v>
      </c>
      <c r="BC1">
        <v>3</v>
      </c>
      <c r="BD1">
        <v>4</v>
      </c>
      <c r="BE1">
        <v>5</v>
      </c>
      <c r="BF1">
        <v>6</v>
      </c>
      <c r="BG1">
        <v>7</v>
      </c>
      <c r="BH1">
        <v>8</v>
      </c>
      <c r="BJ1" s="34" t="s">
        <v>1870</v>
      </c>
      <c r="BK1" s="6"/>
      <c r="BL1" s="34" t="s">
        <v>1871</v>
      </c>
      <c r="BM1" s="6"/>
      <c r="BP1">
        <v>0</v>
      </c>
      <c r="BQ1">
        <v>1</v>
      </c>
      <c r="BR1">
        <v>2</v>
      </c>
      <c r="BS1">
        <v>3</v>
      </c>
      <c r="BT1">
        <v>4</v>
      </c>
      <c r="BU1">
        <v>5</v>
      </c>
      <c r="BV1">
        <v>6</v>
      </c>
      <c r="BW1">
        <v>7</v>
      </c>
      <c r="BX1">
        <v>8</v>
      </c>
      <c r="BZ1" s="34" t="s">
        <v>1870</v>
      </c>
      <c r="CA1" s="6"/>
      <c r="CB1" s="34" t="s">
        <v>1871</v>
      </c>
      <c r="CC1" s="6"/>
      <c r="CF1">
        <v>0</v>
      </c>
      <c r="CG1">
        <v>1</v>
      </c>
      <c r="CH1">
        <v>2</v>
      </c>
      <c r="CI1">
        <v>3</v>
      </c>
      <c r="CJ1">
        <v>4</v>
      </c>
      <c r="CK1">
        <v>5</v>
      </c>
      <c r="CL1">
        <v>6</v>
      </c>
      <c r="CM1">
        <v>7</v>
      </c>
      <c r="CN1">
        <v>8</v>
      </c>
      <c r="CP1" s="34" t="s">
        <v>1870</v>
      </c>
      <c r="CQ1" s="6"/>
      <c r="CR1" s="34" t="s">
        <v>1871</v>
      </c>
      <c r="CS1" s="6"/>
      <c r="CV1">
        <v>0</v>
      </c>
      <c r="CW1">
        <v>1</v>
      </c>
      <c r="CX1">
        <v>2</v>
      </c>
      <c r="CY1">
        <v>3</v>
      </c>
      <c r="CZ1">
        <v>4</v>
      </c>
      <c r="DA1">
        <v>5</v>
      </c>
      <c r="DB1">
        <v>6</v>
      </c>
      <c r="DC1">
        <v>7</v>
      </c>
      <c r="DD1">
        <v>8</v>
      </c>
      <c r="DF1" s="34" t="s">
        <v>1870</v>
      </c>
      <c r="DG1" s="6"/>
      <c r="DH1" s="34" t="s">
        <v>1871</v>
      </c>
      <c r="DI1" s="6"/>
      <c r="DL1">
        <v>0</v>
      </c>
      <c r="DM1">
        <v>1</v>
      </c>
      <c r="DN1">
        <v>2</v>
      </c>
      <c r="DO1">
        <v>3</v>
      </c>
      <c r="DP1">
        <v>4</v>
      </c>
      <c r="DQ1">
        <v>5</v>
      </c>
      <c r="DR1">
        <v>6</v>
      </c>
      <c r="DS1">
        <v>7</v>
      </c>
      <c r="DT1">
        <v>8</v>
      </c>
      <c r="DV1" s="34" t="s">
        <v>1870</v>
      </c>
      <c r="DW1" s="6"/>
      <c r="DX1" s="34" t="s">
        <v>1871</v>
      </c>
      <c r="DY1" s="6"/>
      <c r="EB1">
        <v>0</v>
      </c>
      <c r="EC1">
        <v>1</v>
      </c>
      <c r="ED1">
        <v>2</v>
      </c>
      <c r="EE1">
        <v>3</v>
      </c>
      <c r="EF1">
        <v>4</v>
      </c>
      <c r="EG1">
        <v>5</v>
      </c>
      <c r="EH1">
        <v>6</v>
      </c>
      <c r="EI1">
        <v>7</v>
      </c>
      <c r="EJ1">
        <v>8</v>
      </c>
      <c r="EL1" s="34" t="s">
        <v>1870</v>
      </c>
      <c r="EM1" s="6"/>
      <c r="EN1" s="34" t="s">
        <v>1871</v>
      </c>
      <c r="EO1" s="6"/>
      <c r="ER1">
        <v>0</v>
      </c>
      <c r="ES1">
        <v>1</v>
      </c>
      <c r="ET1">
        <v>2</v>
      </c>
      <c r="EU1">
        <v>3</v>
      </c>
      <c r="EV1">
        <v>4</v>
      </c>
      <c r="EW1">
        <v>5</v>
      </c>
      <c r="EX1">
        <v>6</v>
      </c>
      <c r="EY1">
        <v>7</v>
      </c>
      <c r="EZ1">
        <v>8</v>
      </c>
      <c r="FB1" s="5" t="s">
        <v>1870</v>
      </c>
      <c r="FC1" s="6"/>
      <c r="FD1" s="5" t="s">
        <v>1871</v>
      </c>
      <c r="FE1" s="6"/>
      <c r="FH1">
        <v>0</v>
      </c>
      <c r="FI1">
        <v>1</v>
      </c>
      <c r="FJ1">
        <v>2</v>
      </c>
      <c r="FK1">
        <v>3</v>
      </c>
      <c r="FL1">
        <v>4</v>
      </c>
      <c r="FM1">
        <v>5</v>
      </c>
      <c r="FN1">
        <v>6</v>
      </c>
      <c r="FO1">
        <v>7</v>
      </c>
      <c r="FP1">
        <v>8</v>
      </c>
      <c r="FR1" s="5" t="s">
        <v>1870</v>
      </c>
      <c r="FS1" s="6"/>
      <c r="FT1" s="5" t="s">
        <v>1871</v>
      </c>
      <c r="FU1" s="6"/>
      <c r="FX1">
        <v>0</v>
      </c>
      <c r="FY1">
        <v>1</v>
      </c>
      <c r="FZ1">
        <v>2</v>
      </c>
      <c r="GA1">
        <v>3</v>
      </c>
      <c r="GB1">
        <v>4</v>
      </c>
      <c r="GC1">
        <v>5</v>
      </c>
      <c r="GD1">
        <v>6</v>
      </c>
      <c r="GE1">
        <v>7</v>
      </c>
      <c r="GF1">
        <v>8</v>
      </c>
      <c r="GH1" s="5" t="s">
        <v>1870</v>
      </c>
      <c r="GJ1" s="5" t="s">
        <v>1871</v>
      </c>
      <c r="GN1">
        <v>0</v>
      </c>
      <c r="GO1">
        <v>1</v>
      </c>
      <c r="GP1">
        <v>2</v>
      </c>
      <c r="GQ1">
        <v>3</v>
      </c>
      <c r="GR1">
        <v>4</v>
      </c>
      <c r="GS1">
        <v>5</v>
      </c>
      <c r="GT1">
        <v>6</v>
      </c>
      <c r="GU1">
        <v>7</v>
      </c>
      <c r="GV1">
        <v>8</v>
      </c>
      <c r="GX1" s="5" t="s">
        <v>1870</v>
      </c>
      <c r="GZ1" s="5" t="s">
        <v>1871</v>
      </c>
      <c r="HD1">
        <v>0</v>
      </c>
      <c r="HE1">
        <v>1</v>
      </c>
      <c r="HF1">
        <v>2</v>
      </c>
      <c r="HG1">
        <v>3</v>
      </c>
      <c r="HH1">
        <v>4</v>
      </c>
      <c r="HI1">
        <v>5</v>
      </c>
      <c r="HJ1">
        <v>6</v>
      </c>
      <c r="HK1">
        <v>7</v>
      </c>
      <c r="HL1">
        <v>8</v>
      </c>
      <c r="HN1" s="5" t="s">
        <v>1870</v>
      </c>
      <c r="HP1" s="5" t="s">
        <v>1871</v>
      </c>
      <c r="HT1">
        <v>0</v>
      </c>
      <c r="HU1">
        <v>1</v>
      </c>
      <c r="HV1">
        <v>2</v>
      </c>
      <c r="HW1">
        <v>3</v>
      </c>
      <c r="HX1">
        <v>4</v>
      </c>
      <c r="HY1">
        <v>5</v>
      </c>
      <c r="HZ1">
        <v>6</v>
      </c>
      <c r="IA1">
        <v>7</v>
      </c>
      <c r="IB1">
        <v>8</v>
      </c>
      <c r="ID1" s="5" t="s">
        <v>1870</v>
      </c>
      <c r="IF1" s="5" t="s">
        <v>1871</v>
      </c>
      <c r="IJ1">
        <v>0</v>
      </c>
      <c r="IK1">
        <v>1</v>
      </c>
      <c r="IL1">
        <v>2</v>
      </c>
      <c r="IM1">
        <v>3</v>
      </c>
      <c r="IN1">
        <v>4</v>
      </c>
      <c r="IO1">
        <v>5</v>
      </c>
      <c r="IP1">
        <v>6</v>
      </c>
      <c r="IQ1">
        <v>7</v>
      </c>
      <c r="IR1">
        <v>8</v>
      </c>
      <c r="IT1" s="5" t="s">
        <v>1870</v>
      </c>
      <c r="IV1" s="5" t="s">
        <v>1871</v>
      </c>
      <c r="IZ1">
        <v>0</v>
      </c>
      <c r="JA1">
        <v>1</v>
      </c>
      <c r="JB1">
        <v>2</v>
      </c>
      <c r="JC1">
        <v>3</v>
      </c>
      <c r="JD1">
        <v>4</v>
      </c>
      <c r="JE1">
        <v>5</v>
      </c>
      <c r="JF1">
        <v>6</v>
      </c>
      <c r="JG1">
        <v>7</v>
      </c>
      <c r="JH1">
        <v>8</v>
      </c>
      <c r="JJ1" s="5" t="s">
        <v>1870</v>
      </c>
      <c r="JL1" s="5" t="s">
        <v>1871</v>
      </c>
      <c r="JP1">
        <v>0</v>
      </c>
      <c r="JQ1">
        <v>1</v>
      </c>
      <c r="JR1">
        <v>2</v>
      </c>
      <c r="JS1">
        <v>3</v>
      </c>
      <c r="JT1">
        <v>4</v>
      </c>
      <c r="JU1">
        <v>5</v>
      </c>
      <c r="JV1">
        <v>6</v>
      </c>
      <c r="JW1">
        <v>7</v>
      </c>
      <c r="JX1">
        <v>8</v>
      </c>
      <c r="JZ1" s="5" t="s">
        <v>1870</v>
      </c>
      <c r="KB1" s="5" t="s">
        <v>1871</v>
      </c>
      <c r="KF1">
        <v>0</v>
      </c>
      <c r="KG1">
        <v>1</v>
      </c>
      <c r="KH1">
        <v>2</v>
      </c>
      <c r="KI1">
        <v>3</v>
      </c>
      <c r="KJ1">
        <v>4</v>
      </c>
      <c r="KK1">
        <v>5</v>
      </c>
      <c r="KL1">
        <v>6</v>
      </c>
      <c r="KM1">
        <v>7</v>
      </c>
      <c r="KN1">
        <v>8</v>
      </c>
      <c r="KP1" s="5" t="s">
        <v>1870</v>
      </c>
      <c r="KR1" s="5" t="s">
        <v>1871</v>
      </c>
      <c r="KV1">
        <v>0</v>
      </c>
      <c r="KW1">
        <v>1</v>
      </c>
      <c r="KX1">
        <v>2</v>
      </c>
      <c r="KY1">
        <v>3</v>
      </c>
      <c r="KZ1">
        <v>4</v>
      </c>
      <c r="LA1">
        <v>5</v>
      </c>
      <c r="LB1">
        <v>6</v>
      </c>
      <c r="LC1">
        <v>7</v>
      </c>
      <c r="LD1">
        <v>8</v>
      </c>
      <c r="LF1" s="5" t="s">
        <v>1870</v>
      </c>
      <c r="LH1" s="5" t="s">
        <v>1871</v>
      </c>
      <c r="LL1">
        <v>0</v>
      </c>
      <c r="LM1">
        <v>1</v>
      </c>
      <c r="LN1">
        <v>2</v>
      </c>
      <c r="LO1">
        <v>3</v>
      </c>
      <c r="LP1">
        <v>4</v>
      </c>
      <c r="LQ1">
        <v>5</v>
      </c>
      <c r="LR1">
        <v>6</v>
      </c>
      <c r="LS1">
        <v>7</v>
      </c>
      <c r="LT1">
        <v>8</v>
      </c>
      <c r="LV1" s="5" t="s">
        <v>1870</v>
      </c>
      <c r="LX1" s="5" t="s">
        <v>1871</v>
      </c>
      <c r="MB1">
        <v>0</v>
      </c>
      <c r="MC1">
        <v>1</v>
      </c>
      <c r="MD1">
        <v>2</v>
      </c>
      <c r="ME1">
        <v>3</v>
      </c>
      <c r="MF1">
        <v>4</v>
      </c>
      <c r="MG1">
        <v>5</v>
      </c>
      <c r="MH1">
        <v>6</v>
      </c>
      <c r="MI1">
        <v>7</v>
      </c>
      <c r="MJ1">
        <v>8</v>
      </c>
      <c r="ML1" s="5" t="s">
        <v>1870</v>
      </c>
      <c r="MN1" s="5" t="s">
        <v>1871</v>
      </c>
      <c r="MR1">
        <v>0</v>
      </c>
      <c r="MS1">
        <v>1</v>
      </c>
      <c r="MT1">
        <v>2</v>
      </c>
      <c r="MU1">
        <v>3</v>
      </c>
      <c r="MV1">
        <v>4</v>
      </c>
      <c r="MW1">
        <v>5</v>
      </c>
      <c r="MX1">
        <v>6</v>
      </c>
      <c r="MY1">
        <v>7</v>
      </c>
      <c r="MZ1">
        <v>8</v>
      </c>
      <c r="NB1" s="5" t="s">
        <v>1870</v>
      </c>
      <c r="ND1" s="5" t="s">
        <v>1871</v>
      </c>
      <c r="NH1">
        <v>0</v>
      </c>
      <c r="NI1">
        <v>1</v>
      </c>
      <c r="NJ1">
        <v>2</v>
      </c>
      <c r="NK1">
        <v>3</v>
      </c>
      <c r="NL1">
        <v>4</v>
      </c>
      <c r="NM1">
        <v>5</v>
      </c>
      <c r="NN1">
        <v>6</v>
      </c>
      <c r="NO1">
        <v>7</v>
      </c>
      <c r="NP1">
        <v>8</v>
      </c>
      <c r="NR1" s="5" t="s">
        <v>1870</v>
      </c>
      <c r="NT1" s="5" t="s">
        <v>1871</v>
      </c>
      <c r="NX1">
        <v>0</v>
      </c>
      <c r="NY1">
        <v>1</v>
      </c>
      <c r="NZ1">
        <v>2</v>
      </c>
      <c r="OA1">
        <v>3</v>
      </c>
      <c r="OB1">
        <v>4</v>
      </c>
      <c r="OC1">
        <v>5</v>
      </c>
      <c r="OD1">
        <v>6</v>
      </c>
      <c r="OE1">
        <v>7</v>
      </c>
      <c r="OF1">
        <v>8</v>
      </c>
      <c r="OH1" s="5" t="s">
        <v>1870</v>
      </c>
      <c r="OJ1" s="5" t="s">
        <v>1871</v>
      </c>
    </row>
    <row r="2" spans="1:508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Z2" s="6" t="s">
        <v>1321</v>
      </c>
      <c r="AA2" s="6" t="s">
        <v>1320</v>
      </c>
      <c r="AB2" s="6" t="s">
        <v>1321</v>
      </c>
      <c r="AC2" s="6" t="s">
        <v>1320</v>
      </c>
      <c r="AD2" s="6" t="s">
        <v>1321</v>
      </c>
      <c r="AE2" s="6" t="s">
        <v>1320</v>
      </c>
      <c r="AR2" s="6" t="s">
        <v>1321</v>
      </c>
      <c r="AS2" s="6" t="s">
        <v>1320</v>
      </c>
      <c r="AT2" s="6" t="s">
        <v>1321</v>
      </c>
      <c r="AU2" s="6" t="s">
        <v>1320</v>
      </c>
      <c r="AV2" s="6" t="s">
        <v>1321</v>
      </c>
      <c r="AW2" s="6" t="s">
        <v>1320</v>
      </c>
      <c r="BJ2" s="6" t="s">
        <v>1321</v>
      </c>
      <c r="BK2" s="6" t="s">
        <v>1320</v>
      </c>
      <c r="BL2" s="6" t="s">
        <v>1321</v>
      </c>
      <c r="BM2" s="6" t="s">
        <v>1320</v>
      </c>
      <c r="BZ2" s="6" t="s">
        <v>1321</v>
      </c>
      <c r="CA2" s="6" t="s">
        <v>1320</v>
      </c>
      <c r="CB2" s="6" t="s">
        <v>1321</v>
      </c>
      <c r="CC2" s="6" t="s">
        <v>1320</v>
      </c>
      <c r="CP2" s="6" t="s">
        <v>1321</v>
      </c>
      <c r="CQ2" s="6" t="s">
        <v>1320</v>
      </c>
      <c r="CR2" s="6" t="s">
        <v>1321</v>
      </c>
      <c r="CS2" s="6" t="s">
        <v>1320</v>
      </c>
      <c r="DF2" s="6" t="s">
        <v>1321</v>
      </c>
      <c r="DG2" s="6" t="s">
        <v>1320</v>
      </c>
      <c r="DH2" s="6" t="s">
        <v>1321</v>
      </c>
      <c r="DI2" s="6" t="s">
        <v>1320</v>
      </c>
      <c r="DV2" s="6" t="s">
        <v>1321</v>
      </c>
      <c r="DW2" s="6" t="s">
        <v>1320</v>
      </c>
      <c r="DX2" s="6" t="s">
        <v>1321</v>
      </c>
      <c r="DY2" s="6" t="s">
        <v>1320</v>
      </c>
      <c r="EL2" s="6" t="s">
        <v>1321</v>
      </c>
      <c r="EM2" s="6" t="s">
        <v>1320</v>
      </c>
      <c r="EN2" s="6" t="s">
        <v>1321</v>
      </c>
      <c r="EO2" s="6" t="s">
        <v>1320</v>
      </c>
      <c r="FB2" t="s">
        <v>1321</v>
      </c>
      <c r="FC2" s="6" t="s">
        <v>1320</v>
      </c>
      <c r="FD2" t="s">
        <v>1321</v>
      </c>
      <c r="FE2" s="6" t="s">
        <v>1320</v>
      </c>
      <c r="FR2" t="s">
        <v>1321</v>
      </c>
      <c r="FS2" s="6" t="s">
        <v>1320</v>
      </c>
      <c r="FT2" t="s">
        <v>1321</v>
      </c>
      <c r="FU2" s="6" t="s">
        <v>1320</v>
      </c>
      <c r="GH2" t="s">
        <v>1321</v>
      </c>
      <c r="GI2" t="s">
        <v>1320</v>
      </c>
      <c r="GJ2" t="s">
        <v>1321</v>
      </c>
      <c r="GK2" t="s">
        <v>1320</v>
      </c>
      <c r="GX2" t="s">
        <v>1321</v>
      </c>
      <c r="GY2" t="s">
        <v>1320</v>
      </c>
      <c r="GZ2" t="s">
        <v>1321</v>
      </c>
      <c r="HA2" t="s">
        <v>1320</v>
      </c>
      <c r="HN2" t="s">
        <v>1321</v>
      </c>
      <c r="HO2" t="s">
        <v>1320</v>
      </c>
      <c r="HP2" t="s">
        <v>1321</v>
      </c>
      <c r="HQ2" t="s">
        <v>1320</v>
      </c>
      <c r="ID2" t="s">
        <v>1321</v>
      </c>
      <c r="IE2" t="s">
        <v>1320</v>
      </c>
      <c r="IF2" t="s">
        <v>1321</v>
      </c>
      <c r="IG2" t="s">
        <v>1320</v>
      </c>
      <c r="IT2" t="s">
        <v>1321</v>
      </c>
      <c r="IU2" t="s">
        <v>1320</v>
      </c>
      <c r="IV2" t="s">
        <v>1321</v>
      </c>
      <c r="IW2" t="s">
        <v>1320</v>
      </c>
      <c r="JJ2" t="s">
        <v>1321</v>
      </c>
      <c r="JK2" t="s">
        <v>1320</v>
      </c>
      <c r="JL2" t="s">
        <v>1321</v>
      </c>
      <c r="JM2" t="s">
        <v>1320</v>
      </c>
      <c r="JZ2" t="s">
        <v>1321</v>
      </c>
      <c r="KA2" t="s">
        <v>1320</v>
      </c>
      <c r="KB2" t="s">
        <v>1321</v>
      </c>
      <c r="KC2" t="s">
        <v>1320</v>
      </c>
      <c r="KP2" t="s">
        <v>1321</v>
      </c>
      <c r="KQ2" t="s">
        <v>1320</v>
      </c>
      <c r="KR2" t="s">
        <v>1321</v>
      </c>
      <c r="KS2" t="s">
        <v>1320</v>
      </c>
      <c r="LF2" t="s">
        <v>1321</v>
      </c>
      <c r="LG2" t="s">
        <v>1320</v>
      </c>
      <c r="LH2" t="s">
        <v>1321</v>
      </c>
      <c r="LI2" t="s">
        <v>1320</v>
      </c>
      <c r="LV2" t="s">
        <v>1321</v>
      </c>
      <c r="LW2" t="s">
        <v>1320</v>
      </c>
      <c r="LX2" t="s">
        <v>1321</v>
      </c>
      <c r="LY2" t="s">
        <v>1320</v>
      </c>
      <c r="ML2" t="s">
        <v>1321</v>
      </c>
      <c r="MM2" t="s">
        <v>1320</v>
      </c>
      <c r="MN2" t="s">
        <v>1321</v>
      </c>
      <c r="MO2" t="s">
        <v>1320</v>
      </c>
      <c r="NB2" t="s">
        <v>1321</v>
      </c>
      <c r="NC2" t="s">
        <v>1320</v>
      </c>
      <c r="ND2" t="s">
        <v>1321</v>
      </c>
      <c r="NE2" t="s">
        <v>1320</v>
      </c>
      <c r="NR2" t="s">
        <v>1321</v>
      </c>
      <c r="NS2" t="s">
        <v>1320</v>
      </c>
      <c r="NT2" t="s">
        <v>1321</v>
      </c>
      <c r="NU2" t="s">
        <v>1320</v>
      </c>
      <c r="OH2" t="s">
        <v>1321</v>
      </c>
      <c r="OI2" t="s">
        <v>1320</v>
      </c>
      <c r="OJ2" t="s">
        <v>1321</v>
      </c>
      <c r="OK2" t="s">
        <v>1320</v>
      </c>
    </row>
    <row r="3" spans="1:508" x14ac:dyDescent="0.2">
      <c r="O3" s="5" t="s">
        <v>334</v>
      </c>
      <c r="AG3" s="5" t="s">
        <v>333</v>
      </c>
      <c r="AY3" s="5" t="s">
        <v>1384</v>
      </c>
      <c r="BL3" s="9"/>
      <c r="BO3" s="5" t="s">
        <v>1385</v>
      </c>
      <c r="CB3" s="9"/>
      <c r="CE3" s="5" t="s">
        <v>1386</v>
      </c>
      <c r="CR3" s="9"/>
      <c r="CU3" s="5" t="s">
        <v>1387</v>
      </c>
      <c r="DH3" s="9"/>
      <c r="DK3" s="5" t="s">
        <v>1388</v>
      </c>
      <c r="DX3" s="9"/>
      <c r="EA3" s="5" t="s">
        <v>1389</v>
      </c>
      <c r="EN3" s="9"/>
      <c r="EQ3" s="5" t="s">
        <v>1390</v>
      </c>
      <c r="FD3" s="9"/>
      <c r="FG3" s="11" t="s">
        <v>1968</v>
      </c>
      <c r="FT3" s="9"/>
      <c r="FW3" s="11" t="s">
        <v>1973</v>
      </c>
      <c r="GJ3" s="9"/>
      <c r="GM3" s="11" t="s">
        <v>1974</v>
      </c>
      <c r="GZ3" s="9"/>
      <c r="HC3" s="11" t="s">
        <v>380</v>
      </c>
      <c r="HP3" s="9"/>
      <c r="HS3" s="11" t="s">
        <v>381</v>
      </c>
      <c r="IF3" s="9"/>
      <c r="II3" s="11" t="s">
        <v>382</v>
      </c>
      <c r="IV3" s="9"/>
      <c r="IY3" s="11" t="s">
        <v>383</v>
      </c>
      <c r="JL3" s="9"/>
      <c r="JO3" s="11" t="s">
        <v>384</v>
      </c>
      <c r="KB3" s="9"/>
      <c r="KE3" s="5"/>
      <c r="KR3" s="9"/>
      <c r="KU3" s="5"/>
      <c r="LH3" s="9"/>
      <c r="LK3" s="5"/>
      <c r="LX3" s="9"/>
      <c r="MA3" s="5"/>
      <c r="MN3" s="9"/>
      <c r="MQ3" s="5"/>
      <c r="ND3" s="9"/>
      <c r="NG3" s="5"/>
      <c r="NT3" s="9"/>
      <c r="NW3" s="5"/>
      <c r="OJ3" s="9"/>
      <c r="OY3" s="5"/>
      <c r="PM3" s="5"/>
      <c r="QA3" s="5"/>
      <c r="QO3" s="5"/>
      <c r="RC3" s="5"/>
      <c r="RQ3" s="5"/>
      <c r="SE3" s="5"/>
    </row>
    <row r="4" spans="1:508" x14ac:dyDescent="0.2">
      <c r="A4" s="2" t="s">
        <v>991</v>
      </c>
      <c r="O4" s="2" t="s">
        <v>1648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/>
      <c r="Z4" s="1"/>
      <c r="AG4" s="2" t="s">
        <v>1651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/>
      <c r="AR4" s="1"/>
      <c r="AY4" s="2" t="s">
        <v>992</v>
      </c>
      <c r="AZ4" s="1">
        <v>0</v>
      </c>
      <c r="BA4" s="1">
        <f>+AZ4</f>
        <v>0</v>
      </c>
      <c r="BB4" s="1">
        <f t="shared" ref="BB4:BH4" si="0">+BA4</f>
        <v>0</v>
      </c>
      <c r="BC4" s="1">
        <f t="shared" si="0"/>
        <v>0</v>
      </c>
      <c r="BD4" s="1">
        <f t="shared" si="0"/>
        <v>0</v>
      </c>
      <c r="BE4" s="1">
        <f t="shared" si="0"/>
        <v>0</v>
      </c>
      <c r="BF4" s="1">
        <f t="shared" si="0"/>
        <v>0</v>
      </c>
      <c r="BG4" s="1">
        <f t="shared" si="0"/>
        <v>0</v>
      </c>
      <c r="BH4" s="1">
        <f t="shared" si="0"/>
        <v>0</v>
      </c>
      <c r="BI4" s="1"/>
      <c r="BJ4" s="1"/>
      <c r="BL4" s="36"/>
      <c r="BO4" s="2" t="s">
        <v>993</v>
      </c>
      <c r="BP4" s="1">
        <v>0</v>
      </c>
      <c r="BQ4" s="1">
        <f>+BP4</f>
        <v>0</v>
      </c>
      <c r="BR4" s="1">
        <f t="shared" ref="BR4:BX4" si="1">+BQ4</f>
        <v>0</v>
      </c>
      <c r="BS4" s="1">
        <f t="shared" si="1"/>
        <v>0</v>
      </c>
      <c r="BT4" s="1">
        <f t="shared" si="1"/>
        <v>0</v>
      </c>
      <c r="BU4" s="1">
        <f t="shared" si="1"/>
        <v>0</v>
      </c>
      <c r="BV4" s="1">
        <f t="shared" si="1"/>
        <v>0</v>
      </c>
      <c r="BW4" s="1">
        <f t="shared" si="1"/>
        <v>0</v>
      </c>
      <c r="BX4" s="1">
        <f t="shared" si="1"/>
        <v>0</v>
      </c>
      <c r="BY4" s="1"/>
      <c r="BZ4" s="1"/>
      <c r="CB4" s="36"/>
      <c r="CE4" s="2" t="s">
        <v>994</v>
      </c>
      <c r="CF4" s="1">
        <v>0</v>
      </c>
      <c r="CG4" s="1">
        <f>+CF4</f>
        <v>0</v>
      </c>
      <c r="CH4" s="1">
        <f t="shared" ref="CH4:CN4" si="2">+CG4</f>
        <v>0</v>
      </c>
      <c r="CI4" s="1">
        <f t="shared" si="2"/>
        <v>0</v>
      </c>
      <c r="CJ4" s="1">
        <f t="shared" si="2"/>
        <v>0</v>
      </c>
      <c r="CK4" s="1">
        <f t="shared" si="2"/>
        <v>0</v>
      </c>
      <c r="CL4" s="1">
        <f t="shared" si="2"/>
        <v>0</v>
      </c>
      <c r="CM4" s="1">
        <f t="shared" si="2"/>
        <v>0</v>
      </c>
      <c r="CN4" s="1">
        <f t="shared" si="2"/>
        <v>0</v>
      </c>
      <c r="CO4" s="1"/>
      <c r="CP4" s="1"/>
      <c r="CR4" s="36"/>
      <c r="CU4" s="2" t="s">
        <v>995</v>
      </c>
      <c r="CV4" s="1">
        <v>0</v>
      </c>
      <c r="CW4" s="1">
        <f>+CV4</f>
        <v>0</v>
      </c>
      <c r="CX4" s="1">
        <f t="shared" ref="CX4:DD4" si="3">+CW4</f>
        <v>0</v>
      </c>
      <c r="CY4" s="1">
        <f t="shared" si="3"/>
        <v>0</v>
      </c>
      <c r="CZ4" s="1">
        <f t="shared" si="3"/>
        <v>0</v>
      </c>
      <c r="DA4" s="1">
        <f t="shared" si="3"/>
        <v>0</v>
      </c>
      <c r="DB4" s="1">
        <f t="shared" si="3"/>
        <v>0</v>
      </c>
      <c r="DC4" s="1">
        <f t="shared" si="3"/>
        <v>0</v>
      </c>
      <c r="DD4" s="1">
        <f t="shared" si="3"/>
        <v>0</v>
      </c>
      <c r="DE4" s="1"/>
      <c r="DF4" s="1"/>
      <c r="DH4" s="36"/>
      <c r="DK4" s="2" t="s">
        <v>996</v>
      </c>
      <c r="DL4" s="1">
        <v>0</v>
      </c>
      <c r="DM4" s="1">
        <f>+DL4</f>
        <v>0</v>
      </c>
      <c r="DN4" s="1">
        <f t="shared" ref="DN4:DT4" si="4">+DM4</f>
        <v>0</v>
      </c>
      <c r="DO4" s="1">
        <f t="shared" si="4"/>
        <v>0</v>
      </c>
      <c r="DP4" s="1">
        <f t="shared" si="4"/>
        <v>0</v>
      </c>
      <c r="DQ4" s="1">
        <f t="shared" si="4"/>
        <v>0</v>
      </c>
      <c r="DR4" s="1">
        <f t="shared" si="4"/>
        <v>0</v>
      </c>
      <c r="DS4" s="1">
        <f t="shared" si="4"/>
        <v>0</v>
      </c>
      <c r="DT4" s="1">
        <f t="shared" si="4"/>
        <v>0</v>
      </c>
      <c r="DU4" s="1"/>
      <c r="DV4" s="1"/>
      <c r="DX4" s="36"/>
      <c r="EA4" s="2" t="s">
        <v>997</v>
      </c>
      <c r="EB4" s="1">
        <v>0</v>
      </c>
      <c r="EC4" s="1">
        <f>+EB4</f>
        <v>0</v>
      </c>
      <c r="ED4" s="1">
        <f t="shared" ref="ED4:EJ4" si="5">+EC4</f>
        <v>0</v>
      </c>
      <c r="EE4" s="1">
        <f t="shared" si="5"/>
        <v>0</v>
      </c>
      <c r="EF4" s="1">
        <f t="shared" si="5"/>
        <v>0</v>
      </c>
      <c r="EG4" s="1">
        <f t="shared" si="5"/>
        <v>0</v>
      </c>
      <c r="EH4" s="1">
        <f t="shared" si="5"/>
        <v>0</v>
      </c>
      <c r="EI4" s="1">
        <f t="shared" si="5"/>
        <v>0</v>
      </c>
      <c r="EJ4" s="1">
        <f t="shared" si="5"/>
        <v>0</v>
      </c>
      <c r="EK4" s="1"/>
      <c r="EL4" s="1"/>
      <c r="EN4" s="36"/>
      <c r="EQ4" s="2" t="s">
        <v>998</v>
      </c>
      <c r="ER4" s="1">
        <v>0</v>
      </c>
      <c r="ES4" s="1">
        <f>+ER4</f>
        <v>0</v>
      </c>
      <c r="ET4" s="1">
        <f t="shared" ref="ET4:EZ4" si="6">+ES4</f>
        <v>0</v>
      </c>
      <c r="EU4" s="1">
        <f t="shared" si="6"/>
        <v>0</v>
      </c>
      <c r="EV4" s="1">
        <f t="shared" si="6"/>
        <v>0</v>
      </c>
      <c r="EW4" s="1">
        <f t="shared" si="6"/>
        <v>0</v>
      </c>
      <c r="EX4" s="1">
        <f t="shared" si="6"/>
        <v>0</v>
      </c>
      <c r="EY4" s="1">
        <f t="shared" si="6"/>
        <v>0</v>
      </c>
      <c r="EZ4" s="1">
        <f t="shared" si="6"/>
        <v>0</v>
      </c>
      <c r="FA4" s="1"/>
      <c r="FB4" s="1"/>
      <c r="FD4" s="36"/>
      <c r="FG4" s="2" t="s">
        <v>999</v>
      </c>
      <c r="FH4" s="1">
        <v>0</v>
      </c>
      <c r="FI4" s="1">
        <f>+FH4</f>
        <v>0</v>
      </c>
      <c r="FJ4" s="1">
        <f t="shared" ref="FJ4:FP4" si="7">+FI4</f>
        <v>0</v>
      </c>
      <c r="FK4" s="1">
        <f t="shared" si="7"/>
        <v>0</v>
      </c>
      <c r="FL4" s="1">
        <f t="shared" si="7"/>
        <v>0</v>
      </c>
      <c r="FM4" s="1">
        <f t="shared" si="7"/>
        <v>0</v>
      </c>
      <c r="FN4" s="1">
        <f t="shared" si="7"/>
        <v>0</v>
      </c>
      <c r="FO4" s="1">
        <f t="shared" si="7"/>
        <v>0</v>
      </c>
      <c r="FP4" s="1">
        <f t="shared" si="7"/>
        <v>0</v>
      </c>
      <c r="FQ4" s="1"/>
      <c r="FR4" s="1"/>
      <c r="FT4" s="36"/>
      <c r="FW4" s="2" t="s">
        <v>1000</v>
      </c>
      <c r="FX4" s="1">
        <v>0</v>
      </c>
      <c r="FY4" s="1">
        <f>+FX4</f>
        <v>0</v>
      </c>
      <c r="FZ4" s="1">
        <f t="shared" ref="FZ4:GF4" si="8">+FY4</f>
        <v>0</v>
      </c>
      <c r="GA4" s="1">
        <f t="shared" si="8"/>
        <v>0</v>
      </c>
      <c r="GB4" s="1">
        <f t="shared" si="8"/>
        <v>0</v>
      </c>
      <c r="GC4" s="1">
        <f t="shared" si="8"/>
        <v>0</v>
      </c>
      <c r="GD4" s="1">
        <f t="shared" si="8"/>
        <v>0</v>
      </c>
      <c r="GE4" s="1">
        <f t="shared" si="8"/>
        <v>0</v>
      </c>
      <c r="GF4" s="1">
        <f t="shared" si="8"/>
        <v>0</v>
      </c>
      <c r="GG4" s="1"/>
      <c r="GH4" s="1"/>
      <c r="GI4" s="1"/>
      <c r="GJ4" s="36"/>
      <c r="GK4" s="1"/>
      <c r="GM4" s="2" t="s">
        <v>1001</v>
      </c>
      <c r="GN4" s="1">
        <v>0</v>
      </c>
      <c r="GO4" s="1">
        <f>+GN4</f>
        <v>0</v>
      </c>
      <c r="GP4" s="1">
        <f t="shared" ref="GP4:GV4" si="9">+GO4</f>
        <v>0</v>
      </c>
      <c r="GQ4" s="1">
        <f t="shared" si="9"/>
        <v>0</v>
      </c>
      <c r="GR4" s="1">
        <f t="shared" si="9"/>
        <v>0</v>
      </c>
      <c r="GS4" s="1">
        <f t="shared" si="9"/>
        <v>0</v>
      </c>
      <c r="GT4" s="1">
        <f t="shared" si="9"/>
        <v>0</v>
      </c>
      <c r="GU4" s="1">
        <f t="shared" si="9"/>
        <v>0</v>
      </c>
      <c r="GV4" s="1">
        <f t="shared" si="9"/>
        <v>0</v>
      </c>
      <c r="GW4" s="1"/>
      <c r="GX4" s="1"/>
      <c r="GY4" s="1"/>
      <c r="GZ4" s="36"/>
      <c r="HA4" s="1"/>
      <c r="HB4" s="1"/>
      <c r="HC4" s="2" t="s">
        <v>1002</v>
      </c>
      <c r="HD4" s="1">
        <v>0</v>
      </c>
      <c r="HE4" s="1">
        <f>+HD4</f>
        <v>0</v>
      </c>
      <c r="HF4" s="1">
        <f t="shared" ref="HF4:HL4" si="10">+HE4</f>
        <v>0</v>
      </c>
      <c r="HG4" s="1">
        <f t="shared" si="10"/>
        <v>0</v>
      </c>
      <c r="HH4" s="1">
        <f t="shared" si="10"/>
        <v>0</v>
      </c>
      <c r="HI4" s="1">
        <f t="shared" si="10"/>
        <v>0</v>
      </c>
      <c r="HJ4" s="1">
        <f t="shared" si="10"/>
        <v>0</v>
      </c>
      <c r="HK4" s="1">
        <f t="shared" si="10"/>
        <v>0</v>
      </c>
      <c r="HL4" s="1">
        <f t="shared" si="10"/>
        <v>0</v>
      </c>
      <c r="HM4" s="1"/>
      <c r="HN4" s="1"/>
      <c r="HO4" s="1"/>
      <c r="HP4" s="36"/>
      <c r="HQ4" s="1"/>
      <c r="HR4" s="1"/>
      <c r="HS4" s="2" t="s">
        <v>1003</v>
      </c>
      <c r="HT4" s="1">
        <v>0</v>
      </c>
      <c r="HU4" s="1">
        <f>+HT4</f>
        <v>0</v>
      </c>
      <c r="HV4" s="1">
        <f t="shared" ref="HV4:IB4" si="11">+HU4</f>
        <v>0</v>
      </c>
      <c r="HW4" s="1">
        <f t="shared" si="11"/>
        <v>0</v>
      </c>
      <c r="HX4" s="1">
        <f t="shared" si="11"/>
        <v>0</v>
      </c>
      <c r="HY4" s="1">
        <f t="shared" si="11"/>
        <v>0</v>
      </c>
      <c r="HZ4" s="1">
        <f t="shared" si="11"/>
        <v>0</v>
      </c>
      <c r="IA4" s="1">
        <f t="shared" si="11"/>
        <v>0</v>
      </c>
      <c r="IB4" s="1">
        <f t="shared" si="11"/>
        <v>0</v>
      </c>
      <c r="IC4" s="1"/>
      <c r="ID4" s="1"/>
      <c r="IE4" s="1"/>
      <c r="IF4" s="36"/>
      <c r="IG4" s="1"/>
      <c r="II4" s="2" t="s">
        <v>1004</v>
      </c>
      <c r="IJ4" s="1">
        <v>0</v>
      </c>
      <c r="IK4" s="1">
        <f>+IJ4</f>
        <v>0</v>
      </c>
      <c r="IL4" s="1">
        <f t="shared" ref="IL4:IR4" si="12">+IK4</f>
        <v>0</v>
      </c>
      <c r="IM4" s="1">
        <f t="shared" si="12"/>
        <v>0</v>
      </c>
      <c r="IN4" s="1">
        <f t="shared" si="12"/>
        <v>0</v>
      </c>
      <c r="IO4" s="1">
        <f t="shared" si="12"/>
        <v>0</v>
      </c>
      <c r="IP4" s="1">
        <f t="shared" si="12"/>
        <v>0</v>
      </c>
      <c r="IQ4" s="1">
        <f t="shared" si="12"/>
        <v>0</v>
      </c>
      <c r="IR4" s="1">
        <f t="shared" si="12"/>
        <v>0</v>
      </c>
      <c r="IS4" s="1"/>
      <c r="IT4" s="1"/>
      <c r="IU4" s="1"/>
      <c r="IV4" s="36"/>
      <c r="IW4" s="1"/>
      <c r="IY4" s="2" t="s">
        <v>1005</v>
      </c>
      <c r="IZ4" s="1">
        <v>0</v>
      </c>
      <c r="JA4" s="1">
        <f>+IZ4</f>
        <v>0</v>
      </c>
      <c r="JB4" s="1">
        <f t="shared" ref="JB4:JH4" si="13">+JA4</f>
        <v>0</v>
      </c>
      <c r="JC4" s="1">
        <f t="shared" si="13"/>
        <v>0</v>
      </c>
      <c r="JD4" s="1">
        <f t="shared" si="13"/>
        <v>0</v>
      </c>
      <c r="JE4" s="1">
        <f t="shared" si="13"/>
        <v>0</v>
      </c>
      <c r="JF4" s="1">
        <f t="shared" si="13"/>
        <v>0</v>
      </c>
      <c r="JG4" s="1">
        <f t="shared" si="13"/>
        <v>0</v>
      </c>
      <c r="JH4" s="1">
        <f t="shared" si="13"/>
        <v>0</v>
      </c>
      <c r="JI4" s="1"/>
      <c r="JJ4" s="1"/>
      <c r="JK4" s="1"/>
      <c r="JL4" s="36"/>
      <c r="JM4" s="1"/>
      <c r="JO4" s="2" t="s">
        <v>1006</v>
      </c>
      <c r="JP4" s="1">
        <v>0</v>
      </c>
      <c r="JQ4" s="1">
        <f>+JP4</f>
        <v>0</v>
      </c>
      <c r="JR4" s="1">
        <f t="shared" ref="JR4:JX4" si="14">+JQ4</f>
        <v>0</v>
      </c>
      <c r="JS4" s="1">
        <f t="shared" si="14"/>
        <v>0</v>
      </c>
      <c r="JT4" s="1">
        <f t="shared" si="14"/>
        <v>0</v>
      </c>
      <c r="JU4" s="1">
        <f t="shared" si="14"/>
        <v>0</v>
      </c>
      <c r="JV4" s="1">
        <f t="shared" si="14"/>
        <v>0</v>
      </c>
      <c r="JW4" s="1">
        <f t="shared" si="14"/>
        <v>0</v>
      </c>
      <c r="JX4" s="1">
        <f t="shared" si="14"/>
        <v>0</v>
      </c>
      <c r="JY4" s="1"/>
      <c r="JZ4" s="1"/>
      <c r="KA4" s="1"/>
      <c r="KB4" s="36"/>
      <c r="KC4" s="1"/>
      <c r="KE4" s="2" t="s">
        <v>1007</v>
      </c>
      <c r="KF4" s="1">
        <v>0</v>
      </c>
      <c r="KG4" s="1">
        <f>+KF4</f>
        <v>0</v>
      </c>
      <c r="KH4" s="1">
        <f t="shared" ref="KH4:KN4" si="15">+KG4</f>
        <v>0</v>
      </c>
      <c r="KI4" s="1">
        <f t="shared" si="15"/>
        <v>0</v>
      </c>
      <c r="KJ4" s="1">
        <f t="shared" si="15"/>
        <v>0</v>
      </c>
      <c r="KK4" s="1">
        <f t="shared" si="15"/>
        <v>0</v>
      </c>
      <c r="KL4" s="1">
        <f t="shared" si="15"/>
        <v>0</v>
      </c>
      <c r="KM4" s="1">
        <f t="shared" si="15"/>
        <v>0</v>
      </c>
      <c r="KN4" s="1">
        <f t="shared" si="15"/>
        <v>0</v>
      </c>
      <c r="KO4" s="1"/>
      <c r="KP4" s="1"/>
      <c r="KQ4" s="1"/>
      <c r="KR4" s="36"/>
      <c r="KS4" s="1"/>
      <c r="KU4" s="2" t="s">
        <v>1008</v>
      </c>
      <c r="KV4" s="1">
        <v>0</v>
      </c>
      <c r="KW4" s="1">
        <f>+KV4</f>
        <v>0</v>
      </c>
      <c r="KX4" s="1">
        <f t="shared" ref="KX4:LD4" si="16">+KW4</f>
        <v>0</v>
      </c>
      <c r="KY4" s="1">
        <f t="shared" si="16"/>
        <v>0</v>
      </c>
      <c r="KZ4" s="1">
        <f t="shared" si="16"/>
        <v>0</v>
      </c>
      <c r="LA4" s="1">
        <f t="shared" si="16"/>
        <v>0</v>
      </c>
      <c r="LB4" s="1">
        <f t="shared" si="16"/>
        <v>0</v>
      </c>
      <c r="LC4" s="1">
        <f t="shared" si="16"/>
        <v>0</v>
      </c>
      <c r="LD4" s="1">
        <f t="shared" si="16"/>
        <v>0</v>
      </c>
      <c r="LE4" s="1"/>
      <c r="LF4" s="1"/>
      <c r="LG4" s="1"/>
      <c r="LH4" s="36"/>
      <c r="LI4" s="1"/>
      <c r="LK4" s="2" t="s">
        <v>1009</v>
      </c>
      <c r="LL4" s="1">
        <v>0</v>
      </c>
      <c r="LM4" s="1">
        <f>+LL4</f>
        <v>0</v>
      </c>
      <c r="LN4" s="1">
        <f t="shared" ref="LN4:LT4" si="17">+LM4</f>
        <v>0</v>
      </c>
      <c r="LO4" s="1">
        <f t="shared" si="17"/>
        <v>0</v>
      </c>
      <c r="LP4" s="1">
        <f t="shared" si="17"/>
        <v>0</v>
      </c>
      <c r="LQ4" s="1">
        <f t="shared" si="17"/>
        <v>0</v>
      </c>
      <c r="LR4" s="1">
        <f t="shared" si="17"/>
        <v>0</v>
      </c>
      <c r="LS4" s="1">
        <f t="shared" si="17"/>
        <v>0</v>
      </c>
      <c r="LT4" s="1">
        <f t="shared" si="17"/>
        <v>0</v>
      </c>
      <c r="LU4" s="1"/>
      <c r="LV4" s="1"/>
      <c r="LW4" s="1"/>
      <c r="LX4" s="36"/>
      <c r="LY4" s="1"/>
      <c r="MA4" s="2" t="s">
        <v>1010</v>
      </c>
      <c r="MB4" s="1">
        <v>0</v>
      </c>
      <c r="MC4" s="1">
        <f>+MB4</f>
        <v>0</v>
      </c>
      <c r="MD4" s="1">
        <f t="shared" ref="MD4:MJ4" si="18">+MC4</f>
        <v>0</v>
      </c>
      <c r="ME4" s="1">
        <f t="shared" si="18"/>
        <v>0</v>
      </c>
      <c r="MF4" s="1">
        <f t="shared" si="18"/>
        <v>0</v>
      </c>
      <c r="MG4" s="1">
        <f t="shared" si="18"/>
        <v>0</v>
      </c>
      <c r="MH4" s="1">
        <f t="shared" si="18"/>
        <v>0</v>
      </c>
      <c r="MI4" s="1">
        <f t="shared" si="18"/>
        <v>0</v>
      </c>
      <c r="MJ4" s="1">
        <f t="shared" si="18"/>
        <v>0</v>
      </c>
      <c r="MK4" s="1"/>
      <c r="ML4" s="1"/>
      <c r="MM4" s="1"/>
      <c r="MN4" s="36"/>
      <c r="MO4" s="1"/>
      <c r="MQ4" s="2" t="s">
        <v>1011</v>
      </c>
      <c r="MR4" s="1">
        <v>0</v>
      </c>
      <c r="MS4" s="1">
        <f>+MR4</f>
        <v>0</v>
      </c>
      <c r="MT4" s="1">
        <f t="shared" ref="MT4:MZ4" si="19">+MS4</f>
        <v>0</v>
      </c>
      <c r="MU4" s="1">
        <f t="shared" si="19"/>
        <v>0</v>
      </c>
      <c r="MV4" s="1">
        <f t="shared" si="19"/>
        <v>0</v>
      </c>
      <c r="MW4" s="1">
        <f t="shared" si="19"/>
        <v>0</v>
      </c>
      <c r="MX4" s="1">
        <f t="shared" si="19"/>
        <v>0</v>
      </c>
      <c r="MY4" s="1">
        <f t="shared" si="19"/>
        <v>0</v>
      </c>
      <c r="MZ4" s="1">
        <f t="shared" si="19"/>
        <v>0</v>
      </c>
      <c r="NA4" s="1"/>
      <c r="NB4" s="1"/>
      <c r="NC4" s="1"/>
      <c r="ND4" s="36"/>
      <c r="NE4" s="1"/>
      <c r="NG4" s="2" t="s">
        <v>1012</v>
      </c>
      <c r="NH4" s="1">
        <v>0</v>
      </c>
      <c r="NI4" s="1">
        <f>+NH4</f>
        <v>0</v>
      </c>
      <c r="NJ4" s="1">
        <f t="shared" ref="NJ4:NP4" si="20">+NI4</f>
        <v>0</v>
      </c>
      <c r="NK4" s="1">
        <f t="shared" si="20"/>
        <v>0</v>
      </c>
      <c r="NL4" s="1">
        <f t="shared" si="20"/>
        <v>0</v>
      </c>
      <c r="NM4" s="1">
        <f t="shared" si="20"/>
        <v>0</v>
      </c>
      <c r="NN4" s="1">
        <f t="shared" si="20"/>
        <v>0</v>
      </c>
      <c r="NO4" s="1">
        <f t="shared" si="20"/>
        <v>0</v>
      </c>
      <c r="NP4" s="1">
        <f t="shared" si="20"/>
        <v>0</v>
      </c>
      <c r="NQ4" s="1"/>
      <c r="NR4" s="1"/>
      <c r="NS4" s="1"/>
      <c r="NT4" s="36"/>
      <c r="NU4" s="1"/>
      <c r="NW4" s="2" t="s">
        <v>1013</v>
      </c>
      <c r="NX4" s="1">
        <v>0</v>
      </c>
      <c r="NY4" s="1">
        <f>+NX4</f>
        <v>0</v>
      </c>
      <c r="NZ4" s="1">
        <f t="shared" ref="NZ4:OF4" si="21">+NY4</f>
        <v>0</v>
      </c>
      <c r="OA4" s="1">
        <f t="shared" si="21"/>
        <v>0</v>
      </c>
      <c r="OB4" s="1">
        <f t="shared" si="21"/>
        <v>0</v>
      </c>
      <c r="OC4" s="1">
        <f t="shared" si="21"/>
        <v>0</v>
      </c>
      <c r="OD4" s="1">
        <f t="shared" si="21"/>
        <v>0</v>
      </c>
      <c r="OE4" s="1">
        <f t="shared" si="21"/>
        <v>0</v>
      </c>
      <c r="OF4" s="1">
        <f t="shared" si="21"/>
        <v>0</v>
      </c>
      <c r="OG4" s="1"/>
      <c r="OH4" s="1"/>
      <c r="OJ4" s="36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Y4" s="2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M4" s="2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QA4" s="2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O4" s="2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C4" s="2"/>
      <c r="RD4" s="1"/>
      <c r="RE4" s="1"/>
      <c r="RF4" s="1"/>
      <c r="RG4" s="1"/>
      <c r="RH4" s="1"/>
      <c r="RI4" s="1"/>
      <c r="RJ4" s="1"/>
      <c r="RK4" s="1"/>
      <c r="RL4" s="1"/>
      <c r="RQ4" s="2"/>
      <c r="RR4" s="1"/>
      <c r="RS4" s="1"/>
      <c r="RT4" s="1"/>
      <c r="RU4" s="1"/>
      <c r="RV4" s="1"/>
      <c r="RW4" s="1"/>
      <c r="RX4" s="1"/>
      <c r="RY4" s="1"/>
      <c r="RZ4" s="1"/>
      <c r="SE4" s="2"/>
      <c r="SF4" s="1"/>
      <c r="SG4" s="1"/>
      <c r="SH4" s="1"/>
      <c r="SI4" s="1"/>
      <c r="SJ4" s="1"/>
      <c r="SK4" s="1"/>
      <c r="SL4" s="1"/>
      <c r="SM4" s="1"/>
      <c r="SN4" s="1"/>
    </row>
    <row r="5" spans="1:508" x14ac:dyDescent="0.2">
      <c r="A5" s="3" t="s">
        <v>1014</v>
      </c>
      <c r="O5" s="3" t="s">
        <v>1649</v>
      </c>
      <c r="P5" s="6">
        <v>0</v>
      </c>
      <c r="Q5" s="6">
        <f t="shared" ref="Q5:X5" si="22">P4</f>
        <v>0</v>
      </c>
      <c r="R5" s="6">
        <f t="shared" si="22"/>
        <v>0</v>
      </c>
      <c r="S5" s="6">
        <f t="shared" si="22"/>
        <v>0</v>
      </c>
      <c r="T5" s="6">
        <f t="shared" si="22"/>
        <v>0</v>
      </c>
      <c r="U5" s="6">
        <f t="shared" si="22"/>
        <v>0</v>
      </c>
      <c r="V5" s="6">
        <f t="shared" si="22"/>
        <v>0</v>
      </c>
      <c r="W5" s="6">
        <f t="shared" si="22"/>
        <v>0</v>
      </c>
      <c r="X5" s="6">
        <f t="shared" si="22"/>
        <v>0</v>
      </c>
      <c r="Y5" s="1"/>
      <c r="Z5" s="1"/>
      <c r="AG5" s="3" t="s">
        <v>1652</v>
      </c>
      <c r="AH5" s="6">
        <v>0</v>
      </c>
      <c r="AI5" s="6">
        <f t="shared" ref="AI5:AP5" si="23">AH4</f>
        <v>0</v>
      </c>
      <c r="AJ5" s="6">
        <f t="shared" si="23"/>
        <v>0</v>
      </c>
      <c r="AK5" s="6">
        <f t="shared" si="23"/>
        <v>0</v>
      </c>
      <c r="AL5" s="6">
        <f t="shared" si="23"/>
        <v>0</v>
      </c>
      <c r="AM5" s="6">
        <f t="shared" si="23"/>
        <v>0</v>
      </c>
      <c r="AN5" s="6">
        <f t="shared" si="23"/>
        <v>0</v>
      </c>
      <c r="AO5" s="6">
        <f t="shared" si="23"/>
        <v>0</v>
      </c>
      <c r="AP5" s="6">
        <f t="shared" si="23"/>
        <v>0</v>
      </c>
      <c r="AQ5" s="1"/>
      <c r="AR5" s="1"/>
      <c r="AY5" s="3" t="s">
        <v>1015</v>
      </c>
      <c r="AZ5" s="1">
        <f>AZ4</f>
        <v>0</v>
      </c>
      <c r="BA5" s="1">
        <f>IF(AZ5=1,1,BA4)</f>
        <v>0</v>
      </c>
      <c r="BB5" s="1">
        <f t="shared" ref="BB5:BH5" si="24">IF(BA5=1,1,BB4)</f>
        <v>0</v>
      </c>
      <c r="BC5" s="1">
        <f t="shared" si="24"/>
        <v>0</v>
      </c>
      <c r="BD5" s="1">
        <f t="shared" si="24"/>
        <v>0</v>
      </c>
      <c r="BE5" s="1">
        <f t="shared" si="24"/>
        <v>0</v>
      </c>
      <c r="BF5" s="1">
        <f t="shared" si="24"/>
        <v>0</v>
      </c>
      <c r="BG5" s="1">
        <f t="shared" si="24"/>
        <v>0</v>
      </c>
      <c r="BH5" s="1">
        <f t="shared" si="24"/>
        <v>0</v>
      </c>
      <c r="BI5" s="1"/>
      <c r="BJ5" s="1"/>
      <c r="BL5" s="36"/>
      <c r="BO5" s="3" t="s">
        <v>1016</v>
      </c>
      <c r="BP5" s="1">
        <f>BP4</f>
        <v>0</v>
      </c>
      <c r="BQ5" s="1">
        <f>IF(BP5=1,1,BQ4)</f>
        <v>0</v>
      </c>
      <c r="BR5" s="1">
        <f t="shared" ref="BR5" si="25">IF(BQ5=1,1,BR4)</f>
        <v>0</v>
      </c>
      <c r="BS5" s="1">
        <f t="shared" ref="BS5" si="26">IF(BR5=1,1,BS4)</f>
        <v>0</v>
      </c>
      <c r="BT5" s="1">
        <f t="shared" ref="BT5" si="27">IF(BS5=1,1,BT4)</f>
        <v>0</v>
      </c>
      <c r="BU5" s="1">
        <f t="shared" ref="BU5" si="28">IF(BT5=1,1,BU4)</f>
        <v>0</v>
      </c>
      <c r="BV5" s="1">
        <f t="shared" ref="BV5" si="29">IF(BU5=1,1,BV4)</f>
        <v>0</v>
      </c>
      <c r="BW5" s="1">
        <f t="shared" ref="BW5" si="30">IF(BV5=1,1,BW4)</f>
        <v>0</v>
      </c>
      <c r="BX5" s="1">
        <f t="shared" ref="BX5" si="31">IF(BW5=1,1,BX4)</f>
        <v>0</v>
      </c>
      <c r="BY5" s="1"/>
      <c r="BZ5" s="1"/>
      <c r="CB5" s="36"/>
      <c r="CE5" s="3" t="s">
        <v>1017</v>
      </c>
      <c r="CF5" s="1">
        <f>CF4</f>
        <v>0</v>
      </c>
      <c r="CG5" s="1">
        <f>IF(CF5=1,1,CG4)</f>
        <v>0</v>
      </c>
      <c r="CH5" s="1">
        <f t="shared" ref="CH5" si="32">IF(CG5=1,1,CH4)</f>
        <v>0</v>
      </c>
      <c r="CI5" s="1">
        <f t="shared" ref="CI5" si="33">IF(CH5=1,1,CI4)</f>
        <v>0</v>
      </c>
      <c r="CJ5" s="1">
        <f t="shared" ref="CJ5" si="34">IF(CI5=1,1,CJ4)</f>
        <v>0</v>
      </c>
      <c r="CK5" s="1">
        <f t="shared" ref="CK5" si="35">IF(CJ5=1,1,CK4)</f>
        <v>0</v>
      </c>
      <c r="CL5" s="1">
        <f t="shared" ref="CL5" si="36">IF(CK5=1,1,CL4)</f>
        <v>0</v>
      </c>
      <c r="CM5" s="1">
        <f t="shared" ref="CM5" si="37">IF(CL5=1,1,CM4)</f>
        <v>0</v>
      </c>
      <c r="CN5" s="1">
        <f t="shared" ref="CN5" si="38">IF(CM5=1,1,CN4)</f>
        <v>0</v>
      </c>
      <c r="CO5" s="1"/>
      <c r="CP5" s="1"/>
      <c r="CR5" s="36"/>
      <c r="CU5" s="3" t="s">
        <v>1018</v>
      </c>
      <c r="CV5" s="1">
        <f>CV4</f>
        <v>0</v>
      </c>
      <c r="CW5" s="1">
        <f>IF(CV5=1,1,CW4)</f>
        <v>0</v>
      </c>
      <c r="CX5" s="1">
        <f t="shared" ref="CX5" si="39">IF(CW5=1,1,CX4)</f>
        <v>0</v>
      </c>
      <c r="CY5" s="1">
        <f t="shared" ref="CY5" si="40">IF(CX5=1,1,CY4)</f>
        <v>0</v>
      </c>
      <c r="CZ5" s="1">
        <f t="shared" ref="CZ5" si="41">IF(CY5=1,1,CZ4)</f>
        <v>0</v>
      </c>
      <c r="DA5" s="1">
        <f t="shared" ref="DA5" si="42">IF(CZ5=1,1,DA4)</f>
        <v>0</v>
      </c>
      <c r="DB5" s="1">
        <f t="shared" ref="DB5" si="43">IF(DA5=1,1,DB4)</f>
        <v>0</v>
      </c>
      <c r="DC5" s="1">
        <f t="shared" ref="DC5" si="44">IF(DB5=1,1,DC4)</f>
        <v>0</v>
      </c>
      <c r="DD5" s="1">
        <f t="shared" ref="DD5" si="45">IF(DC5=1,1,DD4)</f>
        <v>0</v>
      </c>
      <c r="DE5" s="1"/>
      <c r="DF5" s="1"/>
      <c r="DH5" s="36"/>
      <c r="DK5" s="3" t="s">
        <v>1019</v>
      </c>
      <c r="DL5" s="1">
        <f>DL4</f>
        <v>0</v>
      </c>
      <c r="DM5" s="1">
        <f>IF(DL5=1,1,DM4)</f>
        <v>0</v>
      </c>
      <c r="DN5" s="1">
        <f t="shared" ref="DN5" si="46">IF(DM5=1,1,DN4)</f>
        <v>0</v>
      </c>
      <c r="DO5" s="1">
        <f t="shared" ref="DO5" si="47">IF(DN5=1,1,DO4)</f>
        <v>0</v>
      </c>
      <c r="DP5" s="1">
        <f t="shared" ref="DP5" si="48">IF(DO5=1,1,DP4)</f>
        <v>0</v>
      </c>
      <c r="DQ5" s="1">
        <f t="shared" ref="DQ5" si="49">IF(DP5=1,1,DQ4)</f>
        <v>0</v>
      </c>
      <c r="DR5" s="1">
        <f t="shared" ref="DR5" si="50">IF(DQ5=1,1,DR4)</f>
        <v>0</v>
      </c>
      <c r="DS5" s="1">
        <f t="shared" ref="DS5" si="51">IF(DR5=1,1,DS4)</f>
        <v>0</v>
      </c>
      <c r="DT5" s="1">
        <f t="shared" ref="DT5" si="52">IF(DS5=1,1,DT4)</f>
        <v>0</v>
      </c>
      <c r="DU5" s="1"/>
      <c r="DV5" s="1"/>
      <c r="DX5" s="36"/>
      <c r="EA5" s="3" t="s">
        <v>1020</v>
      </c>
      <c r="EB5" s="1">
        <f>EB4</f>
        <v>0</v>
      </c>
      <c r="EC5" s="1">
        <f>IF(EB5=1,1,EC4)</f>
        <v>0</v>
      </c>
      <c r="ED5" s="1">
        <f t="shared" ref="ED5" si="53">IF(EC5=1,1,ED4)</f>
        <v>0</v>
      </c>
      <c r="EE5" s="1">
        <f t="shared" ref="EE5" si="54">IF(ED5=1,1,EE4)</f>
        <v>0</v>
      </c>
      <c r="EF5" s="1">
        <f t="shared" ref="EF5" si="55">IF(EE5=1,1,EF4)</f>
        <v>0</v>
      </c>
      <c r="EG5" s="1">
        <f t="shared" ref="EG5" si="56">IF(EF5=1,1,EG4)</f>
        <v>0</v>
      </c>
      <c r="EH5" s="1">
        <f t="shared" ref="EH5" si="57">IF(EG5=1,1,EH4)</f>
        <v>0</v>
      </c>
      <c r="EI5" s="1">
        <f t="shared" ref="EI5" si="58">IF(EH5=1,1,EI4)</f>
        <v>0</v>
      </c>
      <c r="EJ5" s="1">
        <f t="shared" ref="EJ5" si="59">IF(EI5=1,1,EJ4)</f>
        <v>0</v>
      </c>
      <c r="EK5" s="1"/>
      <c r="EL5" s="1"/>
      <c r="EN5" s="36"/>
      <c r="EQ5" s="3" t="s">
        <v>1021</v>
      </c>
      <c r="ER5" s="1">
        <f>ER4</f>
        <v>0</v>
      </c>
      <c r="ES5" s="1">
        <f>IF(ER5=1,1,ES4)</f>
        <v>0</v>
      </c>
      <c r="ET5" s="1">
        <f t="shared" ref="ET5" si="60">IF(ES5=1,1,ET4)</f>
        <v>0</v>
      </c>
      <c r="EU5" s="1">
        <f t="shared" ref="EU5" si="61">IF(ET5=1,1,EU4)</f>
        <v>0</v>
      </c>
      <c r="EV5" s="1">
        <f t="shared" ref="EV5" si="62">IF(EU5=1,1,EV4)</f>
        <v>0</v>
      </c>
      <c r="EW5" s="1">
        <f t="shared" ref="EW5" si="63">IF(EV5=1,1,EW4)</f>
        <v>0</v>
      </c>
      <c r="EX5" s="1">
        <f t="shared" ref="EX5" si="64">IF(EW5=1,1,EX4)</f>
        <v>0</v>
      </c>
      <c r="EY5" s="1">
        <f t="shared" ref="EY5" si="65">IF(EX5=1,1,EY4)</f>
        <v>0</v>
      </c>
      <c r="EZ5" s="1">
        <f t="shared" ref="EZ5" si="66">IF(EY5=1,1,EZ4)</f>
        <v>0</v>
      </c>
      <c r="FA5" s="1"/>
      <c r="FB5" s="1"/>
      <c r="FD5" s="36"/>
      <c r="FG5" s="3" t="s">
        <v>1022</v>
      </c>
      <c r="FH5" s="1">
        <f>FH4</f>
        <v>0</v>
      </c>
      <c r="FI5" s="1">
        <f>IF(FH5=1,1,FI4)</f>
        <v>0</v>
      </c>
      <c r="FJ5" s="1">
        <f t="shared" ref="FJ5" si="67">IF(FI5=1,1,FJ4)</f>
        <v>0</v>
      </c>
      <c r="FK5" s="1">
        <f t="shared" ref="FK5" si="68">IF(FJ5=1,1,FK4)</f>
        <v>0</v>
      </c>
      <c r="FL5" s="1">
        <f t="shared" ref="FL5" si="69">IF(FK5=1,1,FL4)</f>
        <v>0</v>
      </c>
      <c r="FM5" s="1">
        <f t="shared" ref="FM5" si="70">IF(FL5=1,1,FM4)</f>
        <v>0</v>
      </c>
      <c r="FN5" s="1">
        <f t="shared" ref="FN5" si="71">IF(FM5=1,1,FN4)</f>
        <v>0</v>
      </c>
      <c r="FO5" s="1">
        <f t="shared" ref="FO5" si="72">IF(FN5=1,1,FO4)</f>
        <v>0</v>
      </c>
      <c r="FP5" s="1">
        <f t="shared" ref="FP5" si="73">IF(FO5=1,1,FP4)</f>
        <v>0</v>
      </c>
      <c r="FQ5" s="1"/>
      <c r="FR5" s="1"/>
      <c r="FT5" s="36"/>
      <c r="FW5" s="3" t="s">
        <v>1023</v>
      </c>
      <c r="FX5" s="1">
        <f>FX4</f>
        <v>0</v>
      </c>
      <c r="FY5" s="1">
        <f>IF(FX5=1,1,FY4)</f>
        <v>0</v>
      </c>
      <c r="FZ5" s="1">
        <f t="shared" ref="FZ5" si="74">IF(FY5=1,1,FZ4)</f>
        <v>0</v>
      </c>
      <c r="GA5" s="1">
        <f t="shared" ref="GA5" si="75">IF(FZ5=1,1,GA4)</f>
        <v>0</v>
      </c>
      <c r="GB5" s="1">
        <f t="shared" ref="GB5" si="76">IF(GA5=1,1,GB4)</f>
        <v>0</v>
      </c>
      <c r="GC5" s="1">
        <f t="shared" ref="GC5" si="77">IF(GB5=1,1,GC4)</f>
        <v>0</v>
      </c>
      <c r="GD5" s="1">
        <f t="shared" ref="GD5" si="78">IF(GC5=1,1,GD4)</f>
        <v>0</v>
      </c>
      <c r="GE5" s="1">
        <f t="shared" ref="GE5" si="79">IF(GD5=1,1,GE4)</f>
        <v>0</v>
      </c>
      <c r="GF5" s="1">
        <f t="shared" ref="GF5" si="80">IF(GE5=1,1,GF4)</f>
        <v>0</v>
      </c>
      <c r="GG5" s="1"/>
      <c r="GH5" s="1"/>
      <c r="GI5" s="1"/>
      <c r="GJ5" s="36"/>
      <c r="GK5" s="1"/>
      <c r="GM5" s="3" t="s">
        <v>1024</v>
      </c>
      <c r="GN5" s="1">
        <f>GN4</f>
        <v>0</v>
      </c>
      <c r="GO5" s="1">
        <f>IF(GN5=1,1,GO4)</f>
        <v>0</v>
      </c>
      <c r="GP5" s="1">
        <f t="shared" ref="GP5" si="81">IF(GO5=1,1,GP4)</f>
        <v>0</v>
      </c>
      <c r="GQ5" s="1">
        <f t="shared" ref="GQ5" si="82">IF(GP5=1,1,GQ4)</f>
        <v>0</v>
      </c>
      <c r="GR5" s="1">
        <f t="shared" ref="GR5" si="83">IF(GQ5=1,1,GR4)</f>
        <v>0</v>
      </c>
      <c r="GS5" s="1">
        <f t="shared" ref="GS5" si="84">IF(GR5=1,1,GS4)</f>
        <v>0</v>
      </c>
      <c r="GT5" s="1">
        <f t="shared" ref="GT5" si="85">IF(GS5=1,1,GT4)</f>
        <v>0</v>
      </c>
      <c r="GU5" s="1">
        <f t="shared" ref="GU5" si="86">IF(GT5=1,1,GU4)</f>
        <v>0</v>
      </c>
      <c r="GV5" s="1">
        <f t="shared" ref="GV5" si="87">IF(GU5=1,1,GV4)</f>
        <v>0</v>
      </c>
      <c r="GW5" s="1"/>
      <c r="GX5" s="1"/>
      <c r="GY5" s="1"/>
      <c r="GZ5" s="36"/>
      <c r="HA5" s="1"/>
      <c r="HB5" s="1"/>
      <c r="HC5" s="3" t="s">
        <v>1025</v>
      </c>
      <c r="HD5" s="1">
        <f>HD4</f>
        <v>0</v>
      </c>
      <c r="HE5" s="1">
        <f>IF(HD5=1,1,HE4)</f>
        <v>0</v>
      </c>
      <c r="HF5" s="1">
        <f t="shared" ref="HF5" si="88">IF(HE5=1,1,HF4)</f>
        <v>0</v>
      </c>
      <c r="HG5" s="1">
        <f t="shared" ref="HG5" si="89">IF(HF5=1,1,HG4)</f>
        <v>0</v>
      </c>
      <c r="HH5" s="1">
        <f t="shared" ref="HH5" si="90">IF(HG5=1,1,HH4)</f>
        <v>0</v>
      </c>
      <c r="HI5" s="1">
        <f t="shared" ref="HI5" si="91">IF(HH5=1,1,HI4)</f>
        <v>0</v>
      </c>
      <c r="HJ5" s="1">
        <f t="shared" ref="HJ5" si="92">IF(HI5=1,1,HJ4)</f>
        <v>0</v>
      </c>
      <c r="HK5" s="1">
        <f t="shared" ref="HK5" si="93">IF(HJ5=1,1,HK4)</f>
        <v>0</v>
      </c>
      <c r="HL5" s="1">
        <f t="shared" ref="HL5" si="94">IF(HK5=1,1,HL4)</f>
        <v>0</v>
      </c>
      <c r="HM5" s="1"/>
      <c r="HN5" s="1"/>
      <c r="HO5" s="1"/>
      <c r="HP5" s="36"/>
      <c r="HQ5" s="1"/>
      <c r="HR5" s="1"/>
      <c r="HS5" s="3" t="s">
        <v>1026</v>
      </c>
      <c r="HT5" s="1">
        <f>HT4</f>
        <v>0</v>
      </c>
      <c r="HU5" s="1">
        <f>IF(HT5=1,1,HU4)</f>
        <v>0</v>
      </c>
      <c r="HV5" s="1">
        <f t="shared" ref="HV5" si="95">IF(HU5=1,1,HV4)</f>
        <v>0</v>
      </c>
      <c r="HW5" s="1">
        <f t="shared" ref="HW5" si="96">IF(HV5=1,1,HW4)</f>
        <v>0</v>
      </c>
      <c r="HX5" s="1">
        <f t="shared" ref="HX5" si="97">IF(HW5=1,1,HX4)</f>
        <v>0</v>
      </c>
      <c r="HY5" s="1">
        <f t="shared" ref="HY5" si="98">IF(HX5=1,1,HY4)</f>
        <v>0</v>
      </c>
      <c r="HZ5" s="1">
        <f t="shared" ref="HZ5" si="99">IF(HY5=1,1,HZ4)</f>
        <v>0</v>
      </c>
      <c r="IA5" s="1">
        <f t="shared" ref="IA5" si="100">IF(HZ5=1,1,IA4)</f>
        <v>0</v>
      </c>
      <c r="IB5" s="1">
        <f t="shared" ref="IB5" si="101">IF(IA5=1,1,IB4)</f>
        <v>0</v>
      </c>
      <c r="IC5" s="1"/>
      <c r="ID5" s="1"/>
      <c r="IE5" s="1"/>
      <c r="IF5" s="36"/>
      <c r="IG5" s="1"/>
      <c r="II5" s="3" t="s">
        <v>1027</v>
      </c>
      <c r="IJ5" s="1">
        <f>IJ4</f>
        <v>0</v>
      </c>
      <c r="IK5" s="1">
        <f>IF(IJ5=1,1,IK4)</f>
        <v>0</v>
      </c>
      <c r="IL5" s="1">
        <f t="shared" ref="IL5" si="102">IF(IK5=1,1,IL4)</f>
        <v>0</v>
      </c>
      <c r="IM5" s="1">
        <f t="shared" ref="IM5" si="103">IF(IL5=1,1,IM4)</f>
        <v>0</v>
      </c>
      <c r="IN5" s="1">
        <f t="shared" ref="IN5" si="104">IF(IM5=1,1,IN4)</f>
        <v>0</v>
      </c>
      <c r="IO5" s="1">
        <f t="shared" ref="IO5" si="105">IF(IN5=1,1,IO4)</f>
        <v>0</v>
      </c>
      <c r="IP5" s="1">
        <f t="shared" ref="IP5" si="106">IF(IO5=1,1,IP4)</f>
        <v>0</v>
      </c>
      <c r="IQ5" s="1">
        <f t="shared" ref="IQ5" si="107">IF(IP5=1,1,IQ4)</f>
        <v>0</v>
      </c>
      <c r="IR5" s="1">
        <f t="shared" ref="IR5" si="108">IF(IQ5=1,1,IR4)</f>
        <v>0</v>
      </c>
      <c r="IS5" s="1"/>
      <c r="IT5" s="1"/>
      <c r="IU5" s="1"/>
      <c r="IV5" s="36"/>
      <c r="IW5" s="1"/>
      <c r="IY5" s="3" t="s">
        <v>1028</v>
      </c>
      <c r="IZ5" s="1">
        <f>IZ4</f>
        <v>0</v>
      </c>
      <c r="JA5" s="1">
        <f>IF(IZ5=1,1,JA4)</f>
        <v>0</v>
      </c>
      <c r="JB5" s="1">
        <f t="shared" ref="JB5" si="109">IF(JA5=1,1,JB4)</f>
        <v>0</v>
      </c>
      <c r="JC5" s="1">
        <f t="shared" ref="JC5" si="110">IF(JB5=1,1,JC4)</f>
        <v>0</v>
      </c>
      <c r="JD5" s="1">
        <f t="shared" ref="JD5" si="111">IF(JC5=1,1,JD4)</f>
        <v>0</v>
      </c>
      <c r="JE5" s="1">
        <f t="shared" ref="JE5" si="112">IF(JD5=1,1,JE4)</f>
        <v>0</v>
      </c>
      <c r="JF5" s="1">
        <f t="shared" ref="JF5" si="113">IF(JE5=1,1,JF4)</f>
        <v>0</v>
      </c>
      <c r="JG5" s="1">
        <f t="shared" ref="JG5" si="114">IF(JF5=1,1,JG4)</f>
        <v>0</v>
      </c>
      <c r="JH5" s="1">
        <f t="shared" ref="JH5" si="115">IF(JG5=1,1,JH4)</f>
        <v>0</v>
      </c>
      <c r="JI5" s="1"/>
      <c r="JJ5" s="1"/>
      <c r="JK5" s="1"/>
      <c r="JL5" s="36"/>
      <c r="JM5" s="1"/>
      <c r="JO5" s="3" t="s">
        <v>1029</v>
      </c>
      <c r="JP5" s="1">
        <f>JP4</f>
        <v>0</v>
      </c>
      <c r="JQ5" s="1">
        <f>IF(JP5=1,1,JQ4)</f>
        <v>0</v>
      </c>
      <c r="JR5" s="1">
        <f t="shared" ref="JR5" si="116">IF(JQ5=1,1,JR4)</f>
        <v>0</v>
      </c>
      <c r="JS5" s="1">
        <f t="shared" ref="JS5" si="117">IF(JR5=1,1,JS4)</f>
        <v>0</v>
      </c>
      <c r="JT5" s="1">
        <f t="shared" ref="JT5" si="118">IF(JS5=1,1,JT4)</f>
        <v>0</v>
      </c>
      <c r="JU5" s="1">
        <f t="shared" ref="JU5" si="119">IF(JT5=1,1,JU4)</f>
        <v>0</v>
      </c>
      <c r="JV5" s="1">
        <f t="shared" ref="JV5" si="120">IF(JU5=1,1,JV4)</f>
        <v>0</v>
      </c>
      <c r="JW5" s="1">
        <f t="shared" ref="JW5" si="121">IF(JV5=1,1,JW4)</f>
        <v>0</v>
      </c>
      <c r="JX5" s="1">
        <f t="shared" ref="JX5" si="122">IF(JW5=1,1,JX4)</f>
        <v>0</v>
      </c>
      <c r="JY5" s="1"/>
      <c r="JZ5" s="1"/>
      <c r="KA5" s="1"/>
      <c r="KB5" s="36"/>
      <c r="KC5" s="1"/>
      <c r="KE5" s="27" t="s">
        <v>1614</v>
      </c>
      <c r="KF5" s="1">
        <f>KF4</f>
        <v>0</v>
      </c>
      <c r="KG5" s="1">
        <f>IF(KF5=1,1,KG4)</f>
        <v>0</v>
      </c>
      <c r="KH5" s="1">
        <f t="shared" ref="KH5" si="123">IF(KG5=1,1,KH4)</f>
        <v>0</v>
      </c>
      <c r="KI5" s="1">
        <f t="shared" ref="KI5" si="124">IF(KH5=1,1,KI4)</f>
        <v>0</v>
      </c>
      <c r="KJ5" s="1">
        <f t="shared" ref="KJ5" si="125">IF(KI5=1,1,KJ4)</f>
        <v>0</v>
      </c>
      <c r="KK5" s="1">
        <f t="shared" ref="KK5" si="126">IF(KJ5=1,1,KK4)</f>
        <v>0</v>
      </c>
      <c r="KL5" s="1">
        <f t="shared" ref="KL5" si="127">IF(KK5=1,1,KL4)</f>
        <v>0</v>
      </c>
      <c r="KM5" s="1">
        <f t="shared" ref="KM5" si="128">IF(KL5=1,1,KM4)</f>
        <v>0</v>
      </c>
      <c r="KN5" s="1">
        <f t="shared" ref="KN5" si="129">IF(KM5=1,1,KN4)</f>
        <v>0</v>
      </c>
      <c r="KO5" s="1"/>
      <c r="KP5" s="1"/>
      <c r="KQ5" s="1"/>
      <c r="KR5" s="36"/>
      <c r="KS5" s="1"/>
      <c r="KU5" s="27" t="s">
        <v>1613</v>
      </c>
      <c r="KV5" s="1">
        <f>KV4</f>
        <v>0</v>
      </c>
      <c r="KW5" s="1">
        <f>IF(KV5=1,1,KW4)</f>
        <v>0</v>
      </c>
      <c r="KX5" s="1">
        <f t="shared" ref="KX5" si="130">IF(KW5=1,1,KX4)</f>
        <v>0</v>
      </c>
      <c r="KY5" s="1">
        <f t="shared" ref="KY5" si="131">IF(KX5=1,1,KY4)</f>
        <v>0</v>
      </c>
      <c r="KZ5" s="1">
        <f t="shared" ref="KZ5" si="132">IF(KY5=1,1,KZ4)</f>
        <v>0</v>
      </c>
      <c r="LA5" s="1">
        <f t="shared" ref="LA5" si="133">IF(KZ5=1,1,LA4)</f>
        <v>0</v>
      </c>
      <c r="LB5" s="1">
        <f t="shared" ref="LB5" si="134">IF(LA5=1,1,LB4)</f>
        <v>0</v>
      </c>
      <c r="LC5" s="1">
        <f t="shared" ref="LC5" si="135">IF(LB5=1,1,LC4)</f>
        <v>0</v>
      </c>
      <c r="LD5" s="1">
        <f t="shared" ref="LD5" si="136">IF(LC5=1,1,LD4)</f>
        <v>0</v>
      </c>
      <c r="LE5" s="1"/>
      <c r="LF5" s="1"/>
      <c r="LG5" s="1"/>
      <c r="LH5" s="36"/>
      <c r="LI5" s="1"/>
      <c r="LK5" s="27" t="s">
        <v>1612</v>
      </c>
      <c r="LL5" s="1">
        <f>LL4</f>
        <v>0</v>
      </c>
      <c r="LM5" s="1">
        <f>IF(LL5=1,1,LM4)</f>
        <v>0</v>
      </c>
      <c r="LN5" s="1">
        <f t="shared" ref="LN5" si="137">IF(LM5=1,1,LN4)</f>
        <v>0</v>
      </c>
      <c r="LO5" s="1">
        <f t="shared" ref="LO5" si="138">IF(LN5=1,1,LO4)</f>
        <v>0</v>
      </c>
      <c r="LP5" s="1">
        <f t="shared" ref="LP5" si="139">IF(LO5=1,1,LP4)</f>
        <v>0</v>
      </c>
      <c r="LQ5" s="1">
        <f t="shared" ref="LQ5" si="140">IF(LP5=1,1,LQ4)</f>
        <v>0</v>
      </c>
      <c r="LR5" s="1">
        <f t="shared" ref="LR5" si="141">IF(LQ5=1,1,LR4)</f>
        <v>0</v>
      </c>
      <c r="LS5" s="1">
        <f t="shared" ref="LS5" si="142">IF(LR5=1,1,LS4)</f>
        <v>0</v>
      </c>
      <c r="LT5" s="1">
        <f t="shared" ref="LT5" si="143">IF(LS5=1,1,LT4)</f>
        <v>0</v>
      </c>
      <c r="LU5" s="1"/>
      <c r="LV5" s="1"/>
      <c r="LW5" s="1"/>
      <c r="LX5" s="36"/>
      <c r="LY5" s="1"/>
      <c r="MA5" s="27" t="s">
        <v>1611</v>
      </c>
      <c r="MB5" s="1">
        <f>MB4</f>
        <v>0</v>
      </c>
      <c r="MC5" s="1">
        <f>IF(MB5=1,1,MC4)</f>
        <v>0</v>
      </c>
      <c r="MD5" s="1">
        <f t="shared" ref="MD5" si="144">IF(MC5=1,1,MD4)</f>
        <v>0</v>
      </c>
      <c r="ME5" s="1">
        <f t="shared" ref="ME5" si="145">IF(MD5=1,1,ME4)</f>
        <v>0</v>
      </c>
      <c r="MF5" s="1">
        <f t="shared" ref="MF5" si="146">IF(ME5=1,1,MF4)</f>
        <v>0</v>
      </c>
      <c r="MG5" s="1">
        <f t="shared" ref="MG5" si="147">IF(MF5=1,1,MG4)</f>
        <v>0</v>
      </c>
      <c r="MH5" s="1">
        <f t="shared" ref="MH5" si="148">IF(MG5=1,1,MH4)</f>
        <v>0</v>
      </c>
      <c r="MI5" s="1">
        <f t="shared" ref="MI5" si="149">IF(MH5=1,1,MI4)</f>
        <v>0</v>
      </c>
      <c r="MJ5" s="1">
        <f t="shared" ref="MJ5" si="150">IF(MI5=1,1,MJ4)</f>
        <v>0</v>
      </c>
      <c r="MK5" s="1"/>
      <c r="ML5" s="1"/>
      <c r="MM5" s="1"/>
      <c r="MN5" s="36"/>
      <c r="MO5" s="1"/>
      <c r="MQ5" s="27" t="s">
        <v>1610</v>
      </c>
      <c r="MR5" s="1">
        <f>MR4</f>
        <v>0</v>
      </c>
      <c r="MS5" s="1">
        <f>IF(MR5=1,1,MS4)</f>
        <v>0</v>
      </c>
      <c r="MT5" s="1">
        <f t="shared" ref="MT5" si="151">IF(MS5=1,1,MT4)</f>
        <v>0</v>
      </c>
      <c r="MU5" s="1">
        <f t="shared" ref="MU5" si="152">IF(MT5=1,1,MU4)</f>
        <v>0</v>
      </c>
      <c r="MV5" s="1">
        <f t="shared" ref="MV5" si="153">IF(MU5=1,1,MV4)</f>
        <v>0</v>
      </c>
      <c r="MW5" s="1">
        <f t="shared" ref="MW5" si="154">IF(MV5=1,1,MW4)</f>
        <v>0</v>
      </c>
      <c r="MX5" s="1">
        <f t="shared" ref="MX5" si="155">IF(MW5=1,1,MX4)</f>
        <v>0</v>
      </c>
      <c r="MY5" s="1">
        <f t="shared" ref="MY5" si="156">IF(MX5=1,1,MY4)</f>
        <v>0</v>
      </c>
      <c r="MZ5" s="1">
        <f t="shared" ref="MZ5" si="157">IF(MY5=1,1,MZ4)</f>
        <v>0</v>
      </c>
      <c r="NA5" s="1"/>
      <c r="NB5" s="1"/>
      <c r="NC5" s="1"/>
      <c r="ND5" s="36"/>
      <c r="NE5" s="1"/>
      <c r="NG5" s="3" t="s">
        <v>1609</v>
      </c>
      <c r="NH5" s="1">
        <f>NH4</f>
        <v>0</v>
      </c>
      <c r="NI5" s="1">
        <f>IF(NH5=1,1,NI4)</f>
        <v>0</v>
      </c>
      <c r="NJ5" s="1">
        <f t="shared" ref="NJ5" si="158">IF(NI5=1,1,NJ4)</f>
        <v>0</v>
      </c>
      <c r="NK5" s="1">
        <f t="shared" ref="NK5" si="159">IF(NJ5=1,1,NK4)</f>
        <v>0</v>
      </c>
      <c r="NL5" s="1">
        <f t="shared" ref="NL5" si="160">IF(NK5=1,1,NL4)</f>
        <v>0</v>
      </c>
      <c r="NM5" s="1">
        <f t="shared" ref="NM5" si="161">IF(NL5=1,1,NM4)</f>
        <v>0</v>
      </c>
      <c r="NN5" s="1">
        <f t="shared" ref="NN5" si="162">IF(NM5=1,1,NN4)</f>
        <v>0</v>
      </c>
      <c r="NO5" s="1">
        <f t="shared" ref="NO5" si="163">IF(NN5=1,1,NO4)</f>
        <v>0</v>
      </c>
      <c r="NP5" s="1">
        <f t="shared" ref="NP5" si="164">IF(NO5=1,1,NP4)</f>
        <v>0</v>
      </c>
      <c r="NQ5" s="1"/>
      <c r="NR5" s="1"/>
      <c r="NS5" s="1"/>
      <c r="NT5" s="36"/>
      <c r="NU5" s="1"/>
      <c r="NW5" s="3" t="s">
        <v>1580</v>
      </c>
      <c r="NX5" s="1">
        <f>NX4</f>
        <v>0</v>
      </c>
      <c r="NY5" s="1">
        <f>IF(NX5=1,1,NY4)</f>
        <v>0</v>
      </c>
      <c r="NZ5" s="1">
        <f t="shared" ref="NZ5" si="165">IF(NY5=1,1,NZ4)</f>
        <v>0</v>
      </c>
      <c r="OA5" s="1">
        <f t="shared" ref="OA5" si="166">IF(NZ5=1,1,OA4)</f>
        <v>0</v>
      </c>
      <c r="OB5" s="1">
        <f t="shared" ref="OB5" si="167">IF(OA5=1,1,OB4)</f>
        <v>0</v>
      </c>
      <c r="OC5" s="1">
        <f t="shared" ref="OC5" si="168">IF(OB5=1,1,OC4)</f>
        <v>0</v>
      </c>
      <c r="OD5" s="1">
        <f t="shared" ref="OD5" si="169">IF(OC5=1,1,OD4)</f>
        <v>0</v>
      </c>
      <c r="OE5" s="1">
        <f t="shared" ref="OE5" si="170">IF(OD5=1,1,OE4)</f>
        <v>0</v>
      </c>
      <c r="OF5" s="1">
        <f t="shared" ref="OF5" si="171">IF(OE5=1,1,OF4)</f>
        <v>0</v>
      </c>
      <c r="OG5" s="1"/>
      <c r="OH5" s="1"/>
      <c r="OJ5" s="36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Y5" s="2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M5" s="2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QA5" s="2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O5" s="2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C5" s="2"/>
      <c r="RD5" s="1"/>
      <c r="RE5" s="1"/>
      <c r="RF5" s="1"/>
      <c r="RG5" s="1"/>
      <c r="RH5" s="1"/>
      <c r="RI5" s="1"/>
      <c r="RJ5" s="1"/>
      <c r="RK5" s="1"/>
      <c r="RL5" s="1"/>
      <c r="RQ5" s="2"/>
      <c r="RR5" s="1"/>
      <c r="RS5" s="1"/>
      <c r="RT5" s="1"/>
      <c r="RU5" s="1"/>
      <c r="RV5" s="1"/>
      <c r="RW5" s="1"/>
      <c r="RX5" s="1"/>
      <c r="RY5" s="1"/>
      <c r="RZ5" s="1"/>
      <c r="SE5" s="2"/>
      <c r="SF5" s="1"/>
      <c r="SG5" s="1"/>
      <c r="SH5" s="1"/>
      <c r="SI5" s="1"/>
      <c r="SJ5" s="1"/>
      <c r="SK5" s="1"/>
      <c r="SL5" s="1"/>
      <c r="SM5" s="1"/>
      <c r="SN5" s="1"/>
    </row>
    <row r="6" spans="1:508" x14ac:dyDescent="0.2">
      <c r="A6" s="3" t="s">
        <v>1030</v>
      </c>
      <c r="O6" s="3" t="s">
        <v>1650</v>
      </c>
      <c r="P6" s="1">
        <f>_xlfn.XLOOKUP(P4,'KPI Impacts'!$T$2:$W$2,'KPI Impacts'!$T$63:$W$63)</f>
        <v>0</v>
      </c>
      <c r="Q6" s="1">
        <f>_xlfn.XLOOKUP(Q4,'KPI Impacts'!$T$2:$W$2,'KPI Impacts'!$T$63:$W$63)</f>
        <v>0</v>
      </c>
      <c r="R6" s="1">
        <f>_xlfn.XLOOKUP(R4,'KPI Impacts'!$T$2:$W$2,'KPI Impacts'!$T$63:$W$63)</f>
        <v>0</v>
      </c>
      <c r="S6" s="1">
        <f>_xlfn.XLOOKUP(S4,'KPI Impacts'!$T$2:$W$2,'KPI Impacts'!$T$63:$W$63)</f>
        <v>0</v>
      </c>
      <c r="T6" s="1">
        <f>_xlfn.XLOOKUP(T4,'KPI Impacts'!$T$2:$W$2,'KPI Impacts'!$T$63:$W$63)</f>
        <v>0</v>
      </c>
      <c r="U6" s="1">
        <f>_xlfn.XLOOKUP(U4,'KPI Impacts'!$T$2:$W$2,'KPI Impacts'!$T$63:$W$63)</f>
        <v>0</v>
      </c>
      <c r="V6" s="1">
        <f>_xlfn.XLOOKUP(V4,'KPI Impacts'!$T$2:$W$2,'KPI Impacts'!$T$63:$W$63)</f>
        <v>0</v>
      </c>
      <c r="W6" s="1">
        <f>_xlfn.XLOOKUP(W4,'KPI Impacts'!$T$2:$W$2,'KPI Impacts'!$T$63:$W$63)</f>
        <v>0</v>
      </c>
      <c r="X6" s="1">
        <f>_xlfn.XLOOKUP(X4,'KPI Impacts'!$T$2:$W$2,'KPI Impacts'!$T$63:$W$63)</f>
        <v>0</v>
      </c>
      <c r="Y6" s="1"/>
      <c r="Z6" s="1"/>
      <c r="AG6" s="3" t="s">
        <v>1653</v>
      </c>
      <c r="AH6" s="1">
        <f>_xlfn.XLOOKUP(AH4,'KPI Impacts'!$T$2:$W$2,'KPI Impacts'!$T$63:$W$63)</f>
        <v>0</v>
      </c>
      <c r="AI6" s="1">
        <f>_xlfn.XLOOKUP(AI4,'KPI Impacts'!$T$2:$W$2,'KPI Impacts'!$T$63:$W$63)</f>
        <v>0</v>
      </c>
      <c r="AJ6" s="1">
        <f>_xlfn.XLOOKUP(AJ4,'KPI Impacts'!$T$2:$W$2,'KPI Impacts'!$T$63:$W$63)</f>
        <v>0</v>
      </c>
      <c r="AK6" s="1">
        <f>_xlfn.XLOOKUP(AK4,'KPI Impacts'!$T$2:$W$2,'KPI Impacts'!$T$63:$W$63)</f>
        <v>0</v>
      </c>
      <c r="AL6" s="1">
        <f>_xlfn.XLOOKUP(AL4,'KPI Impacts'!$T$2:$W$2,'KPI Impacts'!$T$63:$W$63)</f>
        <v>0</v>
      </c>
      <c r="AM6" s="1">
        <f>_xlfn.XLOOKUP(AM4,'KPI Impacts'!$T$2:$W$2,'KPI Impacts'!$T$63:$W$63)</f>
        <v>0</v>
      </c>
      <c r="AN6" s="1">
        <f>_xlfn.XLOOKUP(AN4,'KPI Impacts'!$T$2:$W$2,'KPI Impacts'!$T$63:$W$63)</f>
        <v>0</v>
      </c>
      <c r="AO6" s="1">
        <f>_xlfn.XLOOKUP(AO4,'KPI Impacts'!$T$2:$W$2,'KPI Impacts'!$T$63:$W$63)</f>
        <v>0</v>
      </c>
      <c r="AP6" s="1">
        <f>_xlfn.XLOOKUP(AP4,'KPI Impacts'!$T$2:$W$2,'KPI Impacts'!$T$63:$W$63)</f>
        <v>0</v>
      </c>
      <c r="AQ6" s="1"/>
      <c r="AR6" s="1"/>
      <c r="AY6" s="3" t="s">
        <v>1031</v>
      </c>
      <c r="AZ6" s="1">
        <v>0</v>
      </c>
      <c r="BA6" s="1">
        <f>IF(AND(AZ4=1,AZ5=1),1,IF(AND(AZ4=0,AZ5=1),3,0))</f>
        <v>0</v>
      </c>
      <c r="BB6" s="1">
        <f t="shared" ref="BB6:BH6" si="172">IF(AND(BA4=1,BA5=1),1,IF(AND(BA4=0,BA5=1),3,0))</f>
        <v>0</v>
      </c>
      <c r="BC6" s="1">
        <f t="shared" si="172"/>
        <v>0</v>
      </c>
      <c r="BD6" s="1">
        <f t="shared" si="172"/>
        <v>0</v>
      </c>
      <c r="BE6" s="1">
        <f t="shared" si="172"/>
        <v>0</v>
      </c>
      <c r="BF6" s="1">
        <f t="shared" si="172"/>
        <v>0</v>
      </c>
      <c r="BG6" s="1">
        <f t="shared" si="172"/>
        <v>0</v>
      </c>
      <c r="BH6" s="1">
        <f t="shared" si="172"/>
        <v>0</v>
      </c>
      <c r="BI6" s="1"/>
      <c r="BJ6" s="1"/>
      <c r="BL6" s="36"/>
      <c r="BO6" s="3" t="s">
        <v>1032</v>
      </c>
      <c r="BP6" s="1">
        <v>2</v>
      </c>
      <c r="BQ6" s="1">
        <v>2</v>
      </c>
      <c r="BR6" s="1">
        <f t="shared" ref="BR6" si="173">IF(AND(BQ4=1,BQ5=1),1,IF(AND(BQ4=0,BQ5=1),3,0))</f>
        <v>0</v>
      </c>
      <c r="BS6" s="1">
        <f t="shared" ref="BS6" si="174">IF(AND(BR4=1,BR5=1),1,IF(AND(BR4=0,BR5=1),3,0))</f>
        <v>0</v>
      </c>
      <c r="BT6" s="1">
        <f t="shared" ref="BT6" si="175">IF(AND(BS4=1,BS5=1),1,IF(AND(BS4=0,BS5=1),3,0))</f>
        <v>0</v>
      </c>
      <c r="BU6" s="1">
        <f t="shared" ref="BU6" si="176">IF(AND(BT4=1,BT5=1),1,IF(AND(BT4=0,BT5=1),3,0))</f>
        <v>0</v>
      </c>
      <c r="BV6" s="1">
        <f t="shared" ref="BV6" si="177">IF(AND(BU4=1,BU5=1),1,IF(AND(BU4=0,BU5=1),3,0))</f>
        <v>0</v>
      </c>
      <c r="BW6" s="1">
        <f t="shared" ref="BW6" si="178">IF(AND(BV4=1,BV5=1),1,IF(AND(BV4=0,BV5=1),3,0))</f>
        <v>0</v>
      </c>
      <c r="BX6" s="1">
        <f t="shared" ref="BX6" si="179">IF(AND(BW4=1,BW5=1),1,IF(AND(BW4=0,BW5=1),3,0))</f>
        <v>0</v>
      </c>
      <c r="BY6" s="1"/>
      <c r="BZ6" s="1"/>
      <c r="CB6" s="36"/>
      <c r="CE6" s="3" t="s">
        <v>1033</v>
      </c>
      <c r="CF6" s="1">
        <v>0</v>
      </c>
      <c r="CG6" s="1">
        <f>IF(AND(CF4=1,CF5=1),1,IF(AND(CF4=0,CF5=1),3,0))</f>
        <v>0</v>
      </c>
      <c r="CH6" s="1">
        <f t="shared" ref="CH6:CN6" si="180">IF(AND(CG4=1,CG5=1),1,IF(AND(CG4=0,CG5=1),3,0))</f>
        <v>0</v>
      </c>
      <c r="CI6" s="1">
        <f t="shared" si="180"/>
        <v>0</v>
      </c>
      <c r="CJ6" s="1">
        <f t="shared" si="180"/>
        <v>0</v>
      </c>
      <c r="CK6" s="1">
        <f t="shared" si="180"/>
        <v>0</v>
      </c>
      <c r="CL6" s="1">
        <f t="shared" si="180"/>
        <v>0</v>
      </c>
      <c r="CM6" s="1">
        <f t="shared" si="180"/>
        <v>0</v>
      </c>
      <c r="CN6" s="1">
        <f t="shared" si="180"/>
        <v>0</v>
      </c>
      <c r="CO6" s="1"/>
      <c r="CP6" s="1"/>
      <c r="CR6" s="36"/>
      <c r="CU6" s="3" t="s">
        <v>1034</v>
      </c>
      <c r="CV6" s="1">
        <v>0</v>
      </c>
      <c r="CW6" s="1">
        <f t="shared" ref="CW6:DD6" si="181">IF(AND(CV4=1,CV5=1),1,IF(AND(CV4=0,CV5=1),3,0))</f>
        <v>0</v>
      </c>
      <c r="CX6" s="1">
        <f t="shared" si="181"/>
        <v>0</v>
      </c>
      <c r="CY6" s="1">
        <f t="shared" si="181"/>
        <v>0</v>
      </c>
      <c r="CZ6" s="1">
        <f t="shared" si="181"/>
        <v>0</v>
      </c>
      <c r="DA6" s="1">
        <f t="shared" si="181"/>
        <v>0</v>
      </c>
      <c r="DB6" s="1">
        <f t="shared" si="181"/>
        <v>0</v>
      </c>
      <c r="DC6" s="1">
        <f t="shared" si="181"/>
        <v>0</v>
      </c>
      <c r="DD6" s="1">
        <f t="shared" si="181"/>
        <v>0</v>
      </c>
      <c r="DE6" s="1"/>
      <c r="DF6" s="1"/>
      <c r="DH6" s="36"/>
      <c r="DK6" s="3" t="s">
        <v>1035</v>
      </c>
      <c r="DL6" s="1">
        <v>0</v>
      </c>
      <c r="DM6" s="1">
        <f t="shared" ref="DM6:DT6" si="182">IF(AND(DL4=1,DL5=1),1,IF(AND(DL4=0,DL5=1),3,0))</f>
        <v>0</v>
      </c>
      <c r="DN6" s="1">
        <f t="shared" si="182"/>
        <v>0</v>
      </c>
      <c r="DO6" s="1">
        <f t="shared" si="182"/>
        <v>0</v>
      </c>
      <c r="DP6" s="1">
        <f t="shared" si="182"/>
        <v>0</v>
      </c>
      <c r="DQ6" s="1">
        <f t="shared" si="182"/>
        <v>0</v>
      </c>
      <c r="DR6" s="1">
        <f t="shared" si="182"/>
        <v>0</v>
      </c>
      <c r="DS6" s="1">
        <f t="shared" si="182"/>
        <v>0</v>
      </c>
      <c r="DT6" s="1">
        <f t="shared" si="182"/>
        <v>0</v>
      </c>
      <c r="DU6" s="1"/>
      <c r="DV6" s="1"/>
      <c r="DX6" s="36"/>
      <c r="EA6" s="3" t="s">
        <v>1036</v>
      </c>
      <c r="EB6" s="1">
        <v>2</v>
      </c>
      <c r="EC6" s="1">
        <v>2</v>
      </c>
      <c r="ED6" s="1">
        <f t="shared" ref="ED6:EJ6" si="183">IF(AND(EC4=1,EC5=1),1,IF(AND(EC4=0,EC5=1),3,0))</f>
        <v>0</v>
      </c>
      <c r="EE6" s="1">
        <f t="shared" si="183"/>
        <v>0</v>
      </c>
      <c r="EF6" s="1">
        <f t="shared" si="183"/>
        <v>0</v>
      </c>
      <c r="EG6" s="1">
        <f t="shared" si="183"/>
        <v>0</v>
      </c>
      <c r="EH6" s="1">
        <f t="shared" si="183"/>
        <v>0</v>
      </c>
      <c r="EI6" s="1">
        <f t="shared" si="183"/>
        <v>0</v>
      </c>
      <c r="EJ6" s="1">
        <f t="shared" si="183"/>
        <v>0</v>
      </c>
      <c r="EK6" s="1"/>
      <c r="EL6" s="1"/>
      <c r="EN6" s="36"/>
      <c r="EQ6" s="3" t="s">
        <v>1037</v>
      </c>
      <c r="ER6" s="1">
        <v>2</v>
      </c>
      <c r="ES6" s="1">
        <v>2</v>
      </c>
      <c r="ET6" s="1">
        <v>2</v>
      </c>
      <c r="EU6" s="1">
        <f t="shared" ref="EU6:EZ6" si="184">IF(AND(ET4=1,ET5=1),1,IF(AND(ET4=0,ET5=1),3,0))</f>
        <v>0</v>
      </c>
      <c r="EV6" s="1">
        <f t="shared" si="184"/>
        <v>0</v>
      </c>
      <c r="EW6" s="1">
        <f t="shared" si="184"/>
        <v>0</v>
      </c>
      <c r="EX6" s="1">
        <f t="shared" si="184"/>
        <v>0</v>
      </c>
      <c r="EY6" s="1">
        <f t="shared" si="184"/>
        <v>0</v>
      </c>
      <c r="EZ6" s="1">
        <f t="shared" si="184"/>
        <v>0</v>
      </c>
      <c r="FA6" s="1"/>
      <c r="FB6" s="1"/>
      <c r="FD6" s="36"/>
      <c r="FG6" s="3" t="s">
        <v>1038</v>
      </c>
      <c r="FH6" s="1">
        <v>2</v>
      </c>
      <c r="FI6" s="1">
        <v>2</v>
      </c>
      <c r="FJ6" s="1">
        <v>2</v>
      </c>
      <c r="FK6" s="1">
        <f t="shared" ref="FK6:FP6" si="185">IF(AND(FJ4=1,FJ5=1),1,IF(AND(FJ4=0,FJ5=1),3,0))</f>
        <v>0</v>
      </c>
      <c r="FL6" s="1">
        <f t="shared" si="185"/>
        <v>0</v>
      </c>
      <c r="FM6" s="1">
        <f t="shared" si="185"/>
        <v>0</v>
      </c>
      <c r="FN6" s="1">
        <f t="shared" si="185"/>
        <v>0</v>
      </c>
      <c r="FO6" s="1">
        <f t="shared" si="185"/>
        <v>0</v>
      </c>
      <c r="FP6" s="1">
        <f t="shared" si="185"/>
        <v>0</v>
      </c>
      <c r="FQ6" s="1"/>
      <c r="FR6" s="1"/>
      <c r="FT6" s="36"/>
      <c r="FW6" s="3" t="s">
        <v>1039</v>
      </c>
      <c r="FX6" s="1">
        <v>2</v>
      </c>
      <c r="FY6" s="1">
        <v>2</v>
      </c>
      <c r="FZ6" s="1">
        <v>2</v>
      </c>
      <c r="GA6" s="1">
        <v>2</v>
      </c>
      <c r="GB6" s="1">
        <f t="shared" ref="GB6:GF6" si="186">IF(AND(GA4=1,GA5=1),1,IF(AND(GA4=0,GA5=1),3,0))</f>
        <v>0</v>
      </c>
      <c r="GC6" s="1">
        <f t="shared" si="186"/>
        <v>0</v>
      </c>
      <c r="GD6" s="1">
        <f t="shared" si="186"/>
        <v>0</v>
      </c>
      <c r="GE6" s="1">
        <f t="shared" si="186"/>
        <v>0</v>
      </c>
      <c r="GF6" s="1">
        <f t="shared" si="186"/>
        <v>0</v>
      </c>
      <c r="GG6" s="1"/>
      <c r="GH6" s="1"/>
      <c r="GI6" s="1"/>
      <c r="GJ6" s="36"/>
      <c r="GK6" s="1"/>
      <c r="GM6" s="3" t="s">
        <v>1040</v>
      </c>
      <c r="GN6" s="1">
        <v>2</v>
      </c>
      <c r="GO6" s="1">
        <v>2</v>
      </c>
      <c r="GP6" s="1">
        <v>2</v>
      </c>
      <c r="GQ6" s="1">
        <v>2</v>
      </c>
      <c r="GR6" s="1">
        <f t="shared" ref="GR6:GV6" si="187">IF(AND(GQ4=1,GQ5=1),1,IF(AND(GQ4=0,GQ5=1),3,0))</f>
        <v>0</v>
      </c>
      <c r="GS6" s="1">
        <f t="shared" si="187"/>
        <v>0</v>
      </c>
      <c r="GT6" s="1">
        <f t="shared" si="187"/>
        <v>0</v>
      </c>
      <c r="GU6" s="1">
        <f t="shared" si="187"/>
        <v>0</v>
      </c>
      <c r="GV6" s="1">
        <f t="shared" si="187"/>
        <v>0</v>
      </c>
      <c r="GW6" s="1"/>
      <c r="GX6" s="1"/>
      <c r="GY6" s="1"/>
      <c r="GZ6" s="36"/>
      <c r="HA6" s="1"/>
      <c r="HB6" s="1"/>
      <c r="HC6" s="3" t="s">
        <v>1041</v>
      </c>
      <c r="HD6" s="1">
        <v>2</v>
      </c>
      <c r="HE6" s="1">
        <v>2</v>
      </c>
      <c r="HF6" s="1">
        <f t="shared" ref="HF6:HL6" si="188">IF(AND(HE4=1,HE5=1),1,IF(AND(HE4=0,HE5=1),3,0))</f>
        <v>0</v>
      </c>
      <c r="HG6" s="1">
        <f t="shared" si="188"/>
        <v>0</v>
      </c>
      <c r="HH6" s="1">
        <f t="shared" si="188"/>
        <v>0</v>
      </c>
      <c r="HI6" s="1">
        <f t="shared" si="188"/>
        <v>0</v>
      </c>
      <c r="HJ6" s="1">
        <f t="shared" si="188"/>
        <v>0</v>
      </c>
      <c r="HK6" s="1">
        <f t="shared" si="188"/>
        <v>0</v>
      </c>
      <c r="HL6" s="1">
        <f t="shared" si="188"/>
        <v>0</v>
      </c>
      <c r="HM6" s="1"/>
      <c r="HN6" s="1"/>
      <c r="HO6" s="1"/>
      <c r="HP6" s="36"/>
      <c r="HQ6" s="1"/>
      <c r="HR6" s="1"/>
      <c r="HS6" s="3" t="s">
        <v>1042</v>
      </c>
      <c r="HT6" s="1">
        <v>2</v>
      </c>
      <c r="HU6" s="1">
        <v>2</v>
      </c>
      <c r="HV6" s="1">
        <v>2</v>
      </c>
      <c r="HW6" s="1">
        <f t="shared" ref="HW6:IB6" si="189">IF(AND(HV4=1,HV5=1),1,IF(AND(HV4=0,HV5=1),3,0))</f>
        <v>0</v>
      </c>
      <c r="HX6" s="1">
        <f t="shared" si="189"/>
        <v>0</v>
      </c>
      <c r="HY6" s="1">
        <f t="shared" si="189"/>
        <v>0</v>
      </c>
      <c r="HZ6" s="1">
        <f t="shared" si="189"/>
        <v>0</v>
      </c>
      <c r="IA6" s="1">
        <f t="shared" si="189"/>
        <v>0</v>
      </c>
      <c r="IB6" s="1">
        <f t="shared" si="189"/>
        <v>0</v>
      </c>
      <c r="IC6" s="1"/>
      <c r="ID6" s="1"/>
      <c r="IE6" s="1"/>
      <c r="IF6" s="36"/>
      <c r="IG6" s="1"/>
      <c r="II6" s="3" t="s">
        <v>1043</v>
      </c>
      <c r="IJ6" s="1">
        <v>2</v>
      </c>
      <c r="IK6" s="1">
        <v>2</v>
      </c>
      <c r="IL6" s="1">
        <v>2</v>
      </c>
      <c r="IM6" s="1">
        <f t="shared" ref="IM6:IR6" si="190">IF(AND(IL4=1,IL5=1),1,IF(AND(IL4=0,IL5=1),3,0))</f>
        <v>0</v>
      </c>
      <c r="IN6" s="1">
        <f t="shared" si="190"/>
        <v>0</v>
      </c>
      <c r="IO6" s="1">
        <f t="shared" si="190"/>
        <v>0</v>
      </c>
      <c r="IP6" s="1">
        <f t="shared" si="190"/>
        <v>0</v>
      </c>
      <c r="IQ6" s="1">
        <f t="shared" si="190"/>
        <v>0</v>
      </c>
      <c r="IR6" s="1">
        <f t="shared" si="190"/>
        <v>0</v>
      </c>
      <c r="IS6" s="1"/>
      <c r="IT6" s="1"/>
      <c r="IU6" s="1"/>
      <c r="IV6" s="36"/>
      <c r="IW6" s="1"/>
      <c r="IY6" s="3" t="s">
        <v>1044</v>
      </c>
      <c r="IZ6" s="1">
        <v>2</v>
      </c>
      <c r="JA6" s="1">
        <v>2</v>
      </c>
      <c r="JB6" s="1">
        <v>2</v>
      </c>
      <c r="JC6" s="1">
        <v>2</v>
      </c>
      <c r="JD6" s="1">
        <f t="shared" ref="JD6:JH6" si="191">IF(AND(JC4=1,JC5=1),1,IF(AND(JC4=0,JC5=1),3,0))</f>
        <v>0</v>
      </c>
      <c r="JE6" s="1">
        <f t="shared" si="191"/>
        <v>0</v>
      </c>
      <c r="JF6" s="1">
        <f t="shared" si="191"/>
        <v>0</v>
      </c>
      <c r="JG6" s="1">
        <f t="shared" si="191"/>
        <v>0</v>
      </c>
      <c r="JH6" s="1">
        <f t="shared" si="191"/>
        <v>0</v>
      </c>
      <c r="JI6" s="1"/>
      <c r="JJ6" s="1"/>
      <c r="JK6" s="1"/>
      <c r="JL6" s="36"/>
      <c r="JM6" s="1"/>
      <c r="JO6" s="3" t="s">
        <v>1045</v>
      </c>
      <c r="JP6" s="1">
        <v>2</v>
      </c>
      <c r="JQ6" s="1">
        <v>2</v>
      </c>
      <c r="JR6" s="1">
        <v>2</v>
      </c>
      <c r="JS6" s="1">
        <v>2</v>
      </c>
      <c r="JT6" s="1">
        <f t="shared" ref="JT6:JX6" si="192">IF(AND(JS4=1,JS5=1),1,IF(AND(JS4=0,JS5=1),3,0))</f>
        <v>0</v>
      </c>
      <c r="JU6" s="1">
        <f t="shared" si="192"/>
        <v>0</v>
      </c>
      <c r="JV6" s="1">
        <f t="shared" si="192"/>
        <v>0</v>
      </c>
      <c r="JW6" s="1">
        <f t="shared" si="192"/>
        <v>0</v>
      </c>
      <c r="JX6" s="1">
        <f t="shared" si="192"/>
        <v>0</v>
      </c>
      <c r="JY6" s="1"/>
      <c r="JZ6" s="1"/>
      <c r="KA6" s="1"/>
      <c r="KB6" s="36"/>
      <c r="KC6" s="1"/>
      <c r="KE6" s="3" t="s">
        <v>1046</v>
      </c>
      <c r="KF6" s="1">
        <v>0</v>
      </c>
      <c r="KG6" s="1">
        <f>IF(AND(KF4=1,KF5=1),1,IF(AND(KF4=0,KF5=1),3,0))</f>
        <v>0</v>
      </c>
      <c r="KH6" s="1">
        <f t="shared" ref="KH6" si="193">IF(AND(KG4=1,KG5=1),1,IF(AND(KG4=0,KG5=1),3,0))</f>
        <v>0</v>
      </c>
      <c r="KI6" s="1">
        <f t="shared" ref="KI6" si="194">IF(AND(KH4=1,KH5=1),1,IF(AND(KH4=0,KH5=1),3,0))</f>
        <v>0</v>
      </c>
      <c r="KJ6" s="1">
        <f t="shared" ref="KJ6" si="195">IF(AND(KI4=1,KI5=1),1,IF(AND(KI4=0,KI5=1),3,0))</f>
        <v>0</v>
      </c>
      <c r="KK6" s="1">
        <f t="shared" ref="KK6" si="196">IF(AND(KJ4=1,KJ5=1),1,IF(AND(KJ4=0,KJ5=1),3,0))</f>
        <v>0</v>
      </c>
      <c r="KL6" s="1">
        <f t="shared" ref="KL6" si="197">IF(AND(KK4=1,KK5=1),1,IF(AND(KK4=0,KK5=1),3,0))</f>
        <v>0</v>
      </c>
      <c r="KM6" s="1">
        <f t="shared" ref="KM6" si="198">IF(AND(KL4=1,KL5=1),1,IF(AND(KL4=0,KL5=1),3,0))</f>
        <v>0</v>
      </c>
      <c r="KN6" s="1">
        <f t="shared" ref="KN6" si="199">IF(AND(KM4=1,KM5=1),1,IF(AND(KM4=0,KM5=1),3,0))</f>
        <v>0</v>
      </c>
      <c r="KO6" s="1"/>
      <c r="KP6" s="1"/>
      <c r="KQ6" s="1"/>
      <c r="KR6" s="36"/>
      <c r="KS6" s="1"/>
      <c r="KU6" s="3" t="s">
        <v>1047</v>
      </c>
      <c r="KV6" s="1">
        <v>0</v>
      </c>
      <c r="KW6" s="1">
        <f>IF(AND(KV4=1,KV5=1),1,IF(AND(KV4=0,KV5=1),3,0))</f>
        <v>0</v>
      </c>
      <c r="KX6" s="1">
        <f t="shared" ref="KX6" si="200">IF(AND(KW4=1,KW5=1),1,IF(AND(KW4=0,KW5=1),3,0))</f>
        <v>0</v>
      </c>
      <c r="KY6" s="1">
        <f t="shared" ref="KY6" si="201">IF(AND(KX4=1,KX5=1),1,IF(AND(KX4=0,KX5=1),3,0))</f>
        <v>0</v>
      </c>
      <c r="KZ6" s="1">
        <f t="shared" ref="KZ6" si="202">IF(AND(KY4=1,KY5=1),1,IF(AND(KY4=0,KY5=1),3,0))</f>
        <v>0</v>
      </c>
      <c r="LA6" s="1">
        <f t="shared" ref="LA6" si="203">IF(AND(KZ4=1,KZ5=1),1,IF(AND(KZ4=0,KZ5=1),3,0))</f>
        <v>0</v>
      </c>
      <c r="LB6" s="1">
        <f t="shared" ref="LB6" si="204">IF(AND(LA4=1,LA5=1),1,IF(AND(LA4=0,LA5=1),3,0))</f>
        <v>0</v>
      </c>
      <c r="LC6" s="1">
        <f t="shared" ref="LC6" si="205">IF(AND(LB4=1,LB5=1),1,IF(AND(LB4=0,LB5=1),3,0))</f>
        <v>0</v>
      </c>
      <c r="LD6" s="1">
        <f t="shared" ref="LD6" si="206">IF(AND(LC4=1,LC5=1),1,IF(AND(LC4=0,LC5=1),3,0))</f>
        <v>0</v>
      </c>
      <c r="LE6" s="1"/>
      <c r="LF6" s="1"/>
      <c r="LG6" s="1"/>
      <c r="LH6" s="36"/>
      <c r="LI6" s="1"/>
      <c r="LK6" s="3" t="s">
        <v>1048</v>
      </c>
      <c r="LL6" s="1">
        <v>0</v>
      </c>
      <c r="LM6" s="1">
        <f>IF(AND(LL4=1,LL5=1),1,IF(AND(LL4=0,LL5=1),3,0))</f>
        <v>0</v>
      </c>
      <c r="LN6" s="1">
        <f t="shared" ref="LN6" si="207">IF(AND(LM4=1,LM5=1),1,IF(AND(LM4=0,LM5=1),3,0))</f>
        <v>0</v>
      </c>
      <c r="LO6" s="1">
        <f t="shared" ref="LO6" si="208">IF(AND(LN4=1,LN5=1),1,IF(AND(LN4=0,LN5=1),3,0))</f>
        <v>0</v>
      </c>
      <c r="LP6" s="1">
        <f t="shared" ref="LP6" si="209">IF(AND(LO4=1,LO5=1),1,IF(AND(LO4=0,LO5=1),3,0))</f>
        <v>0</v>
      </c>
      <c r="LQ6" s="1">
        <f t="shared" ref="LQ6" si="210">IF(AND(LP4=1,LP5=1),1,IF(AND(LP4=0,LP5=1),3,0))</f>
        <v>0</v>
      </c>
      <c r="LR6" s="1">
        <f t="shared" ref="LR6" si="211">IF(AND(LQ4=1,LQ5=1),1,IF(AND(LQ4=0,LQ5=1),3,0))</f>
        <v>0</v>
      </c>
      <c r="LS6" s="1">
        <f t="shared" ref="LS6" si="212">IF(AND(LR4=1,LR5=1),1,IF(AND(LR4=0,LR5=1),3,0))</f>
        <v>0</v>
      </c>
      <c r="LT6" s="1">
        <f t="shared" ref="LT6" si="213">IF(AND(LS4=1,LS5=1),1,IF(AND(LS4=0,LS5=1),3,0))</f>
        <v>0</v>
      </c>
      <c r="LU6" s="1"/>
      <c r="LV6" s="1"/>
      <c r="LW6" s="1"/>
      <c r="LX6" s="36"/>
      <c r="LY6" s="1"/>
      <c r="MA6" s="3" t="s">
        <v>1049</v>
      </c>
      <c r="MB6" s="1">
        <v>0</v>
      </c>
      <c r="MC6" s="1">
        <f>IF(AND(MB4=1,MB5=1),1,IF(AND(MB4=0,MB5=1),3,0))</f>
        <v>0</v>
      </c>
      <c r="MD6" s="1">
        <f t="shared" ref="MD6" si="214">IF(AND(MC4=1,MC5=1),1,IF(AND(MC4=0,MC5=1),3,0))</f>
        <v>0</v>
      </c>
      <c r="ME6" s="1">
        <f t="shared" ref="ME6" si="215">IF(AND(MD4=1,MD5=1),1,IF(AND(MD4=0,MD5=1),3,0))</f>
        <v>0</v>
      </c>
      <c r="MF6" s="1">
        <f t="shared" ref="MF6" si="216">IF(AND(ME4=1,ME5=1),1,IF(AND(ME4=0,ME5=1),3,0))</f>
        <v>0</v>
      </c>
      <c r="MG6" s="1">
        <f t="shared" ref="MG6" si="217">IF(AND(MF4=1,MF5=1),1,IF(AND(MF4=0,MF5=1),3,0))</f>
        <v>0</v>
      </c>
      <c r="MH6" s="1">
        <f t="shared" ref="MH6" si="218">IF(AND(MG4=1,MG5=1),1,IF(AND(MG4=0,MG5=1),3,0))</f>
        <v>0</v>
      </c>
      <c r="MI6" s="1">
        <f t="shared" ref="MI6" si="219">IF(AND(MH4=1,MH5=1),1,IF(AND(MH4=0,MH5=1),3,0))</f>
        <v>0</v>
      </c>
      <c r="MJ6" s="1">
        <f t="shared" ref="MJ6" si="220">IF(AND(MI4=1,MI5=1),1,IF(AND(MI4=0,MI5=1),3,0))</f>
        <v>0</v>
      </c>
      <c r="MK6" s="1"/>
      <c r="ML6" s="1"/>
      <c r="MM6" s="1"/>
      <c r="MN6" s="36"/>
      <c r="MO6" s="1"/>
      <c r="MQ6" s="3" t="s">
        <v>1050</v>
      </c>
      <c r="MR6" s="1">
        <v>0</v>
      </c>
      <c r="MS6" s="1">
        <f>IF(AND(MR4=1,MR5=1),1,IF(AND(MR4=0,MR5=1),3,0))</f>
        <v>0</v>
      </c>
      <c r="MT6" s="1">
        <f t="shared" ref="MT6" si="221">IF(AND(MS4=1,MS5=1),1,IF(AND(MS4=0,MS5=1),3,0))</f>
        <v>0</v>
      </c>
      <c r="MU6" s="1">
        <f t="shared" ref="MU6" si="222">IF(AND(MT4=1,MT5=1),1,IF(AND(MT4=0,MT5=1),3,0))</f>
        <v>0</v>
      </c>
      <c r="MV6" s="1">
        <f t="shared" ref="MV6" si="223">IF(AND(MU4=1,MU5=1),1,IF(AND(MU4=0,MU5=1),3,0))</f>
        <v>0</v>
      </c>
      <c r="MW6" s="1">
        <f t="shared" ref="MW6" si="224">IF(AND(MV4=1,MV5=1),1,IF(AND(MV4=0,MV5=1),3,0))</f>
        <v>0</v>
      </c>
      <c r="MX6" s="1">
        <f t="shared" ref="MX6" si="225">IF(AND(MW4=1,MW5=1),1,IF(AND(MW4=0,MW5=1),3,0))</f>
        <v>0</v>
      </c>
      <c r="MY6" s="1">
        <f t="shared" ref="MY6" si="226">IF(AND(MX4=1,MX5=1),1,IF(AND(MX4=0,MX5=1),3,0))</f>
        <v>0</v>
      </c>
      <c r="MZ6" s="1">
        <f t="shared" ref="MZ6" si="227">IF(AND(MY4=1,MY5=1),1,IF(AND(MY4=0,MY5=1),3,0))</f>
        <v>0</v>
      </c>
      <c r="NA6" s="1"/>
      <c r="NB6" s="1"/>
      <c r="NC6" s="1"/>
      <c r="ND6" s="36"/>
      <c r="NE6" s="1"/>
      <c r="NG6" s="3" t="s">
        <v>1051</v>
      </c>
      <c r="NH6" s="1">
        <v>0</v>
      </c>
      <c r="NI6" s="1">
        <f>IF(AND(NH4=1,NH5=1),1,IF(AND(NH4=0,NH5=1),3,0))</f>
        <v>0</v>
      </c>
      <c r="NJ6" s="1">
        <f t="shared" ref="NJ6" si="228">IF(AND(NI4=1,NI5=1),1,IF(AND(NI4=0,NI5=1),3,0))</f>
        <v>0</v>
      </c>
      <c r="NK6" s="1">
        <f t="shared" ref="NK6" si="229">IF(AND(NJ4=1,NJ5=1),1,IF(AND(NJ4=0,NJ5=1),3,0))</f>
        <v>0</v>
      </c>
      <c r="NL6" s="1">
        <f t="shared" ref="NL6" si="230">IF(AND(NK4=1,NK5=1),1,IF(AND(NK4=0,NK5=1),3,0))</f>
        <v>0</v>
      </c>
      <c r="NM6" s="1">
        <f t="shared" ref="NM6" si="231">IF(AND(NL4=1,NL5=1),1,IF(AND(NL4=0,NL5=1),3,0))</f>
        <v>0</v>
      </c>
      <c r="NN6" s="1">
        <f t="shared" ref="NN6" si="232">IF(AND(NM4=1,NM5=1),1,IF(AND(NM4=0,NM5=1),3,0))</f>
        <v>0</v>
      </c>
      <c r="NO6" s="1">
        <f t="shared" ref="NO6" si="233">IF(AND(NN4=1,NN5=1),1,IF(AND(NN4=0,NN5=1),3,0))</f>
        <v>0</v>
      </c>
      <c r="NP6" s="1">
        <f t="shared" ref="NP6" si="234">IF(AND(NO4=1,NO5=1),1,IF(AND(NO4=0,NO5=1),3,0))</f>
        <v>0</v>
      </c>
      <c r="NQ6" s="1"/>
      <c r="NR6" s="1"/>
      <c r="NS6" s="1"/>
      <c r="NT6" s="36"/>
      <c r="NU6" s="1"/>
      <c r="NW6" s="3" t="s">
        <v>1052</v>
      </c>
      <c r="NX6" s="1">
        <v>0</v>
      </c>
      <c r="NY6" s="1">
        <f>IF(AND(NX4=1,NX5=1),1,IF(AND(NX4=0,NX5=1),3,0))</f>
        <v>0</v>
      </c>
      <c r="NZ6" s="1">
        <f t="shared" ref="NZ6" si="235">IF(AND(NY4=1,NY5=1),1,IF(AND(NY4=0,NY5=1),3,0))</f>
        <v>0</v>
      </c>
      <c r="OA6" s="1">
        <f t="shared" ref="OA6" si="236">IF(AND(NZ4=1,NZ5=1),1,IF(AND(NZ4=0,NZ5=1),3,0))</f>
        <v>0</v>
      </c>
      <c r="OB6" s="1">
        <f t="shared" ref="OB6" si="237">IF(AND(OA4=1,OA5=1),1,IF(AND(OA4=0,OA5=1),3,0))</f>
        <v>0</v>
      </c>
      <c r="OC6" s="1">
        <f t="shared" ref="OC6" si="238">IF(AND(OB4=1,OB5=1),1,IF(AND(OB4=0,OB5=1),3,0))</f>
        <v>0</v>
      </c>
      <c r="OD6" s="1">
        <f t="shared" ref="OD6" si="239">IF(AND(OC4=1,OC5=1),1,IF(AND(OC4=0,OC5=1),3,0))</f>
        <v>0</v>
      </c>
      <c r="OE6" s="1">
        <f t="shared" ref="OE6" si="240">IF(AND(OD4=1,OD5=1),1,IF(AND(OD4=0,OD5=1),3,0))</f>
        <v>0</v>
      </c>
      <c r="OF6" s="1">
        <f t="shared" ref="OF6" si="241">IF(AND(OE4=1,OE5=1),1,IF(AND(OE4=0,OE5=1),3,0))</f>
        <v>0</v>
      </c>
      <c r="OG6" s="1"/>
      <c r="OH6" s="1"/>
      <c r="OJ6" s="36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Y6" s="3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M6" s="3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QA6" s="3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O6" s="3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C6" s="3"/>
      <c r="RD6" s="1"/>
      <c r="RE6" s="1"/>
      <c r="RF6" s="1"/>
      <c r="RG6" s="1"/>
      <c r="RH6" s="1"/>
      <c r="RI6" s="1"/>
      <c r="RJ6" s="1"/>
      <c r="RK6" s="1"/>
      <c r="RL6" s="1"/>
      <c r="RQ6" s="3"/>
      <c r="RR6" s="1"/>
      <c r="RS6" s="1"/>
      <c r="RT6" s="1"/>
      <c r="RU6" s="1"/>
      <c r="RV6" s="1"/>
      <c r="RW6" s="1"/>
      <c r="RX6" s="1"/>
      <c r="RY6" s="1"/>
      <c r="RZ6" s="1"/>
      <c r="SE6" s="3"/>
      <c r="SF6" s="1"/>
      <c r="SG6" s="1"/>
      <c r="SH6" s="1"/>
      <c r="SI6" s="1"/>
      <c r="SJ6" s="1"/>
      <c r="SK6" s="1"/>
      <c r="SL6" s="1"/>
      <c r="SM6" s="1"/>
      <c r="SN6" s="1"/>
    </row>
    <row r="7" spans="1:508" x14ac:dyDescent="0.2">
      <c r="A7" s="3" t="s">
        <v>1053</v>
      </c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G7" s="3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Y7" s="3" t="s">
        <v>1054</v>
      </c>
      <c r="AZ7" s="1">
        <v>0</v>
      </c>
      <c r="BA7" s="1">
        <f>IF(AND(AZ6=2,BA6&lt;&gt;2),1,0)</f>
        <v>0</v>
      </c>
      <c r="BB7" s="1">
        <f t="shared" ref="BB7:BH7" si="242">IF(AND(BA6=2,BB6&lt;&gt;2),1,0)</f>
        <v>0</v>
      </c>
      <c r="BC7" s="1">
        <f t="shared" si="242"/>
        <v>0</v>
      </c>
      <c r="BD7" s="1">
        <f t="shared" si="242"/>
        <v>0</v>
      </c>
      <c r="BE7" s="1">
        <f t="shared" si="242"/>
        <v>0</v>
      </c>
      <c r="BF7" s="1">
        <f t="shared" si="242"/>
        <v>0</v>
      </c>
      <c r="BG7" s="1">
        <f t="shared" si="242"/>
        <v>0</v>
      </c>
      <c r="BH7" s="1">
        <f t="shared" si="242"/>
        <v>0</v>
      </c>
      <c r="BI7" s="1"/>
      <c r="BJ7" s="1"/>
      <c r="BL7" s="36"/>
      <c r="BO7" s="3" t="s">
        <v>1055</v>
      </c>
      <c r="BP7" s="1">
        <v>0</v>
      </c>
      <c r="BQ7" s="1">
        <f>IF(AND(BP6=2,BQ6&lt;&gt;2),1,0)</f>
        <v>0</v>
      </c>
      <c r="BR7" s="1">
        <f t="shared" ref="BR7:BX7" si="243">IF(AND(BQ6=2,BR6&lt;&gt;2),1,0)</f>
        <v>1</v>
      </c>
      <c r="BS7" s="1">
        <f t="shared" si="243"/>
        <v>0</v>
      </c>
      <c r="BT7" s="1">
        <f t="shared" si="243"/>
        <v>0</v>
      </c>
      <c r="BU7" s="1">
        <f t="shared" si="243"/>
        <v>0</v>
      </c>
      <c r="BV7" s="1">
        <f t="shared" si="243"/>
        <v>0</v>
      </c>
      <c r="BW7" s="1">
        <f t="shared" si="243"/>
        <v>0</v>
      </c>
      <c r="BX7" s="1">
        <f t="shared" si="243"/>
        <v>0</v>
      </c>
      <c r="BY7" s="1"/>
      <c r="BZ7" s="1"/>
      <c r="CB7" s="36"/>
      <c r="CE7" s="3" t="s">
        <v>1056</v>
      </c>
      <c r="CF7" s="1">
        <v>0</v>
      </c>
      <c r="CG7" s="1">
        <f>IF(AND(CF6=2,CG6&lt;&gt;2),1,0)</f>
        <v>0</v>
      </c>
      <c r="CH7" s="1">
        <f t="shared" ref="CH7:CN7" si="244">IF(AND(CG6=2,CH6&lt;&gt;2),1,0)</f>
        <v>0</v>
      </c>
      <c r="CI7" s="1">
        <f t="shared" si="244"/>
        <v>0</v>
      </c>
      <c r="CJ7" s="1">
        <f t="shared" si="244"/>
        <v>0</v>
      </c>
      <c r="CK7" s="1">
        <f t="shared" si="244"/>
        <v>0</v>
      </c>
      <c r="CL7" s="1">
        <f t="shared" si="244"/>
        <v>0</v>
      </c>
      <c r="CM7" s="1">
        <f t="shared" si="244"/>
        <v>0</v>
      </c>
      <c r="CN7" s="1">
        <f t="shared" si="244"/>
        <v>0</v>
      </c>
      <c r="CO7" s="1"/>
      <c r="CP7" s="1"/>
      <c r="CR7" s="36"/>
      <c r="CU7" s="3" t="s">
        <v>1057</v>
      </c>
      <c r="CV7" s="1">
        <v>0</v>
      </c>
      <c r="CW7" s="1">
        <f>IF(AND(CV6=2,CW6&lt;&gt;2),1,0)</f>
        <v>0</v>
      </c>
      <c r="CX7" s="1">
        <f>IF(AND(CW6=2,CX6&lt;&gt;2),1,0)</f>
        <v>0</v>
      </c>
      <c r="CY7" s="1">
        <f t="shared" ref="CY7:DD7" si="245">IF(AND(CX6=2,CY6&lt;&gt;2),1,0)</f>
        <v>0</v>
      </c>
      <c r="CZ7" s="1">
        <f t="shared" si="245"/>
        <v>0</v>
      </c>
      <c r="DA7" s="1">
        <f t="shared" si="245"/>
        <v>0</v>
      </c>
      <c r="DB7" s="1">
        <f t="shared" si="245"/>
        <v>0</v>
      </c>
      <c r="DC7" s="1">
        <f t="shared" si="245"/>
        <v>0</v>
      </c>
      <c r="DD7" s="1">
        <f t="shared" si="245"/>
        <v>0</v>
      </c>
      <c r="DE7" s="1"/>
      <c r="DF7" s="1"/>
      <c r="DH7" s="36"/>
      <c r="DK7" s="3" t="s">
        <v>1058</v>
      </c>
      <c r="DL7" s="1">
        <v>0</v>
      </c>
      <c r="DM7" s="1">
        <f>IF(AND(DL6=2,DM6&lt;&gt;2),1,0)</f>
        <v>0</v>
      </c>
      <c r="DN7" s="1">
        <f t="shared" ref="DN7:DT7" si="246">IF(AND(DM6=2,DN6&lt;&gt;2),1,0)</f>
        <v>0</v>
      </c>
      <c r="DO7" s="1">
        <f t="shared" si="246"/>
        <v>0</v>
      </c>
      <c r="DP7" s="1">
        <f t="shared" si="246"/>
        <v>0</v>
      </c>
      <c r="DQ7" s="1">
        <f t="shared" si="246"/>
        <v>0</v>
      </c>
      <c r="DR7" s="1">
        <f t="shared" si="246"/>
        <v>0</v>
      </c>
      <c r="DS7" s="1">
        <f t="shared" si="246"/>
        <v>0</v>
      </c>
      <c r="DT7" s="1">
        <f t="shared" si="246"/>
        <v>0</v>
      </c>
      <c r="DU7" s="1"/>
      <c r="DV7" s="1"/>
      <c r="DX7" s="36"/>
      <c r="EA7" s="3" t="s">
        <v>1059</v>
      </c>
      <c r="EB7" s="1">
        <v>0</v>
      </c>
      <c r="EC7" s="1">
        <f>IF(AND(EB6=2,EC6&lt;&gt;2),1,0)</f>
        <v>0</v>
      </c>
      <c r="ED7" s="1">
        <f t="shared" ref="ED7:EJ7" si="247">IF(AND(EC6=2,ED6&lt;&gt;2),1,0)</f>
        <v>1</v>
      </c>
      <c r="EE7" s="1">
        <f t="shared" si="247"/>
        <v>0</v>
      </c>
      <c r="EF7" s="1">
        <f t="shared" si="247"/>
        <v>0</v>
      </c>
      <c r="EG7" s="1">
        <f t="shared" si="247"/>
        <v>0</v>
      </c>
      <c r="EH7" s="1">
        <f t="shared" si="247"/>
        <v>0</v>
      </c>
      <c r="EI7" s="1">
        <f t="shared" si="247"/>
        <v>0</v>
      </c>
      <c r="EJ7" s="1">
        <f t="shared" si="247"/>
        <v>0</v>
      </c>
      <c r="EK7" s="1"/>
      <c r="EL7" s="1"/>
      <c r="EN7" s="36"/>
      <c r="EQ7" s="3" t="s">
        <v>1060</v>
      </c>
      <c r="ER7" s="1">
        <v>0</v>
      </c>
      <c r="ES7" s="1">
        <f>IF(AND(ER6=2,ES6&lt;&gt;2),1,0)</f>
        <v>0</v>
      </c>
      <c r="ET7" s="1">
        <f t="shared" ref="ET7:EZ7" si="248">IF(AND(ES6=2,ET6&lt;&gt;2),1,0)</f>
        <v>0</v>
      </c>
      <c r="EU7" s="1">
        <f t="shared" si="248"/>
        <v>1</v>
      </c>
      <c r="EV7" s="1">
        <f t="shared" si="248"/>
        <v>0</v>
      </c>
      <c r="EW7" s="1">
        <f t="shared" si="248"/>
        <v>0</v>
      </c>
      <c r="EX7" s="1">
        <f t="shared" si="248"/>
        <v>0</v>
      </c>
      <c r="EY7" s="1">
        <f t="shared" si="248"/>
        <v>0</v>
      </c>
      <c r="EZ7" s="1">
        <f t="shared" si="248"/>
        <v>0</v>
      </c>
      <c r="FA7" s="1"/>
      <c r="FB7" s="1"/>
      <c r="FD7" s="36"/>
      <c r="FG7" s="3" t="s">
        <v>1061</v>
      </c>
      <c r="FH7" s="1">
        <v>0</v>
      </c>
      <c r="FI7" s="1">
        <f>IF(AND(FH6=2,FI6&lt;&gt;2),1,0)</f>
        <v>0</v>
      </c>
      <c r="FJ7" s="1">
        <f t="shared" ref="FJ7:FP7" si="249">IF(AND(FI6=2,FJ6&lt;&gt;2),1,0)</f>
        <v>0</v>
      </c>
      <c r="FK7" s="1">
        <f t="shared" si="249"/>
        <v>1</v>
      </c>
      <c r="FL7" s="1">
        <f t="shared" si="249"/>
        <v>0</v>
      </c>
      <c r="FM7" s="1">
        <f t="shared" si="249"/>
        <v>0</v>
      </c>
      <c r="FN7" s="1">
        <f t="shared" si="249"/>
        <v>0</v>
      </c>
      <c r="FO7" s="1">
        <f t="shared" si="249"/>
        <v>0</v>
      </c>
      <c r="FP7" s="1">
        <f t="shared" si="249"/>
        <v>0</v>
      </c>
      <c r="FQ7" s="1"/>
      <c r="FR7" s="1"/>
      <c r="FT7" s="36"/>
      <c r="FW7" s="3" t="s">
        <v>1062</v>
      </c>
      <c r="FX7" s="1">
        <v>0</v>
      </c>
      <c r="FY7" s="1">
        <f>IF(AND(FX6=2,FY6&lt;&gt;2),1,0)</f>
        <v>0</v>
      </c>
      <c r="FZ7" s="1">
        <f t="shared" ref="FZ7:GF7" si="250">IF(AND(FY6=2,FZ6&lt;&gt;2),1,0)</f>
        <v>0</v>
      </c>
      <c r="GA7" s="1">
        <f t="shared" si="250"/>
        <v>0</v>
      </c>
      <c r="GB7" s="1">
        <f t="shared" si="250"/>
        <v>1</v>
      </c>
      <c r="GC7" s="1">
        <f t="shared" si="250"/>
        <v>0</v>
      </c>
      <c r="GD7" s="1">
        <f t="shared" si="250"/>
        <v>0</v>
      </c>
      <c r="GE7" s="1">
        <f t="shared" si="250"/>
        <v>0</v>
      </c>
      <c r="GF7" s="1">
        <f t="shared" si="250"/>
        <v>0</v>
      </c>
      <c r="GG7" s="1"/>
      <c r="GH7" s="1"/>
      <c r="GI7" s="1"/>
      <c r="GJ7" s="36"/>
      <c r="GK7" s="1"/>
      <c r="GM7" s="3" t="s">
        <v>1063</v>
      </c>
      <c r="GN7" s="1">
        <v>0</v>
      </c>
      <c r="GO7" s="1">
        <f>IF(AND(GN6=2,GO6&lt;&gt;2),1,0)</f>
        <v>0</v>
      </c>
      <c r="GP7" s="1">
        <f t="shared" ref="GP7:GV7" si="251">IF(AND(GO6=2,GP6&lt;&gt;2),1,0)</f>
        <v>0</v>
      </c>
      <c r="GQ7" s="1">
        <f t="shared" si="251"/>
        <v>0</v>
      </c>
      <c r="GR7" s="1">
        <f t="shared" si="251"/>
        <v>1</v>
      </c>
      <c r="GS7" s="1">
        <f t="shared" si="251"/>
        <v>0</v>
      </c>
      <c r="GT7" s="1">
        <f t="shared" si="251"/>
        <v>0</v>
      </c>
      <c r="GU7" s="1">
        <f t="shared" si="251"/>
        <v>0</v>
      </c>
      <c r="GV7" s="1">
        <f t="shared" si="251"/>
        <v>0</v>
      </c>
      <c r="GW7" s="1"/>
      <c r="GX7" s="1"/>
      <c r="GY7" s="1"/>
      <c r="GZ7" s="36"/>
      <c r="HA7" s="1"/>
      <c r="HB7" s="1"/>
      <c r="HC7" s="3" t="s">
        <v>1064</v>
      </c>
      <c r="HD7" s="1">
        <v>0</v>
      </c>
      <c r="HE7" s="1">
        <f>IF(AND(HD6=2,HE6&lt;&gt;2),1,0)</f>
        <v>0</v>
      </c>
      <c r="HF7" s="1">
        <f t="shared" ref="HF7:HL7" si="252">IF(AND(HE6=2,HF6&lt;&gt;2),1,0)</f>
        <v>1</v>
      </c>
      <c r="HG7" s="1">
        <f t="shared" si="252"/>
        <v>0</v>
      </c>
      <c r="HH7" s="1">
        <f t="shared" si="252"/>
        <v>0</v>
      </c>
      <c r="HI7" s="1">
        <f t="shared" si="252"/>
        <v>0</v>
      </c>
      <c r="HJ7" s="1">
        <f t="shared" si="252"/>
        <v>0</v>
      </c>
      <c r="HK7" s="1">
        <f t="shared" si="252"/>
        <v>0</v>
      </c>
      <c r="HL7" s="1">
        <f t="shared" si="252"/>
        <v>0</v>
      </c>
      <c r="HM7" s="1"/>
      <c r="HN7" s="1"/>
      <c r="HO7" s="1"/>
      <c r="HP7" s="36"/>
      <c r="HQ7" s="1"/>
      <c r="HR7" s="1"/>
      <c r="HS7" s="3" t="s">
        <v>1065</v>
      </c>
      <c r="HT7" s="1">
        <v>0</v>
      </c>
      <c r="HU7" s="1">
        <f>IF(AND(HT6=2,HU6&lt;&gt;2),1,0)</f>
        <v>0</v>
      </c>
      <c r="HV7" s="1">
        <f t="shared" ref="HV7:IB7" si="253">IF(AND(HU6=2,HV6&lt;&gt;2),1,0)</f>
        <v>0</v>
      </c>
      <c r="HW7" s="1">
        <f t="shared" si="253"/>
        <v>1</v>
      </c>
      <c r="HX7" s="1">
        <f t="shared" si="253"/>
        <v>0</v>
      </c>
      <c r="HY7" s="1">
        <f t="shared" si="253"/>
        <v>0</v>
      </c>
      <c r="HZ7" s="1">
        <f t="shared" si="253"/>
        <v>0</v>
      </c>
      <c r="IA7" s="1">
        <f t="shared" si="253"/>
        <v>0</v>
      </c>
      <c r="IB7" s="1">
        <f t="shared" si="253"/>
        <v>0</v>
      </c>
      <c r="IC7" s="1"/>
      <c r="ID7" s="1"/>
      <c r="IE7" s="1"/>
      <c r="IF7" s="36"/>
      <c r="IG7" s="1"/>
      <c r="II7" s="3" t="s">
        <v>1066</v>
      </c>
      <c r="IJ7" s="1">
        <v>0</v>
      </c>
      <c r="IK7" s="1">
        <f>IF(AND(IJ6=2,IK6&lt;&gt;2),1,0)</f>
        <v>0</v>
      </c>
      <c r="IL7" s="1">
        <f t="shared" ref="IL7:IR7" si="254">IF(AND(IK6=2,IL6&lt;&gt;2),1,0)</f>
        <v>0</v>
      </c>
      <c r="IM7" s="1">
        <f t="shared" si="254"/>
        <v>1</v>
      </c>
      <c r="IN7" s="1">
        <f t="shared" si="254"/>
        <v>0</v>
      </c>
      <c r="IO7" s="1">
        <f t="shared" si="254"/>
        <v>0</v>
      </c>
      <c r="IP7" s="1">
        <f t="shared" si="254"/>
        <v>0</v>
      </c>
      <c r="IQ7" s="1">
        <f t="shared" si="254"/>
        <v>0</v>
      </c>
      <c r="IR7" s="1">
        <f t="shared" si="254"/>
        <v>0</v>
      </c>
      <c r="IS7" s="1"/>
      <c r="IT7" s="1"/>
      <c r="IU7" s="1"/>
      <c r="IV7" s="36"/>
      <c r="IW7" s="1"/>
      <c r="IY7" s="3" t="s">
        <v>1067</v>
      </c>
      <c r="IZ7" s="1">
        <v>0</v>
      </c>
      <c r="JA7" s="1">
        <f>IF(AND(IZ6=2,JA6&lt;&gt;2),1,0)</f>
        <v>0</v>
      </c>
      <c r="JB7" s="1">
        <f t="shared" ref="JB7:JH7" si="255">IF(AND(JA6=2,JB6&lt;&gt;2),1,0)</f>
        <v>0</v>
      </c>
      <c r="JC7" s="1">
        <f t="shared" si="255"/>
        <v>0</v>
      </c>
      <c r="JD7" s="1">
        <f t="shared" si="255"/>
        <v>1</v>
      </c>
      <c r="JE7" s="1">
        <f t="shared" si="255"/>
        <v>0</v>
      </c>
      <c r="JF7" s="1">
        <f t="shared" si="255"/>
        <v>0</v>
      </c>
      <c r="JG7" s="1">
        <f t="shared" si="255"/>
        <v>0</v>
      </c>
      <c r="JH7" s="1">
        <f t="shared" si="255"/>
        <v>0</v>
      </c>
      <c r="JI7" s="1"/>
      <c r="JJ7" s="1"/>
      <c r="JK7" s="1"/>
      <c r="JL7" s="36"/>
      <c r="JM7" s="1"/>
      <c r="JO7" s="3" t="s">
        <v>1068</v>
      </c>
      <c r="JP7" s="1">
        <v>0</v>
      </c>
      <c r="JQ7" s="1">
        <f>IF(AND(JP6=2,JQ6&lt;&gt;2),1,0)</f>
        <v>0</v>
      </c>
      <c r="JR7" s="1">
        <f t="shared" ref="JR7:JX7" si="256">IF(AND(JQ6=2,JR6&lt;&gt;2),1,0)</f>
        <v>0</v>
      </c>
      <c r="JS7" s="1">
        <f t="shared" si="256"/>
        <v>0</v>
      </c>
      <c r="JT7" s="1">
        <f t="shared" si="256"/>
        <v>1</v>
      </c>
      <c r="JU7" s="1">
        <f t="shared" si="256"/>
        <v>0</v>
      </c>
      <c r="JV7" s="1">
        <f t="shared" si="256"/>
        <v>0</v>
      </c>
      <c r="JW7" s="1">
        <f t="shared" si="256"/>
        <v>0</v>
      </c>
      <c r="JX7" s="1">
        <f t="shared" si="256"/>
        <v>0</v>
      </c>
      <c r="JY7" s="1"/>
      <c r="JZ7" s="1"/>
      <c r="KA7" s="1"/>
      <c r="KB7" s="36"/>
      <c r="KC7" s="1"/>
      <c r="KE7" s="3" t="s">
        <v>1069</v>
      </c>
      <c r="KF7" s="1">
        <v>0</v>
      </c>
      <c r="KG7" s="1">
        <f>IF(AND(KF6=2,KG6&lt;&gt;2),1,0)</f>
        <v>0</v>
      </c>
      <c r="KH7" s="1">
        <f t="shared" ref="KH7:KN7" si="257">IF(AND(KG6=2,KH6&lt;&gt;2),1,0)</f>
        <v>0</v>
      </c>
      <c r="KI7" s="1">
        <f t="shared" si="257"/>
        <v>0</v>
      </c>
      <c r="KJ7" s="1">
        <f t="shared" si="257"/>
        <v>0</v>
      </c>
      <c r="KK7" s="1">
        <f t="shared" si="257"/>
        <v>0</v>
      </c>
      <c r="KL7" s="1">
        <f t="shared" si="257"/>
        <v>0</v>
      </c>
      <c r="KM7" s="1">
        <f t="shared" si="257"/>
        <v>0</v>
      </c>
      <c r="KN7" s="1">
        <f t="shared" si="257"/>
        <v>0</v>
      </c>
      <c r="KO7" s="1"/>
      <c r="KP7" s="1"/>
      <c r="KQ7" s="1"/>
      <c r="KR7" s="36"/>
      <c r="KS7" s="1"/>
      <c r="KU7" s="3" t="s">
        <v>1070</v>
      </c>
      <c r="KV7" s="1">
        <v>0</v>
      </c>
      <c r="KW7" s="1">
        <f>IF(AND(KV6=2,KW6&lt;&gt;2),1,0)</f>
        <v>0</v>
      </c>
      <c r="KX7" s="1">
        <f t="shared" ref="KX7:LD7" si="258">IF(AND(KW6=2,KX6&lt;&gt;2),1,0)</f>
        <v>0</v>
      </c>
      <c r="KY7" s="1">
        <f t="shared" si="258"/>
        <v>0</v>
      </c>
      <c r="KZ7" s="1">
        <f t="shared" si="258"/>
        <v>0</v>
      </c>
      <c r="LA7" s="1">
        <f t="shared" si="258"/>
        <v>0</v>
      </c>
      <c r="LB7" s="1">
        <f t="shared" si="258"/>
        <v>0</v>
      </c>
      <c r="LC7" s="1">
        <f t="shared" si="258"/>
        <v>0</v>
      </c>
      <c r="LD7" s="1">
        <f t="shared" si="258"/>
        <v>0</v>
      </c>
      <c r="LE7" s="1"/>
      <c r="LF7" s="1"/>
      <c r="LG7" s="1"/>
      <c r="LH7" s="36"/>
      <c r="LI7" s="1"/>
      <c r="LK7" s="3" t="s">
        <v>1071</v>
      </c>
      <c r="LL7" s="1">
        <v>0</v>
      </c>
      <c r="LM7" s="1">
        <f>IF(AND(LL6=2,LM6&lt;&gt;2),1,0)</f>
        <v>0</v>
      </c>
      <c r="LN7" s="1">
        <f t="shared" ref="LN7:LT7" si="259">IF(AND(LM6=2,LN6&lt;&gt;2),1,0)</f>
        <v>0</v>
      </c>
      <c r="LO7" s="1">
        <f t="shared" si="259"/>
        <v>0</v>
      </c>
      <c r="LP7" s="1">
        <f t="shared" si="259"/>
        <v>0</v>
      </c>
      <c r="LQ7" s="1">
        <f t="shared" si="259"/>
        <v>0</v>
      </c>
      <c r="LR7" s="1">
        <f t="shared" si="259"/>
        <v>0</v>
      </c>
      <c r="LS7" s="1">
        <f t="shared" si="259"/>
        <v>0</v>
      </c>
      <c r="LT7" s="1">
        <f t="shared" si="259"/>
        <v>0</v>
      </c>
      <c r="LU7" s="1"/>
      <c r="LV7" s="1"/>
      <c r="LW7" s="1"/>
      <c r="LX7" s="36"/>
      <c r="LY7" s="1"/>
      <c r="MA7" s="3" t="s">
        <v>1072</v>
      </c>
      <c r="MB7" s="1">
        <v>0</v>
      </c>
      <c r="MC7" s="1">
        <f>IF(AND(MB6=2,MC6&lt;&gt;2),1,0)</f>
        <v>0</v>
      </c>
      <c r="MD7" s="1">
        <f t="shared" ref="MD7:MJ7" si="260">IF(AND(MC6=2,MD6&lt;&gt;2),1,0)</f>
        <v>0</v>
      </c>
      <c r="ME7" s="1">
        <f t="shared" si="260"/>
        <v>0</v>
      </c>
      <c r="MF7" s="1">
        <f t="shared" si="260"/>
        <v>0</v>
      </c>
      <c r="MG7" s="1">
        <f t="shared" si="260"/>
        <v>0</v>
      </c>
      <c r="MH7" s="1">
        <f t="shared" si="260"/>
        <v>0</v>
      </c>
      <c r="MI7" s="1">
        <f t="shared" si="260"/>
        <v>0</v>
      </c>
      <c r="MJ7" s="1">
        <f t="shared" si="260"/>
        <v>0</v>
      </c>
      <c r="MK7" s="1"/>
      <c r="ML7" s="1"/>
      <c r="MM7" s="1"/>
      <c r="MN7" s="36"/>
      <c r="MO7" s="1"/>
      <c r="MQ7" s="3" t="s">
        <v>1073</v>
      </c>
      <c r="MR7" s="1">
        <v>0</v>
      </c>
      <c r="MS7" s="1">
        <f>IF(AND(MR6=2,MS6&lt;&gt;2),1,0)</f>
        <v>0</v>
      </c>
      <c r="MT7" s="1">
        <f t="shared" ref="MT7:MZ7" si="261">IF(AND(MS6=2,MT6&lt;&gt;2),1,0)</f>
        <v>0</v>
      </c>
      <c r="MU7" s="1">
        <f t="shared" si="261"/>
        <v>0</v>
      </c>
      <c r="MV7" s="1">
        <f t="shared" si="261"/>
        <v>0</v>
      </c>
      <c r="MW7" s="1">
        <f t="shared" si="261"/>
        <v>0</v>
      </c>
      <c r="MX7" s="1">
        <f t="shared" si="261"/>
        <v>0</v>
      </c>
      <c r="MY7" s="1">
        <f t="shared" si="261"/>
        <v>0</v>
      </c>
      <c r="MZ7" s="1">
        <f t="shared" si="261"/>
        <v>0</v>
      </c>
      <c r="NA7" s="1"/>
      <c r="NB7" s="1"/>
      <c r="NC7" s="1"/>
      <c r="ND7" s="36"/>
      <c r="NE7" s="1"/>
      <c r="NG7" s="3" t="s">
        <v>1074</v>
      </c>
      <c r="NH7" s="1">
        <v>0</v>
      </c>
      <c r="NI7" s="1">
        <f>IF(AND(NH6=2,NI6&lt;&gt;2),1,0)</f>
        <v>0</v>
      </c>
      <c r="NJ7" s="1">
        <f t="shared" ref="NJ7:NP7" si="262">IF(AND(NI6=2,NJ6&lt;&gt;2),1,0)</f>
        <v>0</v>
      </c>
      <c r="NK7" s="1">
        <f t="shared" si="262"/>
        <v>0</v>
      </c>
      <c r="NL7" s="1">
        <f t="shared" si="262"/>
        <v>0</v>
      </c>
      <c r="NM7" s="1">
        <f t="shared" si="262"/>
        <v>0</v>
      </c>
      <c r="NN7" s="1">
        <f t="shared" si="262"/>
        <v>0</v>
      </c>
      <c r="NO7" s="1">
        <f t="shared" si="262"/>
        <v>0</v>
      </c>
      <c r="NP7" s="1">
        <f t="shared" si="262"/>
        <v>0</v>
      </c>
      <c r="NQ7" s="1"/>
      <c r="NR7" s="1"/>
      <c r="NS7" s="1"/>
      <c r="NT7" s="36"/>
      <c r="NU7" s="1"/>
      <c r="NW7" s="3" t="s">
        <v>1075</v>
      </c>
      <c r="NX7" s="1">
        <v>0</v>
      </c>
      <c r="NY7" s="1">
        <f>IF(AND(NX6=2,NY6&lt;&gt;2),1,0)</f>
        <v>0</v>
      </c>
      <c r="NZ7" s="1">
        <f t="shared" ref="NZ7:OF7" si="263">IF(AND(NY6=2,NZ6&lt;&gt;2),1,0)</f>
        <v>0</v>
      </c>
      <c r="OA7" s="1">
        <f t="shared" si="263"/>
        <v>0</v>
      </c>
      <c r="OB7" s="1">
        <f t="shared" si="263"/>
        <v>0</v>
      </c>
      <c r="OC7" s="1">
        <f t="shared" si="263"/>
        <v>0</v>
      </c>
      <c r="OD7" s="1">
        <f t="shared" si="263"/>
        <v>0</v>
      </c>
      <c r="OE7" s="1">
        <f t="shared" si="263"/>
        <v>0</v>
      </c>
      <c r="OF7" s="1">
        <f t="shared" si="263"/>
        <v>0</v>
      </c>
      <c r="OG7" s="1"/>
      <c r="OH7" s="1"/>
      <c r="OJ7" s="36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Y7" s="3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M7" s="3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QA7" s="3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O7" s="3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C7" s="3"/>
      <c r="RD7" s="1"/>
      <c r="RE7" s="1"/>
      <c r="RF7" s="1"/>
      <c r="RG7" s="1"/>
      <c r="RH7" s="1"/>
      <c r="RI7" s="1"/>
      <c r="RJ7" s="1"/>
      <c r="RK7" s="1"/>
      <c r="RL7" s="1"/>
      <c r="RQ7" s="3"/>
      <c r="RR7" s="1"/>
      <c r="RS7" s="1"/>
      <c r="RT7" s="1"/>
      <c r="RU7" s="1"/>
      <c r="RV7" s="1"/>
      <c r="RW7" s="1"/>
      <c r="RX7" s="1"/>
      <c r="RY7" s="1"/>
      <c r="RZ7" s="1"/>
      <c r="SE7" s="3"/>
      <c r="SF7" s="1"/>
      <c r="SG7" s="1"/>
      <c r="SH7" s="1"/>
      <c r="SI7" s="1"/>
      <c r="SJ7" s="1"/>
      <c r="SK7" s="1"/>
      <c r="SL7" s="1"/>
      <c r="SM7" s="1"/>
      <c r="SN7" s="1"/>
    </row>
    <row r="8" spans="1:508" x14ac:dyDescent="0.2">
      <c r="A8" s="3" t="s">
        <v>1076</v>
      </c>
      <c r="O8" s="3"/>
      <c r="P8" s="1"/>
      <c r="Q8" s="4"/>
      <c r="R8" s="4"/>
      <c r="S8" s="4"/>
      <c r="T8" s="4"/>
      <c r="U8" s="4"/>
      <c r="V8" s="4"/>
      <c r="W8" s="4"/>
      <c r="X8" s="4"/>
      <c r="Y8" s="4"/>
      <c r="Z8" s="4"/>
      <c r="AG8" s="3"/>
      <c r="AH8" s="1"/>
      <c r="AI8" s="1"/>
      <c r="AJ8" s="1"/>
      <c r="AK8" s="1"/>
      <c r="AL8" s="1"/>
      <c r="AM8" s="1"/>
      <c r="AN8" s="1"/>
      <c r="AO8" s="1"/>
      <c r="AP8" s="1"/>
      <c r="AQ8" s="4"/>
      <c r="AR8" s="4"/>
      <c r="AY8" s="3" t="s">
        <v>1077</v>
      </c>
      <c r="AZ8" s="1">
        <v>0</v>
      </c>
      <c r="BA8" s="1">
        <f>IF(BA7=1,Results!C5+1,AZ8)</f>
        <v>0</v>
      </c>
      <c r="BB8" s="1">
        <f>IF(BB7=1,Results!D5+1,BA8)</f>
        <v>0</v>
      </c>
      <c r="BC8" s="1">
        <f>IF(BC7=1,Results!E5+1,BB8)</f>
        <v>0</v>
      </c>
      <c r="BD8" s="1">
        <f>IF(BD7=1,Results!F5+1,BC8)</f>
        <v>0</v>
      </c>
      <c r="BE8" s="1">
        <f>IF(BE7=1,Results!G5+1,BD8)</f>
        <v>0</v>
      </c>
      <c r="BF8" s="1">
        <f>IF(BF7=1,Results!H5+1,BE8)</f>
        <v>0</v>
      </c>
      <c r="BG8" s="1">
        <f>IF(BG7=1,Results!I5+1,BF8)</f>
        <v>0</v>
      </c>
      <c r="BH8" s="1">
        <f>IF(BH7=1,Results!J5+1,BG8)</f>
        <v>0</v>
      </c>
      <c r="BI8" s="4"/>
      <c r="BJ8" s="4"/>
      <c r="BL8" s="36"/>
      <c r="BO8" s="3" t="s">
        <v>1078</v>
      </c>
      <c r="BP8" s="1">
        <v>0</v>
      </c>
      <c r="BQ8" s="4">
        <f>IF(BQ7=1,Results!C5+1,BP8)</f>
        <v>0</v>
      </c>
      <c r="BR8" s="4">
        <f>IF(BR7=1,Results!D5+1,BQ8)</f>
        <v>3</v>
      </c>
      <c r="BS8" s="4">
        <f>IF(BS7=1,Results!E5+1,BR8)</f>
        <v>3</v>
      </c>
      <c r="BT8" s="4">
        <f>IF(BT7=1,Results!F5+1,BS8)</f>
        <v>3</v>
      </c>
      <c r="BU8" s="4">
        <f>IF(BU7=1,Results!G5+1,BT8)</f>
        <v>3</v>
      </c>
      <c r="BV8" s="4">
        <f>IF(BV7=1,Results!H5+1,BU8)</f>
        <v>3</v>
      </c>
      <c r="BW8" s="4">
        <f>IF(BW7=1,Results!I5+1,BV8)</f>
        <v>3</v>
      </c>
      <c r="BX8" s="4">
        <f>IF(BX7=1,Results!J5+1,BW8)</f>
        <v>3</v>
      </c>
      <c r="BY8" s="4"/>
      <c r="BZ8" s="4"/>
      <c r="CB8" s="36"/>
      <c r="CE8" s="3" t="s">
        <v>1079</v>
      </c>
      <c r="CF8" s="1">
        <v>0</v>
      </c>
      <c r="CG8" s="4">
        <f>IF(CG7=1,Results!C5+1,CF8)</f>
        <v>0</v>
      </c>
      <c r="CH8" s="4">
        <f>IF(CH7=1,Results!D5+1,CG8)</f>
        <v>0</v>
      </c>
      <c r="CI8" s="4">
        <f>IF(CI7=1,Results!E5+1,CH8)</f>
        <v>0</v>
      </c>
      <c r="CJ8" s="4">
        <f>IF(CJ7=1,Results!F5+1,CI8)</f>
        <v>0</v>
      </c>
      <c r="CK8" s="4">
        <f>IF(CK7=1,Results!G5+1,CJ8)</f>
        <v>0</v>
      </c>
      <c r="CL8" s="4">
        <f>IF(CL7=1,Results!H5+1,CK8)</f>
        <v>0</v>
      </c>
      <c r="CM8" s="4">
        <f>IF(CM7=1,Results!I5+1,CL8)</f>
        <v>0</v>
      </c>
      <c r="CN8" s="4">
        <f>IF(CN7=1,Results!J5+1,CM8)</f>
        <v>0</v>
      </c>
      <c r="CO8" s="4"/>
      <c r="CP8" s="4"/>
      <c r="CR8" s="36"/>
      <c r="CU8" s="3" t="s">
        <v>1080</v>
      </c>
      <c r="CV8" s="1">
        <v>0</v>
      </c>
      <c r="CW8" s="4">
        <f>IF(CW7=1,Results!C5+1,CV8)</f>
        <v>0</v>
      </c>
      <c r="CX8" s="4">
        <f>IF(CX7=1,Results!D5+1,CW8)</f>
        <v>0</v>
      </c>
      <c r="CY8" s="4">
        <f>IF(CY7=1,Results!E5+1,CX8)</f>
        <v>0</v>
      </c>
      <c r="CZ8" s="4">
        <f>IF(CZ7=1,Results!F5+1,CY8)</f>
        <v>0</v>
      </c>
      <c r="DA8" s="4">
        <f>IF(DA7=1,Results!G5+1,CZ8)</f>
        <v>0</v>
      </c>
      <c r="DB8" s="4">
        <f>IF(DB7=1,Results!H5+1,DA8)</f>
        <v>0</v>
      </c>
      <c r="DC8" s="4">
        <f>IF(DC7=1,Results!I5+1,DB8)</f>
        <v>0</v>
      </c>
      <c r="DD8" s="4">
        <f>IF(DD7=1,Results!J5+1,DC8)</f>
        <v>0</v>
      </c>
      <c r="DE8" s="4"/>
      <c r="DF8" s="4"/>
      <c r="DH8" s="36"/>
      <c r="DK8" s="3" t="s">
        <v>1081</v>
      </c>
      <c r="DL8" s="1">
        <v>0</v>
      </c>
      <c r="DM8" s="4">
        <f>IF(DM7=1,Results!C5+1,DL8)</f>
        <v>0</v>
      </c>
      <c r="DN8" s="4">
        <f>IF(DN7=1,Results!D5+1,DM8)</f>
        <v>0</v>
      </c>
      <c r="DO8" s="4">
        <f>IF(DO7=1,Results!E5+1,DN8)</f>
        <v>0</v>
      </c>
      <c r="DP8" s="4">
        <f>IF(DP7=1,Results!F5+1,DO8)</f>
        <v>0</v>
      </c>
      <c r="DQ8" s="4">
        <f>IF(DQ7=1,Results!G5+1,DP8)</f>
        <v>0</v>
      </c>
      <c r="DR8" s="4">
        <f>IF(DR7=1,Results!H5+1,DQ8)</f>
        <v>0</v>
      </c>
      <c r="DS8" s="4">
        <f>IF(DS7=1,Results!I5+1,DR8)</f>
        <v>0</v>
      </c>
      <c r="DT8" s="4">
        <f>IF(DT7=1,Results!J5+1,DS8)</f>
        <v>0</v>
      </c>
      <c r="DU8" s="4"/>
      <c r="DV8" s="4"/>
      <c r="DX8" s="36"/>
      <c r="EA8" s="3" t="s">
        <v>1082</v>
      </c>
      <c r="EB8" s="1">
        <v>0</v>
      </c>
      <c r="EC8" s="4">
        <f>IF(EC7=1,Results!C5+1,EB8)</f>
        <v>0</v>
      </c>
      <c r="ED8" s="4">
        <f>IF(ED7=1,Results!D5+1,EC8)</f>
        <v>3</v>
      </c>
      <c r="EE8" s="4">
        <f>IF(EE7=1,Results!E5+1,ED8)</f>
        <v>3</v>
      </c>
      <c r="EF8" s="4">
        <f>IF(EF7=1,Results!F5+1,EE8)</f>
        <v>3</v>
      </c>
      <c r="EG8" s="4">
        <f>IF(EG7=1,Results!G5+1,EF8)</f>
        <v>3</v>
      </c>
      <c r="EH8" s="4">
        <f>IF(EH7=1,Results!H5+1,EG8)</f>
        <v>3</v>
      </c>
      <c r="EI8" s="4">
        <f>IF(EI7=1,Results!I5+1,EH8)</f>
        <v>3</v>
      </c>
      <c r="EJ8" s="4">
        <f>IF(EJ7=1,Results!J5+1,EI8)</f>
        <v>3</v>
      </c>
      <c r="EK8" s="4"/>
      <c r="EL8" s="4"/>
      <c r="EN8" s="36"/>
      <c r="EQ8" s="3" t="s">
        <v>1083</v>
      </c>
      <c r="ER8" s="1">
        <v>0</v>
      </c>
      <c r="ES8" s="4">
        <f>IF(ES7=1,Results!C5+1,ER8)</f>
        <v>0</v>
      </c>
      <c r="ET8" s="4">
        <f>IF(ET7=1,Results!D5+1,ES8)</f>
        <v>0</v>
      </c>
      <c r="EU8" s="4">
        <f>IF(EU7=1,Results!E5+1,ET8)</f>
        <v>4</v>
      </c>
      <c r="EV8" s="4">
        <f>IF(EV7=1,Results!F5+1,EU8)</f>
        <v>4</v>
      </c>
      <c r="EW8" s="4">
        <f>IF(EW7=1,Results!G5+1,EV8)</f>
        <v>4</v>
      </c>
      <c r="EX8" s="4">
        <f>IF(EX7=1,Results!H5+1,EW8)</f>
        <v>4</v>
      </c>
      <c r="EY8" s="4">
        <f>IF(EY7=1,Results!I5+1,EX8)</f>
        <v>4</v>
      </c>
      <c r="EZ8" s="1">
        <f>IF(EZ7=1,Results!J5+1,EY8)</f>
        <v>4</v>
      </c>
      <c r="FA8" s="4"/>
      <c r="FB8" s="1"/>
      <c r="FD8" s="36"/>
      <c r="FG8" s="3" t="s">
        <v>1084</v>
      </c>
      <c r="FH8" s="1">
        <v>0</v>
      </c>
      <c r="FI8" s="4">
        <f>IF(FI7=1,Results!C5+1,FH8)</f>
        <v>0</v>
      </c>
      <c r="FJ8" s="4">
        <f>IF(FJ7=1,Results!D5+1,FI8)</f>
        <v>0</v>
      </c>
      <c r="FK8" s="4">
        <f>IF(FK7=1,Results!E5+1,FJ8)</f>
        <v>4</v>
      </c>
      <c r="FL8" s="4">
        <f>IF(FL7=1,Results!F5+1,FK8)</f>
        <v>4</v>
      </c>
      <c r="FM8" s="4">
        <f>IF(FM7=1,Results!G5+1,FL8)</f>
        <v>4</v>
      </c>
      <c r="FN8" s="4">
        <f>IF(FN7=1,Results!H5+1,FM8)</f>
        <v>4</v>
      </c>
      <c r="FO8" s="4">
        <f>IF(FO7=1,Results!I5+1,FN8)</f>
        <v>4</v>
      </c>
      <c r="FP8" s="1">
        <f>IF(FP7=1,Results!J5+1,FO8)</f>
        <v>4</v>
      </c>
      <c r="FQ8" s="4"/>
      <c r="FR8" s="1"/>
      <c r="FT8" s="36"/>
      <c r="FW8" s="3" t="s">
        <v>1085</v>
      </c>
      <c r="FX8" s="1">
        <v>0</v>
      </c>
      <c r="FY8" s="4">
        <f>IF(FY7=1,Results!C5+1,FX8)</f>
        <v>0</v>
      </c>
      <c r="FZ8" s="4">
        <f>IF(FZ7=1,Results!D5+1,FY8)</f>
        <v>0</v>
      </c>
      <c r="GA8" s="4">
        <f>IF(GA7=1,Results!E5+1,FZ8)</f>
        <v>0</v>
      </c>
      <c r="GB8" s="4">
        <f>IF(GB7=1,Results!F5+1,GA8)</f>
        <v>5</v>
      </c>
      <c r="GC8" s="4">
        <f>IF(GC7=1,Results!G5+1,GB8)</f>
        <v>5</v>
      </c>
      <c r="GD8" s="4">
        <f>IF(GD7=1,Results!H5+1,GC8)</f>
        <v>5</v>
      </c>
      <c r="GE8" s="4">
        <f>IF(GE7=1,Results!I5+1,GD8)</f>
        <v>5</v>
      </c>
      <c r="GF8" s="1">
        <f>IF(GF7=1,Results!J5+1,GE8)</f>
        <v>5</v>
      </c>
      <c r="GG8" s="4"/>
      <c r="GH8" s="4"/>
      <c r="GI8" s="4"/>
      <c r="GJ8" s="36"/>
      <c r="GK8" s="4"/>
      <c r="GM8" s="3" t="s">
        <v>1086</v>
      </c>
      <c r="GN8" s="1">
        <v>0</v>
      </c>
      <c r="GO8" s="4">
        <f>IF(GO7=1,Results!C5+1,GN8)</f>
        <v>0</v>
      </c>
      <c r="GP8" s="1">
        <f>IF(GP7=1,Results!D5+1,GO8)</f>
        <v>0</v>
      </c>
      <c r="GQ8" s="1">
        <f>IF(GQ7=1,Results!E5+1,GP8)</f>
        <v>0</v>
      </c>
      <c r="GR8" s="1">
        <f>IF(GR7=1,Results!F5+1,GQ8)</f>
        <v>5</v>
      </c>
      <c r="GS8" s="1">
        <f>IF(GS7=1,Results!G5+1,GR8)</f>
        <v>5</v>
      </c>
      <c r="GT8" s="1">
        <f>IF(GT7=1,Results!H5+1,GS8)</f>
        <v>5</v>
      </c>
      <c r="GU8" s="1">
        <f>IF(GU7=1,Results!I5+1,GT8)</f>
        <v>5</v>
      </c>
      <c r="GV8" s="1">
        <f>IF(GV7=1,Results!J5+1,GU8)</f>
        <v>5</v>
      </c>
      <c r="GW8" s="1"/>
      <c r="GX8" s="1"/>
      <c r="GY8" s="1"/>
      <c r="GZ8" s="36"/>
      <c r="HA8" s="1"/>
      <c r="HB8" s="1"/>
      <c r="HC8" s="3" t="s">
        <v>1087</v>
      </c>
      <c r="HD8" s="1">
        <v>0</v>
      </c>
      <c r="HE8" s="1">
        <f>IF(HE7=1,Results!C5+1,HD8)</f>
        <v>0</v>
      </c>
      <c r="HF8" s="1">
        <f>IF(HF7=1,Results!D5+1,HE8)</f>
        <v>3</v>
      </c>
      <c r="HG8" s="1">
        <f>IF(HG7=1,Results!E5+1,HF8)</f>
        <v>3</v>
      </c>
      <c r="HH8" s="1">
        <f>IF(HH7=1,Results!F5+1,HG8)</f>
        <v>3</v>
      </c>
      <c r="HI8" s="1">
        <f>IF(HI7=1,Results!G5+1,HH8)</f>
        <v>3</v>
      </c>
      <c r="HJ8" s="1">
        <f>IF(HJ7=1,Results!H5+1,HI8)</f>
        <v>3</v>
      </c>
      <c r="HK8" s="1">
        <f>IF(HK7=1,Results!I5+1,HJ8)</f>
        <v>3</v>
      </c>
      <c r="HL8" s="1">
        <f>IF(HL7=1,Results!J5+1,HK8)</f>
        <v>3</v>
      </c>
      <c r="HM8" s="1"/>
      <c r="HN8" s="1"/>
      <c r="HO8" s="1"/>
      <c r="HP8" s="36"/>
      <c r="HQ8" s="1"/>
      <c r="HR8" s="1"/>
      <c r="HS8" s="3" t="s">
        <v>1088</v>
      </c>
      <c r="HT8" s="1">
        <v>0</v>
      </c>
      <c r="HU8" s="1">
        <f>IF(HU7=1,Results!C5+1,HT8)</f>
        <v>0</v>
      </c>
      <c r="HV8" s="1">
        <f>IF(HV7=1,Results!D5+1,HU8)</f>
        <v>0</v>
      </c>
      <c r="HW8" s="4">
        <f>IF(HW7=1,Results!E5+1,HV8)</f>
        <v>4</v>
      </c>
      <c r="HX8" s="4">
        <f>IF(HX7=1,Results!F5+1,HW8)</f>
        <v>4</v>
      </c>
      <c r="HY8" s="4">
        <f>IF(HY7=1,Results!G5+1,HX8)</f>
        <v>4</v>
      </c>
      <c r="HZ8" s="4">
        <f>IF(HZ7=1,Results!H5+1,HY8)</f>
        <v>4</v>
      </c>
      <c r="IA8" s="4">
        <f>IF(IA7=1,Results!I5+1,HZ8)</f>
        <v>4</v>
      </c>
      <c r="IB8" s="4">
        <f>IF(IB7=1,Results!J5+1,IA8)</f>
        <v>4</v>
      </c>
      <c r="IC8" s="4"/>
      <c r="ID8" s="4"/>
      <c r="IE8" s="4"/>
      <c r="IF8" s="36"/>
      <c r="IG8" s="4"/>
      <c r="II8" s="3" t="s">
        <v>1089</v>
      </c>
      <c r="IJ8" s="1">
        <v>0</v>
      </c>
      <c r="IK8" s="4">
        <f>IF(IK7=1,Results!$C5+1,IJ8)</f>
        <v>0</v>
      </c>
      <c r="IL8" s="4">
        <f>IF(IL7=1,Results!$D5+1,IK8)</f>
        <v>0</v>
      </c>
      <c r="IM8" s="4">
        <f>IF(IM7=1,Results!$E5+1,IL8)</f>
        <v>4</v>
      </c>
      <c r="IN8" s="4">
        <f>IF(IN7=1,Results!$F5+1,IM8)</f>
        <v>4</v>
      </c>
      <c r="IO8" s="4">
        <f>IF(IO7=1,Results!$G5+1,IN8)</f>
        <v>4</v>
      </c>
      <c r="IP8" s="4">
        <f>IF(IP7=1,Results!$H5+1,IO8)</f>
        <v>4</v>
      </c>
      <c r="IQ8" s="4">
        <f>IF(IQ7=1,Results!$I5+1,IP8)</f>
        <v>4</v>
      </c>
      <c r="IR8" s="4">
        <f>IF(IR7=1,Results!$J5+1,IQ8)</f>
        <v>4</v>
      </c>
      <c r="IS8" s="4"/>
      <c r="IT8" s="4"/>
      <c r="IU8" s="4"/>
      <c r="IV8" s="36"/>
      <c r="IW8" s="4"/>
      <c r="IY8" s="3" t="s">
        <v>1090</v>
      </c>
      <c r="IZ8" s="1">
        <v>0</v>
      </c>
      <c r="JA8" s="4">
        <f>IF(JA7=1,Results!$C5+1,IZ8)</f>
        <v>0</v>
      </c>
      <c r="JB8" s="4">
        <f>IF(JB7=1,Results!$D5+1,JA8)</f>
        <v>0</v>
      </c>
      <c r="JC8" s="4">
        <f>IF(JC7=1,Results!$E5+1,JB8)</f>
        <v>0</v>
      </c>
      <c r="JD8" s="4">
        <f>IF(JD7=1,Results!$F5+1,JC8)</f>
        <v>5</v>
      </c>
      <c r="JE8" s="4">
        <f>IF(JE7=1,Results!$G5+1,JD8)</f>
        <v>5</v>
      </c>
      <c r="JF8" s="4">
        <f>IF(JF7=1,Results!$H5+1,JE8)</f>
        <v>5</v>
      </c>
      <c r="JG8" s="4">
        <f>IF(JG7=1,Results!$I5+1,JF8)</f>
        <v>5</v>
      </c>
      <c r="JH8" s="4">
        <f>IF(JH7=1,Results!$J5+1,JG8)</f>
        <v>5</v>
      </c>
      <c r="JI8" s="4"/>
      <c r="JJ8" s="4"/>
      <c r="JK8" s="4"/>
      <c r="JL8" s="36"/>
      <c r="JM8" s="4"/>
      <c r="JO8" s="3" t="s">
        <v>1091</v>
      </c>
      <c r="JP8" s="1">
        <v>0</v>
      </c>
      <c r="JQ8" s="4">
        <f>IF(JQ7=1,Results!$C5+1,JP8)</f>
        <v>0</v>
      </c>
      <c r="JR8" s="4">
        <f>IF(JR7=1,Results!$D5+1,JQ8)</f>
        <v>0</v>
      </c>
      <c r="JS8" s="4">
        <f>IF(JS7=1,Results!$E5+1,JR8)</f>
        <v>0</v>
      </c>
      <c r="JT8" s="4">
        <f>IF(JT7=1,Results!$F5+1,JS8)</f>
        <v>5</v>
      </c>
      <c r="JU8" s="4">
        <f>IF(JU7=1,Results!$G5+1,JT8)</f>
        <v>5</v>
      </c>
      <c r="JV8" s="4">
        <f>IF(JV7=1,Results!$H5+1,JU8)</f>
        <v>5</v>
      </c>
      <c r="JW8" s="4">
        <f>IF(JW7=1,Results!$I5+1,JV8)</f>
        <v>5</v>
      </c>
      <c r="JX8" s="4">
        <f>IF(JX7=1,Results!$J5+1,JW8)</f>
        <v>5</v>
      </c>
      <c r="JY8" s="4"/>
      <c r="JZ8" s="4"/>
      <c r="KA8" s="4"/>
      <c r="KB8" s="36"/>
      <c r="KC8" s="4"/>
      <c r="KE8" s="3" t="s">
        <v>1092</v>
      </c>
      <c r="KF8" s="1">
        <v>0</v>
      </c>
      <c r="KG8" s="4">
        <f>IF(KG7=1,Results!C5+1,KF8)</f>
        <v>0</v>
      </c>
      <c r="KH8" s="4">
        <f>IF(KH7=1,Results!D5+1,KG8)</f>
        <v>0</v>
      </c>
      <c r="KI8" s="4">
        <f>IF(KI7=1,Results!E5+1,KH8)</f>
        <v>0</v>
      </c>
      <c r="KJ8" s="4">
        <f>IF(KJ7=1,Results!F5+1,KI8)</f>
        <v>0</v>
      </c>
      <c r="KK8" s="4">
        <f>IF(KK7=1,Results!G5+1,KJ8)</f>
        <v>0</v>
      </c>
      <c r="KL8" s="4">
        <f>IF(KL7=1,Results!H5+1,KK8)</f>
        <v>0</v>
      </c>
      <c r="KM8" s="4">
        <f>IF(KM7=1,Results!I5+1,KL8)</f>
        <v>0</v>
      </c>
      <c r="KN8" s="4">
        <f>IF(KN7=1,Results!J5+1,KM8)</f>
        <v>0</v>
      </c>
      <c r="KO8" s="4"/>
      <c r="KP8" s="4"/>
      <c r="KQ8" s="4"/>
      <c r="KR8" s="36"/>
      <c r="KS8" s="4"/>
      <c r="KU8" s="3" t="s">
        <v>1093</v>
      </c>
      <c r="KV8" s="1">
        <v>0</v>
      </c>
      <c r="KW8" s="4">
        <f>IF(KW7=1,Results!C5+1,KV8)</f>
        <v>0</v>
      </c>
      <c r="KX8" s="4">
        <f>IF(KX7=1,Results!D5+1,KW8)</f>
        <v>0</v>
      </c>
      <c r="KY8" s="4">
        <f>IF(KY7=1,Results!E5+1,KX8)</f>
        <v>0</v>
      </c>
      <c r="KZ8" s="4">
        <f>IF(KZ7=1,Results!F5+1,KY8)</f>
        <v>0</v>
      </c>
      <c r="LA8" s="4">
        <f>IF(LA7=1,Results!G5+1,KZ8)</f>
        <v>0</v>
      </c>
      <c r="LB8" s="4">
        <f>IF(LB7=1,Results!H5+1,LA8)</f>
        <v>0</v>
      </c>
      <c r="LC8" s="4">
        <f>IF(LC7=1,Results!I5+1,LB8)</f>
        <v>0</v>
      </c>
      <c r="LD8" s="4">
        <f>IF(LD7=1,Results!J5+1,LC8)</f>
        <v>0</v>
      </c>
      <c r="LE8" s="4"/>
      <c r="LF8" s="4"/>
      <c r="LG8" s="4"/>
      <c r="LH8" s="36"/>
      <c r="LI8" s="4"/>
      <c r="LK8" s="3" t="s">
        <v>1094</v>
      </c>
      <c r="LL8" s="1">
        <v>0</v>
      </c>
      <c r="LM8" s="4">
        <f>IF(LM7=1,Results!C5+1,LL8)</f>
        <v>0</v>
      </c>
      <c r="LN8" s="4">
        <f>IF(LN7=1,Results!D5+1,LM8)</f>
        <v>0</v>
      </c>
      <c r="LO8" s="4">
        <f>IF(LO7=1,Results!E5+1,LN8)</f>
        <v>0</v>
      </c>
      <c r="LP8" s="4">
        <f>IF(LP7=1,Results!F5+1,LO8)</f>
        <v>0</v>
      </c>
      <c r="LQ8" s="4">
        <f>IF(LQ7=1,Results!G5+1,LP8)</f>
        <v>0</v>
      </c>
      <c r="LR8" s="4">
        <f>IF(LR7=1,Results!H5+1,LQ8)</f>
        <v>0</v>
      </c>
      <c r="LS8" s="4">
        <f>IF(LS7=1,Results!I5+1,LR8)</f>
        <v>0</v>
      </c>
      <c r="LT8" s="4">
        <f>IF(LT7=1,Results!J5+1,LS8)</f>
        <v>0</v>
      </c>
      <c r="LU8" s="4"/>
      <c r="LV8" s="4"/>
      <c r="LW8" s="4"/>
      <c r="LX8" s="36"/>
      <c r="LY8" s="4"/>
      <c r="MA8" s="3" t="s">
        <v>1095</v>
      </c>
      <c r="MB8" s="1">
        <v>0</v>
      </c>
      <c r="MC8" s="4">
        <f>IF(MC7=1,Results!C5+1,MB8)</f>
        <v>0</v>
      </c>
      <c r="MD8" s="4">
        <f>IF(MD7=1,Results!D5+1,MC8)</f>
        <v>0</v>
      </c>
      <c r="ME8" s="4">
        <f>IF(ME7=1,Results!E5+1,MD8)</f>
        <v>0</v>
      </c>
      <c r="MF8" s="4">
        <f>IF(MF7=1,Results!F5+1,ME8)</f>
        <v>0</v>
      </c>
      <c r="MG8" s="4">
        <f>IF(MG7=1,Results!G5+1,MF8)</f>
        <v>0</v>
      </c>
      <c r="MH8" s="4">
        <f>IF(MH7=1,Results!H5+1,MG8)</f>
        <v>0</v>
      </c>
      <c r="MI8" s="4">
        <f>IF(MI7=1,Results!I5+1,MH8)</f>
        <v>0</v>
      </c>
      <c r="MJ8" s="4">
        <f>IF(MJ7=1,Results!J5+1,MI8)</f>
        <v>0</v>
      </c>
      <c r="MK8" s="4"/>
      <c r="ML8" s="4"/>
      <c r="MM8" s="4"/>
      <c r="MN8" s="36"/>
      <c r="MO8" s="4"/>
      <c r="MQ8" s="3" t="s">
        <v>1096</v>
      </c>
      <c r="MR8" s="1">
        <v>0</v>
      </c>
      <c r="MS8" s="4">
        <f>IF(MS7=1,Results!C5+1,MR8)</f>
        <v>0</v>
      </c>
      <c r="MT8" s="4">
        <f>IF(MT7=1,Results!D5+1,MS8)</f>
        <v>0</v>
      </c>
      <c r="MU8" s="4">
        <f>IF(MU7=1,Results!E5+1,MT8)</f>
        <v>0</v>
      </c>
      <c r="MV8" s="4">
        <f>IF(MV7=1,Results!F5+1,MU8)</f>
        <v>0</v>
      </c>
      <c r="MW8" s="4">
        <f>IF(MW7=1,Results!G5+1,MV8)</f>
        <v>0</v>
      </c>
      <c r="MX8" s="4">
        <f>IF(MX7=1,Results!H5+1,MW8)</f>
        <v>0</v>
      </c>
      <c r="MY8" s="4">
        <f>IF(MY7=1,Results!I5+1,MX8)</f>
        <v>0</v>
      </c>
      <c r="MZ8" s="4">
        <f>IF(MZ7=1,Results!J5+1,MY8)</f>
        <v>0</v>
      </c>
      <c r="NA8" s="4"/>
      <c r="NB8" s="4"/>
      <c r="NC8" s="4"/>
      <c r="ND8" s="36"/>
      <c r="NE8" s="4"/>
      <c r="NG8" s="3" t="s">
        <v>1097</v>
      </c>
      <c r="NH8" s="1">
        <v>0</v>
      </c>
      <c r="NI8" s="4">
        <f>IF(NI7=1,Results!C5+1,NH8)</f>
        <v>0</v>
      </c>
      <c r="NJ8" s="4">
        <f>IF(NJ7=1,Results!D5+1,NI8)</f>
        <v>0</v>
      </c>
      <c r="NK8" s="4">
        <f>IF(NK7=1,Results!E5+1,NJ8)</f>
        <v>0</v>
      </c>
      <c r="NL8" s="4">
        <f>IF(NL7=1,Results!F5+1,NK8)</f>
        <v>0</v>
      </c>
      <c r="NM8" s="4">
        <f>IF(NM7=1,Results!G5+1,NL8)</f>
        <v>0</v>
      </c>
      <c r="NN8" s="4">
        <f>IF(NN7=1,Results!H5+1,NM8)</f>
        <v>0</v>
      </c>
      <c r="NO8" s="4">
        <f>IF(NO7=1,Results!I5+1,NN8)</f>
        <v>0</v>
      </c>
      <c r="NP8" s="4">
        <f>IF(NP7=1,Results!J5+1,NO8)</f>
        <v>0</v>
      </c>
      <c r="NQ8" s="4"/>
      <c r="NR8" s="4"/>
      <c r="NS8" s="4"/>
      <c r="NT8" s="36"/>
      <c r="NU8" s="4"/>
      <c r="NW8" s="3" t="s">
        <v>1098</v>
      </c>
      <c r="NX8" s="1">
        <v>0</v>
      </c>
      <c r="NY8" s="4">
        <f>IF(NY7=1,Results!C5+1,NX8)</f>
        <v>0</v>
      </c>
      <c r="NZ8" s="4">
        <f>IF(NZ7=1,Results!D5+1,NY8)</f>
        <v>0</v>
      </c>
      <c r="OA8" s="4">
        <f>IF(OA7=1,Results!E5+1,NZ8)</f>
        <v>0</v>
      </c>
      <c r="OB8" s="4">
        <f>IF(OB7=1,Results!F5+1,OA8)</f>
        <v>0</v>
      </c>
      <c r="OC8" s="4">
        <f>IF(OC7=1,Results!G5+1,OB8)</f>
        <v>0</v>
      </c>
      <c r="OD8" s="4">
        <f>IF(OD7=1,Results!H5+1,OC8)</f>
        <v>0</v>
      </c>
      <c r="OE8" s="4">
        <f>IF(OE7=1,Results!I5+1,OD8)</f>
        <v>0</v>
      </c>
      <c r="OF8" s="4">
        <f>IF(OF7=1,Results!J5+1,OE8)</f>
        <v>0</v>
      </c>
      <c r="OG8" s="4"/>
      <c r="OH8" s="4"/>
      <c r="OJ8" s="36"/>
      <c r="OL8" s="1"/>
      <c r="OM8" s="4"/>
      <c r="ON8" s="4"/>
      <c r="OO8" s="4"/>
      <c r="OP8" s="4"/>
      <c r="OQ8" s="4"/>
      <c r="OR8" s="4"/>
      <c r="OS8" s="4"/>
      <c r="OT8" s="4"/>
      <c r="OU8" s="4"/>
      <c r="OV8" s="4"/>
      <c r="OY8" s="3"/>
      <c r="OZ8" s="1"/>
      <c r="PA8" s="4"/>
      <c r="PB8" s="4"/>
      <c r="PC8" s="4"/>
      <c r="PD8" s="4"/>
      <c r="PE8" s="4"/>
      <c r="PF8" s="4"/>
      <c r="PG8" s="4"/>
      <c r="PH8" s="4"/>
      <c r="PI8" s="4"/>
      <c r="PJ8" s="4"/>
      <c r="PM8" s="3"/>
      <c r="PN8" s="1"/>
      <c r="PO8" s="4"/>
      <c r="PP8" s="4"/>
      <c r="PQ8" s="4"/>
      <c r="PR8" s="4"/>
      <c r="PS8" s="4"/>
      <c r="PT8" s="4"/>
      <c r="PU8" s="4"/>
      <c r="PV8" s="4"/>
      <c r="PW8" s="4"/>
      <c r="PX8" s="4"/>
      <c r="QA8" s="3"/>
      <c r="QB8" s="1"/>
      <c r="QC8" s="4"/>
      <c r="QD8" s="4"/>
      <c r="QE8" s="4"/>
      <c r="QF8" s="4"/>
      <c r="QG8" s="4"/>
      <c r="QH8" s="4"/>
      <c r="QI8" s="4"/>
      <c r="QJ8" s="4"/>
      <c r="QK8" s="4"/>
      <c r="QL8" s="4"/>
      <c r="QO8" s="3"/>
      <c r="QP8" s="1"/>
      <c r="QQ8" s="4"/>
      <c r="QR8" s="4"/>
      <c r="QS8" s="4"/>
      <c r="QT8" s="4"/>
      <c r="QU8" s="4"/>
      <c r="QV8" s="4"/>
      <c r="QW8" s="4"/>
      <c r="QX8" s="4"/>
      <c r="QY8" s="4"/>
      <c r="QZ8" s="4"/>
      <c r="RC8" s="3"/>
      <c r="RD8" s="1"/>
      <c r="RE8" s="4"/>
      <c r="RF8" s="4"/>
      <c r="RG8" s="4"/>
      <c r="RH8" s="4"/>
      <c r="RI8" s="4"/>
      <c r="RJ8" s="4"/>
      <c r="RK8" s="4"/>
      <c r="RL8" s="4"/>
      <c r="RQ8" s="3"/>
      <c r="RR8" s="1"/>
      <c r="RS8" s="4"/>
      <c r="RT8" s="4"/>
      <c r="RU8" s="4"/>
      <c r="RV8" s="4"/>
      <c r="RW8" s="4"/>
      <c r="RX8" s="4"/>
      <c r="RY8" s="4"/>
      <c r="RZ8" s="4"/>
      <c r="SE8" s="3"/>
      <c r="SF8" s="1"/>
      <c r="SG8" s="4"/>
      <c r="SH8" s="4"/>
      <c r="SI8" s="4"/>
      <c r="SJ8" s="4"/>
      <c r="SK8" s="4"/>
      <c r="SL8" s="4"/>
      <c r="SM8" s="4"/>
      <c r="SN8" s="4"/>
    </row>
    <row r="9" spans="1:508" x14ac:dyDescent="0.2">
      <c r="A9" s="3" t="s">
        <v>1099</v>
      </c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G9" s="3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Y9" s="3" t="s">
        <v>1100</v>
      </c>
      <c r="AZ9" s="4">
        <v>0</v>
      </c>
      <c r="BA9" s="4">
        <f>+AZ4</f>
        <v>0</v>
      </c>
      <c r="BB9" s="4">
        <f t="shared" ref="BB9:BH9" si="264">+BA4-AZ4</f>
        <v>0</v>
      </c>
      <c r="BC9" s="4">
        <f t="shared" si="264"/>
        <v>0</v>
      </c>
      <c r="BD9" s="4">
        <f t="shared" si="264"/>
        <v>0</v>
      </c>
      <c r="BE9" s="4">
        <f t="shared" si="264"/>
        <v>0</v>
      </c>
      <c r="BF9" s="4">
        <f t="shared" si="264"/>
        <v>0</v>
      </c>
      <c r="BG9" s="4">
        <f t="shared" si="264"/>
        <v>0</v>
      </c>
      <c r="BH9" s="4">
        <f t="shared" si="264"/>
        <v>0</v>
      </c>
      <c r="BI9" s="4"/>
      <c r="BJ9" s="4"/>
      <c r="BL9" s="36"/>
      <c r="BO9" s="3" t="s">
        <v>1101</v>
      </c>
      <c r="BP9" s="4">
        <v>0</v>
      </c>
      <c r="BQ9" s="4">
        <f>+BP4</f>
        <v>0</v>
      </c>
      <c r="BR9" s="4">
        <f t="shared" ref="BR9:BX9" si="265">+BQ4-BP4</f>
        <v>0</v>
      </c>
      <c r="BS9" s="4">
        <f t="shared" si="265"/>
        <v>0</v>
      </c>
      <c r="BT9" s="4">
        <f t="shared" si="265"/>
        <v>0</v>
      </c>
      <c r="BU9" s="4">
        <f t="shared" si="265"/>
        <v>0</v>
      </c>
      <c r="BV9" s="4">
        <f t="shared" si="265"/>
        <v>0</v>
      </c>
      <c r="BW9" s="4">
        <f t="shared" si="265"/>
        <v>0</v>
      </c>
      <c r="BX9" s="4">
        <f t="shared" si="265"/>
        <v>0</v>
      </c>
      <c r="BY9" s="4"/>
      <c r="BZ9" s="4"/>
      <c r="CB9" s="36"/>
      <c r="CE9" s="3" t="s">
        <v>1102</v>
      </c>
      <c r="CF9" s="4">
        <v>0</v>
      </c>
      <c r="CG9" s="4">
        <f>+CF4</f>
        <v>0</v>
      </c>
      <c r="CH9" s="4">
        <f t="shared" ref="CH9:CN9" si="266">+CG4-CF4</f>
        <v>0</v>
      </c>
      <c r="CI9" s="4">
        <f t="shared" si="266"/>
        <v>0</v>
      </c>
      <c r="CJ9" s="4">
        <f t="shared" si="266"/>
        <v>0</v>
      </c>
      <c r="CK9" s="4">
        <f t="shared" si="266"/>
        <v>0</v>
      </c>
      <c r="CL9" s="4">
        <f t="shared" si="266"/>
        <v>0</v>
      </c>
      <c r="CM9" s="4">
        <f t="shared" si="266"/>
        <v>0</v>
      </c>
      <c r="CN9" s="4">
        <f t="shared" si="266"/>
        <v>0</v>
      </c>
      <c r="CO9" s="4"/>
      <c r="CP9" s="4"/>
      <c r="CR9" s="36"/>
      <c r="CU9" s="3" t="s">
        <v>1103</v>
      </c>
      <c r="CV9" s="4">
        <v>0</v>
      </c>
      <c r="CW9" s="4">
        <f>+CV4</f>
        <v>0</v>
      </c>
      <c r="CX9" s="4">
        <f t="shared" ref="CX9:DD9" si="267">+CW4-CV4</f>
        <v>0</v>
      </c>
      <c r="CY9" s="4">
        <f t="shared" si="267"/>
        <v>0</v>
      </c>
      <c r="CZ9" s="4">
        <f t="shared" si="267"/>
        <v>0</v>
      </c>
      <c r="DA9" s="4">
        <f t="shared" si="267"/>
        <v>0</v>
      </c>
      <c r="DB9" s="4">
        <f t="shared" si="267"/>
        <v>0</v>
      </c>
      <c r="DC9" s="4">
        <f t="shared" si="267"/>
        <v>0</v>
      </c>
      <c r="DD9" s="4">
        <f t="shared" si="267"/>
        <v>0</v>
      </c>
      <c r="DE9" s="4"/>
      <c r="DF9" s="4"/>
      <c r="DH9" s="36"/>
      <c r="DK9" s="3" t="s">
        <v>1104</v>
      </c>
      <c r="DL9" s="4">
        <v>0</v>
      </c>
      <c r="DM9" s="4">
        <f>+DL4</f>
        <v>0</v>
      </c>
      <c r="DN9" s="4">
        <f t="shared" ref="DN9:DT9" si="268">+DM4-DL4</f>
        <v>0</v>
      </c>
      <c r="DO9" s="4">
        <f t="shared" si="268"/>
        <v>0</v>
      </c>
      <c r="DP9" s="4">
        <f t="shared" si="268"/>
        <v>0</v>
      </c>
      <c r="DQ9" s="4">
        <f t="shared" si="268"/>
        <v>0</v>
      </c>
      <c r="DR9" s="4">
        <f t="shared" si="268"/>
        <v>0</v>
      </c>
      <c r="DS9" s="4">
        <f t="shared" si="268"/>
        <v>0</v>
      </c>
      <c r="DT9" s="4">
        <f t="shared" si="268"/>
        <v>0</v>
      </c>
      <c r="DU9" s="4"/>
      <c r="DV9" s="4"/>
      <c r="DX9" s="36"/>
      <c r="EA9" s="3" t="s">
        <v>1105</v>
      </c>
      <c r="EB9" s="4">
        <v>0</v>
      </c>
      <c r="EC9" s="4">
        <f>+EB4</f>
        <v>0</v>
      </c>
      <c r="ED9" s="4">
        <f t="shared" ref="ED9:EJ9" si="269">+EC4-EB4</f>
        <v>0</v>
      </c>
      <c r="EE9" s="4">
        <f t="shared" si="269"/>
        <v>0</v>
      </c>
      <c r="EF9" s="4">
        <f t="shared" si="269"/>
        <v>0</v>
      </c>
      <c r="EG9" s="4">
        <f t="shared" si="269"/>
        <v>0</v>
      </c>
      <c r="EH9" s="4">
        <f t="shared" si="269"/>
        <v>0</v>
      </c>
      <c r="EI9" s="4">
        <f t="shared" si="269"/>
        <v>0</v>
      </c>
      <c r="EJ9" s="4">
        <f t="shared" si="269"/>
        <v>0</v>
      </c>
      <c r="EK9" s="4"/>
      <c r="EL9" s="4"/>
      <c r="EN9" s="36"/>
      <c r="EQ9" s="3" t="s">
        <v>1106</v>
      </c>
      <c r="ER9" s="4">
        <v>0</v>
      </c>
      <c r="ES9" s="4">
        <f>+ER4</f>
        <v>0</v>
      </c>
      <c r="ET9" s="4">
        <f t="shared" ref="ET9:EZ9" si="270">+ES4-ER4</f>
        <v>0</v>
      </c>
      <c r="EU9" s="4">
        <f t="shared" si="270"/>
        <v>0</v>
      </c>
      <c r="EV9" s="4">
        <f t="shared" si="270"/>
        <v>0</v>
      </c>
      <c r="EW9" s="4">
        <f t="shared" si="270"/>
        <v>0</v>
      </c>
      <c r="EX9" s="4">
        <f t="shared" si="270"/>
        <v>0</v>
      </c>
      <c r="EY9" s="4">
        <f t="shared" si="270"/>
        <v>0</v>
      </c>
      <c r="EZ9" s="4">
        <f t="shared" si="270"/>
        <v>0</v>
      </c>
      <c r="FA9" s="4"/>
      <c r="FB9" s="4"/>
      <c r="FD9" s="36"/>
      <c r="FG9" s="3" t="s">
        <v>1107</v>
      </c>
      <c r="FH9" s="4">
        <v>0</v>
      </c>
      <c r="FI9" s="4">
        <f>+FH4</f>
        <v>0</v>
      </c>
      <c r="FJ9" s="4">
        <f t="shared" ref="FJ9:FP9" si="271">+FI4-FH4</f>
        <v>0</v>
      </c>
      <c r="FK9" s="4">
        <f t="shared" si="271"/>
        <v>0</v>
      </c>
      <c r="FL9" s="4">
        <f t="shared" si="271"/>
        <v>0</v>
      </c>
      <c r="FM9" s="4">
        <f t="shared" si="271"/>
        <v>0</v>
      </c>
      <c r="FN9" s="4">
        <f t="shared" si="271"/>
        <v>0</v>
      </c>
      <c r="FO9" s="4">
        <f t="shared" si="271"/>
        <v>0</v>
      </c>
      <c r="FP9" s="4">
        <f t="shared" si="271"/>
        <v>0</v>
      </c>
      <c r="FQ9" s="4"/>
      <c r="FR9" s="4"/>
      <c r="FT9" s="36"/>
      <c r="FW9" s="3" t="s">
        <v>1108</v>
      </c>
      <c r="FX9" s="4">
        <v>0</v>
      </c>
      <c r="FY9" s="4">
        <f>+FX4</f>
        <v>0</v>
      </c>
      <c r="FZ9" s="4">
        <f t="shared" ref="FZ9:GF9" si="272">+FY4-FX4</f>
        <v>0</v>
      </c>
      <c r="GA9" s="4">
        <f t="shared" si="272"/>
        <v>0</v>
      </c>
      <c r="GB9" s="4">
        <f t="shared" si="272"/>
        <v>0</v>
      </c>
      <c r="GC9" s="4">
        <f t="shared" si="272"/>
        <v>0</v>
      </c>
      <c r="GD9" s="4">
        <f t="shared" si="272"/>
        <v>0</v>
      </c>
      <c r="GE9" s="4">
        <f t="shared" si="272"/>
        <v>0</v>
      </c>
      <c r="GF9" s="4">
        <f t="shared" si="272"/>
        <v>0</v>
      </c>
      <c r="GG9" s="4"/>
      <c r="GH9" s="4"/>
      <c r="GI9" s="4"/>
      <c r="GJ9" s="36"/>
      <c r="GK9" s="4"/>
      <c r="GM9" s="3" t="s">
        <v>1109</v>
      </c>
      <c r="GN9" s="4">
        <v>0</v>
      </c>
      <c r="GO9" s="4">
        <f>+GN4</f>
        <v>0</v>
      </c>
      <c r="GP9" s="4">
        <f t="shared" ref="GP9:GV9" si="273">+GO4-GN4</f>
        <v>0</v>
      </c>
      <c r="GQ9" s="4">
        <f t="shared" si="273"/>
        <v>0</v>
      </c>
      <c r="GR9" s="4">
        <f t="shared" si="273"/>
        <v>0</v>
      </c>
      <c r="GS9" s="4">
        <f t="shared" si="273"/>
        <v>0</v>
      </c>
      <c r="GT9" s="4">
        <f t="shared" si="273"/>
        <v>0</v>
      </c>
      <c r="GU9" s="4">
        <f t="shared" si="273"/>
        <v>0</v>
      </c>
      <c r="GV9" s="4">
        <f t="shared" si="273"/>
        <v>0</v>
      </c>
      <c r="GW9" s="4"/>
      <c r="GX9" s="4"/>
      <c r="GY9" s="4"/>
      <c r="GZ9" s="36"/>
      <c r="HA9" s="4"/>
      <c r="HB9" s="4"/>
      <c r="HC9" s="3" t="s">
        <v>1110</v>
      </c>
      <c r="HD9" s="4">
        <v>0</v>
      </c>
      <c r="HE9" s="4">
        <f>+HD4</f>
        <v>0</v>
      </c>
      <c r="HF9" s="4">
        <f t="shared" ref="HF9:HL9" si="274">+HE4-HD4</f>
        <v>0</v>
      </c>
      <c r="HG9" s="4">
        <f t="shared" si="274"/>
        <v>0</v>
      </c>
      <c r="HH9" s="4">
        <f t="shared" si="274"/>
        <v>0</v>
      </c>
      <c r="HI9" s="4">
        <f t="shared" si="274"/>
        <v>0</v>
      </c>
      <c r="HJ9" s="4">
        <f t="shared" si="274"/>
        <v>0</v>
      </c>
      <c r="HK9" s="4">
        <f t="shared" si="274"/>
        <v>0</v>
      </c>
      <c r="HL9" s="4">
        <f t="shared" si="274"/>
        <v>0</v>
      </c>
      <c r="HM9" s="4"/>
      <c r="HN9" s="4"/>
      <c r="HO9" s="4"/>
      <c r="HP9" s="36"/>
      <c r="HQ9" s="4"/>
      <c r="HR9" s="4"/>
      <c r="HS9" s="3" t="s">
        <v>1111</v>
      </c>
      <c r="HT9" s="4">
        <v>0</v>
      </c>
      <c r="HU9" s="4">
        <f>+HT4</f>
        <v>0</v>
      </c>
      <c r="HV9" s="4">
        <f t="shared" ref="HV9:IB9" si="275">+HU4-HT4</f>
        <v>0</v>
      </c>
      <c r="HW9" s="4">
        <f t="shared" si="275"/>
        <v>0</v>
      </c>
      <c r="HX9" s="4">
        <f t="shared" si="275"/>
        <v>0</v>
      </c>
      <c r="HY9" s="4">
        <f t="shared" si="275"/>
        <v>0</v>
      </c>
      <c r="HZ9" s="4">
        <f t="shared" si="275"/>
        <v>0</v>
      </c>
      <c r="IA9" s="4">
        <f t="shared" si="275"/>
        <v>0</v>
      </c>
      <c r="IB9" s="4">
        <f t="shared" si="275"/>
        <v>0</v>
      </c>
      <c r="IC9" s="4"/>
      <c r="ID9" s="4"/>
      <c r="IE9" s="4"/>
      <c r="IF9" s="36"/>
      <c r="IG9" s="4"/>
      <c r="II9" s="3" t="s">
        <v>1112</v>
      </c>
      <c r="IJ9" s="4">
        <v>0</v>
      </c>
      <c r="IK9" s="4">
        <f>+IJ4</f>
        <v>0</v>
      </c>
      <c r="IL9" s="4">
        <f t="shared" ref="IL9:IR9" si="276">+IK4-IJ4</f>
        <v>0</v>
      </c>
      <c r="IM9" s="4">
        <f t="shared" si="276"/>
        <v>0</v>
      </c>
      <c r="IN9" s="4">
        <f t="shared" si="276"/>
        <v>0</v>
      </c>
      <c r="IO9" s="4">
        <f t="shared" si="276"/>
        <v>0</v>
      </c>
      <c r="IP9" s="4">
        <f t="shared" si="276"/>
        <v>0</v>
      </c>
      <c r="IQ9" s="4">
        <f t="shared" si="276"/>
        <v>0</v>
      </c>
      <c r="IR9" s="4">
        <f t="shared" si="276"/>
        <v>0</v>
      </c>
      <c r="IS9" s="4"/>
      <c r="IT9" s="4"/>
      <c r="IU9" s="4"/>
      <c r="IV9" s="36"/>
      <c r="IW9" s="4"/>
      <c r="IY9" s="3" t="s">
        <v>1113</v>
      </c>
      <c r="IZ9" s="4">
        <v>0</v>
      </c>
      <c r="JA9" s="4">
        <f>+IZ4</f>
        <v>0</v>
      </c>
      <c r="JB9" s="4">
        <f t="shared" ref="JB9:JH9" si="277">+JA4-IZ4</f>
        <v>0</v>
      </c>
      <c r="JC9" s="4">
        <f t="shared" si="277"/>
        <v>0</v>
      </c>
      <c r="JD9" s="4">
        <f t="shared" si="277"/>
        <v>0</v>
      </c>
      <c r="JE9" s="4">
        <f t="shared" si="277"/>
        <v>0</v>
      </c>
      <c r="JF9" s="4">
        <f t="shared" si="277"/>
        <v>0</v>
      </c>
      <c r="JG9" s="4">
        <f t="shared" si="277"/>
        <v>0</v>
      </c>
      <c r="JH9" s="4">
        <f t="shared" si="277"/>
        <v>0</v>
      </c>
      <c r="JI9" s="4"/>
      <c r="JJ9" s="4"/>
      <c r="JK9" s="4"/>
      <c r="JL9" s="36"/>
      <c r="JM9" s="4"/>
      <c r="JO9" s="3" t="s">
        <v>1114</v>
      </c>
      <c r="JP9" s="4">
        <v>0</v>
      </c>
      <c r="JQ9" s="4">
        <f>+JP4</f>
        <v>0</v>
      </c>
      <c r="JR9" s="4">
        <f t="shared" ref="JR9:JX9" si="278">+JQ4-JP4</f>
        <v>0</v>
      </c>
      <c r="JS9" s="4">
        <f t="shared" si="278"/>
        <v>0</v>
      </c>
      <c r="JT9" s="4">
        <f t="shared" si="278"/>
        <v>0</v>
      </c>
      <c r="JU9" s="4">
        <f t="shared" si="278"/>
        <v>0</v>
      </c>
      <c r="JV9" s="4">
        <f t="shared" si="278"/>
        <v>0</v>
      </c>
      <c r="JW9" s="4">
        <f t="shared" si="278"/>
        <v>0</v>
      </c>
      <c r="JX9" s="4">
        <f t="shared" si="278"/>
        <v>0</v>
      </c>
      <c r="JY9" s="4"/>
      <c r="JZ9" s="4"/>
      <c r="KA9" s="4"/>
      <c r="KB9" s="36"/>
      <c r="KC9" s="4"/>
      <c r="KE9" s="3" t="s">
        <v>1115</v>
      </c>
      <c r="KF9" s="4">
        <v>0</v>
      </c>
      <c r="KG9" s="4">
        <f>+KF4</f>
        <v>0</v>
      </c>
      <c r="KH9" s="4">
        <f t="shared" ref="KH9:KN9" si="279">+KG4-KF4</f>
        <v>0</v>
      </c>
      <c r="KI9" s="4">
        <f t="shared" si="279"/>
        <v>0</v>
      </c>
      <c r="KJ9" s="4">
        <f t="shared" si="279"/>
        <v>0</v>
      </c>
      <c r="KK9" s="4">
        <f t="shared" si="279"/>
        <v>0</v>
      </c>
      <c r="KL9" s="4">
        <f t="shared" si="279"/>
        <v>0</v>
      </c>
      <c r="KM9" s="4">
        <f t="shared" si="279"/>
        <v>0</v>
      </c>
      <c r="KN9" s="4">
        <f t="shared" si="279"/>
        <v>0</v>
      </c>
      <c r="KO9" s="4"/>
      <c r="KP9" s="4"/>
      <c r="KQ9" s="4"/>
      <c r="KR9" s="36"/>
      <c r="KS9" s="4"/>
      <c r="KU9" s="3" t="s">
        <v>1116</v>
      </c>
      <c r="KV9" s="4">
        <v>0</v>
      </c>
      <c r="KW9" s="4">
        <f>+KV4</f>
        <v>0</v>
      </c>
      <c r="KX9" s="4">
        <f t="shared" ref="KX9:LD9" si="280">+KW4-KV4</f>
        <v>0</v>
      </c>
      <c r="KY9" s="4">
        <f t="shared" si="280"/>
        <v>0</v>
      </c>
      <c r="KZ9" s="4">
        <f t="shared" si="280"/>
        <v>0</v>
      </c>
      <c r="LA9" s="4">
        <f t="shared" si="280"/>
        <v>0</v>
      </c>
      <c r="LB9" s="4">
        <f t="shared" si="280"/>
        <v>0</v>
      </c>
      <c r="LC9" s="4">
        <f t="shared" si="280"/>
        <v>0</v>
      </c>
      <c r="LD9" s="4">
        <f t="shared" si="280"/>
        <v>0</v>
      </c>
      <c r="LE9" s="4"/>
      <c r="LF9" s="4"/>
      <c r="LG9" s="4"/>
      <c r="LH9" s="36"/>
      <c r="LI9" s="4"/>
      <c r="LK9" s="3" t="s">
        <v>1117</v>
      </c>
      <c r="LL9" s="4">
        <v>0</v>
      </c>
      <c r="LM9" s="4">
        <f>+LL4</f>
        <v>0</v>
      </c>
      <c r="LN9" s="4">
        <f t="shared" ref="LN9:LT9" si="281">+LM4-LL4</f>
        <v>0</v>
      </c>
      <c r="LO9" s="4">
        <f t="shared" si="281"/>
        <v>0</v>
      </c>
      <c r="LP9" s="4">
        <f t="shared" si="281"/>
        <v>0</v>
      </c>
      <c r="LQ9" s="4">
        <f t="shared" si="281"/>
        <v>0</v>
      </c>
      <c r="LR9" s="4">
        <f t="shared" si="281"/>
        <v>0</v>
      </c>
      <c r="LS9" s="4">
        <f t="shared" si="281"/>
        <v>0</v>
      </c>
      <c r="LT9" s="4">
        <f t="shared" si="281"/>
        <v>0</v>
      </c>
      <c r="LU9" s="4"/>
      <c r="LV9" s="4"/>
      <c r="LW9" s="4"/>
      <c r="LX9" s="36"/>
      <c r="LY9" s="4"/>
      <c r="MA9" s="3" t="s">
        <v>1118</v>
      </c>
      <c r="MB9" s="4">
        <v>0</v>
      </c>
      <c r="MC9" s="4">
        <f>+MB4</f>
        <v>0</v>
      </c>
      <c r="MD9" s="4">
        <f t="shared" ref="MD9:MJ9" si="282">+MC4-MB4</f>
        <v>0</v>
      </c>
      <c r="ME9" s="4">
        <f t="shared" si="282"/>
        <v>0</v>
      </c>
      <c r="MF9" s="4">
        <f t="shared" si="282"/>
        <v>0</v>
      </c>
      <c r="MG9" s="4">
        <f t="shared" si="282"/>
        <v>0</v>
      </c>
      <c r="MH9" s="4">
        <f t="shared" si="282"/>
        <v>0</v>
      </c>
      <c r="MI9" s="4">
        <f t="shared" si="282"/>
        <v>0</v>
      </c>
      <c r="MJ9" s="4">
        <f t="shared" si="282"/>
        <v>0</v>
      </c>
      <c r="MK9" s="4"/>
      <c r="ML9" s="4"/>
      <c r="MM9" s="4"/>
      <c r="MN9" s="36"/>
      <c r="MO9" s="4"/>
      <c r="MQ9" s="3" t="s">
        <v>1119</v>
      </c>
      <c r="MR9" s="4">
        <v>0</v>
      </c>
      <c r="MS9" s="4">
        <f>+MR4</f>
        <v>0</v>
      </c>
      <c r="MT9" s="4">
        <f t="shared" ref="MT9:MZ9" si="283">+MS4-MR4</f>
        <v>0</v>
      </c>
      <c r="MU9" s="4">
        <f t="shared" si="283"/>
        <v>0</v>
      </c>
      <c r="MV9" s="4">
        <f t="shared" si="283"/>
        <v>0</v>
      </c>
      <c r="MW9" s="4">
        <f t="shared" si="283"/>
        <v>0</v>
      </c>
      <c r="MX9" s="4">
        <f t="shared" si="283"/>
        <v>0</v>
      </c>
      <c r="MY9" s="4">
        <f t="shared" si="283"/>
        <v>0</v>
      </c>
      <c r="MZ9" s="4">
        <f t="shared" si="283"/>
        <v>0</v>
      </c>
      <c r="NA9" s="4"/>
      <c r="NB9" s="4"/>
      <c r="NC9" s="4"/>
      <c r="ND9" s="36"/>
      <c r="NE9" s="4"/>
      <c r="NG9" s="3" t="s">
        <v>1120</v>
      </c>
      <c r="NH9" s="4">
        <v>0</v>
      </c>
      <c r="NI9" s="4">
        <f>+NH4</f>
        <v>0</v>
      </c>
      <c r="NJ9" s="4">
        <f t="shared" ref="NJ9:NP9" si="284">+NI4-NH4</f>
        <v>0</v>
      </c>
      <c r="NK9" s="4">
        <f t="shared" si="284"/>
        <v>0</v>
      </c>
      <c r="NL9" s="4">
        <f t="shared" si="284"/>
        <v>0</v>
      </c>
      <c r="NM9" s="4">
        <f t="shared" si="284"/>
        <v>0</v>
      </c>
      <c r="NN9" s="4">
        <f t="shared" si="284"/>
        <v>0</v>
      </c>
      <c r="NO9" s="4">
        <f t="shared" si="284"/>
        <v>0</v>
      </c>
      <c r="NP9" s="4">
        <f t="shared" si="284"/>
        <v>0</v>
      </c>
      <c r="NQ9" s="4"/>
      <c r="NR9" s="4"/>
      <c r="NS9" s="4"/>
      <c r="NT9" s="36"/>
      <c r="NU9" s="4"/>
      <c r="NW9" s="3" t="s">
        <v>1121</v>
      </c>
      <c r="NX9" s="4">
        <v>0</v>
      </c>
      <c r="NY9" s="4">
        <f>+NX4</f>
        <v>0</v>
      </c>
      <c r="NZ9" s="4">
        <f t="shared" ref="NZ9:OF9" si="285">+NY4-NX4</f>
        <v>0</v>
      </c>
      <c r="OA9" s="4">
        <f t="shared" si="285"/>
        <v>0</v>
      </c>
      <c r="OB9" s="4">
        <f t="shared" si="285"/>
        <v>0</v>
      </c>
      <c r="OC9" s="4">
        <f t="shared" si="285"/>
        <v>0</v>
      </c>
      <c r="OD9" s="4">
        <f t="shared" si="285"/>
        <v>0</v>
      </c>
      <c r="OE9" s="4">
        <f t="shared" si="285"/>
        <v>0</v>
      </c>
      <c r="OF9" s="4">
        <f t="shared" si="285"/>
        <v>0</v>
      </c>
      <c r="OG9" s="4"/>
      <c r="OH9" s="4"/>
      <c r="OJ9" s="36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Y9" s="3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M9" s="3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QA9" s="3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O9" s="3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C9" s="3"/>
      <c r="RD9" s="4"/>
      <c r="RE9" s="4"/>
      <c r="RF9" s="4"/>
      <c r="RG9" s="4"/>
      <c r="RH9" s="4"/>
      <c r="RI9" s="4"/>
      <c r="RJ9" s="4"/>
      <c r="RK9" s="4"/>
      <c r="RL9" s="4"/>
      <c r="RQ9" s="3"/>
      <c r="RR9" s="4"/>
      <c r="RS9" s="4"/>
      <c r="RT9" s="4"/>
      <c r="RU9" s="4"/>
      <c r="RV9" s="4"/>
      <c r="RW9" s="4"/>
      <c r="RX9" s="4"/>
      <c r="RY9" s="4"/>
      <c r="RZ9" s="4"/>
      <c r="SE9" s="3"/>
      <c r="SF9" s="4"/>
      <c r="SG9" s="4"/>
      <c r="SH9" s="4"/>
      <c r="SI9" s="4"/>
      <c r="SJ9" s="4"/>
      <c r="SK9" s="4"/>
      <c r="SL9" s="4"/>
      <c r="SM9" s="4"/>
      <c r="SN9" s="4"/>
    </row>
    <row r="10" spans="1:508" x14ac:dyDescent="0.2">
      <c r="A10" s="3" t="s">
        <v>1122</v>
      </c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G10" s="3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Y10" s="3" t="s">
        <v>1123</v>
      </c>
      <c r="AZ10" s="4">
        <v>0</v>
      </c>
      <c r="BA10" s="4">
        <f>AZ9</f>
        <v>0</v>
      </c>
      <c r="BB10" s="4">
        <f t="shared" ref="BB10:BH10" si="286">BA9</f>
        <v>0</v>
      </c>
      <c r="BC10" s="4">
        <f t="shared" si="286"/>
        <v>0</v>
      </c>
      <c r="BD10" s="4">
        <f t="shared" si="286"/>
        <v>0</v>
      </c>
      <c r="BE10" s="4">
        <f t="shared" si="286"/>
        <v>0</v>
      </c>
      <c r="BF10" s="4">
        <f t="shared" si="286"/>
        <v>0</v>
      </c>
      <c r="BG10" s="4">
        <f t="shared" si="286"/>
        <v>0</v>
      </c>
      <c r="BH10" s="4">
        <f t="shared" si="286"/>
        <v>0</v>
      </c>
      <c r="BI10" s="4"/>
      <c r="BJ10" s="4"/>
      <c r="BL10" s="36"/>
      <c r="BO10" s="3" t="s">
        <v>1124</v>
      </c>
      <c r="BP10" s="4">
        <v>0</v>
      </c>
      <c r="BQ10" s="4">
        <f>BP9</f>
        <v>0</v>
      </c>
      <c r="BR10" s="4">
        <f t="shared" ref="BR10:BX10" si="287">BQ9</f>
        <v>0</v>
      </c>
      <c r="BS10" s="4">
        <f t="shared" si="287"/>
        <v>0</v>
      </c>
      <c r="BT10" s="4">
        <f t="shared" si="287"/>
        <v>0</v>
      </c>
      <c r="BU10" s="4">
        <f t="shared" si="287"/>
        <v>0</v>
      </c>
      <c r="BV10" s="4">
        <f t="shared" si="287"/>
        <v>0</v>
      </c>
      <c r="BW10" s="4">
        <f t="shared" si="287"/>
        <v>0</v>
      </c>
      <c r="BX10" s="4">
        <f t="shared" si="287"/>
        <v>0</v>
      </c>
      <c r="BY10" s="4"/>
      <c r="BZ10" s="4"/>
      <c r="CB10" s="36"/>
      <c r="CE10" s="3" t="s">
        <v>1125</v>
      </c>
      <c r="CF10" s="4">
        <v>0</v>
      </c>
      <c r="CG10" s="4">
        <f>CF9</f>
        <v>0</v>
      </c>
      <c r="CH10" s="4">
        <f t="shared" ref="CH10:CN10" si="288">CG9</f>
        <v>0</v>
      </c>
      <c r="CI10" s="4">
        <f t="shared" si="288"/>
        <v>0</v>
      </c>
      <c r="CJ10" s="4">
        <f t="shared" si="288"/>
        <v>0</v>
      </c>
      <c r="CK10" s="4">
        <f t="shared" si="288"/>
        <v>0</v>
      </c>
      <c r="CL10" s="4">
        <f t="shared" si="288"/>
        <v>0</v>
      </c>
      <c r="CM10" s="4">
        <f t="shared" si="288"/>
        <v>0</v>
      </c>
      <c r="CN10" s="4">
        <f t="shared" si="288"/>
        <v>0</v>
      </c>
      <c r="CO10" s="4"/>
      <c r="CP10" s="4"/>
      <c r="CR10" s="36"/>
      <c r="CU10" s="3" t="s">
        <v>1126</v>
      </c>
      <c r="CV10" s="4">
        <v>0</v>
      </c>
      <c r="CW10" s="4">
        <f>CV9</f>
        <v>0</v>
      </c>
      <c r="CX10" s="4">
        <f t="shared" ref="CX10:DD10" si="289">CW9</f>
        <v>0</v>
      </c>
      <c r="CY10" s="4">
        <f t="shared" si="289"/>
        <v>0</v>
      </c>
      <c r="CZ10" s="4">
        <f t="shared" si="289"/>
        <v>0</v>
      </c>
      <c r="DA10" s="4">
        <f t="shared" si="289"/>
        <v>0</v>
      </c>
      <c r="DB10" s="4">
        <f t="shared" si="289"/>
        <v>0</v>
      </c>
      <c r="DC10" s="4">
        <f t="shared" si="289"/>
        <v>0</v>
      </c>
      <c r="DD10" s="4">
        <f t="shared" si="289"/>
        <v>0</v>
      </c>
      <c r="DE10" s="4"/>
      <c r="DF10" s="4"/>
      <c r="DH10" s="36"/>
      <c r="DK10" s="3" t="s">
        <v>1127</v>
      </c>
      <c r="DL10" s="4">
        <v>0</v>
      </c>
      <c r="DM10" s="4">
        <f>DL9</f>
        <v>0</v>
      </c>
      <c r="DN10" s="4">
        <f t="shared" ref="DN10:DT10" si="290">DM9</f>
        <v>0</v>
      </c>
      <c r="DO10" s="4">
        <f t="shared" si="290"/>
        <v>0</v>
      </c>
      <c r="DP10" s="4">
        <f t="shared" si="290"/>
        <v>0</v>
      </c>
      <c r="DQ10" s="4">
        <f t="shared" si="290"/>
        <v>0</v>
      </c>
      <c r="DR10" s="4">
        <f t="shared" si="290"/>
        <v>0</v>
      </c>
      <c r="DS10" s="4">
        <f t="shared" si="290"/>
        <v>0</v>
      </c>
      <c r="DT10" s="4">
        <f t="shared" si="290"/>
        <v>0</v>
      </c>
      <c r="DU10" s="4"/>
      <c r="DV10" s="4"/>
      <c r="DX10" s="36"/>
      <c r="EA10" s="3" t="s">
        <v>1128</v>
      </c>
      <c r="EB10" s="4">
        <v>0</v>
      </c>
      <c r="EC10" s="4">
        <f>EB9</f>
        <v>0</v>
      </c>
      <c r="ED10" s="4">
        <f t="shared" ref="ED10:EJ10" si="291">EC9</f>
        <v>0</v>
      </c>
      <c r="EE10" s="4">
        <f t="shared" si="291"/>
        <v>0</v>
      </c>
      <c r="EF10" s="4">
        <f t="shared" si="291"/>
        <v>0</v>
      </c>
      <c r="EG10" s="4">
        <f t="shared" si="291"/>
        <v>0</v>
      </c>
      <c r="EH10" s="4">
        <f t="shared" si="291"/>
        <v>0</v>
      </c>
      <c r="EI10" s="4">
        <f t="shared" si="291"/>
        <v>0</v>
      </c>
      <c r="EJ10" s="4">
        <f t="shared" si="291"/>
        <v>0</v>
      </c>
      <c r="EK10" s="4"/>
      <c r="EL10" s="4"/>
      <c r="EN10" s="36"/>
      <c r="EQ10" s="3" t="s">
        <v>1129</v>
      </c>
      <c r="ER10" s="4">
        <v>0</v>
      </c>
      <c r="ES10" s="4">
        <f>ER9</f>
        <v>0</v>
      </c>
      <c r="ET10" s="4">
        <f t="shared" ref="ET10:EZ10" si="292">ES9</f>
        <v>0</v>
      </c>
      <c r="EU10" s="4">
        <f t="shared" si="292"/>
        <v>0</v>
      </c>
      <c r="EV10" s="4">
        <f t="shared" si="292"/>
        <v>0</v>
      </c>
      <c r="EW10" s="4">
        <f t="shared" si="292"/>
        <v>0</v>
      </c>
      <c r="EX10" s="4">
        <f t="shared" si="292"/>
        <v>0</v>
      </c>
      <c r="EY10" s="4">
        <f t="shared" si="292"/>
        <v>0</v>
      </c>
      <c r="EZ10" s="4">
        <f t="shared" si="292"/>
        <v>0</v>
      </c>
      <c r="FA10" s="4"/>
      <c r="FB10" s="4"/>
      <c r="FD10" s="36"/>
      <c r="FG10" s="3" t="s">
        <v>1130</v>
      </c>
      <c r="FH10" s="4">
        <v>0</v>
      </c>
      <c r="FI10" s="4">
        <f>FH9</f>
        <v>0</v>
      </c>
      <c r="FJ10" s="4">
        <f t="shared" ref="FJ10:FP10" si="293">FI9</f>
        <v>0</v>
      </c>
      <c r="FK10" s="4">
        <f t="shared" si="293"/>
        <v>0</v>
      </c>
      <c r="FL10" s="4">
        <f t="shared" si="293"/>
        <v>0</v>
      </c>
      <c r="FM10" s="4">
        <f t="shared" si="293"/>
        <v>0</v>
      </c>
      <c r="FN10" s="4">
        <f t="shared" si="293"/>
        <v>0</v>
      </c>
      <c r="FO10" s="4">
        <f t="shared" si="293"/>
        <v>0</v>
      </c>
      <c r="FP10" s="4">
        <f t="shared" si="293"/>
        <v>0</v>
      </c>
      <c r="FQ10" s="4"/>
      <c r="FR10" s="4"/>
      <c r="FT10" s="36"/>
      <c r="FW10" s="3" t="s">
        <v>1131</v>
      </c>
      <c r="FX10" s="4">
        <v>0</v>
      </c>
      <c r="FY10" s="4">
        <f>FX9</f>
        <v>0</v>
      </c>
      <c r="FZ10" s="4">
        <f t="shared" ref="FZ10:GF10" si="294">FY9</f>
        <v>0</v>
      </c>
      <c r="GA10" s="4">
        <f t="shared" si="294"/>
        <v>0</v>
      </c>
      <c r="GB10" s="4">
        <f t="shared" si="294"/>
        <v>0</v>
      </c>
      <c r="GC10" s="4">
        <f t="shared" si="294"/>
        <v>0</v>
      </c>
      <c r="GD10" s="4">
        <f t="shared" si="294"/>
        <v>0</v>
      </c>
      <c r="GE10" s="4">
        <f t="shared" si="294"/>
        <v>0</v>
      </c>
      <c r="GF10" s="4">
        <f t="shared" si="294"/>
        <v>0</v>
      </c>
      <c r="GG10" s="4"/>
      <c r="GH10" s="4"/>
      <c r="GI10" s="4"/>
      <c r="GJ10" s="36"/>
      <c r="GK10" s="4"/>
      <c r="GM10" s="3" t="s">
        <v>1132</v>
      </c>
      <c r="GN10" s="4">
        <v>0</v>
      </c>
      <c r="GO10" s="4">
        <f>GN9</f>
        <v>0</v>
      </c>
      <c r="GP10" s="4">
        <f t="shared" ref="GP10:GV10" si="295">GO9</f>
        <v>0</v>
      </c>
      <c r="GQ10" s="4">
        <f t="shared" si="295"/>
        <v>0</v>
      </c>
      <c r="GR10" s="4">
        <f t="shared" si="295"/>
        <v>0</v>
      </c>
      <c r="GS10" s="4">
        <f t="shared" si="295"/>
        <v>0</v>
      </c>
      <c r="GT10" s="4">
        <f t="shared" si="295"/>
        <v>0</v>
      </c>
      <c r="GU10" s="4">
        <f t="shared" si="295"/>
        <v>0</v>
      </c>
      <c r="GV10" s="4">
        <f t="shared" si="295"/>
        <v>0</v>
      </c>
      <c r="GW10" s="4"/>
      <c r="GX10" s="4"/>
      <c r="GY10" s="4"/>
      <c r="GZ10" s="36"/>
      <c r="HA10" s="4"/>
      <c r="HB10" s="4"/>
      <c r="HC10" s="3" t="s">
        <v>1133</v>
      </c>
      <c r="HD10" s="4">
        <v>0</v>
      </c>
      <c r="HE10" s="4">
        <f>HD9</f>
        <v>0</v>
      </c>
      <c r="HF10" s="4">
        <f t="shared" ref="HF10:HL10" si="296">HE9</f>
        <v>0</v>
      </c>
      <c r="HG10" s="4">
        <f t="shared" si="296"/>
        <v>0</v>
      </c>
      <c r="HH10" s="4">
        <f t="shared" si="296"/>
        <v>0</v>
      </c>
      <c r="HI10" s="4">
        <f t="shared" si="296"/>
        <v>0</v>
      </c>
      <c r="HJ10" s="4">
        <f t="shared" si="296"/>
        <v>0</v>
      </c>
      <c r="HK10" s="4">
        <f t="shared" si="296"/>
        <v>0</v>
      </c>
      <c r="HL10" s="4">
        <f t="shared" si="296"/>
        <v>0</v>
      </c>
      <c r="HM10" s="4"/>
      <c r="HN10" s="4"/>
      <c r="HO10" s="4"/>
      <c r="HP10" s="36"/>
      <c r="HQ10" s="4"/>
      <c r="HR10" s="4"/>
      <c r="HS10" s="3" t="s">
        <v>1134</v>
      </c>
      <c r="HT10" s="4">
        <v>0</v>
      </c>
      <c r="HU10" s="4">
        <f>HT9</f>
        <v>0</v>
      </c>
      <c r="HV10" s="4">
        <f t="shared" ref="HV10:IB10" si="297">HU9</f>
        <v>0</v>
      </c>
      <c r="HW10" s="4">
        <f t="shared" si="297"/>
        <v>0</v>
      </c>
      <c r="HX10" s="4">
        <f t="shared" si="297"/>
        <v>0</v>
      </c>
      <c r="HY10" s="4">
        <f t="shared" si="297"/>
        <v>0</v>
      </c>
      <c r="HZ10" s="4">
        <f t="shared" si="297"/>
        <v>0</v>
      </c>
      <c r="IA10" s="4">
        <f t="shared" si="297"/>
        <v>0</v>
      </c>
      <c r="IB10" s="4">
        <f t="shared" si="297"/>
        <v>0</v>
      </c>
      <c r="IC10" s="4"/>
      <c r="ID10" s="4"/>
      <c r="IE10" s="4"/>
      <c r="IF10" s="36"/>
      <c r="IG10" s="4"/>
      <c r="II10" s="3" t="s">
        <v>1135</v>
      </c>
      <c r="IJ10" s="4">
        <v>0</v>
      </c>
      <c r="IK10" s="4">
        <f>IJ9</f>
        <v>0</v>
      </c>
      <c r="IL10" s="4">
        <f t="shared" ref="IL10:IR10" si="298">IK9</f>
        <v>0</v>
      </c>
      <c r="IM10" s="4">
        <f t="shared" si="298"/>
        <v>0</v>
      </c>
      <c r="IN10" s="4">
        <f t="shared" si="298"/>
        <v>0</v>
      </c>
      <c r="IO10" s="4">
        <f t="shared" si="298"/>
        <v>0</v>
      </c>
      <c r="IP10" s="4">
        <f t="shared" si="298"/>
        <v>0</v>
      </c>
      <c r="IQ10" s="4">
        <f t="shared" si="298"/>
        <v>0</v>
      </c>
      <c r="IR10" s="4">
        <f t="shared" si="298"/>
        <v>0</v>
      </c>
      <c r="IS10" s="4"/>
      <c r="IT10" s="4"/>
      <c r="IU10" s="4"/>
      <c r="IV10" s="36"/>
      <c r="IW10" s="4"/>
      <c r="IY10" s="3" t="s">
        <v>1136</v>
      </c>
      <c r="IZ10" s="4">
        <v>0</v>
      </c>
      <c r="JA10" s="4">
        <f>IZ9</f>
        <v>0</v>
      </c>
      <c r="JB10" s="4">
        <f t="shared" ref="JB10:JH10" si="299">JA9</f>
        <v>0</v>
      </c>
      <c r="JC10" s="4">
        <f t="shared" si="299"/>
        <v>0</v>
      </c>
      <c r="JD10" s="4">
        <f t="shared" si="299"/>
        <v>0</v>
      </c>
      <c r="JE10" s="4">
        <f t="shared" si="299"/>
        <v>0</v>
      </c>
      <c r="JF10" s="4">
        <f t="shared" si="299"/>
        <v>0</v>
      </c>
      <c r="JG10" s="4">
        <f t="shared" si="299"/>
        <v>0</v>
      </c>
      <c r="JH10" s="4">
        <f t="shared" si="299"/>
        <v>0</v>
      </c>
      <c r="JI10" s="4"/>
      <c r="JJ10" s="4"/>
      <c r="JK10" s="4"/>
      <c r="JL10" s="36"/>
      <c r="JM10" s="4"/>
      <c r="JO10" s="3" t="s">
        <v>1137</v>
      </c>
      <c r="JP10" s="4">
        <v>0</v>
      </c>
      <c r="JQ10" s="4">
        <f>JP9</f>
        <v>0</v>
      </c>
      <c r="JR10" s="4">
        <f t="shared" ref="JR10:JX10" si="300">JQ9</f>
        <v>0</v>
      </c>
      <c r="JS10" s="4">
        <f t="shared" si="300"/>
        <v>0</v>
      </c>
      <c r="JT10" s="4">
        <f t="shared" si="300"/>
        <v>0</v>
      </c>
      <c r="JU10" s="4">
        <f t="shared" si="300"/>
        <v>0</v>
      </c>
      <c r="JV10" s="4">
        <f t="shared" si="300"/>
        <v>0</v>
      </c>
      <c r="JW10" s="4">
        <f t="shared" si="300"/>
        <v>0</v>
      </c>
      <c r="JX10" s="4">
        <f t="shared" si="300"/>
        <v>0</v>
      </c>
      <c r="JY10" s="4"/>
      <c r="JZ10" s="4"/>
      <c r="KA10" s="4"/>
      <c r="KB10" s="36"/>
      <c r="KC10" s="4"/>
      <c r="KE10" s="3" t="s">
        <v>1138</v>
      </c>
      <c r="KF10" s="4">
        <v>0</v>
      </c>
      <c r="KG10" s="4">
        <f>KF9</f>
        <v>0</v>
      </c>
      <c r="KH10" s="4">
        <f t="shared" ref="KH10:KN10" si="301">KG9</f>
        <v>0</v>
      </c>
      <c r="KI10" s="4">
        <f t="shared" si="301"/>
        <v>0</v>
      </c>
      <c r="KJ10" s="4">
        <f t="shared" si="301"/>
        <v>0</v>
      </c>
      <c r="KK10" s="4">
        <f t="shared" si="301"/>
        <v>0</v>
      </c>
      <c r="KL10" s="4">
        <f t="shared" si="301"/>
        <v>0</v>
      </c>
      <c r="KM10" s="4">
        <f t="shared" si="301"/>
        <v>0</v>
      </c>
      <c r="KN10" s="4">
        <f t="shared" si="301"/>
        <v>0</v>
      </c>
      <c r="KO10" s="4"/>
      <c r="KP10" s="4"/>
      <c r="KQ10" s="4"/>
      <c r="KR10" s="36"/>
      <c r="KS10" s="4"/>
      <c r="KU10" s="3" t="s">
        <v>1139</v>
      </c>
      <c r="KV10" s="4">
        <v>0</v>
      </c>
      <c r="KW10" s="4">
        <f>KV9</f>
        <v>0</v>
      </c>
      <c r="KX10" s="4">
        <f t="shared" ref="KX10:LD10" si="302">KW9</f>
        <v>0</v>
      </c>
      <c r="KY10" s="4">
        <f t="shared" si="302"/>
        <v>0</v>
      </c>
      <c r="KZ10" s="4">
        <f t="shared" si="302"/>
        <v>0</v>
      </c>
      <c r="LA10" s="4">
        <f t="shared" si="302"/>
        <v>0</v>
      </c>
      <c r="LB10" s="4">
        <f t="shared" si="302"/>
        <v>0</v>
      </c>
      <c r="LC10" s="4">
        <f t="shared" si="302"/>
        <v>0</v>
      </c>
      <c r="LD10" s="4">
        <f t="shared" si="302"/>
        <v>0</v>
      </c>
      <c r="LE10" s="4"/>
      <c r="LF10" s="4"/>
      <c r="LG10" s="4"/>
      <c r="LH10" s="36"/>
      <c r="LI10" s="4"/>
      <c r="LK10" s="3" t="s">
        <v>1140</v>
      </c>
      <c r="LL10" s="4">
        <v>0</v>
      </c>
      <c r="LM10" s="4">
        <f>LL9</f>
        <v>0</v>
      </c>
      <c r="LN10" s="4">
        <f t="shared" ref="LN10:LT10" si="303">LM9</f>
        <v>0</v>
      </c>
      <c r="LO10" s="4">
        <f t="shared" si="303"/>
        <v>0</v>
      </c>
      <c r="LP10" s="4">
        <f t="shared" si="303"/>
        <v>0</v>
      </c>
      <c r="LQ10" s="4">
        <f t="shared" si="303"/>
        <v>0</v>
      </c>
      <c r="LR10" s="4">
        <f t="shared" si="303"/>
        <v>0</v>
      </c>
      <c r="LS10" s="4">
        <f t="shared" si="303"/>
        <v>0</v>
      </c>
      <c r="LT10" s="4">
        <f t="shared" si="303"/>
        <v>0</v>
      </c>
      <c r="LU10" s="4"/>
      <c r="LV10" s="4"/>
      <c r="LW10" s="4"/>
      <c r="LX10" s="36"/>
      <c r="LY10" s="4"/>
      <c r="MA10" s="3" t="s">
        <v>1141</v>
      </c>
      <c r="MB10" s="4">
        <v>0</v>
      </c>
      <c r="MC10" s="4">
        <f>MB9</f>
        <v>0</v>
      </c>
      <c r="MD10" s="4">
        <f t="shared" ref="MD10:MJ10" si="304">MC9</f>
        <v>0</v>
      </c>
      <c r="ME10" s="4">
        <f t="shared" si="304"/>
        <v>0</v>
      </c>
      <c r="MF10" s="4">
        <f t="shared" si="304"/>
        <v>0</v>
      </c>
      <c r="MG10" s="4">
        <f t="shared" si="304"/>
        <v>0</v>
      </c>
      <c r="MH10" s="4">
        <f t="shared" si="304"/>
        <v>0</v>
      </c>
      <c r="MI10" s="4">
        <f t="shared" si="304"/>
        <v>0</v>
      </c>
      <c r="MJ10" s="4">
        <f t="shared" si="304"/>
        <v>0</v>
      </c>
      <c r="MK10" s="4"/>
      <c r="ML10" s="4"/>
      <c r="MM10" s="4"/>
      <c r="MN10" s="36"/>
      <c r="MO10" s="4"/>
      <c r="MQ10" s="3" t="s">
        <v>1142</v>
      </c>
      <c r="MR10" s="4">
        <v>0</v>
      </c>
      <c r="MS10" s="4">
        <f>MR9</f>
        <v>0</v>
      </c>
      <c r="MT10" s="4">
        <f t="shared" ref="MT10:MZ10" si="305">MS9</f>
        <v>0</v>
      </c>
      <c r="MU10" s="4">
        <f t="shared" si="305"/>
        <v>0</v>
      </c>
      <c r="MV10" s="4">
        <f t="shared" si="305"/>
        <v>0</v>
      </c>
      <c r="MW10" s="4">
        <f t="shared" si="305"/>
        <v>0</v>
      </c>
      <c r="MX10" s="4">
        <f t="shared" si="305"/>
        <v>0</v>
      </c>
      <c r="MY10" s="4">
        <f t="shared" si="305"/>
        <v>0</v>
      </c>
      <c r="MZ10" s="4">
        <f t="shared" si="305"/>
        <v>0</v>
      </c>
      <c r="NA10" s="4"/>
      <c r="NB10" s="4"/>
      <c r="NC10" s="4"/>
      <c r="ND10" s="36"/>
      <c r="NE10" s="4"/>
      <c r="NG10" s="3" t="s">
        <v>1143</v>
      </c>
      <c r="NH10" s="4">
        <v>0</v>
      </c>
      <c r="NI10" s="4">
        <f>NH9</f>
        <v>0</v>
      </c>
      <c r="NJ10" s="4">
        <f t="shared" ref="NJ10:NP10" si="306">NI9</f>
        <v>0</v>
      </c>
      <c r="NK10" s="4">
        <f t="shared" si="306"/>
        <v>0</v>
      </c>
      <c r="NL10" s="4">
        <f t="shared" si="306"/>
        <v>0</v>
      </c>
      <c r="NM10" s="4">
        <f t="shared" si="306"/>
        <v>0</v>
      </c>
      <c r="NN10" s="4">
        <f t="shared" si="306"/>
        <v>0</v>
      </c>
      <c r="NO10" s="4">
        <f t="shared" si="306"/>
        <v>0</v>
      </c>
      <c r="NP10" s="4">
        <f t="shared" si="306"/>
        <v>0</v>
      </c>
      <c r="NQ10" s="4"/>
      <c r="NR10" s="4"/>
      <c r="NS10" s="4"/>
      <c r="NT10" s="36"/>
      <c r="NU10" s="4"/>
      <c r="NW10" s="3" t="s">
        <v>1144</v>
      </c>
      <c r="NX10" s="4">
        <v>0</v>
      </c>
      <c r="NY10" s="4">
        <f>NX9</f>
        <v>0</v>
      </c>
      <c r="NZ10" s="4">
        <f t="shared" ref="NZ10:OF10" si="307">NY9</f>
        <v>0</v>
      </c>
      <c r="OA10" s="4">
        <f t="shared" si="307"/>
        <v>0</v>
      </c>
      <c r="OB10" s="4">
        <f t="shared" si="307"/>
        <v>0</v>
      </c>
      <c r="OC10" s="4">
        <f t="shared" si="307"/>
        <v>0</v>
      </c>
      <c r="OD10" s="4">
        <f t="shared" si="307"/>
        <v>0</v>
      </c>
      <c r="OE10" s="4">
        <f t="shared" si="307"/>
        <v>0</v>
      </c>
      <c r="OF10" s="4">
        <f t="shared" si="307"/>
        <v>0</v>
      </c>
      <c r="OG10" s="4"/>
      <c r="OH10" s="4"/>
      <c r="OJ10" s="36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Y10" s="3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M10" s="3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QA10" s="3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O10" s="3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C10" s="3"/>
      <c r="RD10" s="4"/>
      <c r="RE10" s="4"/>
      <c r="RF10" s="4"/>
      <c r="RG10" s="4"/>
      <c r="RH10" s="4"/>
      <c r="RI10" s="4"/>
      <c r="RJ10" s="4"/>
      <c r="RK10" s="4"/>
      <c r="RL10" s="4"/>
      <c r="RQ10" s="3"/>
      <c r="RR10" s="4"/>
      <c r="RS10" s="4"/>
      <c r="RT10" s="4"/>
      <c r="RU10" s="4"/>
      <c r="RV10" s="4"/>
      <c r="RW10" s="4"/>
      <c r="RX10" s="4"/>
      <c r="RY10" s="4"/>
      <c r="RZ10" s="4"/>
      <c r="SE10" s="3"/>
      <c r="SF10" s="4"/>
      <c r="SG10" s="4"/>
      <c r="SH10" s="4"/>
      <c r="SI10" s="4"/>
      <c r="SJ10" s="4"/>
      <c r="SK10" s="4"/>
      <c r="SL10" s="4"/>
      <c r="SM10" s="4"/>
      <c r="SN10" s="4"/>
    </row>
    <row r="11" spans="1:508" x14ac:dyDescent="0.2">
      <c r="A11" s="3" t="s">
        <v>1549</v>
      </c>
      <c r="O11" s="3"/>
      <c r="P11" s="6"/>
      <c r="Q11" s="6"/>
      <c r="R11" s="6"/>
      <c r="S11" s="6"/>
      <c r="T11" s="6"/>
      <c r="U11" s="6"/>
      <c r="V11" s="6"/>
      <c r="W11" s="6"/>
      <c r="X11" s="6"/>
      <c r="AG11" s="3"/>
      <c r="AH11" s="6"/>
      <c r="AI11" s="6"/>
      <c r="AJ11" s="6"/>
      <c r="AK11" s="6"/>
      <c r="AL11" s="6"/>
      <c r="AM11" s="6"/>
      <c r="AN11" s="6"/>
      <c r="AO11" s="6"/>
      <c r="AP11" s="6"/>
      <c r="AY11" s="3" t="s">
        <v>1145</v>
      </c>
      <c r="AZ11" s="6">
        <f>IF(AZ18=1,MAX((AZ4-AZ6)*AZ12,0),MAX((AZ4-AZ6),0))</f>
        <v>0</v>
      </c>
      <c r="BA11" s="6">
        <f>IF(AZ18=1,MAX((BA4-BA6)*AZ12,0),MAX((BA4-BA6),0))</f>
        <v>0</v>
      </c>
      <c r="BB11" s="6">
        <f>IF(AZ18=1,MAX((BB4-BB6)*AZ12,0),MAX((BB4-BB6),0))</f>
        <v>0</v>
      </c>
      <c r="BC11" s="6">
        <f>IF(AZ18=1,MAX((BC4-BC6)*AZ12,0),MAX((BC4-BC6),0))</f>
        <v>0</v>
      </c>
      <c r="BD11" s="6">
        <f>IF(AZ18=1,MAX((BD4-BD6)*AZ12,0),MAX((BD4-BD6),0))</f>
        <v>0</v>
      </c>
      <c r="BE11" s="6">
        <f>IF(AZ18=1,MAX((BE4-BE6)*AZ12,0),MAX((BE4-BE6),0))</f>
        <v>0</v>
      </c>
      <c r="BF11" s="6">
        <f>IF(AZ18=1,MAX((BF4-BF6)*AZ12,0),MAX((BF4-BF6),0))</f>
        <v>0</v>
      </c>
      <c r="BG11" s="6">
        <f>IF(AZ18=1,MAX((BG4-BG6)*AZ12,0),MAX((BG4-BG6),0))</f>
        <v>0</v>
      </c>
      <c r="BH11" s="6">
        <f>IF(AZ18=1,MAX((BH4-BH6)*AZ12,0),MAX((BH4-BH6),0))</f>
        <v>0</v>
      </c>
      <c r="BL11" s="9"/>
      <c r="BO11" s="3" t="s">
        <v>1146</v>
      </c>
      <c r="BP11" s="6">
        <f>IF(BP18=1,MAX((BP4-BP6)*BP12,0),MAX((BP4-BP6),0))</f>
        <v>0</v>
      </c>
      <c r="BQ11" s="6">
        <f>IF(BP18=1,MAX((BQ4-BQ6)*BP12,0),MAX((BQ4-BQ6),0))</f>
        <v>0</v>
      </c>
      <c r="BR11" s="6">
        <f>IF(BP18=1,MAX((BR4-BR6)*BP12,0),MAX((BR4-BR6),0))</f>
        <v>0</v>
      </c>
      <c r="BS11" s="6">
        <f>IF(BP18=1,MAX((BS4-BS6)*BP12,0),MAX((BS4-BS6),0))</f>
        <v>0</v>
      </c>
      <c r="BT11" s="6">
        <f>IF(BP18=1,MAX((BT4-BT6)*BP12,0),MAX((BT4-BT6),0))</f>
        <v>0</v>
      </c>
      <c r="BU11" s="6">
        <f>IF(BP18=1,MAX((BU4-BU6)*BP12,0),MAX((BU4-BU6),0))</f>
        <v>0</v>
      </c>
      <c r="BV11" s="6">
        <f>IF(BP18=1,MAX((BV4-BV6)*BP12,0),MAX((BV4-BV6),0))</f>
        <v>0</v>
      </c>
      <c r="BW11" s="6">
        <f>IF(BP18=1,MAX((BW4-BW6)*BP12,0),MAX((BW4-BW6),0))</f>
        <v>0</v>
      </c>
      <c r="BX11" s="6">
        <f>IF(BP18=1,MAX((BX4-BX6)*BP12,0),MAX((BX4-BX6),0))</f>
        <v>0</v>
      </c>
      <c r="CB11" s="9"/>
      <c r="CE11" s="3" t="s">
        <v>1147</v>
      </c>
      <c r="CF11" s="6">
        <f>IF(CF18=1,MAX((CF4-CF6)*CF12,0),MAX((CF4-CF6),0))</f>
        <v>0</v>
      </c>
      <c r="CG11" s="6">
        <f>IF(CF18=1,MAX((CG4-CG6)*CF12,0),MAX((CG4-CG6),0))</f>
        <v>0</v>
      </c>
      <c r="CH11" s="6">
        <f>IF(CF18=1,MAX((CH4-CH6)*CF12,0),MAX((CH4-CH6),0))</f>
        <v>0</v>
      </c>
      <c r="CI11" s="6">
        <f>IF(CF18=1,MAX((CI4-CI6)*CF12,0),MAX((CI4-CI6),0))</f>
        <v>0</v>
      </c>
      <c r="CJ11" s="6">
        <f>IF(CF18=1,MAX((CJ4-CJ6)*CF12,0),MAX((CJ4-CJ6),0))</f>
        <v>0</v>
      </c>
      <c r="CK11" s="6">
        <f>IF(CF18=1,MAX((CK4-CK6)*CF12,0),MAX((CK4-CK6),0))</f>
        <v>0</v>
      </c>
      <c r="CL11" s="6">
        <f>IF(CF18=1,MAX((CL4-CL6)*CF12,0),MAX((CL4-CL6),0))</f>
        <v>0</v>
      </c>
      <c r="CM11" s="6">
        <f>IF(CF18=1,MAX((CM4-CM6)*CF12,0),MAX((CM4-CM6),0))</f>
        <v>0</v>
      </c>
      <c r="CN11" s="6">
        <f>IF(CF18=1,MAX((CN4-CN6)*CF12,0),MAX((CN4-CN6),0))</f>
        <v>0</v>
      </c>
      <c r="CR11" s="9"/>
      <c r="CU11" s="3" t="s">
        <v>1148</v>
      </c>
      <c r="CV11" s="6">
        <f>IF(CV18=1,MAX((CV4-CV6)*CV12,0),MAX((CV4-CV6),0))</f>
        <v>0</v>
      </c>
      <c r="CW11" s="6">
        <f>IF(CV18=1,MAX((CW4-CW6)*CV12,0),MAX((CW4-CW6),0))</f>
        <v>0</v>
      </c>
      <c r="CX11" s="6">
        <f>IF(CV18=1,MAX((CX4-CX6)*CV12,0),MAX((CX4-CX6),0))</f>
        <v>0</v>
      </c>
      <c r="CY11" s="6">
        <f>IF(CV18=1,MAX((CY4-CY6)*CV12,0),MAX((CY4-CY6),0))</f>
        <v>0</v>
      </c>
      <c r="CZ11" s="6">
        <f>IF(CV18=1,MAX((CZ4-CZ6)*CV12,0),MAX((CZ4-CZ6),0))</f>
        <v>0</v>
      </c>
      <c r="DA11" s="6">
        <f>IF(CV18=1,MAX((DA4-DA6)*CV12,0),MAX((DA4-DA6),0))</f>
        <v>0</v>
      </c>
      <c r="DB11" s="6">
        <f>IF(CV18=1,MAX((DB4-DB6)*CV12,0),MAX((DB4-DB6),0))</f>
        <v>0</v>
      </c>
      <c r="DC11" s="6">
        <f>IF(CV18=1,MAX((DC4-DC6)*CV12,0),MAX((DC4-DC6),0))</f>
        <v>0</v>
      </c>
      <c r="DD11" s="6">
        <f>IF(CV18=1,MAX((DD4-DD6)*CV12,0),MAX((DD4-DD6),0))</f>
        <v>0</v>
      </c>
      <c r="DH11" s="9"/>
      <c r="DK11" s="3" t="s">
        <v>1149</v>
      </c>
      <c r="DL11" s="6">
        <f>IF(DL18=1,MAX((DL4-DL6)*DL12,0),MAX((DL4-DL6),0))</f>
        <v>0</v>
      </c>
      <c r="DM11" s="6">
        <f>IF(DL18=1,MAX((DM4-DM6)*DL12,0),MAX((DM4-DM6),0))</f>
        <v>0</v>
      </c>
      <c r="DN11" s="6">
        <f>IF(DL18=1,MAX((DN4-DN6)*DL12,0),MAX((DN4-DN6),0))</f>
        <v>0</v>
      </c>
      <c r="DO11" s="6">
        <f>IF(DL18=1,MAX((DO4-DO6)*DL12,0),MAX((DO4-DO6),0))</f>
        <v>0</v>
      </c>
      <c r="DP11" s="6">
        <f>IF(DL18=1,MAX((DP4-DP6)*DL12,0),MAX((DP4-DP6),0))</f>
        <v>0</v>
      </c>
      <c r="DQ11" s="6">
        <f>IF(DL18=1,MAX((DQ4-DQ6)*DL12,0),MAX((DQ4-DQ6),0))</f>
        <v>0</v>
      </c>
      <c r="DR11" s="6">
        <f>IF(DL18=1,MAX((DR4-DR6)*DL12,0),MAX((DR4-DR6),0))</f>
        <v>0</v>
      </c>
      <c r="DS11" s="6">
        <f>IF(DL18=1,MAX((DS4-DS6)*DL12,0),MAX((DS4-DS6),0))</f>
        <v>0</v>
      </c>
      <c r="DT11" s="6">
        <f>IF(DL18=1,MAX((DT4-DT6)*DL12,0),MAX((DT4-DT6),0))</f>
        <v>0</v>
      </c>
      <c r="DX11" s="9"/>
      <c r="EA11" s="3" t="s">
        <v>1150</v>
      </c>
      <c r="EB11" s="6">
        <f>IF(EB18=1,MAX((EB4-EB6)*EB12,0),MAX((EB4-EB6),0))</f>
        <v>0</v>
      </c>
      <c r="EC11" s="6">
        <f>IF(EB18=1,MAX((EC4-EC6)*EB12,0),MAX((EC4-EC6),0))</f>
        <v>0</v>
      </c>
      <c r="ED11" s="6">
        <f>IF(EB18=1,MAX((ED4-ED6)*EB12,0),MAX((ED4-ED6),0))</f>
        <v>0</v>
      </c>
      <c r="EE11" s="6">
        <f>IF(EB18=1,MAX((EE4-EE6)*EB12,0),MAX((EE4-EE6),0))</f>
        <v>0</v>
      </c>
      <c r="EF11" s="6">
        <f>IF(EB18=1,MAX((EF4-EF6)*EB12,0),MAX((EF4-EF6),0))</f>
        <v>0</v>
      </c>
      <c r="EG11" s="6">
        <f>IF(EB18=1,MAX((EG4-EG6)*EB12,0),MAX((EG4-EG6),0))</f>
        <v>0</v>
      </c>
      <c r="EH11" s="6">
        <f>IF(EB18=1,MAX((EH4-EH6)*EB12,0),MAX((EH4-EH6),0))</f>
        <v>0</v>
      </c>
      <c r="EI11" s="6">
        <f>IF(EB18=1,MAX((EI4-EI6)*EB12,0),MAX((EI4-EI6),0))</f>
        <v>0</v>
      </c>
      <c r="EJ11" s="6">
        <f>IF(EB18=1,MAX((EJ4-EJ6)*EB12,0),MAX((EJ4-EJ6),0))</f>
        <v>0</v>
      </c>
      <c r="EN11" s="9"/>
      <c r="EQ11" s="3" t="s">
        <v>1151</v>
      </c>
      <c r="ER11" s="6">
        <f>IF(ER18=1,MAX((ER4-ER6)*ER12,0),MAX((ER4-ER6),0))</f>
        <v>0</v>
      </c>
      <c r="ES11" s="6">
        <f>IF(ER18=1,MAX((ES4-ES6)*ER12,0),MAX((ES4-ES6),0))</f>
        <v>0</v>
      </c>
      <c r="ET11" s="6">
        <f>IF(ER18=1,MAX((ET4-ET6)*ER12,0),MAX((ET4-ET6),0))</f>
        <v>0</v>
      </c>
      <c r="EU11" s="6">
        <f>IF(ER18=1,MAX((EU4-EU6)*ER12,0),MAX((EU4-EU6),0))</f>
        <v>0</v>
      </c>
      <c r="EV11" s="6">
        <f>IF(ER18=1,MAX((EV4-EV6)*ER12,0),MAX((EV4-EV6),0))</f>
        <v>0</v>
      </c>
      <c r="EW11" s="6">
        <f>IF(ER18=1,MAX((EW4-EW6)*ER12,0),MAX((EW4-EW6),0))</f>
        <v>0</v>
      </c>
      <c r="EX11" s="6">
        <f>IF(ER18=1,MAX((EX4-EX6)*ER12,0),MAX((EX4-EX6),0))</f>
        <v>0</v>
      </c>
      <c r="EY11" s="6">
        <f>IF(ER18=1,MAX((EY4-EY6)*ER12,0),MAX((EY4-EY6),0))</f>
        <v>0</v>
      </c>
      <c r="EZ11" s="6">
        <f>IF(ER18=1,MAX((EZ4-EZ6)*ER12,0),MAX((EZ4-EZ6),0))</f>
        <v>0</v>
      </c>
      <c r="FD11" s="9"/>
      <c r="FG11" s="3" t="s">
        <v>1152</v>
      </c>
      <c r="FH11" s="6">
        <f>IF(FH18=1,MAX((FH4-FH6)*FH12,0),MAX((FH4-FH6),0))</f>
        <v>0</v>
      </c>
      <c r="FI11" s="6">
        <f>IF(FH18=1,MAX((FI4-FI6)*FH12,0),MAX((FI4-FI6),0))</f>
        <v>0</v>
      </c>
      <c r="FJ11" s="6">
        <f>IF(FH18=1,MAX((FJ4-FJ6)*FH12,0),MAX((FJ4-FJ6),0))</f>
        <v>0</v>
      </c>
      <c r="FK11" s="6">
        <f>IF(FH18=1,MAX((FK4-FK6)*FH12,0),MAX((FK4-FK6),0))</f>
        <v>0</v>
      </c>
      <c r="FL11" s="6">
        <f>IF(FH18=1,MAX((FL4-FL6)*FH12,0),MAX((FL4-FL6),0))</f>
        <v>0</v>
      </c>
      <c r="FM11" s="6">
        <f>IF(FH18=1,MAX((FM4-FM6)*FH12,0),MAX((FM4-FM6),0))</f>
        <v>0</v>
      </c>
      <c r="FN11" s="6">
        <f>IF(FH18=1,MAX((FN4-FN6)*FH12,0),MAX((FN4-FN6),0))</f>
        <v>0</v>
      </c>
      <c r="FO11" s="6">
        <f>IF(FH18=1,MAX((FO4-FO6)*FH12,0),MAX((FO4-FO6),0))</f>
        <v>0</v>
      </c>
      <c r="FP11" s="6">
        <f>IF(FH18=1,MAX((FP4-FP6)*FH12,0),MAX((FP4-FP6),0))</f>
        <v>0</v>
      </c>
      <c r="FT11" s="9"/>
      <c r="FW11" s="3" t="s">
        <v>1153</v>
      </c>
      <c r="FX11" s="6">
        <f>IF(FX18=1,MAX((FX4-FX6)*FX12,0),MAX((FX4-FX6),0))</f>
        <v>0</v>
      </c>
      <c r="FY11" s="6">
        <f>IF(FX18=1,MAX((FY4-FY6)*FX12,0),MAX((FY4-FY6),0))</f>
        <v>0</v>
      </c>
      <c r="FZ11" s="6">
        <f>IF(FX18=1,MAX((FZ4-FZ6)*FX12,0),MAX((FZ4-FZ6),0))</f>
        <v>0</v>
      </c>
      <c r="GA11" s="6">
        <f>IF(FX18=1,MAX((GA4-GA6)*FX12,0),MAX((GA4-GA6),0))</f>
        <v>0</v>
      </c>
      <c r="GB11" s="6">
        <f>IF(FX18=1,MAX((GB4-GB6)*FX12,0),MAX((GB4-GB6),0))</f>
        <v>0</v>
      </c>
      <c r="GC11" s="6">
        <f>IF(FX18=1,MAX((GC4-GC6)*FX12,0),MAX((GC4-GC6),0))</f>
        <v>0</v>
      </c>
      <c r="GD11" s="6">
        <f>IF(FX18=1,MAX((GD4-GD6)*FX12,0),MAX((GD4-GD6),0))</f>
        <v>0</v>
      </c>
      <c r="GE11" s="6">
        <f>IF(FX18=1,MAX((GE4-GE6)*FX12,0),MAX((GE4-GE6),0))</f>
        <v>0</v>
      </c>
      <c r="GF11" s="6">
        <f>IF(FX18=1,MAX((GF4-GF6)*FX12,0),MAX((GF4-GF6),0))</f>
        <v>0</v>
      </c>
      <c r="GJ11" s="9"/>
      <c r="GM11" s="3" t="s">
        <v>1154</v>
      </c>
      <c r="GN11" s="6">
        <f>IF(GN18=1,MAX((GN4-GN6)*GN12,0),MAX((GN4-GN6),0))</f>
        <v>0</v>
      </c>
      <c r="GO11" s="6">
        <f>IF(GN18=1,MAX((GO4-GO6)*GN12,0),MAX((GO4-GO6),0))</f>
        <v>0</v>
      </c>
      <c r="GP11" s="6">
        <f>IF(GN18=1,MAX((GP4-GP6)*GN12,0),MAX((GP4-GP6),0))</f>
        <v>0</v>
      </c>
      <c r="GQ11" s="6">
        <f>IF(GN18=1,MAX((GQ4-GQ6)*GN12,0),MAX((GQ4-GQ6),0))</f>
        <v>0</v>
      </c>
      <c r="GR11" s="6">
        <f>IF(GN18=1,MAX((GR4-GR6)*GN12,0),MAX((GR4-GR6),0))</f>
        <v>0</v>
      </c>
      <c r="GS11" s="6">
        <f>IF(GN18=1,MAX((GS4-GS6)*GN12,0),MAX((GS4-GS6),0))</f>
        <v>0</v>
      </c>
      <c r="GT11" s="6">
        <f>IF(GN18=1,MAX((GT4-GT6)*GN12,0),MAX((GT4-GT6),0))</f>
        <v>0</v>
      </c>
      <c r="GU11" s="6">
        <f>IF(GN18=1,MAX((GU4-GU6)*GN12,0),MAX((GU4-GU6),0))</f>
        <v>0</v>
      </c>
      <c r="GV11" s="6">
        <f>IF(GN18=1,MAX((GV4-GV6)*GN12,0),MAX((GV4-GV6),0))</f>
        <v>0</v>
      </c>
      <c r="GZ11" s="9"/>
      <c r="HC11" s="3" t="s">
        <v>1155</v>
      </c>
      <c r="HD11" s="6">
        <f>IF(HD18=1,MAX((HD4-HD6)*HD12,0),MAX((HD4-HD6),0))</f>
        <v>0</v>
      </c>
      <c r="HE11" s="6">
        <f>IF(HD18=1,MAX((HE4-HE6)*HD12,0),MAX((HE4-HE6),0))</f>
        <v>0</v>
      </c>
      <c r="HF11" s="6">
        <f>IF(HD18=1,MAX((HF4-HF6)*HD12,0),MAX((HF4-HF6),0))</f>
        <v>0</v>
      </c>
      <c r="HG11" s="6">
        <f>IF(HD18=1,MAX((HG4-HG6)*HD12,0),MAX((HG4-HG6),0))</f>
        <v>0</v>
      </c>
      <c r="HH11" s="6">
        <f>IF(HD18=1,MAX((HH4-HH6)*HD12,0),MAX((HH4-HH6),0))</f>
        <v>0</v>
      </c>
      <c r="HI11" s="6">
        <f>IF(HD18=1,MAX((HI4-HI6)*HD12,0),MAX((HI4-HI6),0))</f>
        <v>0</v>
      </c>
      <c r="HJ11" s="6">
        <f>IF(HD18=1,MAX((HJ4-HJ6)*HD12,0),MAX((HJ4-HJ6),0))</f>
        <v>0</v>
      </c>
      <c r="HK11" s="6">
        <f>IF(HD18=1,MAX((HK4-HK6)*HD12,0),MAX((HK4-HK6),0))</f>
        <v>0</v>
      </c>
      <c r="HL11" s="6">
        <f>IF(HD18=1,MAX((HL4-HL6)*HD12,0),MAX((HL4-HL6),0))</f>
        <v>0</v>
      </c>
      <c r="HP11" s="9"/>
      <c r="HS11" s="3" t="s">
        <v>1156</v>
      </c>
      <c r="HT11" s="6">
        <f>IF(HT18=1,MAX((HT4-HT6)*HT12,0),MAX((HT4-HT6),0))</f>
        <v>0</v>
      </c>
      <c r="HU11" s="6">
        <f>IF(HT18=1,MAX((HU4-HU6)*HT12,0),MAX((HU4-HU6),0))</f>
        <v>0</v>
      </c>
      <c r="HV11" s="6">
        <f>IF(HT18=1,MAX((HV4-HV6)*HT12,0),MAX((HV4-HV6),0))</f>
        <v>0</v>
      </c>
      <c r="HW11" s="6">
        <f>IF(HT18=1,MAX((HW4-HW6)*HT12,0),MAX((HW4-HW6),0))</f>
        <v>0</v>
      </c>
      <c r="HX11" s="6">
        <f>IF(HT18=1,MAX((HX4-HX6)*HT12,0),MAX((HX4-HX6),0))</f>
        <v>0</v>
      </c>
      <c r="HY11" s="6">
        <f>IF(HT18=1,MAX((HY4-HY6)*HT12,0),MAX((HY4-HY6),0))</f>
        <v>0</v>
      </c>
      <c r="HZ11" s="6">
        <f>IF(HT18=1,MAX((HZ4-HZ6)*HT12,0),MAX((HZ4-HZ6),0))</f>
        <v>0</v>
      </c>
      <c r="IA11" s="6">
        <f>IF(HT18=1,MAX((IA4-IA6)*HT12,0),MAX((IA4-IA6),0))</f>
        <v>0</v>
      </c>
      <c r="IB11" s="6">
        <f>IF(HT18=1,MAX((IB4-IB6)*HT12,0),MAX((IB4-IB6),0))</f>
        <v>0</v>
      </c>
      <c r="IF11" s="9"/>
      <c r="II11" s="3" t="s">
        <v>1157</v>
      </c>
      <c r="IJ11" s="6">
        <f>IF(IJ18=1,MAX((IJ4-IJ6)*IJ12,0),MAX((IJ4-IJ6),0))</f>
        <v>0</v>
      </c>
      <c r="IK11" s="6">
        <f>IF(IJ18=1,MAX((IK4-IK6)*IJ12,0),MAX((IK4-IK6),0))</f>
        <v>0</v>
      </c>
      <c r="IL11" s="6">
        <f>IF(IJ18=1,MAX((IL4-IL6)*IJ12,0),MAX((IL4-IL6),0))</f>
        <v>0</v>
      </c>
      <c r="IM11" s="6">
        <f>IF(IJ18=1,MAX((IM4-IM6)*IJ12,0),MAX((IM4-IM6),0))</f>
        <v>0</v>
      </c>
      <c r="IN11" s="6">
        <f>IF(IJ18=1,MAX((IN4-IN6)*IJ12,0),MAX((IN4-IN6),0))</f>
        <v>0</v>
      </c>
      <c r="IO11" s="6">
        <f>IF(IJ18=1,MAX((IO4-IO6)*IJ12,0),MAX((IO4-IO6),0))</f>
        <v>0</v>
      </c>
      <c r="IP11" s="6">
        <f>IF(IJ18=1,MAX((IP4-IP6)*IJ12,0),MAX((IP4-IP6),0))</f>
        <v>0</v>
      </c>
      <c r="IQ11" s="6">
        <f>IF(IJ18=1,MAX((IQ4-IQ6)*IJ12,0),MAX((IQ4-IQ6),0))</f>
        <v>0</v>
      </c>
      <c r="IR11" s="6">
        <f>IF(IJ18=1,MAX((IR4-IR6)*IJ12,0),MAX((IR4-IR6),0))</f>
        <v>0</v>
      </c>
      <c r="IV11" s="9"/>
      <c r="IY11" s="3" t="s">
        <v>1158</v>
      </c>
      <c r="IZ11" s="6">
        <f>IF(IZ18=1,MAX((IZ4-IZ6)*IZ12,0),MAX((IZ4-IZ6),0))</f>
        <v>0</v>
      </c>
      <c r="JA11" s="6">
        <f>IF(IZ18=1,MAX((JA4-JA6)*IZ12,0),MAX((JA4-JA6),0))</f>
        <v>0</v>
      </c>
      <c r="JB11" s="6">
        <f>IF(IZ18=1,MAX((JB4-JB6)*IZ12,0),MAX((JB4-JB6),0))</f>
        <v>0</v>
      </c>
      <c r="JC11" s="6">
        <f>IF(IZ18=1,MAX((JC4-JC6)*IZ12,0),MAX((JC4-JC6),0))</f>
        <v>0</v>
      </c>
      <c r="JD11" s="6">
        <f>IF(IZ18=1,MAX((JD4-JD6)*IZ12,0),MAX((JD4-JD6),0))</f>
        <v>0</v>
      </c>
      <c r="JE11" s="6">
        <f>IF(IZ18=1,MAX((JE4-JE6)*IZ12,0),MAX((JE4-JE6),0))</f>
        <v>0</v>
      </c>
      <c r="JF11" s="6">
        <f>IF(IZ18=1,MAX((JF4-JF6)*IZ12,0),MAX((JF4-JF6),0))</f>
        <v>0</v>
      </c>
      <c r="JG11" s="6">
        <f>IF(IZ18=1,MAX((JG4-JG6)*IZ12,0),MAX((JG4-JG6),0))</f>
        <v>0</v>
      </c>
      <c r="JH11" s="6">
        <f>IF(IZ18=1,MAX((JH4-JH6)*IZ12,0),MAX((JH4-JH6),0))</f>
        <v>0</v>
      </c>
      <c r="JL11" s="9"/>
      <c r="JO11" s="3" t="s">
        <v>1159</v>
      </c>
      <c r="JP11" s="6">
        <f>IF(JP18=1,MAX((JP4-JP6)*JP12,0),MAX((JP4-JP6),0))</f>
        <v>0</v>
      </c>
      <c r="JQ11" s="6">
        <f>IF(JP18=1,MAX((JQ4-JQ6)*JP12,0),MAX((JQ4-JQ6),0))</f>
        <v>0</v>
      </c>
      <c r="JR11" s="6">
        <f>IF(JP18=1,MAX((JR4-JR6)*JP12,0),MAX((JR4-JR6),0))</f>
        <v>0</v>
      </c>
      <c r="JS11" s="6">
        <f>IF(JP18=1,MAX((JS4-JS6)*JP12,0),MAX((JS4-JS6),0))</f>
        <v>0</v>
      </c>
      <c r="JT11" s="6">
        <f>IF(JP18=1,MAX((JT4-JT6)*JP12,0),MAX((JT4-JT6),0))</f>
        <v>0</v>
      </c>
      <c r="JU11" s="6">
        <f>IF(JP18=1,MAX((JU4-JU6)*JP12,0),MAX((JU4-JU6),0))</f>
        <v>0</v>
      </c>
      <c r="JV11" s="6">
        <f>IF(JP18=1,MAX((JV4-JV6)*JP12,0),MAX((JV4-JV6),0))</f>
        <v>0</v>
      </c>
      <c r="JW11" s="6">
        <f>IF(JP18=1,MAX((JW4-JW6)*JP12,0),MAX((JW4-JW6),0))</f>
        <v>0</v>
      </c>
      <c r="JX11" s="6">
        <f>IF(JP18=1,MAX((JX4-JX6)*JP12,0),MAX((JX4-JX6),0))</f>
        <v>0</v>
      </c>
      <c r="KB11" s="9"/>
      <c r="KE11" s="3" t="s">
        <v>1160</v>
      </c>
      <c r="KF11">
        <f t="shared" ref="KF11:KN11" si="308">+MAX((KF4-KF6)*$KF12,0)</f>
        <v>0</v>
      </c>
      <c r="KG11">
        <f t="shared" si="308"/>
        <v>0</v>
      </c>
      <c r="KH11">
        <f t="shared" si="308"/>
        <v>0</v>
      </c>
      <c r="KI11">
        <f t="shared" si="308"/>
        <v>0</v>
      </c>
      <c r="KJ11">
        <f t="shared" si="308"/>
        <v>0</v>
      </c>
      <c r="KK11">
        <f t="shared" si="308"/>
        <v>0</v>
      </c>
      <c r="KL11">
        <f t="shared" si="308"/>
        <v>0</v>
      </c>
      <c r="KM11">
        <f t="shared" si="308"/>
        <v>0</v>
      </c>
      <c r="KN11">
        <f t="shared" si="308"/>
        <v>0</v>
      </c>
      <c r="KR11" s="9"/>
      <c r="KU11" s="3" t="s">
        <v>1161</v>
      </c>
      <c r="KV11">
        <f t="shared" ref="KV11:LD11" si="309">+MAX((KV4-KV6)*$KV12,0)</f>
        <v>0</v>
      </c>
      <c r="KW11">
        <f t="shared" si="309"/>
        <v>0</v>
      </c>
      <c r="KX11">
        <f t="shared" si="309"/>
        <v>0</v>
      </c>
      <c r="KY11">
        <f t="shared" si="309"/>
        <v>0</v>
      </c>
      <c r="KZ11">
        <f t="shared" si="309"/>
        <v>0</v>
      </c>
      <c r="LA11">
        <f t="shared" si="309"/>
        <v>0</v>
      </c>
      <c r="LB11">
        <f t="shared" si="309"/>
        <v>0</v>
      </c>
      <c r="LC11">
        <f t="shared" si="309"/>
        <v>0</v>
      </c>
      <c r="LD11">
        <f t="shared" si="309"/>
        <v>0</v>
      </c>
      <c r="LH11" s="9"/>
      <c r="LK11" s="3" t="s">
        <v>1162</v>
      </c>
      <c r="LL11">
        <f t="shared" ref="LL11:LT11" si="310">+MAX((LL4-LL6)*$LL12,0)</f>
        <v>0</v>
      </c>
      <c r="LM11">
        <f t="shared" si="310"/>
        <v>0</v>
      </c>
      <c r="LN11">
        <f t="shared" si="310"/>
        <v>0</v>
      </c>
      <c r="LO11">
        <f t="shared" si="310"/>
        <v>0</v>
      </c>
      <c r="LP11">
        <f t="shared" si="310"/>
        <v>0</v>
      </c>
      <c r="LQ11">
        <f t="shared" si="310"/>
        <v>0</v>
      </c>
      <c r="LR11">
        <f t="shared" si="310"/>
        <v>0</v>
      </c>
      <c r="LS11">
        <f t="shared" si="310"/>
        <v>0</v>
      </c>
      <c r="LT11">
        <f t="shared" si="310"/>
        <v>0</v>
      </c>
      <c r="LX11" s="9"/>
      <c r="MA11" s="3" t="s">
        <v>1163</v>
      </c>
      <c r="MB11">
        <f t="shared" ref="MB11:MJ11" si="311">+MAX((MB4-MB6)*$MB12,0)</f>
        <v>0</v>
      </c>
      <c r="MC11">
        <f t="shared" si="311"/>
        <v>0</v>
      </c>
      <c r="MD11">
        <f t="shared" si="311"/>
        <v>0</v>
      </c>
      <c r="ME11">
        <f t="shared" si="311"/>
        <v>0</v>
      </c>
      <c r="MF11">
        <f t="shared" si="311"/>
        <v>0</v>
      </c>
      <c r="MG11">
        <f t="shared" si="311"/>
        <v>0</v>
      </c>
      <c r="MH11">
        <f t="shared" si="311"/>
        <v>0</v>
      </c>
      <c r="MI11">
        <f t="shared" si="311"/>
        <v>0</v>
      </c>
      <c r="MJ11">
        <f t="shared" si="311"/>
        <v>0</v>
      </c>
      <c r="MN11" s="9"/>
      <c r="MQ11" s="3" t="s">
        <v>1164</v>
      </c>
      <c r="MR11">
        <f t="shared" ref="MR11:MZ11" si="312">+MAX((MR4-MR6)*$MR12,0)</f>
        <v>0</v>
      </c>
      <c r="MS11">
        <f t="shared" si="312"/>
        <v>0</v>
      </c>
      <c r="MT11">
        <f t="shared" si="312"/>
        <v>0</v>
      </c>
      <c r="MU11">
        <f t="shared" si="312"/>
        <v>0</v>
      </c>
      <c r="MV11">
        <f t="shared" si="312"/>
        <v>0</v>
      </c>
      <c r="MW11">
        <f t="shared" si="312"/>
        <v>0</v>
      </c>
      <c r="MX11">
        <f t="shared" si="312"/>
        <v>0</v>
      </c>
      <c r="MY11">
        <f t="shared" si="312"/>
        <v>0</v>
      </c>
      <c r="MZ11">
        <f t="shared" si="312"/>
        <v>0</v>
      </c>
      <c r="ND11" s="9"/>
      <c r="NG11" s="3" t="s">
        <v>1165</v>
      </c>
      <c r="NH11">
        <f t="shared" ref="NH11:NP11" si="313">+MAX((NH4-NH6)*$NH12,0)</f>
        <v>0</v>
      </c>
      <c r="NI11">
        <f t="shared" si="313"/>
        <v>0</v>
      </c>
      <c r="NJ11">
        <f t="shared" si="313"/>
        <v>0</v>
      </c>
      <c r="NK11">
        <f t="shared" si="313"/>
        <v>0</v>
      </c>
      <c r="NL11">
        <f t="shared" si="313"/>
        <v>0</v>
      </c>
      <c r="NM11">
        <f t="shared" si="313"/>
        <v>0</v>
      </c>
      <c r="NN11">
        <f t="shared" si="313"/>
        <v>0</v>
      </c>
      <c r="NO11">
        <f t="shared" si="313"/>
        <v>0</v>
      </c>
      <c r="NP11">
        <f t="shared" si="313"/>
        <v>0</v>
      </c>
      <c r="NT11" s="9"/>
      <c r="NW11" s="3" t="s">
        <v>1166</v>
      </c>
      <c r="NX11">
        <f t="shared" ref="NX11:OF11" si="314">+MAX((NX4-NX6)*$NX12,0)</f>
        <v>0</v>
      </c>
      <c r="NY11">
        <f t="shared" si="314"/>
        <v>0</v>
      </c>
      <c r="NZ11">
        <f t="shared" si="314"/>
        <v>0</v>
      </c>
      <c r="OA11">
        <f t="shared" si="314"/>
        <v>0</v>
      </c>
      <c r="OB11">
        <f t="shared" si="314"/>
        <v>0</v>
      </c>
      <c r="OC11">
        <f t="shared" si="314"/>
        <v>0</v>
      </c>
      <c r="OD11">
        <f t="shared" si="314"/>
        <v>0</v>
      </c>
      <c r="OE11">
        <f t="shared" si="314"/>
        <v>0</v>
      </c>
      <c r="OF11">
        <f t="shared" si="314"/>
        <v>0</v>
      </c>
      <c r="OJ11" s="9"/>
      <c r="OY11" s="3"/>
      <c r="PM11" s="3"/>
      <c r="QA11" s="3"/>
      <c r="QO11" s="3"/>
      <c r="RC11" s="3"/>
      <c r="RQ11" s="3"/>
      <c r="SE11" s="3"/>
    </row>
    <row r="12" spans="1:508" x14ac:dyDescent="0.2">
      <c r="A12" s="3" t="s">
        <v>1167</v>
      </c>
      <c r="O12" s="3"/>
      <c r="P12" s="6"/>
      <c r="Q12" s="4"/>
      <c r="R12" s="4"/>
      <c r="S12" s="4"/>
      <c r="T12" s="4"/>
      <c r="U12" s="4"/>
      <c r="V12" s="4"/>
      <c r="W12" s="4"/>
      <c r="X12" s="4"/>
      <c r="Y12" s="4"/>
      <c r="Z12" s="4"/>
      <c r="AG12" s="3"/>
      <c r="AH12" s="6"/>
      <c r="AI12" s="6"/>
      <c r="AJ12" s="6"/>
      <c r="AK12" s="6"/>
      <c r="AL12" s="6"/>
      <c r="AM12" s="6"/>
      <c r="AN12" s="6"/>
      <c r="AO12" s="6"/>
      <c r="AP12" s="6"/>
      <c r="AQ12" s="4"/>
      <c r="AR12" s="4"/>
      <c r="AY12" s="3" t="s">
        <v>1168</v>
      </c>
      <c r="AZ12" s="31">
        <v>20000000</v>
      </c>
      <c r="BA12" s="6"/>
      <c r="BB12" s="6"/>
      <c r="BC12" s="6"/>
      <c r="BD12" s="6"/>
      <c r="BE12" s="6"/>
      <c r="BF12" s="6"/>
      <c r="BG12" s="6"/>
      <c r="BH12" s="6"/>
      <c r="BI12" s="4"/>
      <c r="BJ12" s="4"/>
      <c r="BL12" s="36"/>
      <c r="BO12" s="3" t="s">
        <v>1169</v>
      </c>
      <c r="BP12" s="31">
        <v>20000000</v>
      </c>
      <c r="BQ12" s="4"/>
      <c r="BR12" s="4"/>
      <c r="BS12" s="4"/>
      <c r="BT12" s="4"/>
      <c r="BU12" s="4"/>
      <c r="BV12" s="4"/>
      <c r="BW12" s="4"/>
      <c r="BX12" s="4"/>
      <c r="BY12" s="4"/>
      <c r="BZ12" s="4"/>
      <c r="CB12" s="36"/>
      <c r="CE12" s="3" t="s">
        <v>1170</v>
      </c>
      <c r="CF12" s="31">
        <v>40000000</v>
      </c>
      <c r="CG12" s="4"/>
      <c r="CH12" s="4"/>
      <c r="CI12" s="4"/>
      <c r="CJ12" s="4"/>
      <c r="CK12" s="4"/>
      <c r="CL12" s="4"/>
      <c r="CM12" s="4"/>
      <c r="CN12" s="4"/>
      <c r="CO12" s="4"/>
      <c r="CP12" s="4"/>
      <c r="CR12" s="36"/>
      <c r="CU12" s="3" t="s">
        <v>1171</v>
      </c>
      <c r="CV12" s="31">
        <v>20000000</v>
      </c>
      <c r="CW12" s="4"/>
      <c r="CX12" s="4"/>
      <c r="CY12" s="4"/>
      <c r="CZ12" s="4"/>
      <c r="DA12" s="4"/>
      <c r="DB12" s="4"/>
      <c r="DC12" s="4"/>
      <c r="DD12" s="4"/>
      <c r="DE12" s="4"/>
      <c r="DF12" s="4"/>
      <c r="DH12" s="36"/>
      <c r="DK12" s="3" t="s">
        <v>1172</v>
      </c>
      <c r="DL12" s="31">
        <v>20000000</v>
      </c>
      <c r="DM12" s="4"/>
      <c r="DN12" s="4"/>
      <c r="DO12" s="4"/>
      <c r="DP12" s="4"/>
      <c r="DQ12" s="4"/>
      <c r="DR12" s="4"/>
      <c r="DS12" s="4"/>
      <c r="DT12" s="4"/>
      <c r="DU12" s="4"/>
      <c r="DV12" s="4"/>
      <c r="DX12" s="36"/>
      <c r="EA12" s="3" t="s">
        <v>1173</v>
      </c>
      <c r="EB12" s="31">
        <v>40000000</v>
      </c>
      <c r="EC12" s="4"/>
      <c r="ED12" s="4"/>
      <c r="EE12" s="4"/>
      <c r="EF12" s="4"/>
      <c r="EG12" s="4"/>
      <c r="EH12" s="4"/>
      <c r="EI12" s="4"/>
      <c r="EJ12" s="4"/>
      <c r="EK12" s="4"/>
      <c r="EL12" s="4"/>
      <c r="EN12" s="36"/>
      <c r="EQ12" s="3" t="s">
        <v>1174</v>
      </c>
      <c r="ER12" s="31">
        <v>40000000</v>
      </c>
      <c r="ES12" s="4"/>
      <c r="ET12" s="4"/>
      <c r="EU12" s="4"/>
      <c r="EV12" s="4"/>
      <c r="EW12" s="4"/>
      <c r="EX12" s="4"/>
      <c r="EY12" s="4"/>
      <c r="EZ12" s="6"/>
      <c r="FA12" s="4"/>
      <c r="FB12" s="6"/>
      <c r="FD12" s="37"/>
      <c r="FG12" s="3" t="s">
        <v>1175</v>
      </c>
      <c r="FH12" s="6">
        <v>10000000</v>
      </c>
      <c r="FI12" s="4"/>
      <c r="FJ12" s="4"/>
      <c r="FK12" s="4"/>
      <c r="FL12" s="4"/>
      <c r="FM12" s="4"/>
      <c r="FN12" s="4"/>
      <c r="FO12" s="4"/>
      <c r="FP12" s="6"/>
      <c r="FQ12" s="4"/>
      <c r="FR12" s="6"/>
      <c r="FT12" s="37"/>
      <c r="FW12" s="3" t="s">
        <v>1176</v>
      </c>
      <c r="FX12" s="6">
        <v>40000000</v>
      </c>
      <c r="FY12" s="4"/>
      <c r="FZ12" s="4"/>
      <c r="GA12" s="4"/>
      <c r="GB12" s="4"/>
      <c r="GC12" s="4"/>
      <c r="GD12" s="4"/>
      <c r="GE12" s="4"/>
      <c r="GF12" s="6"/>
      <c r="GG12" s="4"/>
      <c r="GH12" s="4"/>
      <c r="GI12" s="4"/>
      <c r="GJ12" s="36"/>
      <c r="GK12" s="4"/>
      <c r="GM12" s="3" t="s">
        <v>1177</v>
      </c>
      <c r="GN12" s="6">
        <v>20000000</v>
      </c>
      <c r="GO12" s="4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37"/>
      <c r="HA12" s="6"/>
      <c r="HB12" s="6"/>
      <c r="HC12" s="3" t="s">
        <v>1178</v>
      </c>
      <c r="HD12" s="6">
        <v>20000000</v>
      </c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37"/>
      <c r="HQ12" s="6"/>
      <c r="HR12" s="6"/>
      <c r="HS12" s="3" t="s">
        <v>1179</v>
      </c>
      <c r="HT12" s="8">
        <v>20000000</v>
      </c>
      <c r="HU12" s="6"/>
      <c r="HV12" s="6"/>
      <c r="HW12" s="4"/>
      <c r="HX12" s="4"/>
      <c r="HY12" s="4"/>
      <c r="HZ12" s="4"/>
      <c r="IA12" s="4"/>
      <c r="IB12" s="4"/>
      <c r="IC12" s="4"/>
      <c r="ID12" s="4"/>
      <c r="IE12" s="4"/>
      <c r="IF12" s="36"/>
      <c r="IG12" s="4"/>
      <c r="II12" s="3" t="s">
        <v>1180</v>
      </c>
      <c r="IJ12" s="8">
        <v>20000000</v>
      </c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36"/>
      <c r="IW12" s="4"/>
      <c r="IY12" s="3" t="s">
        <v>1181</v>
      </c>
      <c r="IZ12" s="8">
        <v>20000000</v>
      </c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36"/>
      <c r="JM12" s="4"/>
      <c r="JO12" s="3" t="s">
        <v>1182</v>
      </c>
      <c r="JP12" s="8">
        <v>20000000</v>
      </c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36"/>
      <c r="KC12" s="4"/>
      <c r="KE12" s="3" t="s">
        <v>1183</v>
      </c>
      <c r="KF12" s="8">
        <v>20000000</v>
      </c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36"/>
      <c r="KS12" s="4"/>
      <c r="KU12" s="3" t="s">
        <v>1184</v>
      </c>
      <c r="KV12" s="8">
        <v>20000000</v>
      </c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36"/>
      <c r="LI12" s="4"/>
      <c r="LK12" s="3" t="s">
        <v>1185</v>
      </c>
      <c r="LL12" s="8">
        <v>20000000</v>
      </c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36"/>
      <c r="LY12" s="4"/>
      <c r="MA12" s="3" t="s">
        <v>1186</v>
      </c>
      <c r="MB12" s="8">
        <v>20000000</v>
      </c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36"/>
      <c r="MO12" s="4"/>
      <c r="MQ12" s="3" t="s">
        <v>1187</v>
      </c>
      <c r="MR12" s="8">
        <v>20000000</v>
      </c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36"/>
      <c r="NE12" s="4"/>
      <c r="NG12" s="3" t="s">
        <v>1188</v>
      </c>
      <c r="NH12" s="8">
        <v>20000000</v>
      </c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36"/>
      <c r="NU12" s="4"/>
      <c r="NW12" s="3" t="s">
        <v>1189</v>
      </c>
      <c r="NX12" s="8">
        <v>20000000</v>
      </c>
      <c r="NY12" s="4"/>
      <c r="NZ12" s="4"/>
      <c r="OA12" s="4"/>
      <c r="OB12" s="4"/>
      <c r="OC12" s="4"/>
      <c r="OD12" s="4"/>
      <c r="OE12" s="4"/>
      <c r="OF12" s="4"/>
      <c r="OG12" s="4"/>
      <c r="OH12" s="4"/>
      <c r="OJ12" s="36"/>
      <c r="OL12" s="8"/>
      <c r="OM12" s="4"/>
      <c r="ON12" s="4"/>
      <c r="OO12" s="4"/>
      <c r="OP12" s="4"/>
      <c r="OQ12" s="4"/>
      <c r="OR12" s="4"/>
      <c r="OS12" s="4"/>
      <c r="OT12" s="4"/>
      <c r="OU12" s="4"/>
      <c r="OV12" s="4"/>
      <c r="OY12" s="3"/>
      <c r="OZ12" s="8"/>
      <c r="PA12" s="4"/>
      <c r="PB12" s="4"/>
      <c r="PC12" s="4"/>
      <c r="PD12" s="4"/>
      <c r="PE12" s="4"/>
      <c r="PF12" s="4"/>
      <c r="PG12" s="4"/>
      <c r="PH12" s="4"/>
      <c r="PI12" s="4"/>
      <c r="PJ12" s="4"/>
      <c r="PM12" s="3"/>
      <c r="PN12" s="8"/>
      <c r="PO12" s="4"/>
      <c r="PP12" s="4"/>
      <c r="PQ12" s="4"/>
      <c r="PR12" s="4"/>
      <c r="PS12" s="4"/>
      <c r="PT12" s="4"/>
      <c r="PU12" s="4"/>
      <c r="PV12" s="4"/>
      <c r="PW12" s="4"/>
      <c r="PX12" s="4"/>
      <c r="QA12" s="3"/>
      <c r="QB12" s="8"/>
      <c r="QC12" s="4"/>
      <c r="QD12" s="4"/>
      <c r="QE12" s="4"/>
      <c r="QF12" s="4"/>
      <c r="QG12" s="4"/>
      <c r="QH12" s="4"/>
      <c r="QI12" s="4"/>
      <c r="QJ12" s="4"/>
      <c r="QK12" s="4"/>
      <c r="QL12" s="4"/>
      <c r="QO12" s="3"/>
      <c r="QP12" s="8"/>
      <c r="QQ12" s="4"/>
      <c r="QR12" s="4"/>
      <c r="QS12" s="4"/>
      <c r="QT12" s="4"/>
      <c r="QU12" s="4"/>
      <c r="QV12" s="4"/>
      <c r="QW12" s="4"/>
      <c r="QX12" s="4"/>
      <c r="QY12" s="4"/>
      <c r="QZ12" s="4"/>
      <c r="RC12" s="3"/>
      <c r="RD12" s="8"/>
      <c r="RE12" s="4"/>
      <c r="RF12" s="4"/>
      <c r="RG12" s="4"/>
      <c r="RH12" s="4"/>
      <c r="RI12" s="4"/>
      <c r="RJ12" s="4"/>
      <c r="RK12" s="4"/>
      <c r="RL12" s="4"/>
      <c r="RQ12" s="3"/>
      <c r="RR12" s="8"/>
      <c r="RS12" s="4"/>
      <c r="RT12" s="4"/>
      <c r="RU12" s="4"/>
      <c r="RV12" s="4"/>
      <c r="RW12" s="4"/>
      <c r="RX12" s="4"/>
      <c r="RY12" s="4"/>
      <c r="RZ12" s="4"/>
      <c r="SE12" s="3"/>
      <c r="SF12" s="8"/>
      <c r="SG12" s="4"/>
      <c r="SH12" s="4"/>
      <c r="SI12" s="4"/>
      <c r="SJ12" s="4"/>
      <c r="SK12" s="4"/>
      <c r="SL12" s="4"/>
      <c r="SM12" s="4"/>
      <c r="SN12" s="4"/>
    </row>
    <row r="13" spans="1:508" x14ac:dyDescent="0.2">
      <c r="A13" s="3" t="s">
        <v>1392</v>
      </c>
      <c r="O13" s="3"/>
      <c r="P13" s="6"/>
      <c r="Q13" s="4"/>
      <c r="R13" s="4"/>
      <c r="S13" s="4"/>
      <c r="T13" s="4"/>
      <c r="U13" s="4"/>
      <c r="V13" s="4"/>
      <c r="W13" s="4"/>
      <c r="X13" s="4"/>
      <c r="Y13" s="4"/>
      <c r="Z13" s="4"/>
      <c r="AG13" s="3"/>
      <c r="AH13" s="6"/>
      <c r="AI13" s="6"/>
      <c r="AJ13" s="6"/>
      <c r="AK13" s="6"/>
      <c r="AL13" s="6"/>
      <c r="AM13" s="6"/>
      <c r="AN13" s="6"/>
      <c r="AO13" s="6"/>
      <c r="AP13" s="6"/>
      <c r="AQ13" s="4"/>
      <c r="AR13" s="4"/>
      <c r="AY13" s="3" t="s">
        <v>1397</v>
      </c>
      <c r="AZ13" s="6">
        <f>IF(AND(AZ6=1,AZ4=1),AZ14,0)</f>
        <v>0</v>
      </c>
      <c r="BA13" s="6">
        <f>IF(AND(BA6=1,BA4=1),AZ14,0)</f>
        <v>0</v>
      </c>
      <c r="BB13" s="6">
        <f>IF(AND(BB6=1,BB4=1),AZ14,0)</f>
        <v>0</v>
      </c>
      <c r="BC13" s="6">
        <f>IF(AND(BC6=1,BC4=1),AZ14,0)</f>
        <v>0</v>
      </c>
      <c r="BD13" s="6">
        <f>IF(AND(BD6=1,BD4=1),AZ14,0)</f>
        <v>0</v>
      </c>
      <c r="BE13" s="6">
        <f>IF(AND(BE6=1,BE4=1),AZ14,0)</f>
        <v>0</v>
      </c>
      <c r="BF13" s="6">
        <f>IF(AND(BF6=1,BF4=1),AZ14,0)</f>
        <v>0</v>
      </c>
      <c r="BG13" s="6">
        <f>IF(AND(BG6=1,BG4=1),AZ14,0)</f>
        <v>0</v>
      </c>
      <c r="BH13" s="6">
        <f>IF(AND(BH6=1,BH4=1),AZ14,0)</f>
        <v>0</v>
      </c>
      <c r="BI13" s="4"/>
      <c r="BJ13" s="4"/>
      <c r="BL13" s="36"/>
      <c r="BO13" s="3" t="s">
        <v>1399</v>
      </c>
      <c r="BP13" s="6">
        <f>IF(AND(BP6=1,BP4=1),BP14,0)</f>
        <v>0</v>
      </c>
      <c r="BQ13" s="6">
        <f>IF(AND(BQ6=1,BQ4=1),BP14,0)</f>
        <v>0</v>
      </c>
      <c r="BR13" s="6">
        <f>IF(AND(BR6=1,BR4=1),BP14,0)</f>
        <v>0</v>
      </c>
      <c r="BS13" s="6">
        <f>IF(AND(BS6=1,BS4=1),BP14,0)</f>
        <v>0</v>
      </c>
      <c r="BT13" s="6">
        <f>IF(AND(BT6=1,BT4=1),BP14,0)</f>
        <v>0</v>
      </c>
      <c r="BU13" s="6">
        <f>IF(AND(BU6=1,BU4=1),BP14,0)</f>
        <v>0</v>
      </c>
      <c r="BV13" s="6">
        <f>IF(AND(BV6=1,BV4=1),BP14,0)</f>
        <v>0</v>
      </c>
      <c r="BW13" s="6">
        <f>IF(AND(BW6=1,BW4=1),BP14,0)</f>
        <v>0</v>
      </c>
      <c r="BX13" s="6">
        <f>IF(AND(BX6=1,BX4=1),BP14,0)</f>
        <v>0</v>
      </c>
      <c r="BY13" s="4"/>
      <c r="BZ13" s="4"/>
      <c r="CB13" s="36"/>
      <c r="CE13" s="3" t="s">
        <v>1401</v>
      </c>
      <c r="CF13" s="6">
        <f>IF(AND(CF6=1,CF4=1),CF14,0)</f>
        <v>0</v>
      </c>
      <c r="CG13" s="6">
        <f>IF(AND(CG6=1,CG4=1),CF14,0)</f>
        <v>0</v>
      </c>
      <c r="CH13" s="6">
        <f>IF(AND(CH6=1,CH4=1),CF14,0)</f>
        <v>0</v>
      </c>
      <c r="CI13" s="6">
        <f>IF(AND(CI6=1,CI4=1),CF14,0)</f>
        <v>0</v>
      </c>
      <c r="CJ13" s="6">
        <f>IF(AND(CJ6=1,CJ4=1),CF14,0)</f>
        <v>0</v>
      </c>
      <c r="CK13" s="6">
        <f>IF(AND(CK6=1,CK4=1),CF14,0)</f>
        <v>0</v>
      </c>
      <c r="CL13" s="6">
        <f>IF(AND(CL6=1,CL4=1),CF14,0)</f>
        <v>0</v>
      </c>
      <c r="CM13" s="6">
        <f>IF(AND(CM6=1,CM4=1),CF14,0)</f>
        <v>0</v>
      </c>
      <c r="CN13" s="6">
        <f>IF(AND(CN6=1,CN4=1),CF14,0)</f>
        <v>0</v>
      </c>
      <c r="CO13" s="4"/>
      <c r="CP13" s="4"/>
      <c r="CR13" s="36"/>
      <c r="CU13" s="3" t="s">
        <v>1403</v>
      </c>
      <c r="CV13" s="6">
        <f>IF(AND(CV6=1,CV4=1),CV14,0)</f>
        <v>0</v>
      </c>
      <c r="CW13" s="6">
        <f>IF(AND(CW6=1,CW4=1),CV14,0)</f>
        <v>0</v>
      </c>
      <c r="CX13" s="6">
        <f>IF(AND(CX6=1,CX4=1),CV14,0)</f>
        <v>0</v>
      </c>
      <c r="CY13" s="6">
        <f>IF(AND(CY6=1,CY4=1),CV14,0)</f>
        <v>0</v>
      </c>
      <c r="CZ13" s="6">
        <f>IF(AND(CZ6=1,CZ4=1),CV14,0)</f>
        <v>0</v>
      </c>
      <c r="DA13" s="6">
        <f>IF(AND(DA6=1,DA4=1),CV14,0)</f>
        <v>0</v>
      </c>
      <c r="DB13" s="6">
        <f>IF(AND(DB6=1,DB4=1),CV14,0)</f>
        <v>0</v>
      </c>
      <c r="DC13" s="6">
        <f>IF(AND(DC6=1,DC4=1),CV14,0)</f>
        <v>0</v>
      </c>
      <c r="DD13" s="6">
        <f>IF(AND(DD6=1,DD4=1),CV14,0)</f>
        <v>0</v>
      </c>
      <c r="DE13" s="4"/>
      <c r="DF13" s="4"/>
      <c r="DH13" s="36"/>
      <c r="DK13" s="3" t="s">
        <v>1405</v>
      </c>
      <c r="DL13" s="6">
        <f>IF(AND(DL6=1,DL4=1),DL14,0)</f>
        <v>0</v>
      </c>
      <c r="DM13" s="6">
        <f>IF(AND(DM6=1,DM4=1),DL14,0)</f>
        <v>0</v>
      </c>
      <c r="DN13" s="6">
        <f>IF(AND(DN6=1,DN4=1),DL14,0)</f>
        <v>0</v>
      </c>
      <c r="DO13" s="6">
        <f>IF(AND(DO6=1,DO4=1),DL14,0)</f>
        <v>0</v>
      </c>
      <c r="DP13" s="6">
        <f>IF(AND(DP6=1,DP4=1),DL14,0)</f>
        <v>0</v>
      </c>
      <c r="DQ13" s="6">
        <f>IF(AND(DQ6=1,DQ4=1),DL14,0)</f>
        <v>0</v>
      </c>
      <c r="DR13" s="6">
        <f>IF(AND(DR6=1,DR4=1),DL14,0)</f>
        <v>0</v>
      </c>
      <c r="DS13" s="6">
        <f>IF(AND(DS6=1,DS4=1),DL14,0)</f>
        <v>0</v>
      </c>
      <c r="DT13" s="6">
        <f>IF(AND(DT6=1,DT4=1),DL14,0)</f>
        <v>0</v>
      </c>
      <c r="DU13" s="4"/>
      <c r="DV13" s="4"/>
      <c r="DX13" s="36"/>
      <c r="EA13" s="3" t="s">
        <v>1395</v>
      </c>
      <c r="EB13" s="6">
        <f>IF(AND(EB6=1,EB4=1),EB14,0)</f>
        <v>0</v>
      </c>
      <c r="EC13" s="6">
        <f>IF(AND(EC6=1,EC4=1),EB14,0)</f>
        <v>0</v>
      </c>
      <c r="ED13" s="6">
        <f>IF(AND(ED6=1,ED4=1),EB14,0)</f>
        <v>0</v>
      </c>
      <c r="EE13" s="6">
        <f>IF(AND(EE6=1,EE4=1),EB14,0)</f>
        <v>0</v>
      </c>
      <c r="EF13" s="6">
        <f>IF(AND(EF6=1,EF4=1),EB14,0)</f>
        <v>0</v>
      </c>
      <c r="EG13" s="6">
        <f>IF(AND(EG6=1,EG4=1),EB14,0)</f>
        <v>0</v>
      </c>
      <c r="EH13" s="6">
        <f>IF(AND(EH6=1,EH4=1),EB14,0)</f>
        <v>0</v>
      </c>
      <c r="EI13" s="6">
        <f>IF(AND(EI6=1,EI4=1),EB14,0)</f>
        <v>0</v>
      </c>
      <c r="EJ13" s="6">
        <f>IF(AND(EJ6=1,EJ4=1),EB14,0)</f>
        <v>0</v>
      </c>
      <c r="EK13" s="4"/>
      <c r="EL13" s="4"/>
      <c r="EN13" s="36"/>
      <c r="EQ13" s="3" t="s">
        <v>1393</v>
      </c>
      <c r="ER13" s="6">
        <f>IF(AND(ER6=1,ER4=1),ER14,0)</f>
        <v>0</v>
      </c>
      <c r="ES13" s="6">
        <f>IF(AND(ES6=1,ES4=1),ER14,0)</f>
        <v>0</v>
      </c>
      <c r="ET13" s="6">
        <f>IF(AND(ET6=1,ET4=1),ER14,0)</f>
        <v>0</v>
      </c>
      <c r="EU13" s="6">
        <f>IF(AND(EU6=1,EU4=1),ER14,0)</f>
        <v>0</v>
      </c>
      <c r="EV13" s="6">
        <f>IF(AND(EV6=1,EV4=1),ER14,0)</f>
        <v>0</v>
      </c>
      <c r="EW13" s="6">
        <f>IF(AND(EW6=1,EW4=1),ER14,0)</f>
        <v>0</v>
      </c>
      <c r="EX13" s="6">
        <f>IF(AND(EX6=1,EX4=1),ER14,0)</f>
        <v>0</v>
      </c>
      <c r="EY13" s="6">
        <f>IF(AND(EY6=1,EY4=1),ER14,0)</f>
        <v>0</v>
      </c>
      <c r="EZ13" s="6">
        <f>IF(AND(EZ6=1,EZ4=1),ER14,0)</f>
        <v>0</v>
      </c>
      <c r="FA13" s="4"/>
      <c r="FB13" s="6"/>
      <c r="FD13" s="37"/>
      <c r="FG13" s="3" t="s">
        <v>1552</v>
      </c>
      <c r="FH13" s="6">
        <f>IF(AND(FH6=1,FH4=1),FH14,0)</f>
        <v>0</v>
      </c>
      <c r="FI13" s="6">
        <f>IF(AND(FI6=1,FI4=1),FH14,0)</f>
        <v>0</v>
      </c>
      <c r="FJ13" s="6">
        <f>IF(AND(FJ6=1,FJ4=1),FH14,0)</f>
        <v>0</v>
      </c>
      <c r="FK13" s="6">
        <f>IF(AND(FK6=1,FK4=1),FH14,0)</f>
        <v>0</v>
      </c>
      <c r="FL13" s="6">
        <f>IF(AND(FL6=1,FL4=1),FH14,0)</f>
        <v>0</v>
      </c>
      <c r="FM13" s="6">
        <f>IF(AND(FM6=1,FM4=1),FH14,0)</f>
        <v>0</v>
      </c>
      <c r="FN13" s="6">
        <f>IF(AND(FN6=1,FN4=1),FH14,0)</f>
        <v>0</v>
      </c>
      <c r="FO13" s="6">
        <f>IF(AND(FO6=1,FO4=1),FH14,0)</f>
        <v>0</v>
      </c>
      <c r="FP13" s="6">
        <f>IF(AND(FP6=1,FP4=1),FH14,0)</f>
        <v>0</v>
      </c>
      <c r="FQ13" s="4"/>
      <c r="FR13" s="6"/>
      <c r="FT13" s="37"/>
      <c r="FW13" s="3" t="s">
        <v>1550</v>
      </c>
      <c r="FX13" s="6">
        <f>IF(AND(FX6=1,FX4=1),FX14,0)</f>
        <v>0</v>
      </c>
      <c r="FY13" s="6">
        <f>IF(AND(FY6=1,FY4=1),FX14,0)</f>
        <v>0</v>
      </c>
      <c r="FZ13" s="6">
        <f>IF(AND(FZ6=1,FZ4=1),FX14,0)</f>
        <v>0</v>
      </c>
      <c r="GA13" s="6">
        <f>IF(AND(GA6=1,GA4=1),FX14,0)</f>
        <v>0</v>
      </c>
      <c r="GB13" s="6">
        <f>IF(AND(GB6=1,GB4=1),FX14,0)</f>
        <v>0</v>
      </c>
      <c r="GC13" s="6">
        <f>IF(AND(GC6=1,GC4=1),FX14,0)</f>
        <v>0</v>
      </c>
      <c r="GD13" s="6">
        <f>IF(AND(GD6=1,GD4=1),FX14,0)</f>
        <v>0</v>
      </c>
      <c r="GE13" s="6">
        <f>IF(AND(GE6=1,GE4=1),FX14,0)</f>
        <v>0</v>
      </c>
      <c r="GF13" s="6">
        <f>IF(AND(GF6=1,GF4=1),FX14,0)</f>
        <v>0</v>
      </c>
      <c r="GG13" s="4"/>
      <c r="GH13" s="4"/>
      <c r="GI13" s="4"/>
      <c r="GJ13" s="36"/>
      <c r="GK13" s="4"/>
      <c r="GM13" s="3" t="s">
        <v>1578</v>
      </c>
      <c r="GN13" s="6">
        <f>IF(AND(GN6=1,GN4=1),GN14,0)</f>
        <v>0</v>
      </c>
      <c r="GO13" s="6">
        <f>IF(AND(GO6=1,GO4=1),GN14,0)</f>
        <v>0</v>
      </c>
      <c r="GP13" s="6">
        <f>IF(AND(GP6=1,GP4=1),GN14,0)</f>
        <v>0</v>
      </c>
      <c r="GQ13" s="6">
        <f>IF(AND(GQ6=1,GQ4=1),GN14,0)</f>
        <v>0</v>
      </c>
      <c r="GR13" s="6">
        <f>IF(AND(GR6=1,GR4=1),GN14,0)</f>
        <v>0</v>
      </c>
      <c r="GS13" s="6">
        <f>IF(AND(GS6=1,GS4=1),GN14,0)</f>
        <v>0</v>
      </c>
      <c r="GT13" s="6">
        <f>IF(AND(GT6=1,GT4=1),GN14,0)</f>
        <v>0</v>
      </c>
      <c r="GU13" s="6">
        <f>IF(AND(GU6=1,GU4=1),GN14,0)</f>
        <v>0</v>
      </c>
      <c r="GV13" s="6">
        <f>IF(AND(GV6=1,GV4=1),GN14,0)</f>
        <v>0</v>
      </c>
      <c r="GW13" s="6"/>
      <c r="GX13" s="6"/>
      <c r="GY13" s="6"/>
      <c r="GZ13" s="37"/>
      <c r="HA13" s="6"/>
      <c r="HB13" s="6"/>
      <c r="HC13" s="3" t="s">
        <v>1576</v>
      </c>
      <c r="HD13" s="6">
        <f>IF(AND(HD6=1,HD4=1),HD14,0)</f>
        <v>0</v>
      </c>
      <c r="HE13" s="6">
        <f>IF(AND(HE6=1,HE4=1),HD14,0)</f>
        <v>0</v>
      </c>
      <c r="HF13" s="6">
        <f>IF(AND(HF6=1,HF4=1),HD14,0)</f>
        <v>0</v>
      </c>
      <c r="HG13" s="6">
        <f>IF(AND(HG6=1,HG4=1),HD14,0)</f>
        <v>0</v>
      </c>
      <c r="HH13" s="6">
        <f>IF(AND(HH6=1,HH4=1),HD14,0)</f>
        <v>0</v>
      </c>
      <c r="HI13" s="6">
        <f>IF(AND(HI6=1,HI4=1),HD14,0)</f>
        <v>0</v>
      </c>
      <c r="HJ13" s="6">
        <f>IF(AND(HJ6=1,HJ4=1),HD14,0)</f>
        <v>0</v>
      </c>
      <c r="HK13" s="6">
        <f>IF(AND(HK6=1,HK4=1),HD14,0)</f>
        <v>0</v>
      </c>
      <c r="HL13" s="6">
        <f>IF(AND(HL6=1,HL4=1),HD14,0)</f>
        <v>0</v>
      </c>
      <c r="HM13" s="6"/>
      <c r="HN13" s="6"/>
      <c r="HO13" s="6"/>
      <c r="HP13" s="37"/>
      <c r="HQ13" s="6"/>
      <c r="HR13" s="6"/>
      <c r="HS13" s="3" t="s">
        <v>1574</v>
      </c>
      <c r="HT13" s="6">
        <f>IF(AND(HT6=1,HT4=1),HT14,0)</f>
        <v>0</v>
      </c>
      <c r="HU13" s="6">
        <f>IF(AND(HU6=1,HU4=1),HT14,0)</f>
        <v>0</v>
      </c>
      <c r="HV13" s="6">
        <f>IF(AND(HV6=1,HV4=1),HT14,0)</f>
        <v>0</v>
      </c>
      <c r="HW13" s="6">
        <f>IF(AND(HW6=1,HW4=1),HT14,0)</f>
        <v>0</v>
      </c>
      <c r="HX13" s="6">
        <f>IF(AND(HX6=1,HX4=1),HT14,0)</f>
        <v>0</v>
      </c>
      <c r="HY13" s="6">
        <f>IF(AND(HY6=1,HY4=1),HT14,0)</f>
        <v>0</v>
      </c>
      <c r="HZ13" s="6">
        <f>IF(AND(HZ6=1,HZ4=1),HT14,0)</f>
        <v>0</v>
      </c>
      <c r="IA13" s="6">
        <f>IF(AND(IA6=1,IA4=1),HT14,0)</f>
        <v>0</v>
      </c>
      <c r="IB13" s="6">
        <f>IF(AND(IB6=1,IB4=1),HT14,0)</f>
        <v>0</v>
      </c>
      <c r="IC13" s="4"/>
      <c r="ID13" s="4"/>
      <c r="IE13" s="4"/>
      <c r="IF13" s="36"/>
      <c r="IG13" s="4"/>
      <c r="II13" s="3" t="s">
        <v>1572</v>
      </c>
      <c r="IJ13" s="6">
        <f>IF(AND(IJ6=1,IJ4=1),IJ14,0)</f>
        <v>0</v>
      </c>
      <c r="IK13" s="6">
        <f>IF(AND(IK6=1,IK4=1),IJ14,0)</f>
        <v>0</v>
      </c>
      <c r="IL13" s="6">
        <f>IF(AND(IL6=1,IL4=1),IJ14,0)</f>
        <v>0</v>
      </c>
      <c r="IM13" s="6">
        <f>IF(AND(IM6=1,IM4=1),IJ14,0)</f>
        <v>0</v>
      </c>
      <c r="IN13" s="6">
        <f>IF(AND(IN6=1,IN4=1),IJ14,0)</f>
        <v>0</v>
      </c>
      <c r="IO13" s="6">
        <f>IF(AND(IO6=1,IO4=1),IJ14,0)</f>
        <v>0</v>
      </c>
      <c r="IP13" s="6">
        <f>IF(AND(IP6=1,IP4=1),IJ14,0)</f>
        <v>0</v>
      </c>
      <c r="IQ13" s="6">
        <f>IF(AND(IQ6=1,IQ4=1),IJ14,0)</f>
        <v>0</v>
      </c>
      <c r="IR13" s="6">
        <f>IF(AND(IR6=1,IR4=1),IJ14,0)</f>
        <v>0</v>
      </c>
      <c r="IS13" s="4"/>
      <c r="IT13" s="4"/>
      <c r="IU13" s="4"/>
      <c r="IV13" s="36"/>
      <c r="IW13" s="4"/>
      <c r="IY13" s="3" t="s">
        <v>1570</v>
      </c>
      <c r="IZ13" s="6">
        <f>IF(AND(IZ6=1,IZ4=1),IZ14,0)</f>
        <v>0</v>
      </c>
      <c r="JA13" s="6">
        <f>IF(AND(JA6=1,JA4=1),IZ14,0)</f>
        <v>0</v>
      </c>
      <c r="JB13" s="6">
        <f>IF(AND(JB6=1,JB4=1),IZ14,0)</f>
        <v>0</v>
      </c>
      <c r="JC13" s="6">
        <f>IF(AND(JC6=1,JC4=1),IZ14,0)</f>
        <v>0</v>
      </c>
      <c r="JD13" s="6">
        <f>IF(AND(JD6=1,JD4=1),IZ14,0)</f>
        <v>0</v>
      </c>
      <c r="JE13" s="6">
        <f>IF(AND(JE6=1,JE4=1),IZ14,0)</f>
        <v>0</v>
      </c>
      <c r="JF13" s="6">
        <f>IF(AND(JF6=1,JF4=1),IZ14,0)</f>
        <v>0</v>
      </c>
      <c r="JG13" s="6">
        <f>IF(AND(JG6=1,JG4=1),IZ14,0)</f>
        <v>0</v>
      </c>
      <c r="JH13" s="6">
        <f>IF(AND(JH6=1,JH4=1),IZ14,0)</f>
        <v>0</v>
      </c>
      <c r="JI13" s="4"/>
      <c r="JJ13" s="4"/>
      <c r="JK13" s="4"/>
      <c r="JL13" s="36"/>
      <c r="JM13" s="4"/>
      <c r="JO13" s="3" t="s">
        <v>1568</v>
      </c>
      <c r="JP13" s="6">
        <f>IF(AND(JP6=1,JP4=1),JP14,0)</f>
        <v>0</v>
      </c>
      <c r="JQ13" s="6">
        <f>IF(AND(JQ6=1,JQ4=1),JP14,0)</f>
        <v>0</v>
      </c>
      <c r="JR13" s="6">
        <f>IF(AND(JR6=1,JR4=1),JP14,0)</f>
        <v>0</v>
      </c>
      <c r="JS13" s="6">
        <f>IF(AND(JS6=1,JS4=1),JP14,0)</f>
        <v>0</v>
      </c>
      <c r="JT13" s="6">
        <f>IF(AND(JT6=1,JT4=1),JP14,0)</f>
        <v>0</v>
      </c>
      <c r="JU13" s="6">
        <f>IF(AND(JU6=1,JU4=1),JP14,0)</f>
        <v>0</v>
      </c>
      <c r="JV13" s="6">
        <f>IF(AND(JV6=1,JV4=1),JP14,0)</f>
        <v>0</v>
      </c>
      <c r="JW13" s="6">
        <f>IF(AND(JW6=1,JW4=1),JP14,0)</f>
        <v>0</v>
      </c>
      <c r="JX13" s="6">
        <f>IF(AND(JX6=1,JX4=1),JP14,0)</f>
        <v>0</v>
      </c>
      <c r="JY13" s="4"/>
      <c r="JZ13" s="4"/>
      <c r="KA13" s="4"/>
      <c r="KB13" s="36"/>
      <c r="KC13" s="4"/>
      <c r="KE13" s="3" t="s">
        <v>1566</v>
      </c>
      <c r="KF13" s="6">
        <f>IF(AND(KF6=1,KF4=1),KF14,0)</f>
        <v>0</v>
      </c>
      <c r="KG13" s="6">
        <f>IF(AND(KG6=1,KG4=1),KF14,0)</f>
        <v>0</v>
      </c>
      <c r="KH13" s="6">
        <f>IF(AND(KH6=1,KH4=1),KF14,0)</f>
        <v>0</v>
      </c>
      <c r="KI13" s="6">
        <f>IF(AND(KI6=1,KI4=1),KF14,0)</f>
        <v>0</v>
      </c>
      <c r="KJ13" s="6">
        <f>IF(AND(KJ6=1,KJ4=1),KF14,0)</f>
        <v>0</v>
      </c>
      <c r="KK13" s="6">
        <f>IF(AND(KK6=1,KK4=1),KF14,0)</f>
        <v>0</v>
      </c>
      <c r="KL13" s="6">
        <f>IF(AND(KL6=1,KL4=1),KF14,0)</f>
        <v>0</v>
      </c>
      <c r="KM13" s="6">
        <f>IF(AND(KM6=1,KM4=1),KF14,0)</f>
        <v>0</v>
      </c>
      <c r="KN13" s="6">
        <f>IF(AND(KN6=1,KN4=1),KF14,0)</f>
        <v>0</v>
      </c>
      <c r="KO13" s="4"/>
      <c r="KP13" s="4"/>
      <c r="KQ13" s="4"/>
      <c r="KR13" s="36"/>
      <c r="KS13" s="4"/>
      <c r="KU13" s="3" t="s">
        <v>1564</v>
      </c>
      <c r="KV13" s="6">
        <f>IF(AND(KV6=1,KV4=1),KV14,0)</f>
        <v>0</v>
      </c>
      <c r="KW13" s="6">
        <f>IF(AND(KW6=1,KW4=1),KV14,0)</f>
        <v>0</v>
      </c>
      <c r="KX13" s="6">
        <f>IF(AND(KX6=1,KX4=1),KV14,0)</f>
        <v>0</v>
      </c>
      <c r="KY13" s="6">
        <f>IF(AND(KY6=1,KY4=1),KV14,0)</f>
        <v>0</v>
      </c>
      <c r="KZ13" s="6">
        <f>IF(AND(KZ6=1,KZ4=1),KV14,0)</f>
        <v>0</v>
      </c>
      <c r="LA13" s="6">
        <f>IF(AND(LA6=1,LA4=1),KV14,0)</f>
        <v>0</v>
      </c>
      <c r="LB13" s="6">
        <f>IF(AND(LB6=1,LB4=1),KV14,0)</f>
        <v>0</v>
      </c>
      <c r="LC13" s="6">
        <f>IF(AND(LC6=1,LC4=1),KV14,0)</f>
        <v>0</v>
      </c>
      <c r="LD13" s="6">
        <f>IF(AND(LD6=1,LD4=1),KV14,0)</f>
        <v>0</v>
      </c>
      <c r="LE13" s="4"/>
      <c r="LF13" s="4"/>
      <c r="LG13" s="4"/>
      <c r="LH13" s="36"/>
      <c r="LI13" s="4"/>
      <c r="LK13" s="3" t="s">
        <v>1562</v>
      </c>
      <c r="LL13" s="6">
        <f>IF(AND(LL6=1,LL4=1),LL14,0)</f>
        <v>0</v>
      </c>
      <c r="LM13" s="6">
        <f>IF(AND(LM6=1,LM4=1),LL14,0)</f>
        <v>0</v>
      </c>
      <c r="LN13" s="6">
        <f>IF(AND(LN6=1,LN4=1),LL14,0)</f>
        <v>0</v>
      </c>
      <c r="LO13" s="6">
        <f>IF(AND(LO6=1,LO4=1),LL14,0)</f>
        <v>0</v>
      </c>
      <c r="LP13" s="6">
        <f>IF(AND(LP6=1,LP4=1),LL14,0)</f>
        <v>0</v>
      </c>
      <c r="LQ13" s="6">
        <f>IF(AND(LQ6=1,LQ4=1),LL14,0)</f>
        <v>0</v>
      </c>
      <c r="LR13" s="6">
        <f>IF(AND(LR6=1,LR4=1),LL14,0)</f>
        <v>0</v>
      </c>
      <c r="LS13" s="6">
        <f>IF(AND(LS6=1,LS4=1),LL14,0)</f>
        <v>0</v>
      </c>
      <c r="LT13" s="6">
        <f>IF(AND(LT6=1,LT4=1),LL14,0)</f>
        <v>0</v>
      </c>
      <c r="LU13" s="4"/>
      <c r="LV13" s="4"/>
      <c r="LW13" s="4"/>
      <c r="LX13" s="36"/>
      <c r="LY13" s="4"/>
      <c r="MA13" s="3" t="s">
        <v>1560</v>
      </c>
      <c r="MB13" s="6">
        <f>IF(AND(MB6=1,MB4=1),MB14,0)</f>
        <v>0</v>
      </c>
      <c r="MC13" s="6">
        <f>IF(AND(MC6=1,MC4=1),MB14,0)</f>
        <v>0</v>
      </c>
      <c r="MD13" s="6">
        <f>IF(AND(MD6=1,MD4=1),MB14,0)</f>
        <v>0</v>
      </c>
      <c r="ME13" s="6">
        <f>IF(AND(ME6=1,ME4=1),MB14,0)</f>
        <v>0</v>
      </c>
      <c r="MF13" s="6">
        <f>IF(AND(MF6=1,MF4=1),MB14,0)</f>
        <v>0</v>
      </c>
      <c r="MG13" s="6">
        <f>IF(AND(MG6=1,MG4=1),MB14,0)</f>
        <v>0</v>
      </c>
      <c r="MH13" s="6">
        <f>IF(AND(MH6=1,MH4=1),MB14,0)</f>
        <v>0</v>
      </c>
      <c r="MI13" s="6">
        <f>IF(AND(MI6=1,MI4=1),MB14,0)</f>
        <v>0</v>
      </c>
      <c r="MJ13" s="6">
        <f>IF(AND(MJ6=1,MJ4=1),MB14,0)</f>
        <v>0</v>
      </c>
      <c r="MK13" s="4"/>
      <c r="ML13" s="4"/>
      <c r="MM13" s="4"/>
      <c r="MN13" s="36"/>
      <c r="MO13" s="4"/>
      <c r="MQ13" s="3" t="s">
        <v>1558</v>
      </c>
      <c r="MR13" s="6">
        <f>IF(AND(MR6=1,MR4=1),MR14,0)</f>
        <v>0</v>
      </c>
      <c r="MS13" s="6">
        <f>IF(AND(MS6=1,MS4=1),MR14,0)</f>
        <v>0</v>
      </c>
      <c r="MT13" s="6">
        <f>IF(AND(MT6=1,MT4=1),MR14,0)</f>
        <v>0</v>
      </c>
      <c r="MU13" s="6">
        <f>IF(AND(MU6=1,MU4=1),MR14,0)</f>
        <v>0</v>
      </c>
      <c r="MV13" s="6">
        <f>IF(AND(MV6=1,MV4=1),MR14,0)</f>
        <v>0</v>
      </c>
      <c r="MW13" s="6">
        <f>IF(AND(MW6=1,MW4=1),MR14,0)</f>
        <v>0</v>
      </c>
      <c r="MX13" s="6">
        <f>IF(AND(MX6=1,MX4=1),MR14,0)</f>
        <v>0</v>
      </c>
      <c r="MY13" s="6">
        <f>IF(AND(MY6=1,MY4=1),MR14,0)</f>
        <v>0</v>
      </c>
      <c r="MZ13" s="6">
        <f>IF(AND(MZ6=1,MZ4=1),MR14,0)</f>
        <v>0</v>
      </c>
      <c r="NA13" s="4"/>
      <c r="NB13" s="4"/>
      <c r="NC13" s="4"/>
      <c r="ND13" s="36"/>
      <c r="NE13" s="4"/>
      <c r="NG13" s="3" t="s">
        <v>1556</v>
      </c>
      <c r="NH13" s="6">
        <f>IF(AND(NH6=1,NH4=1),NH14,0)</f>
        <v>0</v>
      </c>
      <c r="NI13" s="6">
        <f>IF(AND(NI6=1,NI4=1),NH14,0)</f>
        <v>0</v>
      </c>
      <c r="NJ13" s="6">
        <f>IF(AND(NJ6=1,NJ4=1),NH14,0)</f>
        <v>0</v>
      </c>
      <c r="NK13" s="6">
        <f>IF(AND(NK6=1,NK4=1),NH14,0)</f>
        <v>0</v>
      </c>
      <c r="NL13" s="6">
        <f>IF(AND(NL6=1,NL4=1),NH14,0)</f>
        <v>0</v>
      </c>
      <c r="NM13" s="6">
        <f>IF(AND(NM6=1,NM4=1),NH14,0)</f>
        <v>0</v>
      </c>
      <c r="NN13" s="6">
        <f>IF(AND(NN6=1,NN4=1),NH14,0)</f>
        <v>0</v>
      </c>
      <c r="NO13" s="6">
        <f>IF(AND(NO6=1,NO4=1),NH14,0)</f>
        <v>0</v>
      </c>
      <c r="NP13" s="6">
        <f>IF(AND(NP6=1,NP4=1),NH14,0)</f>
        <v>0</v>
      </c>
      <c r="NQ13" s="4"/>
      <c r="NR13" s="4"/>
      <c r="NS13" s="4"/>
      <c r="NT13" s="36"/>
      <c r="NU13" s="4"/>
      <c r="NW13" s="3" t="s">
        <v>1554</v>
      </c>
      <c r="NX13" s="6">
        <f>IF(AND(NX6=1,NX4=1),NX14,0)</f>
        <v>0</v>
      </c>
      <c r="NY13" s="6">
        <f>IF(AND(NY6=1,NY4=1),NX14,0)</f>
        <v>0</v>
      </c>
      <c r="NZ13" s="6">
        <f>IF(AND(NZ6=1,NZ4=1),NX14,0)</f>
        <v>0</v>
      </c>
      <c r="OA13" s="6">
        <f>IF(AND(OA6=1,OA4=1),NX14,0)</f>
        <v>0</v>
      </c>
      <c r="OB13" s="6">
        <f>IF(AND(OB6=1,OB4=1),NX14,0)</f>
        <v>0</v>
      </c>
      <c r="OC13" s="6">
        <f>IF(AND(OC6=1,OC4=1),NX14,0)</f>
        <v>0</v>
      </c>
      <c r="OD13" s="6">
        <f>IF(AND(OD6=1,OD4=1),NX14,0)</f>
        <v>0</v>
      </c>
      <c r="OE13" s="6">
        <f>IF(AND(OE6=1,OE4=1),NX14,0)</f>
        <v>0</v>
      </c>
      <c r="OF13" s="6">
        <f>IF(AND(OF6=1,OF4=1),NX14,0)</f>
        <v>0</v>
      </c>
      <c r="OG13" s="4"/>
      <c r="OH13" s="4"/>
      <c r="OJ13" s="36"/>
      <c r="OL13" s="8"/>
      <c r="OM13" s="4"/>
      <c r="ON13" s="4"/>
      <c r="OO13" s="4"/>
      <c r="OP13" s="4"/>
      <c r="OQ13" s="4"/>
      <c r="OR13" s="4"/>
      <c r="OS13" s="4"/>
      <c r="OT13" s="4"/>
      <c r="OU13" s="4"/>
      <c r="OV13" s="4"/>
      <c r="OY13" s="3"/>
      <c r="OZ13" s="8"/>
      <c r="PA13" s="4"/>
      <c r="PB13" s="4"/>
      <c r="PC13" s="4"/>
      <c r="PD13" s="4"/>
      <c r="PE13" s="4"/>
      <c r="PF13" s="4"/>
      <c r="PG13" s="4"/>
      <c r="PH13" s="4"/>
      <c r="PI13" s="4"/>
      <c r="PJ13" s="4"/>
      <c r="PM13" s="3"/>
      <c r="PN13" s="8"/>
      <c r="PO13" s="4"/>
      <c r="PP13" s="4"/>
      <c r="PQ13" s="4"/>
      <c r="PR13" s="4"/>
      <c r="PS13" s="4"/>
      <c r="PT13" s="4"/>
      <c r="PU13" s="4"/>
      <c r="PV13" s="4"/>
      <c r="PW13" s="4"/>
      <c r="PX13" s="4"/>
      <c r="QA13" s="3"/>
      <c r="QB13" s="8"/>
      <c r="QC13" s="4"/>
      <c r="QD13" s="4"/>
      <c r="QE13" s="4"/>
      <c r="QF13" s="4"/>
      <c r="QG13" s="4"/>
      <c r="QH13" s="4"/>
      <c r="QI13" s="4"/>
      <c r="QJ13" s="4"/>
      <c r="QK13" s="4"/>
      <c r="QL13" s="4"/>
      <c r="QO13" s="3"/>
      <c r="QP13" s="8"/>
      <c r="QQ13" s="4"/>
      <c r="QR13" s="4"/>
      <c r="QS13" s="4"/>
      <c r="QT13" s="4"/>
      <c r="QU13" s="4"/>
      <c r="QV13" s="4"/>
      <c r="QW13" s="4"/>
      <c r="QX13" s="4"/>
      <c r="QY13" s="4"/>
      <c r="QZ13" s="4"/>
      <c r="RC13" s="3"/>
      <c r="RD13" s="8"/>
      <c r="RE13" s="4"/>
      <c r="RF13" s="4"/>
      <c r="RG13" s="4"/>
      <c r="RH13" s="4"/>
      <c r="RI13" s="4"/>
      <c r="RJ13" s="4"/>
      <c r="RK13" s="4"/>
      <c r="RL13" s="4"/>
      <c r="RQ13" s="3"/>
      <c r="RR13" s="8"/>
      <c r="RS13" s="4"/>
      <c r="RT13" s="4"/>
      <c r="RU13" s="4"/>
      <c r="RV13" s="4"/>
      <c r="RW13" s="4"/>
      <c r="RX13" s="4"/>
      <c r="RY13" s="4"/>
      <c r="RZ13" s="4"/>
      <c r="SE13" s="3"/>
      <c r="SF13" s="8"/>
      <c r="SG13" s="4"/>
      <c r="SH13" s="4"/>
      <c r="SI13" s="4"/>
      <c r="SJ13" s="4"/>
      <c r="SK13" s="4"/>
      <c r="SL13" s="4"/>
      <c r="SM13" s="4"/>
      <c r="SN13" s="4"/>
    </row>
    <row r="14" spans="1:508" x14ac:dyDescent="0.2">
      <c r="A14" s="3" t="s">
        <v>1391</v>
      </c>
      <c r="O14" s="3"/>
      <c r="P14" s="6"/>
      <c r="Q14" s="4"/>
      <c r="R14" s="4"/>
      <c r="S14" s="4"/>
      <c r="T14" s="4"/>
      <c r="U14" s="4"/>
      <c r="V14" s="4"/>
      <c r="W14" s="4"/>
      <c r="X14" s="4"/>
      <c r="Y14" s="4"/>
      <c r="Z14" s="4"/>
      <c r="AG14" s="3"/>
      <c r="AH14" s="6"/>
      <c r="AI14" s="6"/>
      <c r="AJ14" s="6"/>
      <c r="AK14" s="6"/>
      <c r="AL14" s="6"/>
      <c r="AM14" s="6"/>
      <c r="AN14" s="6"/>
      <c r="AO14" s="6"/>
      <c r="AP14" s="6"/>
      <c r="AQ14" s="4"/>
      <c r="AR14" s="4"/>
      <c r="AY14" s="3" t="s">
        <v>1398</v>
      </c>
      <c r="AZ14" s="6">
        <f>AZ12/5</f>
        <v>4000000</v>
      </c>
      <c r="BA14" s="6"/>
      <c r="BB14" s="6"/>
      <c r="BC14" s="6"/>
      <c r="BD14" s="6"/>
      <c r="BE14" s="6"/>
      <c r="BF14" s="6"/>
      <c r="BG14" s="6"/>
      <c r="BH14" s="6"/>
      <c r="BI14" s="4"/>
      <c r="BJ14" s="4"/>
      <c r="BL14" s="36"/>
      <c r="BO14" s="3" t="s">
        <v>1400</v>
      </c>
      <c r="BP14" s="6">
        <f>BP12/5</f>
        <v>4000000</v>
      </c>
      <c r="BQ14" s="4"/>
      <c r="BR14" s="4"/>
      <c r="BS14" s="4"/>
      <c r="BT14" s="4"/>
      <c r="BU14" s="4"/>
      <c r="BV14" s="4"/>
      <c r="BW14" s="4"/>
      <c r="BX14" s="4"/>
      <c r="BY14" s="4"/>
      <c r="BZ14" s="4"/>
      <c r="CB14" s="36"/>
      <c r="CE14" s="3" t="s">
        <v>1402</v>
      </c>
      <c r="CF14" s="6">
        <f>CF12/5</f>
        <v>8000000</v>
      </c>
      <c r="CG14" s="4"/>
      <c r="CH14" s="4"/>
      <c r="CI14" s="4"/>
      <c r="CJ14" s="4"/>
      <c r="CK14" s="4"/>
      <c r="CL14" s="4"/>
      <c r="CM14" s="4"/>
      <c r="CN14" s="4"/>
      <c r="CO14" s="4"/>
      <c r="CP14" s="4"/>
      <c r="CR14" s="36"/>
      <c r="CU14" s="3" t="s">
        <v>1404</v>
      </c>
      <c r="CV14" s="6">
        <f>CV12/5</f>
        <v>4000000</v>
      </c>
      <c r="CW14" s="4"/>
      <c r="CX14" s="4"/>
      <c r="CY14" s="4"/>
      <c r="CZ14" s="4"/>
      <c r="DA14" s="4"/>
      <c r="DB14" s="4"/>
      <c r="DC14" s="4"/>
      <c r="DD14" s="4"/>
      <c r="DE14" s="4"/>
      <c r="DF14" s="4"/>
      <c r="DH14" s="36"/>
      <c r="DK14" s="3" t="s">
        <v>1406</v>
      </c>
      <c r="DL14" s="6">
        <f>DL12/5</f>
        <v>4000000</v>
      </c>
      <c r="DM14" s="4"/>
      <c r="DN14" s="4"/>
      <c r="DO14" s="4"/>
      <c r="DP14" s="4"/>
      <c r="DQ14" s="4"/>
      <c r="DR14" s="4"/>
      <c r="DS14" s="4"/>
      <c r="DT14" s="4"/>
      <c r="DU14" s="4"/>
      <c r="DV14" s="4"/>
      <c r="DX14" s="36"/>
      <c r="EA14" s="3" t="s">
        <v>1396</v>
      </c>
      <c r="EB14" s="6">
        <f>EB12/5</f>
        <v>8000000</v>
      </c>
      <c r="EC14" s="4"/>
      <c r="ED14" s="4"/>
      <c r="EE14" s="4"/>
      <c r="EF14" s="4"/>
      <c r="EG14" s="4"/>
      <c r="EH14" s="4"/>
      <c r="EI14" s="4"/>
      <c r="EJ14" s="4"/>
      <c r="EK14" s="4"/>
      <c r="EL14" s="4"/>
      <c r="EN14" s="36"/>
      <c r="EQ14" s="3" t="s">
        <v>1394</v>
      </c>
      <c r="ER14" s="6">
        <f>ER12/5</f>
        <v>8000000</v>
      </c>
      <c r="ES14" s="4"/>
      <c r="ET14" s="4"/>
      <c r="EU14" s="4"/>
      <c r="EV14" s="4"/>
      <c r="EW14" s="4"/>
      <c r="EX14" s="4"/>
      <c r="EY14" s="4"/>
      <c r="EZ14" s="6"/>
      <c r="FA14" s="4"/>
      <c r="FB14" s="6"/>
      <c r="FD14" s="37"/>
      <c r="FG14" s="3" t="s">
        <v>1553</v>
      </c>
      <c r="FH14" s="6">
        <f>FH12/5</f>
        <v>2000000</v>
      </c>
      <c r="FI14" s="4"/>
      <c r="FJ14" s="4"/>
      <c r="FK14" s="4"/>
      <c r="FL14" s="4"/>
      <c r="FM14" s="4"/>
      <c r="FN14" s="4"/>
      <c r="FO14" s="4"/>
      <c r="FP14" s="6"/>
      <c r="FQ14" s="4"/>
      <c r="FR14" s="6"/>
      <c r="FT14" s="37"/>
      <c r="FW14" s="3" t="s">
        <v>1551</v>
      </c>
      <c r="FX14" s="6">
        <f>FX12/5</f>
        <v>8000000</v>
      </c>
      <c r="FY14" s="4"/>
      <c r="FZ14" s="4"/>
      <c r="GA14" s="4"/>
      <c r="GB14" s="4"/>
      <c r="GC14" s="4"/>
      <c r="GD14" s="4"/>
      <c r="GE14" s="4"/>
      <c r="GF14" s="6"/>
      <c r="GG14" s="4"/>
      <c r="GH14" s="4"/>
      <c r="GI14" s="4"/>
      <c r="GJ14" s="36"/>
      <c r="GK14" s="4"/>
      <c r="GM14" s="3" t="s">
        <v>1579</v>
      </c>
      <c r="GN14" s="6">
        <f>GN12/5</f>
        <v>4000000</v>
      </c>
      <c r="GO14" s="4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37"/>
      <c r="HA14" s="6"/>
      <c r="HB14" s="6"/>
      <c r="HC14" s="3" t="s">
        <v>1577</v>
      </c>
      <c r="HD14" s="6">
        <f>HD12/5</f>
        <v>4000000</v>
      </c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37"/>
      <c r="HQ14" s="6"/>
      <c r="HR14" s="6"/>
      <c r="HS14" s="3" t="s">
        <v>1575</v>
      </c>
      <c r="HT14" s="6">
        <f>HT12/5</f>
        <v>4000000</v>
      </c>
      <c r="HU14" s="6"/>
      <c r="HV14" s="6"/>
      <c r="HW14" s="4"/>
      <c r="HX14" s="4"/>
      <c r="HY14" s="4"/>
      <c r="HZ14" s="4"/>
      <c r="IA14" s="4"/>
      <c r="IB14" s="4"/>
      <c r="IC14" s="4"/>
      <c r="ID14" s="4"/>
      <c r="IE14" s="4"/>
      <c r="IF14" s="36"/>
      <c r="IG14" s="4"/>
      <c r="II14" s="3" t="s">
        <v>1573</v>
      </c>
      <c r="IJ14" s="6">
        <f>IJ12/5</f>
        <v>4000000</v>
      </c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36"/>
      <c r="IW14" s="4"/>
      <c r="IY14" s="3" t="s">
        <v>1571</v>
      </c>
      <c r="IZ14" s="6">
        <f>IZ12/5</f>
        <v>4000000</v>
      </c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36"/>
      <c r="JM14" s="4"/>
      <c r="JO14" s="3" t="s">
        <v>1569</v>
      </c>
      <c r="JP14" s="6">
        <f>JP12/5</f>
        <v>4000000</v>
      </c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36"/>
      <c r="KC14" s="4"/>
      <c r="KE14" s="3" t="s">
        <v>1567</v>
      </c>
      <c r="KF14" s="6">
        <f>KF12/5</f>
        <v>4000000</v>
      </c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36"/>
      <c r="KS14" s="4"/>
      <c r="KU14" s="3" t="s">
        <v>1565</v>
      </c>
      <c r="KV14" s="6">
        <f>KV12/5</f>
        <v>4000000</v>
      </c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36"/>
      <c r="LI14" s="4"/>
      <c r="LK14" s="3" t="s">
        <v>1563</v>
      </c>
      <c r="LL14" s="6">
        <f>LL12/5</f>
        <v>4000000</v>
      </c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36"/>
      <c r="LY14" s="4"/>
      <c r="MA14" s="3" t="s">
        <v>1561</v>
      </c>
      <c r="MB14" s="6">
        <f>MB12/5</f>
        <v>4000000</v>
      </c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36"/>
      <c r="MO14" s="4"/>
      <c r="MQ14" s="3" t="s">
        <v>1559</v>
      </c>
      <c r="MR14" s="6">
        <f>MR12/5</f>
        <v>4000000</v>
      </c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36"/>
      <c r="NE14" s="4"/>
      <c r="NG14" s="3" t="s">
        <v>1557</v>
      </c>
      <c r="NH14" s="6">
        <f>NH12/5</f>
        <v>4000000</v>
      </c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36"/>
      <c r="NU14" s="4"/>
      <c r="NW14" s="3" t="s">
        <v>1555</v>
      </c>
      <c r="NX14" s="6">
        <f>NX12/5</f>
        <v>4000000</v>
      </c>
      <c r="NY14" s="4"/>
      <c r="NZ14" s="4"/>
      <c r="OA14" s="4"/>
      <c r="OB14" s="4"/>
      <c r="OC14" s="4"/>
      <c r="OD14" s="4"/>
      <c r="OE14" s="4"/>
      <c r="OF14" s="4"/>
      <c r="OG14" s="4"/>
      <c r="OH14" s="4"/>
      <c r="OJ14" s="36"/>
      <c r="OL14" s="8"/>
      <c r="OM14" s="4"/>
      <c r="ON14" s="4"/>
      <c r="OO14" s="4"/>
      <c r="OP14" s="4"/>
      <c r="OQ14" s="4"/>
      <c r="OR14" s="4"/>
      <c r="OS14" s="4"/>
      <c r="OT14" s="4"/>
      <c r="OU14" s="4"/>
      <c r="OV14" s="4"/>
      <c r="OY14" s="3"/>
      <c r="OZ14" s="8"/>
      <c r="PA14" s="4"/>
      <c r="PB14" s="4"/>
      <c r="PC14" s="4"/>
      <c r="PD14" s="4"/>
      <c r="PE14" s="4"/>
      <c r="PF14" s="4"/>
      <c r="PG14" s="4"/>
      <c r="PH14" s="4"/>
      <c r="PI14" s="4"/>
      <c r="PJ14" s="4"/>
      <c r="PM14" s="3"/>
      <c r="PN14" s="8"/>
      <c r="PO14" s="4"/>
      <c r="PP14" s="4"/>
      <c r="PQ14" s="4"/>
      <c r="PR14" s="4"/>
      <c r="PS14" s="4"/>
      <c r="PT14" s="4"/>
      <c r="PU14" s="4"/>
      <c r="PV14" s="4"/>
      <c r="PW14" s="4"/>
      <c r="PX14" s="4"/>
      <c r="QA14" s="3"/>
      <c r="QB14" s="8"/>
      <c r="QC14" s="4"/>
      <c r="QD14" s="4"/>
      <c r="QE14" s="4"/>
      <c r="QF14" s="4"/>
      <c r="QG14" s="4"/>
      <c r="QH14" s="4"/>
      <c r="QI14" s="4"/>
      <c r="QJ14" s="4"/>
      <c r="QK14" s="4"/>
      <c r="QL14" s="4"/>
      <c r="QO14" s="3"/>
      <c r="QP14" s="8"/>
      <c r="QQ14" s="4"/>
      <c r="QR14" s="4"/>
      <c r="QS14" s="4"/>
      <c r="QT14" s="4"/>
      <c r="QU14" s="4"/>
      <c r="QV14" s="4"/>
      <c r="QW14" s="4"/>
      <c r="QX14" s="4"/>
      <c r="QY14" s="4"/>
      <c r="QZ14" s="4"/>
      <c r="RC14" s="3"/>
      <c r="RD14" s="8"/>
      <c r="RE14" s="4"/>
      <c r="RF14" s="4"/>
      <c r="RG14" s="4"/>
      <c r="RH14" s="4"/>
      <c r="RI14" s="4"/>
      <c r="RJ14" s="4"/>
      <c r="RK14" s="4"/>
      <c r="RL14" s="4"/>
      <c r="RQ14" s="3"/>
      <c r="RR14" s="8"/>
      <c r="RS14" s="4"/>
      <c r="RT14" s="4"/>
      <c r="RU14" s="4"/>
      <c r="RV14" s="4"/>
      <c r="RW14" s="4"/>
      <c r="RX14" s="4"/>
      <c r="RY14" s="4"/>
      <c r="RZ14" s="4"/>
      <c r="SE14" s="3"/>
      <c r="SF14" s="8"/>
      <c r="SG14" s="4"/>
      <c r="SH14" s="4"/>
      <c r="SI14" s="4"/>
      <c r="SJ14" s="4"/>
      <c r="SK14" s="4"/>
      <c r="SL14" s="4"/>
      <c r="SM14" s="4"/>
      <c r="SN14" s="4"/>
    </row>
    <row r="15" spans="1:508" x14ac:dyDescent="0.2">
      <c r="A15" s="3" t="s">
        <v>1190</v>
      </c>
      <c r="O15" s="3"/>
      <c r="P15" s="7"/>
      <c r="AG15" s="3"/>
      <c r="AH15" s="7"/>
      <c r="AI15" s="7"/>
      <c r="AJ15" s="7"/>
      <c r="AK15" s="7"/>
      <c r="AL15" s="7"/>
      <c r="AM15" s="7"/>
      <c r="AN15" s="7"/>
      <c r="AO15" s="7"/>
      <c r="AP15" s="7"/>
      <c r="AY15" s="3" t="s">
        <v>1191</v>
      </c>
      <c r="AZ15" s="7" t="s">
        <v>6</v>
      </c>
      <c r="BA15" s="7"/>
      <c r="BB15" s="7"/>
      <c r="BC15" s="7"/>
      <c r="BD15" s="7"/>
      <c r="BE15" s="7"/>
      <c r="BF15" s="7"/>
      <c r="BG15" s="7"/>
      <c r="BH15" s="7"/>
      <c r="BL15" s="9"/>
      <c r="BO15" s="3" t="s">
        <v>1192</v>
      </c>
      <c r="BP15" s="7" t="s">
        <v>6</v>
      </c>
      <c r="CB15" s="9"/>
      <c r="CE15" s="3" t="s">
        <v>1193</v>
      </c>
      <c r="CF15" s="7" t="s">
        <v>6</v>
      </c>
      <c r="CR15" s="9"/>
      <c r="CU15" s="3" t="s">
        <v>1194</v>
      </c>
      <c r="CV15" s="7" t="s">
        <v>6</v>
      </c>
      <c r="DH15" s="9"/>
      <c r="DK15" s="3" t="s">
        <v>1195</v>
      </c>
      <c r="DL15" s="7" t="s">
        <v>6</v>
      </c>
      <c r="DX15" s="9"/>
      <c r="EA15" s="3" t="s">
        <v>1196</v>
      </c>
      <c r="EB15" s="7" t="s">
        <v>6</v>
      </c>
      <c r="EN15" s="9"/>
      <c r="EQ15" s="3" t="s">
        <v>1197</v>
      </c>
      <c r="ER15" s="7" t="s">
        <v>6</v>
      </c>
      <c r="EZ15" s="7"/>
      <c r="FB15" s="7"/>
      <c r="FD15" s="38"/>
      <c r="FG15" s="3" t="s">
        <v>1198</v>
      </c>
      <c r="FH15" s="7" t="s">
        <v>6</v>
      </c>
      <c r="FP15" s="7"/>
      <c r="FR15" s="7"/>
      <c r="FT15" s="38"/>
      <c r="FW15" s="3" t="s">
        <v>1199</v>
      </c>
      <c r="FX15" s="7" t="s">
        <v>6</v>
      </c>
      <c r="GF15" s="7"/>
      <c r="GJ15" s="9"/>
      <c r="GM15" s="3" t="s">
        <v>1200</v>
      </c>
      <c r="GN15" s="7" t="s">
        <v>6</v>
      </c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38"/>
      <c r="HA15" s="7"/>
      <c r="HB15" s="7"/>
      <c r="HC15" s="3" t="s">
        <v>1201</v>
      </c>
      <c r="HD15" s="7" t="s">
        <v>6</v>
      </c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38"/>
      <c r="HQ15" s="7"/>
      <c r="HR15" s="7"/>
      <c r="HS15" s="3" t="s">
        <v>1202</v>
      </c>
      <c r="HT15" s="7" t="s">
        <v>6</v>
      </c>
      <c r="HU15" s="7"/>
      <c r="HV15" s="7"/>
      <c r="IF15" s="9"/>
      <c r="II15" s="3" t="s">
        <v>1203</v>
      </c>
      <c r="IJ15" s="7" t="s">
        <v>6</v>
      </c>
      <c r="IV15" s="9"/>
      <c r="IY15" s="3" t="s">
        <v>1204</v>
      </c>
      <c r="IZ15" s="7" t="s">
        <v>6</v>
      </c>
      <c r="JL15" s="9"/>
      <c r="JO15" s="3" t="s">
        <v>1205</v>
      </c>
      <c r="JP15" s="7" t="s">
        <v>6</v>
      </c>
      <c r="KB15" s="9"/>
      <c r="KE15" s="3" t="s">
        <v>1206</v>
      </c>
      <c r="KF15" s="7" t="s">
        <v>6</v>
      </c>
      <c r="KR15" s="9"/>
      <c r="KU15" s="3" t="s">
        <v>1207</v>
      </c>
      <c r="KV15" s="7" t="s">
        <v>6</v>
      </c>
      <c r="LH15" s="9"/>
      <c r="LK15" s="3" t="s">
        <v>1208</v>
      </c>
      <c r="LL15" s="7" t="s">
        <v>6</v>
      </c>
      <c r="LX15" s="9"/>
      <c r="MA15" s="3" t="s">
        <v>1209</v>
      </c>
      <c r="MB15" s="7" t="s">
        <v>6</v>
      </c>
      <c r="MN15" s="9"/>
      <c r="MQ15" s="3" t="s">
        <v>1210</v>
      </c>
      <c r="MR15" s="7" t="s">
        <v>6</v>
      </c>
      <c r="ND15" s="9"/>
      <c r="NG15" s="3" t="s">
        <v>1211</v>
      </c>
      <c r="NH15" s="7" t="s">
        <v>6</v>
      </c>
      <c r="NT15" s="9"/>
      <c r="NW15" s="3" t="s">
        <v>1212</v>
      </c>
      <c r="NX15" s="7" t="s">
        <v>6</v>
      </c>
      <c r="OJ15" s="9"/>
      <c r="OL15" s="7"/>
      <c r="OY15" s="3"/>
      <c r="OZ15" s="7"/>
      <c r="PM15" s="3"/>
      <c r="PN15" s="7"/>
      <c r="QA15" s="3"/>
      <c r="QB15" s="7"/>
      <c r="QO15" s="3"/>
      <c r="QP15" s="7"/>
      <c r="RC15" s="3"/>
      <c r="RD15" s="7"/>
      <c r="RQ15" s="3"/>
      <c r="RR15" s="7"/>
      <c r="SE15" s="3"/>
      <c r="SF15" s="7"/>
    </row>
    <row r="16" spans="1:508" x14ac:dyDescent="0.2">
      <c r="A16" s="3" t="s">
        <v>1213</v>
      </c>
      <c r="O16" s="3"/>
      <c r="P16" s="7"/>
      <c r="AG16" s="3"/>
      <c r="AH16" s="7"/>
      <c r="AI16" s="7"/>
      <c r="AJ16" s="7"/>
      <c r="AK16" s="7"/>
      <c r="AL16" s="7"/>
      <c r="AM16" s="7"/>
      <c r="AN16" s="7"/>
      <c r="AO16" s="7"/>
      <c r="AP16" s="7"/>
      <c r="AY16" s="3" t="s">
        <v>1214</v>
      </c>
      <c r="AZ16" s="7" t="s">
        <v>6</v>
      </c>
      <c r="BA16" s="7"/>
      <c r="BB16" s="7"/>
      <c r="BC16" s="7"/>
      <c r="BD16" s="7"/>
      <c r="BE16" s="7"/>
      <c r="BF16" s="7"/>
      <c r="BG16" s="7"/>
      <c r="BH16" s="7"/>
      <c r="BL16" s="9"/>
      <c r="BO16" s="3" t="s">
        <v>1215</v>
      </c>
      <c r="BP16" s="7" t="s">
        <v>6</v>
      </c>
      <c r="CB16" s="9"/>
      <c r="CE16" s="3" t="s">
        <v>1216</v>
      </c>
      <c r="CF16" s="7" t="s">
        <v>6</v>
      </c>
      <c r="CR16" s="9"/>
      <c r="CU16" s="3" t="s">
        <v>1217</v>
      </c>
      <c r="CV16" s="7" t="s">
        <v>6</v>
      </c>
      <c r="DH16" s="9"/>
      <c r="DK16" s="3" t="s">
        <v>1218</v>
      </c>
      <c r="DL16" s="7" t="s">
        <v>6</v>
      </c>
      <c r="DX16" s="9"/>
      <c r="EA16" s="3" t="s">
        <v>1219</v>
      </c>
      <c r="EB16" s="7" t="s">
        <v>6</v>
      </c>
      <c r="EN16" s="9"/>
      <c r="EQ16" s="3" t="s">
        <v>1220</v>
      </c>
      <c r="ER16" s="7" t="s">
        <v>6</v>
      </c>
      <c r="EZ16" s="7"/>
      <c r="FB16" s="7"/>
      <c r="FD16" s="38"/>
      <c r="FG16" s="3" t="s">
        <v>1221</v>
      </c>
      <c r="FH16" s="7" t="s">
        <v>6</v>
      </c>
      <c r="FP16" s="7"/>
      <c r="FR16" s="7"/>
      <c r="FT16" s="38"/>
      <c r="FW16" s="3" t="s">
        <v>1222</v>
      </c>
      <c r="FX16" s="7" t="s">
        <v>6</v>
      </c>
      <c r="GF16" s="7"/>
      <c r="GJ16" s="9"/>
      <c r="GM16" s="3" t="s">
        <v>1223</v>
      </c>
      <c r="GN16" s="7" t="s">
        <v>6</v>
      </c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38"/>
      <c r="HA16" s="7"/>
      <c r="HB16" s="7"/>
      <c r="HC16" s="3" t="s">
        <v>1224</v>
      </c>
      <c r="HD16" s="7" t="s">
        <v>6</v>
      </c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38"/>
      <c r="HQ16" s="7"/>
      <c r="HR16" s="7"/>
      <c r="HS16" s="3" t="s">
        <v>1225</v>
      </c>
      <c r="HT16" s="7" t="s">
        <v>6</v>
      </c>
      <c r="HU16" s="7"/>
      <c r="HV16" s="7"/>
      <c r="IF16" s="9"/>
      <c r="II16" s="3" t="s">
        <v>1226</v>
      </c>
      <c r="IJ16" s="7" t="s">
        <v>6</v>
      </c>
      <c r="IV16" s="9"/>
      <c r="IY16" s="3" t="s">
        <v>1227</v>
      </c>
      <c r="IZ16" s="7" t="s">
        <v>6</v>
      </c>
      <c r="JL16" s="9"/>
      <c r="JO16" s="3" t="s">
        <v>1228</v>
      </c>
      <c r="JP16" s="7" t="s">
        <v>6</v>
      </c>
      <c r="KB16" s="9"/>
      <c r="KE16" s="3" t="s">
        <v>1229</v>
      </c>
      <c r="KF16" s="7" t="s">
        <v>6</v>
      </c>
      <c r="KR16" s="9"/>
      <c r="KU16" s="3" t="s">
        <v>1230</v>
      </c>
      <c r="KV16" s="7" t="s">
        <v>6</v>
      </c>
      <c r="LH16" s="9"/>
      <c r="LK16" s="3" t="s">
        <v>1231</v>
      </c>
      <c r="LL16" s="7" t="s">
        <v>6</v>
      </c>
      <c r="LX16" s="9"/>
      <c r="MA16" s="3" t="s">
        <v>1232</v>
      </c>
      <c r="MB16" s="7" t="s">
        <v>6</v>
      </c>
      <c r="MN16" s="9"/>
      <c r="MQ16" s="3" t="s">
        <v>1233</v>
      </c>
      <c r="MR16" s="7" t="s">
        <v>6</v>
      </c>
      <c r="ND16" s="9"/>
      <c r="NG16" s="3" t="s">
        <v>1234</v>
      </c>
      <c r="NH16" s="7" t="s">
        <v>6</v>
      </c>
      <c r="NT16" s="9"/>
      <c r="NW16" s="3" t="s">
        <v>1235</v>
      </c>
      <c r="NX16" s="7" t="s">
        <v>6</v>
      </c>
      <c r="OJ16" s="9"/>
      <c r="OL16" s="7"/>
      <c r="OY16" s="3"/>
      <c r="OZ16" s="7"/>
      <c r="PM16" s="3"/>
      <c r="PN16" s="7"/>
      <c r="QA16" s="3"/>
      <c r="QB16" s="7"/>
      <c r="QO16" s="3"/>
      <c r="QP16" s="7"/>
      <c r="RC16" s="3"/>
      <c r="RD16" s="7"/>
      <c r="RQ16" s="3"/>
      <c r="RR16" s="7"/>
      <c r="SE16" s="3"/>
      <c r="SF16" s="7"/>
    </row>
    <row r="17" spans="1:499" x14ac:dyDescent="0.2">
      <c r="A17" s="3" t="s">
        <v>1236</v>
      </c>
      <c r="O17" s="3"/>
      <c r="AG17" s="3"/>
      <c r="AY17" s="3" t="s">
        <v>1237</v>
      </c>
      <c r="AZ17">
        <f>IF(AZ4=1,1,IF(AND(AZ4=0,BA4=1),2,IF(AND(BA4=0,BB4=1),3,IF(AND(BB4=0,BC4=1),4,IF(AND(BC4=0,BD4=1),5,IF(AND(BD4=0,BE4=1),6,IF(AND(BE4=0,BF4=1),7,IF(AND(BF4=0,BG4=1),8,-1))))))))</f>
        <v>-1</v>
      </c>
      <c r="BL17" s="9"/>
      <c r="BO17" s="3" t="s">
        <v>1238</v>
      </c>
      <c r="BP17">
        <f>IF(BP4=1,1,IF(AND(BP4=0,BQ4=1),2,IF(AND(BQ4=0,BR4=1),3,IF(AND(BR4=0,BS4=1),4,IF(AND(BS4=0,BT4=1),5,IF(AND(BT4=0,BU4=1),6,IF(AND(BU4=0,BV4=1),7,IF(AND(BV4=0,BW4=1),8,-1))))))))</f>
        <v>-1</v>
      </c>
      <c r="CB17" s="9"/>
      <c r="CE17" s="3" t="s">
        <v>1239</v>
      </c>
      <c r="CF17">
        <f>IF(CF4=1,1,IF(AND(CF4=0,CG4=1),2,IF(AND(CG4=0,CH4=1),3,IF(AND(CH4=0,CI4=1),4,IF(AND(CI4=0,CJ4=1),5,IF(AND(CJ4=0,CK4=1),6,IF(AND(CK4=0,CL4=1),7,IF(AND(CL4=0,CM4=1),8,-1))))))))</f>
        <v>-1</v>
      </c>
      <c r="CR17" s="9"/>
      <c r="CU17" s="3" t="s">
        <v>1240</v>
      </c>
      <c r="CV17">
        <f>IF(CV4=1,1,IF(AND(CV4=0,CW4=1),2,IF(AND(CW4=0,CX4=1),3,IF(AND(CX4=0,CY4=1),4,IF(AND(CY4=0,CZ4=1),5,IF(AND(CZ4=0,DA4=1),6,IF(AND(DA4=0,DB4=1),7,IF(AND(DB4=0,DC4=1),8,-1))))))))</f>
        <v>-1</v>
      </c>
      <c r="DH17" s="9"/>
      <c r="DK17" s="3" t="s">
        <v>1241</v>
      </c>
      <c r="DL17">
        <f>IF(DL4=1,1,IF(AND(DL4=0,DM4=1),2,IF(AND(DM4=0,DN4=1),3,IF(AND(DN4=0,DO4=1),4,IF(AND(DO4=0,DP4=1),5,IF(AND(DP4=0,DQ4=1),6,IF(AND(DQ4=0,DR4=1),7,IF(AND(DR4=0,DS4=1),8,-1))))))))</f>
        <v>-1</v>
      </c>
      <c r="DX17" s="9"/>
      <c r="EA17" s="3" t="s">
        <v>1242</v>
      </c>
      <c r="EB17">
        <f>IF(EB4=1,1,IF(AND(EB4=0,EC4=1),2,IF(AND(EC4=0,ED4=1),3,IF(AND(ED4=0,EE4=1),4,IF(AND(EE4=0,EF4=1),5,IF(AND(EF4=0,EG4=1),6,IF(AND(EG4=0,EH4=1),7,IF(AND(EH4=0,EI4=1),8,-1))))))))</f>
        <v>-1</v>
      </c>
      <c r="EN17" s="9"/>
      <c r="EQ17" s="3" t="s">
        <v>1243</v>
      </c>
      <c r="ER17">
        <f>IF(ER4=1,1,IF(AND(ER4=0,ES4=1),2,IF(AND(ES4=0,ET4=1),3,IF(AND(ET4=0,EU4=1),4,IF(AND(EU4=0,EV4=1),5,IF(AND(EV4=0,EW4=1),6,IF(AND(EW4=0,EX4=1),7,IF(AND(EX4=0,EY4=1),8,-1))))))))</f>
        <v>-1</v>
      </c>
      <c r="FD17" s="9"/>
      <c r="FG17" s="3" t="s">
        <v>1244</v>
      </c>
      <c r="FH17">
        <f>IF(FH4=1,1,IF(AND(FH4=0,FI4=1),2,IF(AND(FI4=0,FJ4=1),3,IF(AND(FJ4=0,FK4=1),4,IF(AND(FK4=0,FL4=1),5,IF(AND(FL4=0,FM4=1),6,IF(AND(FM4=0,FN4=1),7,IF(AND(FN4=0,FO4=1),8,-1))))))))</f>
        <v>-1</v>
      </c>
      <c r="FT17" s="9"/>
      <c r="FW17" s="3" t="s">
        <v>1245</v>
      </c>
      <c r="FX17">
        <f>IF(FX4=1,1,IF(AND(FX4=0,FY4=1),2,IF(AND(FY4=0,FZ4=1),3,IF(AND(FZ4=0,GA4=1),4,IF(AND(GA4=0,GB4=1),5,IF(AND(GB4=0,GC4=1),6,IF(AND(GC4=0,GD4=1),7,IF(AND(GD4=0,GE4=1),8,-1))))))))</f>
        <v>-1</v>
      </c>
      <c r="GJ17" s="9"/>
      <c r="GM17" s="3" t="s">
        <v>1246</v>
      </c>
      <c r="GN17">
        <f>IF(GN4=1,1,IF(AND(GN4=0,GO4=1),2,IF(AND(GO4=0,GP4=1),3,IF(AND(GP4=0,GQ4=1),4,IF(AND(GQ4=0,GR4=1),5,IF(AND(GR4=0,GS4=1),6,IF(AND(GS4=0,GT4=1),7,IF(AND(GT4=0,GU4=1),8,-1))))))))</f>
        <v>-1</v>
      </c>
      <c r="GZ17" s="9"/>
      <c r="HC17" s="3" t="s">
        <v>1247</v>
      </c>
      <c r="HD17">
        <f>IF(HD4=1,1,IF(AND(HD4=0,HE4=1),2,IF(AND(HE4=0,HF4=1),3,IF(AND(HF4=0,HG4=1),4,IF(AND(HG4=0,HH4=1),5,IF(AND(HH4=0,HI4=1),6,IF(AND(HI4=0,HJ4=1),7,IF(AND(HJ4=0,HK4=1),8,-1))))))))</f>
        <v>-1</v>
      </c>
      <c r="HP17" s="9"/>
      <c r="HS17" s="3" t="s">
        <v>1248</v>
      </c>
      <c r="HT17">
        <f>IF(HT4=1,1,IF(AND(HT4=0,HU4=1),2,IF(AND(HU4=0,HV4=1),3,IF(AND(HV4=0,HW4=1),4,IF(AND(HW4=0,HX4=1),5,IF(AND(HX4=0,HY4=1),6,IF(AND(HY4=0,HZ4=1),7,IF(AND(HZ4=0,IA4=1),8,-1))))))))</f>
        <v>-1</v>
      </c>
      <c r="IF17" s="9"/>
      <c r="II17" s="3" t="s">
        <v>1249</v>
      </c>
      <c r="IJ17">
        <f>IF(IJ4=1,1,IF(AND(IJ4=0,IK4=1),2,IF(AND(IK4=0,IL4=1),3,IF(AND(IL4=0,IM4=1),4,IF(AND(IM4=0,IN4=1),5,IF(AND(IN4=0,IO4=1),6,IF(AND(IO4=0,IP4=1),7,IF(AND(IP4=0,IQ4=1),8,-1))))))))</f>
        <v>-1</v>
      </c>
      <c r="IV17" s="9"/>
      <c r="IY17" s="3" t="s">
        <v>1250</v>
      </c>
      <c r="IZ17">
        <f>IF(IZ4=1,1,IF(AND(IZ4=0,JA4=1),2,IF(AND(JA4=0,JB4=1),3,IF(AND(JB4=0,JC4=1),4,IF(AND(JC4=0,JD4=1),5,IF(AND(JD4=0,JE4=1),6,IF(AND(JE4=0,JF4=1),7,IF(AND(JF4=0,JG4=1),8,-1))))))))</f>
        <v>-1</v>
      </c>
      <c r="JL17" s="9"/>
      <c r="JO17" s="3" t="s">
        <v>1251</v>
      </c>
      <c r="JP17">
        <f>IF(JP4=1,1,IF(AND(JP4=0,JQ4=1),2,IF(AND(JQ4=0,JR4=1),3,IF(AND(JR4=0,JS4=1),4,IF(AND(JS4=0,JT4=1),5,IF(AND(JT4=0,JU4=1),6,IF(AND(JU4=0,JV4=1),7,IF(AND(JV4=0,JW4=1),8,-1))))))))</f>
        <v>-1</v>
      </c>
      <c r="KB17" s="9"/>
      <c r="KE17" s="3" t="s">
        <v>1252</v>
      </c>
      <c r="KF17">
        <f>IF(KF4=1,1,IF(AND(KF4=0,KG4=1),2,IF(AND(KG4=0,KH4=1),3,IF(AND(KH4=0,KI4=1),4,IF(AND(KI4=0,KJ4=1),5,IF(AND(KJ4=0,KK4=1),6,IF(AND(KK4=0,KL4=1),7,IF(AND(KL4=0,KM4=1),8,-1))))))))</f>
        <v>-1</v>
      </c>
      <c r="KR17" s="9"/>
      <c r="KU17" s="3" t="s">
        <v>1253</v>
      </c>
      <c r="KV17">
        <f>IF(KV4=1,1,IF(AND(KV4=0,KW4=1),2,IF(AND(KW4=0,KX4=1),3,IF(AND(KX4=0,KY4=1),4,IF(AND(KY4=0,KZ4=1),5,IF(AND(KZ4=0,LA4=1),6,IF(AND(LA4=0,LB4=1),7,IF(AND(LB4=0,LC4=1),8,-1))))))))</f>
        <v>-1</v>
      </c>
      <c r="LH17" s="9"/>
      <c r="LK17" s="3" t="s">
        <v>1254</v>
      </c>
      <c r="LL17">
        <f>IF(LL4=1,1,IF(AND(LL4=0,LM4=1),2,IF(AND(LM4=0,LN4=1),3,IF(AND(LN4=0,LO4=1),4,IF(AND(LO4=0,LP4=1),5,IF(AND(LP4=0,LQ4=1),6,IF(AND(LQ4=0,LR4=1),7,IF(AND(LR4=0,LS4=1),8,-1))))))))</f>
        <v>-1</v>
      </c>
      <c r="LX17" s="9"/>
      <c r="MA17" s="3" t="s">
        <v>1255</v>
      </c>
      <c r="MB17">
        <f>IF(MB4=1,1,IF(AND(MB4=0,MC4=1),2,IF(AND(MC4=0,MD4=1),3,IF(AND(MD4=0,ME4=1),4,IF(AND(ME4=0,MF4=1),5,IF(AND(MF4=0,MG4=1),6,IF(AND(MG4=0,MH4=1),7,IF(AND(MH4=0,MI4=1),8,-1))))))))</f>
        <v>-1</v>
      </c>
      <c r="MN17" s="9"/>
      <c r="MQ17" s="3" t="s">
        <v>1256</v>
      </c>
      <c r="MR17">
        <f>IF(MR4=1,1,IF(AND(MR4=0,MS4=1),2,IF(AND(MS4=0,MT4=1),3,IF(AND(MT4=0,MU4=1),4,IF(AND(MU4=0,MV4=1),5,IF(AND(MV4=0,MW4=1),6,IF(AND(MW4=0,MX4=1),7,IF(AND(MX4=0,MY4=1),8,-1))))))))</f>
        <v>-1</v>
      </c>
      <c r="ND17" s="9"/>
      <c r="NG17" s="3" t="s">
        <v>1257</v>
      </c>
      <c r="NH17">
        <f>IF(NH4=1,1,IF(AND(NH4=0,NI4=1),2,IF(AND(NI4=0,NJ4=1),3,IF(AND(NJ4=0,NK4=1),4,IF(AND(NK4=0,NL4=1),5,IF(AND(NL4=0,NM4=1),6,IF(AND(NM4=0,NN4=1),7,IF(AND(NN4=0,NO4=1),8,-1))))))))</f>
        <v>-1</v>
      </c>
      <c r="NT17" s="9"/>
      <c r="NW17" s="3" t="s">
        <v>1258</v>
      </c>
      <c r="NX17">
        <f>IF(NX4=1,1,IF(AND(NX4=0,NY4=1),2,IF(AND(NY4=0,NZ4=1),3,IF(AND(NZ4=0,OA4=1),4,IF(AND(OA4=0,OB4=1),5,IF(AND(OB4=0,OC4=1),6,IF(AND(OC4=0,OD4=1),7,IF(AND(OD4=0,OE4=1),8,-1))))))))</f>
        <v>-1</v>
      </c>
      <c r="OJ17" s="9"/>
      <c r="OY17" s="3"/>
      <c r="PM17" s="3"/>
      <c r="QA17" s="3"/>
      <c r="QO17" s="3"/>
      <c r="RC17" s="3"/>
      <c r="RQ17" s="3"/>
      <c r="SE17" s="3"/>
    </row>
    <row r="18" spans="1:499" x14ac:dyDescent="0.2">
      <c r="A18" s="3" t="s">
        <v>1259</v>
      </c>
      <c r="K18" t="s">
        <v>320</v>
      </c>
      <c r="O18" s="3"/>
      <c r="AG18" s="3"/>
      <c r="AY18" s="3" t="s">
        <v>1260</v>
      </c>
      <c r="AZ18">
        <v>1</v>
      </c>
      <c r="BL18" s="9"/>
      <c r="BO18" s="3" t="s">
        <v>1261</v>
      </c>
      <c r="BP18">
        <v>1</v>
      </c>
      <c r="CB18" s="9"/>
      <c r="CE18" s="3" t="s">
        <v>1262</v>
      </c>
      <c r="CF18">
        <v>1</v>
      </c>
      <c r="CR18" s="9"/>
      <c r="CU18" s="3" t="s">
        <v>1263</v>
      </c>
      <c r="CV18">
        <v>1</v>
      </c>
      <c r="DH18" s="9"/>
      <c r="DK18" s="3" t="s">
        <v>1264</v>
      </c>
      <c r="DL18">
        <v>1</v>
      </c>
      <c r="DX18" s="9"/>
      <c r="EA18" s="3" t="s">
        <v>1265</v>
      </c>
      <c r="EB18">
        <v>1</v>
      </c>
      <c r="EN18" s="9"/>
      <c r="EQ18" s="3" t="s">
        <v>1266</v>
      </c>
      <c r="ER18">
        <v>1</v>
      </c>
      <c r="FD18" s="9"/>
      <c r="FG18" s="3" t="s">
        <v>1267</v>
      </c>
      <c r="FH18">
        <v>1</v>
      </c>
      <c r="FT18" s="9"/>
      <c r="FW18" s="3" t="s">
        <v>1268</v>
      </c>
      <c r="FX18">
        <v>1</v>
      </c>
      <c r="GJ18" s="9"/>
      <c r="GM18" s="3" t="s">
        <v>1269</v>
      </c>
      <c r="GN18">
        <v>1</v>
      </c>
      <c r="GZ18" s="9"/>
      <c r="HC18" s="3" t="s">
        <v>1270</v>
      </c>
      <c r="HD18">
        <v>1</v>
      </c>
      <c r="HP18" s="9"/>
      <c r="HS18" s="3" t="s">
        <v>1271</v>
      </c>
      <c r="HT18">
        <v>1</v>
      </c>
      <c r="IF18" s="9"/>
      <c r="II18" s="3" t="s">
        <v>1272</v>
      </c>
      <c r="IJ18">
        <v>1</v>
      </c>
      <c r="IV18" s="9"/>
      <c r="IY18" s="3" t="s">
        <v>1273</v>
      </c>
      <c r="IZ18">
        <v>1</v>
      </c>
      <c r="JL18" s="9"/>
      <c r="JO18" s="3" t="s">
        <v>1274</v>
      </c>
      <c r="JP18">
        <v>1</v>
      </c>
      <c r="KB18" s="9"/>
      <c r="KE18" s="3"/>
      <c r="KR18" s="9"/>
      <c r="KU18" s="3"/>
      <c r="LH18" s="9"/>
      <c r="LK18" s="3"/>
      <c r="LX18" s="9"/>
      <c r="MA18" s="3"/>
      <c r="MN18" s="9"/>
      <c r="MQ18" s="3"/>
      <c r="ND18" s="9"/>
      <c r="NG18" s="3"/>
      <c r="NT18" s="9"/>
      <c r="NW18" s="3"/>
      <c r="OJ18" s="9"/>
      <c r="OY18" s="3"/>
      <c r="PM18" s="3"/>
      <c r="QA18" s="3"/>
      <c r="QO18" s="3"/>
      <c r="RC18" s="3"/>
      <c r="SE18" s="3"/>
    </row>
    <row r="19" spans="1:499" x14ac:dyDescent="0.2">
      <c r="A19" s="3" t="s">
        <v>1275</v>
      </c>
      <c r="O19" s="3"/>
      <c r="AG19" s="3"/>
      <c r="AY19" s="3" t="s">
        <v>1276</v>
      </c>
      <c r="AZ19">
        <v>1</v>
      </c>
      <c r="BL19" s="9"/>
      <c r="BO19" s="3" t="s">
        <v>1277</v>
      </c>
      <c r="BP19">
        <v>1</v>
      </c>
      <c r="CB19" s="9"/>
      <c r="CE19" s="3" t="s">
        <v>1278</v>
      </c>
      <c r="CF19">
        <v>1</v>
      </c>
      <c r="CR19" s="9"/>
      <c r="CU19" s="3" t="s">
        <v>1279</v>
      </c>
      <c r="CV19">
        <v>1</v>
      </c>
      <c r="DH19" s="9"/>
      <c r="DK19" s="3" t="s">
        <v>1280</v>
      </c>
      <c r="DL19">
        <v>1</v>
      </c>
      <c r="DX19" s="9"/>
      <c r="EA19" s="3" t="s">
        <v>1281</v>
      </c>
      <c r="EB19">
        <v>0</v>
      </c>
      <c r="EN19" s="9"/>
      <c r="EQ19" s="3" t="s">
        <v>1282</v>
      </c>
      <c r="ER19">
        <v>1</v>
      </c>
      <c r="FD19" s="9"/>
      <c r="FG19" s="3" t="s">
        <v>1283</v>
      </c>
      <c r="FH19">
        <v>1</v>
      </c>
      <c r="FT19" s="9"/>
      <c r="FW19" s="3" t="s">
        <v>1284</v>
      </c>
      <c r="FX19">
        <v>1</v>
      </c>
      <c r="GJ19" s="9"/>
      <c r="GM19" s="3" t="s">
        <v>1285</v>
      </c>
      <c r="GN19">
        <v>1</v>
      </c>
      <c r="GZ19" s="9"/>
      <c r="HC19" s="3" t="s">
        <v>1286</v>
      </c>
      <c r="HD19">
        <v>1</v>
      </c>
      <c r="HP19" s="9"/>
      <c r="HS19" s="3" t="s">
        <v>1287</v>
      </c>
      <c r="HT19">
        <v>1</v>
      </c>
      <c r="IF19" s="9"/>
      <c r="II19" s="3" t="s">
        <v>1288</v>
      </c>
      <c r="IJ19">
        <v>1</v>
      </c>
      <c r="IV19" s="9"/>
      <c r="IY19" s="3" t="s">
        <v>1289</v>
      </c>
      <c r="IZ19">
        <v>1</v>
      </c>
      <c r="JL19" s="9"/>
      <c r="JO19" s="3" t="s">
        <v>1290</v>
      </c>
      <c r="JP19">
        <v>1</v>
      </c>
      <c r="KB19" s="9"/>
      <c r="KE19" s="3" t="s">
        <v>1581</v>
      </c>
      <c r="KF19">
        <v>1</v>
      </c>
      <c r="KR19" s="9"/>
      <c r="KU19" s="3" t="s">
        <v>1582</v>
      </c>
      <c r="KV19">
        <v>1</v>
      </c>
      <c r="LH19" s="9"/>
      <c r="LK19" s="27" t="s">
        <v>1583</v>
      </c>
      <c r="LL19">
        <v>1</v>
      </c>
      <c r="LX19" s="9"/>
      <c r="MA19" s="27" t="s">
        <v>1584</v>
      </c>
      <c r="MB19">
        <v>1</v>
      </c>
      <c r="MN19" s="9"/>
      <c r="MQ19" s="27" t="s">
        <v>1585</v>
      </c>
      <c r="MR19">
        <v>1</v>
      </c>
      <c r="ND19" s="9"/>
      <c r="NG19" s="27" t="s">
        <v>1586</v>
      </c>
      <c r="NH19">
        <v>1</v>
      </c>
      <c r="NT19" s="9"/>
      <c r="NW19" s="27" t="s">
        <v>1587</v>
      </c>
      <c r="NX19">
        <v>1</v>
      </c>
      <c r="OJ19" s="9"/>
      <c r="OY19" s="3"/>
      <c r="PM19" s="3"/>
      <c r="QA19" s="3"/>
      <c r="QO19" s="3"/>
      <c r="RC19" s="3"/>
      <c r="SE19" s="3"/>
    </row>
    <row r="20" spans="1:499" x14ac:dyDescent="0.2">
      <c r="A20" s="3" t="s">
        <v>1963</v>
      </c>
      <c r="AY20" s="3" t="s">
        <v>1939</v>
      </c>
      <c r="AZ20">
        <v>0</v>
      </c>
      <c r="BL20" s="9"/>
      <c r="BO20" s="3" t="s">
        <v>1940</v>
      </c>
      <c r="BP20">
        <v>0</v>
      </c>
      <c r="CB20" s="9"/>
      <c r="CE20" s="3" t="s">
        <v>1941</v>
      </c>
      <c r="CF20">
        <v>0</v>
      </c>
      <c r="CR20" s="9"/>
      <c r="CU20" s="3" t="s">
        <v>1942</v>
      </c>
      <c r="CV20">
        <v>0</v>
      </c>
      <c r="DH20" s="9"/>
      <c r="DK20" s="3" t="s">
        <v>1943</v>
      </c>
      <c r="DL20">
        <v>0</v>
      </c>
      <c r="DX20" s="9"/>
      <c r="EA20" s="3" t="s">
        <v>1944</v>
      </c>
      <c r="EB20">
        <v>0</v>
      </c>
      <c r="EN20" s="9"/>
      <c r="EQ20" s="3" t="s">
        <v>1945</v>
      </c>
      <c r="ER20">
        <v>0</v>
      </c>
      <c r="FD20" s="9"/>
      <c r="FG20" s="3" t="s">
        <v>1946</v>
      </c>
      <c r="FH20">
        <v>0</v>
      </c>
      <c r="FT20" s="9"/>
      <c r="FW20" s="3" t="s">
        <v>1947</v>
      </c>
      <c r="FX20">
        <v>0</v>
      </c>
      <c r="GJ20" s="9"/>
      <c r="GM20" s="3" t="s">
        <v>1948</v>
      </c>
      <c r="GN20">
        <v>0</v>
      </c>
      <c r="GZ20" s="9"/>
      <c r="HC20" s="3" t="s">
        <v>1949</v>
      </c>
      <c r="HD20">
        <v>0</v>
      </c>
      <c r="HP20" s="9"/>
      <c r="HS20" s="3" t="s">
        <v>1950</v>
      </c>
      <c r="HT20">
        <v>0</v>
      </c>
      <c r="IF20" s="9"/>
      <c r="II20" s="3" t="s">
        <v>1951</v>
      </c>
      <c r="IJ20">
        <v>0</v>
      </c>
      <c r="IV20" s="9"/>
      <c r="IY20" s="3" t="s">
        <v>1952</v>
      </c>
      <c r="IZ20">
        <v>0</v>
      </c>
      <c r="JL20" s="9"/>
      <c r="JO20" s="3" t="s">
        <v>1953</v>
      </c>
      <c r="JP20">
        <v>0</v>
      </c>
      <c r="KB20" s="9"/>
      <c r="KE20" s="3" t="s">
        <v>1954</v>
      </c>
      <c r="KF20">
        <v>0</v>
      </c>
      <c r="KR20" s="9"/>
      <c r="KU20" s="3" t="s">
        <v>1955</v>
      </c>
      <c r="KV20">
        <v>0</v>
      </c>
      <c r="LH20" s="9"/>
      <c r="LK20" s="27" t="s">
        <v>1956</v>
      </c>
      <c r="LL20">
        <v>0</v>
      </c>
      <c r="LX20" s="9"/>
      <c r="MA20" s="27" t="s">
        <v>1957</v>
      </c>
      <c r="MB20">
        <v>0</v>
      </c>
      <c r="MN20" s="9"/>
      <c r="MQ20" s="27" t="s">
        <v>1958</v>
      </c>
      <c r="MR20">
        <v>0</v>
      </c>
      <c r="ND20" s="9"/>
      <c r="NG20" s="27" t="s">
        <v>1959</v>
      </c>
      <c r="NH20">
        <v>0</v>
      </c>
      <c r="NT20" s="9"/>
      <c r="NW20" s="27" t="s">
        <v>1960</v>
      </c>
      <c r="NX20">
        <v>0</v>
      </c>
      <c r="OJ20" s="9"/>
    </row>
    <row r="21" spans="1:499" x14ac:dyDescent="0.2">
      <c r="BL21" s="9"/>
      <c r="CB21" s="9"/>
      <c r="CR21" s="9"/>
      <c r="DH21" s="9"/>
      <c r="DX21" s="9"/>
      <c r="EN21" s="9"/>
      <c r="FD21" s="9"/>
      <c r="FT21" s="9"/>
      <c r="GJ21" s="9"/>
      <c r="GZ21" s="9"/>
      <c r="HP21" s="9"/>
      <c r="IF21" s="9"/>
      <c r="IV21" s="9"/>
      <c r="JL21" s="9"/>
      <c r="KB21" s="9"/>
      <c r="KR21" s="9"/>
      <c r="LH21" s="9"/>
      <c r="LX21" s="9"/>
      <c r="MN21" s="9"/>
      <c r="ND21" s="9"/>
      <c r="NT21" s="9"/>
      <c r="OJ21" s="9"/>
    </row>
    <row r="22" spans="1:499" hidden="1" x14ac:dyDescent="0.2">
      <c r="BL22" s="9"/>
      <c r="CB22" s="9"/>
      <c r="CR22" s="9"/>
      <c r="DH22" s="9"/>
      <c r="DX22" s="9"/>
      <c r="EN22" s="9"/>
      <c r="FD22" s="9"/>
      <c r="FT22" s="9"/>
      <c r="GJ22" s="9"/>
      <c r="GZ22" s="9"/>
      <c r="HP22" s="9"/>
      <c r="IF22" s="9"/>
      <c r="IV22" s="9"/>
      <c r="JL22" s="9"/>
      <c r="KB22" s="9"/>
      <c r="KR22" s="9"/>
      <c r="LH22" s="9"/>
      <c r="LX22" s="9"/>
      <c r="MN22" s="9"/>
      <c r="ND22" s="9"/>
      <c r="NT22" s="9"/>
      <c r="OJ22" s="9"/>
    </row>
    <row r="23" spans="1:499" hidden="1" x14ac:dyDescent="0.2">
      <c r="BL23" s="9"/>
      <c r="CB23" s="9"/>
      <c r="CR23" s="9"/>
      <c r="DH23" s="9"/>
      <c r="DX23" s="9"/>
      <c r="EN23" s="9"/>
      <c r="FD23" s="9"/>
      <c r="FT23" s="9"/>
      <c r="GJ23" s="9"/>
      <c r="GZ23" s="9"/>
      <c r="HP23" s="9"/>
      <c r="IF23" s="9"/>
      <c r="IV23" s="9"/>
      <c r="JL23" s="9"/>
      <c r="KB23" s="9"/>
      <c r="KR23" s="9"/>
      <c r="LH23" s="9"/>
      <c r="LX23" s="9"/>
      <c r="MN23" s="9"/>
      <c r="ND23" s="9"/>
      <c r="NT23" s="9"/>
      <c r="OJ23" s="9"/>
    </row>
    <row r="24" spans="1:499" hidden="1" x14ac:dyDescent="0.2">
      <c r="BL24" s="9"/>
      <c r="CB24" s="9"/>
      <c r="CR24" s="9"/>
      <c r="DH24" s="9"/>
      <c r="DX24" s="9"/>
      <c r="EN24" s="9"/>
      <c r="FD24" s="9"/>
      <c r="FT24" s="9"/>
      <c r="GJ24" s="9"/>
      <c r="GZ24" s="9"/>
      <c r="HP24" s="9"/>
      <c r="IF24" s="9"/>
      <c r="IV24" s="9"/>
      <c r="JL24" s="9"/>
      <c r="KB24" s="9"/>
      <c r="KR24" s="9"/>
      <c r="LH24" s="9"/>
      <c r="LX24" s="9"/>
      <c r="MN24" s="9"/>
      <c r="ND24" s="9"/>
      <c r="NT24" s="9"/>
      <c r="OJ24" s="9"/>
    </row>
    <row r="25" spans="1:499" hidden="1" x14ac:dyDescent="0.2">
      <c r="BL25" s="9"/>
      <c r="CB25" s="9"/>
      <c r="CR25" s="9"/>
      <c r="DH25" s="9"/>
      <c r="DX25" s="9"/>
      <c r="EN25" s="9"/>
      <c r="FD25" s="9"/>
      <c r="FT25" s="9"/>
      <c r="GJ25" s="9"/>
      <c r="GZ25" s="9"/>
      <c r="HP25" s="9"/>
      <c r="IF25" s="9"/>
      <c r="IV25" s="9"/>
      <c r="JL25" s="9"/>
      <c r="KB25" s="9"/>
      <c r="KR25" s="9"/>
      <c r="LH25" s="9"/>
      <c r="LX25" s="9"/>
      <c r="MN25" s="9"/>
      <c r="ND25" s="9"/>
      <c r="NT25" s="9"/>
      <c r="OJ25" s="9"/>
    </row>
    <row r="26" spans="1:499" hidden="1" x14ac:dyDescent="0.2">
      <c r="BL26" s="9"/>
      <c r="CB26" s="9"/>
      <c r="CR26" s="9"/>
      <c r="DH26" s="9"/>
      <c r="DX26" s="9"/>
      <c r="EN26" s="9"/>
      <c r="FD26" s="9"/>
      <c r="FT26" s="9"/>
      <c r="GJ26" s="9"/>
      <c r="GZ26" s="9"/>
      <c r="HP26" s="9"/>
      <c r="IF26" s="9"/>
      <c r="IV26" s="9"/>
      <c r="JL26" s="9"/>
      <c r="KB26" s="9"/>
      <c r="KR26" s="9"/>
      <c r="LH26" s="9"/>
      <c r="LX26" s="9"/>
      <c r="MN26" s="9"/>
      <c r="ND26" s="9"/>
      <c r="NT26" s="9"/>
      <c r="OJ26" s="9"/>
    </row>
    <row r="27" spans="1:499" hidden="1" x14ac:dyDescent="0.2">
      <c r="BL27" s="9"/>
      <c r="CB27" s="9"/>
      <c r="CR27" s="9"/>
      <c r="DH27" s="9"/>
      <c r="DX27" s="9"/>
      <c r="EN27" s="9"/>
      <c r="FD27" s="9"/>
      <c r="FT27" s="9"/>
      <c r="GJ27" s="9"/>
      <c r="GZ27" s="9"/>
      <c r="HP27" s="9"/>
      <c r="IF27" s="9"/>
      <c r="IV27" s="9"/>
      <c r="JL27" s="9"/>
      <c r="KB27" s="9"/>
      <c r="KR27" s="9"/>
      <c r="LH27" s="9"/>
      <c r="LX27" s="9"/>
      <c r="MN27" s="9"/>
      <c r="ND27" s="9"/>
      <c r="NT27" s="9"/>
      <c r="OJ27" s="9"/>
    </row>
    <row r="28" spans="1:499" hidden="1" x14ac:dyDescent="0.2">
      <c r="BL28" s="9"/>
      <c r="CB28" s="9"/>
      <c r="CR28" s="9"/>
      <c r="DH28" s="9"/>
      <c r="DX28" s="9"/>
      <c r="EN28" s="9"/>
      <c r="FD28" s="9"/>
      <c r="FT28" s="9"/>
      <c r="GJ28" s="9"/>
      <c r="GZ28" s="9"/>
      <c r="HP28" s="9"/>
      <c r="IF28" s="9"/>
      <c r="IV28" s="9"/>
      <c r="JL28" s="9"/>
      <c r="KB28" s="9"/>
      <c r="KR28" s="9"/>
      <c r="LH28" s="9"/>
      <c r="LX28" s="9"/>
      <c r="MN28" s="9"/>
      <c r="ND28" s="9"/>
      <c r="NT28" s="9"/>
      <c r="OJ28" s="9"/>
    </row>
    <row r="29" spans="1:499" hidden="1" x14ac:dyDescent="0.2">
      <c r="BL29" s="9"/>
      <c r="CB29" s="9"/>
      <c r="CR29" s="9"/>
      <c r="DH29" s="9"/>
      <c r="DX29" s="9"/>
      <c r="EN29" s="9"/>
      <c r="FD29" s="9"/>
      <c r="FT29" s="9"/>
      <c r="GJ29" s="9"/>
      <c r="GZ29" s="9"/>
      <c r="HP29" s="9"/>
      <c r="IF29" s="9"/>
      <c r="IV29" s="9"/>
      <c r="JL29" s="9"/>
      <c r="KB29" s="9"/>
      <c r="KR29" s="9"/>
      <c r="LH29" s="9"/>
      <c r="LX29" s="9"/>
      <c r="MN29" s="9"/>
      <c r="ND29" s="9"/>
      <c r="NT29" s="9"/>
      <c r="OJ29" s="9"/>
    </row>
    <row r="30" spans="1:499" hidden="1" x14ac:dyDescent="0.2">
      <c r="BL30" s="9"/>
      <c r="CB30" s="9"/>
      <c r="CR30" s="9"/>
      <c r="DH30" s="9"/>
      <c r="DX30" s="9"/>
      <c r="EN30" s="9"/>
      <c r="FD30" s="9"/>
      <c r="FT30" s="9"/>
      <c r="GJ30" s="9"/>
      <c r="GZ30" s="9"/>
      <c r="HP30" s="9"/>
      <c r="IF30" s="9"/>
      <c r="IV30" s="9"/>
      <c r="JL30" s="9"/>
      <c r="KB30" s="9"/>
      <c r="KR30" s="9"/>
      <c r="LH30" s="9"/>
      <c r="LX30" s="9"/>
      <c r="MN30" s="9"/>
      <c r="ND30" s="9"/>
      <c r="NT30" s="9"/>
      <c r="OJ30" s="9"/>
    </row>
    <row r="31" spans="1:499" hidden="1" x14ac:dyDescent="0.2">
      <c r="BL31" s="9"/>
      <c r="CB31" s="9"/>
      <c r="CR31" s="9"/>
      <c r="DH31" s="9"/>
      <c r="DX31" s="9"/>
      <c r="EN31" s="9"/>
      <c r="FD31" s="9"/>
      <c r="FT31" s="9"/>
      <c r="GJ31" s="9"/>
      <c r="GZ31" s="9"/>
      <c r="HP31" s="9"/>
      <c r="IF31" s="9"/>
      <c r="IV31" s="9"/>
      <c r="JL31" s="9"/>
      <c r="KB31" s="9"/>
      <c r="KR31" s="9"/>
      <c r="LH31" s="9"/>
      <c r="LX31" s="9"/>
      <c r="MN31" s="9"/>
      <c r="ND31" s="9"/>
      <c r="NT31" s="9"/>
      <c r="OJ31" s="9"/>
    </row>
    <row r="32" spans="1:499" hidden="1" x14ac:dyDescent="0.2">
      <c r="BL32" s="9"/>
      <c r="CB32" s="9"/>
      <c r="CR32" s="9"/>
      <c r="DH32" s="9"/>
      <c r="DX32" s="9"/>
      <c r="EN32" s="9"/>
      <c r="FD32" s="9"/>
      <c r="FT32" s="9"/>
      <c r="GJ32" s="9"/>
      <c r="GZ32" s="9"/>
      <c r="HP32" s="9"/>
      <c r="IF32" s="9"/>
      <c r="IV32" s="9"/>
      <c r="JL32" s="9"/>
      <c r="KB32" s="9"/>
      <c r="KR32" s="9"/>
      <c r="LH32" s="9"/>
      <c r="LX32" s="9"/>
      <c r="MN32" s="9"/>
      <c r="ND32" s="9"/>
      <c r="NT32" s="9"/>
      <c r="OJ32" s="9"/>
    </row>
    <row r="33" spans="64:400" hidden="1" x14ac:dyDescent="0.2">
      <c r="BL33" s="9"/>
      <c r="CB33" s="9"/>
      <c r="CR33" s="9"/>
      <c r="DH33" s="9"/>
      <c r="DX33" s="9"/>
      <c r="EN33" s="9"/>
      <c r="FD33" s="9"/>
      <c r="FT33" s="9"/>
      <c r="GJ33" s="9"/>
      <c r="GZ33" s="9"/>
      <c r="HP33" s="9"/>
      <c r="IF33" s="9"/>
      <c r="IV33" s="9"/>
      <c r="JL33" s="9"/>
      <c r="KB33" s="9"/>
      <c r="KR33" s="9"/>
      <c r="LH33" s="9"/>
      <c r="LX33" s="9"/>
      <c r="MN33" s="9"/>
      <c r="ND33" s="9"/>
      <c r="NT33" s="9"/>
      <c r="OJ33" s="9"/>
    </row>
    <row r="34" spans="64:400" hidden="1" x14ac:dyDescent="0.2">
      <c r="BL34" s="9"/>
      <c r="CB34" s="9"/>
      <c r="CR34" s="9"/>
      <c r="DH34" s="9"/>
      <c r="DX34" s="9"/>
      <c r="EN34" s="9"/>
      <c r="FD34" s="9"/>
      <c r="FT34" s="9"/>
      <c r="GJ34" s="9"/>
      <c r="GZ34" s="9"/>
      <c r="HP34" s="9"/>
      <c r="IF34" s="9"/>
      <c r="IV34" s="9"/>
      <c r="JL34" s="9"/>
      <c r="KB34" s="9"/>
      <c r="KR34" s="9"/>
      <c r="LH34" s="9"/>
      <c r="LX34" s="9"/>
      <c r="MN34" s="9"/>
      <c r="ND34" s="9"/>
      <c r="NT34" s="9"/>
      <c r="OJ34" s="9"/>
    </row>
    <row r="35" spans="64:400" hidden="1" x14ac:dyDescent="0.2">
      <c r="BL35" s="9"/>
      <c r="CB35" s="9"/>
      <c r="CR35" s="9"/>
      <c r="DH35" s="9"/>
      <c r="DX35" s="9"/>
      <c r="EN35" s="9"/>
      <c r="FD35" s="9"/>
      <c r="FT35" s="9"/>
      <c r="GJ35" s="9"/>
      <c r="GZ35" s="9"/>
      <c r="HP35" s="9"/>
      <c r="IF35" s="9"/>
      <c r="IV35" s="9"/>
      <c r="JL35" s="9"/>
      <c r="KB35" s="9"/>
      <c r="KR35" s="9"/>
      <c r="LH35" s="9"/>
      <c r="LX35" s="9"/>
      <c r="MN35" s="9"/>
      <c r="ND35" s="9"/>
      <c r="NT35" s="9"/>
      <c r="OJ35" s="9"/>
    </row>
    <row r="36" spans="64:400" hidden="1" x14ac:dyDescent="0.2">
      <c r="BL36" s="9"/>
      <c r="CB36" s="9"/>
      <c r="CR36" s="9"/>
      <c r="DH36" s="9"/>
      <c r="DX36" s="9"/>
      <c r="EN36" s="9"/>
      <c r="FD36" s="9"/>
      <c r="FT36" s="9"/>
      <c r="GJ36" s="9"/>
      <c r="GZ36" s="9"/>
      <c r="HP36" s="9"/>
      <c r="IF36" s="9"/>
      <c r="IV36" s="9"/>
      <c r="JL36" s="9"/>
      <c r="KB36" s="9"/>
      <c r="KR36" s="9"/>
      <c r="LH36" s="9"/>
      <c r="LX36" s="9"/>
      <c r="MN36" s="9"/>
      <c r="ND36" s="9"/>
      <c r="NT36" s="9"/>
      <c r="OJ36" s="9"/>
    </row>
    <row r="37" spans="64:400" hidden="1" x14ac:dyDescent="0.2">
      <c r="BL37" s="9"/>
      <c r="CB37" s="9"/>
      <c r="CR37" s="9"/>
      <c r="DH37" s="9"/>
      <c r="DX37" s="9"/>
      <c r="EN37" s="9"/>
      <c r="FD37" s="9"/>
      <c r="FT37" s="9"/>
      <c r="GJ37" s="9"/>
      <c r="GZ37" s="9"/>
      <c r="HP37" s="9"/>
      <c r="IF37" s="9"/>
      <c r="IV37" s="9"/>
      <c r="JL37" s="9"/>
      <c r="KB37" s="9"/>
      <c r="KR37" s="9"/>
      <c r="LH37" s="9"/>
      <c r="LX37" s="9"/>
      <c r="MN37" s="9"/>
      <c r="ND37" s="9"/>
      <c r="NT37" s="9"/>
      <c r="OJ37" s="9"/>
    </row>
    <row r="38" spans="64:400" hidden="1" x14ac:dyDescent="0.2">
      <c r="BL38" s="9"/>
      <c r="CB38" s="9"/>
      <c r="CR38" s="9"/>
      <c r="DH38" s="9"/>
      <c r="DX38" s="9"/>
      <c r="EN38" s="9"/>
      <c r="FD38" s="9"/>
      <c r="FT38" s="9"/>
      <c r="GJ38" s="9"/>
      <c r="GZ38" s="9"/>
      <c r="HP38" s="9"/>
      <c r="IF38" s="9"/>
      <c r="IV38" s="9"/>
      <c r="JL38" s="9"/>
      <c r="KB38" s="9"/>
      <c r="KR38" s="9"/>
      <c r="LH38" s="9"/>
      <c r="LX38" s="9"/>
      <c r="MN38" s="9"/>
      <c r="ND38" s="9"/>
      <c r="NT38" s="9"/>
      <c r="OJ38" s="9"/>
    </row>
    <row r="39" spans="64:400" hidden="1" x14ac:dyDescent="0.2">
      <c r="BL39" s="9"/>
      <c r="CB39" s="9"/>
      <c r="CR39" s="9"/>
      <c r="DH39" s="9"/>
      <c r="DX39" s="9"/>
      <c r="EN39" s="9"/>
      <c r="FD39" s="9"/>
      <c r="FT39" s="9"/>
      <c r="GJ39" s="9"/>
      <c r="GZ39" s="9"/>
      <c r="HP39" s="9"/>
      <c r="IF39" s="9"/>
      <c r="IV39" s="9"/>
      <c r="JL39" s="9"/>
      <c r="KB39" s="9"/>
      <c r="KR39" s="9"/>
      <c r="LH39" s="9"/>
      <c r="LX39" s="9"/>
      <c r="MN39" s="9"/>
      <c r="ND39" s="9"/>
      <c r="NT39" s="9"/>
      <c r="OJ39" s="9"/>
    </row>
    <row r="40" spans="64:400" hidden="1" x14ac:dyDescent="0.2">
      <c r="BL40" s="9"/>
      <c r="CB40" s="9"/>
      <c r="CR40" s="9"/>
      <c r="DH40" s="9"/>
      <c r="DX40" s="9"/>
      <c r="EN40" s="9"/>
      <c r="FD40" s="9"/>
      <c r="FT40" s="9"/>
      <c r="GJ40" s="9"/>
      <c r="GZ40" s="9"/>
      <c r="HP40" s="9"/>
      <c r="IF40" s="9"/>
      <c r="IV40" s="9"/>
      <c r="JL40" s="9"/>
      <c r="KB40" s="9"/>
      <c r="KR40" s="9"/>
      <c r="LH40" s="9"/>
      <c r="LX40" s="9"/>
      <c r="MN40" s="9"/>
      <c r="ND40" s="9"/>
      <c r="NT40" s="9"/>
      <c r="OJ40" s="9"/>
    </row>
    <row r="41" spans="64:400" hidden="1" x14ac:dyDescent="0.2">
      <c r="BL41" s="9"/>
      <c r="CB41" s="9"/>
      <c r="CR41" s="9"/>
      <c r="DH41" s="9"/>
      <c r="DX41" s="9"/>
      <c r="EN41" s="9"/>
      <c r="FD41" s="9"/>
      <c r="FT41" s="9"/>
      <c r="GJ41" s="9"/>
      <c r="GZ41" s="9"/>
      <c r="HP41" s="9"/>
      <c r="IF41" s="9"/>
      <c r="IV41" s="9"/>
      <c r="JL41" s="9"/>
      <c r="KB41" s="9"/>
      <c r="KR41" s="9"/>
      <c r="LH41" s="9"/>
      <c r="LX41" s="9"/>
      <c r="MN41" s="9"/>
      <c r="ND41" s="9"/>
      <c r="NT41" s="9"/>
      <c r="OJ41" s="9"/>
    </row>
    <row r="42" spans="64:400" hidden="1" x14ac:dyDescent="0.2">
      <c r="BL42" s="9"/>
      <c r="CB42" s="9"/>
      <c r="CR42" s="9"/>
      <c r="DH42" s="9"/>
      <c r="DX42" s="9"/>
      <c r="EN42" s="9"/>
      <c r="FD42" s="9"/>
      <c r="FT42" s="9"/>
      <c r="GJ42" s="9"/>
      <c r="GZ42" s="9"/>
      <c r="HP42" s="9"/>
      <c r="IF42" s="9"/>
      <c r="IV42" s="9"/>
      <c r="JL42" s="9"/>
      <c r="KB42" s="9"/>
      <c r="KR42" s="9"/>
      <c r="LH42" s="9"/>
      <c r="LX42" s="9"/>
      <c r="MN42" s="9"/>
      <c r="ND42" s="9"/>
      <c r="NT42" s="9"/>
      <c r="OJ42" s="9"/>
    </row>
    <row r="43" spans="64:400" hidden="1" x14ac:dyDescent="0.2">
      <c r="BL43" s="9"/>
      <c r="CB43" s="9"/>
      <c r="CR43" s="9"/>
      <c r="DH43" s="9"/>
      <c r="DX43" s="9"/>
      <c r="EN43" s="9"/>
      <c r="FD43" s="9"/>
      <c r="FT43" s="9"/>
      <c r="GJ43" s="9"/>
      <c r="GZ43" s="9"/>
      <c r="HP43" s="9"/>
      <c r="IF43" s="9"/>
      <c r="IV43" s="9"/>
      <c r="JL43" s="9"/>
      <c r="KB43" s="9"/>
      <c r="KR43" s="9"/>
      <c r="LH43" s="9"/>
      <c r="LX43" s="9"/>
      <c r="MN43" s="9"/>
      <c r="ND43" s="9"/>
      <c r="NT43" s="9"/>
      <c r="OJ43" s="9"/>
    </row>
    <row r="44" spans="64:400" hidden="1" x14ac:dyDescent="0.2">
      <c r="BL44" s="9"/>
      <c r="CB44" s="9"/>
      <c r="CR44" s="9"/>
      <c r="DH44" s="9"/>
      <c r="DX44" s="9"/>
      <c r="EN44" s="9"/>
      <c r="FD44" s="9"/>
      <c r="FT44" s="9"/>
      <c r="GJ44" s="9"/>
      <c r="GZ44" s="9"/>
      <c r="HP44" s="9"/>
      <c r="IF44" s="9"/>
      <c r="IV44" s="9"/>
      <c r="JL44" s="9"/>
      <c r="KB44" s="9"/>
      <c r="KR44" s="9"/>
      <c r="LH44" s="9"/>
      <c r="LX44" s="9"/>
      <c r="MN44" s="9"/>
      <c r="ND44" s="9"/>
      <c r="NT44" s="9"/>
      <c r="OJ44" s="9"/>
    </row>
    <row r="45" spans="64:400" hidden="1" x14ac:dyDescent="0.2">
      <c r="BL45" s="9"/>
      <c r="CB45" s="9"/>
      <c r="CR45" s="9"/>
      <c r="DH45" s="9"/>
      <c r="DX45" s="9"/>
      <c r="EN45" s="9"/>
      <c r="FD45" s="9"/>
      <c r="FT45" s="9"/>
      <c r="GJ45" s="9"/>
      <c r="GZ45" s="9"/>
      <c r="HP45" s="9"/>
      <c r="IF45" s="9"/>
      <c r="IV45" s="9"/>
      <c r="JL45" s="9"/>
      <c r="KB45" s="9"/>
      <c r="KR45" s="9"/>
      <c r="LH45" s="9"/>
      <c r="LX45" s="9"/>
      <c r="MN45" s="9"/>
      <c r="ND45" s="9"/>
      <c r="NT45" s="9"/>
      <c r="OJ45" s="9"/>
    </row>
    <row r="46" spans="64:400" hidden="1" x14ac:dyDescent="0.2">
      <c r="BL46" s="9"/>
      <c r="CB46" s="9"/>
      <c r="CR46" s="9"/>
      <c r="DH46" s="9"/>
      <c r="DX46" s="9"/>
      <c r="EN46" s="9"/>
      <c r="FD46" s="9"/>
      <c r="FT46" s="9"/>
      <c r="GJ46" s="9"/>
      <c r="GZ46" s="9"/>
      <c r="HP46" s="9"/>
      <c r="IF46" s="9"/>
      <c r="IV46" s="9"/>
      <c r="JL46" s="9"/>
      <c r="KB46" s="9"/>
      <c r="KR46" s="9"/>
      <c r="LH46" s="9"/>
      <c r="LX46" s="9"/>
      <c r="MN46" s="9"/>
      <c r="ND46" s="9"/>
      <c r="NT46" s="9"/>
      <c r="OJ46" s="9"/>
    </row>
    <row r="47" spans="64:400" hidden="1" x14ac:dyDescent="0.2">
      <c r="BL47" s="9"/>
      <c r="CB47" s="9"/>
      <c r="CR47" s="9"/>
      <c r="DH47" s="9"/>
      <c r="DX47" s="9"/>
      <c r="EN47" s="9"/>
      <c r="FD47" s="9"/>
      <c r="FT47" s="9"/>
      <c r="GJ47" s="9"/>
      <c r="GZ47" s="9"/>
      <c r="HP47" s="9"/>
      <c r="IF47" s="9"/>
      <c r="IV47" s="9"/>
      <c r="JL47" s="9"/>
      <c r="KB47" s="9"/>
      <c r="KR47" s="9"/>
      <c r="LH47" s="9"/>
      <c r="LX47" s="9"/>
      <c r="MN47" s="9"/>
      <c r="ND47" s="9"/>
      <c r="NT47" s="9"/>
      <c r="OJ47" s="9"/>
    </row>
    <row r="48" spans="64:400" hidden="1" x14ac:dyDescent="0.2">
      <c r="BL48" s="9"/>
      <c r="CB48" s="9"/>
      <c r="CR48" s="9"/>
      <c r="DH48" s="9"/>
      <c r="DX48" s="9"/>
      <c r="EN48" s="9"/>
      <c r="FD48" s="9"/>
      <c r="FT48" s="9"/>
      <c r="GJ48" s="9"/>
      <c r="GZ48" s="9"/>
      <c r="HP48" s="9"/>
      <c r="IF48" s="9"/>
      <c r="IV48" s="9"/>
      <c r="JL48" s="9"/>
      <c r="KB48" s="9"/>
      <c r="KR48" s="9"/>
      <c r="LH48" s="9"/>
      <c r="LX48" s="9"/>
      <c r="MN48" s="9"/>
      <c r="ND48" s="9"/>
      <c r="NT48" s="9"/>
      <c r="OJ48" s="9"/>
    </row>
    <row r="49" spans="1:401" hidden="1" x14ac:dyDescent="0.2">
      <c r="BL49" s="9"/>
      <c r="CB49" s="9"/>
      <c r="CR49" s="9"/>
      <c r="DH49" s="9"/>
      <c r="DX49" s="9"/>
      <c r="EN49" s="9"/>
      <c r="FD49" s="9"/>
      <c r="FT49" s="9"/>
      <c r="GJ49" s="9"/>
      <c r="GZ49" s="9"/>
      <c r="HP49" s="9"/>
      <c r="IF49" s="9"/>
      <c r="IV49" s="9"/>
      <c r="JL49" s="9"/>
      <c r="KB49" s="9"/>
      <c r="KR49" s="9"/>
      <c r="LH49" s="9"/>
      <c r="LX49" s="9"/>
      <c r="MN49" s="9"/>
      <c r="ND49" s="9"/>
      <c r="NT49" s="9"/>
      <c r="OJ49" s="9"/>
    </row>
    <row r="50" spans="1:401" hidden="1" x14ac:dyDescent="0.2">
      <c r="BL50" s="9"/>
      <c r="CB50" s="9"/>
      <c r="CR50" s="9"/>
      <c r="DH50" s="9"/>
      <c r="DX50" s="9"/>
      <c r="EN50" s="9"/>
      <c r="FD50" s="9"/>
      <c r="FT50" s="9"/>
      <c r="GJ50" s="9"/>
      <c r="GZ50" s="9"/>
      <c r="HP50" s="9"/>
      <c r="IF50" s="9"/>
      <c r="IV50" s="9"/>
      <c r="JL50" s="9"/>
      <c r="KB50" s="9"/>
      <c r="KR50" s="9"/>
      <c r="LH50" s="9"/>
      <c r="LX50" s="9"/>
      <c r="MN50" s="9"/>
      <c r="ND50" s="9"/>
      <c r="NT50" s="9"/>
      <c r="OJ50" s="9"/>
    </row>
    <row r="51" spans="1:401" hidden="1" x14ac:dyDescent="0.2">
      <c r="BL51" s="9"/>
      <c r="CB51" s="9"/>
      <c r="CR51" s="9"/>
      <c r="DH51" s="9"/>
      <c r="DX51" s="9"/>
      <c r="EN51" s="9"/>
      <c r="FD51" s="9"/>
      <c r="FT51" s="9"/>
      <c r="GJ51" s="9"/>
      <c r="GZ51" s="9"/>
      <c r="HP51" s="9"/>
      <c r="IF51" s="9"/>
      <c r="IV51" s="9"/>
      <c r="JL51" s="9"/>
      <c r="KB51" s="9"/>
      <c r="KR51" s="9"/>
      <c r="LH51" s="9"/>
      <c r="LX51" s="9"/>
      <c r="MN51" s="9"/>
      <c r="ND51" s="9"/>
      <c r="NT51" s="9"/>
      <c r="OJ51" s="9"/>
    </row>
    <row r="52" spans="1:401" hidden="1" x14ac:dyDescent="0.2">
      <c r="BL52" s="9"/>
      <c r="CB52" s="9"/>
      <c r="CR52" s="9"/>
      <c r="DH52" s="9"/>
      <c r="DX52" s="9"/>
      <c r="EN52" s="9"/>
      <c r="FD52" s="9"/>
      <c r="FT52" s="9"/>
      <c r="GJ52" s="9"/>
      <c r="GZ52" s="9"/>
      <c r="HP52" s="9"/>
      <c r="IF52" s="9"/>
      <c r="IV52" s="9"/>
      <c r="JL52" s="9"/>
      <c r="KB52" s="9"/>
      <c r="KR52" s="9"/>
      <c r="LH52" s="9"/>
      <c r="LX52" s="9"/>
      <c r="MN52" s="9"/>
      <c r="ND52" s="9"/>
      <c r="NT52" s="9"/>
      <c r="OJ52" s="9"/>
    </row>
    <row r="53" spans="1:401" hidden="1" x14ac:dyDescent="0.2">
      <c r="BL53" s="9"/>
      <c r="CB53" s="9"/>
      <c r="CR53" s="9"/>
      <c r="DH53" s="9"/>
      <c r="DX53" s="9"/>
      <c r="EN53" s="9"/>
      <c r="FD53" s="9"/>
      <c r="FT53" s="9"/>
      <c r="GJ53" s="9"/>
      <c r="GZ53" s="9"/>
      <c r="HP53" s="9"/>
      <c r="IF53" s="9"/>
      <c r="IV53" s="9"/>
      <c r="JL53" s="9"/>
      <c r="KB53" s="9"/>
      <c r="KR53" s="9"/>
      <c r="LH53" s="9"/>
      <c r="LX53" s="9"/>
      <c r="MN53" s="9"/>
      <c r="ND53" s="9"/>
      <c r="NT53" s="9"/>
      <c r="OJ53" s="9"/>
    </row>
    <row r="54" spans="1:401" hidden="1" x14ac:dyDescent="0.2">
      <c r="BL54" s="9"/>
      <c r="CB54" s="9"/>
      <c r="CR54" s="9"/>
      <c r="DH54" s="9"/>
      <c r="DX54" s="9"/>
      <c r="EN54" s="9"/>
      <c r="FD54" s="9"/>
      <c r="FT54" s="9"/>
      <c r="GJ54" s="9"/>
      <c r="GZ54" s="9"/>
      <c r="HP54" s="9"/>
      <c r="IF54" s="9"/>
      <c r="IV54" s="9"/>
      <c r="JL54" s="9"/>
      <c r="KB54" s="9"/>
      <c r="KR54" s="9"/>
      <c r="LH54" s="9"/>
      <c r="LX54" s="9"/>
      <c r="MN54" s="9"/>
      <c r="ND54" s="9"/>
      <c r="NT54" s="9"/>
      <c r="OJ54" s="9"/>
    </row>
    <row r="55" spans="1:401" hidden="1" x14ac:dyDescent="0.2">
      <c r="BL55" s="9"/>
      <c r="CB55" s="9"/>
      <c r="CR55" s="9"/>
      <c r="DH55" s="9"/>
      <c r="DX55" s="9"/>
      <c r="EN55" s="9"/>
      <c r="FD55" s="9"/>
      <c r="FT55" s="9"/>
      <c r="GJ55" s="9"/>
      <c r="GZ55" s="9"/>
      <c r="HP55" s="9"/>
      <c r="IF55" s="9"/>
      <c r="IV55" s="9"/>
      <c r="JL55" s="9"/>
      <c r="KB55" s="9"/>
      <c r="KR55" s="9"/>
      <c r="LH55" s="9"/>
      <c r="LX55" s="9"/>
      <c r="MN55" s="9"/>
      <c r="ND55" s="9"/>
      <c r="NT55" s="9"/>
      <c r="OJ55" s="9"/>
    </row>
    <row r="56" spans="1:401" hidden="1" x14ac:dyDescent="0.2">
      <c r="BL56" s="9"/>
      <c r="CB56" s="9"/>
      <c r="CR56" s="9"/>
      <c r="DH56" s="9"/>
      <c r="DX56" s="9"/>
      <c r="EN56" s="9"/>
      <c r="FD56" s="9"/>
      <c r="FT56" s="9"/>
      <c r="GJ56" s="9"/>
      <c r="GZ56" s="9"/>
      <c r="HP56" s="9"/>
      <c r="IF56" s="9"/>
      <c r="IV56" s="9"/>
      <c r="JL56" s="9"/>
      <c r="KB56" s="9"/>
      <c r="KR56" s="9"/>
      <c r="LH56" s="9"/>
      <c r="LX56" s="9"/>
      <c r="MN56" s="9"/>
      <c r="ND56" s="9"/>
      <c r="NT56" s="9"/>
      <c r="OJ56" s="9"/>
    </row>
    <row r="57" spans="1:401" hidden="1" x14ac:dyDescent="0.2">
      <c r="BL57" s="9"/>
      <c r="CB57" s="9"/>
      <c r="CR57" s="9"/>
      <c r="DH57" s="9"/>
      <c r="DX57" s="9"/>
      <c r="EN57" s="9"/>
      <c r="FD57" s="9"/>
      <c r="FT57" s="9"/>
      <c r="GJ57" s="9"/>
      <c r="GZ57" s="9"/>
      <c r="HP57" s="9"/>
      <c r="IF57" s="9"/>
      <c r="IV57" s="9"/>
      <c r="JL57" s="9"/>
      <c r="KB57" s="9"/>
      <c r="KR57" s="9"/>
      <c r="LH57" s="9"/>
      <c r="LX57" s="9"/>
      <c r="MN57" s="9"/>
      <c r="ND57" s="9"/>
      <c r="NT57" s="9"/>
      <c r="OJ57" s="9"/>
    </row>
    <row r="58" spans="1:401" hidden="1" x14ac:dyDescent="0.2">
      <c r="BL58" s="9"/>
      <c r="CB58" s="9"/>
      <c r="CR58" s="9"/>
      <c r="DH58" s="9"/>
      <c r="DX58" s="9"/>
      <c r="EN58" s="9"/>
      <c r="FD58" s="9"/>
      <c r="FT58" s="9"/>
      <c r="GJ58" s="9"/>
      <c r="GZ58" s="9"/>
      <c r="HP58" s="9"/>
      <c r="IF58" s="9"/>
      <c r="IV58" s="9"/>
      <c r="JL58" s="9"/>
      <c r="KB58" s="9"/>
      <c r="KR58" s="9"/>
      <c r="LH58" s="9"/>
      <c r="LX58" s="9"/>
      <c r="MN58" s="9"/>
      <c r="ND58" s="9"/>
      <c r="NT58" s="9"/>
      <c r="OJ58" s="9"/>
    </row>
    <row r="59" spans="1:401" hidden="1" x14ac:dyDescent="0.2">
      <c r="BL59" s="9"/>
      <c r="CB59" s="9"/>
      <c r="CR59" s="9"/>
      <c r="DH59" s="9"/>
      <c r="DX59" s="9"/>
      <c r="EN59" s="9"/>
      <c r="FD59" s="9"/>
      <c r="FT59" s="9"/>
      <c r="GJ59" s="9"/>
      <c r="GZ59" s="9"/>
      <c r="HP59" s="9"/>
      <c r="IF59" s="9"/>
      <c r="IV59" s="9"/>
      <c r="JL59" s="9"/>
      <c r="KB59" s="9"/>
      <c r="KR59" s="9"/>
      <c r="LH59" s="9"/>
      <c r="LX59" s="9"/>
      <c r="MN59" s="9"/>
      <c r="ND59" s="9"/>
      <c r="NT59" s="9"/>
      <c r="OJ59" s="9"/>
    </row>
    <row r="60" spans="1:401" hidden="1" x14ac:dyDescent="0.2">
      <c r="BL60" s="9"/>
      <c r="CB60" s="9"/>
      <c r="CR60" s="9"/>
      <c r="DH60" s="9"/>
      <c r="DX60" s="9"/>
      <c r="EN60" s="9"/>
      <c r="FD60" s="9"/>
      <c r="FT60" s="9"/>
      <c r="GJ60" s="9"/>
      <c r="GZ60" s="9"/>
      <c r="HP60" s="9"/>
      <c r="IF60" s="9"/>
      <c r="IV60" s="9"/>
      <c r="JL60" s="9"/>
      <c r="KB60" s="9"/>
      <c r="KR60" s="9"/>
      <c r="LH60" s="9"/>
      <c r="LX60" s="9"/>
      <c r="MN60" s="9"/>
      <c r="ND60" s="9"/>
      <c r="NT60" s="9"/>
      <c r="OJ60" s="9"/>
    </row>
    <row r="61" spans="1:401" hidden="1" x14ac:dyDescent="0.2">
      <c r="BL61" s="9"/>
      <c r="CB61" s="9"/>
      <c r="CR61" s="9"/>
      <c r="DH61" s="9"/>
      <c r="DX61" s="9"/>
      <c r="EN61" s="9"/>
      <c r="FD61" s="9"/>
      <c r="FT61" s="9"/>
      <c r="GJ61" s="9"/>
      <c r="GZ61" s="9"/>
      <c r="HP61" s="9"/>
      <c r="IF61" s="9"/>
      <c r="IV61" s="9"/>
      <c r="JL61" s="9"/>
      <c r="KB61" s="9"/>
      <c r="KR61" s="9"/>
      <c r="LH61" s="9"/>
      <c r="LX61" s="9"/>
      <c r="MN61" s="9"/>
      <c r="ND61" s="9"/>
      <c r="NT61" s="9"/>
      <c r="OJ61" s="9"/>
    </row>
    <row r="62" spans="1:401" x14ac:dyDescent="0.2">
      <c r="AZ62" s="16"/>
      <c r="BA62" s="16"/>
      <c r="BB62" s="16"/>
      <c r="BC62" s="16"/>
      <c r="BD62" s="30"/>
      <c r="BE62" s="30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30"/>
      <c r="BS62" s="16"/>
      <c r="BT62" s="16"/>
      <c r="BU62" s="30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30"/>
      <c r="CX62" s="30"/>
      <c r="CY62" s="30"/>
      <c r="CZ62" s="16"/>
      <c r="DA62" s="30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30"/>
      <c r="DP62" s="16"/>
      <c r="DQ62" s="30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30"/>
      <c r="EC62" s="16"/>
      <c r="ED62" s="29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30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30"/>
      <c r="FY62" s="30"/>
      <c r="FZ62" s="16"/>
      <c r="GA62" s="16"/>
      <c r="GB62" s="16"/>
      <c r="GC62" s="30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29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30"/>
      <c r="IA62" s="16"/>
      <c r="IB62" s="30"/>
      <c r="IF62" s="9"/>
      <c r="IV62" s="9"/>
      <c r="JL62" s="9"/>
      <c r="KB62" s="9"/>
      <c r="KR62" s="9"/>
      <c r="LH62" s="9"/>
      <c r="LX62" s="9"/>
      <c r="MN62" s="9"/>
      <c r="ND62" s="9"/>
      <c r="NT62" s="9"/>
      <c r="OJ62" s="9"/>
    </row>
    <row r="63" spans="1:401" x14ac:dyDescent="0.2">
      <c r="A63" s="5" t="s">
        <v>45</v>
      </c>
      <c r="AH63" s="12"/>
      <c r="AI63" s="12"/>
      <c r="AJ63" s="12"/>
      <c r="AK63" s="12"/>
      <c r="AL63" s="12"/>
      <c r="AM63" s="12"/>
      <c r="AN63" s="12"/>
      <c r="AO63" s="12"/>
      <c r="AP63" s="12"/>
      <c r="BL63" s="9"/>
      <c r="CB63" s="9"/>
      <c r="CR63" s="9"/>
      <c r="DH63" s="9"/>
      <c r="DX63" s="9"/>
      <c r="EN63" s="9"/>
      <c r="FD63" s="9"/>
      <c r="FT63" s="9"/>
      <c r="GJ63" s="9"/>
      <c r="GZ63" s="9"/>
      <c r="HP63" s="9"/>
      <c r="IF63" s="9"/>
      <c r="IV63" s="9"/>
      <c r="JL63" s="9"/>
      <c r="KB63" s="9"/>
      <c r="KR63" s="9"/>
      <c r="LH63" s="9"/>
      <c r="LX63" s="9"/>
      <c r="MN63" s="9"/>
      <c r="ND63" s="9"/>
      <c r="NT63" s="9"/>
      <c r="OJ63" s="9"/>
    </row>
    <row r="64" spans="1:401" x14ac:dyDescent="0.2">
      <c r="A64" t="s">
        <v>1292</v>
      </c>
      <c r="B64" s="12">
        <f>P64+AH64+AZ64+BP64+CF64+CV64+DL64+EB64+ER64+FH64+FX64+GN64+HD64+HT64+IJ64+IZ64+JP64+KF64+KV64+LL64+MB64+MR64+NH64+NX64</f>
        <v>0</v>
      </c>
      <c r="C64" s="12">
        <f t="shared" ref="C64:J69" si="315">Q64+AI64+BA64+BQ64+CG64+CW64+DM64+EC64+ES64+FI64+FY64+GO64+HE64+HU64+IK64+JA64+JQ64+KG64+KW64+LM64+MC64+MS64+NI64+NY64</f>
        <v>0</v>
      </c>
      <c r="D64" s="12">
        <f t="shared" si="315"/>
        <v>0</v>
      </c>
      <c r="E64" s="12">
        <f t="shared" si="315"/>
        <v>0</v>
      </c>
      <c r="F64" s="12">
        <f t="shared" si="315"/>
        <v>0</v>
      </c>
      <c r="G64" s="12">
        <f t="shared" si="315"/>
        <v>0</v>
      </c>
      <c r="H64" s="12">
        <f t="shared" si="315"/>
        <v>0</v>
      </c>
      <c r="I64" s="12">
        <f t="shared" si="315"/>
        <v>0</v>
      </c>
      <c r="J64" s="12">
        <f t="shared" si="315"/>
        <v>0</v>
      </c>
      <c r="P64" s="12" cm="1">
        <f t="array" ref="P64">_xlfn.SWITCH(P$4, 0,0, 1, AA64,2,AC64,3,AE64,0)</f>
        <v>0</v>
      </c>
      <c r="Q64" s="12" cm="1">
        <f t="array" ref="Q64">_xlfn.SWITCH(Q$4, 0,0, 1, AA64,2,AC64,3,AE64,0)+P64</f>
        <v>0</v>
      </c>
      <c r="R64" s="12" cm="1">
        <f t="array" ref="R64">_xlfn.SWITCH(R$4, 0,0, 1, AA64,2,AC64,3,AE64,0)+Q64</f>
        <v>0</v>
      </c>
      <c r="S64" s="12" cm="1">
        <f t="array" ref="S64">_xlfn.SWITCH(S$4, 0,0, 1, AA64,2,AC64,3,AE64,0)+R64</f>
        <v>0</v>
      </c>
      <c r="T64" s="12" cm="1">
        <f t="array" ref="T64">_xlfn.SWITCH(T$4, 0,0, 1, AA64,2,AC64,3,AE64,0)+S64</f>
        <v>0</v>
      </c>
      <c r="U64" s="12" cm="1">
        <f t="array" ref="U64">_xlfn.SWITCH(U$4, 0,0, 1, AA64,2,AC64,3,AE64,0)+T64</f>
        <v>0</v>
      </c>
      <c r="V64" s="12" cm="1">
        <f t="array" ref="V64">_xlfn.SWITCH(V$4, 0,0, 1, AA64,2,AC64,3,AE64,0)+U64</f>
        <v>0</v>
      </c>
      <c r="W64" s="12" cm="1">
        <f t="array" ref="W64">_xlfn.SWITCH(W$4, 0,0, 1, AA64,2,AC64,3,AE64,0)+V64</f>
        <v>0</v>
      </c>
      <c r="X64" s="12" cm="1">
        <f t="array" ref="X64">_xlfn.SWITCH(X$4, 0,0, 1, AA64,2,AC64,3,AE64,0)+W64</f>
        <v>0</v>
      </c>
      <c r="Z64" t="s">
        <v>1304</v>
      </c>
      <c r="AA64">
        <f>_xlfn.XLOOKUP(Z64,'KPI Impacts'!$K$2:$Q$2,'KPI Impacts'!$K64:$Q64)</f>
        <v>0</v>
      </c>
      <c r="AB64" t="s">
        <v>1304</v>
      </c>
      <c r="AC64">
        <f>_xlfn.XLOOKUP(AB64,'KPI Impacts'!$K$2:$Q$2,'KPI Impacts'!$K64:$Q64)</f>
        <v>0</v>
      </c>
      <c r="AD64" t="s">
        <v>1304</v>
      </c>
      <c r="AE64">
        <f>_xlfn.XLOOKUP(AD64,'KPI Impacts'!$K$2:$Q$2,'KPI Impacts'!$K64:$Q64)</f>
        <v>0</v>
      </c>
      <c r="AH64" s="12" cm="1">
        <f t="array" ref="AH64">_xlfn.SWITCH(AH$4, 0,0, 1, AS64,2,AU64,3,AW64,0)</f>
        <v>0</v>
      </c>
      <c r="AI64" s="12" cm="1">
        <f t="array" ref="AI64">_xlfn.SWITCH(AI$4, 0,0, 1, AS64,2,AU64,3,AW64,0)+AH64</f>
        <v>0</v>
      </c>
      <c r="AJ64" s="12" cm="1">
        <f t="array" ref="AJ64">_xlfn.SWITCH(AJ$4, 0,0, 1, AS64,2,AU64,3,AW64,0)+AI64</f>
        <v>0</v>
      </c>
      <c r="AK64" s="12" cm="1">
        <f t="array" ref="AK64">_xlfn.SWITCH(AK$4, 0,0, 1, AS64,2,AU64,3,AW64,0)+AJ64</f>
        <v>0</v>
      </c>
      <c r="AL64" s="12" cm="1">
        <f t="array" ref="AL64">_xlfn.SWITCH(AL$4, 0,0, 1, AS64,2,AU64,3,AW64,0)+AK64</f>
        <v>0</v>
      </c>
      <c r="AM64" s="12" cm="1">
        <f t="array" ref="AM64">_xlfn.SWITCH(AM$4, 0,0, 1, AS64,2,AU64,3,AW64,0)+AL64</f>
        <v>0</v>
      </c>
      <c r="AN64" s="12" cm="1">
        <f t="array" ref="AN64">_xlfn.SWITCH(AN$4, 0,0, 1, AS64,2,AU64,3,AW64,0)+AM64</f>
        <v>0</v>
      </c>
      <c r="AO64" s="12" cm="1">
        <f t="array" ref="AO64">_xlfn.SWITCH(AO$4, 0,0, 1, AS64,2,AU64,3,AW64,0)+AN64</f>
        <v>0</v>
      </c>
      <c r="AP64" s="12" cm="1">
        <f t="array" ref="AP64">_xlfn.SWITCH(AP$4, 0,0, 1, AS64,2,AU64,3,AW64,0)+AO64</f>
        <v>0</v>
      </c>
      <c r="AR64" t="s">
        <v>1308</v>
      </c>
      <c r="AS64">
        <f>_xlfn.XLOOKUP(AR64,'KPI Impacts'!$K$2:$Q$2,'KPI Impacts'!$K64:$Q64)</f>
        <v>0.3</v>
      </c>
      <c r="AT64" t="s">
        <v>1310</v>
      </c>
      <c r="AU64">
        <f>_xlfn.XLOOKUP(AT64,'KPI Impacts'!$K$2:$Q$2,'KPI Impacts'!$K64:$Q64)</f>
        <v>0.44999999999999996</v>
      </c>
      <c r="AV64" t="s">
        <v>1309</v>
      </c>
      <c r="AW64">
        <f>_xlfn.XLOOKUP(AV64,'KPI Impacts'!$K$2:$Q$2,'KPI Impacts'!$K64:$Q64)</f>
        <v>0.6</v>
      </c>
      <c r="AZ64" s="12">
        <f t="shared" ref="AZ64:AZ69" si="316">AZ$4*BK64</f>
        <v>0</v>
      </c>
      <c r="BA64" s="12">
        <f t="shared" ref="BA64:BA69" si="317">BA$4 * IF(AND(AZ$4=1,AZ$20=1), BM64, BK64)</f>
        <v>0</v>
      </c>
      <c r="BB64" s="12">
        <f t="shared" ref="BB64:BB69" si="318">BB$4 * IF(AND(BA$4=1,AZ$20=1), BM64, BK64)</f>
        <v>0</v>
      </c>
      <c r="BC64" s="12">
        <f t="shared" ref="BC64:BC69" si="319">BC$4 * IF(AND(BB$4=1,AZ$20=1), BM64, BK64)</f>
        <v>0</v>
      </c>
      <c r="BD64" s="12">
        <f t="shared" ref="BD64:BD69" si="320">BD$4 * IF(AND(BC$4=1,AZ$20=1), BM64, BK64)</f>
        <v>0</v>
      </c>
      <c r="BE64" s="12">
        <f t="shared" ref="BE64:BE69" si="321">BE$4 * IF(AND(BD$4=1,AZ$20=1), BM64, BK64)</f>
        <v>0</v>
      </c>
      <c r="BF64" s="12">
        <f t="shared" ref="BF64:BF69" si="322">BF$4 * IF(AND(BE$4=1,AZ$20=1), BM64, BK64)</f>
        <v>0</v>
      </c>
      <c r="BG64" s="12">
        <f t="shared" ref="BG64:BG69" si="323">BG$4 * IF(AND(BF$4=1,AZ$20=1), BM64, BK64)</f>
        <v>0</v>
      </c>
      <c r="BH64" s="12">
        <f t="shared" ref="BH64:BH69" si="324">BH$4 * IF(AND(BG$4=1,AZ$20=1), BM64, BK64)</f>
        <v>0</v>
      </c>
      <c r="BJ64" s="16" t="s">
        <v>1304</v>
      </c>
      <c r="BK64">
        <f>_xlfn.XLOOKUP(BJ64,'KPI Impacts'!$B$2:$H$2,'KPI Impacts'!$B64:$H64)</f>
        <v>0</v>
      </c>
      <c r="BL64" s="35" t="s">
        <v>1304</v>
      </c>
      <c r="BM64">
        <f>_xlfn.XLOOKUP(BL64,'KPI Impacts'!$B$2:$H$2,'KPI Impacts'!$B64:$H64)</f>
        <v>0</v>
      </c>
      <c r="BP64" s="12">
        <f t="shared" ref="BP64:BP69" si="325">BP$4*CA64</f>
        <v>0</v>
      </c>
      <c r="BQ64" s="12">
        <f t="shared" ref="BQ64:BQ69" si="326">BQ$4 * IF(AND(BP$4=1,BP$20=1), CC64, CA64)</f>
        <v>0</v>
      </c>
      <c r="BR64" s="12">
        <f t="shared" ref="BR64:BR69" si="327">BR$4 * IF(AND(BQ$4=1,BP$20=1), CC64, CA64)</f>
        <v>0</v>
      </c>
      <c r="BS64" s="12">
        <f t="shared" ref="BS64:BS69" si="328">BS$4 * IF(AND(BR$4=1,BP$20=1), CC64, CA64)</f>
        <v>0</v>
      </c>
      <c r="BT64" s="12">
        <f t="shared" ref="BT64:BT69" si="329">BT$4 * IF(AND(BS$4=1,BP$20=1), CC64, CA64)</f>
        <v>0</v>
      </c>
      <c r="BU64" s="12">
        <f t="shared" ref="BU64:BU69" si="330">BU$4 * IF(AND(BT$4=1,BP$20=1), CC64, CA64)</f>
        <v>0</v>
      </c>
      <c r="BV64" s="12">
        <f t="shared" ref="BV64:BV69" si="331">BV$4 * IF(AND(BU$4=1,BP$20=1), CC64, CA64)</f>
        <v>0</v>
      </c>
      <c r="BW64" s="12">
        <f t="shared" ref="BW64:BW69" si="332">BW$4 * IF(AND(BV$4=1,BP$20=1), CC64, CA64)</f>
        <v>0</v>
      </c>
      <c r="BX64" s="12">
        <f t="shared" ref="BX64:BX69" si="333">BX$4 * IF(AND(BW$4=1,BP$20=1), CC64, CA64)</f>
        <v>0</v>
      </c>
      <c r="BZ64" s="16" t="s">
        <v>1304</v>
      </c>
      <c r="CA64">
        <f>_xlfn.XLOOKUP(BZ64,'KPI Impacts'!$B$2:$H$2,'KPI Impacts'!$B64:$H64)</f>
        <v>0</v>
      </c>
      <c r="CB64" s="35" t="s">
        <v>1304</v>
      </c>
      <c r="CC64">
        <f>_xlfn.XLOOKUP(CB64,'KPI Impacts'!$B$2:$H$2,'KPI Impacts'!$B64:$H64)</f>
        <v>0</v>
      </c>
      <c r="CF64" s="12">
        <f t="shared" ref="CF64:CF69" si="334">CF$4*CQ64</f>
        <v>0</v>
      </c>
      <c r="CG64" s="12">
        <f t="shared" ref="CG64:CG69" si="335">CG$4 * IF(AND(CF$4=1,CF$20=1), CS64, CQ64)</f>
        <v>0</v>
      </c>
      <c r="CH64" s="12">
        <f t="shared" ref="CH64:CH69" si="336">CH$4 * IF(AND(CG$4=1,CF$20=1), CS64, CQ64)</f>
        <v>0</v>
      </c>
      <c r="CI64" s="12">
        <f t="shared" ref="CI64:CI69" si="337">CI$4 * IF(AND(CH$4=1,CF$20=1), CS64, CQ64)</f>
        <v>0</v>
      </c>
      <c r="CJ64" s="12">
        <f t="shared" ref="CJ64:CJ69" si="338">CJ$4 * IF(AND(CI$4=1,CF$20=1), CS64, CQ64)</f>
        <v>0</v>
      </c>
      <c r="CK64" s="12">
        <f t="shared" ref="CK64:CK69" si="339">CK$4 * IF(AND(CJ$4=1,CF$20=1), CS64, CQ64)</f>
        <v>0</v>
      </c>
      <c r="CL64" s="12">
        <f t="shared" ref="CL64:CL69" si="340">CL$4 * IF(AND(CK$4=1,CF$20=1), CS64, CQ64)</f>
        <v>0</v>
      </c>
      <c r="CM64" s="12">
        <f t="shared" ref="CM64:CM69" si="341">CM$4 * IF(AND(CL$4=1,CF$20=1), CS64, CQ64)</f>
        <v>0</v>
      </c>
      <c r="CN64" s="12">
        <f t="shared" ref="CN64:CN69" si="342">CN$4 * IF(AND(CM$4=1,CF$20=1), CS64, CQ64)</f>
        <v>0</v>
      </c>
      <c r="CP64" s="16" t="s">
        <v>1304</v>
      </c>
      <c r="CQ64">
        <f>_xlfn.XLOOKUP(CP64,'KPI Impacts'!$B$2:$H$2,'KPI Impacts'!$B64:$H64)</f>
        <v>0</v>
      </c>
      <c r="CR64" s="35" t="s">
        <v>1304</v>
      </c>
      <c r="CS64">
        <f>_xlfn.XLOOKUP(CR64,'KPI Impacts'!$B$2:$H$2,'KPI Impacts'!$B64:$H64)</f>
        <v>0</v>
      </c>
      <c r="CV64" s="12">
        <f t="shared" ref="CV64:CV69" si="343">CV$4*DG64</f>
        <v>0</v>
      </c>
      <c r="CW64" s="12">
        <f t="shared" ref="CW64:CW69" si="344">CW$4 * IF(AND(CV$4=1,CV$20=1), DI64, DG64)</f>
        <v>0</v>
      </c>
      <c r="CX64" s="12">
        <f t="shared" ref="CX64:CX69" si="345">CX$4 * IF(AND(CW$4=1,CV$20=1), DI64, DG64)</f>
        <v>0</v>
      </c>
      <c r="CY64" s="12">
        <f t="shared" ref="CY64:CY69" si="346">CY$4 * IF(AND(CX$4=1,CV$20=1), DI64, DG64)</f>
        <v>0</v>
      </c>
      <c r="CZ64" s="12">
        <f t="shared" ref="CZ64:CZ69" si="347">CZ$4 * IF(AND(CY$4=1,CV$20=1), DI64, DG64)</f>
        <v>0</v>
      </c>
      <c r="DA64" s="12">
        <f t="shared" ref="DA64:DA69" si="348">DA$4 * IF(AND(CZ$4=1,CV$20=1), DI64, DG64)</f>
        <v>0</v>
      </c>
      <c r="DB64" s="12">
        <f t="shared" ref="DB64:DB69" si="349">DB$4 * IF(AND(DA$4=1,CV$20=1), DI64, DG64)</f>
        <v>0</v>
      </c>
      <c r="DC64" s="12">
        <f t="shared" ref="DC64:DC69" si="350">DC$4 * IF(AND(DB$4=1,CV$20=1), DI64, DG64)</f>
        <v>0</v>
      </c>
      <c r="DD64" s="12">
        <f t="shared" ref="DD64:DD69" si="351">DD$4 * IF(AND(DC$4=1,CV$20=1), DI64, DG64)</f>
        <v>0</v>
      </c>
      <c r="DF64" s="16" t="s">
        <v>1304</v>
      </c>
      <c r="DG64">
        <f>_xlfn.XLOOKUP(DF64,'KPI Impacts'!$B$2:$H$2,'KPI Impacts'!$B64:$H64)</f>
        <v>0</v>
      </c>
      <c r="DH64" s="35" t="s">
        <v>1304</v>
      </c>
      <c r="DI64">
        <f>_xlfn.XLOOKUP(DH64,'KPI Impacts'!$B$2:$H$2,'KPI Impacts'!$B64:$H64)</f>
        <v>0</v>
      </c>
      <c r="DL64" s="12">
        <f t="shared" ref="DL64:DL69" si="352">DL$4*DW64</f>
        <v>0</v>
      </c>
      <c r="DM64" s="12">
        <f t="shared" ref="DM64:DM69" si="353">DM$4 * IF(AND(DL$4=1,DL$20=1), DY64, DW64)</f>
        <v>0</v>
      </c>
      <c r="DN64" s="12">
        <f t="shared" ref="DN64:DN69" si="354">DN$4 * IF(AND(DM$4=1,DL$20=1), DY64, DW64)</f>
        <v>0</v>
      </c>
      <c r="DO64" s="12">
        <f t="shared" ref="DO64:DO69" si="355">DO$4 * IF(AND(DN$4=1,DL$20=1), DY64, DW64)</f>
        <v>0</v>
      </c>
      <c r="DP64" s="12">
        <f t="shared" ref="DP64:DP69" si="356">DP$4 * IF(AND(DO$4=1,DL$20=1), DY64, DW64)</f>
        <v>0</v>
      </c>
      <c r="DQ64" s="12">
        <f t="shared" ref="DQ64:DQ69" si="357">DQ$4 * IF(AND(DP$4=1,DL$20=1), DY64, DW64)</f>
        <v>0</v>
      </c>
      <c r="DR64" s="12">
        <f t="shared" ref="DR64:DR69" si="358">DR$4 * IF(AND(DQ$4=1,DL$20=1), DY64, DW64)</f>
        <v>0</v>
      </c>
      <c r="DS64" s="12">
        <f t="shared" ref="DS64:DS69" si="359">DS$4 * IF(AND(DR$4=1,DL$20=1), DY64, DW64)</f>
        <v>0</v>
      </c>
      <c r="DT64" s="12">
        <f t="shared" ref="DT64:DT69" si="360">DT$4 * IF(AND(DS$4=1,DL$20=1), DY64, DW64)</f>
        <v>0</v>
      </c>
      <c r="DV64" s="16" t="s">
        <v>1304</v>
      </c>
      <c r="DW64">
        <f>_xlfn.XLOOKUP(DV64,'KPI Impacts'!$B$2:$H$2,'KPI Impacts'!$B64:$H64)</f>
        <v>0</v>
      </c>
      <c r="DX64" s="35" t="s">
        <v>1304</v>
      </c>
      <c r="DY64">
        <f>_xlfn.XLOOKUP(DX64,'KPI Impacts'!$B$2:$H$2,'KPI Impacts'!$B64:$H64)</f>
        <v>0</v>
      </c>
      <c r="EB64" s="12">
        <f t="shared" ref="EB64:EB69" si="361">EB$4*EM64</f>
        <v>0</v>
      </c>
      <c r="EC64" s="12">
        <f t="shared" ref="EC64:EC69" si="362">EC$4 * IF(AND(EB$4=1,EB$20=1), EO64, EM64)</f>
        <v>0</v>
      </c>
      <c r="ED64" s="12">
        <f t="shared" ref="ED64:ED69" si="363">ED$4 * IF(AND(EC$4=1,EB$20=1), EO64, EM64)</f>
        <v>0</v>
      </c>
      <c r="EE64" s="12">
        <f t="shared" ref="EE64:EE69" si="364">EE$4 * IF(AND(ED$4=1,EB$20=1), EO64, EM64)</f>
        <v>0</v>
      </c>
      <c r="EF64" s="12">
        <f t="shared" ref="EF64:EF69" si="365">EF$4 * IF(AND(EE$4=1,EB$20=1), EO64, EM64)</f>
        <v>0</v>
      </c>
      <c r="EG64" s="12">
        <f t="shared" ref="EG64:EG69" si="366">EG$4 * IF(AND(EF$4=1,EB$20=1), EO64, EM64)</f>
        <v>0</v>
      </c>
      <c r="EH64" s="12">
        <f t="shared" ref="EH64:EH69" si="367">EH$4 * IF(AND(EG$4=1,EB$20=1), EO64, EM64)</f>
        <v>0</v>
      </c>
      <c r="EI64" s="12">
        <f t="shared" ref="EI64:EI69" si="368">EI$4 * IF(AND(EH$4=1,EB$20=1), EO64, EM64)</f>
        <v>0</v>
      </c>
      <c r="EJ64" s="12">
        <f t="shared" ref="EJ64:EJ69" si="369">EJ$4 * IF(AND(EI$4=1,EB$20=1), EO64, EM64)</f>
        <v>0</v>
      </c>
      <c r="EL64" s="30" t="s">
        <v>1308</v>
      </c>
      <c r="EM64">
        <f>_xlfn.XLOOKUP(EL64,'KPI Impacts'!$B$2:$H$2,'KPI Impacts'!$B64:$H64)</f>
        <v>1</v>
      </c>
      <c r="EN64" s="35" t="s">
        <v>1304</v>
      </c>
      <c r="EO64">
        <f>_xlfn.XLOOKUP(EN64,'KPI Impacts'!$B$2:$H$2,'KPI Impacts'!$B64:$H64)</f>
        <v>0</v>
      </c>
      <c r="ER64" s="12">
        <f t="shared" ref="ER64:ER69" si="370">ER$4*FC64</f>
        <v>0</v>
      </c>
      <c r="ES64" s="12">
        <f t="shared" ref="ES64:ES69" si="371">ES$4 * IF(AND(ER$4=1,ER$20=1), FE64, FC64)</f>
        <v>0</v>
      </c>
      <c r="ET64" s="12">
        <f t="shared" ref="ET64:ET69" si="372">ET$4 * IF(AND(ES$4=1,ER$20=1), FE64, FC64)</f>
        <v>0</v>
      </c>
      <c r="EU64" s="12">
        <f t="shared" ref="EU64:EU69" si="373">EU$4 * IF(AND(ET$4=1,ER$20=1), FE64, FC64)</f>
        <v>0</v>
      </c>
      <c r="EV64" s="12">
        <f t="shared" ref="EV64:EV69" si="374">EV$4 * IF(AND(EU$4=1,ER$20=1), FE64, FC64)</f>
        <v>0</v>
      </c>
      <c r="EW64" s="12">
        <f t="shared" ref="EW64:EW69" si="375">EW$4 * IF(AND(EV$4=1,ER$20=1), FE64, FC64)</f>
        <v>0</v>
      </c>
      <c r="EX64" s="12">
        <f t="shared" ref="EX64:EX69" si="376">EX$4 * IF(AND(EW$4=1,ER$20=1), FE64, FC64)</f>
        <v>0</v>
      </c>
      <c r="EY64" s="12">
        <f t="shared" ref="EY64:EY69" si="377">EY$4 * IF(AND(EX$4=1,ER$20=1), FE64, FC64)</f>
        <v>0</v>
      </c>
      <c r="EZ64" s="12">
        <f t="shared" ref="EZ64:EZ69" si="378">EZ$4 * IF(AND(EY$4=1,ER$20=1), FE64, FC64)</f>
        <v>0</v>
      </c>
      <c r="FB64" s="16" t="s">
        <v>1304</v>
      </c>
      <c r="FC64">
        <f>_xlfn.XLOOKUP(FB64,'KPI Impacts'!$B$2:$H$2,'KPI Impacts'!$B64:$H64)</f>
        <v>0</v>
      </c>
      <c r="FD64" s="35" t="s">
        <v>1304</v>
      </c>
      <c r="FE64">
        <f>_xlfn.XLOOKUP(FD64,'KPI Impacts'!$B$2:$H$2,'KPI Impacts'!$B64:$H64)</f>
        <v>0</v>
      </c>
      <c r="FH64" s="12">
        <f t="shared" ref="FH64:FH69" si="379">FH$4*FS64</f>
        <v>0</v>
      </c>
      <c r="FI64" s="12">
        <f t="shared" ref="FI64:FI69" si="380">FI$4 * IF(AND(FH$4=1,FH$20=1), FU64, FS64)</f>
        <v>0</v>
      </c>
      <c r="FJ64" s="12">
        <f t="shared" ref="FJ64:FJ69" si="381">FJ$4 * IF(AND(FI$4=1,FH$20=1), FU64, FS64)</f>
        <v>0</v>
      </c>
      <c r="FK64" s="12">
        <f t="shared" ref="FK64:FK69" si="382">FK$4 * IF(AND(FJ$4=1,FH$20=1), FU64, FS64)</f>
        <v>0</v>
      </c>
      <c r="FL64" s="12">
        <f t="shared" ref="FL64:FL69" si="383">FL$4 * IF(AND(FK$4=1,FH$20=1), FU64, FS64)</f>
        <v>0</v>
      </c>
      <c r="FM64" s="12">
        <f t="shared" ref="FM64:FM69" si="384">FM$4 * IF(AND(FL$4=1,FH$20=1), FU64, FS64)</f>
        <v>0</v>
      </c>
      <c r="FN64" s="12">
        <f t="shared" ref="FN64:FN69" si="385">FN$4 * IF(AND(FM$4=1,FH$20=1), FU64, FS64)</f>
        <v>0</v>
      </c>
      <c r="FO64" s="12">
        <f t="shared" ref="FO64:FO69" si="386">FO$4 * IF(AND(FN$4=1,FH$20=1), FU64, FS64)</f>
        <v>0</v>
      </c>
      <c r="FP64" s="12">
        <f t="shared" ref="FP64:FP69" si="387">FP$4 * IF(AND(FO$4=1,FH$20=1), FU64, FS64)</f>
        <v>0</v>
      </c>
      <c r="FR64" s="30" t="s">
        <v>1308</v>
      </c>
      <c r="FS64">
        <f>_xlfn.XLOOKUP(FR64,'KPI Impacts'!$B$2:$H$2,'KPI Impacts'!$B64:$H64)</f>
        <v>1</v>
      </c>
      <c r="FT64" s="9" t="s">
        <v>1304</v>
      </c>
      <c r="FU64">
        <f>_xlfn.XLOOKUP(FT64,'KPI Impacts'!$B$2:$H$2,'KPI Impacts'!$B64:$H64)</f>
        <v>0</v>
      </c>
      <c r="FX64" s="12">
        <f t="shared" ref="FX64:FX69" si="388">FX$4*GI64</f>
        <v>0</v>
      </c>
      <c r="FY64" s="12">
        <f t="shared" ref="FY64:FY69" si="389">FY$4 * IF(AND(FX$4=1,FX$20=1), GK64, GI64)</f>
        <v>0</v>
      </c>
      <c r="FZ64" s="12">
        <f t="shared" ref="FZ64:FZ69" si="390">FZ$4 * IF(AND(FY$4=1,FX$20=1), GK64, GI64)</f>
        <v>0</v>
      </c>
      <c r="GA64" s="12">
        <f t="shared" ref="GA64:GA69" si="391">GA$4 * IF(AND(FZ$4=1,FX$20=1), GK64, GI64)</f>
        <v>0</v>
      </c>
      <c r="GB64" s="12">
        <f t="shared" ref="GB64:GB69" si="392">GB$4 * IF(AND(GA$4=1,FX$20=1), GK64, GI64)</f>
        <v>0</v>
      </c>
      <c r="GC64" s="12">
        <f t="shared" ref="GC64:GC69" si="393">GC$4 * IF(AND(GB$4=1,FX$20=1), GK64, GI64)</f>
        <v>0</v>
      </c>
      <c r="GD64" s="12">
        <f t="shared" ref="GD64:GD69" si="394">GD$4 * IF(AND(GC$4=1,FX$20=1), GK64, GI64)</f>
        <v>0</v>
      </c>
      <c r="GE64" s="12">
        <f t="shared" ref="GE64:GE69" si="395">GE$4 * IF(AND(GD$4=1,FX$20=1), GK64, GI64)</f>
        <v>0</v>
      </c>
      <c r="GF64" s="12">
        <f t="shared" ref="GF64:GF69" si="396">GF$4 * IF(AND(GE$4=1,FX$20=1), GK64, GI64)</f>
        <v>0</v>
      </c>
      <c r="GH64" s="30" t="s">
        <v>1308</v>
      </c>
      <c r="GI64">
        <f>_xlfn.XLOOKUP(GH64,'KPI Impacts'!$B$2:$H$2,'KPI Impacts'!$B64:$H64)</f>
        <v>1</v>
      </c>
      <c r="GJ64" s="9" t="s">
        <v>1304</v>
      </c>
      <c r="GK64">
        <f>_xlfn.XLOOKUP(GJ64,'KPI Impacts'!$B$2:$H$2,'KPI Impacts'!$B64:$H64)</f>
        <v>0</v>
      </c>
      <c r="GN64" s="12">
        <f t="shared" ref="GN64:GN69" si="397">GN$4*GY64</f>
        <v>0</v>
      </c>
      <c r="GO64" s="12">
        <f t="shared" ref="GO64:GO69" si="398">GO$4 * IF(AND(GN$4=1,GN$20=1), HA64, GY64)</f>
        <v>0</v>
      </c>
      <c r="GP64" s="12">
        <f t="shared" ref="GP64:GP69" si="399">GP$4 * IF(AND(GO$4=1,GN$20=1), HA64, GY64)</f>
        <v>0</v>
      </c>
      <c r="GQ64" s="12">
        <f t="shared" ref="GQ64:GQ69" si="400">GQ$4 * IF(AND(GP$4=1,GN$20=1), HA64, GY64)</f>
        <v>0</v>
      </c>
      <c r="GR64" s="12">
        <f t="shared" ref="GR64:GR69" si="401">GR$4 * IF(AND(GQ$4=1,GN$20=1), HA64, GY64)</f>
        <v>0</v>
      </c>
      <c r="GS64" s="12">
        <f t="shared" ref="GS64:GS69" si="402">GS$4 * IF(AND(GR$4=1,GN$20=1), HA64, GY64)</f>
        <v>0</v>
      </c>
      <c r="GT64" s="12">
        <f t="shared" ref="GT64:GT69" si="403">GT$4 * IF(AND(GS$4=1,GN$20=1), HA64, GY64)</f>
        <v>0</v>
      </c>
      <c r="GU64" s="12">
        <f t="shared" ref="GU64:GU69" si="404">GU$4 * IF(AND(GT$4=1,GN$20=1), HA64, GY64)</f>
        <v>0</v>
      </c>
      <c r="GV64" s="12">
        <f t="shared" ref="GV64:GV69" si="405">GV$4 * IF(AND(GU$4=1,GN$20=1), HA64, GY64)</f>
        <v>0</v>
      </c>
      <c r="GX64" s="16" t="s">
        <v>1304</v>
      </c>
      <c r="GY64">
        <f>_xlfn.XLOOKUP(GX64,'KPI Impacts'!$B$2:$H$2,'KPI Impacts'!$B64:$H64)</f>
        <v>0</v>
      </c>
      <c r="GZ64" s="9" t="s">
        <v>1304</v>
      </c>
      <c r="HA64">
        <f>_xlfn.XLOOKUP(GZ64,'KPI Impacts'!$B$2:$H$2,'KPI Impacts'!$B64:$H64)</f>
        <v>0</v>
      </c>
      <c r="HD64" s="12">
        <f t="shared" ref="HD64:HD69" si="406">HD$4*HO64</f>
        <v>0</v>
      </c>
      <c r="HE64" s="12">
        <f t="shared" ref="HE64:HE69" si="407">HE$4 * IF(AND(HD$4=1,HD$20=1), HQ64, HO64)</f>
        <v>0</v>
      </c>
      <c r="HF64" s="12">
        <f t="shared" ref="HF64:HF69" si="408">HF$4 * IF(AND(HE$4=1,HD$20=1), HQ64, HO64)</f>
        <v>0</v>
      </c>
      <c r="HG64" s="12">
        <f t="shared" ref="HG64:HG69" si="409">HG$4 * IF(AND(HF$4=1,HD$20=1), HQ64, HO64)</f>
        <v>0</v>
      </c>
      <c r="HH64" s="12">
        <f t="shared" ref="HH64:HH69" si="410">HH$4 * IF(AND(HG$4=1,HD$20=1), HQ64, HO64)</f>
        <v>0</v>
      </c>
      <c r="HI64" s="12">
        <f t="shared" ref="HI64:HI69" si="411">HI$4 * IF(AND(HH$4=1,HD$20=1), HQ64, HO64)</f>
        <v>0</v>
      </c>
      <c r="HJ64" s="12">
        <f t="shared" ref="HJ64:HJ69" si="412">HJ$4 * IF(AND(HI$4=1,HD$20=1), HQ64, HO64)</f>
        <v>0</v>
      </c>
      <c r="HK64" s="12">
        <f t="shared" ref="HK64:HK69" si="413">HK$4 * IF(AND(HJ$4=1,HD$20=1), HQ64, HO64)</f>
        <v>0</v>
      </c>
      <c r="HL64" s="12">
        <f t="shared" ref="HL64:HL69" si="414">HL$4 * IF(AND(HK$4=1,HD$20=1), HQ64, HO64)</f>
        <v>0</v>
      </c>
      <c r="HN64" t="s">
        <v>1304</v>
      </c>
      <c r="HO64">
        <f>_xlfn.XLOOKUP(HN64,'KPI Impacts'!$B$2:$H$2,'KPI Impacts'!$B64:$H64)</f>
        <v>0</v>
      </c>
      <c r="HP64" s="9" t="s">
        <v>1304</v>
      </c>
      <c r="HQ64">
        <f>_xlfn.XLOOKUP(HP64,'KPI Impacts'!$B$2:$H$2,'KPI Impacts'!$B64:$H64)</f>
        <v>0</v>
      </c>
      <c r="HT64" s="12">
        <f t="shared" ref="HT64:HT69" si="415">HT$4*IE64</f>
        <v>0</v>
      </c>
      <c r="HU64" s="12">
        <f t="shared" ref="HU64:HU69" si="416">HU$4 * IF(AND(HT$4=1,HT$20=1), IG64, IE64)</f>
        <v>0</v>
      </c>
      <c r="HV64" s="12">
        <f t="shared" ref="HV64:HV69" si="417">HV$4 * IF(AND(HU$4=1,HT$20=1), IG64, IE64)</f>
        <v>0</v>
      </c>
      <c r="HW64" s="12">
        <f t="shared" ref="HW64:HW69" si="418">HW$4 * IF(AND(HV$4=1,HT$20=1), IG64, IE64)</f>
        <v>0</v>
      </c>
      <c r="HX64" s="12">
        <f t="shared" ref="HX64:HX69" si="419">HX$4 * IF(AND(HW$4=1,HT$20=1), IG64, IE64)</f>
        <v>0</v>
      </c>
      <c r="HY64" s="12">
        <f t="shared" ref="HY64:HY69" si="420">HY$4 * IF(AND(HX$4=1,HT$20=1), IG64, IE64)</f>
        <v>0</v>
      </c>
      <c r="HZ64" s="12">
        <f t="shared" ref="HZ64:HZ69" si="421">HZ$4 * IF(AND(HY$4=1,HT$20=1), IG64, IE64)</f>
        <v>0</v>
      </c>
      <c r="IA64" s="12">
        <f t="shared" ref="IA64:IA69" si="422">IA$4 * IF(AND(HZ$4=1,HT$20=1), IG64, IE64)</f>
        <v>0</v>
      </c>
      <c r="IB64" s="12">
        <f t="shared" ref="IB64:IB69" si="423">IB$4 * IF(AND(IA$4=1,HT$20=1), IG64, IE64)</f>
        <v>0</v>
      </c>
      <c r="ID64" t="s">
        <v>1304</v>
      </c>
      <c r="IE64">
        <f>_xlfn.XLOOKUP(ID64,'KPI Impacts'!$B$2:$H$2,'KPI Impacts'!$B64:$H64)</f>
        <v>0</v>
      </c>
      <c r="IF64" s="9" t="s">
        <v>1304</v>
      </c>
      <c r="IG64">
        <f>_xlfn.XLOOKUP(IF64,'KPI Impacts'!$B$2:$H$2,'KPI Impacts'!$B64:$H64)</f>
        <v>0</v>
      </c>
      <c r="IJ64" s="12">
        <f t="shared" ref="IJ64:IJ69" si="424">IJ$4*IU64</f>
        <v>0</v>
      </c>
      <c r="IK64" s="12">
        <f t="shared" ref="IK64:IK69" si="425">IK$4 * IF(AND(IJ$4=1,IJ$20=1), IW64, IU64)</f>
        <v>0</v>
      </c>
      <c r="IL64" s="12">
        <f t="shared" ref="IL64:IL69" si="426">IL$4 * IF(AND(IK$4=1,IJ$20=1), IW64, IU64)</f>
        <v>0</v>
      </c>
      <c r="IM64" s="12">
        <f t="shared" ref="IM64:IM69" si="427">IM$4 * IF(AND(IL$4=1,IJ$20=1), IW64, IU64)</f>
        <v>0</v>
      </c>
      <c r="IN64" s="12">
        <f t="shared" ref="IN64:IN69" si="428">IN$4 * IF(AND(IM$4=1,IJ$20=1), IW64, IU64)</f>
        <v>0</v>
      </c>
      <c r="IO64" s="12">
        <f t="shared" ref="IO64:IO69" si="429">IO$4 * IF(AND(IN$4=1,IJ$20=1), IW64, IU64)</f>
        <v>0</v>
      </c>
      <c r="IP64" s="12">
        <f t="shared" ref="IP64:IP69" si="430">IP$4 * IF(AND(IO$4=1,IJ$20=1), IW64, IU64)</f>
        <v>0</v>
      </c>
      <c r="IQ64" s="12">
        <f t="shared" ref="IQ64:IQ69" si="431">IQ$4 * IF(AND(IP$4=1,IJ$20=1), IW64, IU64)</f>
        <v>0</v>
      </c>
      <c r="IR64" s="12">
        <f t="shared" ref="IR64:IR69" si="432">IR$4 * IF(AND(IQ$4=1,IJ$20=1), IW64, IU64)</f>
        <v>0</v>
      </c>
      <c r="IT64" t="s">
        <v>1304</v>
      </c>
      <c r="IU64">
        <f>_xlfn.XLOOKUP(IT64,'KPI Impacts'!$B$2:$H$2,'KPI Impacts'!$B64:$H64)</f>
        <v>0</v>
      </c>
      <c r="IV64" s="9" t="s">
        <v>1304</v>
      </c>
      <c r="IW64">
        <f>_xlfn.XLOOKUP(IV64,'KPI Impacts'!$B$2:$H$2,'KPI Impacts'!$B64:$H64)</f>
        <v>0</v>
      </c>
      <c r="IZ64" s="12">
        <f t="shared" ref="IZ64:IZ69" si="433">IZ$4*JK64</f>
        <v>0</v>
      </c>
      <c r="JA64" s="12">
        <f t="shared" ref="JA64:JA69" si="434">JA$4 * IF(AND(IZ$4=1,IZ$20=1), JM64, JK64)</f>
        <v>0</v>
      </c>
      <c r="JB64" s="12">
        <f t="shared" ref="JB64:JB69" si="435">JB$4 * IF(AND(JA$4=1,IZ$20=1), JM64, JK64)</f>
        <v>0</v>
      </c>
      <c r="JC64" s="12">
        <f t="shared" ref="JC64:JC69" si="436">JC$4 * IF(AND(JB$4=1,IZ$20=1), JM64, JK64)</f>
        <v>0</v>
      </c>
      <c r="JD64" s="12">
        <f t="shared" ref="JD64:JD69" si="437">JD$4 * IF(AND(JC$4=1,IZ$20=1), JM64, JK64)</f>
        <v>0</v>
      </c>
      <c r="JE64" s="12">
        <f t="shared" ref="JE64:JE69" si="438">JE$4 * IF(AND(JD$4=1,IZ$20=1), JM64, JK64)</f>
        <v>0</v>
      </c>
      <c r="JF64" s="12">
        <f t="shared" ref="JF64:JF69" si="439">JF$4 * IF(AND(JE$4=1,IZ$20=1), JM64, JK64)</f>
        <v>0</v>
      </c>
      <c r="JG64" s="12">
        <f t="shared" ref="JG64:JG69" si="440">JG$4 * IF(AND(JF$4=1,IZ$20=1), JM64, JK64)</f>
        <v>0</v>
      </c>
      <c r="JH64" s="12">
        <f t="shared" ref="JH64:JH69" si="441">JH$4 * IF(AND(JG$4=1,IZ$20=1), JM64, JK64)</f>
        <v>0</v>
      </c>
      <c r="JJ64" t="s">
        <v>1304</v>
      </c>
      <c r="JK64">
        <f>_xlfn.XLOOKUP(JJ64,'KPI Impacts'!$B$2:$H$2,'KPI Impacts'!$B64:$H64)</f>
        <v>0</v>
      </c>
      <c r="JL64" s="9" t="s">
        <v>1304</v>
      </c>
      <c r="JM64">
        <f>_xlfn.XLOOKUP(JL64,'KPI Impacts'!$B$2:$H$2,'KPI Impacts'!$B64:$H64)</f>
        <v>0</v>
      </c>
      <c r="JP64" s="12">
        <f t="shared" ref="JP64:JP69" si="442">JP$4*KA64</f>
        <v>0</v>
      </c>
      <c r="JQ64" s="12">
        <f t="shared" ref="JQ64:JQ69" si="443">JQ$4 * IF(AND(JP$4=1,JP$20=1), KC64, KA64)</f>
        <v>0</v>
      </c>
      <c r="JR64" s="12">
        <f t="shared" ref="JR64:JR69" si="444">JR$4 * IF(AND(JQ$4=1,JP$20=1), KC64, KA64)</f>
        <v>0</v>
      </c>
      <c r="JS64" s="12">
        <f t="shared" ref="JS64:JS69" si="445">JS$4 * IF(AND(JR$4=1,JP$20=1), KC64, KA64)</f>
        <v>0</v>
      </c>
      <c r="JT64" s="12">
        <f t="shared" ref="JT64:JT69" si="446">JT$4 * IF(AND(JS$4=1,JP$20=1), KC64, KA64)</f>
        <v>0</v>
      </c>
      <c r="JU64" s="12">
        <f t="shared" ref="JU64:JU69" si="447">JU$4 * IF(AND(JT$4=1,JP$20=1), KC64, KA64)</f>
        <v>0</v>
      </c>
      <c r="JV64" s="12">
        <f t="shared" ref="JV64:JV69" si="448">JV$4 * IF(AND(JU$4=1,JP$20=1), KC64, KA64)</f>
        <v>0</v>
      </c>
      <c r="JW64" s="12">
        <f t="shared" ref="JW64:JW69" si="449">JW$4 * IF(AND(JV$4=1,JP$20=1), KC64, KA64)</f>
        <v>0</v>
      </c>
      <c r="JX64" s="12">
        <f t="shared" ref="JX64:JX69" si="450">JX$4 * IF(AND(JW$4=1,JP$20=1), KC64, KA64)</f>
        <v>0</v>
      </c>
      <c r="JZ64" t="s">
        <v>1304</v>
      </c>
      <c r="KA64">
        <f>_xlfn.XLOOKUP(JZ64,'KPI Impacts'!$B$2:$H$2,'KPI Impacts'!$B64:$H64)</f>
        <v>0</v>
      </c>
      <c r="KB64" s="9" t="s">
        <v>1304</v>
      </c>
      <c r="KC64">
        <f>_xlfn.XLOOKUP(KB64,'KPI Impacts'!$B$2:$H$2,'KPI Impacts'!$B64:$H64)</f>
        <v>0</v>
      </c>
      <c r="KF64" s="12">
        <f t="shared" ref="KF64:KF69" si="451">KF$4*KQ64</f>
        <v>0</v>
      </c>
      <c r="KG64" s="12">
        <f t="shared" ref="KG64:KG69" si="452">KG$4 * IF(AND(KF$4=1,KF$20=1), KS64, KQ64)</f>
        <v>0</v>
      </c>
      <c r="KH64" s="12">
        <f t="shared" ref="KH64:KH69" si="453">KH$4 * IF(AND(KG$4=1,KF$20=1), KS64, KQ64)</f>
        <v>0</v>
      </c>
      <c r="KI64" s="12">
        <f t="shared" ref="KI64:KI69" si="454">KI$4 * IF(AND(KH$4=1,KF$20=1), KS64, KQ64)</f>
        <v>0</v>
      </c>
      <c r="KJ64" s="12">
        <f t="shared" ref="KJ64:KJ69" si="455">KJ$4 * IF(AND(KI$4=1,KF$20=1), KS64, KQ64)</f>
        <v>0</v>
      </c>
      <c r="KK64" s="12">
        <f t="shared" ref="KK64:KK69" si="456">KK$4 * IF(AND(KJ$4=1,KF$20=1), KS64, KQ64)</f>
        <v>0</v>
      </c>
      <c r="KL64" s="12">
        <f t="shared" ref="KL64:KL69" si="457">KL$4 * IF(AND(KK$4=1,KF$20=1), KS64, KQ64)</f>
        <v>0</v>
      </c>
      <c r="KM64" s="12">
        <f t="shared" ref="KM64:KM69" si="458">KM$4 * IF(AND(KL$4=1,KF$20=1), KS64, KQ64)</f>
        <v>0</v>
      </c>
      <c r="KN64" s="12">
        <f t="shared" ref="KN64:KN69" si="459">KN$4 * IF(AND(KM$4=1,KF$20=1), KS64, KQ64)</f>
        <v>0</v>
      </c>
      <c r="KP64" t="s">
        <v>1304</v>
      </c>
      <c r="KQ64">
        <f>_xlfn.XLOOKUP(KP64,'KPI Impacts'!$B$2:$H$2,'KPI Impacts'!$B64:$H64)</f>
        <v>0</v>
      </c>
      <c r="KR64" s="9" t="s">
        <v>1304</v>
      </c>
      <c r="KS64">
        <f>_xlfn.XLOOKUP(KR64,'KPI Impacts'!$B$2:$H$2,'KPI Impacts'!$B64:$H64)</f>
        <v>0</v>
      </c>
      <c r="KV64" s="12">
        <f t="shared" ref="KV64:KV69" si="460">KV$4*LG64</f>
        <v>0</v>
      </c>
      <c r="KW64" s="12">
        <f t="shared" ref="KW64:KW69" si="461">KW$4 * IF(AND(KV$4=1,KV$20=1), LI64, LG64)</f>
        <v>0</v>
      </c>
      <c r="KX64" s="12">
        <f t="shared" ref="KX64:KX69" si="462">KX$4 * IF(AND(KW$4=1,KV$20=1), LI64, LG64)</f>
        <v>0</v>
      </c>
      <c r="KY64" s="12">
        <f t="shared" ref="KY64:KY69" si="463">KY$4 * IF(AND(KX$4=1,KV$20=1), LI64, LG64)</f>
        <v>0</v>
      </c>
      <c r="KZ64" s="12">
        <f t="shared" ref="KZ64:KZ69" si="464">KZ$4 * IF(AND(KY$4=1,KV$20=1), LI64, LG64)</f>
        <v>0</v>
      </c>
      <c r="LA64" s="12">
        <f t="shared" ref="LA64:LA69" si="465">LA$4 * IF(AND(KZ$4=1,KV$20=1), LI64, LG64)</f>
        <v>0</v>
      </c>
      <c r="LB64" s="12">
        <f t="shared" ref="LB64:LB69" si="466">LB$4 * IF(AND(LA$4=1,KV$20=1), LI64, LG64)</f>
        <v>0</v>
      </c>
      <c r="LC64" s="12">
        <f t="shared" ref="LC64:LC69" si="467">LC$4 * IF(AND(LB$4=1,KV$20=1), LI64, LG64)</f>
        <v>0</v>
      </c>
      <c r="LD64" s="12">
        <f t="shared" ref="LD64:LD69" si="468">LD$4 * IF(AND(LC$4=1,KV$20=1), LI64, LG64)</f>
        <v>0</v>
      </c>
      <c r="LF64" t="s">
        <v>1304</v>
      </c>
      <c r="LG64">
        <f>_xlfn.XLOOKUP(LF64,'KPI Impacts'!$B$2:$H$2,'KPI Impacts'!$B64:$H64)</f>
        <v>0</v>
      </c>
      <c r="LH64" s="9" t="s">
        <v>1304</v>
      </c>
      <c r="LI64">
        <f>_xlfn.XLOOKUP(LH64,'KPI Impacts'!$B$2:$H$2,'KPI Impacts'!$B64:$H64)</f>
        <v>0</v>
      </c>
      <c r="LL64" s="12">
        <f t="shared" ref="LL64:LL69" si="469">LL$4*LW64</f>
        <v>0</v>
      </c>
      <c r="LM64" s="12">
        <f t="shared" ref="LM64:LM69" si="470">LM$4 * IF(AND(LL$4=1,LL$20=1), LY64, LW64)</f>
        <v>0</v>
      </c>
      <c r="LN64" s="12">
        <f t="shared" ref="LN64:LN69" si="471">LN$4 * IF(AND(LM$4=1,LL$20=1), LY64, LW64)</f>
        <v>0</v>
      </c>
      <c r="LO64" s="12">
        <f t="shared" ref="LO64:LO69" si="472">LO$4 * IF(AND(LN$4=1,LL$20=1), LY64, LW64)</f>
        <v>0</v>
      </c>
      <c r="LP64" s="12">
        <f t="shared" ref="LP64:LP69" si="473">LP$4 * IF(AND(LO$4=1,LL$20=1), LY64, LW64)</f>
        <v>0</v>
      </c>
      <c r="LQ64" s="12">
        <f t="shared" ref="LQ64:LQ69" si="474">LQ$4 * IF(AND(LP$4=1,LL$20=1), LY64, LW64)</f>
        <v>0</v>
      </c>
      <c r="LR64" s="12">
        <f t="shared" ref="LR64:LR69" si="475">LR$4 * IF(AND(LQ$4=1,LL$20=1), LY64, LW64)</f>
        <v>0</v>
      </c>
      <c r="LS64" s="12">
        <f t="shared" ref="LS64:LS69" si="476">LS$4 * IF(AND(LR$4=1,LL$20=1), LY64, LW64)</f>
        <v>0</v>
      </c>
      <c r="LT64" s="12">
        <f t="shared" ref="LT64:LT69" si="477">LT$4 * IF(AND(LS$4=1,LL$20=1), LY64, LW64)</f>
        <v>0</v>
      </c>
      <c r="LV64" t="s">
        <v>1304</v>
      </c>
      <c r="LW64">
        <f>_xlfn.XLOOKUP(LV64,'KPI Impacts'!$B$2:$H$2,'KPI Impacts'!$B64:$H64)</f>
        <v>0</v>
      </c>
      <c r="LX64" s="9" t="s">
        <v>1304</v>
      </c>
      <c r="LY64">
        <f>_xlfn.XLOOKUP(LX64,'KPI Impacts'!$B$2:$H$2,'KPI Impacts'!$B64:$H64)</f>
        <v>0</v>
      </c>
      <c r="MB64" s="12">
        <f t="shared" ref="MB64:MB69" si="478">MB$4*MM64</f>
        <v>0</v>
      </c>
      <c r="MC64" s="12">
        <f t="shared" ref="MC64:MC69" si="479">MC$4 * IF(AND(MB$4=1,MB$20=1), MO64, MM64)</f>
        <v>0</v>
      </c>
      <c r="MD64" s="12">
        <f t="shared" ref="MD64:MD69" si="480">MD$4 * IF(AND(MC$4=1,MB$20=1), MO64, MM64)</f>
        <v>0</v>
      </c>
      <c r="ME64" s="12">
        <f t="shared" ref="ME64:ME69" si="481">ME$4 * IF(AND(MD$4=1,MB$20=1), MO64, MM64)</f>
        <v>0</v>
      </c>
      <c r="MF64" s="12">
        <f t="shared" ref="MF64:MF69" si="482">MF$4 * IF(AND(ME$4=1,MB$20=1), MO64, MM64)</f>
        <v>0</v>
      </c>
      <c r="MG64" s="12">
        <f t="shared" ref="MG64:MG69" si="483">MG$4 * IF(AND(MF$4=1,MB$20=1), MO64, MM64)</f>
        <v>0</v>
      </c>
      <c r="MH64" s="12">
        <f t="shared" ref="MH64:MH69" si="484">MH$4 * IF(AND(MG$4=1,MB$20=1), MO64, MM64)</f>
        <v>0</v>
      </c>
      <c r="MI64" s="12">
        <f t="shared" ref="MI64:MI69" si="485">MI$4 * IF(AND(MH$4=1,MB$20=1), MO64, MM64)</f>
        <v>0</v>
      </c>
      <c r="MJ64" s="12">
        <f t="shared" ref="MJ64:MJ69" si="486">MJ$4 * IF(AND(MI$4=1,MB$20=1), MO64, MM64)</f>
        <v>0</v>
      </c>
      <c r="ML64" t="s">
        <v>1304</v>
      </c>
      <c r="MM64">
        <f>_xlfn.XLOOKUP(ML64,'KPI Impacts'!$B$2:$H$2,'KPI Impacts'!$B64:$H64)</f>
        <v>0</v>
      </c>
      <c r="MN64" s="9" t="s">
        <v>1304</v>
      </c>
      <c r="MO64">
        <f>_xlfn.XLOOKUP(MN64,'KPI Impacts'!$B$2:$H$2,'KPI Impacts'!$B64:$H64)</f>
        <v>0</v>
      </c>
      <c r="MR64" s="12">
        <f t="shared" ref="MR64:MR69" si="487">MR$4*NC64</f>
        <v>0</v>
      </c>
      <c r="MS64" s="12">
        <f t="shared" ref="MS64:MS69" si="488">MS$4 * IF(AND(MR$4=1,MR$20=1), NE64, NC64)</f>
        <v>0</v>
      </c>
      <c r="MT64" s="12">
        <f t="shared" ref="MT64:MT69" si="489">MT$4 * IF(AND(MS$4=1,MR$20=1), NE64, NC64)</f>
        <v>0</v>
      </c>
      <c r="MU64" s="12">
        <f t="shared" ref="MU64:MU69" si="490">MU$4 * IF(AND(MT$4=1,MR$20=1), NE64, NC64)</f>
        <v>0</v>
      </c>
      <c r="MV64" s="12">
        <f t="shared" ref="MV64:MV69" si="491">MV$4 * IF(AND(MU$4=1,MR$20=1), NE64, NC64)</f>
        <v>0</v>
      </c>
      <c r="MW64" s="12">
        <f t="shared" ref="MW64:MW69" si="492">MW$4 * IF(AND(MV$4=1,MR$20=1), NE64, NC64)</f>
        <v>0</v>
      </c>
      <c r="MX64" s="12">
        <f t="shared" ref="MX64:MX69" si="493">MX$4 * IF(AND(MW$4=1,MR$20=1), NE64, NC64)</f>
        <v>0</v>
      </c>
      <c r="MY64" s="12">
        <f t="shared" ref="MY64:MY69" si="494">MY$4 * IF(AND(MX$4=1,MR$20=1), NE64, NC64)</f>
        <v>0</v>
      </c>
      <c r="MZ64" s="12">
        <f t="shared" ref="MZ64:MZ69" si="495">MZ$4 * IF(AND(MY$4=1,MR$20=1), NE64, NC64)</f>
        <v>0</v>
      </c>
      <c r="NB64" t="s">
        <v>1304</v>
      </c>
      <c r="NC64">
        <f>_xlfn.XLOOKUP(NB64,'KPI Impacts'!$B$2:$H$2,'KPI Impacts'!$B64:$H64)</f>
        <v>0</v>
      </c>
      <c r="ND64" s="9" t="s">
        <v>1304</v>
      </c>
      <c r="NE64">
        <f>_xlfn.XLOOKUP(ND64,'KPI Impacts'!$B$2:$H$2,'KPI Impacts'!$B64:$H64)</f>
        <v>0</v>
      </c>
      <c r="NH64" s="12">
        <f t="shared" ref="NH64:NH69" si="496">NH$4*NS64</f>
        <v>0</v>
      </c>
      <c r="NI64" s="12">
        <f t="shared" ref="NI64:NI69" si="497">NI$4 * IF(AND(NH$4=1,NH$20=1), NU64, NS64)</f>
        <v>0</v>
      </c>
      <c r="NJ64" s="12">
        <f t="shared" ref="NJ64:NJ69" si="498">NJ$4 * IF(AND(NI$4=1,NH$20=1), NU64, NS64)</f>
        <v>0</v>
      </c>
      <c r="NK64" s="12">
        <f t="shared" ref="NK64:NK69" si="499">NK$4 * IF(AND(NJ$4=1,NH$20=1), NU64, NS64)</f>
        <v>0</v>
      </c>
      <c r="NL64" s="12">
        <f t="shared" ref="NL64:NL69" si="500">NL$4 * IF(AND(NK$4=1,NH$20=1), NU64, NS64)</f>
        <v>0</v>
      </c>
      <c r="NM64" s="12">
        <f t="shared" ref="NM64:NM69" si="501">NM$4 * IF(AND(NL$4=1,NH$20=1), NU64, NS64)</f>
        <v>0</v>
      </c>
      <c r="NN64" s="12">
        <f t="shared" ref="NN64:NN69" si="502">NN$4 * IF(AND(NM$4=1,NH$20=1), NU64, NS64)</f>
        <v>0</v>
      </c>
      <c r="NO64" s="12">
        <f t="shared" ref="NO64:NO69" si="503">NO$4 * IF(AND(NN$4=1,NH$20=1), NU64, NS64)</f>
        <v>0</v>
      </c>
      <c r="NP64" s="12">
        <f t="shared" ref="NP64:NP69" si="504">NP$4 * IF(AND(NO$4=1,NH$20=1), NU64, NS64)</f>
        <v>0</v>
      </c>
      <c r="NR64" t="s">
        <v>1304</v>
      </c>
      <c r="NS64">
        <f>_xlfn.XLOOKUP(NR64,'KPI Impacts'!$B$2:$H$2,'KPI Impacts'!$B64:$H64)</f>
        <v>0</v>
      </c>
      <c r="NT64" s="9" t="s">
        <v>1304</v>
      </c>
      <c r="NU64">
        <f>_xlfn.XLOOKUP(NT64,'KPI Impacts'!$B$2:$H$2,'KPI Impacts'!$B64:$H64)</f>
        <v>0</v>
      </c>
      <c r="NX64" s="12">
        <f t="shared" ref="NX64:NX69" si="505">NX$4*OI64</f>
        <v>0</v>
      </c>
      <c r="NY64" s="12">
        <f t="shared" ref="NY64:NY69" si="506">NY$4 * IF(AND(NX$4=1,NX$20=1), OK64, OI64)</f>
        <v>0</v>
      </c>
      <c r="NZ64" s="12">
        <f t="shared" ref="NZ64:NZ69" si="507">NZ$4 * IF(AND(NY$4=1,NX$20=1), OK64, OI64)</f>
        <v>0</v>
      </c>
      <c r="OA64" s="12">
        <f t="shared" ref="OA64:OA69" si="508">OA$4 * IF(AND(NZ$4=1,NX$20=1), OK64, OI64)</f>
        <v>0</v>
      </c>
      <c r="OB64" s="12">
        <f t="shared" ref="OB64:OB69" si="509">OB$4 * IF(AND(OA$4=1,NX$20=1), OK64, OI64)</f>
        <v>0</v>
      </c>
      <c r="OC64" s="12">
        <f t="shared" ref="OC64:OC69" si="510">OC$4 * IF(AND(OB$4=1,NX$20=1), OK64, OI64)</f>
        <v>0</v>
      </c>
      <c r="OD64" s="12">
        <f t="shared" ref="OD64:OD69" si="511">OD$4 * IF(AND(OC$4=1,NX$20=1), OK64, OI64)</f>
        <v>0</v>
      </c>
      <c r="OE64" s="12">
        <f t="shared" ref="OE64:OE69" si="512">OE$4 * IF(AND(OD$4=1,NX$20=1), OK64, OI64)</f>
        <v>0</v>
      </c>
      <c r="OF64" s="12">
        <f t="shared" ref="OF64:OF69" si="513">OF$4 * IF(AND(OE$4=1,NX$20=1), OK64, OI64)</f>
        <v>0</v>
      </c>
      <c r="OH64" t="s">
        <v>1304</v>
      </c>
      <c r="OI64">
        <f>_xlfn.XLOOKUP(OH64,'KPI Impacts'!$B$2:$H$2,'KPI Impacts'!$B64:$H64)</f>
        <v>0</v>
      </c>
      <c r="OJ64" s="9" t="s">
        <v>1304</v>
      </c>
      <c r="OK64">
        <f>_xlfn.XLOOKUP(OJ64,'KPI Impacts'!$B$2:$H$2,'KPI Impacts'!$B64:$H64)</f>
        <v>0</v>
      </c>
    </row>
    <row r="65" spans="1:401" x14ac:dyDescent="0.2">
      <c r="A65" t="s">
        <v>47</v>
      </c>
      <c r="B65" s="12">
        <f t="shared" ref="B65:B69" si="514">P65+AH65+AZ65+BP65+CF65+CV65+DL65+EB65+ER65+FH65+FX65+GN65+HD65+HT65+IJ65+IZ65+JP65+KF65+KV65+LL65+MB65+MR65+NH65+NX65</f>
        <v>0</v>
      </c>
      <c r="C65" s="12">
        <f t="shared" si="315"/>
        <v>0</v>
      </c>
      <c r="D65" s="12">
        <f t="shared" si="315"/>
        <v>0</v>
      </c>
      <c r="E65" s="12">
        <f t="shared" si="315"/>
        <v>0</v>
      </c>
      <c r="F65" s="12">
        <f t="shared" si="315"/>
        <v>0</v>
      </c>
      <c r="G65" s="12">
        <f t="shared" si="315"/>
        <v>0</v>
      </c>
      <c r="H65" s="12">
        <f t="shared" si="315"/>
        <v>0</v>
      </c>
      <c r="I65" s="12">
        <f t="shared" si="315"/>
        <v>0</v>
      </c>
      <c r="J65" s="12">
        <f t="shared" si="315"/>
        <v>0</v>
      </c>
      <c r="P65" s="12" cm="1">
        <f t="array" ref="P65">_xlfn.SWITCH(P$4, 0,0, 1, AA65,2,AC65,3,AE65,0)</f>
        <v>0</v>
      </c>
      <c r="Q65" s="12" cm="1">
        <f t="array" ref="Q65">_xlfn.SWITCH(Q$4, 0,0, 1, AA65,2,AC65,3,AE65,0)+P65</f>
        <v>0</v>
      </c>
      <c r="R65" s="12" cm="1">
        <f t="array" ref="R65">_xlfn.SWITCH(R$4, 0,0, 1, AA65,2,AC65,3,AE65,0)+Q65</f>
        <v>0</v>
      </c>
      <c r="S65" s="12" cm="1">
        <f t="array" ref="S65">_xlfn.SWITCH(S$4, 0,0, 1, AA65,2,AC65,3,AE65,0)+R65</f>
        <v>0</v>
      </c>
      <c r="T65" s="12" cm="1">
        <f t="array" ref="T65">_xlfn.SWITCH(T$4, 0,0, 1, AA65,2,AC65,3,AE65,0)+S65</f>
        <v>0</v>
      </c>
      <c r="U65" s="12" cm="1">
        <f t="array" ref="U65">_xlfn.SWITCH(U$4, 0,0, 1, AA65,2,AC65,3,AE65,0)+T65</f>
        <v>0</v>
      </c>
      <c r="V65" s="12" cm="1">
        <f t="array" ref="V65">_xlfn.SWITCH(V$4, 0,0, 1, AA65,2,AC65,3,AE65,0)+U65</f>
        <v>0</v>
      </c>
      <c r="W65" s="12" cm="1">
        <f t="array" ref="W65">_xlfn.SWITCH(W$4, 0,0, 1, AA65,2,AC65,3,AE65,0)+V65</f>
        <v>0</v>
      </c>
      <c r="X65" s="12" cm="1">
        <f t="array" ref="X65">_xlfn.SWITCH(X$4, 0,0, 1, AA65,2,AC65,3,AE65,0)+W65</f>
        <v>0</v>
      </c>
      <c r="Z65" t="s">
        <v>1304</v>
      </c>
      <c r="AA65">
        <f>_xlfn.XLOOKUP(Z65,'KPI Impacts'!$K$2:$Q$2,'KPI Impacts'!$K65:$Q65)</f>
        <v>0</v>
      </c>
      <c r="AB65" t="s">
        <v>1304</v>
      </c>
      <c r="AC65">
        <f>_xlfn.XLOOKUP(AB65,'KPI Impacts'!$K$2:$Q$2,'KPI Impacts'!$K65:$Q65)</f>
        <v>0</v>
      </c>
      <c r="AD65" t="s">
        <v>1304</v>
      </c>
      <c r="AE65">
        <f>_xlfn.XLOOKUP(AD65,'KPI Impacts'!$K$2:$Q$2,'KPI Impacts'!$K65:$Q65)</f>
        <v>0</v>
      </c>
      <c r="AH65" s="12" cm="1">
        <f t="array" ref="AH65">_xlfn.SWITCH(AH$4, 0,0, 1, AS65,2,AU65,3,AW65,0)</f>
        <v>0</v>
      </c>
      <c r="AI65" s="12" cm="1">
        <f t="array" ref="AI65">_xlfn.SWITCH(AI$4, 0,0, 1, AS65,2,AU65,3,AW65,0)+AH65</f>
        <v>0</v>
      </c>
      <c r="AJ65" s="12" cm="1">
        <f t="array" ref="AJ65">_xlfn.SWITCH(AJ$4, 0,0, 1, AS65,2,AU65,3,AW65,0)+AI65</f>
        <v>0</v>
      </c>
      <c r="AK65" s="12" cm="1">
        <f t="array" ref="AK65">_xlfn.SWITCH(AK$4, 0,0, 1, AS65,2,AU65,3,AW65,0)+AJ65</f>
        <v>0</v>
      </c>
      <c r="AL65" s="12" cm="1">
        <f t="array" ref="AL65">_xlfn.SWITCH(AL$4, 0,0, 1, AS65,2,AU65,3,AW65,0)+AK65</f>
        <v>0</v>
      </c>
      <c r="AM65" s="12" cm="1">
        <f t="array" ref="AM65">_xlfn.SWITCH(AM$4, 0,0, 1, AS65,2,AU65,3,AW65,0)+AL65</f>
        <v>0</v>
      </c>
      <c r="AN65" s="12" cm="1">
        <f t="array" ref="AN65">_xlfn.SWITCH(AN$4, 0,0, 1, AS65,2,AU65,3,AW65,0)+AM65</f>
        <v>0</v>
      </c>
      <c r="AO65" s="12" cm="1">
        <f t="array" ref="AO65">_xlfn.SWITCH(AO$4, 0,0, 1, AS65,2,AU65,3,AW65,0)+AN65</f>
        <v>0</v>
      </c>
      <c r="AP65" s="12" cm="1">
        <f t="array" ref="AP65">_xlfn.SWITCH(AP$4, 0,0, 1, AS65,2,AU65,3,AW65,0)+AO65</f>
        <v>0</v>
      </c>
      <c r="AR65" t="s">
        <v>1304</v>
      </c>
      <c r="AS65">
        <f>_xlfn.XLOOKUP(AR65,'KPI Impacts'!$K$2:$Q$2,'KPI Impacts'!$K65:$Q65)</f>
        <v>0</v>
      </c>
      <c r="AT65" t="s">
        <v>1304</v>
      </c>
      <c r="AU65">
        <f>_xlfn.XLOOKUP(AT65,'KPI Impacts'!$K$2:$Q$2,'KPI Impacts'!$K65:$Q65)</f>
        <v>0</v>
      </c>
      <c r="AV65" t="s">
        <v>1304</v>
      </c>
      <c r="AW65">
        <f>_xlfn.XLOOKUP(AV65,'KPI Impacts'!$K$2:$Q$2,'KPI Impacts'!$K65:$Q65)</f>
        <v>0</v>
      </c>
      <c r="AZ65" s="12">
        <f t="shared" si="316"/>
        <v>0</v>
      </c>
      <c r="BA65" s="12">
        <f t="shared" si="317"/>
        <v>0</v>
      </c>
      <c r="BB65" s="12">
        <f t="shared" si="318"/>
        <v>0</v>
      </c>
      <c r="BC65" s="12">
        <f t="shared" si="319"/>
        <v>0</v>
      </c>
      <c r="BD65" s="12">
        <f t="shared" si="320"/>
        <v>0</v>
      </c>
      <c r="BE65" s="12">
        <f t="shared" si="321"/>
        <v>0</v>
      </c>
      <c r="BF65" s="12">
        <f t="shared" si="322"/>
        <v>0</v>
      </c>
      <c r="BG65" s="12">
        <f t="shared" si="323"/>
        <v>0</v>
      </c>
      <c r="BH65" s="12">
        <f t="shared" si="324"/>
        <v>0</v>
      </c>
      <c r="BJ65" s="16" t="s">
        <v>1304</v>
      </c>
      <c r="BK65">
        <f>_xlfn.XLOOKUP(BJ65,'KPI Impacts'!$B$2:$H$2,'KPI Impacts'!$B65:$H65)</f>
        <v>0</v>
      </c>
      <c r="BL65" s="35" t="s">
        <v>1304</v>
      </c>
      <c r="BM65">
        <f>_xlfn.XLOOKUP(BL65,'KPI Impacts'!$B$2:$H$2,'KPI Impacts'!$B65:$H65)</f>
        <v>0</v>
      </c>
      <c r="BP65" s="12">
        <f t="shared" si="325"/>
        <v>0</v>
      </c>
      <c r="BQ65" s="12">
        <f t="shared" si="326"/>
        <v>0</v>
      </c>
      <c r="BR65" s="12">
        <f t="shared" si="327"/>
        <v>0</v>
      </c>
      <c r="BS65" s="12">
        <f t="shared" si="328"/>
        <v>0</v>
      </c>
      <c r="BT65" s="12">
        <f t="shared" si="329"/>
        <v>0</v>
      </c>
      <c r="BU65" s="12">
        <f t="shared" si="330"/>
        <v>0</v>
      </c>
      <c r="BV65" s="12">
        <f t="shared" si="331"/>
        <v>0</v>
      </c>
      <c r="BW65" s="12">
        <f t="shared" si="332"/>
        <v>0</v>
      </c>
      <c r="BX65" s="12">
        <f t="shared" si="333"/>
        <v>0</v>
      </c>
      <c r="BZ65" s="16" t="s">
        <v>1304</v>
      </c>
      <c r="CA65">
        <f>_xlfn.XLOOKUP(BZ65,'KPI Impacts'!$B$2:$H$2,'KPI Impacts'!$B65:$H65)</f>
        <v>0</v>
      </c>
      <c r="CB65" s="35" t="s">
        <v>1304</v>
      </c>
      <c r="CC65">
        <f>_xlfn.XLOOKUP(CB65,'KPI Impacts'!$B$2:$H$2,'KPI Impacts'!$B65:$H65)</f>
        <v>0</v>
      </c>
      <c r="CF65" s="12">
        <f t="shared" si="334"/>
        <v>0</v>
      </c>
      <c r="CG65" s="12">
        <f t="shared" si="335"/>
        <v>0</v>
      </c>
      <c r="CH65" s="12">
        <f t="shared" si="336"/>
        <v>0</v>
      </c>
      <c r="CI65" s="12">
        <f t="shared" si="337"/>
        <v>0</v>
      </c>
      <c r="CJ65" s="12">
        <f t="shared" si="338"/>
        <v>0</v>
      </c>
      <c r="CK65" s="12">
        <f t="shared" si="339"/>
        <v>0</v>
      </c>
      <c r="CL65" s="12">
        <f t="shared" si="340"/>
        <v>0</v>
      </c>
      <c r="CM65" s="12">
        <f t="shared" si="341"/>
        <v>0</v>
      </c>
      <c r="CN65" s="12">
        <f t="shared" si="342"/>
        <v>0</v>
      </c>
      <c r="CP65" s="16" t="s">
        <v>1304</v>
      </c>
      <c r="CQ65">
        <f>_xlfn.XLOOKUP(CP65,'KPI Impacts'!$B$2:$H$2,'KPI Impacts'!$B65:$H65)</f>
        <v>0</v>
      </c>
      <c r="CR65" s="35" t="s">
        <v>1304</v>
      </c>
      <c r="CS65">
        <f>_xlfn.XLOOKUP(CR65,'KPI Impacts'!$B$2:$H$2,'KPI Impacts'!$B65:$H65)</f>
        <v>0</v>
      </c>
      <c r="CV65" s="12">
        <f t="shared" si="343"/>
        <v>0</v>
      </c>
      <c r="CW65" s="12">
        <f t="shared" si="344"/>
        <v>0</v>
      </c>
      <c r="CX65" s="12">
        <f t="shared" si="345"/>
        <v>0</v>
      </c>
      <c r="CY65" s="12">
        <f t="shared" si="346"/>
        <v>0</v>
      </c>
      <c r="CZ65" s="12">
        <f t="shared" si="347"/>
        <v>0</v>
      </c>
      <c r="DA65" s="12">
        <f t="shared" si="348"/>
        <v>0</v>
      </c>
      <c r="DB65" s="12">
        <f t="shared" si="349"/>
        <v>0</v>
      </c>
      <c r="DC65" s="12">
        <f t="shared" si="350"/>
        <v>0</v>
      </c>
      <c r="DD65" s="12">
        <f t="shared" si="351"/>
        <v>0</v>
      </c>
      <c r="DF65" s="30" t="s">
        <v>1310</v>
      </c>
      <c r="DG65">
        <f>_xlfn.XLOOKUP(DF65,'KPI Impacts'!$B$2:$H$2,'KPI Impacts'!$B65:$H65)</f>
        <v>2</v>
      </c>
      <c r="DH65" s="35" t="s">
        <v>1304</v>
      </c>
      <c r="DI65">
        <f>_xlfn.XLOOKUP(DH65,'KPI Impacts'!$B$2:$H$2,'KPI Impacts'!$B65:$H65)</f>
        <v>0</v>
      </c>
      <c r="DL65" s="12">
        <f t="shared" si="352"/>
        <v>0</v>
      </c>
      <c r="DM65" s="12">
        <f t="shared" si="353"/>
        <v>0</v>
      </c>
      <c r="DN65" s="12">
        <f t="shared" si="354"/>
        <v>0</v>
      </c>
      <c r="DO65" s="12">
        <f t="shared" si="355"/>
        <v>0</v>
      </c>
      <c r="DP65" s="12">
        <f t="shared" si="356"/>
        <v>0</v>
      </c>
      <c r="DQ65" s="12">
        <f t="shared" si="357"/>
        <v>0</v>
      </c>
      <c r="DR65" s="12">
        <f t="shared" si="358"/>
        <v>0</v>
      </c>
      <c r="DS65" s="12">
        <f t="shared" si="359"/>
        <v>0</v>
      </c>
      <c r="DT65" s="12">
        <f t="shared" si="360"/>
        <v>0</v>
      </c>
      <c r="DV65" s="16" t="s">
        <v>1304</v>
      </c>
      <c r="DW65">
        <f>_xlfn.XLOOKUP(DV65,'KPI Impacts'!$B$2:$H$2,'KPI Impacts'!$B65:$H65)</f>
        <v>0</v>
      </c>
      <c r="DX65" s="35" t="s">
        <v>1304</v>
      </c>
      <c r="DY65">
        <f>_xlfn.XLOOKUP(DX65,'KPI Impacts'!$B$2:$H$2,'KPI Impacts'!$B65:$H65)</f>
        <v>0</v>
      </c>
      <c r="EB65" s="12">
        <f t="shared" si="361"/>
        <v>0</v>
      </c>
      <c r="EC65" s="12">
        <f t="shared" si="362"/>
        <v>0</v>
      </c>
      <c r="ED65" s="12">
        <f t="shared" si="363"/>
        <v>0</v>
      </c>
      <c r="EE65" s="12">
        <f t="shared" si="364"/>
        <v>0</v>
      </c>
      <c r="EF65" s="12">
        <f t="shared" si="365"/>
        <v>0</v>
      </c>
      <c r="EG65" s="12">
        <f t="shared" si="366"/>
        <v>0</v>
      </c>
      <c r="EH65" s="12">
        <f t="shared" si="367"/>
        <v>0</v>
      </c>
      <c r="EI65" s="12">
        <f t="shared" si="368"/>
        <v>0</v>
      </c>
      <c r="EJ65" s="12">
        <f t="shared" si="369"/>
        <v>0</v>
      </c>
      <c r="EL65" s="16" t="s">
        <v>1304</v>
      </c>
      <c r="EM65">
        <f>_xlfn.XLOOKUP(EL65,'KPI Impacts'!$B$2:$H$2,'KPI Impacts'!$B65:$H65)</f>
        <v>0</v>
      </c>
      <c r="EN65" s="35" t="s">
        <v>1304</v>
      </c>
      <c r="EO65">
        <f>_xlfn.XLOOKUP(EN65,'KPI Impacts'!$B$2:$H$2,'KPI Impacts'!$B65:$H65)</f>
        <v>0</v>
      </c>
      <c r="ER65" s="12">
        <f t="shared" si="370"/>
        <v>0</v>
      </c>
      <c r="ES65" s="12">
        <f t="shared" si="371"/>
        <v>0</v>
      </c>
      <c r="ET65" s="12">
        <f t="shared" si="372"/>
        <v>0</v>
      </c>
      <c r="EU65" s="12">
        <f t="shared" si="373"/>
        <v>0</v>
      </c>
      <c r="EV65" s="12">
        <f t="shared" si="374"/>
        <v>0</v>
      </c>
      <c r="EW65" s="12">
        <f t="shared" si="375"/>
        <v>0</v>
      </c>
      <c r="EX65" s="12">
        <f t="shared" si="376"/>
        <v>0</v>
      </c>
      <c r="EY65" s="12">
        <f t="shared" si="377"/>
        <v>0</v>
      </c>
      <c r="EZ65" s="12">
        <f t="shared" si="378"/>
        <v>0</v>
      </c>
      <c r="FB65" s="16" t="s">
        <v>1304</v>
      </c>
      <c r="FC65">
        <f>_xlfn.XLOOKUP(FB65,'KPI Impacts'!$B$2:$H$2,'KPI Impacts'!$B65:$H65)</f>
        <v>0</v>
      </c>
      <c r="FD65" s="35" t="s">
        <v>1304</v>
      </c>
      <c r="FE65">
        <f>_xlfn.XLOOKUP(FD65,'KPI Impacts'!$B$2:$H$2,'KPI Impacts'!$B65:$H65)</f>
        <v>0</v>
      </c>
      <c r="FH65" s="12">
        <f t="shared" si="379"/>
        <v>0</v>
      </c>
      <c r="FI65" s="12">
        <f t="shared" si="380"/>
        <v>0</v>
      </c>
      <c r="FJ65" s="12">
        <f t="shared" si="381"/>
        <v>0</v>
      </c>
      <c r="FK65" s="12">
        <f t="shared" si="382"/>
        <v>0</v>
      </c>
      <c r="FL65" s="12">
        <f t="shared" si="383"/>
        <v>0</v>
      </c>
      <c r="FM65" s="12">
        <f t="shared" si="384"/>
        <v>0</v>
      </c>
      <c r="FN65" s="12">
        <f t="shared" si="385"/>
        <v>0</v>
      </c>
      <c r="FO65" s="12">
        <f t="shared" si="386"/>
        <v>0</v>
      </c>
      <c r="FP65" s="12">
        <f t="shared" si="387"/>
        <v>0</v>
      </c>
      <c r="FR65" s="16" t="s">
        <v>1304</v>
      </c>
      <c r="FS65">
        <f>_xlfn.XLOOKUP(FR65,'KPI Impacts'!$B$2:$H$2,'KPI Impacts'!$B65:$H65)</f>
        <v>0</v>
      </c>
      <c r="FT65" s="9" t="s">
        <v>1304</v>
      </c>
      <c r="FU65">
        <f>_xlfn.XLOOKUP(FT65,'KPI Impacts'!$B$2:$H$2,'KPI Impacts'!$B65:$H65)</f>
        <v>0</v>
      </c>
      <c r="FX65" s="12">
        <f t="shared" si="388"/>
        <v>0</v>
      </c>
      <c r="FY65" s="12">
        <f t="shared" si="389"/>
        <v>0</v>
      </c>
      <c r="FZ65" s="12">
        <f t="shared" si="390"/>
        <v>0</v>
      </c>
      <c r="GA65" s="12">
        <f t="shared" si="391"/>
        <v>0</v>
      </c>
      <c r="GB65" s="12">
        <f t="shared" si="392"/>
        <v>0</v>
      </c>
      <c r="GC65" s="12">
        <f t="shared" si="393"/>
        <v>0</v>
      </c>
      <c r="GD65" s="12">
        <f t="shared" si="394"/>
        <v>0</v>
      </c>
      <c r="GE65" s="12">
        <f t="shared" si="395"/>
        <v>0</v>
      </c>
      <c r="GF65" s="12">
        <f t="shared" si="396"/>
        <v>0</v>
      </c>
      <c r="GH65" s="30" t="s">
        <v>1309</v>
      </c>
      <c r="GI65">
        <f>_xlfn.XLOOKUP(GH65,'KPI Impacts'!$B$2:$H$2,'KPI Impacts'!$B65:$H65)</f>
        <v>3</v>
      </c>
      <c r="GJ65" s="9" t="s">
        <v>1304</v>
      </c>
      <c r="GK65">
        <f>_xlfn.XLOOKUP(GJ65,'KPI Impacts'!$B$2:$H$2,'KPI Impacts'!$B65:$H65)</f>
        <v>0</v>
      </c>
      <c r="GN65" s="12">
        <f t="shared" si="397"/>
        <v>0</v>
      </c>
      <c r="GO65" s="12">
        <f t="shared" si="398"/>
        <v>0</v>
      </c>
      <c r="GP65" s="12">
        <f t="shared" si="399"/>
        <v>0</v>
      </c>
      <c r="GQ65" s="12">
        <f t="shared" si="400"/>
        <v>0</v>
      </c>
      <c r="GR65" s="12">
        <f t="shared" si="401"/>
        <v>0</v>
      </c>
      <c r="GS65" s="12">
        <f t="shared" si="402"/>
        <v>0</v>
      </c>
      <c r="GT65" s="12">
        <f t="shared" si="403"/>
        <v>0</v>
      </c>
      <c r="GU65" s="12">
        <f t="shared" si="404"/>
        <v>0</v>
      </c>
      <c r="GV65" s="12">
        <f t="shared" si="405"/>
        <v>0</v>
      </c>
      <c r="GX65" s="16" t="s">
        <v>1304</v>
      </c>
      <c r="GY65">
        <f>_xlfn.XLOOKUP(GX65,'KPI Impacts'!$B$2:$H$2,'KPI Impacts'!$B65:$H65)</f>
        <v>0</v>
      </c>
      <c r="GZ65" s="9" t="s">
        <v>1304</v>
      </c>
      <c r="HA65">
        <f>_xlfn.XLOOKUP(GZ65,'KPI Impacts'!$B$2:$H$2,'KPI Impacts'!$B65:$H65)</f>
        <v>0</v>
      </c>
      <c r="HD65" s="12">
        <f t="shared" si="406"/>
        <v>0</v>
      </c>
      <c r="HE65" s="12">
        <f t="shared" si="407"/>
        <v>0</v>
      </c>
      <c r="HF65" s="12">
        <f t="shared" si="408"/>
        <v>0</v>
      </c>
      <c r="HG65" s="12">
        <f t="shared" si="409"/>
        <v>0</v>
      </c>
      <c r="HH65" s="12">
        <f t="shared" si="410"/>
        <v>0</v>
      </c>
      <c r="HI65" s="12">
        <f t="shared" si="411"/>
        <v>0</v>
      </c>
      <c r="HJ65" s="12">
        <f t="shared" si="412"/>
        <v>0</v>
      </c>
      <c r="HK65" s="12">
        <f t="shared" si="413"/>
        <v>0</v>
      </c>
      <c r="HL65" s="12">
        <f t="shared" si="414"/>
        <v>0</v>
      </c>
      <c r="HN65" t="s">
        <v>1304</v>
      </c>
      <c r="HO65">
        <f>_xlfn.XLOOKUP(HN65,'KPI Impacts'!$B$2:$H$2,'KPI Impacts'!$B65:$H65)</f>
        <v>0</v>
      </c>
      <c r="HP65" s="9" t="s">
        <v>1304</v>
      </c>
      <c r="HQ65">
        <f>_xlfn.XLOOKUP(HP65,'KPI Impacts'!$B$2:$H$2,'KPI Impacts'!$B65:$H65)</f>
        <v>0</v>
      </c>
      <c r="HT65" s="12">
        <f t="shared" si="415"/>
        <v>0</v>
      </c>
      <c r="HU65" s="12">
        <f t="shared" si="416"/>
        <v>0</v>
      </c>
      <c r="HV65" s="12">
        <f t="shared" si="417"/>
        <v>0</v>
      </c>
      <c r="HW65" s="12">
        <f t="shared" si="418"/>
        <v>0</v>
      </c>
      <c r="HX65" s="12">
        <f t="shared" si="419"/>
        <v>0</v>
      </c>
      <c r="HY65" s="12">
        <f t="shared" si="420"/>
        <v>0</v>
      </c>
      <c r="HZ65" s="12">
        <f t="shared" si="421"/>
        <v>0</v>
      </c>
      <c r="IA65" s="12">
        <f t="shared" si="422"/>
        <v>0</v>
      </c>
      <c r="IB65" s="12">
        <f t="shared" si="423"/>
        <v>0</v>
      </c>
      <c r="ID65" t="s">
        <v>1304</v>
      </c>
      <c r="IE65">
        <f>_xlfn.XLOOKUP(ID65,'KPI Impacts'!$B$2:$H$2,'KPI Impacts'!$B65:$H65)</f>
        <v>0</v>
      </c>
      <c r="IF65" s="9" t="s">
        <v>1304</v>
      </c>
      <c r="IG65">
        <f>_xlfn.XLOOKUP(IF65,'KPI Impacts'!$B$2:$H$2,'KPI Impacts'!$B65:$H65)</f>
        <v>0</v>
      </c>
      <c r="IJ65" s="12">
        <f t="shared" si="424"/>
        <v>0</v>
      </c>
      <c r="IK65" s="12">
        <f t="shared" si="425"/>
        <v>0</v>
      </c>
      <c r="IL65" s="12">
        <f t="shared" si="426"/>
        <v>0</v>
      </c>
      <c r="IM65" s="12">
        <f t="shared" si="427"/>
        <v>0</v>
      </c>
      <c r="IN65" s="12">
        <f t="shared" si="428"/>
        <v>0</v>
      </c>
      <c r="IO65" s="12">
        <f t="shared" si="429"/>
        <v>0</v>
      </c>
      <c r="IP65" s="12">
        <f t="shared" si="430"/>
        <v>0</v>
      </c>
      <c r="IQ65" s="12">
        <f t="shared" si="431"/>
        <v>0</v>
      </c>
      <c r="IR65" s="12">
        <f t="shared" si="432"/>
        <v>0</v>
      </c>
      <c r="IT65" t="s">
        <v>1304</v>
      </c>
      <c r="IU65">
        <f>_xlfn.XLOOKUP(IT65,'KPI Impacts'!$B$2:$H$2,'KPI Impacts'!$B65:$H65)</f>
        <v>0</v>
      </c>
      <c r="IV65" s="9" t="s">
        <v>1304</v>
      </c>
      <c r="IW65">
        <f>_xlfn.XLOOKUP(IV65,'KPI Impacts'!$B$2:$H$2,'KPI Impacts'!$B65:$H65)</f>
        <v>0</v>
      </c>
      <c r="IZ65" s="12">
        <f t="shared" si="433"/>
        <v>0</v>
      </c>
      <c r="JA65" s="12">
        <f t="shared" si="434"/>
        <v>0</v>
      </c>
      <c r="JB65" s="12">
        <f t="shared" si="435"/>
        <v>0</v>
      </c>
      <c r="JC65" s="12">
        <f t="shared" si="436"/>
        <v>0</v>
      </c>
      <c r="JD65" s="12">
        <f t="shared" si="437"/>
        <v>0</v>
      </c>
      <c r="JE65" s="12">
        <f t="shared" si="438"/>
        <v>0</v>
      </c>
      <c r="JF65" s="12">
        <f t="shared" si="439"/>
        <v>0</v>
      </c>
      <c r="JG65" s="12">
        <f t="shared" si="440"/>
        <v>0</v>
      </c>
      <c r="JH65" s="12">
        <f t="shared" si="441"/>
        <v>0</v>
      </c>
      <c r="JJ65" t="s">
        <v>1304</v>
      </c>
      <c r="JK65">
        <f>_xlfn.XLOOKUP(JJ65,'KPI Impacts'!$B$2:$H$2,'KPI Impacts'!$B65:$H65)</f>
        <v>0</v>
      </c>
      <c r="JL65" s="9" t="s">
        <v>1304</v>
      </c>
      <c r="JM65">
        <f>_xlfn.XLOOKUP(JL65,'KPI Impacts'!$B$2:$H$2,'KPI Impacts'!$B65:$H65)</f>
        <v>0</v>
      </c>
      <c r="JP65" s="12">
        <f t="shared" si="442"/>
        <v>0</v>
      </c>
      <c r="JQ65" s="12">
        <f t="shared" si="443"/>
        <v>0</v>
      </c>
      <c r="JR65" s="12">
        <f t="shared" si="444"/>
        <v>0</v>
      </c>
      <c r="JS65" s="12">
        <f t="shared" si="445"/>
        <v>0</v>
      </c>
      <c r="JT65" s="12">
        <f t="shared" si="446"/>
        <v>0</v>
      </c>
      <c r="JU65" s="12">
        <f t="shared" si="447"/>
        <v>0</v>
      </c>
      <c r="JV65" s="12">
        <f t="shared" si="448"/>
        <v>0</v>
      </c>
      <c r="JW65" s="12">
        <f t="shared" si="449"/>
        <v>0</v>
      </c>
      <c r="JX65" s="12">
        <f t="shared" si="450"/>
        <v>0</v>
      </c>
      <c r="JZ65" t="s">
        <v>1304</v>
      </c>
      <c r="KA65">
        <f>_xlfn.XLOOKUP(JZ65,'KPI Impacts'!$B$2:$H$2,'KPI Impacts'!$B65:$H65)</f>
        <v>0</v>
      </c>
      <c r="KB65" s="9" t="s">
        <v>1304</v>
      </c>
      <c r="KC65">
        <f>_xlfn.XLOOKUP(KB65,'KPI Impacts'!$B$2:$H$2,'KPI Impacts'!$B65:$H65)</f>
        <v>0</v>
      </c>
      <c r="KF65" s="12">
        <f t="shared" si="451"/>
        <v>0</v>
      </c>
      <c r="KG65" s="12">
        <f t="shared" si="452"/>
        <v>0</v>
      </c>
      <c r="KH65" s="12">
        <f t="shared" si="453"/>
        <v>0</v>
      </c>
      <c r="KI65" s="12">
        <f t="shared" si="454"/>
        <v>0</v>
      </c>
      <c r="KJ65" s="12">
        <f t="shared" si="455"/>
        <v>0</v>
      </c>
      <c r="KK65" s="12">
        <f t="shared" si="456"/>
        <v>0</v>
      </c>
      <c r="KL65" s="12">
        <f t="shared" si="457"/>
        <v>0</v>
      </c>
      <c r="KM65" s="12">
        <f t="shared" si="458"/>
        <v>0</v>
      </c>
      <c r="KN65" s="12">
        <f t="shared" si="459"/>
        <v>0</v>
      </c>
      <c r="KP65" t="s">
        <v>1304</v>
      </c>
      <c r="KQ65">
        <f>_xlfn.XLOOKUP(KP65,'KPI Impacts'!$B$2:$H$2,'KPI Impacts'!$B65:$H65)</f>
        <v>0</v>
      </c>
      <c r="KR65" s="9" t="s">
        <v>1304</v>
      </c>
      <c r="KS65">
        <f>_xlfn.XLOOKUP(KR65,'KPI Impacts'!$B$2:$H$2,'KPI Impacts'!$B65:$H65)</f>
        <v>0</v>
      </c>
      <c r="KV65" s="12">
        <f t="shared" si="460"/>
        <v>0</v>
      </c>
      <c r="KW65" s="12">
        <f t="shared" si="461"/>
        <v>0</v>
      </c>
      <c r="KX65" s="12">
        <f t="shared" si="462"/>
        <v>0</v>
      </c>
      <c r="KY65" s="12">
        <f t="shared" si="463"/>
        <v>0</v>
      </c>
      <c r="KZ65" s="12">
        <f t="shared" si="464"/>
        <v>0</v>
      </c>
      <c r="LA65" s="12">
        <f t="shared" si="465"/>
        <v>0</v>
      </c>
      <c r="LB65" s="12">
        <f t="shared" si="466"/>
        <v>0</v>
      </c>
      <c r="LC65" s="12">
        <f t="shared" si="467"/>
        <v>0</v>
      </c>
      <c r="LD65" s="12">
        <f t="shared" si="468"/>
        <v>0</v>
      </c>
      <c r="LF65" t="s">
        <v>1304</v>
      </c>
      <c r="LG65">
        <f>_xlfn.XLOOKUP(LF65,'KPI Impacts'!$B$2:$H$2,'KPI Impacts'!$B65:$H65)</f>
        <v>0</v>
      </c>
      <c r="LH65" s="9" t="s">
        <v>1304</v>
      </c>
      <c r="LI65">
        <f>_xlfn.XLOOKUP(LH65,'KPI Impacts'!$B$2:$H$2,'KPI Impacts'!$B65:$H65)</f>
        <v>0</v>
      </c>
      <c r="LL65" s="12">
        <f t="shared" si="469"/>
        <v>0</v>
      </c>
      <c r="LM65" s="12">
        <f t="shared" si="470"/>
        <v>0</v>
      </c>
      <c r="LN65" s="12">
        <f t="shared" si="471"/>
        <v>0</v>
      </c>
      <c r="LO65" s="12">
        <f t="shared" si="472"/>
        <v>0</v>
      </c>
      <c r="LP65" s="12">
        <f t="shared" si="473"/>
        <v>0</v>
      </c>
      <c r="LQ65" s="12">
        <f t="shared" si="474"/>
        <v>0</v>
      </c>
      <c r="LR65" s="12">
        <f t="shared" si="475"/>
        <v>0</v>
      </c>
      <c r="LS65" s="12">
        <f t="shared" si="476"/>
        <v>0</v>
      </c>
      <c r="LT65" s="12">
        <f t="shared" si="477"/>
        <v>0</v>
      </c>
      <c r="LV65" t="s">
        <v>1304</v>
      </c>
      <c r="LW65">
        <f>_xlfn.XLOOKUP(LV65,'KPI Impacts'!$B$2:$H$2,'KPI Impacts'!$B65:$H65)</f>
        <v>0</v>
      </c>
      <c r="LX65" s="9" t="s">
        <v>1304</v>
      </c>
      <c r="LY65">
        <f>_xlfn.XLOOKUP(LX65,'KPI Impacts'!$B$2:$H$2,'KPI Impacts'!$B65:$H65)</f>
        <v>0</v>
      </c>
      <c r="MB65" s="12">
        <f t="shared" si="478"/>
        <v>0</v>
      </c>
      <c r="MC65" s="12">
        <f t="shared" si="479"/>
        <v>0</v>
      </c>
      <c r="MD65" s="12">
        <f t="shared" si="480"/>
        <v>0</v>
      </c>
      <c r="ME65" s="12">
        <f t="shared" si="481"/>
        <v>0</v>
      </c>
      <c r="MF65" s="12">
        <f t="shared" si="482"/>
        <v>0</v>
      </c>
      <c r="MG65" s="12">
        <f t="shared" si="483"/>
        <v>0</v>
      </c>
      <c r="MH65" s="12">
        <f t="shared" si="484"/>
        <v>0</v>
      </c>
      <c r="MI65" s="12">
        <f t="shared" si="485"/>
        <v>0</v>
      </c>
      <c r="MJ65" s="12">
        <f t="shared" si="486"/>
        <v>0</v>
      </c>
      <c r="ML65" t="s">
        <v>1304</v>
      </c>
      <c r="MM65">
        <f>_xlfn.XLOOKUP(ML65,'KPI Impacts'!$B$2:$H$2,'KPI Impacts'!$B65:$H65)</f>
        <v>0</v>
      </c>
      <c r="MN65" s="9" t="s">
        <v>1304</v>
      </c>
      <c r="MO65">
        <f>_xlfn.XLOOKUP(MN65,'KPI Impacts'!$B$2:$H$2,'KPI Impacts'!$B65:$H65)</f>
        <v>0</v>
      </c>
      <c r="MR65" s="12">
        <f t="shared" si="487"/>
        <v>0</v>
      </c>
      <c r="MS65" s="12">
        <f t="shared" si="488"/>
        <v>0</v>
      </c>
      <c r="MT65" s="12">
        <f t="shared" si="489"/>
        <v>0</v>
      </c>
      <c r="MU65" s="12">
        <f t="shared" si="490"/>
        <v>0</v>
      </c>
      <c r="MV65" s="12">
        <f t="shared" si="491"/>
        <v>0</v>
      </c>
      <c r="MW65" s="12">
        <f t="shared" si="492"/>
        <v>0</v>
      </c>
      <c r="MX65" s="12">
        <f t="shared" si="493"/>
        <v>0</v>
      </c>
      <c r="MY65" s="12">
        <f t="shared" si="494"/>
        <v>0</v>
      </c>
      <c r="MZ65" s="12">
        <f t="shared" si="495"/>
        <v>0</v>
      </c>
      <c r="NB65" t="s">
        <v>1304</v>
      </c>
      <c r="NC65">
        <f>_xlfn.XLOOKUP(NB65,'KPI Impacts'!$B$2:$H$2,'KPI Impacts'!$B65:$H65)</f>
        <v>0</v>
      </c>
      <c r="ND65" s="9" t="s">
        <v>1304</v>
      </c>
      <c r="NE65">
        <f>_xlfn.XLOOKUP(ND65,'KPI Impacts'!$B$2:$H$2,'KPI Impacts'!$B65:$H65)</f>
        <v>0</v>
      </c>
      <c r="NH65" s="12">
        <f t="shared" si="496"/>
        <v>0</v>
      </c>
      <c r="NI65" s="12">
        <f t="shared" si="497"/>
        <v>0</v>
      </c>
      <c r="NJ65" s="12">
        <f t="shared" si="498"/>
        <v>0</v>
      </c>
      <c r="NK65" s="12">
        <f t="shared" si="499"/>
        <v>0</v>
      </c>
      <c r="NL65" s="12">
        <f t="shared" si="500"/>
        <v>0</v>
      </c>
      <c r="NM65" s="12">
        <f t="shared" si="501"/>
        <v>0</v>
      </c>
      <c r="NN65" s="12">
        <f t="shared" si="502"/>
        <v>0</v>
      </c>
      <c r="NO65" s="12">
        <f t="shared" si="503"/>
        <v>0</v>
      </c>
      <c r="NP65" s="12">
        <f t="shared" si="504"/>
        <v>0</v>
      </c>
      <c r="NR65" t="s">
        <v>1304</v>
      </c>
      <c r="NS65">
        <f>_xlfn.XLOOKUP(NR65,'KPI Impacts'!$B$2:$H$2,'KPI Impacts'!$B65:$H65)</f>
        <v>0</v>
      </c>
      <c r="NT65" s="9" t="s">
        <v>1304</v>
      </c>
      <c r="NU65">
        <f>_xlfn.XLOOKUP(NT65,'KPI Impacts'!$B$2:$H$2,'KPI Impacts'!$B65:$H65)</f>
        <v>0</v>
      </c>
      <c r="NX65" s="12">
        <f t="shared" si="505"/>
        <v>0</v>
      </c>
      <c r="NY65" s="12">
        <f t="shared" si="506"/>
        <v>0</v>
      </c>
      <c r="NZ65" s="12">
        <f t="shared" si="507"/>
        <v>0</v>
      </c>
      <c r="OA65" s="12">
        <f t="shared" si="508"/>
        <v>0</v>
      </c>
      <c r="OB65" s="12">
        <f t="shared" si="509"/>
        <v>0</v>
      </c>
      <c r="OC65" s="12">
        <f t="shared" si="510"/>
        <v>0</v>
      </c>
      <c r="OD65" s="12">
        <f t="shared" si="511"/>
        <v>0</v>
      </c>
      <c r="OE65" s="12">
        <f t="shared" si="512"/>
        <v>0</v>
      </c>
      <c r="OF65" s="12">
        <f t="shared" si="513"/>
        <v>0</v>
      </c>
      <c r="OH65" t="s">
        <v>1304</v>
      </c>
      <c r="OI65">
        <f>_xlfn.XLOOKUP(OH65,'KPI Impacts'!$B$2:$H$2,'KPI Impacts'!$B65:$H65)</f>
        <v>0</v>
      </c>
      <c r="OJ65" s="9" t="s">
        <v>1304</v>
      </c>
      <c r="OK65">
        <f>_xlfn.XLOOKUP(OJ65,'KPI Impacts'!$B$2:$H$2,'KPI Impacts'!$B65:$H65)</f>
        <v>0</v>
      </c>
    </row>
    <row r="66" spans="1:401" x14ac:dyDescent="0.2">
      <c r="A66" t="s">
        <v>1293</v>
      </c>
      <c r="B66" s="12">
        <f t="shared" si="514"/>
        <v>0</v>
      </c>
      <c r="C66" s="12">
        <f t="shared" si="315"/>
        <v>0</v>
      </c>
      <c r="D66" s="12">
        <f t="shared" si="315"/>
        <v>0</v>
      </c>
      <c r="E66" s="12">
        <f t="shared" si="315"/>
        <v>0</v>
      </c>
      <c r="F66" s="12">
        <f t="shared" si="315"/>
        <v>0</v>
      </c>
      <c r="G66" s="12">
        <f t="shared" si="315"/>
        <v>0</v>
      </c>
      <c r="H66" s="12">
        <f t="shared" si="315"/>
        <v>0</v>
      </c>
      <c r="I66" s="12">
        <f t="shared" si="315"/>
        <v>0</v>
      </c>
      <c r="J66" s="12">
        <f t="shared" si="315"/>
        <v>0</v>
      </c>
      <c r="P66" s="12" cm="1">
        <f t="array" ref="P66">_xlfn.SWITCH(P$4, 0,0, 1, AA66,2,AC66,3,AE66,0)</f>
        <v>0</v>
      </c>
      <c r="Q66" s="12" cm="1">
        <f t="array" ref="Q66">_xlfn.SWITCH(Q$4, 0,0, 1, AA66,2,AC66,3,AE66,0)+P66</f>
        <v>0</v>
      </c>
      <c r="R66" s="12" cm="1">
        <f t="array" ref="R66">_xlfn.SWITCH(R$4, 0,0, 1, AA66,2,AC66,3,AE66,0)+Q66</f>
        <v>0</v>
      </c>
      <c r="S66" s="12" cm="1">
        <f t="array" ref="S66">_xlfn.SWITCH(S$4, 0,0, 1, AA66,2,AC66,3,AE66,0)+R66</f>
        <v>0</v>
      </c>
      <c r="T66" s="12" cm="1">
        <f t="array" ref="T66">_xlfn.SWITCH(T$4, 0,0, 1, AA66,2,AC66,3,AE66,0)+S66</f>
        <v>0</v>
      </c>
      <c r="U66" s="12" cm="1">
        <f t="array" ref="U66">_xlfn.SWITCH(U$4, 0,0, 1, AA66,2,AC66,3,AE66,0)+T66</f>
        <v>0</v>
      </c>
      <c r="V66" s="12" cm="1">
        <f t="array" ref="V66">_xlfn.SWITCH(V$4, 0,0, 1, AA66,2,AC66,3,AE66,0)+U66</f>
        <v>0</v>
      </c>
      <c r="W66" s="12" cm="1">
        <f t="array" ref="W66">_xlfn.SWITCH(W$4, 0,0, 1, AA66,2,AC66,3,AE66,0)+V66</f>
        <v>0</v>
      </c>
      <c r="X66" s="12" cm="1">
        <f t="array" ref="X66">_xlfn.SWITCH(X$4, 0,0, 1, AA66,2,AC66,3,AE66,0)+W66</f>
        <v>0</v>
      </c>
      <c r="Z66" t="s">
        <v>1304</v>
      </c>
      <c r="AA66">
        <f>_xlfn.XLOOKUP(Z66,'KPI Impacts'!$K$2:$Q$2,'KPI Impacts'!$K66:$Q66)</f>
        <v>0</v>
      </c>
      <c r="AB66" t="s">
        <v>1304</v>
      </c>
      <c r="AC66">
        <f>_xlfn.XLOOKUP(AB66,'KPI Impacts'!$K$2:$Q$2,'KPI Impacts'!$K66:$Q66)</f>
        <v>0</v>
      </c>
      <c r="AD66" t="s">
        <v>1304</v>
      </c>
      <c r="AE66">
        <f>_xlfn.XLOOKUP(AD66,'KPI Impacts'!$K$2:$Q$2,'KPI Impacts'!$K66:$Q66)</f>
        <v>0</v>
      </c>
      <c r="AH66" s="12" cm="1">
        <f t="array" ref="AH66">_xlfn.SWITCH(AH$4, 0,0, 1, AS66,2,AU66,3,AW66,0)</f>
        <v>0</v>
      </c>
      <c r="AI66" s="12" cm="1">
        <f t="array" ref="AI66">_xlfn.SWITCH(AI$4, 0,0, 1, AS66,2,AU66,3,AW66,0)+AH66</f>
        <v>0</v>
      </c>
      <c r="AJ66" s="12" cm="1">
        <f t="array" ref="AJ66">_xlfn.SWITCH(AJ$4, 0,0, 1, AS66,2,AU66,3,AW66,0)+AI66</f>
        <v>0</v>
      </c>
      <c r="AK66" s="12" cm="1">
        <f t="array" ref="AK66">_xlfn.SWITCH(AK$4, 0,0, 1, AS66,2,AU66,3,AW66,0)+AJ66</f>
        <v>0</v>
      </c>
      <c r="AL66" s="12" cm="1">
        <f t="array" ref="AL66">_xlfn.SWITCH(AL$4, 0,0, 1, AS66,2,AU66,3,AW66,0)+AK66</f>
        <v>0</v>
      </c>
      <c r="AM66" s="12" cm="1">
        <f t="array" ref="AM66">_xlfn.SWITCH(AM$4, 0,0, 1, AS66,2,AU66,3,AW66,0)+AL66</f>
        <v>0</v>
      </c>
      <c r="AN66" s="12" cm="1">
        <f t="array" ref="AN66">_xlfn.SWITCH(AN$4, 0,0, 1, AS66,2,AU66,3,AW66,0)+AM66</f>
        <v>0</v>
      </c>
      <c r="AO66" s="12" cm="1">
        <f t="array" ref="AO66">_xlfn.SWITCH(AO$4, 0,0, 1, AS66,2,AU66,3,AW66,0)+AN66</f>
        <v>0</v>
      </c>
      <c r="AP66" s="12" cm="1">
        <f t="array" ref="AP66">_xlfn.SWITCH(AP$4, 0,0, 1, AS66,2,AU66,3,AW66,0)+AO66</f>
        <v>0</v>
      </c>
      <c r="AR66" t="s">
        <v>1304</v>
      </c>
      <c r="AS66">
        <f>_xlfn.XLOOKUP(AR66,'KPI Impacts'!$K$2:$Q$2,'KPI Impacts'!$K66:$Q66)</f>
        <v>0</v>
      </c>
      <c r="AT66" t="s">
        <v>1304</v>
      </c>
      <c r="AU66">
        <f>_xlfn.XLOOKUP(AT66,'KPI Impacts'!$K$2:$Q$2,'KPI Impacts'!$K66:$Q66)</f>
        <v>0</v>
      </c>
      <c r="AV66" t="s">
        <v>1304</v>
      </c>
      <c r="AW66">
        <f>_xlfn.XLOOKUP(AV66,'KPI Impacts'!$K$2:$Q$2,'KPI Impacts'!$K66:$Q66)</f>
        <v>0</v>
      </c>
      <c r="AZ66" s="12">
        <f t="shared" si="316"/>
        <v>0</v>
      </c>
      <c r="BA66" s="12">
        <f t="shared" si="317"/>
        <v>0</v>
      </c>
      <c r="BB66" s="12">
        <f t="shared" si="318"/>
        <v>0</v>
      </c>
      <c r="BC66" s="12">
        <f t="shared" si="319"/>
        <v>0</v>
      </c>
      <c r="BD66" s="12">
        <f t="shared" si="320"/>
        <v>0</v>
      </c>
      <c r="BE66" s="12">
        <f t="shared" si="321"/>
        <v>0</v>
      </c>
      <c r="BF66" s="12">
        <f t="shared" si="322"/>
        <v>0</v>
      </c>
      <c r="BG66" s="12">
        <f t="shared" si="323"/>
        <v>0</v>
      </c>
      <c r="BH66" s="12">
        <f t="shared" si="324"/>
        <v>0</v>
      </c>
      <c r="BJ66" s="16" t="s">
        <v>1304</v>
      </c>
      <c r="BK66">
        <f>_xlfn.XLOOKUP(BJ66,'KPI Impacts'!$B$2:$H$2,'KPI Impacts'!$B66:$H66)</f>
        <v>0</v>
      </c>
      <c r="BL66" s="35" t="s">
        <v>1304</v>
      </c>
      <c r="BM66">
        <f>_xlfn.XLOOKUP(BL66,'KPI Impacts'!$B$2:$H$2,'KPI Impacts'!$B66:$H66)</f>
        <v>0</v>
      </c>
      <c r="BP66" s="12">
        <f t="shared" si="325"/>
        <v>0</v>
      </c>
      <c r="BQ66" s="12">
        <f t="shared" si="326"/>
        <v>0</v>
      </c>
      <c r="BR66" s="12">
        <f t="shared" si="327"/>
        <v>0</v>
      </c>
      <c r="BS66" s="12">
        <f t="shared" si="328"/>
        <v>0</v>
      </c>
      <c r="BT66" s="12">
        <f t="shared" si="329"/>
        <v>0</v>
      </c>
      <c r="BU66" s="12">
        <f t="shared" si="330"/>
        <v>0</v>
      </c>
      <c r="BV66" s="12">
        <f t="shared" si="331"/>
        <v>0</v>
      </c>
      <c r="BW66" s="12">
        <f t="shared" si="332"/>
        <v>0</v>
      </c>
      <c r="BX66" s="12">
        <f t="shared" si="333"/>
        <v>0</v>
      </c>
      <c r="BZ66" s="30" t="s">
        <v>1308</v>
      </c>
      <c r="CA66">
        <f>_xlfn.XLOOKUP(BZ66,'KPI Impacts'!$B$2:$H$2,'KPI Impacts'!$B66:$H66)</f>
        <v>2</v>
      </c>
      <c r="CB66" s="35" t="s">
        <v>1304</v>
      </c>
      <c r="CC66">
        <f>_xlfn.XLOOKUP(CB66,'KPI Impacts'!$B$2:$H$2,'KPI Impacts'!$B66:$H66)</f>
        <v>0</v>
      </c>
      <c r="CF66" s="12">
        <f t="shared" si="334"/>
        <v>0</v>
      </c>
      <c r="CG66" s="12">
        <f t="shared" si="335"/>
        <v>0</v>
      </c>
      <c r="CH66" s="12">
        <f t="shared" si="336"/>
        <v>0</v>
      </c>
      <c r="CI66" s="12">
        <f t="shared" si="337"/>
        <v>0</v>
      </c>
      <c r="CJ66" s="12">
        <f t="shared" si="338"/>
        <v>0</v>
      </c>
      <c r="CK66" s="12">
        <f t="shared" si="339"/>
        <v>0</v>
      </c>
      <c r="CL66" s="12">
        <f t="shared" si="340"/>
        <v>0</v>
      </c>
      <c r="CM66" s="12">
        <f t="shared" si="341"/>
        <v>0</v>
      </c>
      <c r="CN66" s="12">
        <f t="shared" si="342"/>
        <v>0</v>
      </c>
      <c r="CP66" s="16" t="s">
        <v>1304</v>
      </c>
      <c r="CQ66">
        <f>_xlfn.XLOOKUP(CP66,'KPI Impacts'!$B$2:$H$2,'KPI Impacts'!$B66:$H66)</f>
        <v>0</v>
      </c>
      <c r="CR66" s="35" t="s">
        <v>1304</v>
      </c>
      <c r="CS66">
        <f>_xlfn.XLOOKUP(CR66,'KPI Impacts'!$B$2:$H$2,'KPI Impacts'!$B66:$H66)</f>
        <v>0</v>
      </c>
      <c r="CV66" s="12">
        <f t="shared" si="343"/>
        <v>0</v>
      </c>
      <c r="CW66" s="12">
        <f t="shared" si="344"/>
        <v>0</v>
      </c>
      <c r="CX66" s="12">
        <f t="shared" si="345"/>
        <v>0</v>
      </c>
      <c r="CY66" s="12">
        <f t="shared" si="346"/>
        <v>0</v>
      </c>
      <c r="CZ66" s="12">
        <f t="shared" si="347"/>
        <v>0</v>
      </c>
      <c r="DA66" s="12">
        <f t="shared" si="348"/>
        <v>0</v>
      </c>
      <c r="DB66" s="12">
        <f t="shared" si="349"/>
        <v>0</v>
      </c>
      <c r="DC66" s="12">
        <f t="shared" si="350"/>
        <v>0</v>
      </c>
      <c r="DD66" s="12">
        <f t="shared" si="351"/>
        <v>0</v>
      </c>
      <c r="DF66" s="30" t="s">
        <v>1309</v>
      </c>
      <c r="DG66">
        <f>_xlfn.XLOOKUP(DF66,'KPI Impacts'!$B$2:$H$2,'KPI Impacts'!$B66:$H66)</f>
        <v>6</v>
      </c>
      <c r="DH66" s="35" t="s">
        <v>1304</v>
      </c>
      <c r="DI66">
        <f>_xlfn.XLOOKUP(DH66,'KPI Impacts'!$B$2:$H$2,'KPI Impacts'!$B66:$H66)</f>
        <v>0</v>
      </c>
      <c r="DL66" s="12">
        <f t="shared" si="352"/>
        <v>0</v>
      </c>
      <c r="DM66" s="12">
        <f t="shared" si="353"/>
        <v>0</v>
      </c>
      <c r="DN66" s="12">
        <f t="shared" si="354"/>
        <v>0</v>
      </c>
      <c r="DO66" s="12">
        <f t="shared" si="355"/>
        <v>0</v>
      </c>
      <c r="DP66" s="12">
        <f t="shared" si="356"/>
        <v>0</v>
      </c>
      <c r="DQ66" s="12">
        <f t="shared" si="357"/>
        <v>0</v>
      </c>
      <c r="DR66" s="12">
        <f t="shared" si="358"/>
        <v>0</v>
      </c>
      <c r="DS66" s="12">
        <f t="shared" si="359"/>
        <v>0</v>
      </c>
      <c r="DT66" s="12">
        <f t="shared" si="360"/>
        <v>0</v>
      </c>
      <c r="DV66" s="16" t="s">
        <v>1304</v>
      </c>
      <c r="DW66">
        <f>_xlfn.XLOOKUP(DV66,'KPI Impacts'!$B$2:$H$2,'KPI Impacts'!$B66:$H66)</f>
        <v>0</v>
      </c>
      <c r="DX66" s="35" t="s">
        <v>1304</v>
      </c>
      <c r="DY66">
        <f>_xlfn.XLOOKUP(DX66,'KPI Impacts'!$B$2:$H$2,'KPI Impacts'!$B66:$H66)</f>
        <v>0</v>
      </c>
      <c r="EB66" s="12">
        <f t="shared" si="361"/>
        <v>0</v>
      </c>
      <c r="EC66" s="12">
        <f t="shared" si="362"/>
        <v>0</v>
      </c>
      <c r="ED66" s="12">
        <f t="shared" si="363"/>
        <v>0</v>
      </c>
      <c r="EE66" s="12">
        <f t="shared" si="364"/>
        <v>0</v>
      </c>
      <c r="EF66" s="12">
        <f t="shared" si="365"/>
        <v>0</v>
      </c>
      <c r="EG66" s="12">
        <f t="shared" si="366"/>
        <v>0</v>
      </c>
      <c r="EH66" s="12">
        <f t="shared" si="367"/>
        <v>0</v>
      </c>
      <c r="EI66" s="12">
        <f t="shared" si="368"/>
        <v>0</v>
      </c>
      <c r="EJ66" s="12">
        <f t="shared" si="369"/>
        <v>0</v>
      </c>
      <c r="EL66" s="29" t="s">
        <v>1305</v>
      </c>
      <c r="EM66">
        <f>_xlfn.XLOOKUP(EL66,'KPI Impacts'!$B$2:$H$2,'KPI Impacts'!$B66:$H66)</f>
        <v>-1.6</v>
      </c>
      <c r="EN66" s="35" t="s">
        <v>1304</v>
      </c>
      <c r="EO66">
        <f>_xlfn.XLOOKUP(EN66,'KPI Impacts'!$B$2:$H$2,'KPI Impacts'!$B66:$H66)</f>
        <v>0</v>
      </c>
      <c r="ER66" s="12">
        <f t="shared" si="370"/>
        <v>0</v>
      </c>
      <c r="ES66" s="12">
        <f t="shared" si="371"/>
        <v>0</v>
      </c>
      <c r="ET66" s="12">
        <f t="shared" si="372"/>
        <v>0</v>
      </c>
      <c r="EU66" s="12">
        <f t="shared" si="373"/>
        <v>0</v>
      </c>
      <c r="EV66" s="12">
        <f t="shared" si="374"/>
        <v>0</v>
      </c>
      <c r="EW66" s="12">
        <f t="shared" si="375"/>
        <v>0</v>
      </c>
      <c r="EX66" s="12">
        <f t="shared" si="376"/>
        <v>0</v>
      </c>
      <c r="EY66" s="12">
        <f t="shared" si="377"/>
        <v>0</v>
      </c>
      <c r="EZ66" s="12">
        <f t="shared" si="378"/>
        <v>0</v>
      </c>
      <c r="FB66" s="16" t="s">
        <v>1304</v>
      </c>
      <c r="FC66">
        <f>_xlfn.XLOOKUP(FB66,'KPI Impacts'!$B$2:$H$2,'KPI Impacts'!$B66:$H66)</f>
        <v>0</v>
      </c>
      <c r="FD66" s="35" t="s">
        <v>1304</v>
      </c>
      <c r="FE66">
        <f>_xlfn.XLOOKUP(FD66,'KPI Impacts'!$B$2:$H$2,'KPI Impacts'!$B66:$H66)</f>
        <v>0</v>
      </c>
      <c r="FH66" s="12">
        <f t="shared" si="379"/>
        <v>0</v>
      </c>
      <c r="FI66" s="12">
        <f t="shared" si="380"/>
        <v>0</v>
      </c>
      <c r="FJ66" s="12">
        <f t="shared" si="381"/>
        <v>0</v>
      </c>
      <c r="FK66" s="12">
        <f t="shared" si="382"/>
        <v>0</v>
      </c>
      <c r="FL66" s="12">
        <f t="shared" si="383"/>
        <v>0</v>
      </c>
      <c r="FM66" s="12">
        <f t="shared" si="384"/>
        <v>0</v>
      </c>
      <c r="FN66" s="12">
        <f t="shared" si="385"/>
        <v>0</v>
      </c>
      <c r="FO66" s="12">
        <f t="shared" si="386"/>
        <v>0</v>
      </c>
      <c r="FP66" s="12">
        <f t="shared" si="387"/>
        <v>0</v>
      </c>
      <c r="FR66" s="16" t="s">
        <v>1304</v>
      </c>
      <c r="FS66">
        <f>_xlfn.XLOOKUP(FR66,'KPI Impacts'!$B$2:$H$2,'KPI Impacts'!$B66:$H66)</f>
        <v>0</v>
      </c>
      <c r="FT66" s="9" t="s">
        <v>1304</v>
      </c>
      <c r="FU66">
        <f>_xlfn.XLOOKUP(FT66,'KPI Impacts'!$B$2:$H$2,'KPI Impacts'!$B66:$H66)</f>
        <v>0</v>
      </c>
      <c r="FX66" s="12">
        <f t="shared" si="388"/>
        <v>0</v>
      </c>
      <c r="FY66" s="12">
        <f t="shared" si="389"/>
        <v>0</v>
      </c>
      <c r="FZ66" s="12">
        <f t="shared" si="390"/>
        <v>0</v>
      </c>
      <c r="GA66" s="12">
        <f t="shared" si="391"/>
        <v>0</v>
      </c>
      <c r="GB66" s="12">
        <f t="shared" si="392"/>
        <v>0</v>
      </c>
      <c r="GC66" s="12">
        <f t="shared" si="393"/>
        <v>0</v>
      </c>
      <c r="GD66" s="12">
        <f t="shared" si="394"/>
        <v>0</v>
      </c>
      <c r="GE66" s="12">
        <f t="shared" si="395"/>
        <v>0</v>
      </c>
      <c r="GF66" s="12">
        <f t="shared" si="396"/>
        <v>0</v>
      </c>
      <c r="GH66" s="16" t="s">
        <v>1304</v>
      </c>
      <c r="GI66">
        <f>_xlfn.XLOOKUP(GH66,'KPI Impacts'!$B$2:$H$2,'KPI Impacts'!$B66:$H66)</f>
        <v>0</v>
      </c>
      <c r="GJ66" s="9" t="s">
        <v>1304</v>
      </c>
      <c r="GK66">
        <f>_xlfn.XLOOKUP(GJ66,'KPI Impacts'!$B$2:$H$2,'KPI Impacts'!$B66:$H66)</f>
        <v>0</v>
      </c>
      <c r="GN66" s="12">
        <f t="shared" si="397"/>
        <v>0</v>
      </c>
      <c r="GO66" s="12">
        <f t="shared" si="398"/>
        <v>0</v>
      </c>
      <c r="GP66" s="12">
        <f t="shared" si="399"/>
        <v>0</v>
      </c>
      <c r="GQ66" s="12">
        <f t="shared" si="400"/>
        <v>0</v>
      </c>
      <c r="GR66" s="12">
        <f t="shared" si="401"/>
        <v>0</v>
      </c>
      <c r="GS66" s="12">
        <f t="shared" si="402"/>
        <v>0</v>
      </c>
      <c r="GT66" s="12">
        <f t="shared" si="403"/>
        <v>0</v>
      </c>
      <c r="GU66" s="12">
        <f t="shared" si="404"/>
        <v>0</v>
      </c>
      <c r="GV66" s="12">
        <f t="shared" si="405"/>
        <v>0</v>
      </c>
      <c r="GX66" s="29" t="s">
        <v>1305</v>
      </c>
      <c r="GY66">
        <f>_xlfn.XLOOKUP(GX66,'KPI Impacts'!$B$2:$H$2,'KPI Impacts'!$B66:$H66)</f>
        <v>-1.6</v>
      </c>
      <c r="GZ66" s="9" t="s">
        <v>1304</v>
      </c>
      <c r="HA66">
        <f>_xlfn.XLOOKUP(GZ66,'KPI Impacts'!$B$2:$H$2,'KPI Impacts'!$B66:$H66)</f>
        <v>0</v>
      </c>
      <c r="HD66" s="12">
        <f t="shared" si="406"/>
        <v>0</v>
      </c>
      <c r="HE66" s="12">
        <f t="shared" si="407"/>
        <v>0</v>
      </c>
      <c r="HF66" s="12">
        <f t="shared" si="408"/>
        <v>0</v>
      </c>
      <c r="HG66" s="12">
        <f t="shared" si="409"/>
        <v>0</v>
      </c>
      <c r="HH66" s="12">
        <f t="shared" si="410"/>
        <v>0</v>
      </c>
      <c r="HI66" s="12">
        <f t="shared" si="411"/>
        <v>0</v>
      </c>
      <c r="HJ66" s="12">
        <f t="shared" si="412"/>
        <v>0</v>
      </c>
      <c r="HK66" s="12">
        <f t="shared" si="413"/>
        <v>0</v>
      </c>
      <c r="HL66" s="12">
        <f t="shared" si="414"/>
        <v>0</v>
      </c>
      <c r="HN66" t="s">
        <v>1304</v>
      </c>
      <c r="HO66">
        <f>_xlfn.XLOOKUP(HN66,'KPI Impacts'!$B$2:$H$2,'KPI Impacts'!$B66:$H66)</f>
        <v>0</v>
      </c>
      <c r="HP66" s="9" t="s">
        <v>1304</v>
      </c>
      <c r="HQ66">
        <f>_xlfn.XLOOKUP(HP66,'KPI Impacts'!$B$2:$H$2,'KPI Impacts'!$B66:$H66)</f>
        <v>0</v>
      </c>
      <c r="HT66" s="12">
        <f t="shared" si="415"/>
        <v>0</v>
      </c>
      <c r="HU66" s="12">
        <f t="shared" si="416"/>
        <v>0</v>
      </c>
      <c r="HV66" s="12">
        <f t="shared" si="417"/>
        <v>0</v>
      </c>
      <c r="HW66" s="12">
        <f t="shared" si="418"/>
        <v>0</v>
      </c>
      <c r="HX66" s="12">
        <f t="shared" si="419"/>
        <v>0</v>
      </c>
      <c r="HY66" s="12">
        <f t="shared" si="420"/>
        <v>0</v>
      </c>
      <c r="HZ66" s="12">
        <f t="shared" si="421"/>
        <v>0</v>
      </c>
      <c r="IA66" s="12">
        <f t="shared" si="422"/>
        <v>0</v>
      </c>
      <c r="IB66" s="12">
        <f t="shared" si="423"/>
        <v>0</v>
      </c>
      <c r="ID66" t="s">
        <v>1304</v>
      </c>
      <c r="IE66">
        <f>_xlfn.XLOOKUP(ID66,'KPI Impacts'!$B$2:$H$2,'KPI Impacts'!$B66:$H66)</f>
        <v>0</v>
      </c>
      <c r="IF66" s="9" t="s">
        <v>1304</v>
      </c>
      <c r="IG66">
        <f>_xlfn.XLOOKUP(IF66,'KPI Impacts'!$B$2:$H$2,'KPI Impacts'!$B66:$H66)</f>
        <v>0</v>
      </c>
      <c r="IJ66" s="12">
        <f t="shared" si="424"/>
        <v>0</v>
      </c>
      <c r="IK66" s="12">
        <f t="shared" si="425"/>
        <v>0</v>
      </c>
      <c r="IL66" s="12">
        <f t="shared" si="426"/>
        <v>0</v>
      </c>
      <c r="IM66" s="12">
        <f t="shared" si="427"/>
        <v>0</v>
      </c>
      <c r="IN66" s="12">
        <f t="shared" si="428"/>
        <v>0</v>
      </c>
      <c r="IO66" s="12">
        <f t="shared" si="429"/>
        <v>0</v>
      </c>
      <c r="IP66" s="12">
        <f t="shared" si="430"/>
        <v>0</v>
      </c>
      <c r="IQ66" s="12">
        <f t="shared" si="431"/>
        <v>0</v>
      </c>
      <c r="IR66" s="12">
        <f t="shared" si="432"/>
        <v>0</v>
      </c>
      <c r="IT66" t="s">
        <v>1304</v>
      </c>
      <c r="IU66">
        <f>_xlfn.XLOOKUP(IT66,'KPI Impacts'!$B$2:$H$2,'KPI Impacts'!$B66:$H66)</f>
        <v>0</v>
      </c>
      <c r="IV66" s="9" t="s">
        <v>1304</v>
      </c>
      <c r="IW66">
        <f>_xlfn.XLOOKUP(IV66,'KPI Impacts'!$B$2:$H$2,'KPI Impacts'!$B66:$H66)</f>
        <v>0</v>
      </c>
      <c r="IZ66" s="12">
        <f t="shared" si="433"/>
        <v>0</v>
      </c>
      <c r="JA66" s="12">
        <f t="shared" si="434"/>
        <v>0</v>
      </c>
      <c r="JB66" s="12">
        <f t="shared" si="435"/>
        <v>0</v>
      </c>
      <c r="JC66" s="12">
        <f t="shared" si="436"/>
        <v>0</v>
      </c>
      <c r="JD66" s="12">
        <f t="shared" si="437"/>
        <v>0</v>
      </c>
      <c r="JE66" s="12">
        <f t="shared" si="438"/>
        <v>0</v>
      </c>
      <c r="JF66" s="12">
        <f t="shared" si="439"/>
        <v>0</v>
      </c>
      <c r="JG66" s="12">
        <f t="shared" si="440"/>
        <v>0</v>
      </c>
      <c r="JH66" s="12">
        <f t="shared" si="441"/>
        <v>0</v>
      </c>
      <c r="JJ66" t="s">
        <v>1304</v>
      </c>
      <c r="JK66">
        <f>_xlfn.XLOOKUP(JJ66,'KPI Impacts'!$B$2:$H$2,'KPI Impacts'!$B66:$H66)</f>
        <v>0</v>
      </c>
      <c r="JL66" s="9" t="s">
        <v>1304</v>
      </c>
      <c r="JM66">
        <f>_xlfn.XLOOKUP(JL66,'KPI Impacts'!$B$2:$H$2,'KPI Impacts'!$B66:$H66)</f>
        <v>0</v>
      </c>
      <c r="JP66" s="12">
        <f t="shared" si="442"/>
        <v>0</v>
      </c>
      <c r="JQ66" s="12">
        <f t="shared" si="443"/>
        <v>0</v>
      </c>
      <c r="JR66" s="12">
        <f t="shared" si="444"/>
        <v>0</v>
      </c>
      <c r="JS66" s="12">
        <f t="shared" si="445"/>
        <v>0</v>
      </c>
      <c r="JT66" s="12">
        <f t="shared" si="446"/>
        <v>0</v>
      </c>
      <c r="JU66" s="12">
        <f t="shared" si="447"/>
        <v>0</v>
      </c>
      <c r="JV66" s="12">
        <f t="shared" si="448"/>
        <v>0</v>
      </c>
      <c r="JW66" s="12">
        <f t="shared" si="449"/>
        <v>0</v>
      </c>
      <c r="JX66" s="12">
        <f t="shared" si="450"/>
        <v>0</v>
      </c>
      <c r="JZ66" t="s">
        <v>1304</v>
      </c>
      <c r="KA66">
        <f>_xlfn.XLOOKUP(JZ66,'KPI Impacts'!$B$2:$H$2,'KPI Impacts'!$B66:$H66)</f>
        <v>0</v>
      </c>
      <c r="KB66" s="9" t="s">
        <v>1304</v>
      </c>
      <c r="KC66">
        <f>_xlfn.XLOOKUP(KB66,'KPI Impacts'!$B$2:$H$2,'KPI Impacts'!$B66:$H66)</f>
        <v>0</v>
      </c>
      <c r="KF66" s="12">
        <f t="shared" si="451"/>
        <v>0</v>
      </c>
      <c r="KG66" s="12">
        <f t="shared" si="452"/>
        <v>0</v>
      </c>
      <c r="KH66" s="12">
        <f t="shared" si="453"/>
        <v>0</v>
      </c>
      <c r="KI66" s="12">
        <f t="shared" si="454"/>
        <v>0</v>
      </c>
      <c r="KJ66" s="12">
        <f t="shared" si="455"/>
        <v>0</v>
      </c>
      <c r="KK66" s="12">
        <f t="shared" si="456"/>
        <v>0</v>
      </c>
      <c r="KL66" s="12">
        <f t="shared" si="457"/>
        <v>0</v>
      </c>
      <c r="KM66" s="12">
        <f t="shared" si="458"/>
        <v>0</v>
      </c>
      <c r="KN66" s="12">
        <f t="shared" si="459"/>
        <v>0</v>
      </c>
      <c r="KP66" t="s">
        <v>1304</v>
      </c>
      <c r="KQ66">
        <f>_xlfn.XLOOKUP(KP66,'KPI Impacts'!$B$2:$H$2,'KPI Impacts'!$B66:$H66)</f>
        <v>0</v>
      </c>
      <c r="KR66" s="9" t="s">
        <v>1304</v>
      </c>
      <c r="KS66">
        <f>_xlfn.XLOOKUP(KR66,'KPI Impacts'!$B$2:$H$2,'KPI Impacts'!$B66:$H66)</f>
        <v>0</v>
      </c>
      <c r="KV66" s="12">
        <f t="shared" si="460"/>
        <v>0</v>
      </c>
      <c r="KW66" s="12">
        <f t="shared" si="461"/>
        <v>0</v>
      </c>
      <c r="KX66" s="12">
        <f t="shared" si="462"/>
        <v>0</v>
      </c>
      <c r="KY66" s="12">
        <f t="shared" si="463"/>
        <v>0</v>
      </c>
      <c r="KZ66" s="12">
        <f t="shared" si="464"/>
        <v>0</v>
      </c>
      <c r="LA66" s="12">
        <f t="shared" si="465"/>
        <v>0</v>
      </c>
      <c r="LB66" s="12">
        <f t="shared" si="466"/>
        <v>0</v>
      </c>
      <c r="LC66" s="12">
        <f t="shared" si="467"/>
        <v>0</v>
      </c>
      <c r="LD66" s="12">
        <f t="shared" si="468"/>
        <v>0</v>
      </c>
      <c r="LF66" t="s">
        <v>1304</v>
      </c>
      <c r="LG66">
        <f>_xlfn.XLOOKUP(LF66,'KPI Impacts'!$B$2:$H$2,'KPI Impacts'!$B66:$H66)</f>
        <v>0</v>
      </c>
      <c r="LH66" s="9" t="s">
        <v>1304</v>
      </c>
      <c r="LI66">
        <f>_xlfn.XLOOKUP(LH66,'KPI Impacts'!$B$2:$H$2,'KPI Impacts'!$B66:$H66)</f>
        <v>0</v>
      </c>
      <c r="LL66" s="12">
        <f t="shared" si="469"/>
        <v>0</v>
      </c>
      <c r="LM66" s="12">
        <f t="shared" si="470"/>
        <v>0</v>
      </c>
      <c r="LN66" s="12">
        <f t="shared" si="471"/>
        <v>0</v>
      </c>
      <c r="LO66" s="12">
        <f t="shared" si="472"/>
        <v>0</v>
      </c>
      <c r="LP66" s="12">
        <f t="shared" si="473"/>
        <v>0</v>
      </c>
      <c r="LQ66" s="12">
        <f t="shared" si="474"/>
        <v>0</v>
      </c>
      <c r="LR66" s="12">
        <f t="shared" si="475"/>
        <v>0</v>
      </c>
      <c r="LS66" s="12">
        <f t="shared" si="476"/>
        <v>0</v>
      </c>
      <c r="LT66" s="12">
        <f t="shared" si="477"/>
        <v>0</v>
      </c>
      <c r="LV66" t="s">
        <v>1304</v>
      </c>
      <c r="LW66">
        <f>_xlfn.XLOOKUP(LV66,'KPI Impacts'!$B$2:$H$2,'KPI Impacts'!$B66:$H66)</f>
        <v>0</v>
      </c>
      <c r="LX66" s="9" t="s">
        <v>1304</v>
      </c>
      <c r="LY66">
        <f>_xlfn.XLOOKUP(LX66,'KPI Impacts'!$B$2:$H$2,'KPI Impacts'!$B66:$H66)</f>
        <v>0</v>
      </c>
      <c r="MB66" s="12">
        <f t="shared" si="478"/>
        <v>0</v>
      </c>
      <c r="MC66" s="12">
        <f t="shared" si="479"/>
        <v>0</v>
      </c>
      <c r="MD66" s="12">
        <f t="shared" si="480"/>
        <v>0</v>
      </c>
      <c r="ME66" s="12">
        <f t="shared" si="481"/>
        <v>0</v>
      </c>
      <c r="MF66" s="12">
        <f t="shared" si="482"/>
        <v>0</v>
      </c>
      <c r="MG66" s="12">
        <f t="shared" si="483"/>
        <v>0</v>
      </c>
      <c r="MH66" s="12">
        <f t="shared" si="484"/>
        <v>0</v>
      </c>
      <c r="MI66" s="12">
        <f t="shared" si="485"/>
        <v>0</v>
      </c>
      <c r="MJ66" s="12">
        <f t="shared" si="486"/>
        <v>0</v>
      </c>
      <c r="ML66" t="s">
        <v>1304</v>
      </c>
      <c r="MM66">
        <f>_xlfn.XLOOKUP(ML66,'KPI Impacts'!$B$2:$H$2,'KPI Impacts'!$B66:$H66)</f>
        <v>0</v>
      </c>
      <c r="MN66" s="9" t="s">
        <v>1304</v>
      </c>
      <c r="MO66">
        <f>_xlfn.XLOOKUP(MN66,'KPI Impacts'!$B$2:$H$2,'KPI Impacts'!$B66:$H66)</f>
        <v>0</v>
      </c>
      <c r="MR66" s="12">
        <f t="shared" si="487"/>
        <v>0</v>
      </c>
      <c r="MS66" s="12">
        <f t="shared" si="488"/>
        <v>0</v>
      </c>
      <c r="MT66" s="12">
        <f t="shared" si="489"/>
        <v>0</v>
      </c>
      <c r="MU66" s="12">
        <f t="shared" si="490"/>
        <v>0</v>
      </c>
      <c r="MV66" s="12">
        <f t="shared" si="491"/>
        <v>0</v>
      </c>
      <c r="MW66" s="12">
        <f t="shared" si="492"/>
        <v>0</v>
      </c>
      <c r="MX66" s="12">
        <f t="shared" si="493"/>
        <v>0</v>
      </c>
      <c r="MY66" s="12">
        <f t="shared" si="494"/>
        <v>0</v>
      </c>
      <c r="MZ66" s="12">
        <f t="shared" si="495"/>
        <v>0</v>
      </c>
      <c r="NB66" t="s">
        <v>1304</v>
      </c>
      <c r="NC66">
        <f>_xlfn.XLOOKUP(NB66,'KPI Impacts'!$B$2:$H$2,'KPI Impacts'!$B66:$H66)</f>
        <v>0</v>
      </c>
      <c r="ND66" s="9" t="s">
        <v>1304</v>
      </c>
      <c r="NE66">
        <f>_xlfn.XLOOKUP(ND66,'KPI Impacts'!$B$2:$H$2,'KPI Impacts'!$B66:$H66)</f>
        <v>0</v>
      </c>
      <c r="NH66" s="12">
        <f t="shared" si="496"/>
        <v>0</v>
      </c>
      <c r="NI66" s="12">
        <f t="shared" si="497"/>
        <v>0</v>
      </c>
      <c r="NJ66" s="12">
        <f t="shared" si="498"/>
        <v>0</v>
      </c>
      <c r="NK66" s="12">
        <f t="shared" si="499"/>
        <v>0</v>
      </c>
      <c r="NL66" s="12">
        <f t="shared" si="500"/>
        <v>0</v>
      </c>
      <c r="NM66" s="12">
        <f t="shared" si="501"/>
        <v>0</v>
      </c>
      <c r="NN66" s="12">
        <f t="shared" si="502"/>
        <v>0</v>
      </c>
      <c r="NO66" s="12">
        <f t="shared" si="503"/>
        <v>0</v>
      </c>
      <c r="NP66" s="12">
        <f t="shared" si="504"/>
        <v>0</v>
      </c>
      <c r="NR66" t="s">
        <v>1304</v>
      </c>
      <c r="NS66">
        <f>_xlfn.XLOOKUP(NR66,'KPI Impacts'!$B$2:$H$2,'KPI Impacts'!$B66:$H66)</f>
        <v>0</v>
      </c>
      <c r="NT66" s="9" t="s">
        <v>1304</v>
      </c>
      <c r="NU66">
        <f>_xlfn.XLOOKUP(NT66,'KPI Impacts'!$B$2:$H$2,'KPI Impacts'!$B66:$H66)</f>
        <v>0</v>
      </c>
      <c r="NX66" s="12">
        <f t="shared" si="505"/>
        <v>0</v>
      </c>
      <c r="NY66" s="12">
        <f t="shared" si="506"/>
        <v>0</v>
      </c>
      <c r="NZ66" s="12">
        <f t="shared" si="507"/>
        <v>0</v>
      </c>
      <c r="OA66" s="12">
        <f t="shared" si="508"/>
        <v>0</v>
      </c>
      <c r="OB66" s="12">
        <f t="shared" si="509"/>
        <v>0</v>
      </c>
      <c r="OC66" s="12">
        <f t="shared" si="510"/>
        <v>0</v>
      </c>
      <c r="OD66" s="12">
        <f t="shared" si="511"/>
        <v>0</v>
      </c>
      <c r="OE66" s="12">
        <f t="shared" si="512"/>
        <v>0</v>
      </c>
      <c r="OF66" s="12">
        <f t="shared" si="513"/>
        <v>0</v>
      </c>
      <c r="OH66" t="s">
        <v>1304</v>
      </c>
      <c r="OI66">
        <f>_xlfn.XLOOKUP(OH66,'KPI Impacts'!$B$2:$H$2,'KPI Impacts'!$B66:$H66)</f>
        <v>0</v>
      </c>
      <c r="OJ66" s="9" t="s">
        <v>1304</v>
      </c>
      <c r="OK66">
        <f>_xlfn.XLOOKUP(OJ66,'KPI Impacts'!$B$2:$H$2,'KPI Impacts'!$B66:$H66)</f>
        <v>0</v>
      </c>
    </row>
    <row r="67" spans="1:401" x14ac:dyDescent="0.2">
      <c r="A67" t="s">
        <v>48</v>
      </c>
      <c r="B67" s="12">
        <f t="shared" si="514"/>
        <v>0</v>
      </c>
      <c r="C67" s="12">
        <f t="shared" si="315"/>
        <v>0</v>
      </c>
      <c r="D67" s="12">
        <f t="shared" si="315"/>
        <v>0</v>
      </c>
      <c r="E67" s="12">
        <f t="shared" si="315"/>
        <v>0</v>
      </c>
      <c r="F67" s="12">
        <f t="shared" si="315"/>
        <v>0</v>
      </c>
      <c r="G67" s="12">
        <f t="shared" si="315"/>
        <v>0</v>
      </c>
      <c r="H67" s="12">
        <f t="shared" si="315"/>
        <v>0</v>
      </c>
      <c r="I67" s="12">
        <f t="shared" si="315"/>
        <v>0</v>
      </c>
      <c r="J67" s="12">
        <f t="shared" si="315"/>
        <v>0</v>
      </c>
      <c r="P67" s="12" cm="1">
        <f t="array" ref="P67">_xlfn.SWITCH(P$4, 0,0, 1, AA67,2,AC67,3,AE67,0)</f>
        <v>0</v>
      </c>
      <c r="Q67" s="12" cm="1">
        <f t="array" ref="Q67">_xlfn.SWITCH(Q$4, 0,0, 1, AA67,2,AC67,3,AE67,0)+P67</f>
        <v>0</v>
      </c>
      <c r="R67" s="12" cm="1">
        <f t="array" ref="R67">_xlfn.SWITCH(R$4, 0,0, 1, AA67,2,AC67,3,AE67,0)+Q67</f>
        <v>0</v>
      </c>
      <c r="S67" s="12" cm="1">
        <f t="array" ref="S67">_xlfn.SWITCH(S$4, 0,0, 1, AA67,2,AC67,3,AE67,0)+R67</f>
        <v>0</v>
      </c>
      <c r="T67" s="12" cm="1">
        <f t="array" ref="T67">_xlfn.SWITCH(T$4, 0,0, 1, AA67,2,AC67,3,AE67,0)+S67</f>
        <v>0</v>
      </c>
      <c r="U67" s="12" cm="1">
        <f t="array" ref="U67">_xlfn.SWITCH(U$4, 0,0, 1, AA67,2,AC67,3,AE67,0)+T67</f>
        <v>0</v>
      </c>
      <c r="V67" s="12" cm="1">
        <f t="array" ref="V67">_xlfn.SWITCH(V$4, 0,0, 1, AA67,2,AC67,3,AE67,0)+U67</f>
        <v>0</v>
      </c>
      <c r="W67" s="12" cm="1">
        <f t="array" ref="W67">_xlfn.SWITCH(W$4, 0,0, 1, AA67,2,AC67,3,AE67,0)+V67</f>
        <v>0</v>
      </c>
      <c r="X67" s="12" cm="1">
        <f t="array" ref="X67">_xlfn.SWITCH(X$4, 0,0, 1, AA67,2,AC67,3,AE67,0)+W67</f>
        <v>0</v>
      </c>
      <c r="Z67" t="s">
        <v>1304</v>
      </c>
      <c r="AA67">
        <f>_xlfn.XLOOKUP(Z67,'KPI Impacts'!$K$2:$Q$2,'KPI Impacts'!$K67:$Q67)</f>
        <v>0</v>
      </c>
      <c r="AB67" t="s">
        <v>1304</v>
      </c>
      <c r="AC67">
        <f>_xlfn.XLOOKUP(AB67,'KPI Impacts'!$K$2:$Q$2,'KPI Impacts'!$K67:$Q67)</f>
        <v>0</v>
      </c>
      <c r="AD67" t="s">
        <v>1304</v>
      </c>
      <c r="AE67">
        <f>_xlfn.XLOOKUP(AD67,'KPI Impacts'!$K$2:$Q$2,'KPI Impacts'!$K67:$Q67)</f>
        <v>0</v>
      </c>
      <c r="AH67" s="12" cm="1">
        <f t="array" ref="AH67">_xlfn.SWITCH(AH$4, 0,0, 1, AS67,2,AU67,3,AW67,0)</f>
        <v>0</v>
      </c>
      <c r="AI67" s="12" cm="1">
        <f t="array" ref="AI67">_xlfn.SWITCH(AI$4, 0,0, 1, AS67,2,AU67,3,AW67,0)+AH67</f>
        <v>0</v>
      </c>
      <c r="AJ67" s="12" cm="1">
        <f t="array" ref="AJ67">_xlfn.SWITCH(AJ$4, 0,0, 1, AS67,2,AU67,3,AW67,0)+AI67</f>
        <v>0</v>
      </c>
      <c r="AK67" s="12" cm="1">
        <f t="array" ref="AK67">_xlfn.SWITCH(AK$4, 0,0, 1, AS67,2,AU67,3,AW67,0)+AJ67</f>
        <v>0</v>
      </c>
      <c r="AL67" s="12" cm="1">
        <f t="array" ref="AL67">_xlfn.SWITCH(AL$4, 0,0, 1, AS67,2,AU67,3,AW67,0)+AK67</f>
        <v>0</v>
      </c>
      <c r="AM67" s="12" cm="1">
        <f t="array" ref="AM67">_xlfn.SWITCH(AM$4, 0,0, 1, AS67,2,AU67,3,AW67,0)+AL67</f>
        <v>0</v>
      </c>
      <c r="AN67" s="12" cm="1">
        <f t="array" ref="AN67">_xlfn.SWITCH(AN$4, 0,0, 1, AS67,2,AU67,3,AW67,0)+AM67</f>
        <v>0</v>
      </c>
      <c r="AO67" s="12" cm="1">
        <f t="array" ref="AO67">_xlfn.SWITCH(AO$4, 0,0, 1, AS67,2,AU67,3,AW67,0)+AN67</f>
        <v>0</v>
      </c>
      <c r="AP67" s="12" cm="1">
        <f t="array" ref="AP67">_xlfn.SWITCH(AP$4, 0,0, 1, AS67,2,AU67,3,AW67,0)+AO67</f>
        <v>0</v>
      </c>
      <c r="AR67" t="s">
        <v>1304</v>
      </c>
      <c r="AS67">
        <f>_xlfn.XLOOKUP(AR67,'KPI Impacts'!$K$2:$Q$2,'KPI Impacts'!$K67:$Q67)</f>
        <v>0</v>
      </c>
      <c r="AT67" t="s">
        <v>1304</v>
      </c>
      <c r="AU67">
        <f>_xlfn.XLOOKUP(AT67,'KPI Impacts'!$K$2:$Q$2,'KPI Impacts'!$K67:$Q67)</f>
        <v>0</v>
      </c>
      <c r="AV67" t="s">
        <v>1304</v>
      </c>
      <c r="AW67">
        <f>_xlfn.XLOOKUP(AV67,'KPI Impacts'!$K$2:$Q$2,'KPI Impacts'!$K67:$Q67)</f>
        <v>0</v>
      </c>
      <c r="AZ67" s="12">
        <f t="shared" si="316"/>
        <v>0</v>
      </c>
      <c r="BA67" s="12">
        <f t="shared" si="317"/>
        <v>0</v>
      </c>
      <c r="BB67" s="12">
        <f t="shared" si="318"/>
        <v>0</v>
      </c>
      <c r="BC67" s="12">
        <f t="shared" si="319"/>
        <v>0</v>
      </c>
      <c r="BD67" s="12">
        <f t="shared" si="320"/>
        <v>0</v>
      </c>
      <c r="BE67" s="12">
        <f t="shared" si="321"/>
        <v>0</v>
      </c>
      <c r="BF67" s="12">
        <f t="shared" si="322"/>
        <v>0</v>
      </c>
      <c r="BG67" s="12">
        <f t="shared" si="323"/>
        <v>0</v>
      </c>
      <c r="BH67" s="12">
        <f t="shared" si="324"/>
        <v>0</v>
      </c>
      <c r="BJ67" s="16" t="s">
        <v>1304</v>
      </c>
      <c r="BK67">
        <f>_xlfn.XLOOKUP(BJ67,'KPI Impacts'!$B$2:$H$2,'KPI Impacts'!$B67:$H67)</f>
        <v>0</v>
      </c>
      <c r="BL67" s="35" t="s">
        <v>1304</v>
      </c>
      <c r="BM67">
        <f>_xlfn.XLOOKUP(BL67,'KPI Impacts'!$B$2:$H$2,'KPI Impacts'!$B67:$H67)</f>
        <v>0</v>
      </c>
      <c r="BP67" s="12">
        <f t="shared" si="325"/>
        <v>0</v>
      </c>
      <c r="BQ67" s="12">
        <f t="shared" si="326"/>
        <v>0</v>
      </c>
      <c r="BR67" s="12">
        <f t="shared" si="327"/>
        <v>0</v>
      </c>
      <c r="BS67" s="12">
        <f t="shared" si="328"/>
        <v>0</v>
      </c>
      <c r="BT67" s="12">
        <f t="shared" si="329"/>
        <v>0</v>
      </c>
      <c r="BU67" s="12">
        <f t="shared" si="330"/>
        <v>0</v>
      </c>
      <c r="BV67" s="12">
        <f t="shared" si="331"/>
        <v>0</v>
      </c>
      <c r="BW67" s="12">
        <f t="shared" si="332"/>
        <v>0</v>
      </c>
      <c r="BX67" s="12">
        <f t="shared" si="333"/>
        <v>0</v>
      </c>
      <c r="BZ67" s="16" t="s">
        <v>1304</v>
      </c>
      <c r="CA67">
        <f>_xlfn.XLOOKUP(BZ67,'KPI Impacts'!$B$2:$H$2,'KPI Impacts'!$B67:$H67)</f>
        <v>0</v>
      </c>
      <c r="CB67" s="35" t="s">
        <v>1304</v>
      </c>
      <c r="CC67">
        <f>_xlfn.XLOOKUP(CB67,'KPI Impacts'!$B$2:$H$2,'KPI Impacts'!$B67:$H67)</f>
        <v>0</v>
      </c>
      <c r="CF67" s="12">
        <f t="shared" si="334"/>
        <v>0</v>
      </c>
      <c r="CG67" s="12">
        <f t="shared" si="335"/>
        <v>0</v>
      </c>
      <c r="CH67" s="12">
        <f t="shared" si="336"/>
        <v>0</v>
      </c>
      <c r="CI67" s="12">
        <f t="shared" si="337"/>
        <v>0</v>
      </c>
      <c r="CJ67" s="12">
        <f t="shared" si="338"/>
        <v>0</v>
      </c>
      <c r="CK67" s="12">
        <f t="shared" si="339"/>
        <v>0</v>
      </c>
      <c r="CL67" s="12">
        <f t="shared" si="340"/>
        <v>0</v>
      </c>
      <c r="CM67" s="12">
        <f t="shared" si="341"/>
        <v>0</v>
      </c>
      <c r="CN67" s="12">
        <f t="shared" si="342"/>
        <v>0</v>
      </c>
      <c r="CP67" s="16" t="s">
        <v>1304</v>
      </c>
      <c r="CQ67">
        <f>_xlfn.XLOOKUP(CP67,'KPI Impacts'!$B$2:$H$2,'KPI Impacts'!$B67:$H67)</f>
        <v>0</v>
      </c>
      <c r="CR67" s="35" t="s">
        <v>1304</v>
      </c>
      <c r="CS67">
        <f>_xlfn.XLOOKUP(CR67,'KPI Impacts'!$B$2:$H$2,'KPI Impacts'!$B67:$H67)</f>
        <v>0</v>
      </c>
      <c r="CV67" s="12">
        <f t="shared" si="343"/>
        <v>0</v>
      </c>
      <c r="CW67" s="12">
        <f t="shared" si="344"/>
        <v>0</v>
      </c>
      <c r="CX67" s="12">
        <f t="shared" si="345"/>
        <v>0</v>
      </c>
      <c r="CY67" s="12">
        <f t="shared" si="346"/>
        <v>0</v>
      </c>
      <c r="CZ67" s="12">
        <f t="shared" si="347"/>
        <v>0</v>
      </c>
      <c r="DA67" s="12">
        <f t="shared" si="348"/>
        <v>0</v>
      </c>
      <c r="DB67" s="12">
        <f t="shared" si="349"/>
        <v>0</v>
      </c>
      <c r="DC67" s="12">
        <f t="shared" si="350"/>
        <v>0</v>
      </c>
      <c r="DD67" s="12">
        <f t="shared" si="351"/>
        <v>0</v>
      </c>
      <c r="DF67" s="30" t="s">
        <v>1310</v>
      </c>
      <c r="DG67">
        <f>_xlfn.XLOOKUP(DF67,'KPI Impacts'!$B$2:$H$2,'KPI Impacts'!$B67:$H67)</f>
        <v>4</v>
      </c>
      <c r="DH67" s="35" t="s">
        <v>1304</v>
      </c>
      <c r="DI67">
        <f>_xlfn.XLOOKUP(DH67,'KPI Impacts'!$B$2:$H$2,'KPI Impacts'!$B67:$H67)</f>
        <v>0</v>
      </c>
      <c r="DL67" s="12">
        <f t="shared" si="352"/>
        <v>0</v>
      </c>
      <c r="DM67" s="12">
        <f t="shared" si="353"/>
        <v>0</v>
      </c>
      <c r="DN67" s="12">
        <f t="shared" si="354"/>
        <v>0</v>
      </c>
      <c r="DO67" s="12">
        <f t="shared" si="355"/>
        <v>0</v>
      </c>
      <c r="DP67" s="12">
        <f t="shared" si="356"/>
        <v>0</v>
      </c>
      <c r="DQ67" s="12">
        <f t="shared" si="357"/>
        <v>0</v>
      </c>
      <c r="DR67" s="12">
        <f t="shared" si="358"/>
        <v>0</v>
      </c>
      <c r="DS67" s="12">
        <f t="shared" si="359"/>
        <v>0</v>
      </c>
      <c r="DT67" s="12">
        <f t="shared" si="360"/>
        <v>0</v>
      </c>
      <c r="DV67" s="30" t="s">
        <v>1310</v>
      </c>
      <c r="DW67">
        <f>_xlfn.XLOOKUP(DV67,'KPI Impacts'!$B$2:$H$2,'KPI Impacts'!$B67:$H67)</f>
        <v>4</v>
      </c>
      <c r="DX67" s="35" t="s">
        <v>1304</v>
      </c>
      <c r="DY67">
        <f>_xlfn.XLOOKUP(DX67,'KPI Impacts'!$B$2:$H$2,'KPI Impacts'!$B67:$H67)</f>
        <v>0</v>
      </c>
      <c r="EB67" s="12">
        <f t="shared" si="361"/>
        <v>0</v>
      </c>
      <c r="EC67" s="12">
        <f t="shared" si="362"/>
        <v>0</v>
      </c>
      <c r="ED67" s="12">
        <f t="shared" si="363"/>
        <v>0</v>
      </c>
      <c r="EE67" s="12">
        <f t="shared" si="364"/>
        <v>0</v>
      </c>
      <c r="EF67" s="12">
        <f t="shared" si="365"/>
        <v>0</v>
      </c>
      <c r="EG67" s="12">
        <f t="shared" si="366"/>
        <v>0</v>
      </c>
      <c r="EH67" s="12">
        <f t="shared" si="367"/>
        <v>0</v>
      </c>
      <c r="EI67" s="12">
        <f t="shared" si="368"/>
        <v>0</v>
      </c>
      <c r="EJ67" s="12">
        <f t="shared" si="369"/>
        <v>0</v>
      </c>
      <c r="EL67" s="16" t="s">
        <v>1304</v>
      </c>
      <c r="EM67">
        <f>_xlfn.XLOOKUP(EL67,'KPI Impacts'!$B$2:$H$2,'KPI Impacts'!$B67:$H67)</f>
        <v>0</v>
      </c>
      <c r="EN67" s="35" t="s">
        <v>1304</v>
      </c>
      <c r="EO67">
        <f>_xlfn.XLOOKUP(EN67,'KPI Impacts'!$B$2:$H$2,'KPI Impacts'!$B67:$H67)</f>
        <v>0</v>
      </c>
      <c r="ER67" s="12">
        <f t="shared" si="370"/>
        <v>0</v>
      </c>
      <c r="ES67" s="12">
        <f t="shared" si="371"/>
        <v>0</v>
      </c>
      <c r="ET67" s="12">
        <f t="shared" si="372"/>
        <v>0</v>
      </c>
      <c r="EU67" s="12">
        <f t="shared" si="373"/>
        <v>0</v>
      </c>
      <c r="EV67" s="12">
        <f t="shared" si="374"/>
        <v>0</v>
      </c>
      <c r="EW67" s="12">
        <f t="shared" si="375"/>
        <v>0</v>
      </c>
      <c r="EX67" s="12">
        <f t="shared" si="376"/>
        <v>0</v>
      </c>
      <c r="EY67" s="12">
        <f t="shared" si="377"/>
        <v>0</v>
      </c>
      <c r="EZ67" s="12">
        <f t="shared" si="378"/>
        <v>0</v>
      </c>
      <c r="FB67" s="16" t="s">
        <v>1304</v>
      </c>
      <c r="FC67">
        <f>_xlfn.XLOOKUP(FB67,'KPI Impacts'!$B$2:$H$2,'KPI Impacts'!$B67:$H67)</f>
        <v>0</v>
      </c>
      <c r="FD67" s="35" t="s">
        <v>1304</v>
      </c>
      <c r="FE67">
        <f>_xlfn.XLOOKUP(FD67,'KPI Impacts'!$B$2:$H$2,'KPI Impacts'!$B67:$H67)</f>
        <v>0</v>
      </c>
      <c r="FH67" s="12">
        <f t="shared" si="379"/>
        <v>0</v>
      </c>
      <c r="FI67" s="12">
        <f t="shared" si="380"/>
        <v>0</v>
      </c>
      <c r="FJ67" s="12">
        <f t="shared" si="381"/>
        <v>0</v>
      </c>
      <c r="FK67" s="12">
        <f t="shared" si="382"/>
        <v>0</v>
      </c>
      <c r="FL67" s="12">
        <f t="shared" si="383"/>
        <v>0</v>
      </c>
      <c r="FM67" s="12">
        <f t="shared" si="384"/>
        <v>0</v>
      </c>
      <c r="FN67" s="12">
        <f t="shared" si="385"/>
        <v>0</v>
      </c>
      <c r="FO67" s="12">
        <f t="shared" si="386"/>
        <v>0</v>
      </c>
      <c r="FP67" s="12">
        <f t="shared" si="387"/>
        <v>0</v>
      </c>
      <c r="FR67" s="16" t="s">
        <v>1304</v>
      </c>
      <c r="FS67">
        <f>_xlfn.XLOOKUP(FR67,'KPI Impacts'!$B$2:$H$2,'KPI Impacts'!$B67:$H67)</f>
        <v>0</v>
      </c>
      <c r="FT67" s="9" t="s">
        <v>1304</v>
      </c>
      <c r="FU67">
        <f>_xlfn.XLOOKUP(FT67,'KPI Impacts'!$B$2:$H$2,'KPI Impacts'!$B67:$H67)</f>
        <v>0</v>
      </c>
      <c r="FX67" s="12">
        <f t="shared" si="388"/>
        <v>0</v>
      </c>
      <c r="FY67" s="12">
        <f t="shared" si="389"/>
        <v>0</v>
      </c>
      <c r="FZ67" s="12">
        <f t="shared" si="390"/>
        <v>0</v>
      </c>
      <c r="GA67" s="12">
        <f t="shared" si="391"/>
        <v>0</v>
      </c>
      <c r="GB67" s="12">
        <f t="shared" si="392"/>
        <v>0</v>
      </c>
      <c r="GC67" s="12">
        <f t="shared" si="393"/>
        <v>0</v>
      </c>
      <c r="GD67" s="12">
        <f t="shared" si="394"/>
        <v>0</v>
      </c>
      <c r="GE67" s="12">
        <f t="shared" si="395"/>
        <v>0</v>
      </c>
      <c r="GF67" s="12">
        <f t="shared" si="396"/>
        <v>0</v>
      </c>
      <c r="GH67" s="16" t="s">
        <v>1304</v>
      </c>
      <c r="GI67">
        <f>_xlfn.XLOOKUP(GH67,'KPI Impacts'!$B$2:$H$2,'KPI Impacts'!$B67:$H67)</f>
        <v>0</v>
      </c>
      <c r="GJ67" s="9" t="s">
        <v>1304</v>
      </c>
      <c r="GK67">
        <f>_xlfn.XLOOKUP(GJ67,'KPI Impacts'!$B$2:$H$2,'KPI Impacts'!$B67:$H67)</f>
        <v>0</v>
      </c>
      <c r="GN67" s="12">
        <f t="shared" si="397"/>
        <v>0</v>
      </c>
      <c r="GO67" s="12">
        <f t="shared" si="398"/>
        <v>0</v>
      </c>
      <c r="GP67" s="12">
        <f t="shared" si="399"/>
        <v>0</v>
      </c>
      <c r="GQ67" s="12">
        <f t="shared" si="400"/>
        <v>0</v>
      </c>
      <c r="GR67" s="12">
        <f t="shared" si="401"/>
        <v>0</v>
      </c>
      <c r="GS67" s="12">
        <f t="shared" si="402"/>
        <v>0</v>
      </c>
      <c r="GT67" s="12">
        <f t="shared" si="403"/>
        <v>0</v>
      </c>
      <c r="GU67" s="12">
        <f t="shared" si="404"/>
        <v>0</v>
      </c>
      <c r="GV67" s="12">
        <f t="shared" si="405"/>
        <v>0</v>
      </c>
      <c r="GX67" s="16" t="s">
        <v>1304</v>
      </c>
      <c r="GY67">
        <f>_xlfn.XLOOKUP(GX67,'KPI Impacts'!$B$2:$H$2,'KPI Impacts'!$B67:$H67)</f>
        <v>0</v>
      </c>
      <c r="GZ67" s="9" t="s">
        <v>1304</v>
      </c>
      <c r="HA67">
        <f>_xlfn.XLOOKUP(GZ67,'KPI Impacts'!$B$2:$H$2,'KPI Impacts'!$B67:$H67)</f>
        <v>0</v>
      </c>
      <c r="HD67" s="12">
        <f t="shared" si="406"/>
        <v>0</v>
      </c>
      <c r="HE67" s="12">
        <f t="shared" si="407"/>
        <v>0</v>
      </c>
      <c r="HF67" s="12">
        <f t="shared" si="408"/>
        <v>0</v>
      </c>
      <c r="HG67" s="12">
        <f t="shared" si="409"/>
        <v>0</v>
      </c>
      <c r="HH67" s="12">
        <f t="shared" si="410"/>
        <v>0</v>
      </c>
      <c r="HI67" s="12">
        <f t="shared" si="411"/>
        <v>0</v>
      </c>
      <c r="HJ67" s="12">
        <f t="shared" si="412"/>
        <v>0</v>
      </c>
      <c r="HK67" s="12">
        <f t="shared" si="413"/>
        <v>0</v>
      </c>
      <c r="HL67" s="12">
        <f t="shared" si="414"/>
        <v>0</v>
      </c>
      <c r="HN67" t="s">
        <v>1304</v>
      </c>
      <c r="HO67">
        <f>_xlfn.XLOOKUP(HN67,'KPI Impacts'!$B$2:$H$2,'KPI Impacts'!$B67:$H67)</f>
        <v>0</v>
      </c>
      <c r="HP67" s="9" t="s">
        <v>1304</v>
      </c>
      <c r="HQ67">
        <f>_xlfn.XLOOKUP(HP67,'KPI Impacts'!$B$2:$H$2,'KPI Impacts'!$B67:$H67)</f>
        <v>0</v>
      </c>
      <c r="HT67" s="12">
        <f t="shared" si="415"/>
        <v>0</v>
      </c>
      <c r="HU67" s="12">
        <f t="shared" si="416"/>
        <v>0</v>
      </c>
      <c r="HV67" s="12">
        <f t="shared" si="417"/>
        <v>0</v>
      </c>
      <c r="HW67" s="12">
        <f t="shared" si="418"/>
        <v>0</v>
      </c>
      <c r="HX67" s="12">
        <f t="shared" si="419"/>
        <v>0</v>
      </c>
      <c r="HY67" s="12">
        <f t="shared" si="420"/>
        <v>0</v>
      </c>
      <c r="HZ67" s="12">
        <f t="shared" si="421"/>
        <v>0</v>
      </c>
      <c r="IA67" s="12">
        <f t="shared" si="422"/>
        <v>0</v>
      </c>
      <c r="IB67" s="12">
        <f t="shared" si="423"/>
        <v>0</v>
      </c>
      <c r="ID67" t="s">
        <v>1304</v>
      </c>
      <c r="IE67">
        <f>_xlfn.XLOOKUP(ID67,'KPI Impacts'!$B$2:$H$2,'KPI Impacts'!$B67:$H67)</f>
        <v>0</v>
      </c>
      <c r="IF67" s="9" t="s">
        <v>1304</v>
      </c>
      <c r="IG67">
        <f>_xlfn.XLOOKUP(IF67,'KPI Impacts'!$B$2:$H$2,'KPI Impacts'!$B67:$H67)</f>
        <v>0</v>
      </c>
      <c r="IJ67" s="12">
        <f t="shared" si="424"/>
        <v>0</v>
      </c>
      <c r="IK67" s="12">
        <f t="shared" si="425"/>
        <v>0</v>
      </c>
      <c r="IL67" s="12">
        <f t="shared" si="426"/>
        <v>0</v>
      </c>
      <c r="IM67" s="12">
        <f t="shared" si="427"/>
        <v>0</v>
      </c>
      <c r="IN67" s="12">
        <f t="shared" si="428"/>
        <v>0</v>
      </c>
      <c r="IO67" s="12">
        <f t="shared" si="429"/>
        <v>0</v>
      </c>
      <c r="IP67" s="12">
        <f t="shared" si="430"/>
        <v>0</v>
      </c>
      <c r="IQ67" s="12">
        <f t="shared" si="431"/>
        <v>0</v>
      </c>
      <c r="IR67" s="12">
        <f t="shared" si="432"/>
        <v>0</v>
      </c>
      <c r="IT67" t="s">
        <v>1304</v>
      </c>
      <c r="IU67">
        <f>_xlfn.XLOOKUP(IT67,'KPI Impacts'!$B$2:$H$2,'KPI Impacts'!$B67:$H67)</f>
        <v>0</v>
      </c>
      <c r="IV67" s="9" t="s">
        <v>1304</v>
      </c>
      <c r="IW67">
        <f>_xlfn.XLOOKUP(IV67,'KPI Impacts'!$B$2:$H$2,'KPI Impacts'!$B67:$H67)</f>
        <v>0</v>
      </c>
      <c r="IZ67" s="12">
        <f t="shared" si="433"/>
        <v>0</v>
      </c>
      <c r="JA67" s="12">
        <f t="shared" si="434"/>
        <v>0</v>
      </c>
      <c r="JB67" s="12">
        <f t="shared" si="435"/>
        <v>0</v>
      </c>
      <c r="JC67" s="12">
        <f t="shared" si="436"/>
        <v>0</v>
      </c>
      <c r="JD67" s="12">
        <f t="shared" si="437"/>
        <v>0</v>
      </c>
      <c r="JE67" s="12">
        <f t="shared" si="438"/>
        <v>0</v>
      </c>
      <c r="JF67" s="12">
        <f t="shared" si="439"/>
        <v>0</v>
      </c>
      <c r="JG67" s="12">
        <f t="shared" si="440"/>
        <v>0</v>
      </c>
      <c r="JH67" s="12">
        <f t="shared" si="441"/>
        <v>0</v>
      </c>
      <c r="JJ67" t="s">
        <v>1304</v>
      </c>
      <c r="JK67">
        <f>_xlfn.XLOOKUP(JJ67,'KPI Impacts'!$B$2:$H$2,'KPI Impacts'!$B67:$H67)</f>
        <v>0</v>
      </c>
      <c r="JL67" s="9" t="s">
        <v>1304</v>
      </c>
      <c r="JM67">
        <f>_xlfn.XLOOKUP(JL67,'KPI Impacts'!$B$2:$H$2,'KPI Impacts'!$B67:$H67)</f>
        <v>0</v>
      </c>
      <c r="JP67" s="12">
        <f t="shared" si="442"/>
        <v>0</v>
      </c>
      <c r="JQ67" s="12">
        <f t="shared" si="443"/>
        <v>0</v>
      </c>
      <c r="JR67" s="12">
        <f t="shared" si="444"/>
        <v>0</v>
      </c>
      <c r="JS67" s="12">
        <f t="shared" si="445"/>
        <v>0</v>
      </c>
      <c r="JT67" s="12">
        <f t="shared" si="446"/>
        <v>0</v>
      </c>
      <c r="JU67" s="12">
        <f t="shared" si="447"/>
        <v>0</v>
      </c>
      <c r="JV67" s="12">
        <f t="shared" si="448"/>
        <v>0</v>
      </c>
      <c r="JW67" s="12">
        <f t="shared" si="449"/>
        <v>0</v>
      </c>
      <c r="JX67" s="12">
        <f t="shared" si="450"/>
        <v>0</v>
      </c>
      <c r="JZ67" t="s">
        <v>1304</v>
      </c>
      <c r="KA67">
        <f>_xlfn.XLOOKUP(JZ67,'KPI Impacts'!$B$2:$H$2,'KPI Impacts'!$B67:$H67)</f>
        <v>0</v>
      </c>
      <c r="KB67" s="9" t="s">
        <v>1304</v>
      </c>
      <c r="KC67">
        <f>_xlfn.XLOOKUP(KB67,'KPI Impacts'!$B$2:$H$2,'KPI Impacts'!$B67:$H67)</f>
        <v>0</v>
      </c>
      <c r="KF67" s="12">
        <f t="shared" si="451"/>
        <v>0</v>
      </c>
      <c r="KG67" s="12">
        <f t="shared" si="452"/>
        <v>0</v>
      </c>
      <c r="KH67" s="12">
        <f t="shared" si="453"/>
        <v>0</v>
      </c>
      <c r="KI67" s="12">
        <f t="shared" si="454"/>
        <v>0</v>
      </c>
      <c r="KJ67" s="12">
        <f t="shared" si="455"/>
        <v>0</v>
      </c>
      <c r="KK67" s="12">
        <f t="shared" si="456"/>
        <v>0</v>
      </c>
      <c r="KL67" s="12">
        <f t="shared" si="457"/>
        <v>0</v>
      </c>
      <c r="KM67" s="12">
        <f t="shared" si="458"/>
        <v>0</v>
      </c>
      <c r="KN67" s="12">
        <f t="shared" si="459"/>
        <v>0</v>
      </c>
      <c r="KP67" t="s">
        <v>1304</v>
      </c>
      <c r="KQ67">
        <f>_xlfn.XLOOKUP(KP67,'KPI Impacts'!$B$2:$H$2,'KPI Impacts'!$B67:$H67)</f>
        <v>0</v>
      </c>
      <c r="KR67" s="9" t="s">
        <v>1304</v>
      </c>
      <c r="KS67">
        <f>_xlfn.XLOOKUP(KR67,'KPI Impacts'!$B$2:$H$2,'KPI Impacts'!$B67:$H67)</f>
        <v>0</v>
      </c>
      <c r="KV67" s="12">
        <f t="shared" si="460"/>
        <v>0</v>
      </c>
      <c r="KW67" s="12">
        <f t="shared" si="461"/>
        <v>0</v>
      </c>
      <c r="KX67" s="12">
        <f t="shared" si="462"/>
        <v>0</v>
      </c>
      <c r="KY67" s="12">
        <f t="shared" si="463"/>
        <v>0</v>
      </c>
      <c r="KZ67" s="12">
        <f t="shared" si="464"/>
        <v>0</v>
      </c>
      <c r="LA67" s="12">
        <f t="shared" si="465"/>
        <v>0</v>
      </c>
      <c r="LB67" s="12">
        <f t="shared" si="466"/>
        <v>0</v>
      </c>
      <c r="LC67" s="12">
        <f t="shared" si="467"/>
        <v>0</v>
      </c>
      <c r="LD67" s="12">
        <f t="shared" si="468"/>
        <v>0</v>
      </c>
      <c r="LF67" t="s">
        <v>1304</v>
      </c>
      <c r="LG67">
        <f>_xlfn.XLOOKUP(LF67,'KPI Impacts'!$B$2:$H$2,'KPI Impacts'!$B67:$H67)</f>
        <v>0</v>
      </c>
      <c r="LH67" s="9" t="s">
        <v>1304</v>
      </c>
      <c r="LI67">
        <f>_xlfn.XLOOKUP(LH67,'KPI Impacts'!$B$2:$H$2,'KPI Impacts'!$B67:$H67)</f>
        <v>0</v>
      </c>
      <c r="LL67" s="12">
        <f t="shared" si="469"/>
        <v>0</v>
      </c>
      <c r="LM67" s="12">
        <f t="shared" si="470"/>
        <v>0</v>
      </c>
      <c r="LN67" s="12">
        <f t="shared" si="471"/>
        <v>0</v>
      </c>
      <c r="LO67" s="12">
        <f t="shared" si="472"/>
        <v>0</v>
      </c>
      <c r="LP67" s="12">
        <f t="shared" si="473"/>
        <v>0</v>
      </c>
      <c r="LQ67" s="12">
        <f t="shared" si="474"/>
        <v>0</v>
      </c>
      <c r="LR67" s="12">
        <f t="shared" si="475"/>
        <v>0</v>
      </c>
      <c r="LS67" s="12">
        <f t="shared" si="476"/>
        <v>0</v>
      </c>
      <c r="LT67" s="12">
        <f t="shared" si="477"/>
        <v>0</v>
      </c>
      <c r="LV67" t="s">
        <v>1304</v>
      </c>
      <c r="LW67">
        <f>_xlfn.XLOOKUP(LV67,'KPI Impacts'!$B$2:$H$2,'KPI Impacts'!$B67:$H67)</f>
        <v>0</v>
      </c>
      <c r="LX67" s="9" t="s">
        <v>1304</v>
      </c>
      <c r="LY67">
        <f>_xlfn.XLOOKUP(LX67,'KPI Impacts'!$B$2:$H$2,'KPI Impacts'!$B67:$H67)</f>
        <v>0</v>
      </c>
      <c r="MB67" s="12">
        <f t="shared" si="478"/>
        <v>0</v>
      </c>
      <c r="MC67" s="12">
        <f t="shared" si="479"/>
        <v>0</v>
      </c>
      <c r="MD67" s="12">
        <f t="shared" si="480"/>
        <v>0</v>
      </c>
      <c r="ME67" s="12">
        <f t="shared" si="481"/>
        <v>0</v>
      </c>
      <c r="MF67" s="12">
        <f t="shared" si="482"/>
        <v>0</v>
      </c>
      <c r="MG67" s="12">
        <f t="shared" si="483"/>
        <v>0</v>
      </c>
      <c r="MH67" s="12">
        <f t="shared" si="484"/>
        <v>0</v>
      </c>
      <c r="MI67" s="12">
        <f t="shared" si="485"/>
        <v>0</v>
      </c>
      <c r="MJ67" s="12">
        <f t="shared" si="486"/>
        <v>0</v>
      </c>
      <c r="ML67" t="s">
        <v>1304</v>
      </c>
      <c r="MM67">
        <f>_xlfn.XLOOKUP(ML67,'KPI Impacts'!$B$2:$H$2,'KPI Impacts'!$B67:$H67)</f>
        <v>0</v>
      </c>
      <c r="MN67" s="9" t="s">
        <v>1304</v>
      </c>
      <c r="MO67">
        <f>_xlfn.XLOOKUP(MN67,'KPI Impacts'!$B$2:$H$2,'KPI Impacts'!$B67:$H67)</f>
        <v>0</v>
      </c>
      <c r="MR67" s="12">
        <f t="shared" si="487"/>
        <v>0</v>
      </c>
      <c r="MS67" s="12">
        <f t="shared" si="488"/>
        <v>0</v>
      </c>
      <c r="MT67" s="12">
        <f t="shared" si="489"/>
        <v>0</v>
      </c>
      <c r="MU67" s="12">
        <f t="shared" si="490"/>
        <v>0</v>
      </c>
      <c r="MV67" s="12">
        <f t="shared" si="491"/>
        <v>0</v>
      </c>
      <c r="MW67" s="12">
        <f t="shared" si="492"/>
        <v>0</v>
      </c>
      <c r="MX67" s="12">
        <f t="shared" si="493"/>
        <v>0</v>
      </c>
      <c r="MY67" s="12">
        <f t="shared" si="494"/>
        <v>0</v>
      </c>
      <c r="MZ67" s="12">
        <f t="shared" si="495"/>
        <v>0</v>
      </c>
      <c r="NB67" t="s">
        <v>1304</v>
      </c>
      <c r="NC67">
        <f>_xlfn.XLOOKUP(NB67,'KPI Impacts'!$B$2:$H$2,'KPI Impacts'!$B67:$H67)</f>
        <v>0</v>
      </c>
      <c r="ND67" s="9" t="s">
        <v>1304</v>
      </c>
      <c r="NE67">
        <f>_xlfn.XLOOKUP(ND67,'KPI Impacts'!$B$2:$H$2,'KPI Impacts'!$B67:$H67)</f>
        <v>0</v>
      </c>
      <c r="NH67" s="12">
        <f t="shared" si="496"/>
        <v>0</v>
      </c>
      <c r="NI67" s="12">
        <f t="shared" si="497"/>
        <v>0</v>
      </c>
      <c r="NJ67" s="12">
        <f t="shared" si="498"/>
        <v>0</v>
      </c>
      <c r="NK67" s="12">
        <f t="shared" si="499"/>
        <v>0</v>
      </c>
      <c r="NL67" s="12">
        <f t="shared" si="500"/>
        <v>0</v>
      </c>
      <c r="NM67" s="12">
        <f t="shared" si="501"/>
        <v>0</v>
      </c>
      <c r="NN67" s="12">
        <f t="shared" si="502"/>
        <v>0</v>
      </c>
      <c r="NO67" s="12">
        <f t="shared" si="503"/>
        <v>0</v>
      </c>
      <c r="NP67" s="12">
        <f t="shared" si="504"/>
        <v>0</v>
      </c>
      <c r="NR67" t="s">
        <v>1304</v>
      </c>
      <c r="NS67">
        <f>_xlfn.XLOOKUP(NR67,'KPI Impacts'!$B$2:$H$2,'KPI Impacts'!$B67:$H67)</f>
        <v>0</v>
      </c>
      <c r="NT67" s="9" t="s">
        <v>1304</v>
      </c>
      <c r="NU67">
        <f>_xlfn.XLOOKUP(NT67,'KPI Impacts'!$B$2:$H$2,'KPI Impacts'!$B67:$H67)</f>
        <v>0</v>
      </c>
      <c r="NX67" s="12">
        <f t="shared" si="505"/>
        <v>0</v>
      </c>
      <c r="NY67" s="12">
        <f t="shared" si="506"/>
        <v>0</v>
      </c>
      <c r="NZ67" s="12">
        <f t="shared" si="507"/>
        <v>0</v>
      </c>
      <c r="OA67" s="12">
        <f t="shared" si="508"/>
        <v>0</v>
      </c>
      <c r="OB67" s="12">
        <f t="shared" si="509"/>
        <v>0</v>
      </c>
      <c r="OC67" s="12">
        <f t="shared" si="510"/>
        <v>0</v>
      </c>
      <c r="OD67" s="12">
        <f t="shared" si="511"/>
        <v>0</v>
      </c>
      <c r="OE67" s="12">
        <f t="shared" si="512"/>
        <v>0</v>
      </c>
      <c r="OF67" s="12">
        <f t="shared" si="513"/>
        <v>0</v>
      </c>
      <c r="OH67" t="s">
        <v>1304</v>
      </c>
      <c r="OI67">
        <f>_xlfn.XLOOKUP(OH67,'KPI Impacts'!$B$2:$H$2,'KPI Impacts'!$B67:$H67)</f>
        <v>0</v>
      </c>
      <c r="OJ67" s="9" t="s">
        <v>1304</v>
      </c>
      <c r="OK67">
        <f>_xlfn.XLOOKUP(OJ67,'KPI Impacts'!$B$2:$H$2,'KPI Impacts'!$B67:$H67)</f>
        <v>0</v>
      </c>
    </row>
    <row r="68" spans="1:401" x14ac:dyDescent="0.2">
      <c r="A68" t="s">
        <v>49</v>
      </c>
      <c r="B68" s="12">
        <f t="shared" si="514"/>
        <v>0</v>
      </c>
      <c r="C68" s="12">
        <f t="shared" si="315"/>
        <v>0</v>
      </c>
      <c r="D68" s="12">
        <f t="shared" si="315"/>
        <v>0</v>
      </c>
      <c r="E68" s="12">
        <f t="shared" si="315"/>
        <v>0</v>
      </c>
      <c r="F68" s="12">
        <f t="shared" si="315"/>
        <v>0</v>
      </c>
      <c r="G68" s="12">
        <f t="shared" si="315"/>
        <v>0</v>
      </c>
      <c r="H68" s="12">
        <f t="shared" si="315"/>
        <v>0</v>
      </c>
      <c r="I68" s="12">
        <f t="shared" si="315"/>
        <v>0</v>
      </c>
      <c r="J68" s="12">
        <f t="shared" si="315"/>
        <v>0</v>
      </c>
      <c r="P68" s="12" cm="1">
        <f t="array" ref="P68">_xlfn.SWITCH(P$4, 0,0, 1, AA68,2,AC68,3,AE68,0)</f>
        <v>0</v>
      </c>
      <c r="Q68" s="12" cm="1">
        <f t="array" ref="Q68">_xlfn.SWITCH(Q$4, 0,0, 1, AA68,2,AC68,3,AE68,0)+P68</f>
        <v>0</v>
      </c>
      <c r="R68" s="12" cm="1">
        <f t="array" ref="R68">_xlfn.SWITCH(R$4, 0,0, 1, AA68,2,AC68,3,AE68,0)+Q68</f>
        <v>0</v>
      </c>
      <c r="S68" s="12" cm="1">
        <f t="array" ref="S68">_xlfn.SWITCH(S$4, 0,0, 1, AA68,2,AC68,3,AE68,0)+R68</f>
        <v>0</v>
      </c>
      <c r="T68" s="12" cm="1">
        <f t="array" ref="T68">_xlfn.SWITCH(T$4, 0,0, 1, AA68,2,AC68,3,AE68,0)+S68</f>
        <v>0</v>
      </c>
      <c r="U68" s="12" cm="1">
        <f t="array" ref="U68">_xlfn.SWITCH(U$4, 0,0, 1, AA68,2,AC68,3,AE68,0)+T68</f>
        <v>0</v>
      </c>
      <c r="V68" s="12" cm="1">
        <f t="array" ref="V68">_xlfn.SWITCH(V$4, 0,0, 1, AA68,2,AC68,3,AE68,0)+U68</f>
        <v>0</v>
      </c>
      <c r="W68" s="12" cm="1">
        <f t="array" ref="W68">_xlfn.SWITCH(W$4, 0,0, 1, AA68,2,AC68,3,AE68,0)+V68</f>
        <v>0</v>
      </c>
      <c r="X68" s="12" cm="1">
        <f t="array" ref="X68">_xlfn.SWITCH(X$4, 0,0, 1, AA68,2,AC68,3,AE68,0)+W68</f>
        <v>0</v>
      </c>
      <c r="Z68" t="s">
        <v>1304</v>
      </c>
      <c r="AA68">
        <f>_xlfn.XLOOKUP(Z68,'KPI Impacts'!$K$2:$Q$2,'KPI Impacts'!$K68:$Q68)</f>
        <v>0</v>
      </c>
      <c r="AB68" t="s">
        <v>1304</v>
      </c>
      <c r="AC68">
        <f>_xlfn.XLOOKUP(AB68,'KPI Impacts'!$K$2:$Q$2,'KPI Impacts'!$K68:$Q68)</f>
        <v>0</v>
      </c>
      <c r="AD68" t="s">
        <v>1304</v>
      </c>
      <c r="AE68">
        <f>_xlfn.XLOOKUP(AD68,'KPI Impacts'!$K$2:$Q$2,'KPI Impacts'!$K68:$Q68)</f>
        <v>0</v>
      </c>
      <c r="AH68" s="12" cm="1">
        <f t="array" ref="AH68">_xlfn.SWITCH(AH$4, 0,0, 1, AS68,2,AU68,3,AW68,0)</f>
        <v>0</v>
      </c>
      <c r="AI68" s="12" cm="1">
        <f t="array" ref="AI68">_xlfn.SWITCH(AI$4, 0,0, 1, AS68,2,AU68,3,AW68,0)+AH68</f>
        <v>0</v>
      </c>
      <c r="AJ68" s="12" cm="1">
        <f t="array" ref="AJ68">_xlfn.SWITCH(AJ$4, 0,0, 1, AS68,2,AU68,3,AW68,0)+AI68</f>
        <v>0</v>
      </c>
      <c r="AK68" s="12" cm="1">
        <f t="array" ref="AK68">_xlfn.SWITCH(AK$4, 0,0, 1, AS68,2,AU68,3,AW68,0)+AJ68</f>
        <v>0</v>
      </c>
      <c r="AL68" s="12" cm="1">
        <f t="array" ref="AL68">_xlfn.SWITCH(AL$4, 0,0, 1, AS68,2,AU68,3,AW68,0)+AK68</f>
        <v>0</v>
      </c>
      <c r="AM68" s="12" cm="1">
        <f t="array" ref="AM68">_xlfn.SWITCH(AM$4, 0,0, 1, AS68,2,AU68,3,AW68,0)+AL68</f>
        <v>0</v>
      </c>
      <c r="AN68" s="12" cm="1">
        <f t="array" ref="AN68">_xlfn.SWITCH(AN$4, 0,0, 1, AS68,2,AU68,3,AW68,0)+AM68</f>
        <v>0</v>
      </c>
      <c r="AO68" s="12" cm="1">
        <f t="array" ref="AO68">_xlfn.SWITCH(AO$4, 0,0, 1, AS68,2,AU68,3,AW68,0)+AN68</f>
        <v>0</v>
      </c>
      <c r="AP68" s="12" cm="1">
        <f t="array" ref="AP68">_xlfn.SWITCH(AP$4, 0,0, 1, AS68,2,AU68,3,AW68,0)+AO68</f>
        <v>0</v>
      </c>
      <c r="AR68" t="s">
        <v>1304</v>
      </c>
      <c r="AS68">
        <f>_xlfn.XLOOKUP(AR68,'KPI Impacts'!$K$2:$Q$2,'KPI Impacts'!$K68:$Q68)</f>
        <v>0</v>
      </c>
      <c r="AT68" t="s">
        <v>1304</v>
      </c>
      <c r="AU68">
        <f>_xlfn.XLOOKUP(AT68,'KPI Impacts'!$K$2:$Q$2,'KPI Impacts'!$K68:$Q68)</f>
        <v>0</v>
      </c>
      <c r="AV68" t="s">
        <v>1304</v>
      </c>
      <c r="AW68">
        <f>_xlfn.XLOOKUP(AV68,'KPI Impacts'!$K$2:$Q$2,'KPI Impacts'!$K68:$Q68)</f>
        <v>0</v>
      </c>
      <c r="AZ68" s="12">
        <f t="shared" si="316"/>
        <v>0</v>
      </c>
      <c r="BA68" s="12">
        <f t="shared" si="317"/>
        <v>0</v>
      </c>
      <c r="BB68" s="12">
        <f t="shared" si="318"/>
        <v>0</v>
      </c>
      <c r="BC68" s="12">
        <f t="shared" si="319"/>
        <v>0</v>
      </c>
      <c r="BD68" s="12">
        <f t="shared" si="320"/>
        <v>0</v>
      </c>
      <c r="BE68" s="12">
        <f t="shared" si="321"/>
        <v>0</v>
      </c>
      <c r="BF68" s="12">
        <f t="shared" si="322"/>
        <v>0</v>
      </c>
      <c r="BG68" s="12">
        <f t="shared" si="323"/>
        <v>0</v>
      </c>
      <c r="BH68" s="12">
        <f t="shared" si="324"/>
        <v>0</v>
      </c>
      <c r="BJ68" s="30" t="s">
        <v>1308</v>
      </c>
      <c r="BK68">
        <f>_xlfn.XLOOKUP(BJ68,'KPI Impacts'!$B$2:$H$2,'KPI Impacts'!$B68:$H68)</f>
        <v>2</v>
      </c>
      <c r="BL68" s="35" t="s">
        <v>1304</v>
      </c>
      <c r="BM68">
        <f>_xlfn.XLOOKUP(BL68,'KPI Impacts'!$B$2:$H$2,'KPI Impacts'!$B68:$H68)</f>
        <v>0</v>
      </c>
      <c r="BP68" s="12">
        <f t="shared" si="325"/>
        <v>0</v>
      </c>
      <c r="BQ68" s="12">
        <f t="shared" si="326"/>
        <v>0</v>
      </c>
      <c r="BR68" s="12">
        <f t="shared" si="327"/>
        <v>0</v>
      </c>
      <c r="BS68" s="12">
        <f t="shared" si="328"/>
        <v>0</v>
      </c>
      <c r="BT68" s="12">
        <f t="shared" si="329"/>
        <v>0</v>
      </c>
      <c r="BU68" s="12">
        <f t="shared" si="330"/>
        <v>0</v>
      </c>
      <c r="BV68" s="12">
        <f t="shared" si="331"/>
        <v>0</v>
      </c>
      <c r="BW68" s="12">
        <f t="shared" si="332"/>
        <v>0</v>
      </c>
      <c r="BX68" s="12">
        <f t="shared" si="333"/>
        <v>0</v>
      </c>
      <c r="BZ68" s="16" t="s">
        <v>1304</v>
      </c>
      <c r="CA68">
        <f>_xlfn.XLOOKUP(BZ68,'KPI Impacts'!$B$2:$H$2,'KPI Impacts'!$B68:$H68)</f>
        <v>0</v>
      </c>
      <c r="CB68" s="35" t="s">
        <v>1304</v>
      </c>
      <c r="CC68">
        <f>_xlfn.XLOOKUP(CB68,'KPI Impacts'!$B$2:$H$2,'KPI Impacts'!$B68:$H68)</f>
        <v>0</v>
      </c>
      <c r="CF68" s="12">
        <f t="shared" si="334"/>
        <v>0</v>
      </c>
      <c r="CG68" s="12">
        <f t="shared" si="335"/>
        <v>0</v>
      </c>
      <c r="CH68" s="12">
        <f t="shared" si="336"/>
        <v>0</v>
      </c>
      <c r="CI68" s="12">
        <f t="shared" si="337"/>
        <v>0</v>
      </c>
      <c r="CJ68" s="12">
        <f t="shared" si="338"/>
        <v>0</v>
      </c>
      <c r="CK68" s="12">
        <f t="shared" si="339"/>
        <v>0</v>
      </c>
      <c r="CL68" s="12">
        <f t="shared" si="340"/>
        <v>0</v>
      </c>
      <c r="CM68" s="12">
        <f t="shared" si="341"/>
        <v>0</v>
      </c>
      <c r="CN68" s="12">
        <f t="shared" si="342"/>
        <v>0</v>
      </c>
      <c r="CP68" s="16" t="s">
        <v>1304</v>
      </c>
      <c r="CQ68">
        <f>_xlfn.XLOOKUP(CP68,'KPI Impacts'!$B$2:$H$2,'KPI Impacts'!$B68:$H68)</f>
        <v>0</v>
      </c>
      <c r="CR68" s="35" t="s">
        <v>1304</v>
      </c>
      <c r="CS68">
        <f>_xlfn.XLOOKUP(CR68,'KPI Impacts'!$B$2:$H$2,'KPI Impacts'!$B68:$H68)</f>
        <v>0</v>
      </c>
      <c r="CV68" s="12">
        <f t="shared" si="343"/>
        <v>0</v>
      </c>
      <c r="CW68" s="12">
        <f t="shared" si="344"/>
        <v>0</v>
      </c>
      <c r="CX68" s="12">
        <f t="shared" si="345"/>
        <v>0</v>
      </c>
      <c r="CY68" s="12">
        <f t="shared" si="346"/>
        <v>0</v>
      </c>
      <c r="CZ68" s="12">
        <f t="shared" si="347"/>
        <v>0</v>
      </c>
      <c r="DA68" s="12">
        <f t="shared" si="348"/>
        <v>0</v>
      </c>
      <c r="DB68" s="12">
        <f t="shared" si="349"/>
        <v>0</v>
      </c>
      <c r="DC68" s="12">
        <f t="shared" si="350"/>
        <v>0</v>
      </c>
      <c r="DD68" s="12">
        <f t="shared" si="351"/>
        <v>0</v>
      </c>
      <c r="DF68" s="16" t="s">
        <v>1304</v>
      </c>
      <c r="DG68">
        <f>_xlfn.XLOOKUP(DF68,'KPI Impacts'!$B$2:$H$2,'KPI Impacts'!$B68:$H68)</f>
        <v>0</v>
      </c>
      <c r="DH68" s="35" t="s">
        <v>1304</v>
      </c>
      <c r="DI68">
        <f>_xlfn.XLOOKUP(DH68,'KPI Impacts'!$B$2:$H$2,'KPI Impacts'!$B68:$H68)</f>
        <v>0</v>
      </c>
      <c r="DL68" s="12">
        <f t="shared" si="352"/>
        <v>0</v>
      </c>
      <c r="DM68" s="12">
        <f t="shared" si="353"/>
        <v>0</v>
      </c>
      <c r="DN68" s="12">
        <f t="shared" si="354"/>
        <v>0</v>
      </c>
      <c r="DO68" s="12">
        <f t="shared" si="355"/>
        <v>0</v>
      </c>
      <c r="DP68" s="12">
        <f t="shared" si="356"/>
        <v>0</v>
      </c>
      <c r="DQ68" s="12">
        <f t="shared" si="357"/>
        <v>0</v>
      </c>
      <c r="DR68" s="12">
        <f t="shared" si="358"/>
        <v>0</v>
      </c>
      <c r="DS68" s="12">
        <f t="shared" si="359"/>
        <v>0</v>
      </c>
      <c r="DT68" s="12">
        <f t="shared" si="360"/>
        <v>0</v>
      </c>
      <c r="DV68" s="16" t="s">
        <v>1304</v>
      </c>
      <c r="DW68">
        <f>_xlfn.XLOOKUP(DV68,'KPI Impacts'!$B$2:$H$2,'KPI Impacts'!$B68:$H68)</f>
        <v>0</v>
      </c>
      <c r="DX68" s="35" t="s">
        <v>1304</v>
      </c>
      <c r="DY68">
        <f>_xlfn.XLOOKUP(DX68,'KPI Impacts'!$B$2:$H$2,'KPI Impacts'!$B68:$H68)</f>
        <v>0</v>
      </c>
      <c r="EB68" s="12">
        <f t="shared" si="361"/>
        <v>0</v>
      </c>
      <c r="EC68" s="12">
        <f t="shared" si="362"/>
        <v>0</v>
      </c>
      <c r="ED68" s="12">
        <f t="shared" si="363"/>
        <v>0</v>
      </c>
      <c r="EE68" s="12">
        <f t="shared" si="364"/>
        <v>0</v>
      </c>
      <c r="EF68" s="12">
        <f t="shared" si="365"/>
        <v>0</v>
      </c>
      <c r="EG68" s="12">
        <f t="shared" si="366"/>
        <v>0</v>
      </c>
      <c r="EH68" s="12">
        <f t="shared" si="367"/>
        <v>0</v>
      </c>
      <c r="EI68" s="12">
        <f t="shared" si="368"/>
        <v>0</v>
      </c>
      <c r="EJ68" s="12">
        <f t="shared" si="369"/>
        <v>0</v>
      </c>
      <c r="EL68" s="16" t="s">
        <v>1304</v>
      </c>
      <c r="EM68">
        <f>_xlfn.XLOOKUP(EL68,'KPI Impacts'!$B$2:$H$2,'KPI Impacts'!$B68:$H68)</f>
        <v>0</v>
      </c>
      <c r="EN68" s="35" t="s">
        <v>1304</v>
      </c>
      <c r="EO68">
        <f>_xlfn.XLOOKUP(EN68,'KPI Impacts'!$B$2:$H$2,'KPI Impacts'!$B68:$H68)</f>
        <v>0</v>
      </c>
      <c r="ER68" s="12">
        <f t="shared" si="370"/>
        <v>0</v>
      </c>
      <c r="ES68" s="12">
        <f t="shared" si="371"/>
        <v>0</v>
      </c>
      <c r="ET68" s="12">
        <f t="shared" si="372"/>
        <v>0</v>
      </c>
      <c r="EU68" s="12">
        <f t="shared" si="373"/>
        <v>0</v>
      </c>
      <c r="EV68" s="12">
        <f t="shared" si="374"/>
        <v>0</v>
      </c>
      <c r="EW68" s="12">
        <f t="shared" si="375"/>
        <v>0</v>
      </c>
      <c r="EX68" s="12">
        <f t="shared" si="376"/>
        <v>0</v>
      </c>
      <c r="EY68" s="12">
        <f t="shared" si="377"/>
        <v>0</v>
      </c>
      <c r="EZ68" s="12">
        <f t="shared" si="378"/>
        <v>0</v>
      </c>
      <c r="FB68" s="16" t="s">
        <v>1304</v>
      </c>
      <c r="FC68">
        <f>_xlfn.XLOOKUP(FB68,'KPI Impacts'!$B$2:$H$2,'KPI Impacts'!$B68:$H68)</f>
        <v>0</v>
      </c>
      <c r="FD68" s="35" t="s">
        <v>1304</v>
      </c>
      <c r="FE68">
        <f>_xlfn.XLOOKUP(FD68,'KPI Impacts'!$B$2:$H$2,'KPI Impacts'!$B68:$H68)</f>
        <v>0</v>
      </c>
      <c r="FH68" s="12">
        <f t="shared" si="379"/>
        <v>0</v>
      </c>
      <c r="FI68" s="12">
        <f t="shared" si="380"/>
        <v>0</v>
      </c>
      <c r="FJ68" s="12">
        <f t="shared" si="381"/>
        <v>0</v>
      </c>
      <c r="FK68" s="12">
        <f t="shared" si="382"/>
        <v>0</v>
      </c>
      <c r="FL68" s="12">
        <f t="shared" si="383"/>
        <v>0</v>
      </c>
      <c r="FM68" s="12">
        <f t="shared" si="384"/>
        <v>0</v>
      </c>
      <c r="FN68" s="12">
        <f t="shared" si="385"/>
        <v>0</v>
      </c>
      <c r="FO68" s="12">
        <f t="shared" si="386"/>
        <v>0</v>
      </c>
      <c r="FP68" s="12">
        <f t="shared" si="387"/>
        <v>0</v>
      </c>
      <c r="FR68" s="16" t="s">
        <v>1304</v>
      </c>
      <c r="FS68">
        <f>_xlfn.XLOOKUP(FR68,'KPI Impacts'!$B$2:$H$2,'KPI Impacts'!$B68:$H68)</f>
        <v>0</v>
      </c>
      <c r="FT68" s="9" t="s">
        <v>1304</v>
      </c>
      <c r="FU68">
        <f>_xlfn.XLOOKUP(FT68,'KPI Impacts'!$B$2:$H$2,'KPI Impacts'!$B68:$H68)</f>
        <v>0</v>
      </c>
      <c r="FX68" s="12">
        <f t="shared" si="388"/>
        <v>0</v>
      </c>
      <c r="FY68" s="12">
        <f t="shared" si="389"/>
        <v>0</v>
      </c>
      <c r="FZ68" s="12">
        <f t="shared" si="390"/>
        <v>0</v>
      </c>
      <c r="GA68" s="12">
        <f t="shared" si="391"/>
        <v>0</v>
      </c>
      <c r="GB68" s="12">
        <f t="shared" si="392"/>
        <v>0</v>
      </c>
      <c r="GC68" s="12">
        <f t="shared" si="393"/>
        <v>0</v>
      </c>
      <c r="GD68" s="12">
        <f t="shared" si="394"/>
        <v>0</v>
      </c>
      <c r="GE68" s="12">
        <f t="shared" si="395"/>
        <v>0</v>
      </c>
      <c r="GF68" s="12">
        <f t="shared" si="396"/>
        <v>0</v>
      </c>
      <c r="GH68" s="16" t="s">
        <v>1304</v>
      </c>
      <c r="GI68">
        <f>_xlfn.XLOOKUP(GH68,'KPI Impacts'!$B$2:$H$2,'KPI Impacts'!$B68:$H68)</f>
        <v>0</v>
      </c>
      <c r="GJ68" s="9" t="s">
        <v>1304</v>
      </c>
      <c r="GK68">
        <f>_xlfn.XLOOKUP(GJ68,'KPI Impacts'!$B$2:$H$2,'KPI Impacts'!$B68:$H68)</f>
        <v>0</v>
      </c>
      <c r="GN68" s="12">
        <f t="shared" si="397"/>
        <v>0</v>
      </c>
      <c r="GO68" s="12">
        <f t="shared" si="398"/>
        <v>0</v>
      </c>
      <c r="GP68" s="12">
        <f t="shared" si="399"/>
        <v>0</v>
      </c>
      <c r="GQ68" s="12">
        <f t="shared" si="400"/>
        <v>0</v>
      </c>
      <c r="GR68" s="12">
        <f t="shared" si="401"/>
        <v>0</v>
      </c>
      <c r="GS68" s="12">
        <f t="shared" si="402"/>
        <v>0</v>
      </c>
      <c r="GT68" s="12">
        <f t="shared" si="403"/>
        <v>0</v>
      </c>
      <c r="GU68" s="12">
        <f t="shared" si="404"/>
        <v>0</v>
      </c>
      <c r="GV68" s="12">
        <f t="shared" si="405"/>
        <v>0</v>
      </c>
      <c r="GX68" s="16" t="s">
        <v>1304</v>
      </c>
      <c r="GY68">
        <f>_xlfn.XLOOKUP(GX68,'KPI Impacts'!$B$2:$H$2,'KPI Impacts'!$B68:$H68)</f>
        <v>0</v>
      </c>
      <c r="GZ68" s="9" t="s">
        <v>1304</v>
      </c>
      <c r="HA68">
        <f>_xlfn.XLOOKUP(GZ68,'KPI Impacts'!$B$2:$H$2,'KPI Impacts'!$B68:$H68)</f>
        <v>0</v>
      </c>
      <c r="HD68" s="12">
        <f t="shared" si="406"/>
        <v>0</v>
      </c>
      <c r="HE68" s="12">
        <f t="shared" si="407"/>
        <v>0</v>
      </c>
      <c r="HF68" s="12">
        <f t="shared" si="408"/>
        <v>0</v>
      </c>
      <c r="HG68" s="12">
        <f t="shared" si="409"/>
        <v>0</v>
      </c>
      <c r="HH68" s="12">
        <f t="shared" si="410"/>
        <v>0</v>
      </c>
      <c r="HI68" s="12">
        <f t="shared" si="411"/>
        <v>0</v>
      </c>
      <c r="HJ68" s="12">
        <f t="shared" si="412"/>
        <v>0</v>
      </c>
      <c r="HK68" s="12">
        <f t="shared" si="413"/>
        <v>0</v>
      </c>
      <c r="HL68" s="12">
        <f t="shared" si="414"/>
        <v>0</v>
      </c>
      <c r="HN68" t="s">
        <v>1304</v>
      </c>
      <c r="HO68">
        <f>_xlfn.XLOOKUP(HN68,'KPI Impacts'!$B$2:$H$2,'KPI Impacts'!$B68:$H68)</f>
        <v>0</v>
      </c>
      <c r="HP68" s="9" t="s">
        <v>1304</v>
      </c>
      <c r="HQ68">
        <f>_xlfn.XLOOKUP(HP68,'KPI Impacts'!$B$2:$H$2,'KPI Impacts'!$B68:$H68)</f>
        <v>0</v>
      </c>
      <c r="HT68" s="12">
        <f t="shared" si="415"/>
        <v>0</v>
      </c>
      <c r="HU68" s="12">
        <f t="shared" si="416"/>
        <v>0</v>
      </c>
      <c r="HV68" s="12">
        <f t="shared" si="417"/>
        <v>0</v>
      </c>
      <c r="HW68" s="12">
        <f t="shared" si="418"/>
        <v>0</v>
      </c>
      <c r="HX68" s="12">
        <f t="shared" si="419"/>
        <v>0</v>
      </c>
      <c r="HY68" s="12">
        <f t="shared" si="420"/>
        <v>0</v>
      </c>
      <c r="HZ68" s="12">
        <f t="shared" si="421"/>
        <v>0</v>
      </c>
      <c r="IA68" s="12">
        <f t="shared" si="422"/>
        <v>0</v>
      </c>
      <c r="IB68" s="12">
        <f t="shared" si="423"/>
        <v>0</v>
      </c>
      <c r="ID68" t="s">
        <v>1304</v>
      </c>
      <c r="IE68">
        <f>_xlfn.XLOOKUP(ID68,'KPI Impacts'!$B$2:$H$2,'KPI Impacts'!$B68:$H68)</f>
        <v>0</v>
      </c>
      <c r="IF68" s="9" t="s">
        <v>1304</v>
      </c>
      <c r="IG68">
        <f>_xlfn.XLOOKUP(IF68,'KPI Impacts'!$B$2:$H$2,'KPI Impacts'!$B68:$H68)</f>
        <v>0</v>
      </c>
      <c r="IJ68" s="12">
        <f t="shared" si="424"/>
        <v>0</v>
      </c>
      <c r="IK68" s="12">
        <f t="shared" si="425"/>
        <v>0</v>
      </c>
      <c r="IL68" s="12">
        <f t="shared" si="426"/>
        <v>0</v>
      </c>
      <c r="IM68" s="12">
        <f t="shared" si="427"/>
        <v>0</v>
      </c>
      <c r="IN68" s="12">
        <f t="shared" si="428"/>
        <v>0</v>
      </c>
      <c r="IO68" s="12">
        <f t="shared" si="429"/>
        <v>0</v>
      </c>
      <c r="IP68" s="12">
        <f t="shared" si="430"/>
        <v>0</v>
      </c>
      <c r="IQ68" s="12">
        <f t="shared" si="431"/>
        <v>0</v>
      </c>
      <c r="IR68" s="12">
        <f t="shared" si="432"/>
        <v>0</v>
      </c>
      <c r="IT68" t="s">
        <v>1304</v>
      </c>
      <c r="IU68">
        <f>_xlfn.XLOOKUP(IT68,'KPI Impacts'!$B$2:$H$2,'KPI Impacts'!$B68:$H68)</f>
        <v>0</v>
      </c>
      <c r="IV68" s="9" t="s">
        <v>1304</v>
      </c>
      <c r="IW68">
        <f>_xlfn.XLOOKUP(IV68,'KPI Impacts'!$B$2:$H$2,'KPI Impacts'!$B68:$H68)</f>
        <v>0</v>
      </c>
      <c r="IZ68" s="12">
        <f t="shared" si="433"/>
        <v>0</v>
      </c>
      <c r="JA68" s="12">
        <f t="shared" si="434"/>
        <v>0</v>
      </c>
      <c r="JB68" s="12">
        <f t="shared" si="435"/>
        <v>0</v>
      </c>
      <c r="JC68" s="12">
        <f t="shared" si="436"/>
        <v>0</v>
      </c>
      <c r="JD68" s="12">
        <f t="shared" si="437"/>
        <v>0</v>
      </c>
      <c r="JE68" s="12">
        <f t="shared" si="438"/>
        <v>0</v>
      </c>
      <c r="JF68" s="12">
        <f t="shared" si="439"/>
        <v>0</v>
      </c>
      <c r="JG68" s="12">
        <f t="shared" si="440"/>
        <v>0</v>
      </c>
      <c r="JH68" s="12">
        <f t="shared" si="441"/>
        <v>0</v>
      </c>
      <c r="JJ68" t="s">
        <v>1304</v>
      </c>
      <c r="JK68">
        <f>_xlfn.XLOOKUP(JJ68,'KPI Impacts'!$B$2:$H$2,'KPI Impacts'!$B68:$H68)</f>
        <v>0</v>
      </c>
      <c r="JL68" s="9" t="s">
        <v>1304</v>
      </c>
      <c r="JM68">
        <f>_xlfn.XLOOKUP(JL68,'KPI Impacts'!$B$2:$H$2,'KPI Impacts'!$B68:$H68)</f>
        <v>0</v>
      </c>
      <c r="JP68" s="12">
        <f t="shared" si="442"/>
        <v>0</v>
      </c>
      <c r="JQ68" s="12">
        <f t="shared" si="443"/>
        <v>0</v>
      </c>
      <c r="JR68" s="12">
        <f t="shared" si="444"/>
        <v>0</v>
      </c>
      <c r="JS68" s="12">
        <f t="shared" si="445"/>
        <v>0</v>
      </c>
      <c r="JT68" s="12">
        <f t="shared" si="446"/>
        <v>0</v>
      </c>
      <c r="JU68" s="12">
        <f t="shared" si="447"/>
        <v>0</v>
      </c>
      <c r="JV68" s="12">
        <f t="shared" si="448"/>
        <v>0</v>
      </c>
      <c r="JW68" s="12">
        <f t="shared" si="449"/>
        <v>0</v>
      </c>
      <c r="JX68" s="12">
        <f t="shared" si="450"/>
        <v>0</v>
      </c>
      <c r="JZ68" t="s">
        <v>1304</v>
      </c>
      <c r="KA68">
        <f>_xlfn.XLOOKUP(JZ68,'KPI Impacts'!$B$2:$H$2,'KPI Impacts'!$B68:$H68)</f>
        <v>0</v>
      </c>
      <c r="KB68" s="9" t="s">
        <v>1304</v>
      </c>
      <c r="KC68">
        <f>_xlfn.XLOOKUP(KB68,'KPI Impacts'!$B$2:$H$2,'KPI Impacts'!$B68:$H68)</f>
        <v>0</v>
      </c>
      <c r="KF68" s="12">
        <f t="shared" si="451"/>
        <v>0</v>
      </c>
      <c r="KG68" s="12">
        <f t="shared" si="452"/>
        <v>0</v>
      </c>
      <c r="KH68" s="12">
        <f t="shared" si="453"/>
        <v>0</v>
      </c>
      <c r="KI68" s="12">
        <f t="shared" si="454"/>
        <v>0</v>
      </c>
      <c r="KJ68" s="12">
        <f t="shared" si="455"/>
        <v>0</v>
      </c>
      <c r="KK68" s="12">
        <f t="shared" si="456"/>
        <v>0</v>
      </c>
      <c r="KL68" s="12">
        <f t="shared" si="457"/>
        <v>0</v>
      </c>
      <c r="KM68" s="12">
        <f t="shared" si="458"/>
        <v>0</v>
      </c>
      <c r="KN68" s="12">
        <f t="shared" si="459"/>
        <v>0</v>
      </c>
      <c r="KP68" t="s">
        <v>1304</v>
      </c>
      <c r="KQ68">
        <f>_xlfn.XLOOKUP(KP68,'KPI Impacts'!$B$2:$H$2,'KPI Impacts'!$B68:$H68)</f>
        <v>0</v>
      </c>
      <c r="KR68" s="9" t="s">
        <v>1304</v>
      </c>
      <c r="KS68">
        <f>_xlfn.XLOOKUP(KR68,'KPI Impacts'!$B$2:$H$2,'KPI Impacts'!$B68:$H68)</f>
        <v>0</v>
      </c>
      <c r="KV68" s="12">
        <f t="shared" si="460"/>
        <v>0</v>
      </c>
      <c r="KW68" s="12">
        <f t="shared" si="461"/>
        <v>0</v>
      </c>
      <c r="KX68" s="12">
        <f t="shared" si="462"/>
        <v>0</v>
      </c>
      <c r="KY68" s="12">
        <f t="shared" si="463"/>
        <v>0</v>
      </c>
      <c r="KZ68" s="12">
        <f t="shared" si="464"/>
        <v>0</v>
      </c>
      <c r="LA68" s="12">
        <f t="shared" si="465"/>
        <v>0</v>
      </c>
      <c r="LB68" s="12">
        <f t="shared" si="466"/>
        <v>0</v>
      </c>
      <c r="LC68" s="12">
        <f t="shared" si="467"/>
        <v>0</v>
      </c>
      <c r="LD68" s="12">
        <f t="shared" si="468"/>
        <v>0</v>
      </c>
      <c r="LF68" t="s">
        <v>1304</v>
      </c>
      <c r="LG68">
        <f>_xlfn.XLOOKUP(LF68,'KPI Impacts'!$B$2:$H$2,'KPI Impacts'!$B68:$H68)</f>
        <v>0</v>
      </c>
      <c r="LH68" s="9" t="s">
        <v>1304</v>
      </c>
      <c r="LI68">
        <f>_xlfn.XLOOKUP(LH68,'KPI Impacts'!$B$2:$H$2,'KPI Impacts'!$B68:$H68)</f>
        <v>0</v>
      </c>
      <c r="LL68" s="12">
        <f t="shared" si="469"/>
        <v>0</v>
      </c>
      <c r="LM68" s="12">
        <f t="shared" si="470"/>
        <v>0</v>
      </c>
      <c r="LN68" s="12">
        <f t="shared" si="471"/>
        <v>0</v>
      </c>
      <c r="LO68" s="12">
        <f t="shared" si="472"/>
        <v>0</v>
      </c>
      <c r="LP68" s="12">
        <f t="shared" si="473"/>
        <v>0</v>
      </c>
      <c r="LQ68" s="12">
        <f t="shared" si="474"/>
        <v>0</v>
      </c>
      <c r="LR68" s="12">
        <f t="shared" si="475"/>
        <v>0</v>
      </c>
      <c r="LS68" s="12">
        <f t="shared" si="476"/>
        <v>0</v>
      </c>
      <c r="LT68" s="12">
        <f t="shared" si="477"/>
        <v>0</v>
      </c>
      <c r="LV68" t="s">
        <v>1304</v>
      </c>
      <c r="LW68">
        <f>_xlfn.XLOOKUP(LV68,'KPI Impacts'!$B$2:$H$2,'KPI Impacts'!$B68:$H68)</f>
        <v>0</v>
      </c>
      <c r="LX68" s="9" t="s">
        <v>1304</v>
      </c>
      <c r="LY68">
        <f>_xlfn.XLOOKUP(LX68,'KPI Impacts'!$B$2:$H$2,'KPI Impacts'!$B68:$H68)</f>
        <v>0</v>
      </c>
      <c r="MB68" s="12">
        <f t="shared" si="478"/>
        <v>0</v>
      </c>
      <c r="MC68" s="12">
        <f t="shared" si="479"/>
        <v>0</v>
      </c>
      <c r="MD68" s="12">
        <f t="shared" si="480"/>
        <v>0</v>
      </c>
      <c r="ME68" s="12">
        <f t="shared" si="481"/>
        <v>0</v>
      </c>
      <c r="MF68" s="12">
        <f t="shared" si="482"/>
        <v>0</v>
      </c>
      <c r="MG68" s="12">
        <f t="shared" si="483"/>
        <v>0</v>
      </c>
      <c r="MH68" s="12">
        <f t="shared" si="484"/>
        <v>0</v>
      </c>
      <c r="MI68" s="12">
        <f t="shared" si="485"/>
        <v>0</v>
      </c>
      <c r="MJ68" s="12">
        <f t="shared" si="486"/>
        <v>0</v>
      </c>
      <c r="ML68" t="s">
        <v>1304</v>
      </c>
      <c r="MM68">
        <f>_xlfn.XLOOKUP(ML68,'KPI Impacts'!$B$2:$H$2,'KPI Impacts'!$B68:$H68)</f>
        <v>0</v>
      </c>
      <c r="MN68" s="9" t="s">
        <v>1304</v>
      </c>
      <c r="MO68">
        <f>_xlfn.XLOOKUP(MN68,'KPI Impacts'!$B$2:$H$2,'KPI Impacts'!$B68:$H68)</f>
        <v>0</v>
      </c>
      <c r="MR68" s="12">
        <f t="shared" si="487"/>
        <v>0</v>
      </c>
      <c r="MS68" s="12">
        <f t="shared" si="488"/>
        <v>0</v>
      </c>
      <c r="MT68" s="12">
        <f t="shared" si="489"/>
        <v>0</v>
      </c>
      <c r="MU68" s="12">
        <f t="shared" si="490"/>
        <v>0</v>
      </c>
      <c r="MV68" s="12">
        <f t="shared" si="491"/>
        <v>0</v>
      </c>
      <c r="MW68" s="12">
        <f t="shared" si="492"/>
        <v>0</v>
      </c>
      <c r="MX68" s="12">
        <f t="shared" si="493"/>
        <v>0</v>
      </c>
      <c r="MY68" s="12">
        <f t="shared" si="494"/>
        <v>0</v>
      </c>
      <c r="MZ68" s="12">
        <f t="shared" si="495"/>
        <v>0</v>
      </c>
      <c r="NB68" t="s">
        <v>1304</v>
      </c>
      <c r="NC68">
        <f>_xlfn.XLOOKUP(NB68,'KPI Impacts'!$B$2:$H$2,'KPI Impacts'!$B68:$H68)</f>
        <v>0</v>
      </c>
      <c r="ND68" s="9" t="s">
        <v>1304</v>
      </c>
      <c r="NE68">
        <f>_xlfn.XLOOKUP(ND68,'KPI Impacts'!$B$2:$H$2,'KPI Impacts'!$B68:$H68)</f>
        <v>0</v>
      </c>
      <c r="NH68" s="12">
        <f t="shared" si="496"/>
        <v>0</v>
      </c>
      <c r="NI68" s="12">
        <f t="shared" si="497"/>
        <v>0</v>
      </c>
      <c r="NJ68" s="12">
        <f t="shared" si="498"/>
        <v>0</v>
      </c>
      <c r="NK68" s="12">
        <f t="shared" si="499"/>
        <v>0</v>
      </c>
      <c r="NL68" s="12">
        <f t="shared" si="500"/>
        <v>0</v>
      </c>
      <c r="NM68" s="12">
        <f t="shared" si="501"/>
        <v>0</v>
      </c>
      <c r="NN68" s="12">
        <f t="shared" si="502"/>
        <v>0</v>
      </c>
      <c r="NO68" s="12">
        <f t="shared" si="503"/>
        <v>0</v>
      </c>
      <c r="NP68" s="12">
        <f t="shared" si="504"/>
        <v>0</v>
      </c>
      <c r="NR68" t="s">
        <v>1304</v>
      </c>
      <c r="NS68">
        <f>_xlfn.XLOOKUP(NR68,'KPI Impacts'!$B$2:$H$2,'KPI Impacts'!$B68:$H68)</f>
        <v>0</v>
      </c>
      <c r="NT68" s="9" t="s">
        <v>1304</v>
      </c>
      <c r="NU68">
        <f>_xlfn.XLOOKUP(NT68,'KPI Impacts'!$B$2:$H$2,'KPI Impacts'!$B68:$H68)</f>
        <v>0</v>
      </c>
      <c r="NX68" s="12">
        <f t="shared" si="505"/>
        <v>0</v>
      </c>
      <c r="NY68" s="12">
        <f t="shared" si="506"/>
        <v>0</v>
      </c>
      <c r="NZ68" s="12">
        <f t="shared" si="507"/>
        <v>0</v>
      </c>
      <c r="OA68" s="12">
        <f t="shared" si="508"/>
        <v>0</v>
      </c>
      <c r="OB68" s="12">
        <f t="shared" si="509"/>
        <v>0</v>
      </c>
      <c r="OC68" s="12">
        <f t="shared" si="510"/>
        <v>0</v>
      </c>
      <c r="OD68" s="12">
        <f t="shared" si="511"/>
        <v>0</v>
      </c>
      <c r="OE68" s="12">
        <f t="shared" si="512"/>
        <v>0</v>
      </c>
      <c r="OF68" s="12">
        <f t="shared" si="513"/>
        <v>0</v>
      </c>
      <c r="OH68" t="s">
        <v>1304</v>
      </c>
      <c r="OI68">
        <f>_xlfn.XLOOKUP(OH68,'KPI Impacts'!$B$2:$H$2,'KPI Impacts'!$B68:$H68)</f>
        <v>0</v>
      </c>
      <c r="OJ68" s="9" t="s">
        <v>1304</v>
      </c>
      <c r="OK68">
        <f>_xlfn.XLOOKUP(OJ68,'KPI Impacts'!$B$2:$H$2,'KPI Impacts'!$B68:$H68)</f>
        <v>0</v>
      </c>
    </row>
    <row r="69" spans="1:401" x14ac:dyDescent="0.2">
      <c r="A69" t="s">
        <v>50</v>
      </c>
      <c r="B69" s="12">
        <f t="shared" si="514"/>
        <v>0</v>
      </c>
      <c r="C69" s="12">
        <f t="shared" si="315"/>
        <v>0</v>
      </c>
      <c r="D69" s="12">
        <f t="shared" si="315"/>
        <v>0</v>
      </c>
      <c r="E69" s="12">
        <f t="shared" si="315"/>
        <v>0</v>
      </c>
      <c r="F69" s="12">
        <f t="shared" si="315"/>
        <v>0</v>
      </c>
      <c r="G69" s="12">
        <f t="shared" si="315"/>
        <v>0</v>
      </c>
      <c r="H69" s="12">
        <f t="shared" si="315"/>
        <v>0</v>
      </c>
      <c r="I69" s="12">
        <f t="shared" si="315"/>
        <v>0</v>
      </c>
      <c r="J69" s="12">
        <f t="shared" si="315"/>
        <v>0</v>
      </c>
      <c r="P69" s="12" cm="1">
        <f t="array" ref="P69">_xlfn.SWITCH(P$4, 0,0, 1, AA69,2,AC69,3,AE69,0)</f>
        <v>0</v>
      </c>
      <c r="Q69" s="12" cm="1">
        <f t="array" ref="Q69">_xlfn.SWITCH(Q$4, 0,0, 1, AA69,2,AC69,3,AE69,0)+P69</f>
        <v>0</v>
      </c>
      <c r="R69" s="12" cm="1">
        <f t="array" ref="R69">_xlfn.SWITCH(R$4, 0,0, 1, AA69,2,AC69,3,AE69,0)+Q69</f>
        <v>0</v>
      </c>
      <c r="S69" s="12" cm="1">
        <f t="array" ref="S69">_xlfn.SWITCH(S$4, 0,0, 1, AA69,2,AC69,3,AE69,0)+R69</f>
        <v>0</v>
      </c>
      <c r="T69" s="12" cm="1">
        <f t="array" ref="T69">_xlfn.SWITCH(T$4, 0,0, 1, AA69,2,AC69,3,AE69,0)+S69</f>
        <v>0</v>
      </c>
      <c r="U69" s="12" cm="1">
        <f t="array" ref="U69">_xlfn.SWITCH(U$4, 0,0, 1, AA69,2,AC69,3,AE69,0)+T69</f>
        <v>0</v>
      </c>
      <c r="V69" s="12" cm="1">
        <f t="array" ref="V69">_xlfn.SWITCH(V$4, 0,0, 1, AA69,2,AC69,3,AE69,0)+U69</f>
        <v>0</v>
      </c>
      <c r="W69" s="12" cm="1">
        <f t="array" ref="W69">_xlfn.SWITCH(W$4, 0,0, 1, AA69,2,AC69,3,AE69,0)+V69</f>
        <v>0</v>
      </c>
      <c r="X69" s="12" cm="1">
        <f t="array" ref="X69">_xlfn.SWITCH(X$4, 0,0, 1, AA69,2,AC69,3,AE69,0)+W69</f>
        <v>0</v>
      </c>
      <c r="Z69" t="s">
        <v>1304</v>
      </c>
      <c r="AA69">
        <f>_xlfn.XLOOKUP(Z69,'KPI Impacts'!$K$2:$Q$2,'KPI Impacts'!$K69:$Q69)</f>
        <v>0</v>
      </c>
      <c r="AB69" t="s">
        <v>1304</v>
      </c>
      <c r="AC69">
        <f>_xlfn.XLOOKUP(AB69,'KPI Impacts'!$K$2:$Q$2,'KPI Impacts'!$K69:$Q69)</f>
        <v>0</v>
      </c>
      <c r="AD69" t="s">
        <v>1304</v>
      </c>
      <c r="AE69">
        <f>_xlfn.XLOOKUP(AD69,'KPI Impacts'!$K$2:$Q$2,'KPI Impacts'!$K69:$Q69)</f>
        <v>0</v>
      </c>
      <c r="AH69" s="12" cm="1">
        <f t="array" ref="AH69">_xlfn.SWITCH(AH$4, 0,0, 1, AS69,2,AU69,3,AW69,0)</f>
        <v>0</v>
      </c>
      <c r="AI69" s="12" cm="1">
        <f t="array" ref="AI69">_xlfn.SWITCH(AI$4, 0,0, 1, AS69,2,AU69,3,AW69,0)+AH69</f>
        <v>0</v>
      </c>
      <c r="AJ69" s="12" cm="1">
        <f t="array" ref="AJ69">_xlfn.SWITCH(AJ$4, 0,0, 1, AS69,2,AU69,3,AW69,0)+AI69</f>
        <v>0</v>
      </c>
      <c r="AK69" s="12" cm="1">
        <f t="array" ref="AK69">_xlfn.SWITCH(AK$4, 0,0, 1, AS69,2,AU69,3,AW69,0)+AJ69</f>
        <v>0</v>
      </c>
      <c r="AL69" s="12" cm="1">
        <f t="array" ref="AL69">_xlfn.SWITCH(AL$4, 0,0, 1, AS69,2,AU69,3,AW69,0)+AK69</f>
        <v>0</v>
      </c>
      <c r="AM69" s="12" cm="1">
        <f t="array" ref="AM69">_xlfn.SWITCH(AM$4, 0,0, 1, AS69,2,AU69,3,AW69,0)+AL69</f>
        <v>0</v>
      </c>
      <c r="AN69" s="12" cm="1">
        <f t="array" ref="AN69">_xlfn.SWITCH(AN$4, 0,0, 1, AS69,2,AU69,3,AW69,0)+AM69</f>
        <v>0</v>
      </c>
      <c r="AO69" s="12" cm="1">
        <f t="array" ref="AO69">_xlfn.SWITCH(AO$4, 0,0, 1, AS69,2,AU69,3,AW69,0)+AN69</f>
        <v>0</v>
      </c>
      <c r="AP69" s="12" cm="1">
        <f t="array" ref="AP69">_xlfn.SWITCH(AP$4, 0,0, 1, AS69,2,AU69,3,AW69,0)+AO69</f>
        <v>0</v>
      </c>
      <c r="AR69" t="s">
        <v>1304</v>
      </c>
      <c r="AS69">
        <f>_xlfn.XLOOKUP(AR69,'KPI Impacts'!$K$2:$Q$2,'KPI Impacts'!$K69:$Q69)</f>
        <v>0</v>
      </c>
      <c r="AT69" t="s">
        <v>1304</v>
      </c>
      <c r="AU69">
        <f>_xlfn.XLOOKUP(AT69,'KPI Impacts'!$K$2:$Q$2,'KPI Impacts'!$K69:$Q69)</f>
        <v>0</v>
      </c>
      <c r="AV69" t="s">
        <v>1304</v>
      </c>
      <c r="AW69">
        <f>_xlfn.XLOOKUP(AV69,'KPI Impacts'!$K$2:$Q$2,'KPI Impacts'!$K69:$Q69)</f>
        <v>0</v>
      </c>
      <c r="AZ69" s="12">
        <f t="shared" si="316"/>
        <v>0</v>
      </c>
      <c r="BA69" s="12">
        <f t="shared" si="317"/>
        <v>0</v>
      </c>
      <c r="BB69" s="12">
        <f t="shared" si="318"/>
        <v>0</v>
      </c>
      <c r="BC69" s="12">
        <f t="shared" si="319"/>
        <v>0</v>
      </c>
      <c r="BD69" s="12">
        <f t="shared" si="320"/>
        <v>0</v>
      </c>
      <c r="BE69" s="12">
        <f t="shared" si="321"/>
        <v>0</v>
      </c>
      <c r="BF69" s="12">
        <f t="shared" si="322"/>
        <v>0</v>
      </c>
      <c r="BG69" s="12">
        <f t="shared" si="323"/>
        <v>0</v>
      </c>
      <c r="BH69" s="12">
        <f t="shared" si="324"/>
        <v>0</v>
      </c>
      <c r="BJ69" s="30" t="s">
        <v>1310</v>
      </c>
      <c r="BK69">
        <f>_xlfn.XLOOKUP(BJ69,'KPI Impacts'!$B$2:$H$2,'KPI Impacts'!$B69:$H69)</f>
        <v>4</v>
      </c>
      <c r="BL69" s="35" t="s">
        <v>1304</v>
      </c>
      <c r="BM69">
        <f>_xlfn.XLOOKUP(BL69,'KPI Impacts'!$B$2:$H$2,'KPI Impacts'!$B69:$H69)</f>
        <v>0</v>
      </c>
      <c r="BP69" s="12">
        <f t="shared" si="325"/>
        <v>0</v>
      </c>
      <c r="BQ69" s="12">
        <f t="shared" si="326"/>
        <v>0</v>
      </c>
      <c r="BR69" s="12">
        <f t="shared" si="327"/>
        <v>0</v>
      </c>
      <c r="BS69" s="12">
        <f t="shared" si="328"/>
        <v>0</v>
      </c>
      <c r="BT69" s="12">
        <f t="shared" si="329"/>
        <v>0</v>
      </c>
      <c r="BU69" s="12">
        <f t="shared" si="330"/>
        <v>0</v>
      </c>
      <c r="BV69" s="12">
        <f t="shared" si="331"/>
        <v>0</v>
      </c>
      <c r="BW69" s="12">
        <f t="shared" si="332"/>
        <v>0</v>
      </c>
      <c r="BX69" s="12">
        <f t="shared" si="333"/>
        <v>0</v>
      </c>
      <c r="BZ69" s="30" t="s">
        <v>1308</v>
      </c>
      <c r="CA69">
        <f>_xlfn.XLOOKUP(BZ69,'KPI Impacts'!$B$2:$H$2,'KPI Impacts'!$B69:$H69)</f>
        <v>2</v>
      </c>
      <c r="CB69" s="35" t="s">
        <v>1304</v>
      </c>
      <c r="CC69">
        <f>_xlfn.XLOOKUP(CB69,'KPI Impacts'!$B$2:$H$2,'KPI Impacts'!$B69:$H69)</f>
        <v>0</v>
      </c>
      <c r="CF69" s="12">
        <f t="shared" si="334"/>
        <v>0</v>
      </c>
      <c r="CG69" s="12">
        <f t="shared" si="335"/>
        <v>0</v>
      </c>
      <c r="CH69" s="12">
        <f t="shared" si="336"/>
        <v>0</v>
      </c>
      <c r="CI69" s="12">
        <f t="shared" si="337"/>
        <v>0</v>
      </c>
      <c r="CJ69" s="12">
        <f t="shared" si="338"/>
        <v>0</v>
      </c>
      <c r="CK69" s="12">
        <f t="shared" si="339"/>
        <v>0</v>
      </c>
      <c r="CL69" s="12">
        <f t="shared" si="340"/>
        <v>0</v>
      </c>
      <c r="CM69" s="12">
        <f t="shared" si="341"/>
        <v>0</v>
      </c>
      <c r="CN69" s="12">
        <f t="shared" si="342"/>
        <v>0</v>
      </c>
      <c r="CP69" s="16" t="s">
        <v>1304</v>
      </c>
      <c r="CQ69">
        <f>_xlfn.XLOOKUP(CP69,'KPI Impacts'!$B$2:$H$2,'KPI Impacts'!$B69:$H69)</f>
        <v>0</v>
      </c>
      <c r="CR69" s="35" t="s">
        <v>1304</v>
      </c>
      <c r="CS69">
        <f>_xlfn.XLOOKUP(CR69,'KPI Impacts'!$B$2:$H$2,'KPI Impacts'!$B69:$H69)</f>
        <v>0</v>
      </c>
      <c r="CV69" s="12">
        <f t="shared" si="343"/>
        <v>0</v>
      </c>
      <c r="CW69" s="12">
        <f t="shared" si="344"/>
        <v>0</v>
      </c>
      <c r="CX69" s="12">
        <f t="shared" si="345"/>
        <v>0</v>
      </c>
      <c r="CY69" s="12">
        <f t="shared" si="346"/>
        <v>0</v>
      </c>
      <c r="CZ69" s="12">
        <f t="shared" si="347"/>
        <v>0</v>
      </c>
      <c r="DA69" s="12">
        <f t="shared" si="348"/>
        <v>0</v>
      </c>
      <c r="DB69" s="12">
        <f t="shared" si="349"/>
        <v>0</v>
      </c>
      <c r="DC69" s="12">
        <f t="shared" si="350"/>
        <v>0</v>
      </c>
      <c r="DD69" s="12">
        <f t="shared" si="351"/>
        <v>0</v>
      </c>
      <c r="DF69" s="30" t="s">
        <v>1310</v>
      </c>
      <c r="DG69">
        <f>_xlfn.XLOOKUP(DF69,'KPI Impacts'!$B$2:$H$2,'KPI Impacts'!$B69:$H69)</f>
        <v>4</v>
      </c>
      <c r="DH69" s="35" t="s">
        <v>1304</v>
      </c>
      <c r="DI69">
        <f>_xlfn.XLOOKUP(DH69,'KPI Impacts'!$B$2:$H$2,'KPI Impacts'!$B69:$H69)</f>
        <v>0</v>
      </c>
      <c r="DL69" s="12">
        <f t="shared" si="352"/>
        <v>0</v>
      </c>
      <c r="DM69" s="12">
        <f t="shared" si="353"/>
        <v>0</v>
      </c>
      <c r="DN69" s="12">
        <f t="shared" si="354"/>
        <v>0</v>
      </c>
      <c r="DO69" s="12">
        <f t="shared" si="355"/>
        <v>0</v>
      </c>
      <c r="DP69" s="12">
        <f t="shared" si="356"/>
        <v>0</v>
      </c>
      <c r="DQ69" s="12">
        <f t="shared" si="357"/>
        <v>0</v>
      </c>
      <c r="DR69" s="12">
        <f t="shared" si="358"/>
        <v>0</v>
      </c>
      <c r="DS69" s="12">
        <f t="shared" si="359"/>
        <v>0</v>
      </c>
      <c r="DT69" s="12">
        <f t="shared" si="360"/>
        <v>0</v>
      </c>
      <c r="DV69" s="30" t="s">
        <v>1308</v>
      </c>
      <c r="DW69">
        <f>_xlfn.XLOOKUP(DV69,'KPI Impacts'!$B$2:$H$2,'KPI Impacts'!$B69:$H69)</f>
        <v>2</v>
      </c>
      <c r="DX69" s="35" t="s">
        <v>1304</v>
      </c>
      <c r="DY69">
        <f>_xlfn.XLOOKUP(DX69,'KPI Impacts'!$B$2:$H$2,'KPI Impacts'!$B69:$H69)</f>
        <v>0</v>
      </c>
      <c r="EB69" s="12">
        <f t="shared" si="361"/>
        <v>0</v>
      </c>
      <c r="EC69" s="12">
        <f t="shared" si="362"/>
        <v>0</v>
      </c>
      <c r="ED69" s="12">
        <f t="shared" si="363"/>
        <v>0</v>
      </c>
      <c r="EE69" s="12">
        <f t="shared" si="364"/>
        <v>0</v>
      </c>
      <c r="EF69" s="12">
        <f t="shared" si="365"/>
        <v>0</v>
      </c>
      <c r="EG69" s="12">
        <f t="shared" si="366"/>
        <v>0</v>
      </c>
      <c r="EH69" s="12">
        <f t="shared" si="367"/>
        <v>0</v>
      </c>
      <c r="EI69" s="12">
        <f t="shared" si="368"/>
        <v>0</v>
      </c>
      <c r="EJ69" s="12">
        <f t="shared" si="369"/>
        <v>0</v>
      </c>
      <c r="EL69" s="16" t="s">
        <v>1304</v>
      </c>
      <c r="EM69">
        <f>_xlfn.XLOOKUP(EL69,'KPI Impacts'!$B$2:$H$2,'KPI Impacts'!$B69:$H69)</f>
        <v>0</v>
      </c>
      <c r="EN69" s="35" t="s">
        <v>1304</v>
      </c>
      <c r="EO69">
        <f>_xlfn.XLOOKUP(EN69,'KPI Impacts'!$B$2:$H$2,'KPI Impacts'!$B69:$H69)</f>
        <v>0</v>
      </c>
      <c r="ER69" s="12">
        <f t="shared" si="370"/>
        <v>0</v>
      </c>
      <c r="ES69" s="12">
        <f t="shared" si="371"/>
        <v>0</v>
      </c>
      <c r="ET69" s="12">
        <f t="shared" si="372"/>
        <v>0</v>
      </c>
      <c r="EU69" s="12">
        <f t="shared" si="373"/>
        <v>0</v>
      </c>
      <c r="EV69" s="12">
        <f t="shared" si="374"/>
        <v>0</v>
      </c>
      <c r="EW69" s="12">
        <f t="shared" si="375"/>
        <v>0</v>
      </c>
      <c r="EX69" s="12">
        <f t="shared" si="376"/>
        <v>0</v>
      </c>
      <c r="EY69" s="12">
        <f t="shared" si="377"/>
        <v>0</v>
      </c>
      <c r="EZ69" s="12">
        <f t="shared" si="378"/>
        <v>0</v>
      </c>
      <c r="FB69" s="16" t="s">
        <v>1304</v>
      </c>
      <c r="FC69">
        <f>_xlfn.XLOOKUP(FB69,'KPI Impacts'!$B$2:$H$2,'KPI Impacts'!$B69:$H69)</f>
        <v>0</v>
      </c>
      <c r="FD69" s="35" t="s">
        <v>1304</v>
      </c>
      <c r="FE69">
        <f>_xlfn.XLOOKUP(FD69,'KPI Impacts'!$B$2:$H$2,'KPI Impacts'!$B69:$H69)</f>
        <v>0</v>
      </c>
      <c r="FH69" s="12">
        <f t="shared" si="379"/>
        <v>0</v>
      </c>
      <c r="FI69" s="12">
        <f t="shared" si="380"/>
        <v>0</v>
      </c>
      <c r="FJ69" s="12">
        <f t="shared" si="381"/>
        <v>0</v>
      </c>
      <c r="FK69" s="12">
        <f t="shared" si="382"/>
        <v>0</v>
      </c>
      <c r="FL69" s="12">
        <f t="shared" si="383"/>
        <v>0</v>
      </c>
      <c r="FM69" s="12">
        <f t="shared" si="384"/>
        <v>0</v>
      </c>
      <c r="FN69" s="12">
        <f t="shared" si="385"/>
        <v>0</v>
      </c>
      <c r="FO69" s="12">
        <f t="shared" si="386"/>
        <v>0</v>
      </c>
      <c r="FP69" s="12">
        <f t="shared" si="387"/>
        <v>0</v>
      </c>
      <c r="FR69" s="16" t="s">
        <v>1304</v>
      </c>
      <c r="FS69">
        <f>_xlfn.XLOOKUP(FR69,'KPI Impacts'!$B$2:$H$2,'KPI Impacts'!$B69:$H69)</f>
        <v>0</v>
      </c>
      <c r="FT69" s="9" t="s">
        <v>1304</v>
      </c>
      <c r="FU69">
        <f>_xlfn.XLOOKUP(FT69,'KPI Impacts'!$B$2:$H$2,'KPI Impacts'!$B69:$H69)</f>
        <v>0</v>
      </c>
      <c r="FX69" s="12">
        <f t="shared" si="388"/>
        <v>0</v>
      </c>
      <c r="FY69" s="12">
        <f t="shared" si="389"/>
        <v>0</v>
      </c>
      <c r="FZ69" s="12">
        <f t="shared" si="390"/>
        <v>0</v>
      </c>
      <c r="GA69" s="12">
        <f t="shared" si="391"/>
        <v>0</v>
      </c>
      <c r="GB69" s="12">
        <f t="shared" si="392"/>
        <v>0</v>
      </c>
      <c r="GC69" s="12">
        <f t="shared" si="393"/>
        <v>0</v>
      </c>
      <c r="GD69" s="12">
        <f t="shared" si="394"/>
        <v>0</v>
      </c>
      <c r="GE69" s="12">
        <f t="shared" si="395"/>
        <v>0</v>
      </c>
      <c r="GF69" s="12">
        <f t="shared" si="396"/>
        <v>0</v>
      </c>
      <c r="GH69" s="30" t="s">
        <v>1310</v>
      </c>
      <c r="GI69">
        <f>_xlfn.XLOOKUP(GH69,'KPI Impacts'!$B$2:$H$2,'KPI Impacts'!$B69:$H69)</f>
        <v>4</v>
      </c>
      <c r="GJ69" s="9" t="s">
        <v>1304</v>
      </c>
      <c r="GK69">
        <f>_xlfn.XLOOKUP(GJ69,'KPI Impacts'!$B$2:$H$2,'KPI Impacts'!$B69:$H69)</f>
        <v>0</v>
      </c>
      <c r="GN69" s="12">
        <f t="shared" si="397"/>
        <v>0</v>
      </c>
      <c r="GO69" s="12">
        <f t="shared" si="398"/>
        <v>0</v>
      </c>
      <c r="GP69" s="12">
        <f t="shared" si="399"/>
        <v>0</v>
      </c>
      <c r="GQ69" s="12">
        <f t="shared" si="400"/>
        <v>0</v>
      </c>
      <c r="GR69" s="12">
        <f t="shared" si="401"/>
        <v>0</v>
      </c>
      <c r="GS69" s="12">
        <f t="shared" si="402"/>
        <v>0</v>
      </c>
      <c r="GT69" s="12">
        <f t="shared" si="403"/>
        <v>0</v>
      </c>
      <c r="GU69" s="12">
        <f t="shared" si="404"/>
        <v>0</v>
      </c>
      <c r="GV69" s="12">
        <f t="shared" si="405"/>
        <v>0</v>
      </c>
      <c r="GX69" s="16" t="s">
        <v>1304</v>
      </c>
      <c r="GY69">
        <f>_xlfn.XLOOKUP(GX69,'KPI Impacts'!$B$2:$H$2,'KPI Impacts'!$B69:$H69)</f>
        <v>0</v>
      </c>
      <c r="GZ69" s="9" t="s">
        <v>1304</v>
      </c>
      <c r="HA69">
        <f>_xlfn.XLOOKUP(GZ69,'KPI Impacts'!$B$2:$H$2,'KPI Impacts'!$B69:$H69)</f>
        <v>0</v>
      </c>
      <c r="HD69" s="12">
        <f t="shared" si="406"/>
        <v>0</v>
      </c>
      <c r="HE69" s="12">
        <f t="shared" si="407"/>
        <v>0</v>
      </c>
      <c r="HF69" s="12">
        <f t="shared" si="408"/>
        <v>0</v>
      </c>
      <c r="HG69" s="12">
        <f t="shared" si="409"/>
        <v>0</v>
      </c>
      <c r="HH69" s="12">
        <f t="shared" si="410"/>
        <v>0</v>
      </c>
      <c r="HI69" s="12">
        <f t="shared" si="411"/>
        <v>0</v>
      </c>
      <c r="HJ69" s="12">
        <f t="shared" si="412"/>
        <v>0</v>
      </c>
      <c r="HK69" s="12">
        <f t="shared" si="413"/>
        <v>0</v>
      </c>
      <c r="HL69" s="12">
        <f t="shared" si="414"/>
        <v>0</v>
      </c>
      <c r="HN69" t="s">
        <v>1304</v>
      </c>
      <c r="HO69">
        <f>_xlfn.XLOOKUP(HN69,'KPI Impacts'!$B$2:$H$2,'KPI Impacts'!$B69:$H69)</f>
        <v>0</v>
      </c>
      <c r="HP69" s="9" t="s">
        <v>1304</v>
      </c>
      <c r="HQ69">
        <f>_xlfn.XLOOKUP(HP69,'KPI Impacts'!$B$2:$H$2,'KPI Impacts'!$B69:$H69)</f>
        <v>0</v>
      </c>
      <c r="HT69" s="12">
        <f t="shared" si="415"/>
        <v>0</v>
      </c>
      <c r="HU69" s="12">
        <f t="shared" si="416"/>
        <v>0</v>
      </c>
      <c r="HV69" s="12">
        <f t="shared" si="417"/>
        <v>0</v>
      </c>
      <c r="HW69" s="12">
        <f t="shared" si="418"/>
        <v>0</v>
      </c>
      <c r="HX69" s="12">
        <f t="shared" si="419"/>
        <v>0</v>
      </c>
      <c r="HY69" s="12">
        <f t="shared" si="420"/>
        <v>0</v>
      </c>
      <c r="HZ69" s="12">
        <f t="shared" si="421"/>
        <v>0</v>
      </c>
      <c r="IA69" s="12">
        <f t="shared" si="422"/>
        <v>0</v>
      </c>
      <c r="IB69" s="12">
        <f t="shared" si="423"/>
        <v>0</v>
      </c>
      <c r="ID69" t="s">
        <v>1304</v>
      </c>
      <c r="IE69">
        <f>_xlfn.XLOOKUP(ID69,'KPI Impacts'!$B$2:$H$2,'KPI Impacts'!$B69:$H69)</f>
        <v>0</v>
      </c>
      <c r="IF69" s="9" t="s">
        <v>1304</v>
      </c>
      <c r="IG69">
        <f>_xlfn.XLOOKUP(IF69,'KPI Impacts'!$B$2:$H$2,'KPI Impacts'!$B69:$H69)</f>
        <v>0</v>
      </c>
      <c r="IJ69" s="12">
        <f t="shared" si="424"/>
        <v>0</v>
      </c>
      <c r="IK69" s="12">
        <f t="shared" si="425"/>
        <v>0</v>
      </c>
      <c r="IL69" s="12">
        <f t="shared" si="426"/>
        <v>0</v>
      </c>
      <c r="IM69" s="12">
        <f t="shared" si="427"/>
        <v>0</v>
      </c>
      <c r="IN69" s="12">
        <f t="shared" si="428"/>
        <v>0</v>
      </c>
      <c r="IO69" s="12">
        <f t="shared" si="429"/>
        <v>0</v>
      </c>
      <c r="IP69" s="12">
        <f t="shared" si="430"/>
        <v>0</v>
      </c>
      <c r="IQ69" s="12">
        <f t="shared" si="431"/>
        <v>0</v>
      </c>
      <c r="IR69" s="12">
        <f t="shared" si="432"/>
        <v>0</v>
      </c>
      <c r="IT69" t="s">
        <v>1304</v>
      </c>
      <c r="IU69">
        <f>_xlfn.XLOOKUP(IT69,'KPI Impacts'!$B$2:$H$2,'KPI Impacts'!$B69:$H69)</f>
        <v>0</v>
      </c>
      <c r="IV69" s="9" t="s">
        <v>1304</v>
      </c>
      <c r="IW69">
        <f>_xlfn.XLOOKUP(IV69,'KPI Impacts'!$B$2:$H$2,'KPI Impacts'!$B69:$H69)</f>
        <v>0</v>
      </c>
      <c r="IZ69" s="12">
        <f t="shared" si="433"/>
        <v>0</v>
      </c>
      <c r="JA69" s="12">
        <f t="shared" si="434"/>
        <v>0</v>
      </c>
      <c r="JB69" s="12">
        <f t="shared" si="435"/>
        <v>0</v>
      </c>
      <c r="JC69" s="12">
        <f t="shared" si="436"/>
        <v>0</v>
      </c>
      <c r="JD69" s="12">
        <f t="shared" si="437"/>
        <v>0</v>
      </c>
      <c r="JE69" s="12">
        <f t="shared" si="438"/>
        <v>0</v>
      </c>
      <c r="JF69" s="12">
        <f t="shared" si="439"/>
        <v>0</v>
      </c>
      <c r="JG69" s="12">
        <f t="shared" si="440"/>
        <v>0</v>
      </c>
      <c r="JH69" s="12">
        <f t="shared" si="441"/>
        <v>0</v>
      </c>
      <c r="JJ69" t="s">
        <v>1304</v>
      </c>
      <c r="JK69">
        <f>_xlfn.XLOOKUP(JJ69,'KPI Impacts'!$B$2:$H$2,'KPI Impacts'!$B69:$H69)</f>
        <v>0</v>
      </c>
      <c r="JL69" s="9" t="s">
        <v>1304</v>
      </c>
      <c r="JM69">
        <f>_xlfn.XLOOKUP(JL69,'KPI Impacts'!$B$2:$H$2,'KPI Impacts'!$B69:$H69)</f>
        <v>0</v>
      </c>
      <c r="JP69" s="12">
        <f t="shared" si="442"/>
        <v>0</v>
      </c>
      <c r="JQ69" s="12">
        <f t="shared" si="443"/>
        <v>0</v>
      </c>
      <c r="JR69" s="12">
        <f t="shared" si="444"/>
        <v>0</v>
      </c>
      <c r="JS69" s="12">
        <f t="shared" si="445"/>
        <v>0</v>
      </c>
      <c r="JT69" s="12">
        <f t="shared" si="446"/>
        <v>0</v>
      </c>
      <c r="JU69" s="12">
        <f t="shared" si="447"/>
        <v>0</v>
      </c>
      <c r="JV69" s="12">
        <f t="shared" si="448"/>
        <v>0</v>
      </c>
      <c r="JW69" s="12">
        <f t="shared" si="449"/>
        <v>0</v>
      </c>
      <c r="JX69" s="12">
        <f t="shared" si="450"/>
        <v>0</v>
      </c>
      <c r="JZ69" t="s">
        <v>1304</v>
      </c>
      <c r="KA69">
        <f>_xlfn.XLOOKUP(JZ69,'KPI Impacts'!$B$2:$H$2,'KPI Impacts'!$B69:$H69)</f>
        <v>0</v>
      </c>
      <c r="KB69" s="9" t="s">
        <v>1304</v>
      </c>
      <c r="KC69">
        <f>_xlfn.XLOOKUP(KB69,'KPI Impacts'!$B$2:$H$2,'KPI Impacts'!$B69:$H69)</f>
        <v>0</v>
      </c>
      <c r="KF69" s="12">
        <f t="shared" si="451"/>
        <v>0</v>
      </c>
      <c r="KG69" s="12">
        <f t="shared" si="452"/>
        <v>0</v>
      </c>
      <c r="KH69" s="12">
        <f t="shared" si="453"/>
        <v>0</v>
      </c>
      <c r="KI69" s="12">
        <f t="shared" si="454"/>
        <v>0</v>
      </c>
      <c r="KJ69" s="12">
        <f t="shared" si="455"/>
        <v>0</v>
      </c>
      <c r="KK69" s="12">
        <f t="shared" si="456"/>
        <v>0</v>
      </c>
      <c r="KL69" s="12">
        <f t="shared" si="457"/>
        <v>0</v>
      </c>
      <c r="KM69" s="12">
        <f t="shared" si="458"/>
        <v>0</v>
      </c>
      <c r="KN69" s="12">
        <f t="shared" si="459"/>
        <v>0</v>
      </c>
      <c r="KP69" t="s">
        <v>1304</v>
      </c>
      <c r="KQ69">
        <f>_xlfn.XLOOKUP(KP69,'KPI Impacts'!$B$2:$H$2,'KPI Impacts'!$B69:$H69)</f>
        <v>0</v>
      </c>
      <c r="KR69" s="9" t="s">
        <v>1304</v>
      </c>
      <c r="KS69">
        <f>_xlfn.XLOOKUP(KR69,'KPI Impacts'!$B$2:$H$2,'KPI Impacts'!$B69:$H69)</f>
        <v>0</v>
      </c>
      <c r="KV69" s="12">
        <f t="shared" si="460"/>
        <v>0</v>
      </c>
      <c r="KW69" s="12">
        <f t="shared" si="461"/>
        <v>0</v>
      </c>
      <c r="KX69" s="12">
        <f t="shared" si="462"/>
        <v>0</v>
      </c>
      <c r="KY69" s="12">
        <f t="shared" si="463"/>
        <v>0</v>
      </c>
      <c r="KZ69" s="12">
        <f t="shared" si="464"/>
        <v>0</v>
      </c>
      <c r="LA69" s="12">
        <f t="shared" si="465"/>
        <v>0</v>
      </c>
      <c r="LB69" s="12">
        <f t="shared" si="466"/>
        <v>0</v>
      </c>
      <c r="LC69" s="12">
        <f t="shared" si="467"/>
        <v>0</v>
      </c>
      <c r="LD69" s="12">
        <f t="shared" si="468"/>
        <v>0</v>
      </c>
      <c r="LF69" t="s">
        <v>1304</v>
      </c>
      <c r="LG69">
        <f>_xlfn.XLOOKUP(LF69,'KPI Impacts'!$B$2:$H$2,'KPI Impacts'!$B69:$H69)</f>
        <v>0</v>
      </c>
      <c r="LH69" s="9" t="s">
        <v>1304</v>
      </c>
      <c r="LI69">
        <f>_xlfn.XLOOKUP(LH69,'KPI Impacts'!$B$2:$H$2,'KPI Impacts'!$B69:$H69)</f>
        <v>0</v>
      </c>
      <c r="LL69" s="12">
        <f t="shared" si="469"/>
        <v>0</v>
      </c>
      <c r="LM69" s="12">
        <f t="shared" si="470"/>
        <v>0</v>
      </c>
      <c r="LN69" s="12">
        <f t="shared" si="471"/>
        <v>0</v>
      </c>
      <c r="LO69" s="12">
        <f t="shared" si="472"/>
        <v>0</v>
      </c>
      <c r="LP69" s="12">
        <f t="shared" si="473"/>
        <v>0</v>
      </c>
      <c r="LQ69" s="12">
        <f t="shared" si="474"/>
        <v>0</v>
      </c>
      <c r="LR69" s="12">
        <f t="shared" si="475"/>
        <v>0</v>
      </c>
      <c r="LS69" s="12">
        <f t="shared" si="476"/>
        <v>0</v>
      </c>
      <c r="LT69" s="12">
        <f t="shared" si="477"/>
        <v>0</v>
      </c>
      <c r="LV69" t="s">
        <v>1304</v>
      </c>
      <c r="LW69">
        <f>_xlfn.XLOOKUP(LV69,'KPI Impacts'!$B$2:$H$2,'KPI Impacts'!$B69:$H69)</f>
        <v>0</v>
      </c>
      <c r="LX69" s="9" t="s">
        <v>1304</v>
      </c>
      <c r="LY69">
        <f>_xlfn.XLOOKUP(LX69,'KPI Impacts'!$B$2:$H$2,'KPI Impacts'!$B69:$H69)</f>
        <v>0</v>
      </c>
      <c r="MB69" s="12">
        <f t="shared" si="478"/>
        <v>0</v>
      </c>
      <c r="MC69" s="12">
        <f t="shared" si="479"/>
        <v>0</v>
      </c>
      <c r="MD69" s="12">
        <f t="shared" si="480"/>
        <v>0</v>
      </c>
      <c r="ME69" s="12">
        <f t="shared" si="481"/>
        <v>0</v>
      </c>
      <c r="MF69" s="12">
        <f t="shared" si="482"/>
        <v>0</v>
      </c>
      <c r="MG69" s="12">
        <f t="shared" si="483"/>
        <v>0</v>
      </c>
      <c r="MH69" s="12">
        <f t="shared" si="484"/>
        <v>0</v>
      </c>
      <c r="MI69" s="12">
        <f t="shared" si="485"/>
        <v>0</v>
      </c>
      <c r="MJ69" s="12">
        <f t="shared" si="486"/>
        <v>0</v>
      </c>
      <c r="ML69" t="s">
        <v>1304</v>
      </c>
      <c r="MM69">
        <f>_xlfn.XLOOKUP(ML69,'KPI Impacts'!$B$2:$H$2,'KPI Impacts'!$B69:$H69)</f>
        <v>0</v>
      </c>
      <c r="MN69" s="9" t="s">
        <v>1304</v>
      </c>
      <c r="MO69">
        <f>_xlfn.XLOOKUP(MN69,'KPI Impacts'!$B$2:$H$2,'KPI Impacts'!$B69:$H69)</f>
        <v>0</v>
      </c>
      <c r="MR69" s="12">
        <f t="shared" si="487"/>
        <v>0</v>
      </c>
      <c r="MS69" s="12">
        <f t="shared" si="488"/>
        <v>0</v>
      </c>
      <c r="MT69" s="12">
        <f t="shared" si="489"/>
        <v>0</v>
      </c>
      <c r="MU69" s="12">
        <f t="shared" si="490"/>
        <v>0</v>
      </c>
      <c r="MV69" s="12">
        <f t="shared" si="491"/>
        <v>0</v>
      </c>
      <c r="MW69" s="12">
        <f t="shared" si="492"/>
        <v>0</v>
      </c>
      <c r="MX69" s="12">
        <f t="shared" si="493"/>
        <v>0</v>
      </c>
      <c r="MY69" s="12">
        <f t="shared" si="494"/>
        <v>0</v>
      </c>
      <c r="MZ69" s="12">
        <f t="shared" si="495"/>
        <v>0</v>
      </c>
      <c r="NB69" t="s">
        <v>1304</v>
      </c>
      <c r="NC69">
        <f>_xlfn.XLOOKUP(NB69,'KPI Impacts'!$B$2:$H$2,'KPI Impacts'!$B69:$H69)</f>
        <v>0</v>
      </c>
      <c r="ND69" s="9" t="s">
        <v>1304</v>
      </c>
      <c r="NE69">
        <f>_xlfn.XLOOKUP(ND69,'KPI Impacts'!$B$2:$H$2,'KPI Impacts'!$B69:$H69)</f>
        <v>0</v>
      </c>
      <c r="NH69" s="12">
        <f t="shared" si="496"/>
        <v>0</v>
      </c>
      <c r="NI69" s="12">
        <f t="shared" si="497"/>
        <v>0</v>
      </c>
      <c r="NJ69" s="12">
        <f t="shared" si="498"/>
        <v>0</v>
      </c>
      <c r="NK69" s="12">
        <f t="shared" si="499"/>
        <v>0</v>
      </c>
      <c r="NL69" s="12">
        <f t="shared" si="500"/>
        <v>0</v>
      </c>
      <c r="NM69" s="12">
        <f t="shared" si="501"/>
        <v>0</v>
      </c>
      <c r="NN69" s="12">
        <f t="shared" si="502"/>
        <v>0</v>
      </c>
      <c r="NO69" s="12">
        <f t="shared" si="503"/>
        <v>0</v>
      </c>
      <c r="NP69" s="12">
        <f t="shared" si="504"/>
        <v>0</v>
      </c>
      <c r="NR69" t="s">
        <v>1304</v>
      </c>
      <c r="NS69">
        <f>_xlfn.XLOOKUP(NR69,'KPI Impacts'!$B$2:$H$2,'KPI Impacts'!$B69:$H69)</f>
        <v>0</v>
      </c>
      <c r="NT69" s="9" t="s">
        <v>1304</v>
      </c>
      <c r="NU69">
        <f>_xlfn.XLOOKUP(NT69,'KPI Impacts'!$B$2:$H$2,'KPI Impacts'!$B69:$H69)</f>
        <v>0</v>
      </c>
      <c r="NX69" s="12">
        <f t="shared" si="505"/>
        <v>0</v>
      </c>
      <c r="NY69" s="12">
        <f t="shared" si="506"/>
        <v>0</v>
      </c>
      <c r="NZ69" s="12">
        <f t="shared" si="507"/>
        <v>0</v>
      </c>
      <c r="OA69" s="12">
        <f t="shared" si="508"/>
        <v>0</v>
      </c>
      <c r="OB69" s="12">
        <f t="shared" si="509"/>
        <v>0</v>
      </c>
      <c r="OC69" s="12">
        <f t="shared" si="510"/>
        <v>0</v>
      </c>
      <c r="OD69" s="12">
        <f t="shared" si="511"/>
        <v>0</v>
      </c>
      <c r="OE69" s="12">
        <f t="shared" si="512"/>
        <v>0</v>
      </c>
      <c r="OF69" s="12">
        <f t="shared" si="513"/>
        <v>0</v>
      </c>
      <c r="OH69" t="s">
        <v>1304</v>
      </c>
      <c r="OI69">
        <f>_xlfn.XLOOKUP(OH69,'KPI Impacts'!$B$2:$H$2,'KPI Impacts'!$B69:$H69)</f>
        <v>0</v>
      </c>
      <c r="OJ69" s="9" t="s">
        <v>1304</v>
      </c>
      <c r="OK69">
        <f>_xlfn.XLOOKUP(OJ69,'KPI Impacts'!$B$2:$H$2,'KPI Impacts'!$B69:$H69)</f>
        <v>0</v>
      </c>
    </row>
    <row r="70" spans="1:401" x14ac:dyDescent="0.2">
      <c r="B70" s="12"/>
      <c r="C70" s="12"/>
      <c r="D70" s="12"/>
      <c r="E70" s="12"/>
      <c r="F70" s="12"/>
      <c r="G70" s="12"/>
      <c r="H70" s="12"/>
      <c r="I70" s="12"/>
      <c r="J70" s="12"/>
      <c r="P70" s="12"/>
      <c r="Q70" s="12"/>
      <c r="R70" s="12"/>
      <c r="S70" s="12"/>
      <c r="T70" s="12"/>
      <c r="U70" s="12"/>
      <c r="V70" s="12"/>
      <c r="W70" s="12"/>
      <c r="X70" s="12"/>
      <c r="AH70" s="12"/>
      <c r="AI70" s="12"/>
      <c r="AJ70" s="12"/>
      <c r="AK70" s="12"/>
      <c r="AL70" s="12"/>
      <c r="AM70" s="12"/>
      <c r="AN70" s="12"/>
      <c r="AO70" s="12"/>
      <c r="AP70" s="12"/>
      <c r="AZ70" s="12"/>
      <c r="BA70" s="12"/>
      <c r="BB70" s="12"/>
      <c r="BC70" s="12"/>
      <c r="BD70" s="12"/>
      <c r="BE70" s="12"/>
      <c r="BF70" s="12"/>
      <c r="BG70" s="12"/>
      <c r="BH70" s="12"/>
      <c r="BJ70" s="16"/>
      <c r="BL70" s="35"/>
      <c r="BP70" s="12"/>
      <c r="BQ70" s="12"/>
      <c r="BR70" s="12"/>
      <c r="BS70" s="12"/>
      <c r="BT70" s="12"/>
      <c r="BU70" s="12"/>
      <c r="BV70" s="12"/>
      <c r="BW70" s="12"/>
      <c r="BX70" s="12"/>
      <c r="BZ70" s="16"/>
      <c r="CB70" s="35"/>
      <c r="CF70" s="12"/>
      <c r="CG70" s="12"/>
      <c r="CH70" s="12"/>
      <c r="CI70" s="12"/>
      <c r="CJ70" s="12"/>
      <c r="CK70" s="12"/>
      <c r="CL70" s="12"/>
      <c r="CM70" s="12"/>
      <c r="CN70" s="12"/>
      <c r="CP70" s="16"/>
      <c r="CR70" s="35"/>
      <c r="CV70" s="12"/>
      <c r="CW70" s="12"/>
      <c r="CX70" s="12"/>
      <c r="CY70" s="12"/>
      <c r="CZ70" s="12"/>
      <c r="DA70" s="12"/>
      <c r="DB70" s="12"/>
      <c r="DC70" s="12"/>
      <c r="DD70" s="12"/>
      <c r="DF70" s="16"/>
      <c r="DH70" s="35"/>
      <c r="DL70" s="12"/>
      <c r="DM70" s="12"/>
      <c r="DN70" s="12"/>
      <c r="DO70" s="12"/>
      <c r="DP70" s="12"/>
      <c r="DQ70" s="12"/>
      <c r="DR70" s="12"/>
      <c r="DS70" s="12"/>
      <c r="DT70" s="12"/>
      <c r="DV70" s="16"/>
      <c r="DX70" s="35"/>
      <c r="EB70" s="12"/>
      <c r="EC70" s="12"/>
      <c r="ED70" s="12"/>
      <c r="EE70" s="12"/>
      <c r="EF70" s="12"/>
      <c r="EG70" s="12"/>
      <c r="EH70" s="12"/>
      <c r="EI70" s="12"/>
      <c r="EJ70" s="12"/>
      <c r="EL70" s="16"/>
      <c r="EN70" s="35"/>
      <c r="ER70" s="12"/>
      <c r="ES70" s="12"/>
      <c r="ET70" s="12"/>
      <c r="EU70" s="12"/>
      <c r="EV70" s="12"/>
      <c r="EW70" s="12"/>
      <c r="EX70" s="12"/>
      <c r="EY70" s="12"/>
      <c r="EZ70" s="12"/>
      <c r="FB70" s="16"/>
      <c r="FD70" s="35"/>
      <c r="FH70" s="12"/>
      <c r="FI70" s="12"/>
      <c r="FJ70" s="12"/>
      <c r="FK70" s="12"/>
      <c r="FL70" s="12"/>
      <c r="FM70" s="12"/>
      <c r="FN70" s="12"/>
      <c r="FO70" s="12"/>
      <c r="FP70" s="12"/>
      <c r="FR70" s="16"/>
      <c r="FT70" s="9"/>
      <c r="FX70" s="12"/>
      <c r="FY70" s="12"/>
      <c r="FZ70" s="12"/>
      <c r="GA70" s="12"/>
      <c r="GB70" s="12"/>
      <c r="GC70" s="12"/>
      <c r="GD70" s="12"/>
      <c r="GE70" s="12"/>
      <c r="GF70" s="12"/>
      <c r="GH70" s="16"/>
      <c r="GJ70" s="9"/>
      <c r="GN70" s="12"/>
      <c r="GO70" s="12"/>
      <c r="GP70" s="12"/>
      <c r="GQ70" s="12"/>
      <c r="GR70" s="12"/>
      <c r="GS70" s="12"/>
      <c r="GT70" s="12"/>
      <c r="GU70" s="12"/>
      <c r="GV70" s="12"/>
      <c r="GX70" s="16"/>
      <c r="GZ70" s="9"/>
      <c r="HD70" s="12"/>
      <c r="HE70" s="12"/>
      <c r="HF70" s="12"/>
      <c r="HG70" s="12"/>
      <c r="HH70" s="12"/>
      <c r="HI70" s="12"/>
      <c r="HJ70" s="12"/>
      <c r="HK70" s="12"/>
      <c r="HL70" s="12"/>
      <c r="HP70" s="9"/>
      <c r="HT70" s="12"/>
      <c r="HU70" s="12"/>
      <c r="HV70" s="12"/>
      <c r="HW70" s="12"/>
      <c r="HX70" s="12"/>
      <c r="HY70" s="12"/>
      <c r="HZ70" s="12"/>
      <c r="IA70" s="12"/>
      <c r="IB70" s="12"/>
      <c r="IF70" s="9"/>
      <c r="IJ70" s="12"/>
      <c r="IK70" s="12"/>
      <c r="IL70" s="12"/>
      <c r="IM70" s="12"/>
      <c r="IN70" s="12"/>
      <c r="IO70" s="12"/>
      <c r="IP70" s="12"/>
      <c r="IQ70" s="12"/>
      <c r="IR70" s="12"/>
      <c r="IV70" s="9"/>
      <c r="IZ70" s="12"/>
      <c r="JA70" s="12"/>
      <c r="JB70" s="12"/>
      <c r="JC70" s="12"/>
      <c r="JD70" s="12"/>
      <c r="JE70" s="12"/>
      <c r="JF70" s="12"/>
      <c r="JG70" s="12"/>
      <c r="JH70" s="12"/>
      <c r="JL70" s="9"/>
      <c r="JP70" s="12"/>
      <c r="JQ70" s="12"/>
      <c r="JR70" s="12"/>
      <c r="JS70" s="12"/>
      <c r="JT70" s="12"/>
      <c r="JU70" s="12"/>
      <c r="JV70" s="12"/>
      <c r="JW70" s="12"/>
      <c r="JX70" s="12"/>
      <c r="KB70" s="9"/>
      <c r="KF70" s="12"/>
      <c r="KG70" s="12"/>
      <c r="KH70" s="12"/>
      <c r="KI70" s="12"/>
      <c r="KJ70" s="12"/>
      <c r="KK70" s="12"/>
      <c r="KL70" s="12"/>
      <c r="KM70" s="12"/>
      <c r="KN70" s="12"/>
      <c r="KR70" s="9"/>
      <c r="KV70" s="12"/>
      <c r="KW70" s="12"/>
      <c r="KX70" s="12"/>
      <c r="KY70" s="12"/>
      <c r="KZ70" s="12"/>
      <c r="LA70" s="12"/>
      <c r="LB70" s="12"/>
      <c r="LC70" s="12"/>
      <c r="LD70" s="12"/>
      <c r="LH70" s="9"/>
      <c r="LL70" s="12"/>
      <c r="LM70" s="12"/>
      <c r="LN70" s="12"/>
      <c r="LO70" s="12"/>
      <c r="LP70" s="12"/>
      <c r="LQ70" s="12"/>
      <c r="LR70" s="12"/>
      <c r="LS70" s="12"/>
      <c r="LT70" s="12"/>
      <c r="LX70" s="9"/>
      <c r="MB70" s="12"/>
      <c r="MC70" s="12"/>
      <c r="MD70" s="12"/>
      <c r="ME70" s="12"/>
      <c r="MF70" s="12"/>
      <c r="MG70" s="12"/>
      <c r="MH70" s="12"/>
      <c r="MI70" s="12"/>
      <c r="MJ70" s="12"/>
      <c r="MN70" s="9"/>
      <c r="MR70" s="12"/>
      <c r="MS70" s="12"/>
      <c r="MT70" s="12"/>
      <c r="MU70" s="12"/>
      <c r="MV70" s="12"/>
      <c r="MW70" s="12"/>
      <c r="MX70" s="12"/>
      <c r="MY70" s="12"/>
      <c r="MZ70" s="12"/>
      <c r="ND70" s="9"/>
      <c r="NH70" s="12"/>
      <c r="NI70" s="12"/>
      <c r="NJ70" s="12"/>
      <c r="NK70" s="12"/>
      <c r="NL70" s="12"/>
      <c r="NM70" s="12"/>
      <c r="NN70" s="12"/>
      <c r="NO70" s="12"/>
      <c r="NP70" s="12"/>
      <c r="NT70" s="9"/>
      <c r="NX70" s="12"/>
      <c r="NY70" s="12"/>
      <c r="NZ70" s="12"/>
      <c r="OA70" s="12"/>
      <c r="OB70" s="12"/>
      <c r="OC70" s="12"/>
      <c r="OD70" s="12"/>
      <c r="OE70" s="12"/>
      <c r="OF70" s="12"/>
      <c r="OJ70" s="9"/>
    </row>
    <row r="71" spans="1:401" x14ac:dyDescent="0.2">
      <c r="B71" s="12"/>
      <c r="C71" s="12"/>
      <c r="D71" s="12"/>
      <c r="E71" s="12"/>
      <c r="F71" s="12"/>
      <c r="G71" s="12"/>
      <c r="H71" s="12"/>
      <c r="I71" s="12"/>
      <c r="J71" s="12"/>
      <c r="O71" s="5"/>
      <c r="P71" s="12"/>
      <c r="Q71" s="12"/>
      <c r="R71" s="12"/>
      <c r="S71" s="12"/>
      <c r="T71" s="12"/>
      <c r="U71" s="12"/>
      <c r="V71" s="12"/>
      <c r="W71" s="12"/>
      <c r="X71" s="12"/>
      <c r="AG71" s="5"/>
      <c r="AH71" s="12"/>
      <c r="AI71" s="12"/>
      <c r="AJ71" s="12"/>
      <c r="AK71" s="12"/>
      <c r="AL71" s="12"/>
      <c r="AM71" s="12"/>
      <c r="AN71" s="12"/>
      <c r="AO71" s="12"/>
      <c r="AP71" s="12"/>
      <c r="AZ71" s="12"/>
      <c r="BA71" s="12"/>
      <c r="BB71" s="12"/>
      <c r="BC71" s="12"/>
      <c r="BD71" s="12"/>
      <c r="BE71" s="12"/>
      <c r="BF71" s="12"/>
      <c r="BG71" s="12"/>
      <c r="BH71" s="12"/>
      <c r="BJ71" s="16"/>
      <c r="BL71" s="35"/>
      <c r="BP71" s="12"/>
      <c r="BQ71" s="12"/>
      <c r="BR71" s="12"/>
      <c r="BS71" s="12"/>
      <c r="BT71" s="12"/>
      <c r="BU71" s="12"/>
      <c r="BV71" s="12"/>
      <c r="BW71" s="12"/>
      <c r="BX71" s="12"/>
      <c r="BZ71" s="16"/>
      <c r="CB71" s="35"/>
      <c r="CF71" s="12"/>
      <c r="CG71" s="12"/>
      <c r="CH71" s="12"/>
      <c r="CI71" s="12"/>
      <c r="CJ71" s="12"/>
      <c r="CK71" s="12"/>
      <c r="CL71" s="12"/>
      <c r="CM71" s="12"/>
      <c r="CN71" s="12"/>
      <c r="CP71" s="16"/>
      <c r="CR71" s="35"/>
      <c r="CV71" s="12"/>
      <c r="CW71" s="12"/>
      <c r="CX71" s="12"/>
      <c r="CY71" s="12"/>
      <c r="CZ71" s="12"/>
      <c r="DA71" s="12"/>
      <c r="DB71" s="12"/>
      <c r="DC71" s="12"/>
      <c r="DD71" s="12"/>
      <c r="DF71" s="16"/>
      <c r="DH71" s="35"/>
      <c r="DL71" s="12"/>
      <c r="DM71" s="12"/>
      <c r="DN71" s="12"/>
      <c r="DO71" s="12"/>
      <c r="DP71" s="12"/>
      <c r="DQ71" s="12"/>
      <c r="DR71" s="12"/>
      <c r="DS71" s="12"/>
      <c r="DT71" s="12"/>
      <c r="DV71" s="16"/>
      <c r="DX71" s="35"/>
      <c r="EB71" s="12"/>
      <c r="EC71" s="12"/>
      <c r="ED71" s="12"/>
      <c r="EE71" s="12"/>
      <c r="EF71" s="12"/>
      <c r="EG71" s="12"/>
      <c r="EH71" s="12"/>
      <c r="EI71" s="12"/>
      <c r="EJ71" s="12"/>
      <c r="EL71" s="16"/>
      <c r="EN71" s="35"/>
      <c r="ER71" s="12"/>
      <c r="ES71" s="12"/>
      <c r="ET71" s="12"/>
      <c r="EU71" s="12"/>
      <c r="EV71" s="12"/>
      <c r="EW71" s="12"/>
      <c r="EX71" s="12"/>
      <c r="EY71" s="12"/>
      <c r="EZ71" s="12"/>
      <c r="FB71" s="16"/>
      <c r="FD71" s="35"/>
      <c r="FH71" s="12"/>
      <c r="FI71" s="12"/>
      <c r="FJ71" s="12"/>
      <c r="FK71" s="12"/>
      <c r="FL71" s="12"/>
      <c r="FM71" s="12"/>
      <c r="FN71" s="12"/>
      <c r="FO71" s="12"/>
      <c r="FP71" s="12"/>
      <c r="FR71" s="16"/>
      <c r="FT71" s="9"/>
      <c r="FX71" s="12"/>
      <c r="FY71" s="12"/>
      <c r="FZ71" s="12"/>
      <c r="GA71" s="12"/>
      <c r="GB71" s="12"/>
      <c r="GC71" s="12"/>
      <c r="GD71" s="12"/>
      <c r="GE71" s="12"/>
      <c r="GF71" s="12"/>
      <c r="GH71" s="16"/>
      <c r="GJ71" s="9"/>
      <c r="GN71" s="12"/>
      <c r="GO71" s="12"/>
      <c r="GP71" s="12"/>
      <c r="GQ71" s="12"/>
      <c r="GR71" s="12"/>
      <c r="GS71" s="12"/>
      <c r="GT71" s="12"/>
      <c r="GU71" s="12"/>
      <c r="GV71" s="12"/>
      <c r="GX71" s="16"/>
      <c r="GZ71" s="9"/>
      <c r="HD71" s="12"/>
      <c r="HE71" s="12"/>
      <c r="HF71" s="12"/>
      <c r="HG71" s="12"/>
      <c r="HH71" s="12"/>
      <c r="HI71" s="12"/>
      <c r="HJ71" s="12"/>
      <c r="HK71" s="12"/>
      <c r="HL71" s="12"/>
      <c r="HP71" s="9"/>
      <c r="HT71" s="12"/>
      <c r="HU71" s="12"/>
      <c r="HV71" s="12"/>
      <c r="HW71" s="12"/>
      <c r="HX71" s="12"/>
      <c r="HY71" s="12"/>
      <c r="HZ71" s="12"/>
      <c r="IA71" s="12"/>
      <c r="IB71" s="12"/>
      <c r="IF71" s="9"/>
      <c r="IJ71" s="12"/>
      <c r="IK71" s="12"/>
      <c r="IL71" s="12"/>
      <c r="IM71" s="12"/>
      <c r="IN71" s="12"/>
      <c r="IO71" s="12"/>
      <c r="IP71" s="12"/>
      <c r="IQ71" s="12"/>
      <c r="IR71" s="12"/>
      <c r="IV71" s="9"/>
      <c r="IZ71" s="12"/>
      <c r="JA71" s="12"/>
      <c r="JB71" s="12"/>
      <c r="JC71" s="12"/>
      <c r="JD71" s="12"/>
      <c r="JE71" s="12"/>
      <c r="JF71" s="12"/>
      <c r="JG71" s="12"/>
      <c r="JH71" s="12"/>
      <c r="JL71" s="9"/>
      <c r="JP71" s="12"/>
      <c r="JQ71" s="12"/>
      <c r="JR71" s="12"/>
      <c r="JS71" s="12"/>
      <c r="JT71" s="12"/>
      <c r="JU71" s="12"/>
      <c r="JV71" s="12"/>
      <c r="JW71" s="12"/>
      <c r="JX71" s="12"/>
      <c r="KB71" s="9"/>
      <c r="KF71" s="12"/>
      <c r="KG71" s="12"/>
      <c r="KH71" s="12"/>
      <c r="KI71" s="12"/>
      <c r="KJ71" s="12"/>
      <c r="KK71" s="12"/>
      <c r="KL71" s="12"/>
      <c r="KM71" s="12"/>
      <c r="KN71" s="12"/>
      <c r="KR71" s="9"/>
      <c r="KV71" s="12"/>
      <c r="KW71" s="12"/>
      <c r="KX71" s="12"/>
      <c r="KY71" s="12"/>
      <c r="KZ71" s="12"/>
      <c r="LA71" s="12"/>
      <c r="LB71" s="12"/>
      <c r="LC71" s="12"/>
      <c r="LD71" s="12"/>
      <c r="LH71" s="9"/>
      <c r="LL71" s="12"/>
      <c r="LM71" s="12"/>
      <c r="LN71" s="12"/>
      <c r="LO71" s="12"/>
      <c r="LP71" s="12"/>
      <c r="LQ71" s="12"/>
      <c r="LR71" s="12"/>
      <c r="LS71" s="12"/>
      <c r="LT71" s="12"/>
      <c r="LX71" s="9"/>
      <c r="MB71" s="12"/>
      <c r="MC71" s="12"/>
      <c r="MD71" s="12"/>
      <c r="ME71" s="12"/>
      <c r="MF71" s="12"/>
      <c r="MG71" s="12"/>
      <c r="MH71" s="12"/>
      <c r="MI71" s="12"/>
      <c r="MJ71" s="12"/>
      <c r="MN71" s="9"/>
      <c r="MR71" s="12"/>
      <c r="MS71" s="12"/>
      <c r="MT71" s="12"/>
      <c r="MU71" s="12"/>
      <c r="MV71" s="12"/>
      <c r="MW71" s="12"/>
      <c r="MX71" s="12"/>
      <c r="MY71" s="12"/>
      <c r="MZ71" s="12"/>
      <c r="ND71" s="9"/>
      <c r="NH71" s="12"/>
      <c r="NI71" s="12"/>
      <c r="NJ71" s="12"/>
      <c r="NK71" s="12"/>
      <c r="NL71" s="12"/>
      <c r="NM71" s="12"/>
      <c r="NN71" s="12"/>
      <c r="NO71" s="12"/>
      <c r="NP71" s="12"/>
      <c r="NT71" s="9"/>
      <c r="NX71" s="12"/>
      <c r="NY71" s="12"/>
      <c r="NZ71" s="12"/>
      <c r="OA71" s="12"/>
      <c r="OB71" s="12"/>
      <c r="OC71" s="12"/>
      <c r="OD71" s="12"/>
      <c r="OE71" s="12"/>
      <c r="OF71" s="12"/>
      <c r="OJ71" s="9"/>
    </row>
    <row r="72" spans="1:401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P72" s="12"/>
      <c r="Q72" s="12"/>
      <c r="R72" s="12"/>
      <c r="S72" s="12"/>
      <c r="T72" s="12"/>
      <c r="U72" s="12"/>
      <c r="V72" s="12"/>
      <c r="W72" s="12"/>
      <c r="X72" s="12"/>
      <c r="AH72" s="12"/>
      <c r="AI72" s="12"/>
      <c r="AJ72" s="12"/>
      <c r="AK72" s="12"/>
      <c r="AL72" s="12"/>
      <c r="AM72" s="12"/>
      <c r="AN72" s="12"/>
      <c r="AO72" s="12"/>
      <c r="AP72" s="12"/>
      <c r="AY72" s="5"/>
      <c r="AZ72" s="12"/>
      <c r="BA72" s="12"/>
      <c r="BB72" s="12"/>
      <c r="BC72" s="12"/>
      <c r="BD72" s="12"/>
      <c r="BE72" s="12"/>
      <c r="BF72" s="12"/>
      <c r="BG72" s="12"/>
      <c r="BH72" s="12"/>
      <c r="BJ72" s="16"/>
      <c r="BL72" s="35"/>
      <c r="BO72" s="5"/>
      <c r="BP72" s="12"/>
      <c r="BQ72" s="12"/>
      <c r="BR72" s="12"/>
      <c r="BS72" s="12"/>
      <c r="BT72" s="12"/>
      <c r="BU72" s="12"/>
      <c r="BV72" s="12"/>
      <c r="BW72" s="12"/>
      <c r="BX72" s="12"/>
      <c r="BZ72" s="16"/>
      <c r="CB72" s="35"/>
      <c r="CE72" s="5"/>
      <c r="CF72" s="12"/>
      <c r="CG72" s="12"/>
      <c r="CH72" s="12"/>
      <c r="CI72" s="12"/>
      <c r="CJ72" s="12"/>
      <c r="CK72" s="12"/>
      <c r="CL72" s="12"/>
      <c r="CM72" s="12"/>
      <c r="CN72" s="12"/>
      <c r="CP72" s="16"/>
      <c r="CR72" s="35"/>
      <c r="CU72" s="5"/>
      <c r="CV72" s="12"/>
      <c r="CW72" s="12"/>
      <c r="CX72" s="12"/>
      <c r="CY72" s="12"/>
      <c r="CZ72" s="12"/>
      <c r="DA72" s="12"/>
      <c r="DB72" s="12"/>
      <c r="DC72" s="12"/>
      <c r="DD72" s="12"/>
      <c r="DF72" s="16"/>
      <c r="DH72" s="35"/>
      <c r="DK72" s="5"/>
      <c r="DL72" s="12"/>
      <c r="DM72" s="12"/>
      <c r="DN72" s="12"/>
      <c r="DO72" s="12"/>
      <c r="DP72" s="12"/>
      <c r="DQ72" s="12"/>
      <c r="DR72" s="12"/>
      <c r="DS72" s="12"/>
      <c r="DT72" s="12"/>
      <c r="DV72" s="16"/>
      <c r="DX72" s="35"/>
      <c r="EA72" s="5"/>
      <c r="EB72" s="12"/>
      <c r="EC72" s="12"/>
      <c r="ED72" s="12"/>
      <c r="EE72" s="12"/>
      <c r="EF72" s="12"/>
      <c r="EG72" s="12"/>
      <c r="EH72" s="12"/>
      <c r="EI72" s="12"/>
      <c r="EJ72" s="12"/>
      <c r="EL72" s="16"/>
      <c r="EN72" s="35"/>
      <c r="EQ72" s="5"/>
      <c r="ER72" s="12"/>
      <c r="ES72" s="12"/>
      <c r="ET72" s="12"/>
      <c r="EU72" s="12"/>
      <c r="EV72" s="12"/>
      <c r="EW72" s="12"/>
      <c r="EX72" s="12"/>
      <c r="EY72" s="12"/>
      <c r="EZ72" s="12"/>
      <c r="FB72" s="16"/>
      <c r="FD72" s="35"/>
      <c r="FG72" s="5"/>
      <c r="FH72" s="12"/>
      <c r="FI72" s="12"/>
      <c r="FJ72" s="12"/>
      <c r="FK72" s="12"/>
      <c r="FL72" s="12"/>
      <c r="FM72" s="12"/>
      <c r="FN72" s="12"/>
      <c r="FO72" s="12"/>
      <c r="FP72" s="12"/>
      <c r="FR72" s="16"/>
      <c r="FT72" s="9"/>
      <c r="FW72" s="5"/>
      <c r="FX72" s="12"/>
      <c r="FY72" s="12"/>
      <c r="FZ72" s="12"/>
      <c r="GA72" s="12"/>
      <c r="GB72" s="12"/>
      <c r="GC72" s="12"/>
      <c r="GD72" s="12"/>
      <c r="GE72" s="12"/>
      <c r="GF72" s="12"/>
      <c r="GH72" s="16"/>
      <c r="GJ72" s="9"/>
      <c r="GN72" s="12"/>
      <c r="GO72" s="12"/>
      <c r="GP72" s="12"/>
      <c r="GQ72" s="12"/>
      <c r="GR72" s="12"/>
      <c r="GS72" s="12"/>
      <c r="GT72" s="12"/>
      <c r="GU72" s="12"/>
      <c r="GV72" s="12"/>
      <c r="GX72" s="16"/>
      <c r="GZ72" s="9"/>
      <c r="HD72" s="12"/>
      <c r="HE72" s="12"/>
      <c r="HF72" s="12"/>
      <c r="HG72" s="12"/>
      <c r="HH72" s="12"/>
      <c r="HI72" s="12"/>
      <c r="HJ72" s="12"/>
      <c r="HK72" s="12"/>
      <c r="HL72" s="12"/>
      <c r="HP72" s="9"/>
      <c r="HT72" s="12"/>
      <c r="HU72" s="12"/>
      <c r="HV72" s="12"/>
      <c r="HW72" s="12"/>
      <c r="HX72" s="12"/>
      <c r="HY72" s="12"/>
      <c r="HZ72" s="12"/>
      <c r="IA72" s="12"/>
      <c r="IB72" s="12"/>
      <c r="IF72" s="9"/>
      <c r="IJ72" s="12"/>
      <c r="IK72" s="12"/>
      <c r="IL72" s="12"/>
      <c r="IM72" s="12"/>
      <c r="IN72" s="12"/>
      <c r="IO72" s="12"/>
      <c r="IP72" s="12"/>
      <c r="IQ72" s="12"/>
      <c r="IR72" s="12"/>
      <c r="IV72" s="9"/>
      <c r="IZ72" s="12"/>
      <c r="JA72" s="12"/>
      <c r="JB72" s="12"/>
      <c r="JC72" s="12"/>
      <c r="JD72" s="12"/>
      <c r="JE72" s="12"/>
      <c r="JF72" s="12"/>
      <c r="JG72" s="12"/>
      <c r="JH72" s="12"/>
      <c r="JL72" s="9"/>
      <c r="JP72" s="12"/>
      <c r="JQ72" s="12"/>
      <c r="JR72" s="12"/>
      <c r="JS72" s="12"/>
      <c r="JT72" s="12"/>
      <c r="JU72" s="12"/>
      <c r="JV72" s="12"/>
      <c r="JW72" s="12"/>
      <c r="JX72" s="12"/>
      <c r="KB72" s="9"/>
      <c r="KF72" s="12"/>
      <c r="KG72" s="12"/>
      <c r="KH72" s="12"/>
      <c r="KI72" s="12"/>
      <c r="KJ72" s="12"/>
      <c r="KK72" s="12"/>
      <c r="KL72" s="12"/>
      <c r="KM72" s="12"/>
      <c r="KN72" s="12"/>
      <c r="KR72" s="9"/>
      <c r="KV72" s="12"/>
      <c r="KW72" s="12"/>
      <c r="KX72" s="12"/>
      <c r="KY72" s="12"/>
      <c r="KZ72" s="12"/>
      <c r="LA72" s="12"/>
      <c r="LB72" s="12"/>
      <c r="LC72" s="12"/>
      <c r="LD72" s="12"/>
      <c r="LH72" s="9"/>
      <c r="LL72" s="12"/>
      <c r="LM72" s="12"/>
      <c r="LN72" s="12"/>
      <c r="LO72" s="12"/>
      <c r="LP72" s="12"/>
      <c r="LQ72" s="12"/>
      <c r="LR72" s="12"/>
      <c r="LS72" s="12"/>
      <c r="LT72" s="12"/>
      <c r="LX72" s="9"/>
      <c r="MB72" s="12"/>
      <c r="MC72" s="12"/>
      <c r="MD72" s="12"/>
      <c r="ME72" s="12"/>
      <c r="MF72" s="12"/>
      <c r="MG72" s="12"/>
      <c r="MH72" s="12"/>
      <c r="MI72" s="12"/>
      <c r="MJ72" s="12"/>
      <c r="MN72" s="9"/>
      <c r="MR72" s="12"/>
      <c r="MS72" s="12"/>
      <c r="MT72" s="12"/>
      <c r="MU72" s="12"/>
      <c r="MV72" s="12"/>
      <c r="MW72" s="12"/>
      <c r="MX72" s="12"/>
      <c r="MY72" s="12"/>
      <c r="MZ72" s="12"/>
      <c r="ND72" s="9"/>
      <c r="NH72" s="12"/>
      <c r="NI72" s="12"/>
      <c r="NJ72" s="12"/>
      <c r="NK72" s="12"/>
      <c r="NL72" s="12"/>
      <c r="NM72" s="12"/>
      <c r="NN72" s="12"/>
      <c r="NO72" s="12"/>
      <c r="NP72" s="12"/>
      <c r="NT72" s="9"/>
      <c r="NX72" s="12"/>
      <c r="NY72" s="12"/>
      <c r="NZ72" s="12"/>
      <c r="OA72" s="12"/>
      <c r="OB72" s="12"/>
      <c r="OC72" s="12"/>
      <c r="OD72" s="12"/>
      <c r="OE72" s="12"/>
      <c r="OF72" s="12"/>
      <c r="OJ72" s="9"/>
    </row>
    <row r="73" spans="1:401" x14ac:dyDescent="0.2">
      <c r="A73" t="s">
        <v>55</v>
      </c>
      <c r="B73" s="12">
        <f t="shared" ref="B73:J76" si="515">P73+AH73+AZ73+BP73+CF73+CV73+DL73+EB73+ER73+FH73+FX73+GN73+HD73+HT73+IJ73+IZ73+JP73+KF73+KV73+LL73+MB73+MR73+NH73+NX73</f>
        <v>0</v>
      </c>
      <c r="C73" s="12">
        <f t="shared" si="515"/>
        <v>0</v>
      </c>
      <c r="D73" s="12">
        <f t="shared" si="515"/>
        <v>0</v>
      </c>
      <c r="E73" s="12">
        <f t="shared" si="515"/>
        <v>0</v>
      </c>
      <c r="F73" s="12">
        <f t="shared" si="515"/>
        <v>0</v>
      </c>
      <c r="G73" s="12">
        <f t="shared" si="515"/>
        <v>0</v>
      </c>
      <c r="H73" s="12">
        <f t="shared" si="515"/>
        <v>0</v>
      </c>
      <c r="I73" s="12">
        <f t="shared" si="515"/>
        <v>0</v>
      </c>
      <c r="J73" s="12">
        <f t="shared" si="515"/>
        <v>0</v>
      </c>
      <c r="P73" s="12" cm="1">
        <f t="array" ref="P73">_xlfn.SWITCH(P$4, 0,0, 1, AA73,2,AC73,3,AE73,0)</f>
        <v>0</v>
      </c>
      <c r="Q73" s="12" cm="1">
        <f t="array" ref="Q73">_xlfn.SWITCH(Q$4, 0,0, 1, AA73,2,AC73,3,AE73,0)+P73</f>
        <v>0</v>
      </c>
      <c r="R73" s="12" cm="1">
        <f t="array" ref="R73">_xlfn.SWITCH(R$4, 0,0, 1, AA73,2,AC73,3,AE73,0)+Q73</f>
        <v>0</v>
      </c>
      <c r="S73" s="12" cm="1">
        <f t="array" ref="S73">_xlfn.SWITCH(S$4, 0,0, 1, AA73,2,AC73,3,AE73,0)+R73</f>
        <v>0</v>
      </c>
      <c r="T73" s="12" cm="1">
        <f t="array" ref="T73">_xlfn.SWITCH(T$4, 0,0, 1, AA73,2,AC73,3,AE73,0)+S73</f>
        <v>0</v>
      </c>
      <c r="U73" s="12" cm="1">
        <f t="array" ref="U73">_xlfn.SWITCH(U$4, 0,0, 1, AA73,2,AC73,3,AE73,0)+T73</f>
        <v>0</v>
      </c>
      <c r="V73" s="12" cm="1">
        <f t="array" ref="V73">_xlfn.SWITCH(V$4, 0,0, 1, AA73,2,AC73,3,AE73,0)+U73</f>
        <v>0</v>
      </c>
      <c r="W73" s="12" cm="1">
        <f t="array" ref="W73">_xlfn.SWITCH(W$4, 0,0, 1, AA73,2,AC73,3,AE73,0)+V73</f>
        <v>0</v>
      </c>
      <c r="X73" s="12" cm="1">
        <f t="array" ref="X73">_xlfn.SWITCH(X$4, 0,0, 1, AA73,2,AC73,3,AE73,0)+W73</f>
        <v>0</v>
      </c>
      <c r="Z73" t="s">
        <v>1304</v>
      </c>
      <c r="AA73">
        <f>_xlfn.XLOOKUP(Z73,'KPI Impacts'!$K$2:$Q$2,'KPI Impacts'!$K73:$Q73)</f>
        <v>0</v>
      </c>
      <c r="AB73" t="s">
        <v>1304</v>
      </c>
      <c r="AC73">
        <f>_xlfn.XLOOKUP(AB73,'KPI Impacts'!$K$2:$Q$2,'KPI Impacts'!$K73:$Q73)</f>
        <v>0</v>
      </c>
      <c r="AD73" t="s">
        <v>1304</v>
      </c>
      <c r="AE73">
        <f>_xlfn.XLOOKUP(AD73,'KPI Impacts'!$K$2:$Q$2,'KPI Impacts'!$K73:$Q73)</f>
        <v>0</v>
      </c>
      <c r="AH73" s="12" cm="1">
        <f t="array" ref="AH73">_xlfn.SWITCH(AH$4, 0,0, 1, AS73,2,AU73,3,AW73,0)</f>
        <v>0</v>
      </c>
      <c r="AI73" s="12" cm="1">
        <f t="array" ref="AI73">_xlfn.SWITCH(AI$4, 0,0, 1, AS73,2,AU73,3,AW73,0)+AH73</f>
        <v>0</v>
      </c>
      <c r="AJ73" s="12" cm="1">
        <f t="array" ref="AJ73">_xlfn.SWITCH(AJ$4, 0,0, 1, AS73,2,AU73,3,AW73,0)+AI73</f>
        <v>0</v>
      </c>
      <c r="AK73" s="12" cm="1">
        <f t="array" ref="AK73">_xlfn.SWITCH(AK$4, 0,0, 1, AS73,2,AU73,3,AW73,0)+AJ73</f>
        <v>0</v>
      </c>
      <c r="AL73" s="12" cm="1">
        <f t="array" ref="AL73">_xlfn.SWITCH(AL$4, 0,0, 1, AS73,2,AU73,3,AW73,0)+AK73</f>
        <v>0</v>
      </c>
      <c r="AM73" s="12" cm="1">
        <f t="array" ref="AM73">_xlfn.SWITCH(AM$4, 0,0, 1, AS73,2,AU73,3,AW73,0)+AL73</f>
        <v>0</v>
      </c>
      <c r="AN73" s="12" cm="1">
        <f t="array" ref="AN73">_xlfn.SWITCH(AN$4, 0,0, 1, AS73,2,AU73,3,AW73,0)+AM73</f>
        <v>0</v>
      </c>
      <c r="AO73" s="12" cm="1">
        <f t="array" ref="AO73">_xlfn.SWITCH(AO$4, 0,0, 1, AS73,2,AU73,3,AW73,0)+AN73</f>
        <v>0</v>
      </c>
      <c r="AP73" s="12" cm="1">
        <f t="array" ref="AP73">_xlfn.SWITCH(AP$4, 0,0, 1, AS73,2,AU73,3,AW73,0)+AO73</f>
        <v>0</v>
      </c>
      <c r="AR73" t="s">
        <v>1304</v>
      </c>
      <c r="AS73">
        <f>_xlfn.XLOOKUP(AR73,'KPI Impacts'!$K$2:$Q$2,'KPI Impacts'!$K73:$Q73)</f>
        <v>0</v>
      </c>
      <c r="AT73" t="s">
        <v>1304</v>
      </c>
      <c r="AU73">
        <f>_xlfn.XLOOKUP(AT73,'KPI Impacts'!$K$2:$Q$2,'KPI Impacts'!$K73:$Q73)</f>
        <v>0</v>
      </c>
      <c r="AV73" t="s">
        <v>1304</v>
      </c>
      <c r="AW73">
        <f>_xlfn.XLOOKUP(AV73,'KPI Impacts'!$K$2:$Q$2,'KPI Impacts'!$K73:$Q73)</f>
        <v>0</v>
      </c>
      <c r="AZ73" s="12">
        <f>AZ$4*BK73</f>
        <v>0</v>
      </c>
      <c r="BA73" s="12">
        <f>BA$4 * IF(AND(AZ$4=1,AZ$20=1), BM73, BK73)</f>
        <v>0</v>
      </c>
      <c r="BB73" s="12">
        <f>BB$4 * IF(AND(BA$4=1,AZ$20=1), BM73, BK73)</f>
        <v>0</v>
      </c>
      <c r="BC73" s="12">
        <f>BC$4 * IF(AND(BB$4=1,AZ$20=1), BM73, BK73)</f>
        <v>0</v>
      </c>
      <c r="BD73" s="12">
        <f>BD$4 * IF(AND(BC$4=1,AZ$20=1), BM73, BK73)</f>
        <v>0</v>
      </c>
      <c r="BE73" s="12">
        <f>BE$4 * IF(AND(BD$4=1,AZ$20=1), BM73, BK73)</f>
        <v>0</v>
      </c>
      <c r="BF73" s="12">
        <f>BF$4 * IF(AND(BE$4=1,AZ$20=1), BM73, BK73)</f>
        <v>0</v>
      </c>
      <c r="BG73" s="12">
        <f>BG$4 * IF(AND(BF$4=1,AZ$20=1), BM73, BK73)</f>
        <v>0</v>
      </c>
      <c r="BH73" s="12">
        <f>BH$4 * IF(AND(BG$4=1,AZ$20=1), BM73, BK73)</f>
        <v>0</v>
      </c>
      <c r="BJ73" s="16" t="s">
        <v>1304</v>
      </c>
      <c r="BK73">
        <f>_xlfn.XLOOKUP(BJ73,'KPI Impacts'!$B$2:$H$2,'KPI Impacts'!$B73:$H73)</f>
        <v>0</v>
      </c>
      <c r="BL73" s="35" t="s">
        <v>1304</v>
      </c>
      <c r="BM73">
        <f>_xlfn.XLOOKUP(BL73,'KPI Impacts'!$B$2:$H$2,'KPI Impacts'!$B73:$H73)</f>
        <v>0</v>
      </c>
      <c r="BP73" s="12">
        <f>BP$4*CA73</f>
        <v>0</v>
      </c>
      <c r="BQ73" s="12">
        <f>BQ$4 * IF(AND(BP$4=1,BP$20=1), CC73, CA73)</f>
        <v>0</v>
      </c>
      <c r="BR73" s="12">
        <f>BR$4 * IF(AND(BQ$4=1,BP$20=1), CC73, CA73)</f>
        <v>0</v>
      </c>
      <c r="BS73" s="12">
        <f>BS$4 * IF(AND(BR$4=1,BP$20=1), CC73, CA73)</f>
        <v>0</v>
      </c>
      <c r="BT73" s="12">
        <f>BT$4 * IF(AND(BS$4=1,BP$20=1), CC73, CA73)</f>
        <v>0</v>
      </c>
      <c r="BU73" s="12">
        <f>BU$4 * IF(AND(BT$4=1,BP$20=1), CC73, CA73)</f>
        <v>0</v>
      </c>
      <c r="BV73" s="12">
        <f>BV$4 * IF(AND(BU$4=1,BP$20=1), CC73, CA73)</f>
        <v>0</v>
      </c>
      <c r="BW73" s="12">
        <f>BW$4 * IF(AND(BV$4=1,BP$20=1), CC73, CA73)</f>
        <v>0</v>
      </c>
      <c r="BX73" s="12">
        <f>BX$4 * IF(AND(BW$4=1,BP$20=1), CC73, CA73)</f>
        <v>0</v>
      </c>
      <c r="BZ73" s="16" t="s">
        <v>1304</v>
      </c>
      <c r="CA73">
        <f>_xlfn.XLOOKUP(BZ73,'KPI Impacts'!$B$2:$H$2,'KPI Impacts'!$B73:$H73)</f>
        <v>0</v>
      </c>
      <c r="CB73" s="35" t="s">
        <v>1304</v>
      </c>
      <c r="CC73">
        <f>_xlfn.XLOOKUP(CB73,'KPI Impacts'!$B$2:$H$2,'KPI Impacts'!$B73:$H73)</f>
        <v>0</v>
      </c>
      <c r="CF73" s="12">
        <f>CF$4*CQ73</f>
        <v>0</v>
      </c>
      <c r="CG73" s="12">
        <f>CG$4 * IF(AND(CF$4=1,CF$20=1), CS73, CQ73)</f>
        <v>0</v>
      </c>
      <c r="CH73" s="12">
        <f>CH$4 * IF(AND(CG$4=1,CF$20=1), CS73, CQ73)</f>
        <v>0</v>
      </c>
      <c r="CI73" s="12">
        <f>CI$4 * IF(AND(CH$4=1,CF$20=1), CS73, CQ73)</f>
        <v>0</v>
      </c>
      <c r="CJ73" s="12">
        <f>CJ$4 * IF(AND(CI$4=1,CF$20=1), CS73, CQ73)</f>
        <v>0</v>
      </c>
      <c r="CK73" s="12">
        <f>CK$4 * IF(AND(CJ$4=1,CF$20=1), CS73, CQ73)</f>
        <v>0</v>
      </c>
      <c r="CL73" s="12">
        <f>CL$4 * IF(AND(CK$4=1,CF$20=1), CS73, CQ73)</f>
        <v>0</v>
      </c>
      <c r="CM73" s="12">
        <f>CM$4 * IF(AND(CL$4=1,CF$20=1), CS73, CQ73)</f>
        <v>0</v>
      </c>
      <c r="CN73" s="12">
        <f>CN$4 * IF(AND(CM$4=1,CF$20=1), CS73, CQ73)</f>
        <v>0</v>
      </c>
      <c r="CP73" s="16" t="s">
        <v>1304</v>
      </c>
      <c r="CQ73">
        <f>_xlfn.XLOOKUP(CP73,'KPI Impacts'!$B$2:$H$2,'KPI Impacts'!$B73:$H73)</f>
        <v>0</v>
      </c>
      <c r="CR73" s="35" t="s">
        <v>1304</v>
      </c>
      <c r="CS73">
        <f>_xlfn.XLOOKUP(CR73,'KPI Impacts'!$B$2:$H$2,'KPI Impacts'!$B73:$H73)</f>
        <v>0</v>
      </c>
      <c r="CV73" s="12">
        <f>CV$4*DG73</f>
        <v>0</v>
      </c>
      <c r="CW73" s="12">
        <f>CW$4 * IF(AND(CV$4=1,CV$20=1), DI73, DG73)</f>
        <v>0</v>
      </c>
      <c r="CX73" s="12">
        <f>CX$4 * IF(AND(CW$4=1,CV$20=1), DI73, DG73)</f>
        <v>0</v>
      </c>
      <c r="CY73" s="12">
        <f>CY$4 * IF(AND(CX$4=1,CV$20=1), DI73, DG73)</f>
        <v>0</v>
      </c>
      <c r="CZ73" s="12">
        <f>CZ$4 * IF(AND(CY$4=1,CV$20=1), DI73, DG73)</f>
        <v>0</v>
      </c>
      <c r="DA73" s="12">
        <f>DA$4 * IF(AND(CZ$4=1,CV$20=1), DI73, DG73)</f>
        <v>0</v>
      </c>
      <c r="DB73" s="12">
        <f>DB$4 * IF(AND(DA$4=1,CV$20=1), DI73, DG73)</f>
        <v>0</v>
      </c>
      <c r="DC73" s="12">
        <f>DC$4 * IF(AND(DB$4=1,CV$20=1), DI73, DG73)</f>
        <v>0</v>
      </c>
      <c r="DD73" s="12">
        <f>DD$4 * IF(AND(DC$4=1,CV$20=1), DI73, DG73)</f>
        <v>0</v>
      </c>
      <c r="DF73" s="16" t="s">
        <v>1304</v>
      </c>
      <c r="DG73">
        <f>_xlfn.XLOOKUP(DF73,'KPI Impacts'!$B$2:$H$2,'KPI Impacts'!$B73:$H73)</f>
        <v>0</v>
      </c>
      <c r="DH73" s="35" t="s">
        <v>1304</v>
      </c>
      <c r="DI73">
        <f>_xlfn.XLOOKUP(DH73,'KPI Impacts'!$B$2:$H$2,'KPI Impacts'!$B73:$H73)</f>
        <v>0</v>
      </c>
      <c r="DL73" s="12">
        <f>DL$4*DW73</f>
        <v>0</v>
      </c>
      <c r="DM73" s="12">
        <f>DM$4 * IF(AND(DL$4=1,DL$20=1), DY73, DW73)</f>
        <v>0</v>
      </c>
      <c r="DN73" s="12">
        <f>DN$4 * IF(AND(DM$4=1,DL$20=1), DY73, DW73)</f>
        <v>0</v>
      </c>
      <c r="DO73" s="12">
        <f>DO$4 * IF(AND(DN$4=1,DL$20=1), DY73, DW73)</f>
        <v>0</v>
      </c>
      <c r="DP73" s="12">
        <f>DP$4 * IF(AND(DO$4=1,DL$20=1), DY73, DW73)</f>
        <v>0</v>
      </c>
      <c r="DQ73" s="12">
        <f>DQ$4 * IF(AND(DP$4=1,DL$20=1), DY73, DW73)</f>
        <v>0</v>
      </c>
      <c r="DR73" s="12">
        <f>DR$4 * IF(AND(DQ$4=1,DL$20=1), DY73, DW73)</f>
        <v>0</v>
      </c>
      <c r="DS73" s="12">
        <f>DS$4 * IF(AND(DR$4=1,DL$20=1), DY73, DW73)</f>
        <v>0</v>
      </c>
      <c r="DT73" s="12">
        <f>DT$4 * IF(AND(DS$4=1,DL$20=1), DY73, DW73)</f>
        <v>0</v>
      </c>
      <c r="DV73" s="16" t="s">
        <v>1304</v>
      </c>
      <c r="DW73">
        <f>_xlfn.XLOOKUP(DV73,'KPI Impacts'!$B$2:$H$2,'KPI Impacts'!$B73:$H73)</f>
        <v>0</v>
      </c>
      <c r="DX73" s="35" t="s">
        <v>1304</v>
      </c>
      <c r="DY73">
        <f>_xlfn.XLOOKUP(DX73,'KPI Impacts'!$B$2:$H$2,'KPI Impacts'!$B73:$H73)</f>
        <v>0</v>
      </c>
      <c r="EB73" s="12">
        <f>EB$4*EM73</f>
        <v>0</v>
      </c>
      <c r="EC73" s="12">
        <f>EC$4 * IF(AND(EB$4=1,EB$20=1), EO73, EM73)</f>
        <v>0</v>
      </c>
      <c r="ED73" s="12">
        <f>ED$4 * IF(AND(EC$4=1,EB$20=1), EO73, EM73)</f>
        <v>0</v>
      </c>
      <c r="EE73" s="12">
        <f>EE$4 * IF(AND(ED$4=1,EB$20=1), EO73, EM73)</f>
        <v>0</v>
      </c>
      <c r="EF73" s="12">
        <f>EF$4 * IF(AND(EE$4=1,EB$20=1), EO73, EM73)</f>
        <v>0</v>
      </c>
      <c r="EG73" s="12">
        <f>EG$4 * IF(AND(EF$4=1,EB$20=1), EO73, EM73)</f>
        <v>0</v>
      </c>
      <c r="EH73" s="12">
        <f>EH$4 * IF(AND(EG$4=1,EB$20=1), EO73, EM73)</f>
        <v>0</v>
      </c>
      <c r="EI73" s="12">
        <f>EI$4 * IF(AND(EH$4=1,EB$20=1), EO73, EM73)</f>
        <v>0</v>
      </c>
      <c r="EJ73" s="12">
        <f>EJ$4 * IF(AND(EI$4=1,EB$20=1), EO73, EM73)</f>
        <v>0</v>
      </c>
      <c r="EL73" s="16" t="s">
        <v>1304</v>
      </c>
      <c r="EM73">
        <f>_xlfn.XLOOKUP(EL73,'KPI Impacts'!$B$2:$H$2,'KPI Impacts'!$B73:$H73)</f>
        <v>0</v>
      </c>
      <c r="EN73" s="35" t="s">
        <v>1304</v>
      </c>
      <c r="EO73">
        <f>_xlfn.XLOOKUP(EN73,'KPI Impacts'!$B$2:$H$2,'KPI Impacts'!$B73:$H73)</f>
        <v>0</v>
      </c>
      <c r="ER73" s="12">
        <f>ER$4*FC73</f>
        <v>0</v>
      </c>
      <c r="ES73" s="12">
        <f>ES$4 * IF(AND(ER$4=1,ER$20=1), FE73, FC73)</f>
        <v>0</v>
      </c>
      <c r="ET73" s="12">
        <f>ET$4 * IF(AND(ES$4=1,ER$20=1), FE73, FC73)</f>
        <v>0</v>
      </c>
      <c r="EU73" s="12">
        <f>EU$4 * IF(AND(ET$4=1,ER$20=1), FE73, FC73)</f>
        <v>0</v>
      </c>
      <c r="EV73" s="12">
        <f>EV$4 * IF(AND(EU$4=1,ER$20=1), FE73, FC73)</f>
        <v>0</v>
      </c>
      <c r="EW73" s="12">
        <f>EW$4 * IF(AND(EV$4=1,ER$20=1), FE73, FC73)</f>
        <v>0</v>
      </c>
      <c r="EX73" s="12">
        <f>EX$4 * IF(AND(EW$4=1,ER$20=1), FE73, FC73)</f>
        <v>0</v>
      </c>
      <c r="EY73" s="12">
        <f>EY$4 * IF(AND(EX$4=1,ER$20=1), FE73, FC73)</f>
        <v>0</v>
      </c>
      <c r="EZ73" s="12">
        <f>EZ$4 * IF(AND(EY$4=1,ER$20=1), FE73, FC73)</f>
        <v>0</v>
      </c>
      <c r="FB73" s="16" t="s">
        <v>1304</v>
      </c>
      <c r="FC73">
        <f>_xlfn.XLOOKUP(FB73,'KPI Impacts'!$B$2:$H$2,'KPI Impacts'!$B73:$H73)</f>
        <v>0</v>
      </c>
      <c r="FD73" s="35" t="s">
        <v>1304</v>
      </c>
      <c r="FE73">
        <f>_xlfn.XLOOKUP(FD73,'KPI Impacts'!$B$2:$H$2,'KPI Impacts'!$B73:$H73)</f>
        <v>0</v>
      </c>
      <c r="FH73" s="12">
        <f>FH$4*FS73</f>
        <v>0</v>
      </c>
      <c r="FI73" s="12">
        <f>FI$4 * IF(AND(FH$4=1,FH$20=1), FU73, FS73)</f>
        <v>0</v>
      </c>
      <c r="FJ73" s="12">
        <f>FJ$4 * IF(AND(FI$4=1,FH$20=1), FU73, FS73)</f>
        <v>0</v>
      </c>
      <c r="FK73" s="12">
        <f>FK$4 * IF(AND(FJ$4=1,FH$20=1), FU73, FS73)</f>
        <v>0</v>
      </c>
      <c r="FL73" s="12">
        <f>FL$4 * IF(AND(FK$4=1,FH$20=1), FU73, FS73)</f>
        <v>0</v>
      </c>
      <c r="FM73" s="12">
        <f>FM$4 * IF(AND(FL$4=1,FH$20=1), FU73, FS73)</f>
        <v>0</v>
      </c>
      <c r="FN73" s="12">
        <f>FN$4 * IF(AND(FM$4=1,FH$20=1), FU73, FS73)</f>
        <v>0</v>
      </c>
      <c r="FO73" s="12">
        <f>FO$4 * IF(AND(FN$4=1,FH$20=1), FU73, FS73)</f>
        <v>0</v>
      </c>
      <c r="FP73" s="12">
        <f>FP$4 * IF(AND(FO$4=1,FH$20=1), FU73, FS73)</f>
        <v>0</v>
      </c>
      <c r="FR73" s="16" t="s">
        <v>1304</v>
      </c>
      <c r="FS73">
        <f>_xlfn.XLOOKUP(FR73,'KPI Impacts'!$B$2:$H$2,'KPI Impacts'!$B73:$H73)</f>
        <v>0</v>
      </c>
      <c r="FT73" s="9" t="s">
        <v>1304</v>
      </c>
      <c r="FU73">
        <f>_xlfn.XLOOKUP(FT73,'KPI Impacts'!$B$2:$H$2,'KPI Impacts'!$B73:$H73)</f>
        <v>0</v>
      </c>
      <c r="FX73" s="12">
        <f>FX$4*GI73</f>
        <v>0</v>
      </c>
      <c r="FY73" s="12">
        <f>FY$4 * IF(AND(FX$4=1,FX$20=1), GK73, GI73)</f>
        <v>0</v>
      </c>
      <c r="FZ73" s="12">
        <f>FZ$4 * IF(AND(FY$4=1,FX$20=1), GK73, GI73)</f>
        <v>0</v>
      </c>
      <c r="GA73" s="12">
        <f>GA$4 * IF(AND(FZ$4=1,FX$20=1), GK73, GI73)</f>
        <v>0</v>
      </c>
      <c r="GB73" s="12">
        <f>GB$4 * IF(AND(GA$4=1,FX$20=1), GK73, GI73)</f>
        <v>0</v>
      </c>
      <c r="GC73" s="12">
        <f>GC$4 * IF(AND(GB$4=1,FX$20=1), GK73, GI73)</f>
        <v>0</v>
      </c>
      <c r="GD73" s="12">
        <f>GD$4 * IF(AND(GC$4=1,FX$20=1), GK73, GI73)</f>
        <v>0</v>
      </c>
      <c r="GE73" s="12">
        <f>GE$4 * IF(AND(GD$4=1,FX$20=1), GK73, GI73)</f>
        <v>0</v>
      </c>
      <c r="GF73" s="12">
        <f>GF$4 * IF(AND(GE$4=1,FX$20=1), GK73, GI73)</f>
        <v>0</v>
      </c>
      <c r="GH73" s="16" t="s">
        <v>1304</v>
      </c>
      <c r="GI73">
        <f>_xlfn.XLOOKUP(GH73,'KPI Impacts'!$B$2:$H$2,'KPI Impacts'!$B73:$H73)</f>
        <v>0</v>
      </c>
      <c r="GJ73" s="9" t="s">
        <v>1304</v>
      </c>
      <c r="GK73">
        <f>_xlfn.XLOOKUP(GJ73,'KPI Impacts'!$B$2:$H$2,'KPI Impacts'!$B73:$H73)</f>
        <v>0</v>
      </c>
      <c r="GN73" s="12">
        <f>GN$4*GY73</f>
        <v>0</v>
      </c>
      <c r="GO73" s="12">
        <f>GO$4 * IF(AND(GN$4=1,GN$20=1), HA73, GY73)</f>
        <v>0</v>
      </c>
      <c r="GP73" s="12">
        <f>GP$4 * IF(AND(GO$4=1,GN$20=1), HA73, GY73)</f>
        <v>0</v>
      </c>
      <c r="GQ73" s="12">
        <f>GQ$4 * IF(AND(GP$4=1,GN$20=1), HA73, GY73)</f>
        <v>0</v>
      </c>
      <c r="GR73" s="12">
        <f>GR$4 * IF(AND(GQ$4=1,GN$20=1), HA73, GY73)</f>
        <v>0</v>
      </c>
      <c r="GS73" s="12">
        <f>GS$4 * IF(AND(GR$4=1,GN$20=1), HA73, GY73)</f>
        <v>0</v>
      </c>
      <c r="GT73" s="12">
        <f>GT$4 * IF(AND(GS$4=1,GN$20=1), HA73, GY73)</f>
        <v>0</v>
      </c>
      <c r="GU73" s="12">
        <f>GU$4 * IF(AND(GT$4=1,GN$20=1), HA73, GY73)</f>
        <v>0</v>
      </c>
      <c r="GV73" s="12">
        <f>GV$4 * IF(AND(GU$4=1,GN$20=1), HA73, GY73)</f>
        <v>0</v>
      </c>
      <c r="GX73" s="16" t="s">
        <v>1304</v>
      </c>
      <c r="GY73">
        <f>_xlfn.XLOOKUP(GX73,'KPI Impacts'!$B$2:$H$2,'KPI Impacts'!$B73:$H73)</f>
        <v>0</v>
      </c>
      <c r="GZ73" s="9" t="s">
        <v>1304</v>
      </c>
      <c r="HA73">
        <f>_xlfn.XLOOKUP(GZ73,'KPI Impacts'!$B$2:$H$2,'KPI Impacts'!$B73:$H73)</f>
        <v>0</v>
      </c>
      <c r="HD73" s="12">
        <f>HD$4*HO73</f>
        <v>0</v>
      </c>
      <c r="HE73" s="12">
        <f>HE$4 * IF(AND(HD$4=1,HD$20=1), HQ73, HO73)</f>
        <v>0</v>
      </c>
      <c r="HF73" s="12">
        <f>HF$4 * IF(AND(HE$4=1,HD$20=1), HQ73, HO73)</f>
        <v>0</v>
      </c>
      <c r="HG73" s="12">
        <f>HG$4 * IF(AND(HF$4=1,HD$20=1), HQ73, HO73)</f>
        <v>0</v>
      </c>
      <c r="HH73" s="12">
        <f>HH$4 * IF(AND(HG$4=1,HD$20=1), HQ73, HO73)</f>
        <v>0</v>
      </c>
      <c r="HI73" s="12">
        <f>HI$4 * IF(AND(HH$4=1,HD$20=1), HQ73, HO73)</f>
        <v>0</v>
      </c>
      <c r="HJ73" s="12">
        <f>HJ$4 * IF(AND(HI$4=1,HD$20=1), HQ73, HO73)</f>
        <v>0</v>
      </c>
      <c r="HK73" s="12">
        <f>HK$4 * IF(AND(HJ$4=1,HD$20=1), HQ73, HO73)</f>
        <v>0</v>
      </c>
      <c r="HL73" s="12">
        <f>HL$4 * IF(AND(HK$4=1,HD$20=1), HQ73, HO73)</f>
        <v>0</v>
      </c>
      <c r="HN73" t="s">
        <v>1304</v>
      </c>
      <c r="HO73">
        <f>_xlfn.XLOOKUP(HN73,'KPI Impacts'!$B$2:$H$2,'KPI Impacts'!$B73:$H73)</f>
        <v>0</v>
      </c>
      <c r="HP73" s="9" t="s">
        <v>1304</v>
      </c>
      <c r="HQ73">
        <f>_xlfn.XLOOKUP(HP73,'KPI Impacts'!$B$2:$H$2,'KPI Impacts'!$B73:$H73)</f>
        <v>0</v>
      </c>
      <c r="HT73" s="12">
        <f>HT$4*IE73</f>
        <v>0</v>
      </c>
      <c r="HU73" s="12">
        <f>HU$4 * IF(AND(HT$4=1,HT$20=1), IG73, IE73)</f>
        <v>0</v>
      </c>
      <c r="HV73" s="12">
        <f>HV$4 * IF(AND(HU$4=1,HT$20=1), IG73, IE73)</f>
        <v>0</v>
      </c>
      <c r="HW73" s="12">
        <f>HW$4 * IF(AND(HV$4=1,HT$20=1), IG73, IE73)</f>
        <v>0</v>
      </c>
      <c r="HX73" s="12">
        <f>HX$4 * IF(AND(HW$4=1,HT$20=1), IG73, IE73)</f>
        <v>0</v>
      </c>
      <c r="HY73" s="12">
        <f>HY$4 * IF(AND(HX$4=1,HT$20=1), IG73, IE73)</f>
        <v>0</v>
      </c>
      <c r="HZ73" s="12">
        <f>HZ$4 * IF(AND(HY$4=1,HT$20=1), IG73, IE73)</f>
        <v>0</v>
      </c>
      <c r="IA73" s="12">
        <f>IA$4 * IF(AND(HZ$4=1,HT$20=1), IG73, IE73)</f>
        <v>0</v>
      </c>
      <c r="IB73" s="12">
        <f>IB$4 * IF(AND(IA$4=1,HT$20=1), IG73, IE73)</f>
        <v>0</v>
      </c>
      <c r="ID73" t="s">
        <v>1304</v>
      </c>
      <c r="IE73">
        <f>_xlfn.XLOOKUP(ID73,'KPI Impacts'!$B$2:$H$2,'KPI Impacts'!$B73:$H73)</f>
        <v>0</v>
      </c>
      <c r="IF73" s="9" t="s">
        <v>1304</v>
      </c>
      <c r="IG73">
        <f>_xlfn.XLOOKUP(IF73,'KPI Impacts'!$B$2:$H$2,'KPI Impacts'!$B73:$H73)</f>
        <v>0</v>
      </c>
      <c r="IJ73" s="12">
        <f>IJ$4*IU73</f>
        <v>0</v>
      </c>
      <c r="IK73" s="12">
        <f>IK$4 * IF(AND(IJ$4=1,IJ$20=1), IW73, IU73)</f>
        <v>0</v>
      </c>
      <c r="IL73" s="12">
        <f>IL$4 * IF(AND(IK$4=1,IJ$20=1), IW73, IU73)</f>
        <v>0</v>
      </c>
      <c r="IM73" s="12">
        <f>IM$4 * IF(AND(IL$4=1,IJ$20=1), IW73, IU73)</f>
        <v>0</v>
      </c>
      <c r="IN73" s="12">
        <f>IN$4 * IF(AND(IM$4=1,IJ$20=1), IW73, IU73)</f>
        <v>0</v>
      </c>
      <c r="IO73" s="12">
        <f>IO$4 * IF(AND(IN$4=1,IJ$20=1), IW73, IU73)</f>
        <v>0</v>
      </c>
      <c r="IP73" s="12">
        <f>IP$4 * IF(AND(IO$4=1,IJ$20=1), IW73, IU73)</f>
        <v>0</v>
      </c>
      <c r="IQ73" s="12">
        <f>IQ$4 * IF(AND(IP$4=1,IJ$20=1), IW73, IU73)</f>
        <v>0</v>
      </c>
      <c r="IR73" s="12">
        <f>IR$4 * IF(AND(IQ$4=1,IJ$20=1), IW73, IU73)</f>
        <v>0</v>
      </c>
      <c r="IT73" t="s">
        <v>1304</v>
      </c>
      <c r="IU73">
        <f>_xlfn.XLOOKUP(IT73,'KPI Impacts'!$B$2:$H$2,'KPI Impacts'!$B73:$H73)</f>
        <v>0</v>
      </c>
      <c r="IV73" s="9" t="s">
        <v>1304</v>
      </c>
      <c r="IW73">
        <f>_xlfn.XLOOKUP(IV73,'KPI Impacts'!$B$2:$H$2,'KPI Impacts'!$B73:$H73)</f>
        <v>0</v>
      </c>
      <c r="IZ73" s="12">
        <f>IZ$4*JK73</f>
        <v>0</v>
      </c>
      <c r="JA73" s="12">
        <f>JA$4 * IF(AND(IZ$4=1,IZ$20=1), JM73, JK73)</f>
        <v>0</v>
      </c>
      <c r="JB73" s="12">
        <f>JB$4 * IF(AND(JA$4=1,IZ$20=1), JM73, JK73)</f>
        <v>0</v>
      </c>
      <c r="JC73" s="12">
        <f>JC$4 * IF(AND(JB$4=1,IZ$20=1), JM73, JK73)</f>
        <v>0</v>
      </c>
      <c r="JD73" s="12">
        <f>JD$4 * IF(AND(JC$4=1,IZ$20=1), JM73, JK73)</f>
        <v>0</v>
      </c>
      <c r="JE73" s="12">
        <f>JE$4 * IF(AND(JD$4=1,IZ$20=1), JM73, JK73)</f>
        <v>0</v>
      </c>
      <c r="JF73" s="12">
        <f>JF$4 * IF(AND(JE$4=1,IZ$20=1), JM73, JK73)</f>
        <v>0</v>
      </c>
      <c r="JG73" s="12">
        <f>JG$4 * IF(AND(JF$4=1,IZ$20=1), JM73, JK73)</f>
        <v>0</v>
      </c>
      <c r="JH73" s="12">
        <f>JH$4 * IF(AND(JG$4=1,IZ$20=1), JM73, JK73)</f>
        <v>0</v>
      </c>
      <c r="JJ73" t="s">
        <v>1304</v>
      </c>
      <c r="JK73">
        <f>_xlfn.XLOOKUP(JJ73,'KPI Impacts'!$B$2:$H$2,'KPI Impacts'!$B73:$H73)</f>
        <v>0</v>
      </c>
      <c r="JL73" s="9" t="s">
        <v>1304</v>
      </c>
      <c r="JM73">
        <f>_xlfn.XLOOKUP(JL73,'KPI Impacts'!$B$2:$H$2,'KPI Impacts'!$B73:$H73)</f>
        <v>0</v>
      </c>
      <c r="JP73" s="12">
        <f>JP$4*KA73</f>
        <v>0</v>
      </c>
      <c r="JQ73" s="12">
        <f>JQ$4 * IF(AND(JP$4=1,JP$20=1), KC73, KA73)</f>
        <v>0</v>
      </c>
      <c r="JR73" s="12">
        <f>JR$4 * IF(AND(JQ$4=1,JP$20=1), KC73, KA73)</f>
        <v>0</v>
      </c>
      <c r="JS73" s="12">
        <f>JS$4 * IF(AND(JR$4=1,JP$20=1), KC73, KA73)</f>
        <v>0</v>
      </c>
      <c r="JT73" s="12">
        <f>JT$4 * IF(AND(JS$4=1,JP$20=1), KC73, KA73)</f>
        <v>0</v>
      </c>
      <c r="JU73" s="12">
        <f>JU$4 * IF(AND(JT$4=1,JP$20=1), KC73, KA73)</f>
        <v>0</v>
      </c>
      <c r="JV73" s="12">
        <f>JV$4 * IF(AND(JU$4=1,JP$20=1), KC73, KA73)</f>
        <v>0</v>
      </c>
      <c r="JW73" s="12">
        <f>JW$4 * IF(AND(JV$4=1,JP$20=1), KC73, KA73)</f>
        <v>0</v>
      </c>
      <c r="JX73" s="12">
        <f>JX$4 * IF(AND(JW$4=1,JP$20=1), KC73, KA73)</f>
        <v>0</v>
      </c>
      <c r="JZ73" t="s">
        <v>1304</v>
      </c>
      <c r="KA73">
        <f>_xlfn.XLOOKUP(JZ73,'KPI Impacts'!$B$2:$H$2,'KPI Impacts'!$B73:$H73)</f>
        <v>0</v>
      </c>
      <c r="KB73" s="9" t="s">
        <v>1304</v>
      </c>
      <c r="KC73">
        <f>_xlfn.XLOOKUP(KB73,'KPI Impacts'!$B$2:$H$2,'KPI Impacts'!$B73:$H73)</f>
        <v>0</v>
      </c>
      <c r="KF73" s="12">
        <f>KF$4*KQ73</f>
        <v>0</v>
      </c>
      <c r="KG73" s="12">
        <f>KG$4 * IF(AND(KF$4=1,KF$20=1), KS73, KQ73)</f>
        <v>0</v>
      </c>
      <c r="KH73" s="12">
        <f>KH$4 * IF(AND(KG$4=1,KF$20=1), KS73, KQ73)</f>
        <v>0</v>
      </c>
      <c r="KI73" s="12">
        <f>KI$4 * IF(AND(KH$4=1,KF$20=1), KS73, KQ73)</f>
        <v>0</v>
      </c>
      <c r="KJ73" s="12">
        <f>KJ$4 * IF(AND(KI$4=1,KF$20=1), KS73, KQ73)</f>
        <v>0</v>
      </c>
      <c r="KK73" s="12">
        <f>KK$4 * IF(AND(KJ$4=1,KF$20=1), KS73, KQ73)</f>
        <v>0</v>
      </c>
      <c r="KL73" s="12">
        <f>KL$4 * IF(AND(KK$4=1,KF$20=1), KS73, KQ73)</f>
        <v>0</v>
      </c>
      <c r="KM73" s="12">
        <f>KM$4 * IF(AND(KL$4=1,KF$20=1), KS73, KQ73)</f>
        <v>0</v>
      </c>
      <c r="KN73" s="12">
        <f>KN$4 * IF(AND(KM$4=1,KF$20=1), KS73, KQ73)</f>
        <v>0</v>
      </c>
      <c r="KP73" t="s">
        <v>1304</v>
      </c>
      <c r="KQ73">
        <f>_xlfn.XLOOKUP(KP73,'KPI Impacts'!$B$2:$H$2,'KPI Impacts'!$B73:$H73)</f>
        <v>0</v>
      </c>
      <c r="KR73" s="9" t="s">
        <v>1304</v>
      </c>
      <c r="KS73">
        <f>_xlfn.XLOOKUP(KR73,'KPI Impacts'!$B$2:$H$2,'KPI Impacts'!$B73:$H73)</f>
        <v>0</v>
      </c>
      <c r="KV73" s="12">
        <f>KV$4*LG73</f>
        <v>0</v>
      </c>
      <c r="KW73" s="12">
        <f>KW$4 * IF(AND(KV$4=1,KV$20=1), LI73, LG73)</f>
        <v>0</v>
      </c>
      <c r="KX73" s="12">
        <f>KX$4 * IF(AND(KW$4=1,KV$20=1), LI73, LG73)</f>
        <v>0</v>
      </c>
      <c r="KY73" s="12">
        <f>KY$4 * IF(AND(KX$4=1,KV$20=1), LI73, LG73)</f>
        <v>0</v>
      </c>
      <c r="KZ73" s="12">
        <f>KZ$4 * IF(AND(KY$4=1,KV$20=1), LI73, LG73)</f>
        <v>0</v>
      </c>
      <c r="LA73" s="12">
        <f>LA$4 * IF(AND(KZ$4=1,KV$20=1), LI73, LG73)</f>
        <v>0</v>
      </c>
      <c r="LB73" s="12">
        <f>LB$4 * IF(AND(LA$4=1,KV$20=1), LI73, LG73)</f>
        <v>0</v>
      </c>
      <c r="LC73" s="12">
        <f>LC$4 * IF(AND(LB$4=1,KV$20=1), LI73, LG73)</f>
        <v>0</v>
      </c>
      <c r="LD73" s="12">
        <f>LD$4 * IF(AND(LC$4=1,KV$20=1), LI73, LG73)</f>
        <v>0</v>
      </c>
      <c r="LF73" t="s">
        <v>1304</v>
      </c>
      <c r="LG73">
        <f>_xlfn.XLOOKUP(LF73,'KPI Impacts'!$B$2:$H$2,'KPI Impacts'!$B73:$H73)</f>
        <v>0</v>
      </c>
      <c r="LH73" s="9" t="s">
        <v>1304</v>
      </c>
      <c r="LI73">
        <f>_xlfn.XLOOKUP(LH73,'KPI Impacts'!$B$2:$H$2,'KPI Impacts'!$B73:$H73)</f>
        <v>0</v>
      </c>
      <c r="LL73" s="12">
        <f>LL$4*LW73</f>
        <v>0</v>
      </c>
      <c r="LM73" s="12">
        <f>LM$4 * IF(AND(LL$4=1,LL$20=1), LY73, LW73)</f>
        <v>0</v>
      </c>
      <c r="LN73" s="12">
        <f>LN$4 * IF(AND(LM$4=1,LL$20=1), LY73, LW73)</f>
        <v>0</v>
      </c>
      <c r="LO73" s="12">
        <f>LO$4 * IF(AND(LN$4=1,LL$20=1), LY73, LW73)</f>
        <v>0</v>
      </c>
      <c r="LP73" s="12">
        <f>LP$4 * IF(AND(LO$4=1,LL$20=1), LY73, LW73)</f>
        <v>0</v>
      </c>
      <c r="LQ73" s="12">
        <f>LQ$4 * IF(AND(LP$4=1,LL$20=1), LY73, LW73)</f>
        <v>0</v>
      </c>
      <c r="LR73" s="12">
        <f>LR$4 * IF(AND(LQ$4=1,LL$20=1), LY73, LW73)</f>
        <v>0</v>
      </c>
      <c r="LS73" s="12">
        <f>LS$4 * IF(AND(LR$4=1,LL$20=1), LY73, LW73)</f>
        <v>0</v>
      </c>
      <c r="LT73" s="12">
        <f>LT$4 * IF(AND(LS$4=1,LL$20=1), LY73, LW73)</f>
        <v>0</v>
      </c>
      <c r="LV73" t="s">
        <v>1304</v>
      </c>
      <c r="LW73">
        <f>_xlfn.XLOOKUP(LV73,'KPI Impacts'!$B$2:$H$2,'KPI Impacts'!$B73:$H73)</f>
        <v>0</v>
      </c>
      <c r="LX73" s="9" t="s">
        <v>1304</v>
      </c>
      <c r="LY73">
        <f>_xlfn.XLOOKUP(LX73,'KPI Impacts'!$B$2:$H$2,'KPI Impacts'!$B73:$H73)</f>
        <v>0</v>
      </c>
      <c r="MB73" s="12">
        <f>MB$4*MM73</f>
        <v>0</v>
      </c>
      <c r="MC73" s="12">
        <f>MC$4 * IF(AND(MB$4=1,MB$20=1), MO73, MM73)</f>
        <v>0</v>
      </c>
      <c r="MD73" s="12">
        <f>MD$4 * IF(AND(MC$4=1,MB$20=1), MO73, MM73)</f>
        <v>0</v>
      </c>
      <c r="ME73" s="12">
        <f>ME$4 * IF(AND(MD$4=1,MB$20=1), MO73, MM73)</f>
        <v>0</v>
      </c>
      <c r="MF73" s="12">
        <f>MF$4 * IF(AND(ME$4=1,MB$20=1), MO73, MM73)</f>
        <v>0</v>
      </c>
      <c r="MG73" s="12">
        <f>MG$4 * IF(AND(MF$4=1,MB$20=1), MO73, MM73)</f>
        <v>0</v>
      </c>
      <c r="MH73" s="12">
        <f>MH$4 * IF(AND(MG$4=1,MB$20=1), MO73, MM73)</f>
        <v>0</v>
      </c>
      <c r="MI73" s="12">
        <f>MI$4 * IF(AND(MH$4=1,MB$20=1), MO73, MM73)</f>
        <v>0</v>
      </c>
      <c r="MJ73" s="12">
        <f>MJ$4 * IF(AND(MI$4=1,MB$20=1), MO73, MM73)</f>
        <v>0</v>
      </c>
      <c r="ML73" t="s">
        <v>1304</v>
      </c>
      <c r="MM73">
        <f>_xlfn.XLOOKUP(ML73,'KPI Impacts'!$B$2:$H$2,'KPI Impacts'!$B73:$H73)</f>
        <v>0</v>
      </c>
      <c r="MN73" s="9" t="s">
        <v>1304</v>
      </c>
      <c r="MO73">
        <f>_xlfn.XLOOKUP(MN73,'KPI Impacts'!$B$2:$H$2,'KPI Impacts'!$B73:$H73)</f>
        <v>0</v>
      </c>
      <c r="MR73" s="12">
        <f>MR$4*NC73</f>
        <v>0</v>
      </c>
      <c r="MS73" s="12">
        <f>MS$4 * IF(AND(MR$4=1,MR$20=1), NE73, NC73)</f>
        <v>0</v>
      </c>
      <c r="MT73" s="12">
        <f>MT$4 * IF(AND(MS$4=1,MR$20=1), NE73, NC73)</f>
        <v>0</v>
      </c>
      <c r="MU73" s="12">
        <f>MU$4 * IF(AND(MT$4=1,MR$20=1), NE73, NC73)</f>
        <v>0</v>
      </c>
      <c r="MV73" s="12">
        <f>MV$4 * IF(AND(MU$4=1,MR$20=1), NE73, NC73)</f>
        <v>0</v>
      </c>
      <c r="MW73" s="12">
        <f>MW$4 * IF(AND(MV$4=1,MR$20=1), NE73, NC73)</f>
        <v>0</v>
      </c>
      <c r="MX73" s="12">
        <f>MX$4 * IF(AND(MW$4=1,MR$20=1), NE73, NC73)</f>
        <v>0</v>
      </c>
      <c r="MY73" s="12">
        <f>MY$4 * IF(AND(MX$4=1,MR$20=1), NE73, NC73)</f>
        <v>0</v>
      </c>
      <c r="MZ73" s="12">
        <f>MZ$4 * IF(AND(MY$4=1,MR$20=1), NE73, NC73)</f>
        <v>0</v>
      </c>
      <c r="NB73" t="s">
        <v>1304</v>
      </c>
      <c r="NC73">
        <f>_xlfn.XLOOKUP(NB73,'KPI Impacts'!$B$2:$H$2,'KPI Impacts'!$B73:$H73)</f>
        <v>0</v>
      </c>
      <c r="ND73" s="9" t="s">
        <v>1304</v>
      </c>
      <c r="NE73">
        <f>_xlfn.XLOOKUP(ND73,'KPI Impacts'!$B$2:$H$2,'KPI Impacts'!$B73:$H73)</f>
        <v>0</v>
      </c>
      <c r="NH73" s="12">
        <f>NH$4*NS73</f>
        <v>0</v>
      </c>
      <c r="NI73" s="12">
        <f>NI$4 * IF(AND(NH$4=1,NH$20=1), NU73, NS73)</f>
        <v>0</v>
      </c>
      <c r="NJ73" s="12">
        <f>NJ$4 * IF(AND(NI$4=1,NH$20=1), NU73, NS73)</f>
        <v>0</v>
      </c>
      <c r="NK73" s="12">
        <f>NK$4 * IF(AND(NJ$4=1,NH$20=1), NU73, NS73)</f>
        <v>0</v>
      </c>
      <c r="NL73" s="12">
        <f>NL$4 * IF(AND(NK$4=1,NH$20=1), NU73, NS73)</f>
        <v>0</v>
      </c>
      <c r="NM73" s="12">
        <f>NM$4 * IF(AND(NL$4=1,NH$20=1), NU73, NS73)</f>
        <v>0</v>
      </c>
      <c r="NN73" s="12">
        <f>NN$4 * IF(AND(NM$4=1,NH$20=1), NU73, NS73)</f>
        <v>0</v>
      </c>
      <c r="NO73" s="12">
        <f>NO$4 * IF(AND(NN$4=1,NH$20=1), NU73, NS73)</f>
        <v>0</v>
      </c>
      <c r="NP73" s="12">
        <f>NP$4 * IF(AND(NO$4=1,NH$20=1), NU73, NS73)</f>
        <v>0</v>
      </c>
      <c r="NR73" t="s">
        <v>1304</v>
      </c>
      <c r="NS73">
        <f>_xlfn.XLOOKUP(NR73,'KPI Impacts'!$B$2:$H$2,'KPI Impacts'!$B73:$H73)</f>
        <v>0</v>
      </c>
      <c r="NT73" s="9" t="s">
        <v>1304</v>
      </c>
      <c r="NU73">
        <f>_xlfn.XLOOKUP(NT73,'KPI Impacts'!$B$2:$H$2,'KPI Impacts'!$B73:$H73)</f>
        <v>0</v>
      </c>
      <c r="NX73" s="12">
        <f>NX$4*OI73</f>
        <v>0</v>
      </c>
      <c r="NY73" s="12">
        <f>NY$4 * IF(AND(NX$4=1,NX$20=1), OK73, OI73)</f>
        <v>0</v>
      </c>
      <c r="NZ73" s="12">
        <f>NZ$4 * IF(AND(NY$4=1,NX$20=1), OK73, OI73)</f>
        <v>0</v>
      </c>
      <c r="OA73" s="12">
        <f>OA$4 * IF(AND(NZ$4=1,NX$20=1), OK73, OI73)</f>
        <v>0</v>
      </c>
      <c r="OB73" s="12">
        <f>OB$4 * IF(AND(OA$4=1,NX$20=1), OK73, OI73)</f>
        <v>0</v>
      </c>
      <c r="OC73" s="12">
        <f>OC$4 * IF(AND(OB$4=1,NX$20=1), OK73, OI73)</f>
        <v>0</v>
      </c>
      <c r="OD73" s="12">
        <f>OD$4 * IF(AND(OC$4=1,NX$20=1), OK73, OI73)</f>
        <v>0</v>
      </c>
      <c r="OE73" s="12">
        <f>OE$4 * IF(AND(OD$4=1,NX$20=1), OK73, OI73)</f>
        <v>0</v>
      </c>
      <c r="OF73" s="12">
        <f>OF$4 * IF(AND(OE$4=1,NX$20=1), OK73, OI73)</f>
        <v>0</v>
      </c>
      <c r="OH73" t="s">
        <v>1304</v>
      </c>
      <c r="OI73">
        <f>_xlfn.XLOOKUP(OH73,'KPI Impacts'!$B$2:$H$2,'KPI Impacts'!$B73:$H73)</f>
        <v>0</v>
      </c>
      <c r="OJ73" s="9" t="s">
        <v>1304</v>
      </c>
      <c r="OK73">
        <f>_xlfn.XLOOKUP(OJ73,'KPI Impacts'!$B$2:$H$2,'KPI Impacts'!$B73:$H73)</f>
        <v>0</v>
      </c>
    </row>
    <row r="74" spans="1:401" x14ac:dyDescent="0.2">
      <c r="A74" s="9" t="s">
        <v>1964</v>
      </c>
      <c r="B74" s="12">
        <f t="shared" si="515"/>
        <v>0</v>
      </c>
      <c r="C74" s="12">
        <f t="shared" si="515"/>
        <v>0</v>
      </c>
      <c r="D74" s="12">
        <f t="shared" si="515"/>
        <v>0</v>
      </c>
      <c r="E74" s="12">
        <f t="shared" si="515"/>
        <v>0</v>
      </c>
      <c r="F74" s="12">
        <f t="shared" si="515"/>
        <v>0</v>
      </c>
      <c r="G74" s="12">
        <f t="shared" si="515"/>
        <v>0</v>
      </c>
      <c r="H74" s="12">
        <f t="shared" si="515"/>
        <v>0</v>
      </c>
      <c r="I74" s="12">
        <f t="shared" si="515"/>
        <v>0</v>
      </c>
      <c r="J74" s="12">
        <f t="shared" si="515"/>
        <v>0</v>
      </c>
      <c r="P74" s="12" cm="1">
        <f t="array" ref="P74">_xlfn.SWITCH(P$4, 0,0, 1, AA74,2,AC74,3,AE74,0)</f>
        <v>0</v>
      </c>
      <c r="Q74" s="12" cm="1">
        <f t="array" ref="Q74">_xlfn.SWITCH(Q$4, 0,0, 1, AA74,2,AC74,3,AE74,0)+P74</f>
        <v>0</v>
      </c>
      <c r="R74" s="12" cm="1">
        <f t="array" ref="R74">_xlfn.SWITCH(R$4, 0,0, 1, AA74,2,AC74,3,AE74,0)+Q74</f>
        <v>0</v>
      </c>
      <c r="S74" s="12" cm="1">
        <f t="array" ref="S74">_xlfn.SWITCH(S$4, 0,0, 1, AA74,2,AC74,3,AE74,0)+R74</f>
        <v>0</v>
      </c>
      <c r="T74" s="12" cm="1">
        <f t="array" ref="T74">_xlfn.SWITCH(T$4, 0,0, 1, AA74,2,AC74,3,AE74,0)+S74</f>
        <v>0</v>
      </c>
      <c r="U74" s="12" cm="1">
        <f t="array" ref="U74">_xlfn.SWITCH(U$4, 0,0, 1, AA74,2,AC74,3,AE74,0)+T74</f>
        <v>0</v>
      </c>
      <c r="V74" s="12" cm="1">
        <f t="array" ref="V74">_xlfn.SWITCH(V$4, 0,0, 1, AA74,2,AC74,3,AE74,0)+U74</f>
        <v>0</v>
      </c>
      <c r="W74" s="12" cm="1">
        <f t="array" ref="W74">_xlfn.SWITCH(W$4, 0,0, 1, AA74,2,AC74,3,AE74,0)+V74</f>
        <v>0</v>
      </c>
      <c r="X74" s="12" cm="1">
        <f t="array" ref="X74">_xlfn.SWITCH(X$4, 0,0, 1, AA74,2,AC74,3,AE74,0)+W74</f>
        <v>0</v>
      </c>
      <c r="Z74" t="s">
        <v>1304</v>
      </c>
      <c r="AA74">
        <f>_xlfn.XLOOKUP(Z74,'KPI Impacts'!$K$2:$Q$2,'KPI Impacts'!$K74:$Q74)</f>
        <v>0</v>
      </c>
      <c r="AB74" t="s">
        <v>1304</v>
      </c>
      <c r="AC74">
        <f>_xlfn.XLOOKUP(AB74,'KPI Impacts'!$K$2:$Q$2,'KPI Impacts'!$K74:$Q74)</f>
        <v>0</v>
      </c>
      <c r="AD74" t="s">
        <v>1304</v>
      </c>
      <c r="AE74">
        <f>_xlfn.XLOOKUP(AD74,'KPI Impacts'!$K$2:$Q$2,'KPI Impacts'!$K74:$Q74)</f>
        <v>0</v>
      </c>
      <c r="AH74" s="12" cm="1">
        <f t="array" ref="AH74">_xlfn.SWITCH(AH$4, 0,0, 1, AS74,2,AU74,3,AW74,0)</f>
        <v>0</v>
      </c>
      <c r="AI74" s="12" cm="1">
        <f t="array" ref="AI74">_xlfn.SWITCH(AI$4, 0,0, 1, AS74,2,AU74,3,AW74,0)+AH74</f>
        <v>0</v>
      </c>
      <c r="AJ74" s="12" cm="1">
        <f t="array" ref="AJ74">_xlfn.SWITCH(AJ$4, 0,0, 1, AS74,2,AU74,3,AW74,0)+AI74</f>
        <v>0</v>
      </c>
      <c r="AK74" s="12" cm="1">
        <f t="array" ref="AK74">_xlfn.SWITCH(AK$4, 0,0, 1, AS74,2,AU74,3,AW74,0)+AJ74</f>
        <v>0</v>
      </c>
      <c r="AL74" s="12" cm="1">
        <f t="array" ref="AL74">_xlfn.SWITCH(AL$4, 0,0, 1, AS74,2,AU74,3,AW74,0)+AK74</f>
        <v>0</v>
      </c>
      <c r="AM74" s="12" cm="1">
        <f t="array" ref="AM74">_xlfn.SWITCH(AM$4, 0,0, 1, AS74,2,AU74,3,AW74,0)+AL74</f>
        <v>0</v>
      </c>
      <c r="AN74" s="12" cm="1">
        <f t="array" ref="AN74">_xlfn.SWITCH(AN$4, 0,0, 1, AS74,2,AU74,3,AW74,0)+AM74</f>
        <v>0</v>
      </c>
      <c r="AO74" s="12" cm="1">
        <f t="array" ref="AO74">_xlfn.SWITCH(AO$4, 0,0, 1, AS74,2,AU74,3,AW74,0)+AN74</f>
        <v>0</v>
      </c>
      <c r="AP74" s="12" cm="1">
        <f t="array" ref="AP74">_xlfn.SWITCH(AP$4, 0,0, 1, AS74,2,AU74,3,AW74,0)+AO74</f>
        <v>0</v>
      </c>
      <c r="AR74" t="s">
        <v>1304</v>
      </c>
      <c r="AS74">
        <f>_xlfn.XLOOKUP(AR74,'KPI Impacts'!$K$2:$Q$2,'KPI Impacts'!$K74:$Q74)</f>
        <v>0</v>
      </c>
      <c r="AT74" t="s">
        <v>1304</v>
      </c>
      <c r="AU74">
        <f>_xlfn.XLOOKUP(AT74,'KPI Impacts'!$K$2:$Q$2,'KPI Impacts'!$K74:$Q74)</f>
        <v>0</v>
      </c>
      <c r="AV74" t="s">
        <v>1304</v>
      </c>
      <c r="AW74">
        <f>_xlfn.XLOOKUP(AV74,'KPI Impacts'!$K$2:$Q$2,'KPI Impacts'!$K74:$Q74)</f>
        <v>0</v>
      </c>
      <c r="AZ74" s="12">
        <f>AZ$4*BK74</f>
        <v>0</v>
      </c>
      <c r="BA74" s="12">
        <f>BA$4 * IF(AND(AZ$4=1,AZ$20=1), BM74, BK74)</f>
        <v>0</v>
      </c>
      <c r="BB74" s="12">
        <f>BB$4 * IF(AND(BA$4=1,AZ$20=1), BM74, BK74)</f>
        <v>0</v>
      </c>
      <c r="BC74" s="12">
        <f>BC$4 * IF(AND(BB$4=1,AZ$20=1), BM74, BK74)</f>
        <v>0</v>
      </c>
      <c r="BD74" s="12">
        <f>BD$4 * IF(AND(BC$4=1,AZ$20=1), BM74, BK74)</f>
        <v>0</v>
      </c>
      <c r="BE74" s="12">
        <f>BE$4 * IF(AND(BD$4=1,AZ$20=1), BM74, BK74)</f>
        <v>0</v>
      </c>
      <c r="BF74" s="12">
        <f>BF$4 * IF(AND(BE$4=1,AZ$20=1), BM74, BK74)</f>
        <v>0</v>
      </c>
      <c r="BG74" s="12">
        <f>BG$4 * IF(AND(BF$4=1,AZ$20=1), BM74, BK74)</f>
        <v>0</v>
      </c>
      <c r="BH74" s="12">
        <f>BH$4 * IF(AND(BG$4=1,AZ$20=1), BM74, BK74)</f>
        <v>0</v>
      </c>
      <c r="BJ74" s="16" t="s">
        <v>1304</v>
      </c>
      <c r="BK74">
        <f>_xlfn.XLOOKUP(BJ74,'KPI Impacts'!$B$2:$H$2,'KPI Impacts'!$B74:$H74)</f>
        <v>0</v>
      </c>
      <c r="BL74" s="35" t="s">
        <v>1304</v>
      </c>
      <c r="BM74">
        <f>_xlfn.XLOOKUP(BL74,'KPI Impacts'!$B$2:$H$2,'KPI Impacts'!$B74:$H74)</f>
        <v>0</v>
      </c>
      <c r="BP74" s="12">
        <f>BP$4*CA74</f>
        <v>0</v>
      </c>
      <c r="BQ74" s="12">
        <f>BQ$4 * IF(AND(BP$4=1,BP$20=1), CC74, CA74)</f>
        <v>0</v>
      </c>
      <c r="BR74" s="12">
        <f>BR$4 * IF(AND(BQ$4=1,BP$20=1), CC74, CA74)</f>
        <v>0</v>
      </c>
      <c r="BS74" s="12">
        <f>BS$4 * IF(AND(BR$4=1,BP$20=1), CC74, CA74)</f>
        <v>0</v>
      </c>
      <c r="BT74" s="12">
        <f>BT$4 * IF(AND(BS$4=1,BP$20=1), CC74, CA74)</f>
        <v>0</v>
      </c>
      <c r="BU74" s="12">
        <f>BU$4 * IF(AND(BT$4=1,BP$20=1), CC74, CA74)</f>
        <v>0</v>
      </c>
      <c r="BV74" s="12">
        <f>BV$4 * IF(AND(BU$4=1,BP$20=1), CC74, CA74)</f>
        <v>0</v>
      </c>
      <c r="BW74" s="12">
        <f>BW$4 * IF(AND(BV$4=1,BP$20=1), CC74, CA74)</f>
        <v>0</v>
      </c>
      <c r="BX74" s="12">
        <f>BX$4 * IF(AND(BW$4=1,BP$20=1), CC74, CA74)</f>
        <v>0</v>
      </c>
      <c r="BZ74" s="16" t="s">
        <v>1304</v>
      </c>
      <c r="CA74">
        <f>_xlfn.XLOOKUP(BZ74,'KPI Impacts'!$B$2:$H$2,'KPI Impacts'!$B74:$H74)</f>
        <v>0</v>
      </c>
      <c r="CB74" s="35" t="s">
        <v>1304</v>
      </c>
      <c r="CC74">
        <f>_xlfn.XLOOKUP(CB74,'KPI Impacts'!$B$2:$H$2,'KPI Impacts'!$B74:$H74)</f>
        <v>0</v>
      </c>
      <c r="CF74" s="12">
        <f>CF$4*CQ74</f>
        <v>0</v>
      </c>
      <c r="CG74" s="12">
        <f>CG$4 * IF(AND(CF$4=1,CF$20=1), CS74, CQ74)</f>
        <v>0</v>
      </c>
      <c r="CH74" s="12">
        <f>CH$4 * IF(AND(CG$4=1,CF$20=1), CS74, CQ74)</f>
        <v>0</v>
      </c>
      <c r="CI74" s="12">
        <f>CI$4 * IF(AND(CH$4=1,CF$20=1), CS74, CQ74)</f>
        <v>0</v>
      </c>
      <c r="CJ74" s="12">
        <f>CJ$4 * IF(AND(CI$4=1,CF$20=1), CS74, CQ74)</f>
        <v>0</v>
      </c>
      <c r="CK74" s="12">
        <f>CK$4 * IF(AND(CJ$4=1,CF$20=1), CS74, CQ74)</f>
        <v>0</v>
      </c>
      <c r="CL74" s="12">
        <f>CL$4 * IF(AND(CK$4=1,CF$20=1), CS74, CQ74)</f>
        <v>0</v>
      </c>
      <c r="CM74" s="12">
        <f>CM$4 * IF(AND(CL$4=1,CF$20=1), CS74, CQ74)</f>
        <v>0</v>
      </c>
      <c r="CN74" s="12">
        <f>CN$4 * IF(AND(CM$4=1,CF$20=1), CS74, CQ74)</f>
        <v>0</v>
      </c>
      <c r="CP74" s="16" t="s">
        <v>1304</v>
      </c>
      <c r="CQ74">
        <f>_xlfn.XLOOKUP(CP74,'KPI Impacts'!$B$2:$H$2,'KPI Impacts'!$B74:$H74)</f>
        <v>0</v>
      </c>
      <c r="CR74" s="35" t="s">
        <v>1304</v>
      </c>
      <c r="CS74">
        <f>_xlfn.XLOOKUP(CR74,'KPI Impacts'!$B$2:$H$2,'KPI Impacts'!$B74:$H74)</f>
        <v>0</v>
      </c>
      <c r="CV74" s="12">
        <f>CV$4*DG74</f>
        <v>0</v>
      </c>
      <c r="CW74" s="12">
        <f>CW$4 * IF(AND(CV$4=1,CV$20=1), DI74, DG74)</f>
        <v>0</v>
      </c>
      <c r="CX74" s="12">
        <f>CX$4 * IF(AND(CW$4=1,CV$20=1), DI74, DG74)</f>
        <v>0</v>
      </c>
      <c r="CY74" s="12">
        <f>CY$4 * IF(AND(CX$4=1,CV$20=1), DI74, DG74)</f>
        <v>0</v>
      </c>
      <c r="CZ74" s="12">
        <f>CZ$4 * IF(AND(CY$4=1,CV$20=1), DI74, DG74)</f>
        <v>0</v>
      </c>
      <c r="DA74" s="12">
        <f>DA$4 * IF(AND(CZ$4=1,CV$20=1), DI74, DG74)</f>
        <v>0</v>
      </c>
      <c r="DB74" s="12">
        <f>DB$4 * IF(AND(DA$4=1,CV$20=1), DI74, DG74)</f>
        <v>0</v>
      </c>
      <c r="DC74" s="12">
        <f>DC$4 * IF(AND(DB$4=1,CV$20=1), DI74, DG74)</f>
        <v>0</v>
      </c>
      <c r="DD74" s="12">
        <f>DD$4 * IF(AND(DC$4=1,CV$20=1), DI74, DG74)</f>
        <v>0</v>
      </c>
      <c r="DF74" s="16" t="s">
        <v>1304</v>
      </c>
      <c r="DG74">
        <f>_xlfn.XLOOKUP(DF74,'KPI Impacts'!$B$2:$H$2,'KPI Impacts'!$B74:$H74)</f>
        <v>0</v>
      </c>
      <c r="DH74" s="35" t="s">
        <v>1304</v>
      </c>
      <c r="DI74">
        <f>_xlfn.XLOOKUP(DH74,'KPI Impacts'!$B$2:$H$2,'KPI Impacts'!$B74:$H74)</f>
        <v>0</v>
      </c>
      <c r="DL74" s="12">
        <f>DL$4*DW74</f>
        <v>0</v>
      </c>
      <c r="DM74" s="12">
        <f>DM$4 * IF(AND(DL$4=1,DL$20=1), DY74, DW74)</f>
        <v>0</v>
      </c>
      <c r="DN74" s="12">
        <f>DN$4 * IF(AND(DM$4=1,DL$20=1), DY74, DW74)</f>
        <v>0</v>
      </c>
      <c r="DO74" s="12">
        <f>DO$4 * IF(AND(DN$4=1,DL$20=1), DY74, DW74)</f>
        <v>0</v>
      </c>
      <c r="DP74" s="12">
        <f>DP$4 * IF(AND(DO$4=1,DL$20=1), DY74, DW74)</f>
        <v>0</v>
      </c>
      <c r="DQ74" s="12">
        <f>DQ$4 * IF(AND(DP$4=1,DL$20=1), DY74, DW74)</f>
        <v>0</v>
      </c>
      <c r="DR74" s="12">
        <f>DR$4 * IF(AND(DQ$4=1,DL$20=1), DY74, DW74)</f>
        <v>0</v>
      </c>
      <c r="DS74" s="12">
        <f>DS$4 * IF(AND(DR$4=1,DL$20=1), DY74, DW74)</f>
        <v>0</v>
      </c>
      <c r="DT74" s="12">
        <f>DT$4 * IF(AND(DS$4=1,DL$20=1), DY74, DW74)</f>
        <v>0</v>
      </c>
      <c r="DV74" s="16" t="s">
        <v>1304</v>
      </c>
      <c r="DW74">
        <f>_xlfn.XLOOKUP(DV74,'KPI Impacts'!$B$2:$H$2,'KPI Impacts'!$B74:$H74)</f>
        <v>0</v>
      </c>
      <c r="DX74" s="35" t="s">
        <v>1304</v>
      </c>
      <c r="DY74">
        <f>_xlfn.XLOOKUP(DX74,'KPI Impacts'!$B$2:$H$2,'KPI Impacts'!$B74:$H74)</f>
        <v>0</v>
      </c>
      <c r="EB74" s="12">
        <f>EB$4*EM74</f>
        <v>0</v>
      </c>
      <c r="EC74" s="12">
        <f>EC$4 * IF(AND(EB$4=1,EB$20=1), EO74, EM74)</f>
        <v>0</v>
      </c>
      <c r="ED74" s="12">
        <f>ED$4 * IF(AND(EC$4=1,EB$20=1), EO74, EM74)</f>
        <v>0</v>
      </c>
      <c r="EE74" s="12">
        <f>EE$4 * IF(AND(ED$4=1,EB$20=1), EO74, EM74)</f>
        <v>0</v>
      </c>
      <c r="EF74" s="12">
        <f>EF$4 * IF(AND(EE$4=1,EB$20=1), EO74, EM74)</f>
        <v>0</v>
      </c>
      <c r="EG74" s="12">
        <f>EG$4 * IF(AND(EF$4=1,EB$20=1), EO74, EM74)</f>
        <v>0</v>
      </c>
      <c r="EH74" s="12">
        <f>EH$4 * IF(AND(EG$4=1,EB$20=1), EO74, EM74)</f>
        <v>0</v>
      </c>
      <c r="EI74" s="12">
        <f>EI$4 * IF(AND(EH$4=1,EB$20=1), EO74, EM74)</f>
        <v>0</v>
      </c>
      <c r="EJ74" s="12">
        <f>EJ$4 * IF(AND(EI$4=1,EB$20=1), EO74, EM74)</f>
        <v>0</v>
      </c>
      <c r="EL74" s="16" t="s">
        <v>1304</v>
      </c>
      <c r="EM74">
        <f>_xlfn.XLOOKUP(EL74,'KPI Impacts'!$B$2:$H$2,'KPI Impacts'!$B74:$H74)</f>
        <v>0</v>
      </c>
      <c r="EN74" s="35" t="s">
        <v>1304</v>
      </c>
      <c r="EO74">
        <f>_xlfn.XLOOKUP(EN74,'KPI Impacts'!$B$2:$H$2,'KPI Impacts'!$B74:$H74)</f>
        <v>0</v>
      </c>
      <c r="ER74" s="12">
        <f>ER$4*FC74</f>
        <v>0</v>
      </c>
      <c r="ES74" s="12">
        <f>ES$4 * IF(AND(ER$4=1,ER$20=1), FE74, FC74)</f>
        <v>0</v>
      </c>
      <c r="ET74" s="12">
        <f>ET$4 * IF(AND(ES$4=1,ER$20=1), FE74, FC74)</f>
        <v>0</v>
      </c>
      <c r="EU74" s="12">
        <f>EU$4 * IF(AND(ET$4=1,ER$20=1), FE74, FC74)</f>
        <v>0</v>
      </c>
      <c r="EV74" s="12">
        <f>EV$4 * IF(AND(EU$4=1,ER$20=1), FE74, FC74)</f>
        <v>0</v>
      </c>
      <c r="EW74" s="12">
        <f>EW$4 * IF(AND(EV$4=1,ER$20=1), FE74, FC74)</f>
        <v>0</v>
      </c>
      <c r="EX74" s="12">
        <f>EX$4 * IF(AND(EW$4=1,ER$20=1), FE74, FC74)</f>
        <v>0</v>
      </c>
      <c r="EY74" s="12">
        <f>EY$4 * IF(AND(EX$4=1,ER$20=1), FE74, FC74)</f>
        <v>0</v>
      </c>
      <c r="EZ74" s="12">
        <f>EZ$4 * IF(AND(EY$4=1,ER$20=1), FE74, FC74)</f>
        <v>0</v>
      </c>
      <c r="FB74" s="16" t="s">
        <v>1304</v>
      </c>
      <c r="FC74">
        <f>_xlfn.XLOOKUP(FB74,'KPI Impacts'!$B$2:$H$2,'KPI Impacts'!$B74:$H74)</f>
        <v>0</v>
      </c>
      <c r="FD74" s="35" t="s">
        <v>1304</v>
      </c>
      <c r="FE74">
        <f>_xlfn.XLOOKUP(FD74,'KPI Impacts'!$B$2:$H$2,'KPI Impacts'!$B74:$H74)</f>
        <v>0</v>
      </c>
      <c r="FH74" s="12">
        <f>FH$4*FS74</f>
        <v>0</v>
      </c>
      <c r="FI74" s="12">
        <f>FI$4 * IF(AND(FH$4=1,FH$20=1), FU74, FS74)</f>
        <v>0</v>
      </c>
      <c r="FJ74" s="12">
        <f>FJ$4 * IF(AND(FI$4=1,FH$20=1), FU74, FS74)</f>
        <v>0</v>
      </c>
      <c r="FK74" s="12">
        <f>FK$4 * IF(AND(FJ$4=1,FH$20=1), FU74, FS74)</f>
        <v>0</v>
      </c>
      <c r="FL74" s="12">
        <f>FL$4 * IF(AND(FK$4=1,FH$20=1), FU74, FS74)</f>
        <v>0</v>
      </c>
      <c r="FM74" s="12">
        <f>FM$4 * IF(AND(FL$4=1,FH$20=1), FU74, FS74)</f>
        <v>0</v>
      </c>
      <c r="FN74" s="12">
        <f>FN$4 * IF(AND(FM$4=1,FH$20=1), FU74, FS74)</f>
        <v>0</v>
      </c>
      <c r="FO74" s="12">
        <f>FO$4 * IF(AND(FN$4=1,FH$20=1), FU74, FS74)</f>
        <v>0</v>
      </c>
      <c r="FP74" s="12">
        <f>FP$4 * IF(AND(FO$4=1,FH$20=1), FU74, FS74)</f>
        <v>0</v>
      </c>
      <c r="FR74" s="16" t="s">
        <v>1304</v>
      </c>
      <c r="FS74">
        <f>_xlfn.XLOOKUP(FR74,'KPI Impacts'!$B$2:$H$2,'KPI Impacts'!$B74:$H74)</f>
        <v>0</v>
      </c>
      <c r="FT74" s="9" t="s">
        <v>1304</v>
      </c>
      <c r="FU74">
        <f>_xlfn.XLOOKUP(FT74,'KPI Impacts'!$B$2:$H$2,'KPI Impacts'!$B74:$H74)</f>
        <v>0</v>
      </c>
      <c r="FX74" s="12">
        <f>FX$4*GI74</f>
        <v>0</v>
      </c>
      <c r="FY74" s="12">
        <f>FY$4 * IF(AND(FX$4=1,FX$20=1), GK74, GI74)</f>
        <v>0</v>
      </c>
      <c r="FZ74" s="12">
        <f>FZ$4 * IF(AND(FY$4=1,FX$20=1), GK74, GI74)</f>
        <v>0</v>
      </c>
      <c r="GA74" s="12">
        <f>GA$4 * IF(AND(FZ$4=1,FX$20=1), GK74, GI74)</f>
        <v>0</v>
      </c>
      <c r="GB74" s="12">
        <f>GB$4 * IF(AND(GA$4=1,FX$20=1), GK74, GI74)</f>
        <v>0</v>
      </c>
      <c r="GC74" s="12">
        <f>GC$4 * IF(AND(GB$4=1,FX$20=1), GK74, GI74)</f>
        <v>0</v>
      </c>
      <c r="GD74" s="12">
        <f>GD$4 * IF(AND(GC$4=1,FX$20=1), GK74, GI74)</f>
        <v>0</v>
      </c>
      <c r="GE74" s="12">
        <f>GE$4 * IF(AND(GD$4=1,FX$20=1), GK74, GI74)</f>
        <v>0</v>
      </c>
      <c r="GF74" s="12">
        <f>GF$4 * IF(AND(GE$4=1,FX$20=1), GK74, GI74)</f>
        <v>0</v>
      </c>
      <c r="GH74" s="16" t="s">
        <v>1304</v>
      </c>
      <c r="GI74">
        <f>_xlfn.XLOOKUP(GH74,'KPI Impacts'!$B$2:$H$2,'KPI Impacts'!$B74:$H74)</f>
        <v>0</v>
      </c>
      <c r="GJ74" s="9" t="s">
        <v>1304</v>
      </c>
      <c r="GK74">
        <f>_xlfn.XLOOKUP(GJ74,'KPI Impacts'!$B$2:$H$2,'KPI Impacts'!$B74:$H74)</f>
        <v>0</v>
      </c>
      <c r="GN74" s="12">
        <f>GN$4*GY74</f>
        <v>0</v>
      </c>
      <c r="GO74" s="12">
        <f>GO$4 * IF(AND(GN$4=1,GN$20=1), HA74, GY74)</f>
        <v>0</v>
      </c>
      <c r="GP74" s="12">
        <f>GP$4 * IF(AND(GO$4=1,GN$20=1), HA74, GY74)</f>
        <v>0</v>
      </c>
      <c r="GQ74" s="12">
        <f>GQ$4 * IF(AND(GP$4=1,GN$20=1), HA74, GY74)</f>
        <v>0</v>
      </c>
      <c r="GR74" s="12">
        <f>GR$4 * IF(AND(GQ$4=1,GN$20=1), HA74, GY74)</f>
        <v>0</v>
      </c>
      <c r="GS74" s="12">
        <f>GS$4 * IF(AND(GR$4=1,GN$20=1), HA74, GY74)</f>
        <v>0</v>
      </c>
      <c r="GT74" s="12">
        <f>GT$4 * IF(AND(GS$4=1,GN$20=1), HA74, GY74)</f>
        <v>0</v>
      </c>
      <c r="GU74" s="12">
        <f>GU$4 * IF(AND(GT$4=1,GN$20=1), HA74, GY74)</f>
        <v>0</v>
      </c>
      <c r="GV74" s="12">
        <f>GV$4 * IF(AND(GU$4=1,GN$20=1), HA74, GY74)</f>
        <v>0</v>
      </c>
      <c r="GX74" s="16" t="s">
        <v>1304</v>
      </c>
      <c r="GY74">
        <f>_xlfn.XLOOKUP(GX74,'KPI Impacts'!$B$2:$H$2,'KPI Impacts'!$B74:$H74)</f>
        <v>0</v>
      </c>
      <c r="GZ74" s="9" t="s">
        <v>1304</v>
      </c>
      <c r="HA74">
        <f>_xlfn.XLOOKUP(GZ74,'KPI Impacts'!$B$2:$H$2,'KPI Impacts'!$B74:$H74)</f>
        <v>0</v>
      </c>
      <c r="HD74" s="12">
        <f>HD$4*HO74</f>
        <v>0</v>
      </c>
      <c r="HE74" s="12">
        <f>HE$4 * IF(AND(HD$4=1,HD$20=1), HQ74, HO74)</f>
        <v>0</v>
      </c>
      <c r="HF74" s="12">
        <f>HF$4 * IF(AND(HE$4=1,HD$20=1), HQ74, HO74)</f>
        <v>0</v>
      </c>
      <c r="HG74" s="12">
        <f>HG$4 * IF(AND(HF$4=1,HD$20=1), HQ74, HO74)</f>
        <v>0</v>
      </c>
      <c r="HH74" s="12">
        <f>HH$4 * IF(AND(HG$4=1,HD$20=1), HQ74, HO74)</f>
        <v>0</v>
      </c>
      <c r="HI74" s="12">
        <f>HI$4 * IF(AND(HH$4=1,HD$20=1), HQ74, HO74)</f>
        <v>0</v>
      </c>
      <c r="HJ74" s="12">
        <f>HJ$4 * IF(AND(HI$4=1,HD$20=1), HQ74, HO74)</f>
        <v>0</v>
      </c>
      <c r="HK74" s="12">
        <f>HK$4 * IF(AND(HJ$4=1,HD$20=1), HQ74, HO74)</f>
        <v>0</v>
      </c>
      <c r="HL74" s="12">
        <f>HL$4 * IF(AND(HK$4=1,HD$20=1), HQ74, HO74)</f>
        <v>0</v>
      </c>
      <c r="HN74" t="s">
        <v>1304</v>
      </c>
      <c r="HO74">
        <f>_xlfn.XLOOKUP(HN74,'KPI Impacts'!$B$2:$H$2,'KPI Impacts'!$B74:$H74)</f>
        <v>0</v>
      </c>
      <c r="HP74" s="9" t="s">
        <v>1304</v>
      </c>
      <c r="HQ74">
        <f>_xlfn.XLOOKUP(HP74,'KPI Impacts'!$B$2:$H$2,'KPI Impacts'!$B74:$H74)</f>
        <v>0</v>
      </c>
      <c r="HT74" s="12">
        <f>HT$4*IE74</f>
        <v>0</v>
      </c>
      <c r="HU74" s="12">
        <f>HU$4 * IF(AND(HT$4=1,HT$20=1), IG74, IE74)</f>
        <v>0</v>
      </c>
      <c r="HV74" s="12">
        <f>HV$4 * IF(AND(HU$4=1,HT$20=1), IG74, IE74)</f>
        <v>0</v>
      </c>
      <c r="HW74" s="12">
        <f>HW$4 * IF(AND(HV$4=1,HT$20=1), IG74, IE74)</f>
        <v>0</v>
      </c>
      <c r="HX74" s="12">
        <f>HX$4 * IF(AND(HW$4=1,HT$20=1), IG74, IE74)</f>
        <v>0</v>
      </c>
      <c r="HY74" s="12">
        <f>HY$4 * IF(AND(HX$4=1,HT$20=1), IG74, IE74)</f>
        <v>0</v>
      </c>
      <c r="HZ74" s="12">
        <f>HZ$4 * IF(AND(HY$4=1,HT$20=1), IG74, IE74)</f>
        <v>0</v>
      </c>
      <c r="IA74" s="12">
        <f>IA$4 * IF(AND(HZ$4=1,HT$20=1), IG74, IE74)</f>
        <v>0</v>
      </c>
      <c r="IB74" s="12">
        <f>IB$4 * IF(AND(IA$4=1,HT$20=1), IG74, IE74)</f>
        <v>0</v>
      </c>
      <c r="ID74" t="s">
        <v>1304</v>
      </c>
      <c r="IE74">
        <f>_xlfn.XLOOKUP(ID74,'KPI Impacts'!$B$2:$H$2,'KPI Impacts'!$B74:$H74)</f>
        <v>0</v>
      </c>
      <c r="IF74" s="9" t="s">
        <v>1304</v>
      </c>
      <c r="IG74">
        <f>_xlfn.XLOOKUP(IF74,'KPI Impacts'!$B$2:$H$2,'KPI Impacts'!$B74:$H74)</f>
        <v>0</v>
      </c>
      <c r="IJ74" s="12">
        <f>IJ$4*IU74</f>
        <v>0</v>
      </c>
      <c r="IK74" s="12">
        <f>IK$4 * IF(AND(IJ$4=1,IJ$20=1), IW74, IU74)</f>
        <v>0</v>
      </c>
      <c r="IL74" s="12">
        <f>IL$4 * IF(AND(IK$4=1,IJ$20=1), IW74, IU74)</f>
        <v>0</v>
      </c>
      <c r="IM74" s="12">
        <f>IM$4 * IF(AND(IL$4=1,IJ$20=1), IW74, IU74)</f>
        <v>0</v>
      </c>
      <c r="IN74" s="12">
        <f>IN$4 * IF(AND(IM$4=1,IJ$20=1), IW74, IU74)</f>
        <v>0</v>
      </c>
      <c r="IO74" s="12">
        <f>IO$4 * IF(AND(IN$4=1,IJ$20=1), IW74, IU74)</f>
        <v>0</v>
      </c>
      <c r="IP74" s="12">
        <f>IP$4 * IF(AND(IO$4=1,IJ$20=1), IW74, IU74)</f>
        <v>0</v>
      </c>
      <c r="IQ74" s="12">
        <f>IQ$4 * IF(AND(IP$4=1,IJ$20=1), IW74, IU74)</f>
        <v>0</v>
      </c>
      <c r="IR74" s="12">
        <f>IR$4 * IF(AND(IQ$4=1,IJ$20=1), IW74, IU74)</f>
        <v>0</v>
      </c>
      <c r="IT74" t="s">
        <v>1304</v>
      </c>
      <c r="IU74">
        <f>_xlfn.XLOOKUP(IT74,'KPI Impacts'!$B$2:$H$2,'KPI Impacts'!$B74:$H74)</f>
        <v>0</v>
      </c>
      <c r="IV74" s="9" t="s">
        <v>1304</v>
      </c>
      <c r="IW74">
        <f>_xlfn.XLOOKUP(IV74,'KPI Impacts'!$B$2:$H$2,'KPI Impacts'!$B74:$H74)</f>
        <v>0</v>
      </c>
      <c r="IZ74" s="12">
        <f>IZ$4*JK74</f>
        <v>0</v>
      </c>
      <c r="JA74" s="12">
        <f>JA$4 * IF(AND(IZ$4=1,IZ$20=1), JM74, JK74)</f>
        <v>0</v>
      </c>
      <c r="JB74" s="12">
        <f>JB$4 * IF(AND(JA$4=1,IZ$20=1), JM74, JK74)</f>
        <v>0</v>
      </c>
      <c r="JC74" s="12">
        <f>JC$4 * IF(AND(JB$4=1,IZ$20=1), JM74, JK74)</f>
        <v>0</v>
      </c>
      <c r="JD74" s="12">
        <f>JD$4 * IF(AND(JC$4=1,IZ$20=1), JM74, JK74)</f>
        <v>0</v>
      </c>
      <c r="JE74" s="12">
        <f>JE$4 * IF(AND(JD$4=1,IZ$20=1), JM74, JK74)</f>
        <v>0</v>
      </c>
      <c r="JF74" s="12">
        <f>JF$4 * IF(AND(JE$4=1,IZ$20=1), JM74, JK74)</f>
        <v>0</v>
      </c>
      <c r="JG74" s="12">
        <f>JG$4 * IF(AND(JF$4=1,IZ$20=1), JM74, JK74)</f>
        <v>0</v>
      </c>
      <c r="JH74" s="12">
        <f>JH$4 * IF(AND(JG$4=1,IZ$20=1), JM74, JK74)</f>
        <v>0</v>
      </c>
      <c r="JJ74" t="s">
        <v>1304</v>
      </c>
      <c r="JK74">
        <f>_xlfn.XLOOKUP(JJ74,'KPI Impacts'!$B$2:$H$2,'KPI Impacts'!$B74:$H74)</f>
        <v>0</v>
      </c>
      <c r="JL74" s="9" t="s">
        <v>1304</v>
      </c>
      <c r="JM74">
        <f>_xlfn.XLOOKUP(JL74,'KPI Impacts'!$B$2:$H$2,'KPI Impacts'!$B74:$H74)</f>
        <v>0</v>
      </c>
      <c r="JP74" s="12">
        <f>JP$4*KA74</f>
        <v>0</v>
      </c>
      <c r="JQ74" s="12">
        <f>JQ$4 * IF(AND(JP$4=1,JP$20=1), KC74, KA74)</f>
        <v>0</v>
      </c>
      <c r="JR74" s="12">
        <f>JR$4 * IF(AND(JQ$4=1,JP$20=1), KC74, KA74)</f>
        <v>0</v>
      </c>
      <c r="JS74" s="12">
        <f>JS$4 * IF(AND(JR$4=1,JP$20=1), KC74, KA74)</f>
        <v>0</v>
      </c>
      <c r="JT74" s="12">
        <f>JT$4 * IF(AND(JS$4=1,JP$20=1), KC74, KA74)</f>
        <v>0</v>
      </c>
      <c r="JU74" s="12">
        <f>JU$4 * IF(AND(JT$4=1,JP$20=1), KC74, KA74)</f>
        <v>0</v>
      </c>
      <c r="JV74" s="12">
        <f>JV$4 * IF(AND(JU$4=1,JP$20=1), KC74, KA74)</f>
        <v>0</v>
      </c>
      <c r="JW74" s="12">
        <f>JW$4 * IF(AND(JV$4=1,JP$20=1), KC74, KA74)</f>
        <v>0</v>
      </c>
      <c r="JX74" s="12">
        <f>JX$4 * IF(AND(JW$4=1,JP$20=1), KC74, KA74)</f>
        <v>0</v>
      </c>
      <c r="JZ74" t="s">
        <v>1304</v>
      </c>
      <c r="KA74">
        <f>_xlfn.XLOOKUP(JZ74,'KPI Impacts'!$B$2:$H$2,'KPI Impacts'!$B74:$H74)</f>
        <v>0</v>
      </c>
      <c r="KB74" s="9" t="s">
        <v>1304</v>
      </c>
      <c r="KC74">
        <f>_xlfn.XLOOKUP(KB74,'KPI Impacts'!$B$2:$H$2,'KPI Impacts'!$B74:$H74)</f>
        <v>0</v>
      </c>
      <c r="KF74" s="12">
        <f>KF$4*KQ74</f>
        <v>0</v>
      </c>
      <c r="KG74" s="12">
        <f>KG$4 * IF(AND(KF$4=1,KF$20=1), KS74, KQ74)</f>
        <v>0</v>
      </c>
      <c r="KH74" s="12">
        <f>KH$4 * IF(AND(KG$4=1,KF$20=1), KS74, KQ74)</f>
        <v>0</v>
      </c>
      <c r="KI74" s="12">
        <f>KI$4 * IF(AND(KH$4=1,KF$20=1), KS74, KQ74)</f>
        <v>0</v>
      </c>
      <c r="KJ74" s="12">
        <f>KJ$4 * IF(AND(KI$4=1,KF$20=1), KS74, KQ74)</f>
        <v>0</v>
      </c>
      <c r="KK74" s="12">
        <f>KK$4 * IF(AND(KJ$4=1,KF$20=1), KS74, KQ74)</f>
        <v>0</v>
      </c>
      <c r="KL74" s="12">
        <f>KL$4 * IF(AND(KK$4=1,KF$20=1), KS74, KQ74)</f>
        <v>0</v>
      </c>
      <c r="KM74" s="12">
        <f>KM$4 * IF(AND(KL$4=1,KF$20=1), KS74, KQ74)</f>
        <v>0</v>
      </c>
      <c r="KN74" s="12">
        <f>KN$4 * IF(AND(KM$4=1,KF$20=1), KS74, KQ74)</f>
        <v>0</v>
      </c>
      <c r="KP74" t="s">
        <v>1304</v>
      </c>
      <c r="KQ74">
        <f>_xlfn.XLOOKUP(KP74,'KPI Impacts'!$B$2:$H$2,'KPI Impacts'!$B74:$H74)</f>
        <v>0</v>
      </c>
      <c r="KR74" s="9" t="s">
        <v>1304</v>
      </c>
      <c r="KS74">
        <f>_xlfn.XLOOKUP(KR74,'KPI Impacts'!$B$2:$H$2,'KPI Impacts'!$B74:$H74)</f>
        <v>0</v>
      </c>
      <c r="KV74" s="12">
        <f>KV$4*LG74</f>
        <v>0</v>
      </c>
      <c r="KW74" s="12">
        <f>KW$4 * IF(AND(KV$4=1,KV$20=1), LI74, LG74)</f>
        <v>0</v>
      </c>
      <c r="KX74" s="12">
        <f>KX$4 * IF(AND(KW$4=1,KV$20=1), LI74, LG74)</f>
        <v>0</v>
      </c>
      <c r="KY74" s="12">
        <f>KY$4 * IF(AND(KX$4=1,KV$20=1), LI74, LG74)</f>
        <v>0</v>
      </c>
      <c r="KZ74" s="12">
        <f>KZ$4 * IF(AND(KY$4=1,KV$20=1), LI74, LG74)</f>
        <v>0</v>
      </c>
      <c r="LA74" s="12">
        <f>LA$4 * IF(AND(KZ$4=1,KV$20=1), LI74, LG74)</f>
        <v>0</v>
      </c>
      <c r="LB74" s="12">
        <f>LB$4 * IF(AND(LA$4=1,KV$20=1), LI74, LG74)</f>
        <v>0</v>
      </c>
      <c r="LC74" s="12">
        <f>LC$4 * IF(AND(LB$4=1,KV$20=1), LI74, LG74)</f>
        <v>0</v>
      </c>
      <c r="LD74" s="12">
        <f>LD$4 * IF(AND(LC$4=1,KV$20=1), LI74, LG74)</f>
        <v>0</v>
      </c>
      <c r="LF74" t="s">
        <v>1304</v>
      </c>
      <c r="LG74">
        <f>_xlfn.XLOOKUP(LF74,'KPI Impacts'!$B$2:$H$2,'KPI Impacts'!$B74:$H74)</f>
        <v>0</v>
      </c>
      <c r="LH74" s="9" t="s">
        <v>1304</v>
      </c>
      <c r="LI74">
        <f>_xlfn.XLOOKUP(LH74,'KPI Impacts'!$B$2:$H$2,'KPI Impacts'!$B74:$H74)</f>
        <v>0</v>
      </c>
      <c r="LL74" s="12">
        <f>LL$4*LW74</f>
        <v>0</v>
      </c>
      <c r="LM74" s="12">
        <f>LM$4 * IF(AND(LL$4=1,LL$20=1), LY74, LW74)</f>
        <v>0</v>
      </c>
      <c r="LN74" s="12">
        <f>LN$4 * IF(AND(LM$4=1,LL$20=1), LY74, LW74)</f>
        <v>0</v>
      </c>
      <c r="LO74" s="12">
        <f>LO$4 * IF(AND(LN$4=1,LL$20=1), LY74, LW74)</f>
        <v>0</v>
      </c>
      <c r="LP74" s="12">
        <f>LP$4 * IF(AND(LO$4=1,LL$20=1), LY74, LW74)</f>
        <v>0</v>
      </c>
      <c r="LQ74" s="12">
        <f>LQ$4 * IF(AND(LP$4=1,LL$20=1), LY74, LW74)</f>
        <v>0</v>
      </c>
      <c r="LR74" s="12">
        <f>LR$4 * IF(AND(LQ$4=1,LL$20=1), LY74, LW74)</f>
        <v>0</v>
      </c>
      <c r="LS74" s="12">
        <f>LS$4 * IF(AND(LR$4=1,LL$20=1), LY74, LW74)</f>
        <v>0</v>
      </c>
      <c r="LT74" s="12">
        <f>LT$4 * IF(AND(LS$4=1,LL$20=1), LY74, LW74)</f>
        <v>0</v>
      </c>
      <c r="LV74" t="s">
        <v>1304</v>
      </c>
      <c r="LW74">
        <f>_xlfn.XLOOKUP(LV74,'KPI Impacts'!$B$2:$H$2,'KPI Impacts'!$B74:$H74)</f>
        <v>0</v>
      </c>
      <c r="LX74" s="9" t="s">
        <v>1304</v>
      </c>
      <c r="LY74">
        <f>_xlfn.XLOOKUP(LX74,'KPI Impacts'!$B$2:$H$2,'KPI Impacts'!$B74:$H74)</f>
        <v>0</v>
      </c>
      <c r="MB74" s="12">
        <f>MB$4*MM74</f>
        <v>0</v>
      </c>
      <c r="MC74" s="12">
        <f>MC$4 * IF(AND(MB$4=1,MB$20=1), MO74, MM74)</f>
        <v>0</v>
      </c>
      <c r="MD74" s="12">
        <f>MD$4 * IF(AND(MC$4=1,MB$20=1), MO74, MM74)</f>
        <v>0</v>
      </c>
      <c r="ME74" s="12">
        <f>ME$4 * IF(AND(MD$4=1,MB$20=1), MO74, MM74)</f>
        <v>0</v>
      </c>
      <c r="MF74" s="12">
        <f>MF$4 * IF(AND(ME$4=1,MB$20=1), MO74, MM74)</f>
        <v>0</v>
      </c>
      <c r="MG74" s="12">
        <f>MG$4 * IF(AND(MF$4=1,MB$20=1), MO74, MM74)</f>
        <v>0</v>
      </c>
      <c r="MH74" s="12">
        <f>MH$4 * IF(AND(MG$4=1,MB$20=1), MO74, MM74)</f>
        <v>0</v>
      </c>
      <c r="MI74" s="12">
        <f>MI$4 * IF(AND(MH$4=1,MB$20=1), MO74, MM74)</f>
        <v>0</v>
      </c>
      <c r="MJ74" s="12">
        <f>MJ$4 * IF(AND(MI$4=1,MB$20=1), MO74, MM74)</f>
        <v>0</v>
      </c>
      <c r="ML74" t="s">
        <v>1304</v>
      </c>
      <c r="MM74">
        <f>_xlfn.XLOOKUP(ML74,'KPI Impacts'!$B$2:$H$2,'KPI Impacts'!$B74:$H74)</f>
        <v>0</v>
      </c>
      <c r="MN74" s="9" t="s">
        <v>1304</v>
      </c>
      <c r="MO74">
        <f>_xlfn.XLOOKUP(MN74,'KPI Impacts'!$B$2:$H$2,'KPI Impacts'!$B74:$H74)</f>
        <v>0</v>
      </c>
      <c r="MR74" s="12">
        <f>MR$4*NC74</f>
        <v>0</v>
      </c>
      <c r="MS74" s="12">
        <f>MS$4 * IF(AND(MR$4=1,MR$20=1), NE74, NC74)</f>
        <v>0</v>
      </c>
      <c r="MT74" s="12">
        <f>MT$4 * IF(AND(MS$4=1,MR$20=1), NE74, NC74)</f>
        <v>0</v>
      </c>
      <c r="MU74" s="12">
        <f>MU$4 * IF(AND(MT$4=1,MR$20=1), NE74, NC74)</f>
        <v>0</v>
      </c>
      <c r="MV74" s="12">
        <f>MV$4 * IF(AND(MU$4=1,MR$20=1), NE74, NC74)</f>
        <v>0</v>
      </c>
      <c r="MW74" s="12">
        <f>MW$4 * IF(AND(MV$4=1,MR$20=1), NE74, NC74)</f>
        <v>0</v>
      </c>
      <c r="MX74" s="12">
        <f>MX$4 * IF(AND(MW$4=1,MR$20=1), NE74, NC74)</f>
        <v>0</v>
      </c>
      <c r="MY74" s="12">
        <f>MY$4 * IF(AND(MX$4=1,MR$20=1), NE74, NC74)</f>
        <v>0</v>
      </c>
      <c r="MZ74" s="12">
        <f>MZ$4 * IF(AND(MY$4=1,MR$20=1), NE74, NC74)</f>
        <v>0</v>
      </c>
      <c r="NB74" t="s">
        <v>1304</v>
      </c>
      <c r="NC74">
        <f>_xlfn.XLOOKUP(NB74,'KPI Impacts'!$B$2:$H$2,'KPI Impacts'!$B74:$H74)</f>
        <v>0</v>
      </c>
      <c r="ND74" s="9" t="s">
        <v>1304</v>
      </c>
      <c r="NE74">
        <f>_xlfn.XLOOKUP(ND74,'KPI Impacts'!$B$2:$H$2,'KPI Impacts'!$B74:$H74)</f>
        <v>0</v>
      </c>
      <c r="NH74" s="12">
        <f>NH$4*NS74</f>
        <v>0</v>
      </c>
      <c r="NI74" s="12">
        <f>NI$4 * IF(AND(NH$4=1,NH$20=1), NU74, NS74)</f>
        <v>0</v>
      </c>
      <c r="NJ74" s="12">
        <f>NJ$4 * IF(AND(NI$4=1,NH$20=1), NU74, NS74)</f>
        <v>0</v>
      </c>
      <c r="NK74" s="12">
        <f>NK$4 * IF(AND(NJ$4=1,NH$20=1), NU74, NS74)</f>
        <v>0</v>
      </c>
      <c r="NL74" s="12">
        <f>NL$4 * IF(AND(NK$4=1,NH$20=1), NU74, NS74)</f>
        <v>0</v>
      </c>
      <c r="NM74" s="12">
        <f>NM$4 * IF(AND(NL$4=1,NH$20=1), NU74, NS74)</f>
        <v>0</v>
      </c>
      <c r="NN74" s="12">
        <f>NN$4 * IF(AND(NM$4=1,NH$20=1), NU74, NS74)</f>
        <v>0</v>
      </c>
      <c r="NO74" s="12">
        <f>NO$4 * IF(AND(NN$4=1,NH$20=1), NU74, NS74)</f>
        <v>0</v>
      </c>
      <c r="NP74" s="12">
        <f>NP$4 * IF(AND(NO$4=1,NH$20=1), NU74, NS74)</f>
        <v>0</v>
      </c>
      <c r="NR74" t="s">
        <v>1304</v>
      </c>
      <c r="NS74">
        <f>_xlfn.XLOOKUP(NR74,'KPI Impacts'!$B$2:$H$2,'KPI Impacts'!$B74:$H74)</f>
        <v>0</v>
      </c>
      <c r="NT74" s="9" t="s">
        <v>1304</v>
      </c>
      <c r="NU74">
        <f>_xlfn.XLOOKUP(NT74,'KPI Impacts'!$B$2:$H$2,'KPI Impacts'!$B74:$H74)</f>
        <v>0</v>
      </c>
      <c r="NX74" s="12">
        <f>NX$4*OI74</f>
        <v>0</v>
      </c>
      <c r="NY74" s="12">
        <f>NY$4 * IF(AND(NX$4=1,NX$20=1), OK74, OI74)</f>
        <v>0</v>
      </c>
      <c r="NZ74" s="12">
        <f>NZ$4 * IF(AND(NY$4=1,NX$20=1), OK74, OI74)</f>
        <v>0</v>
      </c>
      <c r="OA74" s="12">
        <f>OA$4 * IF(AND(NZ$4=1,NX$20=1), OK74, OI74)</f>
        <v>0</v>
      </c>
      <c r="OB74" s="12">
        <f>OB$4 * IF(AND(OA$4=1,NX$20=1), OK74, OI74)</f>
        <v>0</v>
      </c>
      <c r="OC74" s="12">
        <f>OC$4 * IF(AND(OB$4=1,NX$20=1), OK74, OI74)</f>
        <v>0</v>
      </c>
      <c r="OD74" s="12">
        <f>OD$4 * IF(AND(OC$4=1,NX$20=1), OK74, OI74)</f>
        <v>0</v>
      </c>
      <c r="OE74" s="12">
        <f>OE$4 * IF(AND(OD$4=1,NX$20=1), OK74, OI74)</f>
        <v>0</v>
      </c>
      <c r="OF74" s="12">
        <f>OF$4 * IF(AND(OE$4=1,NX$20=1), OK74, OI74)</f>
        <v>0</v>
      </c>
      <c r="OH74" t="s">
        <v>1304</v>
      </c>
      <c r="OI74">
        <f>_xlfn.XLOOKUP(OH74,'KPI Impacts'!$B$2:$H$2,'KPI Impacts'!$B74:$H74)</f>
        <v>0</v>
      </c>
      <c r="OJ74" s="9" t="s">
        <v>1304</v>
      </c>
      <c r="OK74">
        <f>_xlfn.XLOOKUP(OJ74,'KPI Impacts'!$B$2:$H$2,'KPI Impacts'!$B74:$H74)</f>
        <v>0</v>
      </c>
    </row>
    <row r="75" spans="1:401" x14ac:dyDescent="0.2">
      <c r="A75" t="s">
        <v>1311</v>
      </c>
      <c r="B75" s="12">
        <f t="shared" si="515"/>
        <v>0</v>
      </c>
      <c r="C75" s="12">
        <f t="shared" si="515"/>
        <v>0</v>
      </c>
      <c r="D75" s="12">
        <f t="shared" si="515"/>
        <v>0</v>
      </c>
      <c r="E75" s="12">
        <f t="shared" si="515"/>
        <v>0</v>
      </c>
      <c r="F75" s="12">
        <f t="shared" si="515"/>
        <v>0</v>
      </c>
      <c r="G75" s="12">
        <f t="shared" si="515"/>
        <v>0</v>
      </c>
      <c r="H75" s="12">
        <f t="shared" si="515"/>
        <v>0</v>
      </c>
      <c r="I75" s="12">
        <f t="shared" si="515"/>
        <v>0</v>
      </c>
      <c r="J75" s="12">
        <f t="shared" si="515"/>
        <v>0</v>
      </c>
      <c r="P75" s="12" cm="1">
        <f t="array" ref="P75">_xlfn.SWITCH(P$4, 0,0, 1, AA75,2,AC75,3,AE75,0)</f>
        <v>0</v>
      </c>
      <c r="Q75" s="12" cm="1">
        <f t="array" ref="Q75">_xlfn.SWITCH(Q$4, 0,0, 1, AA75,2,AC75,3,AE75,0)+P75</f>
        <v>0</v>
      </c>
      <c r="R75" s="12" cm="1">
        <f t="array" ref="R75">_xlfn.SWITCH(R$4, 0,0, 1, AA75,2,AC75,3,AE75,0)+Q75</f>
        <v>0</v>
      </c>
      <c r="S75" s="12" cm="1">
        <f t="array" ref="S75">_xlfn.SWITCH(S$4, 0,0, 1, AA75,2,AC75,3,AE75,0)+R75</f>
        <v>0</v>
      </c>
      <c r="T75" s="12" cm="1">
        <f t="array" ref="T75">_xlfn.SWITCH(T$4, 0,0, 1, AA75,2,AC75,3,AE75,0)+S75</f>
        <v>0</v>
      </c>
      <c r="U75" s="12" cm="1">
        <f t="array" ref="U75">_xlfn.SWITCH(U$4, 0,0, 1, AA75,2,AC75,3,AE75,0)+T75</f>
        <v>0</v>
      </c>
      <c r="V75" s="12" cm="1">
        <f t="array" ref="V75">_xlfn.SWITCH(V$4, 0,0, 1, AA75,2,AC75,3,AE75,0)+U75</f>
        <v>0</v>
      </c>
      <c r="W75" s="12" cm="1">
        <f t="array" ref="W75">_xlfn.SWITCH(W$4, 0,0, 1, AA75,2,AC75,3,AE75,0)+V75</f>
        <v>0</v>
      </c>
      <c r="X75" s="12" cm="1">
        <f t="array" ref="X75">_xlfn.SWITCH(X$4, 0,0, 1, AA75,2,AC75,3,AE75,0)+W75</f>
        <v>0</v>
      </c>
      <c r="Z75" t="s">
        <v>1304</v>
      </c>
      <c r="AA75">
        <f>_xlfn.XLOOKUP(Z75,'KPI Impacts'!$K$2:$Q$2,'KPI Impacts'!$K75:$Q75)</f>
        <v>0</v>
      </c>
      <c r="AB75" t="s">
        <v>1304</v>
      </c>
      <c r="AC75">
        <f>_xlfn.XLOOKUP(AB75,'KPI Impacts'!$K$2:$Q$2,'KPI Impacts'!$K75:$Q75)</f>
        <v>0</v>
      </c>
      <c r="AD75" t="s">
        <v>1304</v>
      </c>
      <c r="AE75">
        <f>_xlfn.XLOOKUP(AD75,'KPI Impacts'!$K$2:$Q$2,'KPI Impacts'!$K75:$Q75)</f>
        <v>0</v>
      </c>
      <c r="AH75" s="12" cm="1">
        <f t="array" ref="AH75">_xlfn.SWITCH(AH$4, 0,0, 1, AS75,2,AU75,3,AW75,0)</f>
        <v>0</v>
      </c>
      <c r="AI75" s="12" cm="1">
        <f t="array" ref="AI75">_xlfn.SWITCH(AI$4, 0,0, 1, AS75,2,AU75,3,AW75,0)+AH75</f>
        <v>0</v>
      </c>
      <c r="AJ75" s="12" cm="1">
        <f t="array" ref="AJ75">_xlfn.SWITCH(AJ$4, 0,0, 1, AS75,2,AU75,3,AW75,0)+AI75</f>
        <v>0</v>
      </c>
      <c r="AK75" s="12" cm="1">
        <f t="array" ref="AK75">_xlfn.SWITCH(AK$4, 0,0, 1, AS75,2,AU75,3,AW75,0)+AJ75</f>
        <v>0</v>
      </c>
      <c r="AL75" s="12" cm="1">
        <f t="array" ref="AL75">_xlfn.SWITCH(AL$4, 0,0, 1, AS75,2,AU75,3,AW75,0)+AK75</f>
        <v>0</v>
      </c>
      <c r="AM75" s="12" cm="1">
        <f t="array" ref="AM75">_xlfn.SWITCH(AM$4, 0,0, 1, AS75,2,AU75,3,AW75,0)+AL75</f>
        <v>0</v>
      </c>
      <c r="AN75" s="12" cm="1">
        <f t="array" ref="AN75">_xlfn.SWITCH(AN$4, 0,0, 1, AS75,2,AU75,3,AW75,0)+AM75</f>
        <v>0</v>
      </c>
      <c r="AO75" s="12" cm="1">
        <f t="array" ref="AO75">_xlfn.SWITCH(AO$4, 0,0, 1, AS75,2,AU75,3,AW75,0)+AN75</f>
        <v>0</v>
      </c>
      <c r="AP75" s="12" cm="1">
        <f t="array" ref="AP75">_xlfn.SWITCH(AP$4, 0,0, 1, AS75,2,AU75,3,AW75,0)+AO75</f>
        <v>0</v>
      </c>
      <c r="AR75" t="s">
        <v>1304</v>
      </c>
      <c r="AS75">
        <f>_xlfn.XLOOKUP(AR75,'KPI Impacts'!$K$2:$Q$2,'KPI Impacts'!$K75:$Q75)</f>
        <v>0</v>
      </c>
      <c r="AT75" t="s">
        <v>1304</v>
      </c>
      <c r="AU75">
        <f>_xlfn.XLOOKUP(AT75,'KPI Impacts'!$K$2:$Q$2,'KPI Impacts'!$K75:$Q75)</f>
        <v>0</v>
      </c>
      <c r="AV75" t="s">
        <v>1304</v>
      </c>
      <c r="AW75">
        <f>_xlfn.XLOOKUP(AV75,'KPI Impacts'!$K$2:$Q$2,'KPI Impacts'!$K75:$Q75)</f>
        <v>0</v>
      </c>
      <c r="AZ75" s="12">
        <f>AZ$4*BK75</f>
        <v>0</v>
      </c>
      <c r="BA75" s="12">
        <f>BA$4 * IF(AND(AZ$4=1,AZ$20=1), BM75, BK75)</f>
        <v>0</v>
      </c>
      <c r="BB75" s="12">
        <f>BB$4 * IF(AND(BA$4=1,AZ$20=1), BM75, BK75)</f>
        <v>0</v>
      </c>
      <c r="BC75" s="12">
        <f>BC$4 * IF(AND(BB$4=1,AZ$20=1), BM75, BK75)</f>
        <v>0</v>
      </c>
      <c r="BD75" s="12">
        <f>BD$4 * IF(AND(BC$4=1,AZ$20=1), BM75, BK75)</f>
        <v>0</v>
      </c>
      <c r="BE75" s="12">
        <f>BE$4 * IF(AND(BD$4=1,AZ$20=1), BM75, BK75)</f>
        <v>0</v>
      </c>
      <c r="BF75" s="12">
        <f>BF$4 * IF(AND(BE$4=1,AZ$20=1), BM75, BK75)</f>
        <v>0</v>
      </c>
      <c r="BG75" s="12">
        <f>BG$4 * IF(AND(BF$4=1,AZ$20=1), BM75, BK75)</f>
        <v>0</v>
      </c>
      <c r="BH75" s="12">
        <f>BH$4 * IF(AND(BG$4=1,AZ$20=1), BM75, BK75)</f>
        <v>0</v>
      </c>
      <c r="BJ75" s="16" t="s">
        <v>1304</v>
      </c>
      <c r="BK75">
        <f>_xlfn.XLOOKUP(BJ75,'KPI Impacts'!$B$2:$H$2,'KPI Impacts'!$B75:$H75)</f>
        <v>0</v>
      </c>
      <c r="BL75" s="35" t="s">
        <v>1304</v>
      </c>
      <c r="BM75">
        <f>_xlfn.XLOOKUP(BL75,'KPI Impacts'!$B$2:$H$2,'KPI Impacts'!$B75:$H75)</f>
        <v>0</v>
      </c>
      <c r="BP75" s="12">
        <f>BP$4*CA75</f>
        <v>0</v>
      </c>
      <c r="BQ75" s="12">
        <f>BQ$4 * IF(AND(BP$4=1,BP$20=1), CC75, CA75)</f>
        <v>0</v>
      </c>
      <c r="BR75" s="12">
        <f>BR$4 * IF(AND(BQ$4=1,BP$20=1), CC75, CA75)</f>
        <v>0</v>
      </c>
      <c r="BS75" s="12">
        <f>BS$4 * IF(AND(BR$4=1,BP$20=1), CC75, CA75)</f>
        <v>0</v>
      </c>
      <c r="BT75" s="12">
        <f>BT$4 * IF(AND(BS$4=1,BP$20=1), CC75, CA75)</f>
        <v>0</v>
      </c>
      <c r="BU75" s="12">
        <f>BU$4 * IF(AND(BT$4=1,BP$20=1), CC75, CA75)</f>
        <v>0</v>
      </c>
      <c r="BV75" s="12">
        <f>BV$4 * IF(AND(BU$4=1,BP$20=1), CC75, CA75)</f>
        <v>0</v>
      </c>
      <c r="BW75" s="12">
        <f>BW$4 * IF(AND(BV$4=1,BP$20=1), CC75, CA75)</f>
        <v>0</v>
      </c>
      <c r="BX75" s="12">
        <f>BX$4 * IF(AND(BW$4=1,BP$20=1), CC75, CA75)</f>
        <v>0</v>
      </c>
      <c r="BZ75" s="16" t="s">
        <v>1304</v>
      </c>
      <c r="CA75">
        <f>_xlfn.XLOOKUP(BZ75,'KPI Impacts'!$B$2:$H$2,'KPI Impacts'!$B75:$H75)</f>
        <v>0</v>
      </c>
      <c r="CB75" s="35" t="s">
        <v>1304</v>
      </c>
      <c r="CC75">
        <f>_xlfn.XLOOKUP(CB75,'KPI Impacts'!$B$2:$H$2,'KPI Impacts'!$B75:$H75)</f>
        <v>0</v>
      </c>
      <c r="CF75" s="12">
        <f>CF$4*CQ75</f>
        <v>0</v>
      </c>
      <c r="CG75" s="12">
        <f>CG$4 * IF(AND(CF$4=1,CF$20=1), CS75, CQ75)</f>
        <v>0</v>
      </c>
      <c r="CH75" s="12">
        <f>CH$4 * IF(AND(CG$4=1,CF$20=1), CS75, CQ75)</f>
        <v>0</v>
      </c>
      <c r="CI75" s="12">
        <f>CI$4 * IF(AND(CH$4=1,CF$20=1), CS75, CQ75)</f>
        <v>0</v>
      </c>
      <c r="CJ75" s="12">
        <f>CJ$4 * IF(AND(CI$4=1,CF$20=1), CS75, CQ75)</f>
        <v>0</v>
      </c>
      <c r="CK75" s="12">
        <f>CK$4 * IF(AND(CJ$4=1,CF$20=1), CS75, CQ75)</f>
        <v>0</v>
      </c>
      <c r="CL75" s="12">
        <f>CL$4 * IF(AND(CK$4=1,CF$20=1), CS75, CQ75)</f>
        <v>0</v>
      </c>
      <c r="CM75" s="12">
        <f>CM$4 * IF(AND(CL$4=1,CF$20=1), CS75, CQ75)</f>
        <v>0</v>
      </c>
      <c r="CN75" s="12">
        <f>CN$4 * IF(AND(CM$4=1,CF$20=1), CS75, CQ75)</f>
        <v>0</v>
      </c>
      <c r="CP75" s="16" t="s">
        <v>1304</v>
      </c>
      <c r="CQ75">
        <f>_xlfn.XLOOKUP(CP75,'KPI Impacts'!$B$2:$H$2,'KPI Impacts'!$B75:$H75)</f>
        <v>0</v>
      </c>
      <c r="CR75" s="35" t="s">
        <v>1304</v>
      </c>
      <c r="CS75">
        <f>_xlfn.XLOOKUP(CR75,'KPI Impacts'!$B$2:$H$2,'KPI Impacts'!$B75:$H75)</f>
        <v>0</v>
      </c>
      <c r="CV75" s="12">
        <f>CV$4*DG75</f>
        <v>0</v>
      </c>
      <c r="CW75" s="12">
        <f>CW$4 * IF(AND(CV$4=1,CV$20=1), DI75, DG75)</f>
        <v>0</v>
      </c>
      <c r="CX75" s="12">
        <f>CX$4 * IF(AND(CW$4=1,CV$20=1), DI75, DG75)</f>
        <v>0</v>
      </c>
      <c r="CY75" s="12">
        <f>CY$4 * IF(AND(CX$4=1,CV$20=1), DI75, DG75)</f>
        <v>0</v>
      </c>
      <c r="CZ75" s="12">
        <f>CZ$4 * IF(AND(CY$4=1,CV$20=1), DI75, DG75)</f>
        <v>0</v>
      </c>
      <c r="DA75" s="12">
        <f>DA$4 * IF(AND(CZ$4=1,CV$20=1), DI75, DG75)</f>
        <v>0</v>
      </c>
      <c r="DB75" s="12">
        <f>DB$4 * IF(AND(DA$4=1,CV$20=1), DI75, DG75)</f>
        <v>0</v>
      </c>
      <c r="DC75" s="12">
        <f>DC$4 * IF(AND(DB$4=1,CV$20=1), DI75, DG75)</f>
        <v>0</v>
      </c>
      <c r="DD75" s="12">
        <f>DD$4 * IF(AND(DC$4=1,CV$20=1), DI75, DG75)</f>
        <v>0</v>
      </c>
      <c r="DF75" s="16" t="s">
        <v>1304</v>
      </c>
      <c r="DG75">
        <f>_xlfn.XLOOKUP(DF75,'KPI Impacts'!$B$2:$H$2,'KPI Impacts'!$B75:$H75)</f>
        <v>0</v>
      </c>
      <c r="DH75" s="35" t="s">
        <v>1304</v>
      </c>
      <c r="DI75">
        <f>_xlfn.XLOOKUP(DH75,'KPI Impacts'!$B$2:$H$2,'KPI Impacts'!$B75:$H75)</f>
        <v>0</v>
      </c>
      <c r="DL75" s="12">
        <f>DL$4*DW75</f>
        <v>0</v>
      </c>
      <c r="DM75" s="12">
        <f>DM$4 * IF(AND(DL$4=1,DL$20=1), DY75, DW75)</f>
        <v>0</v>
      </c>
      <c r="DN75" s="12">
        <f>DN$4 * IF(AND(DM$4=1,DL$20=1), DY75, DW75)</f>
        <v>0</v>
      </c>
      <c r="DO75" s="12">
        <f>DO$4 * IF(AND(DN$4=1,DL$20=1), DY75, DW75)</f>
        <v>0</v>
      </c>
      <c r="DP75" s="12">
        <f>DP$4 * IF(AND(DO$4=1,DL$20=1), DY75, DW75)</f>
        <v>0</v>
      </c>
      <c r="DQ75" s="12">
        <f>DQ$4 * IF(AND(DP$4=1,DL$20=1), DY75, DW75)</f>
        <v>0</v>
      </c>
      <c r="DR75" s="12">
        <f>DR$4 * IF(AND(DQ$4=1,DL$20=1), DY75, DW75)</f>
        <v>0</v>
      </c>
      <c r="DS75" s="12">
        <f>DS$4 * IF(AND(DR$4=1,DL$20=1), DY75, DW75)</f>
        <v>0</v>
      </c>
      <c r="DT75" s="12">
        <f>DT$4 * IF(AND(DS$4=1,DL$20=1), DY75, DW75)</f>
        <v>0</v>
      </c>
      <c r="DV75" s="16" t="s">
        <v>1304</v>
      </c>
      <c r="DW75">
        <f>_xlfn.XLOOKUP(DV75,'KPI Impacts'!$B$2:$H$2,'KPI Impacts'!$B75:$H75)</f>
        <v>0</v>
      </c>
      <c r="DX75" s="35" t="s">
        <v>1304</v>
      </c>
      <c r="DY75">
        <f>_xlfn.XLOOKUP(DX75,'KPI Impacts'!$B$2:$H$2,'KPI Impacts'!$B75:$H75)</f>
        <v>0</v>
      </c>
      <c r="EB75" s="12">
        <f>EB$4*EM75</f>
        <v>0</v>
      </c>
      <c r="EC75" s="12">
        <f>EC$4 * IF(AND(EB$4=1,EB$20=1), EO75, EM75)</f>
        <v>0</v>
      </c>
      <c r="ED75" s="12">
        <f>ED$4 * IF(AND(EC$4=1,EB$20=1), EO75, EM75)</f>
        <v>0</v>
      </c>
      <c r="EE75" s="12">
        <f>EE$4 * IF(AND(ED$4=1,EB$20=1), EO75, EM75)</f>
        <v>0</v>
      </c>
      <c r="EF75" s="12">
        <f>EF$4 * IF(AND(EE$4=1,EB$20=1), EO75, EM75)</f>
        <v>0</v>
      </c>
      <c r="EG75" s="12">
        <f>EG$4 * IF(AND(EF$4=1,EB$20=1), EO75, EM75)</f>
        <v>0</v>
      </c>
      <c r="EH75" s="12">
        <f>EH$4 * IF(AND(EG$4=1,EB$20=1), EO75, EM75)</f>
        <v>0</v>
      </c>
      <c r="EI75" s="12">
        <f>EI$4 * IF(AND(EH$4=1,EB$20=1), EO75, EM75)</f>
        <v>0</v>
      </c>
      <c r="EJ75" s="12">
        <f>EJ$4 * IF(AND(EI$4=1,EB$20=1), EO75, EM75)</f>
        <v>0</v>
      </c>
      <c r="EL75" s="16" t="s">
        <v>1304</v>
      </c>
      <c r="EM75">
        <f>_xlfn.XLOOKUP(EL75,'KPI Impacts'!$B$2:$H$2,'KPI Impacts'!$B75:$H75)</f>
        <v>0</v>
      </c>
      <c r="EN75" s="35" t="s">
        <v>1304</v>
      </c>
      <c r="EO75">
        <f>_xlfn.XLOOKUP(EN75,'KPI Impacts'!$B$2:$H$2,'KPI Impacts'!$B75:$H75)</f>
        <v>0</v>
      </c>
      <c r="ER75" s="12">
        <f>ER$4*FC75</f>
        <v>0</v>
      </c>
      <c r="ES75" s="12">
        <f>ES$4 * IF(AND(ER$4=1,ER$20=1), FE75, FC75)</f>
        <v>0</v>
      </c>
      <c r="ET75" s="12">
        <f>ET$4 * IF(AND(ES$4=1,ER$20=1), FE75, FC75)</f>
        <v>0</v>
      </c>
      <c r="EU75" s="12">
        <f>EU$4 * IF(AND(ET$4=1,ER$20=1), FE75, FC75)</f>
        <v>0</v>
      </c>
      <c r="EV75" s="12">
        <f>EV$4 * IF(AND(EU$4=1,ER$20=1), FE75, FC75)</f>
        <v>0</v>
      </c>
      <c r="EW75" s="12">
        <f>EW$4 * IF(AND(EV$4=1,ER$20=1), FE75, FC75)</f>
        <v>0</v>
      </c>
      <c r="EX75" s="12">
        <f>EX$4 * IF(AND(EW$4=1,ER$20=1), FE75, FC75)</f>
        <v>0</v>
      </c>
      <c r="EY75" s="12">
        <f>EY$4 * IF(AND(EX$4=1,ER$20=1), FE75, FC75)</f>
        <v>0</v>
      </c>
      <c r="EZ75" s="12">
        <f>EZ$4 * IF(AND(EY$4=1,ER$20=1), FE75, FC75)</f>
        <v>0</v>
      </c>
      <c r="FB75" s="16" t="s">
        <v>1304</v>
      </c>
      <c r="FC75">
        <f>_xlfn.XLOOKUP(FB75,'KPI Impacts'!$B$2:$H$2,'KPI Impacts'!$B75:$H75)</f>
        <v>0</v>
      </c>
      <c r="FD75" s="35" t="s">
        <v>1304</v>
      </c>
      <c r="FE75">
        <f>_xlfn.XLOOKUP(FD75,'KPI Impacts'!$B$2:$H$2,'KPI Impacts'!$B75:$H75)</f>
        <v>0</v>
      </c>
      <c r="FH75" s="12">
        <f>FH$4*FS75</f>
        <v>0</v>
      </c>
      <c r="FI75" s="12">
        <f>FI$4 * IF(AND(FH$4=1,FH$20=1), FU75, FS75)</f>
        <v>0</v>
      </c>
      <c r="FJ75" s="12">
        <f>FJ$4 * IF(AND(FI$4=1,FH$20=1), FU75, FS75)</f>
        <v>0</v>
      </c>
      <c r="FK75" s="12">
        <f>FK$4 * IF(AND(FJ$4=1,FH$20=1), FU75, FS75)</f>
        <v>0</v>
      </c>
      <c r="FL75" s="12">
        <f>FL$4 * IF(AND(FK$4=1,FH$20=1), FU75, FS75)</f>
        <v>0</v>
      </c>
      <c r="FM75" s="12">
        <f>FM$4 * IF(AND(FL$4=1,FH$20=1), FU75, FS75)</f>
        <v>0</v>
      </c>
      <c r="FN75" s="12">
        <f>FN$4 * IF(AND(FM$4=1,FH$20=1), FU75, FS75)</f>
        <v>0</v>
      </c>
      <c r="FO75" s="12">
        <f>FO$4 * IF(AND(FN$4=1,FH$20=1), FU75, FS75)</f>
        <v>0</v>
      </c>
      <c r="FP75" s="12">
        <f>FP$4 * IF(AND(FO$4=1,FH$20=1), FU75, FS75)</f>
        <v>0</v>
      </c>
      <c r="FR75" s="16" t="s">
        <v>1304</v>
      </c>
      <c r="FS75">
        <f>_xlfn.XLOOKUP(FR75,'KPI Impacts'!$B$2:$H$2,'KPI Impacts'!$B75:$H75)</f>
        <v>0</v>
      </c>
      <c r="FT75" s="9" t="s">
        <v>1304</v>
      </c>
      <c r="FU75">
        <f>_xlfn.XLOOKUP(FT75,'KPI Impacts'!$B$2:$H$2,'KPI Impacts'!$B75:$H75)</f>
        <v>0</v>
      </c>
      <c r="FX75" s="12">
        <f>FX$4*GI75</f>
        <v>0</v>
      </c>
      <c r="FY75" s="12">
        <f>FY$4 * IF(AND(FX$4=1,FX$20=1), GK75, GI75)</f>
        <v>0</v>
      </c>
      <c r="FZ75" s="12">
        <f>FZ$4 * IF(AND(FY$4=1,FX$20=1), GK75, GI75)</f>
        <v>0</v>
      </c>
      <c r="GA75" s="12">
        <f>GA$4 * IF(AND(FZ$4=1,FX$20=1), GK75, GI75)</f>
        <v>0</v>
      </c>
      <c r="GB75" s="12">
        <f>GB$4 * IF(AND(GA$4=1,FX$20=1), GK75, GI75)</f>
        <v>0</v>
      </c>
      <c r="GC75" s="12">
        <f>GC$4 * IF(AND(GB$4=1,FX$20=1), GK75, GI75)</f>
        <v>0</v>
      </c>
      <c r="GD75" s="12">
        <f>GD$4 * IF(AND(GC$4=1,FX$20=1), GK75, GI75)</f>
        <v>0</v>
      </c>
      <c r="GE75" s="12">
        <f>GE$4 * IF(AND(GD$4=1,FX$20=1), GK75, GI75)</f>
        <v>0</v>
      </c>
      <c r="GF75" s="12">
        <f>GF$4 * IF(AND(GE$4=1,FX$20=1), GK75, GI75)</f>
        <v>0</v>
      </c>
      <c r="GH75" s="16" t="s">
        <v>1304</v>
      </c>
      <c r="GI75">
        <f>_xlfn.XLOOKUP(GH75,'KPI Impacts'!$B$2:$H$2,'KPI Impacts'!$B75:$H75)</f>
        <v>0</v>
      </c>
      <c r="GJ75" s="9" t="s">
        <v>1304</v>
      </c>
      <c r="GK75">
        <f>_xlfn.XLOOKUP(GJ75,'KPI Impacts'!$B$2:$H$2,'KPI Impacts'!$B75:$H75)</f>
        <v>0</v>
      </c>
      <c r="GN75" s="12">
        <f>GN$4*GY75</f>
        <v>0</v>
      </c>
      <c r="GO75" s="12">
        <f>GO$4 * IF(AND(GN$4=1,GN$20=1), HA75, GY75)</f>
        <v>0</v>
      </c>
      <c r="GP75" s="12">
        <f>GP$4 * IF(AND(GO$4=1,GN$20=1), HA75, GY75)</f>
        <v>0</v>
      </c>
      <c r="GQ75" s="12">
        <f>GQ$4 * IF(AND(GP$4=1,GN$20=1), HA75, GY75)</f>
        <v>0</v>
      </c>
      <c r="GR75" s="12">
        <f>GR$4 * IF(AND(GQ$4=1,GN$20=1), HA75, GY75)</f>
        <v>0</v>
      </c>
      <c r="GS75" s="12">
        <f>GS$4 * IF(AND(GR$4=1,GN$20=1), HA75, GY75)</f>
        <v>0</v>
      </c>
      <c r="GT75" s="12">
        <f>GT$4 * IF(AND(GS$4=1,GN$20=1), HA75, GY75)</f>
        <v>0</v>
      </c>
      <c r="GU75" s="12">
        <f>GU$4 * IF(AND(GT$4=1,GN$20=1), HA75, GY75)</f>
        <v>0</v>
      </c>
      <c r="GV75" s="12">
        <f>GV$4 * IF(AND(GU$4=1,GN$20=1), HA75, GY75)</f>
        <v>0</v>
      </c>
      <c r="GX75" s="16" t="s">
        <v>1304</v>
      </c>
      <c r="GY75">
        <f>_xlfn.XLOOKUP(GX75,'KPI Impacts'!$B$2:$H$2,'KPI Impacts'!$B75:$H75)</f>
        <v>0</v>
      </c>
      <c r="GZ75" s="9" t="s">
        <v>1304</v>
      </c>
      <c r="HA75">
        <f>_xlfn.XLOOKUP(GZ75,'KPI Impacts'!$B$2:$H$2,'KPI Impacts'!$B75:$H75)</f>
        <v>0</v>
      </c>
      <c r="HD75" s="12">
        <f>HD$4*HO75</f>
        <v>0</v>
      </c>
      <c r="HE75" s="12">
        <f>HE$4 * IF(AND(HD$4=1,HD$20=1), HQ75, HO75)</f>
        <v>0</v>
      </c>
      <c r="HF75" s="12">
        <f>HF$4 * IF(AND(HE$4=1,HD$20=1), HQ75, HO75)</f>
        <v>0</v>
      </c>
      <c r="HG75" s="12">
        <f>HG$4 * IF(AND(HF$4=1,HD$20=1), HQ75, HO75)</f>
        <v>0</v>
      </c>
      <c r="HH75" s="12">
        <f>HH$4 * IF(AND(HG$4=1,HD$20=1), HQ75, HO75)</f>
        <v>0</v>
      </c>
      <c r="HI75" s="12">
        <f>HI$4 * IF(AND(HH$4=1,HD$20=1), HQ75, HO75)</f>
        <v>0</v>
      </c>
      <c r="HJ75" s="12">
        <f>HJ$4 * IF(AND(HI$4=1,HD$20=1), HQ75, HO75)</f>
        <v>0</v>
      </c>
      <c r="HK75" s="12">
        <f>HK$4 * IF(AND(HJ$4=1,HD$20=1), HQ75, HO75)</f>
        <v>0</v>
      </c>
      <c r="HL75" s="12">
        <f>HL$4 * IF(AND(HK$4=1,HD$20=1), HQ75, HO75)</f>
        <v>0</v>
      </c>
      <c r="HN75" t="s">
        <v>1304</v>
      </c>
      <c r="HO75">
        <f>_xlfn.XLOOKUP(HN75,'KPI Impacts'!$B$2:$H$2,'KPI Impacts'!$B75:$H75)</f>
        <v>0</v>
      </c>
      <c r="HP75" s="9" t="s">
        <v>1304</v>
      </c>
      <c r="HQ75">
        <f>_xlfn.XLOOKUP(HP75,'KPI Impacts'!$B$2:$H$2,'KPI Impacts'!$B75:$H75)</f>
        <v>0</v>
      </c>
      <c r="HT75" s="12">
        <f>HT$4*IE75</f>
        <v>0</v>
      </c>
      <c r="HU75" s="12">
        <f>HU$4 * IF(AND(HT$4=1,HT$20=1), IG75, IE75)</f>
        <v>0</v>
      </c>
      <c r="HV75" s="12">
        <f>HV$4 * IF(AND(HU$4=1,HT$20=1), IG75, IE75)</f>
        <v>0</v>
      </c>
      <c r="HW75" s="12">
        <f>HW$4 * IF(AND(HV$4=1,HT$20=1), IG75, IE75)</f>
        <v>0</v>
      </c>
      <c r="HX75" s="12">
        <f>HX$4 * IF(AND(HW$4=1,HT$20=1), IG75, IE75)</f>
        <v>0</v>
      </c>
      <c r="HY75" s="12">
        <f>HY$4 * IF(AND(HX$4=1,HT$20=1), IG75, IE75)</f>
        <v>0</v>
      </c>
      <c r="HZ75" s="12">
        <f>HZ$4 * IF(AND(HY$4=1,HT$20=1), IG75, IE75)</f>
        <v>0</v>
      </c>
      <c r="IA75" s="12">
        <f>IA$4 * IF(AND(HZ$4=1,HT$20=1), IG75, IE75)</f>
        <v>0</v>
      </c>
      <c r="IB75" s="12">
        <f>IB$4 * IF(AND(IA$4=1,HT$20=1), IG75, IE75)</f>
        <v>0</v>
      </c>
      <c r="ID75" t="s">
        <v>1304</v>
      </c>
      <c r="IE75">
        <f>_xlfn.XLOOKUP(ID75,'KPI Impacts'!$B$2:$H$2,'KPI Impacts'!$B75:$H75)</f>
        <v>0</v>
      </c>
      <c r="IF75" s="9" t="s">
        <v>1304</v>
      </c>
      <c r="IG75">
        <f>_xlfn.XLOOKUP(IF75,'KPI Impacts'!$B$2:$H$2,'KPI Impacts'!$B75:$H75)</f>
        <v>0</v>
      </c>
      <c r="IJ75" s="12">
        <f>IJ$4*IU75</f>
        <v>0</v>
      </c>
      <c r="IK75" s="12">
        <f>IK$4 * IF(AND(IJ$4=1,IJ$20=1), IW75, IU75)</f>
        <v>0</v>
      </c>
      <c r="IL75" s="12">
        <f>IL$4 * IF(AND(IK$4=1,IJ$20=1), IW75, IU75)</f>
        <v>0</v>
      </c>
      <c r="IM75" s="12">
        <f>IM$4 * IF(AND(IL$4=1,IJ$20=1), IW75, IU75)</f>
        <v>0</v>
      </c>
      <c r="IN75" s="12">
        <f>IN$4 * IF(AND(IM$4=1,IJ$20=1), IW75, IU75)</f>
        <v>0</v>
      </c>
      <c r="IO75" s="12">
        <f>IO$4 * IF(AND(IN$4=1,IJ$20=1), IW75, IU75)</f>
        <v>0</v>
      </c>
      <c r="IP75" s="12">
        <f>IP$4 * IF(AND(IO$4=1,IJ$20=1), IW75, IU75)</f>
        <v>0</v>
      </c>
      <c r="IQ75" s="12">
        <f>IQ$4 * IF(AND(IP$4=1,IJ$20=1), IW75, IU75)</f>
        <v>0</v>
      </c>
      <c r="IR75" s="12">
        <f>IR$4 * IF(AND(IQ$4=1,IJ$20=1), IW75, IU75)</f>
        <v>0</v>
      </c>
      <c r="IT75" t="s">
        <v>1304</v>
      </c>
      <c r="IU75">
        <f>_xlfn.XLOOKUP(IT75,'KPI Impacts'!$B$2:$H$2,'KPI Impacts'!$B75:$H75)</f>
        <v>0</v>
      </c>
      <c r="IV75" s="9" t="s">
        <v>1304</v>
      </c>
      <c r="IW75">
        <f>_xlfn.XLOOKUP(IV75,'KPI Impacts'!$B$2:$H$2,'KPI Impacts'!$B75:$H75)</f>
        <v>0</v>
      </c>
      <c r="IZ75" s="12">
        <f>IZ$4*JK75</f>
        <v>0</v>
      </c>
      <c r="JA75" s="12">
        <f>JA$4 * IF(AND(IZ$4=1,IZ$20=1), JM75, JK75)</f>
        <v>0</v>
      </c>
      <c r="JB75" s="12">
        <f>JB$4 * IF(AND(JA$4=1,IZ$20=1), JM75, JK75)</f>
        <v>0</v>
      </c>
      <c r="JC75" s="12">
        <f>JC$4 * IF(AND(JB$4=1,IZ$20=1), JM75, JK75)</f>
        <v>0</v>
      </c>
      <c r="JD75" s="12">
        <f>JD$4 * IF(AND(JC$4=1,IZ$20=1), JM75, JK75)</f>
        <v>0</v>
      </c>
      <c r="JE75" s="12">
        <f>JE$4 * IF(AND(JD$4=1,IZ$20=1), JM75, JK75)</f>
        <v>0</v>
      </c>
      <c r="JF75" s="12">
        <f>JF$4 * IF(AND(JE$4=1,IZ$20=1), JM75, JK75)</f>
        <v>0</v>
      </c>
      <c r="JG75" s="12">
        <f>JG$4 * IF(AND(JF$4=1,IZ$20=1), JM75, JK75)</f>
        <v>0</v>
      </c>
      <c r="JH75" s="12">
        <f>JH$4 * IF(AND(JG$4=1,IZ$20=1), JM75, JK75)</f>
        <v>0</v>
      </c>
      <c r="JJ75" t="s">
        <v>1304</v>
      </c>
      <c r="JK75">
        <f>_xlfn.XLOOKUP(JJ75,'KPI Impacts'!$B$2:$H$2,'KPI Impacts'!$B75:$H75)</f>
        <v>0</v>
      </c>
      <c r="JL75" s="9" t="s">
        <v>1304</v>
      </c>
      <c r="JM75">
        <f>_xlfn.XLOOKUP(JL75,'KPI Impacts'!$B$2:$H$2,'KPI Impacts'!$B75:$H75)</f>
        <v>0</v>
      </c>
      <c r="JP75" s="12">
        <f>JP$4*KA75</f>
        <v>0</v>
      </c>
      <c r="JQ75" s="12">
        <f>JQ$4 * IF(AND(JP$4=1,JP$20=1), KC75, KA75)</f>
        <v>0</v>
      </c>
      <c r="JR75" s="12">
        <f>JR$4 * IF(AND(JQ$4=1,JP$20=1), KC75, KA75)</f>
        <v>0</v>
      </c>
      <c r="JS75" s="12">
        <f>JS$4 * IF(AND(JR$4=1,JP$20=1), KC75, KA75)</f>
        <v>0</v>
      </c>
      <c r="JT75" s="12">
        <f>JT$4 * IF(AND(JS$4=1,JP$20=1), KC75, KA75)</f>
        <v>0</v>
      </c>
      <c r="JU75" s="12">
        <f>JU$4 * IF(AND(JT$4=1,JP$20=1), KC75, KA75)</f>
        <v>0</v>
      </c>
      <c r="JV75" s="12">
        <f>JV$4 * IF(AND(JU$4=1,JP$20=1), KC75, KA75)</f>
        <v>0</v>
      </c>
      <c r="JW75" s="12">
        <f>JW$4 * IF(AND(JV$4=1,JP$20=1), KC75, KA75)</f>
        <v>0</v>
      </c>
      <c r="JX75" s="12">
        <f>JX$4 * IF(AND(JW$4=1,JP$20=1), KC75, KA75)</f>
        <v>0</v>
      </c>
      <c r="JZ75" t="s">
        <v>1304</v>
      </c>
      <c r="KA75">
        <f>_xlfn.XLOOKUP(JZ75,'KPI Impacts'!$B$2:$H$2,'KPI Impacts'!$B75:$H75)</f>
        <v>0</v>
      </c>
      <c r="KB75" s="9" t="s">
        <v>1304</v>
      </c>
      <c r="KC75">
        <f>_xlfn.XLOOKUP(KB75,'KPI Impacts'!$B$2:$H$2,'KPI Impacts'!$B75:$H75)</f>
        <v>0</v>
      </c>
      <c r="KF75" s="12">
        <f>KF$4*KQ75</f>
        <v>0</v>
      </c>
      <c r="KG75" s="12">
        <f>KG$4 * IF(AND(KF$4=1,KF$20=1), KS75, KQ75)</f>
        <v>0</v>
      </c>
      <c r="KH75" s="12">
        <f>KH$4 * IF(AND(KG$4=1,KF$20=1), KS75, KQ75)</f>
        <v>0</v>
      </c>
      <c r="KI75" s="12">
        <f>KI$4 * IF(AND(KH$4=1,KF$20=1), KS75, KQ75)</f>
        <v>0</v>
      </c>
      <c r="KJ75" s="12">
        <f>KJ$4 * IF(AND(KI$4=1,KF$20=1), KS75, KQ75)</f>
        <v>0</v>
      </c>
      <c r="KK75" s="12">
        <f>KK$4 * IF(AND(KJ$4=1,KF$20=1), KS75, KQ75)</f>
        <v>0</v>
      </c>
      <c r="KL75" s="12">
        <f>KL$4 * IF(AND(KK$4=1,KF$20=1), KS75, KQ75)</f>
        <v>0</v>
      </c>
      <c r="KM75" s="12">
        <f>KM$4 * IF(AND(KL$4=1,KF$20=1), KS75, KQ75)</f>
        <v>0</v>
      </c>
      <c r="KN75" s="12">
        <f>KN$4 * IF(AND(KM$4=1,KF$20=1), KS75, KQ75)</f>
        <v>0</v>
      </c>
      <c r="KP75" t="s">
        <v>1304</v>
      </c>
      <c r="KQ75">
        <f>_xlfn.XLOOKUP(KP75,'KPI Impacts'!$B$2:$H$2,'KPI Impacts'!$B75:$H75)</f>
        <v>0</v>
      </c>
      <c r="KR75" s="9" t="s">
        <v>1304</v>
      </c>
      <c r="KS75">
        <f>_xlfn.XLOOKUP(KR75,'KPI Impacts'!$B$2:$H$2,'KPI Impacts'!$B75:$H75)</f>
        <v>0</v>
      </c>
      <c r="KV75" s="12">
        <f>KV$4*LG75</f>
        <v>0</v>
      </c>
      <c r="KW75" s="12">
        <f>KW$4 * IF(AND(KV$4=1,KV$20=1), LI75, LG75)</f>
        <v>0</v>
      </c>
      <c r="KX75" s="12">
        <f>KX$4 * IF(AND(KW$4=1,KV$20=1), LI75, LG75)</f>
        <v>0</v>
      </c>
      <c r="KY75" s="12">
        <f>KY$4 * IF(AND(KX$4=1,KV$20=1), LI75, LG75)</f>
        <v>0</v>
      </c>
      <c r="KZ75" s="12">
        <f>KZ$4 * IF(AND(KY$4=1,KV$20=1), LI75, LG75)</f>
        <v>0</v>
      </c>
      <c r="LA75" s="12">
        <f>LA$4 * IF(AND(KZ$4=1,KV$20=1), LI75, LG75)</f>
        <v>0</v>
      </c>
      <c r="LB75" s="12">
        <f>LB$4 * IF(AND(LA$4=1,KV$20=1), LI75, LG75)</f>
        <v>0</v>
      </c>
      <c r="LC75" s="12">
        <f>LC$4 * IF(AND(LB$4=1,KV$20=1), LI75, LG75)</f>
        <v>0</v>
      </c>
      <c r="LD75" s="12">
        <f>LD$4 * IF(AND(LC$4=1,KV$20=1), LI75, LG75)</f>
        <v>0</v>
      </c>
      <c r="LF75" t="s">
        <v>1304</v>
      </c>
      <c r="LG75">
        <f>_xlfn.XLOOKUP(LF75,'KPI Impacts'!$B$2:$H$2,'KPI Impacts'!$B75:$H75)</f>
        <v>0</v>
      </c>
      <c r="LH75" s="9" t="s">
        <v>1304</v>
      </c>
      <c r="LI75">
        <f>_xlfn.XLOOKUP(LH75,'KPI Impacts'!$B$2:$H$2,'KPI Impacts'!$B75:$H75)</f>
        <v>0</v>
      </c>
      <c r="LL75" s="12">
        <f>LL$4*LW75</f>
        <v>0</v>
      </c>
      <c r="LM75" s="12">
        <f>LM$4 * IF(AND(LL$4=1,LL$20=1), LY75, LW75)</f>
        <v>0</v>
      </c>
      <c r="LN75" s="12">
        <f>LN$4 * IF(AND(LM$4=1,LL$20=1), LY75, LW75)</f>
        <v>0</v>
      </c>
      <c r="LO75" s="12">
        <f>LO$4 * IF(AND(LN$4=1,LL$20=1), LY75, LW75)</f>
        <v>0</v>
      </c>
      <c r="LP75" s="12">
        <f>LP$4 * IF(AND(LO$4=1,LL$20=1), LY75, LW75)</f>
        <v>0</v>
      </c>
      <c r="LQ75" s="12">
        <f>LQ$4 * IF(AND(LP$4=1,LL$20=1), LY75, LW75)</f>
        <v>0</v>
      </c>
      <c r="LR75" s="12">
        <f>LR$4 * IF(AND(LQ$4=1,LL$20=1), LY75, LW75)</f>
        <v>0</v>
      </c>
      <c r="LS75" s="12">
        <f>LS$4 * IF(AND(LR$4=1,LL$20=1), LY75, LW75)</f>
        <v>0</v>
      </c>
      <c r="LT75" s="12">
        <f>LT$4 * IF(AND(LS$4=1,LL$20=1), LY75, LW75)</f>
        <v>0</v>
      </c>
      <c r="LV75" t="s">
        <v>1304</v>
      </c>
      <c r="LW75">
        <f>_xlfn.XLOOKUP(LV75,'KPI Impacts'!$B$2:$H$2,'KPI Impacts'!$B75:$H75)</f>
        <v>0</v>
      </c>
      <c r="LX75" s="9" t="s">
        <v>1304</v>
      </c>
      <c r="LY75">
        <f>_xlfn.XLOOKUP(LX75,'KPI Impacts'!$B$2:$H$2,'KPI Impacts'!$B75:$H75)</f>
        <v>0</v>
      </c>
      <c r="MB75" s="12">
        <f>MB$4*MM75</f>
        <v>0</v>
      </c>
      <c r="MC75" s="12">
        <f>MC$4 * IF(AND(MB$4=1,MB$20=1), MO75, MM75)</f>
        <v>0</v>
      </c>
      <c r="MD75" s="12">
        <f>MD$4 * IF(AND(MC$4=1,MB$20=1), MO75, MM75)</f>
        <v>0</v>
      </c>
      <c r="ME75" s="12">
        <f>ME$4 * IF(AND(MD$4=1,MB$20=1), MO75, MM75)</f>
        <v>0</v>
      </c>
      <c r="MF75" s="12">
        <f>MF$4 * IF(AND(ME$4=1,MB$20=1), MO75, MM75)</f>
        <v>0</v>
      </c>
      <c r="MG75" s="12">
        <f>MG$4 * IF(AND(MF$4=1,MB$20=1), MO75, MM75)</f>
        <v>0</v>
      </c>
      <c r="MH75" s="12">
        <f>MH$4 * IF(AND(MG$4=1,MB$20=1), MO75, MM75)</f>
        <v>0</v>
      </c>
      <c r="MI75" s="12">
        <f>MI$4 * IF(AND(MH$4=1,MB$20=1), MO75, MM75)</f>
        <v>0</v>
      </c>
      <c r="MJ75" s="12">
        <f>MJ$4 * IF(AND(MI$4=1,MB$20=1), MO75, MM75)</f>
        <v>0</v>
      </c>
      <c r="ML75" t="s">
        <v>1304</v>
      </c>
      <c r="MM75">
        <f>_xlfn.XLOOKUP(ML75,'KPI Impacts'!$B$2:$H$2,'KPI Impacts'!$B75:$H75)</f>
        <v>0</v>
      </c>
      <c r="MN75" s="9" t="s">
        <v>1304</v>
      </c>
      <c r="MO75">
        <f>_xlfn.XLOOKUP(MN75,'KPI Impacts'!$B$2:$H$2,'KPI Impacts'!$B75:$H75)</f>
        <v>0</v>
      </c>
      <c r="MR75" s="12">
        <f>MR$4*NC75</f>
        <v>0</v>
      </c>
      <c r="MS75" s="12">
        <f>MS$4 * IF(AND(MR$4=1,MR$20=1), NE75, NC75)</f>
        <v>0</v>
      </c>
      <c r="MT75" s="12">
        <f>MT$4 * IF(AND(MS$4=1,MR$20=1), NE75, NC75)</f>
        <v>0</v>
      </c>
      <c r="MU75" s="12">
        <f>MU$4 * IF(AND(MT$4=1,MR$20=1), NE75, NC75)</f>
        <v>0</v>
      </c>
      <c r="MV75" s="12">
        <f>MV$4 * IF(AND(MU$4=1,MR$20=1), NE75, NC75)</f>
        <v>0</v>
      </c>
      <c r="MW75" s="12">
        <f>MW$4 * IF(AND(MV$4=1,MR$20=1), NE75, NC75)</f>
        <v>0</v>
      </c>
      <c r="MX75" s="12">
        <f>MX$4 * IF(AND(MW$4=1,MR$20=1), NE75, NC75)</f>
        <v>0</v>
      </c>
      <c r="MY75" s="12">
        <f>MY$4 * IF(AND(MX$4=1,MR$20=1), NE75, NC75)</f>
        <v>0</v>
      </c>
      <c r="MZ75" s="12">
        <f>MZ$4 * IF(AND(MY$4=1,MR$20=1), NE75, NC75)</f>
        <v>0</v>
      </c>
      <c r="NB75" t="s">
        <v>1304</v>
      </c>
      <c r="NC75">
        <f>_xlfn.XLOOKUP(NB75,'KPI Impacts'!$B$2:$H$2,'KPI Impacts'!$B75:$H75)</f>
        <v>0</v>
      </c>
      <c r="ND75" s="9" t="s">
        <v>1304</v>
      </c>
      <c r="NE75">
        <f>_xlfn.XLOOKUP(ND75,'KPI Impacts'!$B$2:$H$2,'KPI Impacts'!$B75:$H75)</f>
        <v>0</v>
      </c>
      <c r="NH75" s="12">
        <f>NH$4*NS75</f>
        <v>0</v>
      </c>
      <c r="NI75" s="12">
        <f>NI$4 * IF(AND(NH$4=1,NH$20=1), NU75, NS75)</f>
        <v>0</v>
      </c>
      <c r="NJ75" s="12">
        <f>NJ$4 * IF(AND(NI$4=1,NH$20=1), NU75, NS75)</f>
        <v>0</v>
      </c>
      <c r="NK75" s="12">
        <f>NK$4 * IF(AND(NJ$4=1,NH$20=1), NU75, NS75)</f>
        <v>0</v>
      </c>
      <c r="NL75" s="12">
        <f>NL$4 * IF(AND(NK$4=1,NH$20=1), NU75, NS75)</f>
        <v>0</v>
      </c>
      <c r="NM75" s="12">
        <f>NM$4 * IF(AND(NL$4=1,NH$20=1), NU75, NS75)</f>
        <v>0</v>
      </c>
      <c r="NN75" s="12">
        <f>NN$4 * IF(AND(NM$4=1,NH$20=1), NU75, NS75)</f>
        <v>0</v>
      </c>
      <c r="NO75" s="12">
        <f>NO$4 * IF(AND(NN$4=1,NH$20=1), NU75, NS75)</f>
        <v>0</v>
      </c>
      <c r="NP75" s="12">
        <f>NP$4 * IF(AND(NO$4=1,NH$20=1), NU75, NS75)</f>
        <v>0</v>
      </c>
      <c r="NR75" t="s">
        <v>1304</v>
      </c>
      <c r="NS75">
        <f>_xlfn.XLOOKUP(NR75,'KPI Impacts'!$B$2:$H$2,'KPI Impacts'!$B75:$H75)</f>
        <v>0</v>
      </c>
      <c r="NT75" s="9" t="s">
        <v>1304</v>
      </c>
      <c r="NU75">
        <f>_xlfn.XLOOKUP(NT75,'KPI Impacts'!$B$2:$H$2,'KPI Impacts'!$B75:$H75)</f>
        <v>0</v>
      </c>
      <c r="NX75" s="12">
        <f>NX$4*OI75</f>
        <v>0</v>
      </c>
      <c r="NY75" s="12">
        <f>NY$4 * IF(AND(NX$4=1,NX$20=1), OK75, OI75)</f>
        <v>0</v>
      </c>
      <c r="NZ75" s="12">
        <f>NZ$4 * IF(AND(NY$4=1,NX$20=1), OK75, OI75)</f>
        <v>0</v>
      </c>
      <c r="OA75" s="12">
        <f>OA$4 * IF(AND(NZ$4=1,NX$20=1), OK75, OI75)</f>
        <v>0</v>
      </c>
      <c r="OB75" s="12">
        <f>OB$4 * IF(AND(OA$4=1,NX$20=1), OK75, OI75)</f>
        <v>0</v>
      </c>
      <c r="OC75" s="12">
        <f>OC$4 * IF(AND(OB$4=1,NX$20=1), OK75, OI75)</f>
        <v>0</v>
      </c>
      <c r="OD75" s="12">
        <f>OD$4 * IF(AND(OC$4=1,NX$20=1), OK75, OI75)</f>
        <v>0</v>
      </c>
      <c r="OE75" s="12">
        <f>OE$4 * IF(AND(OD$4=1,NX$20=1), OK75, OI75)</f>
        <v>0</v>
      </c>
      <c r="OF75" s="12">
        <f>OF$4 * IF(AND(OE$4=1,NX$20=1), OK75, OI75)</f>
        <v>0</v>
      </c>
      <c r="OH75" t="s">
        <v>1304</v>
      </c>
      <c r="OI75">
        <f>_xlfn.XLOOKUP(OH75,'KPI Impacts'!$B$2:$H$2,'KPI Impacts'!$B75:$H75)</f>
        <v>0</v>
      </c>
      <c r="OJ75" s="9" t="s">
        <v>1304</v>
      </c>
      <c r="OK75">
        <f>_xlfn.XLOOKUP(OJ75,'KPI Impacts'!$B$2:$H$2,'KPI Impacts'!$B75:$H75)</f>
        <v>0</v>
      </c>
    </row>
    <row r="76" spans="1:401" x14ac:dyDescent="0.2">
      <c r="A76" t="s">
        <v>1312</v>
      </c>
      <c r="B76" s="12">
        <f t="shared" si="515"/>
        <v>0</v>
      </c>
      <c r="C76" s="12">
        <f t="shared" si="515"/>
        <v>0</v>
      </c>
      <c r="D76" s="12">
        <f t="shared" si="515"/>
        <v>0</v>
      </c>
      <c r="E76" s="12">
        <f t="shared" si="515"/>
        <v>0</v>
      </c>
      <c r="F76" s="12">
        <f t="shared" si="515"/>
        <v>0</v>
      </c>
      <c r="G76" s="12">
        <f t="shared" si="515"/>
        <v>0</v>
      </c>
      <c r="H76" s="12">
        <f t="shared" si="515"/>
        <v>0</v>
      </c>
      <c r="I76" s="12">
        <f t="shared" si="515"/>
        <v>0</v>
      </c>
      <c r="J76" s="12">
        <f t="shared" si="515"/>
        <v>0</v>
      </c>
      <c r="P76" s="12" cm="1">
        <f t="array" ref="P76">_xlfn.SWITCH(P$4, 0,0, 1, AA76,2,AC76,3,AE76,0)</f>
        <v>0</v>
      </c>
      <c r="Q76" s="12" cm="1">
        <f t="array" ref="Q76">_xlfn.SWITCH(Q$4, 0,0, 1, AA76,2,AC76,3,AE76,0)+P76</f>
        <v>0</v>
      </c>
      <c r="R76" s="12" cm="1">
        <f t="array" ref="R76">_xlfn.SWITCH(R$4, 0,0, 1, AA76,2,AC76,3,AE76,0)+Q76</f>
        <v>0</v>
      </c>
      <c r="S76" s="12" cm="1">
        <f t="array" ref="S76">_xlfn.SWITCH(S$4, 0,0, 1, AA76,2,AC76,3,AE76,0)+R76</f>
        <v>0</v>
      </c>
      <c r="T76" s="12" cm="1">
        <f t="array" ref="T76">_xlfn.SWITCH(T$4, 0,0, 1, AA76,2,AC76,3,AE76,0)+S76</f>
        <v>0</v>
      </c>
      <c r="U76" s="12" cm="1">
        <f t="array" ref="U76">_xlfn.SWITCH(U$4, 0,0, 1, AA76,2,AC76,3,AE76,0)+T76</f>
        <v>0</v>
      </c>
      <c r="V76" s="12" cm="1">
        <f t="array" ref="V76">_xlfn.SWITCH(V$4, 0,0, 1, AA76,2,AC76,3,AE76,0)+U76</f>
        <v>0</v>
      </c>
      <c r="W76" s="12" cm="1">
        <f t="array" ref="W76">_xlfn.SWITCH(W$4, 0,0, 1, AA76,2,AC76,3,AE76,0)+V76</f>
        <v>0</v>
      </c>
      <c r="X76" s="12" cm="1">
        <f t="array" ref="X76">_xlfn.SWITCH(X$4, 0,0, 1, AA76,2,AC76,3,AE76,0)+W76</f>
        <v>0</v>
      </c>
      <c r="Z76" t="s">
        <v>1304</v>
      </c>
      <c r="AA76">
        <f>_xlfn.XLOOKUP(Z76,'KPI Impacts'!$K$2:$Q$2,'KPI Impacts'!$K76:$Q76)</f>
        <v>0</v>
      </c>
      <c r="AB76" t="s">
        <v>1304</v>
      </c>
      <c r="AC76">
        <f>_xlfn.XLOOKUP(AB76,'KPI Impacts'!$K$2:$Q$2,'KPI Impacts'!$K76:$Q76)</f>
        <v>0</v>
      </c>
      <c r="AD76" t="s">
        <v>1304</v>
      </c>
      <c r="AE76">
        <f>_xlfn.XLOOKUP(AD76,'KPI Impacts'!$K$2:$Q$2,'KPI Impacts'!$K76:$Q76)</f>
        <v>0</v>
      </c>
      <c r="AH76" s="12" cm="1">
        <f t="array" ref="AH76">_xlfn.SWITCH(AH$4, 0,0, 1, AS76,2,AU76,3,AW76,0)</f>
        <v>0</v>
      </c>
      <c r="AI76" s="12" cm="1">
        <f t="array" ref="AI76">_xlfn.SWITCH(AI$4, 0,0, 1, AS76,2,AU76,3,AW76,0)+AH76</f>
        <v>0</v>
      </c>
      <c r="AJ76" s="12" cm="1">
        <f t="array" ref="AJ76">_xlfn.SWITCH(AJ$4, 0,0, 1, AS76,2,AU76,3,AW76,0)+AI76</f>
        <v>0</v>
      </c>
      <c r="AK76" s="12" cm="1">
        <f t="array" ref="AK76">_xlfn.SWITCH(AK$4, 0,0, 1, AS76,2,AU76,3,AW76,0)+AJ76</f>
        <v>0</v>
      </c>
      <c r="AL76" s="12" cm="1">
        <f t="array" ref="AL76">_xlfn.SWITCH(AL$4, 0,0, 1, AS76,2,AU76,3,AW76,0)+AK76</f>
        <v>0</v>
      </c>
      <c r="AM76" s="12" cm="1">
        <f t="array" ref="AM76">_xlfn.SWITCH(AM$4, 0,0, 1, AS76,2,AU76,3,AW76,0)+AL76</f>
        <v>0</v>
      </c>
      <c r="AN76" s="12" cm="1">
        <f t="array" ref="AN76">_xlfn.SWITCH(AN$4, 0,0, 1, AS76,2,AU76,3,AW76,0)+AM76</f>
        <v>0</v>
      </c>
      <c r="AO76" s="12" cm="1">
        <f t="array" ref="AO76">_xlfn.SWITCH(AO$4, 0,0, 1, AS76,2,AU76,3,AW76,0)+AN76</f>
        <v>0</v>
      </c>
      <c r="AP76" s="12" cm="1">
        <f t="array" ref="AP76">_xlfn.SWITCH(AP$4, 0,0, 1, AS76,2,AU76,3,AW76,0)+AO76</f>
        <v>0</v>
      </c>
      <c r="AR76" t="s">
        <v>1304</v>
      </c>
      <c r="AS76">
        <f>_xlfn.XLOOKUP(AR76,'KPI Impacts'!$K$2:$Q$2,'KPI Impacts'!$K76:$Q76)</f>
        <v>0</v>
      </c>
      <c r="AT76" t="s">
        <v>1304</v>
      </c>
      <c r="AU76">
        <f>_xlfn.XLOOKUP(AT76,'KPI Impacts'!$K$2:$Q$2,'KPI Impacts'!$K76:$Q76)</f>
        <v>0</v>
      </c>
      <c r="AV76" t="s">
        <v>1304</v>
      </c>
      <c r="AW76">
        <f>_xlfn.XLOOKUP(AV76,'KPI Impacts'!$K$2:$Q$2,'KPI Impacts'!$K76:$Q76)</f>
        <v>0</v>
      </c>
      <c r="AZ76" s="12">
        <f>AZ$4*BK76</f>
        <v>0</v>
      </c>
      <c r="BA76" s="12">
        <f>BA$4 * IF(AND(AZ$4=1,AZ$20=1), BM76, BK76)</f>
        <v>0</v>
      </c>
      <c r="BB76" s="12">
        <f>BB$4 * IF(AND(BA$4=1,AZ$20=1), BM76, BK76)</f>
        <v>0</v>
      </c>
      <c r="BC76" s="12">
        <f>BC$4 * IF(AND(BB$4=1,AZ$20=1), BM76, BK76)</f>
        <v>0</v>
      </c>
      <c r="BD76" s="12">
        <f>BD$4 * IF(AND(BC$4=1,AZ$20=1), BM76, BK76)</f>
        <v>0</v>
      </c>
      <c r="BE76" s="12">
        <f>BE$4 * IF(AND(BD$4=1,AZ$20=1), BM76, BK76)</f>
        <v>0</v>
      </c>
      <c r="BF76" s="12">
        <f>BF$4 * IF(AND(BE$4=1,AZ$20=1), BM76, BK76)</f>
        <v>0</v>
      </c>
      <c r="BG76" s="12">
        <f>BG$4 * IF(AND(BF$4=1,AZ$20=1), BM76, BK76)</f>
        <v>0</v>
      </c>
      <c r="BH76" s="12">
        <f>BH$4 * IF(AND(BG$4=1,AZ$20=1), BM76, BK76)</f>
        <v>0</v>
      </c>
      <c r="BJ76" s="16" t="s">
        <v>1304</v>
      </c>
      <c r="BK76">
        <f>_xlfn.XLOOKUP(BJ76,'KPI Impacts'!$B$2:$H$2,'KPI Impacts'!$B76:$H76)</f>
        <v>0</v>
      </c>
      <c r="BL76" s="35" t="s">
        <v>1304</v>
      </c>
      <c r="BM76">
        <f>_xlfn.XLOOKUP(BL76,'KPI Impacts'!$B$2:$H$2,'KPI Impacts'!$B76:$H76)</f>
        <v>0</v>
      </c>
      <c r="BP76" s="12">
        <f>BP$4*CA76</f>
        <v>0</v>
      </c>
      <c r="BQ76" s="12">
        <f>BQ$4 * IF(AND(BP$4=1,BP$20=1), CC76, CA76)</f>
        <v>0</v>
      </c>
      <c r="BR76" s="12">
        <f>BR$4 * IF(AND(BQ$4=1,BP$20=1), CC76, CA76)</f>
        <v>0</v>
      </c>
      <c r="BS76" s="12">
        <f>BS$4 * IF(AND(BR$4=1,BP$20=1), CC76, CA76)</f>
        <v>0</v>
      </c>
      <c r="BT76" s="12">
        <f>BT$4 * IF(AND(BS$4=1,BP$20=1), CC76, CA76)</f>
        <v>0</v>
      </c>
      <c r="BU76" s="12">
        <f>BU$4 * IF(AND(BT$4=1,BP$20=1), CC76, CA76)</f>
        <v>0</v>
      </c>
      <c r="BV76" s="12">
        <f>BV$4 * IF(AND(BU$4=1,BP$20=1), CC76, CA76)</f>
        <v>0</v>
      </c>
      <c r="BW76" s="12">
        <f>BW$4 * IF(AND(BV$4=1,BP$20=1), CC76, CA76)</f>
        <v>0</v>
      </c>
      <c r="BX76" s="12">
        <f>BX$4 * IF(AND(BW$4=1,BP$20=1), CC76, CA76)</f>
        <v>0</v>
      </c>
      <c r="BZ76" s="16" t="s">
        <v>1304</v>
      </c>
      <c r="CA76">
        <f>_xlfn.XLOOKUP(BZ76,'KPI Impacts'!$B$2:$H$2,'KPI Impacts'!$B76:$H76)</f>
        <v>0</v>
      </c>
      <c r="CB76" s="35" t="s">
        <v>1304</v>
      </c>
      <c r="CC76">
        <f>_xlfn.XLOOKUP(CB76,'KPI Impacts'!$B$2:$H$2,'KPI Impacts'!$B76:$H76)</f>
        <v>0</v>
      </c>
      <c r="CF76" s="12">
        <f>CF$4*CQ76</f>
        <v>0</v>
      </c>
      <c r="CG76" s="12">
        <f>CG$4 * IF(AND(CF$4=1,CF$20=1), CS76, CQ76)</f>
        <v>0</v>
      </c>
      <c r="CH76" s="12">
        <f>CH$4 * IF(AND(CG$4=1,CF$20=1), CS76, CQ76)</f>
        <v>0</v>
      </c>
      <c r="CI76" s="12">
        <f>CI$4 * IF(AND(CH$4=1,CF$20=1), CS76, CQ76)</f>
        <v>0</v>
      </c>
      <c r="CJ76" s="12">
        <f>CJ$4 * IF(AND(CI$4=1,CF$20=1), CS76, CQ76)</f>
        <v>0</v>
      </c>
      <c r="CK76" s="12">
        <f>CK$4 * IF(AND(CJ$4=1,CF$20=1), CS76, CQ76)</f>
        <v>0</v>
      </c>
      <c r="CL76" s="12">
        <f>CL$4 * IF(AND(CK$4=1,CF$20=1), CS76, CQ76)</f>
        <v>0</v>
      </c>
      <c r="CM76" s="12">
        <f>CM$4 * IF(AND(CL$4=1,CF$20=1), CS76, CQ76)</f>
        <v>0</v>
      </c>
      <c r="CN76" s="12">
        <f>CN$4 * IF(AND(CM$4=1,CF$20=1), CS76, CQ76)</f>
        <v>0</v>
      </c>
      <c r="CP76" s="16" t="s">
        <v>1304</v>
      </c>
      <c r="CQ76">
        <f>_xlfn.XLOOKUP(CP76,'KPI Impacts'!$B$2:$H$2,'KPI Impacts'!$B76:$H76)</f>
        <v>0</v>
      </c>
      <c r="CR76" s="35" t="s">
        <v>1304</v>
      </c>
      <c r="CS76">
        <f>_xlfn.XLOOKUP(CR76,'KPI Impacts'!$B$2:$H$2,'KPI Impacts'!$B76:$H76)</f>
        <v>0</v>
      </c>
      <c r="CV76" s="12">
        <f>CV$4*DG76</f>
        <v>0</v>
      </c>
      <c r="CW76" s="12">
        <f>CW$4 * IF(AND(CV$4=1,CV$20=1), DI76, DG76)</f>
        <v>0</v>
      </c>
      <c r="CX76" s="12">
        <f>CX$4 * IF(AND(CW$4=1,CV$20=1), DI76, DG76)</f>
        <v>0</v>
      </c>
      <c r="CY76" s="12">
        <f>CY$4 * IF(AND(CX$4=1,CV$20=1), DI76, DG76)</f>
        <v>0</v>
      </c>
      <c r="CZ76" s="12">
        <f>CZ$4 * IF(AND(CY$4=1,CV$20=1), DI76, DG76)</f>
        <v>0</v>
      </c>
      <c r="DA76" s="12">
        <f>DA$4 * IF(AND(CZ$4=1,CV$20=1), DI76, DG76)</f>
        <v>0</v>
      </c>
      <c r="DB76" s="12">
        <f>DB$4 * IF(AND(DA$4=1,CV$20=1), DI76, DG76)</f>
        <v>0</v>
      </c>
      <c r="DC76" s="12">
        <f>DC$4 * IF(AND(DB$4=1,CV$20=1), DI76, DG76)</f>
        <v>0</v>
      </c>
      <c r="DD76" s="12">
        <f>DD$4 * IF(AND(DC$4=1,CV$20=1), DI76, DG76)</f>
        <v>0</v>
      </c>
      <c r="DF76" s="16" t="s">
        <v>1304</v>
      </c>
      <c r="DG76">
        <f>_xlfn.XLOOKUP(DF76,'KPI Impacts'!$B$2:$H$2,'KPI Impacts'!$B76:$H76)</f>
        <v>0</v>
      </c>
      <c r="DH76" s="35" t="s">
        <v>1304</v>
      </c>
      <c r="DI76">
        <f>_xlfn.XLOOKUP(DH76,'KPI Impacts'!$B$2:$H$2,'KPI Impacts'!$B76:$H76)</f>
        <v>0</v>
      </c>
      <c r="DL76" s="12">
        <f>DL$4*DW76</f>
        <v>0</v>
      </c>
      <c r="DM76" s="12">
        <f>DM$4 * IF(AND(DL$4=1,DL$20=1), DY76, DW76)</f>
        <v>0</v>
      </c>
      <c r="DN76" s="12">
        <f>DN$4 * IF(AND(DM$4=1,DL$20=1), DY76, DW76)</f>
        <v>0</v>
      </c>
      <c r="DO76" s="12">
        <f>DO$4 * IF(AND(DN$4=1,DL$20=1), DY76, DW76)</f>
        <v>0</v>
      </c>
      <c r="DP76" s="12">
        <f>DP$4 * IF(AND(DO$4=1,DL$20=1), DY76, DW76)</f>
        <v>0</v>
      </c>
      <c r="DQ76" s="12">
        <f>DQ$4 * IF(AND(DP$4=1,DL$20=1), DY76, DW76)</f>
        <v>0</v>
      </c>
      <c r="DR76" s="12">
        <f>DR$4 * IF(AND(DQ$4=1,DL$20=1), DY76, DW76)</f>
        <v>0</v>
      </c>
      <c r="DS76" s="12">
        <f>DS$4 * IF(AND(DR$4=1,DL$20=1), DY76, DW76)</f>
        <v>0</v>
      </c>
      <c r="DT76" s="12">
        <f>DT$4 * IF(AND(DS$4=1,DL$20=1), DY76, DW76)</f>
        <v>0</v>
      </c>
      <c r="DV76" s="16" t="s">
        <v>1304</v>
      </c>
      <c r="DW76">
        <f>_xlfn.XLOOKUP(DV76,'KPI Impacts'!$B$2:$H$2,'KPI Impacts'!$B76:$H76)</f>
        <v>0</v>
      </c>
      <c r="DX76" s="35" t="s">
        <v>1304</v>
      </c>
      <c r="DY76">
        <f>_xlfn.XLOOKUP(DX76,'KPI Impacts'!$B$2:$H$2,'KPI Impacts'!$B76:$H76)</f>
        <v>0</v>
      </c>
      <c r="EB76" s="12">
        <f>EB$4*EM76</f>
        <v>0</v>
      </c>
      <c r="EC76" s="12">
        <f>EC$4 * IF(AND(EB$4=1,EB$20=1), EO76, EM76)</f>
        <v>0</v>
      </c>
      <c r="ED76" s="12">
        <f>ED$4 * IF(AND(EC$4=1,EB$20=1), EO76, EM76)</f>
        <v>0</v>
      </c>
      <c r="EE76" s="12">
        <f>EE$4 * IF(AND(ED$4=1,EB$20=1), EO76, EM76)</f>
        <v>0</v>
      </c>
      <c r="EF76" s="12">
        <f>EF$4 * IF(AND(EE$4=1,EB$20=1), EO76, EM76)</f>
        <v>0</v>
      </c>
      <c r="EG76" s="12">
        <f>EG$4 * IF(AND(EF$4=1,EB$20=1), EO76, EM76)</f>
        <v>0</v>
      </c>
      <c r="EH76" s="12">
        <f>EH$4 * IF(AND(EG$4=1,EB$20=1), EO76, EM76)</f>
        <v>0</v>
      </c>
      <c r="EI76" s="12">
        <f>EI$4 * IF(AND(EH$4=1,EB$20=1), EO76, EM76)</f>
        <v>0</v>
      </c>
      <c r="EJ76" s="12">
        <f>EJ$4 * IF(AND(EI$4=1,EB$20=1), EO76, EM76)</f>
        <v>0</v>
      </c>
      <c r="EL76" s="16" t="s">
        <v>1304</v>
      </c>
      <c r="EM76">
        <f>_xlfn.XLOOKUP(EL76,'KPI Impacts'!$B$2:$H$2,'KPI Impacts'!$B76:$H76)</f>
        <v>0</v>
      </c>
      <c r="EN76" s="35" t="s">
        <v>1304</v>
      </c>
      <c r="EO76">
        <f>_xlfn.XLOOKUP(EN76,'KPI Impacts'!$B$2:$H$2,'KPI Impacts'!$B76:$H76)</f>
        <v>0</v>
      </c>
      <c r="ER76" s="12">
        <f>ER$4*FC76</f>
        <v>0</v>
      </c>
      <c r="ES76" s="12">
        <f>ES$4 * IF(AND(ER$4=1,ER$20=1), FE76, FC76)</f>
        <v>0</v>
      </c>
      <c r="ET76" s="12">
        <f>ET$4 * IF(AND(ES$4=1,ER$20=1), FE76, FC76)</f>
        <v>0</v>
      </c>
      <c r="EU76" s="12">
        <f>EU$4 * IF(AND(ET$4=1,ER$20=1), FE76, FC76)</f>
        <v>0</v>
      </c>
      <c r="EV76" s="12">
        <f>EV$4 * IF(AND(EU$4=1,ER$20=1), FE76, FC76)</f>
        <v>0</v>
      </c>
      <c r="EW76" s="12">
        <f>EW$4 * IF(AND(EV$4=1,ER$20=1), FE76, FC76)</f>
        <v>0</v>
      </c>
      <c r="EX76" s="12">
        <f>EX$4 * IF(AND(EW$4=1,ER$20=1), FE76, FC76)</f>
        <v>0</v>
      </c>
      <c r="EY76" s="12">
        <f>EY$4 * IF(AND(EX$4=1,ER$20=1), FE76, FC76)</f>
        <v>0</v>
      </c>
      <c r="EZ76" s="12">
        <f>EZ$4 * IF(AND(EY$4=1,ER$20=1), FE76, FC76)</f>
        <v>0</v>
      </c>
      <c r="FB76" s="16" t="s">
        <v>1304</v>
      </c>
      <c r="FC76">
        <f>_xlfn.XLOOKUP(FB76,'KPI Impacts'!$B$2:$H$2,'KPI Impacts'!$B76:$H76)</f>
        <v>0</v>
      </c>
      <c r="FD76" s="35" t="s">
        <v>1304</v>
      </c>
      <c r="FE76">
        <f>_xlfn.XLOOKUP(FD76,'KPI Impacts'!$B$2:$H$2,'KPI Impacts'!$B76:$H76)</f>
        <v>0</v>
      </c>
      <c r="FH76" s="12">
        <f>FH$4*FS76</f>
        <v>0</v>
      </c>
      <c r="FI76" s="12">
        <f>FI$4 * IF(AND(FH$4=1,FH$20=1), FU76, FS76)</f>
        <v>0</v>
      </c>
      <c r="FJ76" s="12">
        <f>FJ$4 * IF(AND(FI$4=1,FH$20=1), FU76, FS76)</f>
        <v>0</v>
      </c>
      <c r="FK76" s="12">
        <f>FK$4 * IF(AND(FJ$4=1,FH$20=1), FU76, FS76)</f>
        <v>0</v>
      </c>
      <c r="FL76" s="12">
        <f>FL$4 * IF(AND(FK$4=1,FH$20=1), FU76, FS76)</f>
        <v>0</v>
      </c>
      <c r="FM76" s="12">
        <f>FM$4 * IF(AND(FL$4=1,FH$20=1), FU76, FS76)</f>
        <v>0</v>
      </c>
      <c r="FN76" s="12">
        <f>FN$4 * IF(AND(FM$4=1,FH$20=1), FU76, FS76)</f>
        <v>0</v>
      </c>
      <c r="FO76" s="12">
        <f>FO$4 * IF(AND(FN$4=1,FH$20=1), FU76, FS76)</f>
        <v>0</v>
      </c>
      <c r="FP76" s="12">
        <f>FP$4 * IF(AND(FO$4=1,FH$20=1), FU76, FS76)</f>
        <v>0</v>
      </c>
      <c r="FR76" s="16" t="s">
        <v>1304</v>
      </c>
      <c r="FS76">
        <f>_xlfn.XLOOKUP(FR76,'KPI Impacts'!$B$2:$H$2,'KPI Impacts'!$B76:$H76)</f>
        <v>0</v>
      </c>
      <c r="FT76" s="9" t="s">
        <v>1304</v>
      </c>
      <c r="FU76">
        <f>_xlfn.XLOOKUP(FT76,'KPI Impacts'!$B$2:$H$2,'KPI Impacts'!$B76:$H76)</f>
        <v>0</v>
      </c>
      <c r="FX76" s="12">
        <f>FX$4*GI76</f>
        <v>0</v>
      </c>
      <c r="FY76" s="12">
        <f>FY$4 * IF(AND(FX$4=1,FX$20=1), GK76, GI76)</f>
        <v>0</v>
      </c>
      <c r="FZ76" s="12">
        <f>FZ$4 * IF(AND(FY$4=1,FX$20=1), GK76, GI76)</f>
        <v>0</v>
      </c>
      <c r="GA76" s="12">
        <f>GA$4 * IF(AND(FZ$4=1,FX$20=1), GK76, GI76)</f>
        <v>0</v>
      </c>
      <c r="GB76" s="12">
        <f>GB$4 * IF(AND(GA$4=1,FX$20=1), GK76, GI76)</f>
        <v>0</v>
      </c>
      <c r="GC76" s="12">
        <f>GC$4 * IF(AND(GB$4=1,FX$20=1), GK76, GI76)</f>
        <v>0</v>
      </c>
      <c r="GD76" s="12">
        <f>GD$4 * IF(AND(GC$4=1,FX$20=1), GK76, GI76)</f>
        <v>0</v>
      </c>
      <c r="GE76" s="12">
        <f>GE$4 * IF(AND(GD$4=1,FX$20=1), GK76, GI76)</f>
        <v>0</v>
      </c>
      <c r="GF76" s="12">
        <f>GF$4 * IF(AND(GE$4=1,FX$20=1), GK76, GI76)</f>
        <v>0</v>
      </c>
      <c r="GH76" s="16" t="s">
        <v>1304</v>
      </c>
      <c r="GI76">
        <f>_xlfn.XLOOKUP(GH76,'KPI Impacts'!$B$2:$H$2,'KPI Impacts'!$B76:$H76)</f>
        <v>0</v>
      </c>
      <c r="GJ76" s="9" t="s">
        <v>1304</v>
      </c>
      <c r="GK76">
        <f>_xlfn.XLOOKUP(GJ76,'KPI Impacts'!$B$2:$H$2,'KPI Impacts'!$B76:$H76)</f>
        <v>0</v>
      </c>
      <c r="GN76" s="12">
        <f>GN$4*GY76</f>
        <v>0</v>
      </c>
      <c r="GO76" s="12">
        <f>GO$4 * IF(AND(GN$4=1,GN$20=1), HA76, GY76)</f>
        <v>0</v>
      </c>
      <c r="GP76" s="12">
        <f>GP$4 * IF(AND(GO$4=1,GN$20=1), HA76, GY76)</f>
        <v>0</v>
      </c>
      <c r="GQ76" s="12">
        <f>GQ$4 * IF(AND(GP$4=1,GN$20=1), HA76, GY76)</f>
        <v>0</v>
      </c>
      <c r="GR76" s="12">
        <f>GR$4 * IF(AND(GQ$4=1,GN$20=1), HA76, GY76)</f>
        <v>0</v>
      </c>
      <c r="GS76" s="12">
        <f>GS$4 * IF(AND(GR$4=1,GN$20=1), HA76, GY76)</f>
        <v>0</v>
      </c>
      <c r="GT76" s="12">
        <f>GT$4 * IF(AND(GS$4=1,GN$20=1), HA76, GY76)</f>
        <v>0</v>
      </c>
      <c r="GU76" s="12">
        <f>GU$4 * IF(AND(GT$4=1,GN$20=1), HA76, GY76)</f>
        <v>0</v>
      </c>
      <c r="GV76" s="12">
        <f>GV$4 * IF(AND(GU$4=1,GN$20=1), HA76, GY76)</f>
        <v>0</v>
      </c>
      <c r="GX76" s="16" t="s">
        <v>1304</v>
      </c>
      <c r="GY76">
        <f>_xlfn.XLOOKUP(GX76,'KPI Impacts'!$B$2:$H$2,'KPI Impacts'!$B76:$H76)</f>
        <v>0</v>
      </c>
      <c r="GZ76" s="9" t="s">
        <v>1304</v>
      </c>
      <c r="HA76">
        <f>_xlfn.XLOOKUP(GZ76,'KPI Impacts'!$B$2:$H$2,'KPI Impacts'!$B76:$H76)</f>
        <v>0</v>
      </c>
      <c r="HD76" s="12">
        <f>HD$4*HO76</f>
        <v>0</v>
      </c>
      <c r="HE76" s="12">
        <f>HE$4 * IF(AND(HD$4=1,HD$20=1), HQ76, HO76)</f>
        <v>0</v>
      </c>
      <c r="HF76" s="12">
        <f>HF$4 * IF(AND(HE$4=1,HD$20=1), HQ76, HO76)</f>
        <v>0</v>
      </c>
      <c r="HG76" s="12">
        <f>HG$4 * IF(AND(HF$4=1,HD$20=1), HQ76, HO76)</f>
        <v>0</v>
      </c>
      <c r="HH76" s="12">
        <f>HH$4 * IF(AND(HG$4=1,HD$20=1), HQ76, HO76)</f>
        <v>0</v>
      </c>
      <c r="HI76" s="12">
        <f>HI$4 * IF(AND(HH$4=1,HD$20=1), HQ76, HO76)</f>
        <v>0</v>
      </c>
      <c r="HJ76" s="12">
        <f>HJ$4 * IF(AND(HI$4=1,HD$20=1), HQ76, HO76)</f>
        <v>0</v>
      </c>
      <c r="HK76" s="12">
        <f>HK$4 * IF(AND(HJ$4=1,HD$20=1), HQ76, HO76)</f>
        <v>0</v>
      </c>
      <c r="HL76" s="12">
        <f>HL$4 * IF(AND(HK$4=1,HD$20=1), HQ76, HO76)</f>
        <v>0</v>
      </c>
      <c r="HN76" t="s">
        <v>1304</v>
      </c>
      <c r="HO76">
        <f>_xlfn.XLOOKUP(HN76,'KPI Impacts'!$B$2:$H$2,'KPI Impacts'!$B76:$H76)</f>
        <v>0</v>
      </c>
      <c r="HP76" s="9" t="s">
        <v>1304</v>
      </c>
      <c r="HQ76">
        <f>_xlfn.XLOOKUP(HP76,'KPI Impacts'!$B$2:$H$2,'KPI Impacts'!$B76:$H76)</f>
        <v>0</v>
      </c>
      <c r="HT76" s="12">
        <f>HT$4*IE76</f>
        <v>0</v>
      </c>
      <c r="HU76" s="12">
        <f>HU$4 * IF(AND(HT$4=1,HT$20=1), IG76, IE76)</f>
        <v>0</v>
      </c>
      <c r="HV76" s="12">
        <f>HV$4 * IF(AND(HU$4=1,HT$20=1), IG76, IE76)</f>
        <v>0</v>
      </c>
      <c r="HW76" s="12">
        <f>HW$4 * IF(AND(HV$4=1,HT$20=1), IG76, IE76)</f>
        <v>0</v>
      </c>
      <c r="HX76" s="12">
        <f>HX$4 * IF(AND(HW$4=1,HT$20=1), IG76, IE76)</f>
        <v>0</v>
      </c>
      <c r="HY76" s="12">
        <f>HY$4 * IF(AND(HX$4=1,HT$20=1), IG76, IE76)</f>
        <v>0</v>
      </c>
      <c r="HZ76" s="12">
        <f>HZ$4 * IF(AND(HY$4=1,HT$20=1), IG76, IE76)</f>
        <v>0</v>
      </c>
      <c r="IA76" s="12">
        <f>IA$4 * IF(AND(HZ$4=1,HT$20=1), IG76, IE76)</f>
        <v>0</v>
      </c>
      <c r="IB76" s="12">
        <f>IB$4 * IF(AND(IA$4=1,HT$20=1), IG76, IE76)</f>
        <v>0</v>
      </c>
      <c r="ID76" t="s">
        <v>1304</v>
      </c>
      <c r="IE76">
        <f>_xlfn.XLOOKUP(ID76,'KPI Impacts'!$B$2:$H$2,'KPI Impacts'!$B76:$H76)</f>
        <v>0</v>
      </c>
      <c r="IF76" s="9" t="s">
        <v>1304</v>
      </c>
      <c r="IG76">
        <f>_xlfn.XLOOKUP(IF76,'KPI Impacts'!$B$2:$H$2,'KPI Impacts'!$B76:$H76)</f>
        <v>0</v>
      </c>
      <c r="IJ76" s="12">
        <f>IJ$4*IU76</f>
        <v>0</v>
      </c>
      <c r="IK76" s="12">
        <f>IK$4 * IF(AND(IJ$4=1,IJ$20=1), IW76, IU76)</f>
        <v>0</v>
      </c>
      <c r="IL76" s="12">
        <f>IL$4 * IF(AND(IK$4=1,IJ$20=1), IW76, IU76)</f>
        <v>0</v>
      </c>
      <c r="IM76" s="12">
        <f>IM$4 * IF(AND(IL$4=1,IJ$20=1), IW76, IU76)</f>
        <v>0</v>
      </c>
      <c r="IN76" s="12">
        <f>IN$4 * IF(AND(IM$4=1,IJ$20=1), IW76, IU76)</f>
        <v>0</v>
      </c>
      <c r="IO76" s="12">
        <f>IO$4 * IF(AND(IN$4=1,IJ$20=1), IW76, IU76)</f>
        <v>0</v>
      </c>
      <c r="IP76" s="12">
        <f>IP$4 * IF(AND(IO$4=1,IJ$20=1), IW76, IU76)</f>
        <v>0</v>
      </c>
      <c r="IQ76" s="12">
        <f>IQ$4 * IF(AND(IP$4=1,IJ$20=1), IW76, IU76)</f>
        <v>0</v>
      </c>
      <c r="IR76" s="12">
        <f>IR$4 * IF(AND(IQ$4=1,IJ$20=1), IW76, IU76)</f>
        <v>0</v>
      </c>
      <c r="IT76" t="s">
        <v>1304</v>
      </c>
      <c r="IU76">
        <f>_xlfn.XLOOKUP(IT76,'KPI Impacts'!$B$2:$H$2,'KPI Impacts'!$B76:$H76)</f>
        <v>0</v>
      </c>
      <c r="IV76" s="9" t="s">
        <v>1304</v>
      </c>
      <c r="IW76">
        <f>_xlfn.XLOOKUP(IV76,'KPI Impacts'!$B$2:$H$2,'KPI Impacts'!$B76:$H76)</f>
        <v>0</v>
      </c>
      <c r="IZ76" s="12">
        <f>IZ$4*JK76</f>
        <v>0</v>
      </c>
      <c r="JA76" s="12">
        <f>JA$4 * IF(AND(IZ$4=1,IZ$20=1), JM76, JK76)</f>
        <v>0</v>
      </c>
      <c r="JB76" s="12">
        <f>JB$4 * IF(AND(JA$4=1,IZ$20=1), JM76, JK76)</f>
        <v>0</v>
      </c>
      <c r="JC76" s="12">
        <f>JC$4 * IF(AND(JB$4=1,IZ$20=1), JM76, JK76)</f>
        <v>0</v>
      </c>
      <c r="JD76" s="12">
        <f>JD$4 * IF(AND(JC$4=1,IZ$20=1), JM76, JK76)</f>
        <v>0</v>
      </c>
      <c r="JE76" s="12">
        <f>JE$4 * IF(AND(JD$4=1,IZ$20=1), JM76, JK76)</f>
        <v>0</v>
      </c>
      <c r="JF76" s="12">
        <f>JF$4 * IF(AND(JE$4=1,IZ$20=1), JM76, JK76)</f>
        <v>0</v>
      </c>
      <c r="JG76" s="12">
        <f>JG$4 * IF(AND(JF$4=1,IZ$20=1), JM76, JK76)</f>
        <v>0</v>
      </c>
      <c r="JH76" s="12">
        <f>JH$4 * IF(AND(JG$4=1,IZ$20=1), JM76, JK76)</f>
        <v>0</v>
      </c>
      <c r="JJ76" t="s">
        <v>1304</v>
      </c>
      <c r="JK76">
        <f>_xlfn.XLOOKUP(JJ76,'KPI Impacts'!$B$2:$H$2,'KPI Impacts'!$B76:$H76)</f>
        <v>0</v>
      </c>
      <c r="JL76" s="9" t="s">
        <v>1304</v>
      </c>
      <c r="JM76">
        <f>_xlfn.XLOOKUP(JL76,'KPI Impacts'!$B$2:$H$2,'KPI Impacts'!$B76:$H76)</f>
        <v>0</v>
      </c>
      <c r="JP76" s="12">
        <f>JP$4*KA76</f>
        <v>0</v>
      </c>
      <c r="JQ76" s="12">
        <f>JQ$4 * IF(AND(JP$4=1,JP$20=1), KC76, KA76)</f>
        <v>0</v>
      </c>
      <c r="JR76" s="12">
        <f>JR$4 * IF(AND(JQ$4=1,JP$20=1), KC76, KA76)</f>
        <v>0</v>
      </c>
      <c r="JS76" s="12">
        <f>JS$4 * IF(AND(JR$4=1,JP$20=1), KC76, KA76)</f>
        <v>0</v>
      </c>
      <c r="JT76" s="12">
        <f>JT$4 * IF(AND(JS$4=1,JP$20=1), KC76, KA76)</f>
        <v>0</v>
      </c>
      <c r="JU76" s="12">
        <f>JU$4 * IF(AND(JT$4=1,JP$20=1), KC76, KA76)</f>
        <v>0</v>
      </c>
      <c r="JV76" s="12">
        <f>JV$4 * IF(AND(JU$4=1,JP$20=1), KC76, KA76)</f>
        <v>0</v>
      </c>
      <c r="JW76" s="12">
        <f>JW$4 * IF(AND(JV$4=1,JP$20=1), KC76, KA76)</f>
        <v>0</v>
      </c>
      <c r="JX76" s="12">
        <f>JX$4 * IF(AND(JW$4=1,JP$20=1), KC76, KA76)</f>
        <v>0</v>
      </c>
      <c r="JZ76" t="s">
        <v>1304</v>
      </c>
      <c r="KA76">
        <f>_xlfn.XLOOKUP(JZ76,'KPI Impacts'!$B$2:$H$2,'KPI Impacts'!$B76:$H76)</f>
        <v>0</v>
      </c>
      <c r="KB76" s="9" t="s">
        <v>1304</v>
      </c>
      <c r="KC76">
        <f>_xlfn.XLOOKUP(KB76,'KPI Impacts'!$B$2:$H$2,'KPI Impacts'!$B76:$H76)</f>
        <v>0</v>
      </c>
      <c r="KF76" s="12">
        <f>KF$4*KQ76</f>
        <v>0</v>
      </c>
      <c r="KG76" s="12">
        <f>KG$4 * IF(AND(KF$4=1,KF$20=1), KS76, KQ76)</f>
        <v>0</v>
      </c>
      <c r="KH76" s="12">
        <f>KH$4 * IF(AND(KG$4=1,KF$20=1), KS76, KQ76)</f>
        <v>0</v>
      </c>
      <c r="KI76" s="12">
        <f>KI$4 * IF(AND(KH$4=1,KF$20=1), KS76, KQ76)</f>
        <v>0</v>
      </c>
      <c r="KJ76" s="12">
        <f>KJ$4 * IF(AND(KI$4=1,KF$20=1), KS76, KQ76)</f>
        <v>0</v>
      </c>
      <c r="KK76" s="12">
        <f>KK$4 * IF(AND(KJ$4=1,KF$20=1), KS76, KQ76)</f>
        <v>0</v>
      </c>
      <c r="KL76" s="12">
        <f>KL$4 * IF(AND(KK$4=1,KF$20=1), KS76, KQ76)</f>
        <v>0</v>
      </c>
      <c r="KM76" s="12">
        <f>KM$4 * IF(AND(KL$4=1,KF$20=1), KS76, KQ76)</f>
        <v>0</v>
      </c>
      <c r="KN76" s="12">
        <f>KN$4 * IF(AND(KM$4=1,KF$20=1), KS76, KQ76)</f>
        <v>0</v>
      </c>
      <c r="KP76" t="s">
        <v>1304</v>
      </c>
      <c r="KQ76">
        <f>_xlfn.XLOOKUP(KP76,'KPI Impacts'!$B$2:$H$2,'KPI Impacts'!$B76:$H76)</f>
        <v>0</v>
      </c>
      <c r="KR76" s="9" t="s">
        <v>1304</v>
      </c>
      <c r="KS76">
        <f>_xlfn.XLOOKUP(KR76,'KPI Impacts'!$B$2:$H$2,'KPI Impacts'!$B76:$H76)</f>
        <v>0</v>
      </c>
      <c r="KV76" s="12">
        <f>KV$4*LG76</f>
        <v>0</v>
      </c>
      <c r="KW76" s="12">
        <f>KW$4 * IF(AND(KV$4=1,KV$20=1), LI76, LG76)</f>
        <v>0</v>
      </c>
      <c r="KX76" s="12">
        <f>KX$4 * IF(AND(KW$4=1,KV$20=1), LI76, LG76)</f>
        <v>0</v>
      </c>
      <c r="KY76" s="12">
        <f>KY$4 * IF(AND(KX$4=1,KV$20=1), LI76, LG76)</f>
        <v>0</v>
      </c>
      <c r="KZ76" s="12">
        <f>KZ$4 * IF(AND(KY$4=1,KV$20=1), LI76, LG76)</f>
        <v>0</v>
      </c>
      <c r="LA76" s="12">
        <f>LA$4 * IF(AND(KZ$4=1,KV$20=1), LI76, LG76)</f>
        <v>0</v>
      </c>
      <c r="LB76" s="12">
        <f>LB$4 * IF(AND(LA$4=1,KV$20=1), LI76, LG76)</f>
        <v>0</v>
      </c>
      <c r="LC76" s="12">
        <f>LC$4 * IF(AND(LB$4=1,KV$20=1), LI76, LG76)</f>
        <v>0</v>
      </c>
      <c r="LD76" s="12">
        <f>LD$4 * IF(AND(LC$4=1,KV$20=1), LI76, LG76)</f>
        <v>0</v>
      </c>
      <c r="LF76" t="s">
        <v>1304</v>
      </c>
      <c r="LG76">
        <f>_xlfn.XLOOKUP(LF76,'KPI Impacts'!$B$2:$H$2,'KPI Impacts'!$B76:$H76)</f>
        <v>0</v>
      </c>
      <c r="LH76" s="9" t="s">
        <v>1304</v>
      </c>
      <c r="LI76">
        <f>_xlfn.XLOOKUP(LH76,'KPI Impacts'!$B$2:$H$2,'KPI Impacts'!$B76:$H76)</f>
        <v>0</v>
      </c>
      <c r="LL76" s="12">
        <f>LL$4*LW76</f>
        <v>0</v>
      </c>
      <c r="LM76" s="12">
        <f>LM$4 * IF(AND(LL$4=1,LL$20=1), LY76, LW76)</f>
        <v>0</v>
      </c>
      <c r="LN76" s="12">
        <f>LN$4 * IF(AND(LM$4=1,LL$20=1), LY76, LW76)</f>
        <v>0</v>
      </c>
      <c r="LO76" s="12">
        <f>LO$4 * IF(AND(LN$4=1,LL$20=1), LY76, LW76)</f>
        <v>0</v>
      </c>
      <c r="LP76" s="12">
        <f>LP$4 * IF(AND(LO$4=1,LL$20=1), LY76, LW76)</f>
        <v>0</v>
      </c>
      <c r="LQ76" s="12">
        <f>LQ$4 * IF(AND(LP$4=1,LL$20=1), LY76, LW76)</f>
        <v>0</v>
      </c>
      <c r="LR76" s="12">
        <f>LR$4 * IF(AND(LQ$4=1,LL$20=1), LY76, LW76)</f>
        <v>0</v>
      </c>
      <c r="LS76" s="12">
        <f>LS$4 * IF(AND(LR$4=1,LL$20=1), LY76, LW76)</f>
        <v>0</v>
      </c>
      <c r="LT76" s="12">
        <f>LT$4 * IF(AND(LS$4=1,LL$20=1), LY76, LW76)</f>
        <v>0</v>
      </c>
      <c r="LV76" t="s">
        <v>1304</v>
      </c>
      <c r="LW76">
        <f>_xlfn.XLOOKUP(LV76,'KPI Impacts'!$B$2:$H$2,'KPI Impacts'!$B76:$H76)</f>
        <v>0</v>
      </c>
      <c r="LX76" s="9" t="s">
        <v>1304</v>
      </c>
      <c r="LY76">
        <f>_xlfn.XLOOKUP(LX76,'KPI Impacts'!$B$2:$H$2,'KPI Impacts'!$B76:$H76)</f>
        <v>0</v>
      </c>
      <c r="MB76" s="12">
        <f>MB$4*MM76</f>
        <v>0</v>
      </c>
      <c r="MC76" s="12">
        <f>MC$4 * IF(AND(MB$4=1,MB$20=1), MO76, MM76)</f>
        <v>0</v>
      </c>
      <c r="MD76" s="12">
        <f>MD$4 * IF(AND(MC$4=1,MB$20=1), MO76, MM76)</f>
        <v>0</v>
      </c>
      <c r="ME76" s="12">
        <f>ME$4 * IF(AND(MD$4=1,MB$20=1), MO76, MM76)</f>
        <v>0</v>
      </c>
      <c r="MF76" s="12">
        <f>MF$4 * IF(AND(ME$4=1,MB$20=1), MO76, MM76)</f>
        <v>0</v>
      </c>
      <c r="MG76" s="12">
        <f>MG$4 * IF(AND(MF$4=1,MB$20=1), MO76, MM76)</f>
        <v>0</v>
      </c>
      <c r="MH76" s="12">
        <f>MH$4 * IF(AND(MG$4=1,MB$20=1), MO76, MM76)</f>
        <v>0</v>
      </c>
      <c r="MI76" s="12">
        <f>MI$4 * IF(AND(MH$4=1,MB$20=1), MO76, MM76)</f>
        <v>0</v>
      </c>
      <c r="MJ76" s="12">
        <f>MJ$4 * IF(AND(MI$4=1,MB$20=1), MO76, MM76)</f>
        <v>0</v>
      </c>
      <c r="ML76" t="s">
        <v>1304</v>
      </c>
      <c r="MM76">
        <f>_xlfn.XLOOKUP(ML76,'KPI Impacts'!$B$2:$H$2,'KPI Impacts'!$B76:$H76)</f>
        <v>0</v>
      </c>
      <c r="MN76" s="9" t="s">
        <v>1304</v>
      </c>
      <c r="MO76">
        <f>_xlfn.XLOOKUP(MN76,'KPI Impacts'!$B$2:$H$2,'KPI Impacts'!$B76:$H76)</f>
        <v>0</v>
      </c>
      <c r="MR76" s="12">
        <f>MR$4*NC76</f>
        <v>0</v>
      </c>
      <c r="MS76" s="12">
        <f>MS$4 * IF(AND(MR$4=1,MR$20=1), NE76, NC76)</f>
        <v>0</v>
      </c>
      <c r="MT76" s="12">
        <f>MT$4 * IF(AND(MS$4=1,MR$20=1), NE76, NC76)</f>
        <v>0</v>
      </c>
      <c r="MU76" s="12">
        <f>MU$4 * IF(AND(MT$4=1,MR$20=1), NE76, NC76)</f>
        <v>0</v>
      </c>
      <c r="MV76" s="12">
        <f>MV$4 * IF(AND(MU$4=1,MR$20=1), NE76, NC76)</f>
        <v>0</v>
      </c>
      <c r="MW76" s="12">
        <f>MW$4 * IF(AND(MV$4=1,MR$20=1), NE76, NC76)</f>
        <v>0</v>
      </c>
      <c r="MX76" s="12">
        <f>MX$4 * IF(AND(MW$4=1,MR$20=1), NE76, NC76)</f>
        <v>0</v>
      </c>
      <c r="MY76" s="12">
        <f>MY$4 * IF(AND(MX$4=1,MR$20=1), NE76, NC76)</f>
        <v>0</v>
      </c>
      <c r="MZ76" s="12">
        <f>MZ$4 * IF(AND(MY$4=1,MR$20=1), NE76, NC76)</f>
        <v>0</v>
      </c>
      <c r="NB76" t="s">
        <v>1304</v>
      </c>
      <c r="NC76">
        <f>_xlfn.XLOOKUP(NB76,'KPI Impacts'!$B$2:$H$2,'KPI Impacts'!$B76:$H76)</f>
        <v>0</v>
      </c>
      <c r="ND76" s="9" t="s">
        <v>1304</v>
      </c>
      <c r="NE76">
        <f>_xlfn.XLOOKUP(ND76,'KPI Impacts'!$B$2:$H$2,'KPI Impacts'!$B76:$H76)</f>
        <v>0</v>
      </c>
      <c r="NH76" s="12">
        <f>NH$4*NS76</f>
        <v>0</v>
      </c>
      <c r="NI76" s="12">
        <f>NI$4 * IF(AND(NH$4=1,NH$20=1), NU76, NS76)</f>
        <v>0</v>
      </c>
      <c r="NJ76" s="12">
        <f>NJ$4 * IF(AND(NI$4=1,NH$20=1), NU76, NS76)</f>
        <v>0</v>
      </c>
      <c r="NK76" s="12">
        <f>NK$4 * IF(AND(NJ$4=1,NH$20=1), NU76, NS76)</f>
        <v>0</v>
      </c>
      <c r="NL76" s="12">
        <f>NL$4 * IF(AND(NK$4=1,NH$20=1), NU76, NS76)</f>
        <v>0</v>
      </c>
      <c r="NM76" s="12">
        <f>NM$4 * IF(AND(NL$4=1,NH$20=1), NU76, NS76)</f>
        <v>0</v>
      </c>
      <c r="NN76" s="12">
        <f>NN$4 * IF(AND(NM$4=1,NH$20=1), NU76, NS76)</f>
        <v>0</v>
      </c>
      <c r="NO76" s="12">
        <f>NO$4 * IF(AND(NN$4=1,NH$20=1), NU76, NS76)</f>
        <v>0</v>
      </c>
      <c r="NP76" s="12">
        <f>NP$4 * IF(AND(NO$4=1,NH$20=1), NU76, NS76)</f>
        <v>0</v>
      </c>
      <c r="NR76" t="s">
        <v>1304</v>
      </c>
      <c r="NS76">
        <f>_xlfn.XLOOKUP(NR76,'KPI Impacts'!$B$2:$H$2,'KPI Impacts'!$B76:$H76)</f>
        <v>0</v>
      </c>
      <c r="NT76" s="9" t="s">
        <v>1304</v>
      </c>
      <c r="NU76">
        <f>_xlfn.XLOOKUP(NT76,'KPI Impacts'!$B$2:$H$2,'KPI Impacts'!$B76:$H76)</f>
        <v>0</v>
      </c>
      <c r="NX76" s="12">
        <f>NX$4*OI76</f>
        <v>0</v>
      </c>
      <c r="NY76" s="12">
        <f>NY$4 * IF(AND(NX$4=1,NX$20=1), OK76, OI76)</f>
        <v>0</v>
      </c>
      <c r="NZ76" s="12">
        <f>NZ$4 * IF(AND(NY$4=1,NX$20=1), OK76, OI76)</f>
        <v>0</v>
      </c>
      <c r="OA76" s="12">
        <f>OA$4 * IF(AND(NZ$4=1,NX$20=1), OK76, OI76)</f>
        <v>0</v>
      </c>
      <c r="OB76" s="12">
        <f>OB$4 * IF(AND(OA$4=1,NX$20=1), OK76, OI76)</f>
        <v>0</v>
      </c>
      <c r="OC76" s="12">
        <f>OC$4 * IF(AND(OB$4=1,NX$20=1), OK76, OI76)</f>
        <v>0</v>
      </c>
      <c r="OD76" s="12">
        <f>OD$4 * IF(AND(OC$4=1,NX$20=1), OK76, OI76)</f>
        <v>0</v>
      </c>
      <c r="OE76" s="12">
        <f>OE$4 * IF(AND(OD$4=1,NX$20=1), OK76, OI76)</f>
        <v>0</v>
      </c>
      <c r="OF76" s="12">
        <f>OF$4 * IF(AND(OE$4=1,NX$20=1), OK76, OI76)</f>
        <v>0</v>
      </c>
      <c r="OH76" t="s">
        <v>1304</v>
      </c>
      <c r="OI76">
        <f>_xlfn.XLOOKUP(OH76,'KPI Impacts'!$B$2:$H$2,'KPI Impacts'!$B76:$H76)</f>
        <v>0</v>
      </c>
      <c r="OJ76" s="9" t="s">
        <v>1304</v>
      </c>
      <c r="OK76">
        <f>_xlfn.XLOOKUP(OJ76,'KPI Impacts'!$B$2:$H$2,'KPI Impacts'!$B76:$H76)</f>
        <v>0</v>
      </c>
    </row>
    <row r="77" spans="1:401" x14ac:dyDescent="0.2">
      <c r="A77" t="s">
        <v>54</v>
      </c>
      <c r="B77" s="19" t="s">
        <v>1319</v>
      </c>
      <c r="C77" s="19" t="s">
        <v>1319</v>
      </c>
      <c r="D77" s="19" t="s">
        <v>1319</v>
      </c>
      <c r="E77" s="19" t="s">
        <v>1319</v>
      </c>
      <c r="F77" s="19" t="s">
        <v>1319</v>
      </c>
      <c r="G77" s="19" t="s">
        <v>1319</v>
      </c>
      <c r="H77" s="19" t="s">
        <v>1319</v>
      </c>
      <c r="I77" s="19" t="s">
        <v>1319</v>
      </c>
      <c r="J77" s="19" t="s">
        <v>1319</v>
      </c>
      <c r="P77" s="12"/>
      <c r="Q77" s="12"/>
      <c r="R77" s="12"/>
      <c r="S77" s="12"/>
      <c r="T77" s="12"/>
      <c r="U77" s="12"/>
      <c r="V77" s="12"/>
      <c r="W77" s="12"/>
      <c r="X77" s="12"/>
      <c r="AH77" s="12"/>
      <c r="AI77" s="12"/>
      <c r="AJ77" s="12"/>
      <c r="AK77" s="12"/>
      <c r="AL77" s="12"/>
      <c r="AM77" s="12"/>
      <c r="AN77" s="12"/>
      <c r="AO77" s="12"/>
      <c r="AP77" s="12"/>
      <c r="AZ77" s="12"/>
      <c r="BA77" s="12"/>
      <c r="BB77" s="12"/>
      <c r="BC77" s="12"/>
      <c r="BD77" s="12"/>
      <c r="BE77" s="12"/>
      <c r="BF77" s="12"/>
      <c r="BG77" s="12"/>
      <c r="BH77" s="12"/>
      <c r="BJ77" s="16"/>
      <c r="BL77" s="35"/>
      <c r="BP77" s="12"/>
      <c r="BQ77" s="12"/>
      <c r="BR77" s="12"/>
      <c r="BS77" s="12"/>
      <c r="BT77" s="12"/>
      <c r="BU77" s="12"/>
      <c r="BV77" s="12"/>
      <c r="BW77" s="12"/>
      <c r="BX77" s="12"/>
      <c r="BZ77" s="16"/>
      <c r="CB77" s="35"/>
      <c r="CF77" s="12"/>
      <c r="CG77" s="12"/>
      <c r="CH77" s="12"/>
      <c r="CI77" s="12"/>
      <c r="CJ77" s="12"/>
      <c r="CK77" s="12"/>
      <c r="CL77" s="12"/>
      <c r="CM77" s="12"/>
      <c r="CN77" s="12"/>
      <c r="CP77" s="16"/>
      <c r="CR77" s="35"/>
      <c r="CV77" s="12"/>
      <c r="CW77" s="12"/>
      <c r="CX77" s="12"/>
      <c r="CY77" s="12"/>
      <c r="CZ77" s="12"/>
      <c r="DA77" s="12"/>
      <c r="DB77" s="12"/>
      <c r="DC77" s="12"/>
      <c r="DD77" s="12"/>
      <c r="DF77" s="16"/>
      <c r="DH77" s="35"/>
      <c r="DL77" s="12"/>
      <c r="DM77" s="12"/>
      <c r="DN77" s="12"/>
      <c r="DO77" s="12"/>
      <c r="DP77" s="12"/>
      <c r="DQ77" s="12"/>
      <c r="DR77" s="12"/>
      <c r="DS77" s="12"/>
      <c r="DT77" s="12"/>
      <c r="DV77" s="16"/>
      <c r="DX77" s="35"/>
      <c r="EB77" s="12"/>
      <c r="EC77" s="12"/>
      <c r="ED77" s="12"/>
      <c r="EE77" s="12"/>
      <c r="EF77" s="12"/>
      <c r="EG77" s="12"/>
      <c r="EH77" s="12"/>
      <c r="EI77" s="12"/>
      <c r="EJ77" s="12"/>
      <c r="EL77" s="16"/>
      <c r="EN77" s="35"/>
      <c r="ER77" s="12"/>
      <c r="ES77" s="12"/>
      <c r="ET77" s="12"/>
      <c r="EU77" s="12"/>
      <c r="EV77" s="12"/>
      <c r="EW77" s="12"/>
      <c r="EX77" s="12"/>
      <c r="EY77" s="12"/>
      <c r="EZ77" s="12"/>
      <c r="FB77" s="16"/>
      <c r="FD77" s="35"/>
      <c r="FH77" s="12"/>
      <c r="FI77" s="12"/>
      <c r="FJ77" s="12"/>
      <c r="FK77" s="12"/>
      <c r="FL77" s="12"/>
      <c r="FM77" s="12"/>
      <c r="FN77" s="12"/>
      <c r="FO77" s="12"/>
      <c r="FP77" s="12"/>
      <c r="FR77" s="16"/>
      <c r="FT77" s="9"/>
      <c r="FX77" s="12"/>
      <c r="FY77" s="12"/>
      <c r="FZ77" s="12"/>
      <c r="GA77" s="12"/>
      <c r="GB77" s="12"/>
      <c r="GC77" s="12"/>
      <c r="GD77" s="12"/>
      <c r="GE77" s="12"/>
      <c r="GF77" s="12"/>
      <c r="GH77" s="16"/>
      <c r="GJ77" s="9"/>
      <c r="GN77" s="12"/>
      <c r="GO77" s="12"/>
      <c r="GP77" s="12"/>
      <c r="GQ77" s="12"/>
      <c r="GR77" s="12"/>
      <c r="GS77" s="12"/>
      <c r="GT77" s="12"/>
      <c r="GU77" s="12"/>
      <c r="GV77" s="12"/>
      <c r="GX77" s="16"/>
      <c r="GZ77" s="9"/>
      <c r="HD77" s="12"/>
      <c r="HE77" s="12"/>
      <c r="HF77" s="12"/>
      <c r="HG77" s="12"/>
      <c r="HH77" s="12"/>
      <c r="HI77" s="12"/>
      <c r="HJ77" s="12"/>
      <c r="HK77" s="12"/>
      <c r="HL77" s="12"/>
      <c r="HP77" s="9"/>
      <c r="HT77" s="12"/>
      <c r="HU77" s="12"/>
      <c r="HV77" s="12"/>
      <c r="HW77" s="12"/>
      <c r="HX77" s="12"/>
      <c r="HY77" s="12"/>
      <c r="HZ77" s="12"/>
      <c r="IA77" s="12"/>
      <c r="IB77" s="12"/>
      <c r="IF77" s="9"/>
      <c r="IJ77" s="12"/>
      <c r="IK77" s="12"/>
      <c r="IL77" s="12"/>
      <c r="IM77" s="12"/>
      <c r="IN77" s="12"/>
      <c r="IO77" s="12"/>
      <c r="IP77" s="12"/>
      <c r="IQ77" s="12"/>
      <c r="IR77" s="12"/>
      <c r="IV77" s="9"/>
      <c r="IZ77" s="12"/>
      <c r="JA77" s="12"/>
      <c r="JB77" s="12"/>
      <c r="JC77" s="12"/>
      <c r="JD77" s="12"/>
      <c r="JE77" s="12"/>
      <c r="JF77" s="12"/>
      <c r="JG77" s="12"/>
      <c r="JH77" s="12"/>
      <c r="JL77" s="9"/>
      <c r="JP77" s="12"/>
      <c r="JQ77" s="12"/>
      <c r="JR77" s="12"/>
      <c r="JS77" s="12"/>
      <c r="JT77" s="12"/>
      <c r="JU77" s="12"/>
      <c r="JV77" s="12"/>
      <c r="JW77" s="12"/>
      <c r="JX77" s="12"/>
      <c r="KB77" s="9"/>
      <c r="KF77" s="12"/>
      <c r="KG77" s="12"/>
      <c r="KH77" s="12"/>
      <c r="KI77" s="12"/>
      <c r="KJ77" s="12"/>
      <c r="KK77" s="12"/>
      <c r="KL77" s="12"/>
      <c r="KM77" s="12"/>
      <c r="KN77" s="12"/>
      <c r="KR77" s="9"/>
      <c r="KV77" s="12"/>
      <c r="KW77" s="12"/>
      <c r="KX77" s="12"/>
      <c r="KY77" s="12"/>
      <c r="KZ77" s="12"/>
      <c r="LA77" s="12"/>
      <c r="LB77" s="12"/>
      <c r="LC77" s="12"/>
      <c r="LD77" s="12"/>
      <c r="LH77" s="9"/>
      <c r="LL77" s="12"/>
      <c r="LM77" s="12"/>
      <c r="LN77" s="12"/>
      <c r="LO77" s="12"/>
      <c r="LP77" s="12"/>
      <c r="LQ77" s="12"/>
      <c r="LR77" s="12"/>
      <c r="LS77" s="12"/>
      <c r="LT77" s="12"/>
      <c r="LX77" s="9"/>
      <c r="MB77" s="12"/>
      <c r="MC77" s="12"/>
      <c r="MD77" s="12"/>
      <c r="ME77" s="12"/>
      <c r="MF77" s="12"/>
      <c r="MG77" s="12"/>
      <c r="MH77" s="12"/>
      <c r="MI77" s="12"/>
      <c r="MJ77" s="12"/>
      <c r="MN77" s="9"/>
      <c r="MR77" s="12"/>
      <c r="MS77" s="12"/>
      <c r="MT77" s="12"/>
      <c r="MU77" s="12"/>
      <c r="MV77" s="12"/>
      <c r="MW77" s="12"/>
      <c r="MX77" s="12"/>
      <c r="MY77" s="12"/>
      <c r="MZ77" s="12"/>
      <c r="ND77" s="9"/>
      <c r="NH77" s="12"/>
      <c r="NI77" s="12"/>
      <c r="NJ77" s="12"/>
      <c r="NK77" s="12"/>
      <c r="NL77" s="12"/>
      <c r="NM77" s="12"/>
      <c r="NN77" s="12"/>
      <c r="NO77" s="12"/>
      <c r="NP77" s="12"/>
      <c r="NT77" s="9"/>
      <c r="NX77" s="12"/>
      <c r="NY77" s="12"/>
      <c r="NZ77" s="12"/>
      <c r="OA77" s="12"/>
      <c r="OB77" s="12"/>
      <c r="OC77" s="12"/>
      <c r="OD77" s="12"/>
      <c r="OE77" s="12"/>
      <c r="OF77" s="12"/>
      <c r="OJ77" s="9"/>
    </row>
    <row r="78" spans="1:401" hidden="1" x14ac:dyDescent="0.2">
      <c r="B78" s="12"/>
      <c r="C78" s="6"/>
      <c r="D78" s="6"/>
      <c r="E78" s="6"/>
      <c r="F78" s="6"/>
      <c r="G78" s="6"/>
      <c r="H78" s="6"/>
      <c r="I78" s="6"/>
      <c r="J78" s="6"/>
      <c r="P78" s="12"/>
      <c r="Q78" s="12"/>
      <c r="R78" s="12"/>
      <c r="S78" s="12"/>
      <c r="T78" s="12"/>
      <c r="U78" s="12"/>
      <c r="V78" s="12"/>
      <c r="W78" s="12"/>
      <c r="X78" s="12"/>
      <c r="AH78" s="12"/>
      <c r="AI78" s="12"/>
      <c r="AJ78" s="12"/>
      <c r="AK78" s="12"/>
      <c r="AL78" s="12"/>
      <c r="AM78" s="12"/>
      <c r="AN78" s="12"/>
      <c r="AO78" s="12"/>
      <c r="AP78" s="12"/>
      <c r="AZ78" s="12"/>
      <c r="BA78" s="12"/>
      <c r="BB78" s="12"/>
      <c r="BC78" s="12"/>
      <c r="BD78" s="12"/>
      <c r="BE78" s="12"/>
      <c r="BF78" s="12"/>
      <c r="BG78" s="12"/>
      <c r="BH78" s="12"/>
      <c r="BJ78" s="16"/>
      <c r="BL78" s="35"/>
      <c r="BP78" s="12"/>
      <c r="BQ78" s="12"/>
      <c r="BR78" s="12"/>
      <c r="BS78" s="12"/>
      <c r="BT78" s="12"/>
      <c r="BU78" s="12"/>
      <c r="BV78" s="12"/>
      <c r="BW78" s="12"/>
      <c r="BX78" s="12"/>
      <c r="BZ78" s="16"/>
      <c r="CB78" s="35"/>
      <c r="CF78" s="12"/>
      <c r="CG78" s="12"/>
      <c r="CH78" s="12"/>
      <c r="CI78" s="12"/>
      <c r="CJ78" s="12"/>
      <c r="CK78" s="12"/>
      <c r="CL78" s="12"/>
      <c r="CM78" s="12"/>
      <c r="CN78" s="12"/>
      <c r="CP78" s="16"/>
      <c r="CR78" s="35"/>
      <c r="CV78" s="12"/>
      <c r="CW78" s="12"/>
      <c r="CX78" s="12"/>
      <c r="CY78" s="12"/>
      <c r="CZ78" s="12"/>
      <c r="DA78" s="12"/>
      <c r="DB78" s="12"/>
      <c r="DC78" s="12"/>
      <c r="DD78" s="12"/>
      <c r="DF78" s="16"/>
      <c r="DH78" s="35"/>
      <c r="DL78" s="12"/>
      <c r="DM78" s="12"/>
      <c r="DN78" s="12"/>
      <c r="DO78" s="12"/>
      <c r="DP78" s="12"/>
      <c r="DQ78" s="12"/>
      <c r="DR78" s="12"/>
      <c r="DS78" s="12"/>
      <c r="DT78" s="12"/>
      <c r="DV78" s="16"/>
      <c r="DX78" s="35"/>
      <c r="EB78" s="12"/>
      <c r="EC78" s="12"/>
      <c r="ED78" s="12"/>
      <c r="EE78" s="12"/>
      <c r="EF78" s="12"/>
      <c r="EG78" s="12"/>
      <c r="EH78" s="12"/>
      <c r="EI78" s="12"/>
      <c r="EJ78" s="12"/>
      <c r="EL78" s="16"/>
      <c r="EN78" s="35"/>
      <c r="ER78" s="12"/>
      <c r="ES78" s="12"/>
      <c r="ET78" s="12"/>
      <c r="EU78" s="12"/>
      <c r="EV78" s="12"/>
      <c r="EW78" s="12"/>
      <c r="EX78" s="12"/>
      <c r="EY78" s="12"/>
      <c r="EZ78" s="12"/>
      <c r="FB78" s="16"/>
      <c r="FD78" s="35"/>
      <c r="FH78" s="12"/>
      <c r="FI78" s="12"/>
      <c r="FJ78" s="12"/>
      <c r="FK78" s="12"/>
      <c r="FL78" s="12"/>
      <c r="FM78" s="12"/>
      <c r="FN78" s="12"/>
      <c r="FO78" s="12"/>
      <c r="FP78" s="12"/>
      <c r="FR78" s="16"/>
      <c r="FT78" s="9"/>
      <c r="FX78" s="12"/>
      <c r="FY78" s="12"/>
      <c r="FZ78" s="12"/>
      <c r="GA78" s="12"/>
      <c r="GB78" s="12"/>
      <c r="GC78" s="12"/>
      <c r="GD78" s="12"/>
      <c r="GE78" s="12"/>
      <c r="GF78" s="12"/>
      <c r="GH78" s="16"/>
      <c r="GJ78" s="9"/>
      <c r="GN78" s="12"/>
      <c r="GO78" s="12"/>
      <c r="GP78" s="12"/>
      <c r="GQ78" s="12"/>
      <c r="GR78" s="12"/>
      <c r="GS78" s="12"/>
      <c r="GT78" s="12"/>
      <c r="GU78" s="12"/>
      <c r="GV78" s="12"/>
      <c r="GX78" s="16"/>
      <c r="GZ78" s="9"/>
      <c r="HD78" s="12"/>
      <c r="HE78" s="12"/>
      <c r="HF78" s="12"/>
      <c r="HG78" s="12"/>
      <c r="HH78" s="12"/>
      <c r="HI78" s="12"/>
      <c r="HJ78" s="12"/>
      <c r="HK78" s="12"/>
      <c r="HL78" s="12"/>
      <c r="HP78" s="9"/>
      <c r="HT78" s="12"/>
      <c r="HU78" s="12"/>
      <c r="HV78" s="12"/>
      <c r="HW78" s="12"/>
      <c r="HX78" s="12"/>
      <c r="HY78" s="12"/>
      <c r="HZ78" s="12"/>
      <c r="IA78" s="12"/>
      <c r="IB78" s="12"/>
      <c r="IF78" s="9"/>
      <c r="IJ78" s="12"/>
      <c r="IK78" s="12"/>
      <c r="IL78" s="12"/>
      <c r="IM78" s="12"/>
      <c r="IN78" s="12"/>
      <c r="IO78" s="12"/>
      <c r="IP78" s="12"/>
      <c r="IQ78" s="12"/>
      <c r="IR78" s="12"/>
      <c r="IV78" s="9"/>
      <c r="IZ78" s="12"/>
      <c r="JA78" s="12"/>
      <c r="JB78" s="12"/>
      <c r="JC78" s="12"/>
      <c r="JD78" s="12"/>
      <c r="JE78" s="12"/>
      <c r="JF78" s="12"/>
      <c r="JG78" s="12"/>
      <c r="JH78" s="12"/>
      <c r="JL78" s="9"/>
      <c r="JP78" s="12"/>
      <c r="JQ78" s="12"/>
      <c r="JR78" s="12"/>
      <c r="JS78" s="12"/>
      <c r="JT78" s="12"/>
      <c r="JU78" s="12"/>
      <c r="JV78" s="12"/>
      <c r="JW78" s="12"/>
      <c r="JX78" s="12"/>
      <c r="KB78" s="9"/>
      <c r="KF78" s="12"/>
      <c r="KG78" s="12"/>
      <c r="KH78" s="12"/>
      <c r="KI78" s="12"/>
      <c r="KJ78" s="12"/>
      <c r="KK78" s="12"/>
      <c r="KL78" s="12"/>
      <c r="KM78" s="12"/>
      <c r="KN78" s="12"/>
      <c r="KR78" s="9"/>
      <c r="KV78" s="12"/>
      <c r="KW78" s="12"/>
      <c r="KX78" s="12"/>
      <c r="KY78" s="12"/>
      <c r="KZ78" s="12"/>
      <c r="LA78" s="12"/>
      <c r="LB78" s="12"/>
      <c r="LC78" s="12"/>
      <c r="LD78" s="12"/>
      <c r="LH78" s="9"/>
      <c r="LL78" s="12"/>
      <c r="LM78" s="12"/>
      <c r="LN78" s="12"/>
      <c r="LO78" s="12"/>
      <c r="LP78" s="12"/>
      <c r="LQ78" s="12"/>
      <c r="LR78" s="12"/>
      <c r="LS78" s="12"/>
      <c r="LT78" s="12"/>
      <c r="LX78" s="9"/>
      <c r="MB78" s="12"/>
      <c r="MC78" s="12"/>
      <c r="MD78" s="12"/>
      <c r="ME78" s="12"/>
      <c r="MF78" s="12"/>
      <c r="MG78" s="12"/>
      <c r="MH78" s="12"/>
      <c r="MI78" s="12"/>
      <c r="MJ78" s="12"/>
      <c r="MN78" s="9"/>
      <c r="MR78" s="12"/>
      <c r="MS78" s="12"/>
      <c r="MT78" s="12"/>
      <c r="MU78" s="12"/>
      <c r="MV78" s="12"/>
      <c r="MW78" s="12"/>
      <c r="MX78" s="12"/>
      <c r="MY78" s="12"/>
      <c r="MZ78" s="12"/>
      <c r="ND78" s="9"/>
      <c r="NH78" s="12"/>
      <c r="NI78" s="12"/>
      <c r="NJ78" s="12"/>
      <c r="NK78" s="12"/>
      <c r="NL78" s="12"/>
      <c r="NM78" s="12"/>
      <c r="NN78" s="12"/>
      <c r="NO78" s="12"/>
      <c r="NP78" s="12"/>
      <c r="NT78" s="9"/>
      <c r="NX78" s="12"/>
      <c r="NY78" s="12"/>
      <c r="NZ78" s="12"/>
      <c r="OA78" s="12"/>
      <c r="OB78" s="12"/>
      <c r="OC78" s="12"/>
      <c r="OD78" s="12"/>
      <c r="OE78" s="12"/>
      <c r="OF78" s="12"/>
      <c r="OJ78" s="9"/>
    </row>
    <row r="79" spans="1:401" x14ac:dyDescent="0.2">
      <c r="P79" s="12"/>
      <c r="Q79" s="12"/>
      <c r="R79" s="12"/>
      <c r="S79" s="12"/>
      <c r="T79" s="12"/>
      <c r="U79" s="12"/>
      <c r="V79" s="12"/>
      <c r="W79" s="12"/>
      <c r="X79" s="12"/>
      <c r="AH79" s="12"/>
      <c r="AI79" s="12"/>
      <c r="AJ79" s="12"/>
      <c r="AK79" s="12"/>
      <c r="AL79" s="12"/>
      <c r="AM79" s="12"/>
      <c r="AN79" s="12"/>
      <c r="AO79" s="12"/>
      <c r="AP79" s="12"/>
      <c r="AZ79" s="12"/>
      <c r="BA79" s="12"/>
      <c r="BB79" s="12"/>
      <c r="BC79" s="12"/>
      <c r="BD79" s="12"/>
      <c r="BE79" s="12"/>
      <c r="BF79" s="12"/>
      <c r="BG79" s="12"/>
      <c r="BH79" s="12"/>
      <c r="BJ79" s="16"/>
      <c r="BL79" s="35"/>
      <c r="BP79" s="12"/>
      <c r="BQ79" s="12"/>
      <c r="BR79" s="12"/>
      <c r="BS79" s="12"/>
      <c r="BT79" s="12"/>
      <c r="BU79" s="12"/>
      <c r="BV79" s="12"/>
      <c r="BW79" s="12"/>
      <c r="BX79" s="12"/>
      <c r="BZ79" s="16"/>
      <c r="CB79" s="35"/>
      <c r="CF79" s="12"/>
      <c r="CG79" s="12"/>
      <c r="CH79" s="12"/>
      <c r="CI79" s="12"/>
      <c r="CJ79" s="12"/>
      <c r="CK79" s="12"/>
      <c r="CL79" s="12"/>
      <c r="CM79" s="12"/>
      <c r="CN79" s="12"/>
      <c r="CP79" s="16"/>
      <c r="CR79" s="35"/>
      <c r="CV79" s="12"/>
      <c r="CW79" s="12"/>
      <c r="CX79" s="12"/>
      <c r="CY79" s="12"/>
      <c r="CZ79" s="12"/>
      <c r="DA79" s="12"/>
      <c r="DB79" s="12"/>
      <c r="DC79" s="12"/>
      <c r="DD79" s="12"/>
      <c r="DF79" s="16"/>
      <c r="DH79" s="35"/>
      <c r="DL79" s="12"/>
      <c r="DM79" s="12"/>
      <c r="DN79" s="12"/>
      <c r="DO79" s="12"/>
      <c r="DP79" s="12"/>
      <c r="DQ79" s="12"/>
      <c r="DR79" s="12"/>
      <c r="DS79" s="12"/>
      <c r="DT79" s="12"/>
      <c r="DV79" s="16"/>
      <c r="DX79" s="35"/>
      <c r="EB79" s="12"/>
      <c r="EC79" s="12"/>
      <c r="ED79" s="12"/>
      <c r="EE79" s="12"/>
      <c r="EF79" s="12"/>
      <c r="EG79" s="12"/>
      <c r="EH79" s="12"/>
      <c r="EI79" s="12"/>
      <c r="EJ79" s="12"/>
      <c r="EL79" s="16"/>
      <c r="EN79" s="35"/>
      <c r="ER79" s="12"/>
      <c r="ES79" s="12"/>
      <c r="ET79" s="12"/>
      <c r="EU79" s="12"/>
      <c r="EV79" s="12"/>
      <c r="EW79" s="12"/>
      <c r="EX79" s="12"/>
      <c r="EY79" s="12"/>
      <c r="EZ79" s="12"/>
      <c r="FB79" s="16"/>
      <c r="FD79" s="35"/>
      <c r="FH79" s="12"/>
      <c r="FI79" s="12"/>
      <c r="FJ79" s="12"/>
      <c r="FK79" s="12"/>
      <c r="FL79" s="12"/>
      <c r="FM79" s="12"/>
      <c r="FN79" s="12"/>
      <c r="FO79" s="12"/>
      <c r="FP79" s="12"/>
      <c r="FR79" s="16"/>
      <c r="FT79" s="9"/>
      <c r="FX79" s="12"/>
      <c r="FY79" s="12"/>
      <c r="FZ79" s="12"/>
      <c r="GA79" s="12"/>
      <c r="GB79" s="12"/>
      <c r="GC79" s="12"/>
      <c r="GD79" s="12"/>
      <c r="GE79" s="12"/>
      <c r="GF79" s="12"/>
      <c r="GH79" s="16"/>
      <c r="GJ79" s="9"/>
      <c r="GN79" s="12"/>
      <c r="GO79" s="12"/>
      <c r="GP79" s="12"/>
      <c r="GQ79" s="12"/>
      <c r="GR79" s="12"/>
      <c r="GS79" s="12"/>
      <c r="GT79" s="12"/>
      <c r="GU79" s="12"/>
      <c r="GV79" s="12"/>
      <c r="GX79" s="16"/>
      <c r="GZ79" s="9"/>
      <c r="HD79" s="12"/>
      <c r="HE79" s="12"/>
      <c r="HF79" s="12"/>
      <c r="HG79" s="12"/>
      <c r="HH79" s="12"/>
      <c r="HI79" s="12"/>
      <c r="HJ79" s="12"/>
      <c r="HK79" s="12"/>
      <c r="HL79" s="12"/>
      <c r="HP79" s="9"/>
      <c r="HT79" s="12"/>
      <c r="HU79" s="12"/>
      <c r="HV79" s="12"/>
      <c r="HW79" s="12"/>
      <c r="HX79" s="12"/>
      <c r="HY79" s="12"/>
      <c r="HZ79" s="12"/>
      <c r="IA79" s="12"/>
      <c r="IB79" s="12"/>
      <c r="IF79" s="9"/>
      <c r="IJ79" s="12"/>
      <c r="IK79" s="12"/>
      <c r="IL79" s="12"/>
      <c r="IM79" s="12"/>
      <c r="IN79" s="12"/>
      <c r="IO79" s="12"/>
      <c r="IP79" s="12"/>
      <c r="IQ79" s="12"/>
      <c r="IR79" s="12"/>
      <c r="IV79" s="9"/>
      <c r="IZ79" s="12"/>
      <c r="JA79" s="12"/>
      <c r="JB79" s="12"/>
      <c r="JC79" s="12"/>
      <c r="JD79" s="12"/>
      <c r="JE79" s="12"/>
      <c r="JF79" s="12"/>
      <c r="JG79" s="12"/>
      <c r="JH79" s="12"/>
      <c r="JL79" s="9"/>
      <c r="JP79" s="12"/>
      <c r="JQ79" s="12"/>
      <c r="JR79" s="12"/>
      <c r="JS79" s="12"/>
      <c r="JT79" s="12"/>
      <c r="JU79" s="12"/>
      <c r="JV79" s="12"/>
      <c r="JW79" s="12"/>
      <c r="JX79" s="12"/>
      <c r="KB79" s="9"/>
      <c r="KF79" s="12"/>
      <c r="KG79" s="12"/>
      <c r="KH79" s="12"/>
      <c r="KI79" s="12"/>
      <c r="KJ79" s="12"/>
      <c r="KK79" s="12"/>
      <c r="KL79" s="12"/>
      <c r="KM79" s="12"/>
      <c r="KN79" s="12"/>
      <c r="KR79" s="9"/>
      <c r="KV79" s="12"/>
      <c r="KW79" s="12"/>
      <c r="KX79" s="12"/>
      <c r="KY79" s="12"/>
      <c r="KZ79" s="12"/>
      <c r="LA79" s="12"/>
      <c r="LB79" s="12"/>
      <c r="LC79" s="12"/>
      <c r="LD79" s="12"/>
      <c r="LH79" s="9"/>
      <c r="LL79" s="12"/>
      <c r="LM79" s="12"/>
      <c r="LN79" s="12"/>
      <c r="LO79" s="12"/>
      <c r="LP79" s="12"/>
      <c r="LQ79" s="12"/>
      <c r="LR79" s="12"/>
      <c r="LS79" s="12"/>
      <c r="LT79" s="12"/>
      <c r="LX79" s="9"/>
      <c r="MB79" s="12"/>
      <c r="MC79" s="12"/>
      <c r="MD79" s="12"/>
      <c r="ME79" s="12"/>
      <c r="MF79" s="12"/>
      <c r="MG79" s="12"/>
      <c r="MH79" s="12"/>
      <c r="MI79" s="12"/>
      <c r="MJ79" s="12"/>
      <c r="MN79" s="9"/>
      <c r="MR79" s="12"/>
      <c r="MS79" s="12"/>
      <c r="MT79" s="12"/>
      <c r="MU79" s="12"/>
      <c r="MV79" s="12"/>
      <c r="MW79" s="12"/>
      <c r="MX79" s="12"/>
      <c r="MY79" s="12"/>
      <c r="MZ79" s="12"/>
      <c r="ND79" s="9"/>
      <c r="NH79" s="12"/>
      <c r="NI79" s="12"/>
      <c r="NJ79" s="12"/>
      <c r="NK79" s="12"/>
      <c r="NL79" s="12"/>
      <c r="NM79" s="12"/>
      <c r="NN79" s="12"/>
      <c r="NO79" s="12"/>
      <c r="NP79" s="12"/>
      <c r="NT79" s="9"/>
      <c r="NX79" s="12"/>
      <c r="NY79" s="12"/>
      <c r="NZ79" s="12"/>
      <c r="OA79" s="12"/>
      <c r="OB79" s="12"/>
      <c r="OC79" s="12"/>
      <c r="OD79" s="12"/>
      <c r="OE79" s="12"/>
      <c r="OF79" s="12"/>
      <c r="OJ79" s="9"/>
    </row>
    <row r="80" spans="1:401" x14ac:dyDescent="0.2">
      <c r="O80" s="5"/>
      <c r="P80" s="12"/>
      <c r="Q80" s="12"/>
      <c r="R80" s="12"/>
      <c r="S80" s="12"/>
      <c r="T80" s="12"/>
      <c r="U80" s="12"/>
      <c r="V80" s="12"/>
      <c r="W80" s="12"/>
      <c r="X80" s="12"/>
      <c r="AG80" s="5"/>
      <c r="AH80" s="12"/>
      <c r="AI80" s="12"/>
      <c r="AJ80" s="12"/>
      <c r="AK80" s="12"/>
      <c r="AL80" s="12"/>
      <c r="AM80" s="12"/>
      <c r="AN80" s="12"/>
      <c r="AO80" s="12"/>
      <c r="AP80" s="12"/>
      <c r="AZ80" s="12"/>
      <c r="BA80" s="12"/>
      <c r="BB80" s="12"/>
      <c r="BC80" s="12"/>
      <c r="BD80" s="12"/>
      <c r="BE80" s="12"/>
      <c r="BF80" s="12"/>
      <c r="BG80" s="12"/>
      <c r="BH80" s="12"/>
      <c r="BJ80" s="16"/>
      <c r="BL80" s="35"/>
      <c r="BP80" s="12"/>
      <c r="BQ80" s="12"/>
      <c r="BR80" s="12"/>
      <c r="BS80" s="12"/>
      <c r="BT80" s="12"/>
      <c r="BU80" s="12"/>
      <c r="BV80" s="12"/>
      <c r="BW80" s="12"/>
      <c r="BX80" s="12"/>
      <c r="BZ80" s="16"/>
      <c r="CB80" s="35"/>
      <c r="CF80" s="12"/>
      <c r="CG80" s="12"/>
      <c r="CH80" s="12"/>
      <c r="CI80" s="12"/>
      <c r="CJ80" s="12"/>
      <c r="CK80" s="12"/>
      <c r="CL80" s="12"/>
      <c r="CM80" s="12"/>
      <c r="CN80" s="12"/>
      <c r="CP80" s="16"/>
      <c r="CR80" s="35"/>
      <c r="CV80" s="12"/>
      <c r="CW80" s="12"/>
      <c r="CX80" s="12"/>
      <c r="CY80" s="12"/>
      <c r="CZ80" s="12"/>
      <c r="DA80" s="12"/>
      <c r="DB80" s="12"/>
      <c r="DC80" s="12"/>
      <c r="DD80" s="12"/>
      <c r="DF80" s="16"/>
      <c r="DH80" s="35"/>
      <c r="DL80" s="12"/>
      <c r="DM80" s="12"/>
      <c r="DN80" s="12"/>
      <c r="DO80" s="12"/>
      <c r="DP80" s="12"/>
      <c r="DQ80" s="12"/>
      <c r="DR80" s="12"/>
      <c r="DS80" s="12"/>
      <c r="DT80" s="12"/>
      <c r="DV80" s="16"/>
      <c r="DX80" s="35"/>
      <c r="EB80" s="12"/>
      <c r="EC80" s="12"/>
      <c r="ED80" s="12"/>
      <c r="EE80" s="12"/>
      <c r="EF80" s="12"/>
      <c r="EG80" s="12"/>
      <c r="EH80" s="12"/>
      <c r="EI80" s="12"/>
      <c r="EJ80" s="12"/>
      <c r="EL80" s="16"/>
      <c r="EN80" s="35"/>
      <c r="ER80" s="12"/>
      <c r="ES80" s="12"/>
      <c r="ET80" s="12"/>
      <c r="EU80" s="12"/>
      <c r="EV80" s="12"/>
      <c r="EW80" s="12"/>
      <c r="EX80" s="12"/>
      <c r="EY80" s="12"/>
      <c r="EZ80" s="12"/>
      <c r="FB80" s="16"/>
      <c r="FD80" s="35"/>
      <c r="FH80" s="12"/>
      <c r="FI80" s="12"/>
      <c r="FJ80" s="12"/>
      <c r="FK80" s="12"/>
      <c r="FL80" s="12"/>
      <c r="FM80" s="12"/>
      <c r="FN80" s="12"/>
      <c r="FO80" s="12"/>
      <c r="FP80" s="12"/>
      <c r="FR80" s="16"/>
      <c r="FT80" s="9"/>
      <c r="FX80" s="12"/>
      <c r="FY80" s="12"/>
      <c r="FZ80" s="12"/>
      <c r="GA80" s="12"/>
      <c r="GB80" s="12"/>
      <c r="GC80" s="12"/>
      <c r="GD80" s="12"/>
      <c r="GE80" s="12"/>
      <c r="GF80" s="12"/>
      <c r="GH80" s="16"/>
      <c r="GJ80" s="9"/>
      <c r="GN80" s="12"/>
      <c r="GO80" s="12"/>
      <c r="GP80" s="12"/>
      <c r="GQ80" s="12"/>
      <c r="GR80" s="12"/>
      <c r="GS80" s="12"/>
      <c r="GT80" s="12"/>
      <c r="GU80" s="12"/>
      <c r="GV80" s="12"/>
      <c r="GX80" s="16"/>
      <c r="GZ80" s="9"/>
      <c r="HD80" s="12"/>
      <c r="HE80" s="12"/>
      <c r="HF80" s="12"/>
      <c r="HG80" s="12"/>
      <c r="HH80" s="12"/>
      <c r="HI80" s="12"/>
      <c r="HJ80" s="12"/>
      <c r="HK80" s="12"/>
      <c r="HL80" s="12"/>
      <c r="HP80" s="9"/>
      <c r="HT80" s="12"/>
      <c r="HU80" s="12"/>
      <c r="HV80" s="12"/>
      <c r="HW80" s="12"/>
      <c r="HX80" s="12"/>
      <c r="HY80" s="12"/>
      <c r="HZ80" s="12"/>
      <c r="IA80" s="12"/>
      <c r="IB80" s="12"/>
      <c r="IF80" s="9"/>
      <c r="IJ80" s="12"/>
      <c r="IK80" s="12"/>
      <c r="IL80" s="12"/>
      <c r="IM80" s="12"/>
      <c r="IN80" s="12"/>
      <c r="IO80" s="12"/>
      <c r="IP80" s="12"/>
      <c r="IQ80" s="12"/>
      <c r="IR80" s="12"/>
      <c r="IV80" s="9"/>
      <c r="IZ80" s="12"/>
      <c r="JA80" s="12"/>
      <c r="JB80" s="12"/>
      <c r="JC80" s="12"/>
      <c r="JD80" s="12"/>
      <c r="JE80" s="12"/>
      <c r="JF80" s="12"/>
      <c r="JG80" s="12"/>
      <c r="JH80" s="12"/>
      <c r="JL80" s="9"/>
      <c r="JP80" s="12"/>
      <c r="JQ80" s="12"/>
      <c r="JR80" s="12"/>
      <c r="JS80" s="12"/>
      <c r="JT80" s="12"/>
      <c r="JU80" s="12"/>
      <c r="JV80" s="12"/>
      <c r="JW80" s="12"/>
      <c r="JX80" s="12"/>
      <c r="KB80" s="9"/>
      <c r="KF80" s="12"/>
      <c r="KG80" s="12"/>
      <c r="KH80" s="12"/>
      <c r="KI80" s="12"/>
      <c r="KJ80" s="12"/>
      <c r="KK80" s="12"/>
      <c r="KL80" s="12"/>
      <c r="KM80" s="12"/>
      <c r="KN80" s="12"/>
      <c r="KR80" s="9"/>
      <c r="KV80" s="12"/>
      <c r="KW80" s="12"/>
      <c r="KX80" s="12"/>
      <c r="KY80" s="12"/>
      <c r="KZ80" s="12"/>
      <c r="LA80" s="12"/>
      <c r="LB80" s="12"/>
      <c r="LC80" s="12"/>
      <c r="LD80" s="12"/>
      <c r="LH80" s="9"/>
      <c r="LL80" s="12"/>
      <c r="LM80" s="12"/>
      <c r="LN80" s="12"/>
      <c r="LO80" s="12"/>
      <c r="LP80" s="12"/>
      <c r="LQ80" s="12"/>
      <c r="LR80" s="12"/>
      <c r="LS80" s="12"/>
      <c r="LT80" s="12"/>
      <c r="LX80" s="9"/>
      <c r="MB80" s="12"/>
      <c r="MC80" s="12"/>
      <c r="MD80" s="12"/>
      <c r="ME80" s="12"/>
      <c r="MF80" s="12"/>
      <c r="MG80" s="12"/>
      <c r="MH80" s="12"/>
      <c r="MI80" s="12"/>
      <c r="MJ80" s="12"/>
      <c r="MN80" s="9"/>
      <c r="MR80" s="12"/>
      <c r="MS80" s="12"/>
      <c r="MT80" s="12"/>
      <c r="MU80" s="12"/>
      <c r="MV80" s="12"/>
      <c r="MW80" s="12"/>
      <c r="MX80" s="12"/>
      <c r="MY80" s="12"/>
      <c r="MZ80" s="12"/>
      <c r="ND80" s="9"/>
      <c r="NH80" s="12"/>
      <c r="NI80" s="12"/>
      <c r="NJ80" s="12"/>
      <c r="NK80" s="12"/>
      <c r="NL80" s="12"/>
      <c r="NM80" s="12"/>
      <c r="NN80" s="12"/>
      <c r="NO80" s="12"/>
      <c r="NP80" s="12"/>
      <c r="NT80" s="9"/>
      <c r="NX80" s="12"/>
      <c r="NY80" s="12"/>
      <c r="NZ80" s="12"/>
      <c r="OA80" s="12"/>
      <c r="OB80" s="12"/>
      <c r="OC80" s="12"/>
      <c r="OD80" s="12"/>
      <c r="OE80" s="12"/>
      <c r="OF80" s="12"/>
      <c r="OJ80" s="9"/>
    </row>
    <row r="81" spans="1:401" x14ac:dyDescent="0.2">
      <c r="A81" s="5" t="s">
        <v>51</v>
      </c>
      <c r="B81" s="12"/>
      <c r="O81" s="5"/>
      <c r="P81" s="12"/>
      <c r="Q81" s="12"/>
      <c r="R81" s="12"/>
      <c r="S81" s="12"/>
      <c r="T81" s="12"/>
      <c r="U81" s="12"/>
      <c r="V81" s="12"/>
      <c r="W81" s="12"/>
      <c r="X81" s="12"/>
      <c r="AG81" s="5"/>
      <c r="AH81" s="12"/>
      <c r="AI81" s="12"/>
      <c r="AJ81" s="12"/>
      <c r="AK81" s="12"/>
      <c r="AL81" s="12"/>
      <c r="AM81" s="12"/>
      <c r="AN81" s="12"/>
      <c r="AO81" s="12"/>
      <c r="AP81" s="12"/>
      <c r="AY81" s="5"/>
      <c r="AZ81" s="12"/>
      <c r="BA81" s="12"/>
      <c r="BB81" s="12"/>
      <c r="BC81" s="12"/>
      <c r="BD81" s="12"/>
      <c r="BE81" s="12"/>
      <c r="BF81" s="12"/>
      <c r="BG81" s="12"/>
      <c r="BH81" s="12"/>
      <c r="BJ81" s="16"/>
      <c r="BL81" s="35"/>
      <c r="BO81" s="5"/>
      <c r="BP81" s="12"/>
      <c r="BQ81" s="12"/>
      <c r="BR81" s="12"/>
      <c r="BS81" s="12"/>
      <c r="BT81" s="12"/>
      <c r="BU81" s="12"/>
      <c r="BV81" s="12"/>
      <c r="BW81" s="12"/>
      <c r="BX81" s="12"/>
      <c r="BZ81" s="16"/>
      <c r="CB81" s="35"/>
      <c r="CE81" s="5"/>
      <c r="CF81" s="12"/>
      <c r="CG81" s="12"/>
      <c r="CH81" s="12"/>
      <c r="CI81" s="12"/>
      <c r="CJ81" s="12"/>
      <c r="CK81" s="12"/>
      <c r="CL81" s="12"/>
      <c r="CM81" s="12"/>
      <c r="CN81" s="12"/>
      <c r="CP81" s="16"/>
      <c r="CR81" s="35"/>
      <c r="CU81" s="5"/>
      <c r="CV81" s="12"/>
      <c r="CW81" s="12"/>
      <c r="CX81" s="12"/>
      <c r="CY81" s="12"/>
      <c r="CZ81" s="12"/>
      <c r="DA81" s="12"/>
      <c r="DB81" s="12"/>
      <c r="DC81" s="12"/>
      <c r="DD81" s="12"/>
      <c r="DF81" s="16"/>
      <c r="DH81" s="35"/>
      <c r="DK81" s="5"/>
      <c r="DL81" s="12"/>
      <c r="DM81" s="12"/>
      <c r="DN81" s="12"/>
      <c r="DO81" s="12"/>
      <c r="DP81" s="12"/>
      <c r="DQ81" s="12"/>
      <c r="DR81" s="12"/>
      <c r="DS81" s="12"/>
      <c r="DT81" s="12"/>
      <c r="DV81" s="16"/>
      <c r="DX81" s="35"/>
      <c r="EA81" s="5"/>
      <c r="EB81" s="12"/>
      <c r="EC81" s="12"/>
      <c r="ED81" s="12"/>
      <c r="EE81" s="12"/>
      <c r="EF81" s="12"/>
      <c r="EG81" s="12"/>
      <c r="EH81" s="12"/>
      <c r="EI81" s="12"/>
      <c r="EJ81" s="12"/>
      <c r="EL81" s="16"/>
      <c r="EN81" s="35"/>
      <c r="EQ81" s="5"/>
      <c r="ER81" s="12"/>
      <c r="ES81" s="12"/>
      <c r="ET81" s="12"/>
      <c r="EU81" s="12"/>
      <c r="EV81" s="12"/>
      <c r="EW81" s="12"/>
      <c r="EX81" s="12"/>
      <c r="EY81" s="12"/>
      <c r="EZ81" s="12"/>
      <c r="FB81" s="16"/>
      <c r="FD81" s="35"/>
      <c r="FG81" s="5"/>
      <c r="FH81" s="12"/>
      <c r="FI81" s="12"/>
      <c r="FJ81" s="12"/>
      <c r="FK81" s="12"/>
      <c r="FL81" s="12"/>
      <c r="FM81" s="12"/>
      <c r="FN81" s="12"/>
      <c r="FO81" s="12"/>
      <c r="FP81" s="12"/>
      <c r="FR81" s="16"/>
      <c r="FT81" s="9"/>
      <c r="FW81" s="5"/>
      <c r="FX81" s="12"/>
      <c r="FY81" s="12"/>
      <c r="FZ81" s="12"/>
      <c r="GA81" s="12"/>
      <c r="GB81" s="12"/>
      <c r="GC81" s="12"/>
      <c r="GD81" s="12"/>
      <c r="GE81" s="12"/>
      <c r="GF81" s="12"/>
      <c r="GH81" s="16"/>
      <c r="GJ81" s="9"/>
      <c r="GN81" s="12"/>
      <c r="GO81" s="12"/>
      <c r="GP81" s="12"/>
      <c r="GQ81" s="12"/>
      <c r="GR81" s="12"/>
      <c r="GS81" s="12"/>
      <c r="GT81" s="12"/>
      <c r="GU81" s="12"/>
      <c r="GV81" s="12"/>
      <c r="GX81" s="16"/>
      <c r="GZ81" s="9"/>
      <c r="HD81" s="12"/>
      <c r="HE81" s="12"/>
      <c r="HF81" s="12"/>
      <c r="HG81" s="12"/>
      <c r="HH81" s="12"/>
      <c r="HI81" s="12"/>
      <c r="HJ81" s="12"/>
      <c r="HK81" s="12"/>
      <c r="HL81" s="12"/>
      <c r="HP81" s="9"/>
      <c r="HT81" s="12"/>
      <c r="HU81" s="12"/>
      <c r="HV81" s="12"/>
      <c r="HW81" s="12"/>
      <c r="HX81" s="12"/>
      <c r="HY81" s="12"/>
      <c r="HZ81" s="12"/>
      <c r="IA81" s="12"/>
      <c r="IB81" s="12"/>
      <c r="IF81" s="9"/>
      <c r="IJ81" s="12"/>
      <c r="IK81" s="12"/>
      <c r="IL81" s="12"/>
      <c r="IM81" s="12"/>
      <c r="IN81" s="12"/>
      <c r="IO81" s="12"/>
      <c r="IP81" s="12"/>
      <c r="IQ81" s="12"/>
      <c r="IR81" s="12"/>
      <c r="IV81" s="9"/>
      <c r="IZ81" s="12"/>
      <c r="JA81" s="12"/>
      <c r="JB81" s="12"/>
      <c r="JC81" s="12"/>
      <c r="JD81" s="12"/>
      <c r="JE81" s="12"/>
      <c r="JF81" s="12"/>
      <c r="JG81" s="12"/>
      <c r="JH81" s="12"/>
      <c r="JL81" s="9"/>
      <c r="JP81" s="12"/>
      <c r="JQ81" s="12"/>
      <c r="JR81" s="12"/>
      <c r="JS81" s="12"/>
      <c r="JT81" s="12"/>
      <c r="JU81" s="12"/>
      <c r="JV81" s="12"/>
      <c r="JW81" s="12"/>
      <c r="JX81" s="12"/>
      <c r="KB81" s="9"/>
      <c r="KF81" s="12"/>
      <c r="KG81" s="12"/>
      <c r="KH81" s="12"/>
      <c r="KI81" s="12"/>
      <c r="KJ81" s="12"/>
      <c r="KK81" s="12"/>
      <c r="KL81" s="12"/>
      <c r="KM81" s="12"/>
      <c r="KN81" s="12"/>
      <c r="KR81" s="9"/>
      <c r="KV81" s="12"/>
      <c r="KW81" s="12"/>
      <c r="KX81" s="12"/>
      <c r="KY81" s="12"/>
      <c r="KZ81" s="12"/>
      <c r="LA81" s="12"/>
      <c r="LB81" s="12"/>
      <c r="LC81" s="12"/>
      <c r="LD81" s="12"/>
      <c r="LH81" s="9"/>
      <c r="LL81" s="12"/>
      <c r="LM81" s="12"/>
      <c r="LN81" s="12"/>
      <c r="LO81" s="12"/>
      <c r="LP81" s="12"/>
      <c r="LQ81" s="12"/>
      <c r="LR81" s="12"/>
      <c r="LS81" s="12"/>
      <c r="LT81" s="12"/>
      <c r="LX81" s="9"/>
      <c r="MB81" s="12"/>
      <c r="MC81" s="12"/>
      <c r="MD81" s="12"/>
      <c r="ME81" s="12"/>
      <c r="MF81" s="12"/>
      <c r="MG81" s="12"/>
      <c r="MH81" s="12"/>
      <c r="MI81" s="12"/>
      <c r="MJ81" s="12"/>
      <c r="MN81" s="9"/>
      <c r="MR81" s="12"/>
      <c r="MS81" s="12"/>
      <c r="MT81" s="12"/>
      <c r="MU81" s="12"/>
      <c r="MV81" s="12"/>
      <c r="MW81" s="12"/>
      <c r="MX81" s="12"/>
      <c r="MY81" s="12"/>
      <c r="MZ81" s="12"/>
      <c r="ND81" s="9"/>
      <c r="NH81" s="12"/>
      <c r="NI81" s="12"/>
      <c r="NJ81" s="12"/>
      <c r="NK81" s="12"/>
      <c r="NL81" s="12"/>
      <c r="NM81" s="12"/>
      <c r="NN81" s="12"/>
      <c r="NO81" s="12"/>
      <c r="NP81" s="12"/>
      <c r="NT81" s="9"/>
      <c r="NX81" s="12"/>
      <c r="NY81" s="12"/>
      <c r="NZ81" s="12"/>
      <c r="OA81" s="12"/>
      <c r="OB81" s="12"/>
      <c r="OC81" s="12"/>
      <c r="OD81" s="12"/>
      <c r="OE81" s="12"/>
      <c r="OF81" s="12"/>
      <c r="OJ81" s="9"/>
    </row>
    <row r="82" spans="1:401" x14ac:dyDescent="0.2">
      <c r="A82" s="17" t="s">
        <v>1313</v>
      </c>
      <c r="B82" s="19" t="s">
        <v>1319</v>
      </c>
      <c r="C82" s="19" t="s">
        <v>1319</v>
      </c>
      <c r="D82" s="19" t="s">
        <v>1319</v>
      </c>
      <c r="E82" s="19" t="s">
        <v>1319</v>
      </c>
      <c r="F82" s="19" t="s">
        <v>1319</v>
      </c>
      <c r="G82" s="19" t="s">
        <v>1319</v>
      </c>
      <c r="H82" s="19" t="s">
        <v>1319</v>
      </c>
      <c r="I82" s="19" t="s">
        <v>1319</v>
      </c>
      <c r="J82" s="19" t="s">
        <v>1319</v>
      </c>
      <c r="O82" s="5"/>
      <c r="P82" s="12"/>
      <c r="Q82" s="12"/>
      <c r="R82" s="12"/>
      <c r="S82" s="12"/>
      <c r="T82" s="12"/>
      <c r="U82" s="12"/>
      <c r="V82" s="12"/>
      <c r="W82" s="12"/>
      <c r="X82" s="12"/>
      <c r="AG82" s="5"/>
      <c r="AH82" s="12"/>
      <c r="AI82" s="12"/>
      <c r="AJ82" s="12"/>
      <c r="AK82" s="12"/>
      <c r="AL82" s="12"/>
      <c r="AM82" s="12"/>
      <c r="AN82" s="12"/>
      <c r="AO82" s="12"/>
      <c r="AP82" s="12"/>
      <c r="AY82" s="5"/>
      <c r="AZ82" s="12"/>
      <c r="BA82" s="12"/>
      <c r="BB82" s="12"/>
      <c r="BC82" s="12"/>
      <c r="BD82" s="12"/>
      <c r="BE82" s="12"/>
      <c r="BF82" s="12"/>
      <c r="BG82" s="12"/>
      <c r="BH82" s="12"/>
      <c r="BJ82" s="16"/>
      <c r="BL82" s="35"/>
      <c r="BO82" s="5"/>
      <c r="BP82" s="12"/>
      <c r="BQ82" s="12"/>
      <c r="BR82" s="12"/>
      <c r="BS82" s="12"/>
      <c r="BT82" s="12"/>
      <c r="BU82" s="12"/>
      <c r="BV82" s="12"/>
      <c r="BW82" s="12"/>
      <c r="BX82" s="12"/>
      <c r="BZ82" s="16"/>
      <c r="CB82" s="35"/>
      <c r="CE82" s="5"/>
      <c r="CF82" s="12"/>
      <c r="CG82" s="12"/>
      <c r="CH82" s="12"/>
      <c r="CI82" s="12"/>
      <c r="CJ82" s="12"/>
      <c r="CK82" s="12"/>
      <c r="CL82" s="12"/>
      <c r="CM82" s="12"/>
      <c r="CN82" s="12"/>
      <c r="CP82" s="16"/>
      <c r="CR82" s="35"/>
      <c r="CU82" s="5"/>
      <c r="CV82" s="12"/>
      <c r="CW82" s="12"/>
      <c r="CX82" s="12"/>
      <c r="CY82" s="12"/>
      <c r="CZ82" s="12"/>
      <c r="DA82" s="12"/>
      <c r="DB82" s="12"/>
      <c r="DC82" s="12"/>
      <c r="DD82" s="12"/>
      <c r="DF82" s="16"/>
      <c r="DH82" s="35"/>
      <c r="DK82" s="5"/>
      <c r="DL82" s="12"/>
      <c r="DM82" s="12"/>
      <c r="DN82" s="12"/>
      <c r="DO82" s="12"/>
      <c r="DP82" s="12"/>
      <c r="DQ82" s="12"/>
      <c r="DR82" s="12"/>
      <c r="DS82" s="12"/>
      <c r="DT82" s="12"/>
      <c r="DV82" s="16"/>
      <c r="DX82" s="35"/>
      <c r="EA82" s="5"/>
      <c r="EB82" s="12"/>
      <c r="EC82" s="12"/>
      <c r="ED82" s="12"/>
      <c r="EE82" s="12"/>
      <c r="EF82" s="12"/>
      <c r="EG82" s="12"/>
      <c r="EH82" s="12"/>
      <c r="EI82" s="12"/>
      <c r="EJ82" s="12"/>
      <c r="EL82" s="16"/>
      <c r="EN82" s="35"/>
      <c r="EQ82" s="5"/>
      <c r="ER82" s="12"/>
      <c r="ES82" s="12"/>
      <c r="ET82" s="12"/>
      <c r="EU82" s="12"/>
      <c r="EV82" s="12"/>
      <c r="EW82" s="12"/>
      <c r="EX82" s="12"/>
      <c r="EY82" s="12"/>
      <c r="EZ82" s="12"/>
      <c r="FB82" s="16"/>
      <c r="FD82" s="35"/>
      <c r="FG82" s="5"/>
      <c r="FH82" s="12"/>
      <c r="FI82" s="12"/>
      <c r="FJ82" s="12"/>
      <c r="FK82" s="12"/>
      <c r="FL82" s="12"/>
      <c r="FM82" s="12"/>
      <c r="FN82" s="12"/>
      <c r="FO82" s="12"/>
      <c r="FP82" s="12"/>
      <c r="FR82" s="16"/>
      <c r="FT82" s="9"/>
      <c r="FW82" s="5"/>
      <c r="FX82" s="12"/>
      <c r="FY82" s="12"/>
      <c r="FZ82" s="12"/>
      <c r="GA82" s="12"/>
      <c r="GB82" s="12"/>
      <c r="GC82" s="12"/>
      <c r="GD82" s="12"/>
      <c r="GE82" s="12"/>
      <c r="GF82" s="12"/>
      <c r="GH82" s="16"/>
      <c r="GJ82" s="9"/>
      <c r="GN82" s="12"/>
      <c r="GO82" s="12"/>
      <c r="GP82" s="12"/>
      <c r="GQ82" s="12"/>
      <c r="GR82" s="12"/>
      <c r="GS82" s="12"/>
      <c r="GT82" s="12"/>
      <c r="GU82" s="12"/>
      <c r="GV82" s="12"/>
      <c r="GX82" s="16"/>
      <c r="GZ82" s="9"/>
      <c r="HD82" s="12"/>
      <c r="HE82" s="12"/>
      <c r="HF82" s="12"/>
      <c r="HG82" s="12"/>
      <c r="HH82" s="12"/>
      <c r="HI82" s="12"/>
      <c r="HJ82" s="12"/>
      <c r="HK82" s="12"/>
      <c r="HL82" s="12"/>
      <c r="HP82" s="9"/>
      <c r="HT82" s="12"/>
      <c r="HU82" s="12"/>
      <c r="HV82" s="12"/>
      <c r="HW82" s="12"/>
      <c r="HX82" s="12"/>
      <c r="HY82" s="12"/>
      <c r="HZ82" s="12"/>
      <c r="IA82" s="12"/>
      <c r="IB82" s="12"/>
      <c r="IF82" s="9"/>
      <c r="IJ82" s="12"/>
      <c r="IK82" s="12"/>
      <c r="IL82" s="12"/>
      <c r="IM82" s="12"/>
      <c r="IN82" s="12"/>
      <c r="IO82" s="12"/>
      <c r="IP82" s="12"/>
      <c r="IQ82" s="12"/>
      <c r="IR82" s="12"/>
      <c r="IV82" s="9"/>
      <c r="IZ82" s="12"/>
      <c r="JA82" s="12"/>
      <c r="JB82" s="12"/>
      <c r="JC82" s="12"/>
      <c r="JD82" s="12"/>
      <c r="JE82" s="12"/>
      <c r="JF82" s="12"/>
      <c r="JG82" s="12"/>
      <c r="JH82" s="12"/>
      <c r="JL82" s="9"/>
      <c r="JP82" s="12"/>
      <c r="JQ82" s="12"/>
      <c r="JR82" s="12"/>
      <c r="JS82" s="12"/>
      <c r="JT82" s="12"/>
      <c r="JU82" s="12"/>
      <c r="JV82" s="12"/>
      <c r="JW82" s="12"/>
      <c r="JX82" s="12"/>
      <c r="KB82" s="9"/>
      <c r="KF82" s="12"/>
      <c r="KG82" s="12"/>
      <c r="KH82" s="12"/>
      <c r="KI82" s="12"/>
      <c r="KJ82" s="12"/>
      <c r="KK82" s="12"/>
      <c r="KL82" s="12"/>
      <c r="KM82" s="12"/>
      <c r="KN82" s="12"/>
      <c r="KR82" s="9"/>
      <c r="KV82" s="12"/>
      <c r="KW82" s="12"/>
      <c r="KX82" s="12"/>
      <c r="KY82" s="12"/>
      <c r="KZ82" s="12"/>
      <c r="LA82" s="12"/>
      <c r="LB82" s="12"/>
      <c r="LC82" s="12"/>
      <c r="LD82" s="12"/>
      <c r="LH82" s="9"/>
      <c r="LL82" s="12"/>
      <c r="LM82" s="12"/>
      <c r="LN82" s="12"/>
      <c r="LO82" s="12"/>
      <c r="LP82" s="12"/>
      <c r="LQ82" s="12"/>
      <c r="LR82" s="12"/>
      <c r="LS82" s="12"/>
      <c r="LT82" s="12"/>
      <c r="LX82" s="9"/>
      <c r="MB82" s="12"/>
      <c r="MC82" s="12"/>
      <c r="MD82" s="12"/>
      <c r="ME82" s="12"/>
      <c r="MF82" s="12"/>
      <c r="MG82" s="12"/>
      <c r="MH82" s="12"/>
      <c r="MI82" s="12"/>
      <c r="MJ82" s="12"/>
      <c r="MN82" s="9"/>
      <c r="MR82" s="12"/>
      <c r="MS82" s="12"/>
      <c r="MT82" s="12"/>
      <c r="MU82" s="12"/>
      <c r="MV82" s="12"/>
      <c r="MW82" s="12"/>
      <c r="MX82" s="12"/>
      <c r="MY82" s="12"/>
      <c r="MZ82" s="12"/>
      <c r="ND82" s="9"/>
      <c r="NH82" s="12"/>
      <c r="NI82" s="12"/>
      <c r="NJ82" s="12"/>
      <c r="NK82" s="12"/>
      <c r="NL82" s="12"/>
      <c r="NM82" s="12"/>
      <c r="NN82" s="12"/>
      <c r="NO82" s="12"/>
      <c r="NP82" s="12"/>
      <c r="NT82" s="9"/>
      <c r="NX82" s="12"/>
      <c r="NY82" s="12"/>
      <c r="NZ82" s="12"/>
      <c r="OA82" s="12"/>
      <c r="OB82" s="12"/>
      <c r="OC82" s="12"/>
      <c r="OD82" s="12"/>
      <c r="OE82" s="12"/>
      <c r="OF82" s="12"/>
      <c r="OJ82" s="9"/>
    </row>
    <row r="83" spans="1:401" x14ac:dyDescent="0.2">
      <c r="A83" s="17" t="s">
        <v>1314</v>
      </c>
      <c r="B83" s="19" t="s">
        <v>1319</v>
      </c>
      <c r="C83" s="19" t="s">
        <v>1319</v>
      </c>
      <c r="D83" s="19" t="s">
        <v>1319</v>
      </c>
      <c r="E83" s="19" t="s">
        <v>1319</v>
      </c>
      <c r="F83" s="19" t="s">
        <v>1319</v>
      </c>
      <c r="G83" s="19" t="s">
        <v>1319</v>
      </c>
      <c r="H83" s="19" t="s">
        <v>1319</v>
      </c>
      <c r="I83" s="19" t="s">
        <v>1319</v>
      </c>
      <c r="J83" s="19" t="s">
        <v>1319</v>
      </c>
      <c r="O83" s="17"/>
      <c r="P83" s="12"/>
      <c r="Q83" s="12"/>
      <c r="R83" s="12"/>
      <c r="S83" s="12"/>
      <c r="T83" s="12"/>
      <c r="U83" s="12"/>
      <c r="V83" s="12"/>
      <c r="W83" s="12"/>
      <c r="X83" s="12"/>
      <c r="AG83" s="17"/>
      <c r="AH83" s="12"/>
      <c r="AI83" s="12"/>
      <c r="AJ83" s="12"/>
      <c r="AK83" s="12"/>
      <c r="AL83" s="12"/>
      <c r="AM83" s="12"/>
      <c r="AN83" s="12"/>
      <c r="AO83" s="12"/>
      <c r="AP83" s="12"/>
      <c r="AY83" s="5"/>
      <c r="AZ83" s="12"/>
      <c r="BA83" s="12"/>
      <c r="BB83" s="12"/>
      <c r="BC83" s="12"/>
      <c r="BD83" s="12"/>
      <c r="BE83" s="12"/>
      <c r="BF83" s="12"/>
      <c r="BG83" s="12"/>
      <c r="BH83" s="12"/>
      <c r="BJ83" s="16"/>
      <c r="BL83" s="35"/>
      <c r="BO83" s="5"/>
      <c r="BP83" s="12"/>
      <c r="BQ83" s="12"/>
      <c r="BR83" s="12"/>
      <c r="BS83" s="12"/>
      <c r="BT83" s="12"/>
      <c r="BU83" s="12"/>
      <c r="BV83" s="12"/>
      <c r="BW83" s="12"/>
      <c r="BX83" s="12"/>
      <c r="BZ83" s="16"/>
      <c r="CB83" s="35"/>
      <c r="CE83" s="5"/>
      <c r="CF83" s="12"/>
      <c r="CG83" s="12"/>
      <c r="CH83" s="12"/>
      <c r="CI83" s="12"/>
      <c r="CJ83" s="12"/>
      <c r="CK83" s="12"/>
      <c r="CL83" s="12"/>
      <c r="CM83" s="12"/>
      <c r="CN83" s="12"/>
      <c r="CP83" s="16"/>
      <c r="CR83" s="35"/>
      <c r="CU83" s="5"/>
      <c r="CV83" s="12"/>
      <c r="CW83" s="12"/>
      <c r="CX83" s="12"/>
      <c r="CY83" s="12"/>
      <c r="CZ83" s="12"/>
      <c r="DA83" s="12"/>
      <c r="DB83" s="12"/>
      <c r="DC83" s="12"/>
      <c r="DD83" s="12"/>
      <c r="DF83" s="16"/>
      <c r="DH83" s="35"/>
      <c r="DK83" s="5"/>
      <c r="DL83" s="12"/>
      <c r="DM83" s="12"/>
      <c r="DN83" s="12"/>
      <c r="DO83" s="12"/>
      <c r="DP83" s="12"/>
      <c r="DQ83" s="12"/>
      <c r="DR83" s="12"/>
      <c r="DS83" s="12"/>
      <c r="DT83" s="12"/>
      <c r="DV83" s="16"/>
      <c r="DX83" s="35"/>
      <c r="EA83" s="5"/>
      <c r="EB83" s="12"/>
      <c r="EC83" s="12"/>
      <c r="ED83" s="12"/>
      <c r="EE83" s="12"/>
      <c r="EF83" s="12"/>
      <c r="EG83" s="12"/>
      <c r="EH83" s="12"/>
      <c r="EI83" s="12"/>
      <c r="EJ83" s="12"/>
      <c r="EL83" s="16"/>
      <c r="EN83" s="35"/>
      <c r="EQ83" s="5"/>
      <c r="ER83" s="12"/>
      <c r="ES83" s="12"/>
      <c r="ET83" s="12"/>
      <c r="EU83" s="12"/>
      <c r="EV83" s="12"/>
      <c r="EW83" s="12"/>
      <c r="EX83" s="12"/>
      <c r="EY83" s="12"/>
      <c r="EZ83" s="12"/>
      <c r="FB83" s="16"/>
      <c r="FD83" s="35"/>
      <c r="FG83" s="5"/>
      <c r="FH83" s="12"/>
      <c r="FI83" s="12"/>
      <c r="FJ83" s="12"/>
      <c r="FK83" s="12"/>
      <c r="FL83" s="12"/>
      <c r="FM83" s="12"/>
      <c r="FN83" s="12"/>
      <c r="FO83" s="12"/>
      <c r="FP83" s="12"/>
      <c r="FR83" s="16"/>
      <c r="FT83" s="9"/>
      <c r="FW83" s="5"/>
      <c r="FX83" s="12"/>
      <c r="FY83" s="12"/>
      <c r="FZ83" s="12"/>
      <c r="GA83" s="12"/>
      <c r="GB83" s="12"/>
      <c r="GC83" s="12"/>
      <c r="GD83" s="12"/>
      <c r="GE83" s="12"/>
      <c r="GF83" s="12"/>
      <c r="GH83" s="16"/>
      <c r="GJ83" s="9"/>
      <c r="GN83" s="12"/>
      <c r="GO83" s="12"/>
      <c r="GP83" s="12"/>
      <c r="GQ83" s="12"/>
      <c r="GR83" s="12"/>
      <c r="GS83" s="12"/>
      <c r="GT83" s="12"/>
      <c r="GU83" s="12"/>
      <c r="GV83" s="12"/>
      <c r="GX83" s="16"/>
      <c r="GZ83" s="9"/>
      <c r="HD83" s="12"/>
      <c r="HE83" s="12"/>
      <c r="HF83" s="12"/>
      <c r="HG83" s="12"/>
      <c r="HH83" s="12"/>
      <c r="HI83" s="12"/>
      <c r="HJ83" s="12"/>
      <c r="HK83" s="12"/>
      <c r="HL83" s="12"/>
      <c r="HP83" s="9"/>
      <c r="HT83" s="12"/>
      <c r="HU83" s="12"/>
      <c r="HV83" s="12"/>
      <c r="HW83" s="12"/>
      <c r="HX83" s="12"/>
      <c r="HY83" s="12"/>
      <c r="HZ83" s="12"/>
      <c r="IA83" s="12"/>
      <c r="IB83" s="12"/>
      <c r="IF83" s="9"/>
      <c r="IJ83" s="12"/>
      <c r="IK83" s="12"/>
      <c r="IL83" s="12"/>
      <c r="IM83" s="12"/>
      <c r="IN83" s="12"/>
      <c r="IO83" s="12"/>
      <c r="IP83" s="12"/>
      <c r="IQ83" s="12"/>
      <c r="IR83" s="12"/>
      <c r="IV83" s="9"/>
      <c r="IZ83" s="12"/>
      <c r="JA83" s="12"/>
      <c r="JB83" s="12"/>
      <c r="JC83" s="12"/>
      <c r="JD83" s="12"/>
      <c r="JE83" s="12"/>
      <c r="JF83" s="12"/>
      <c r="JG83" s="12"/>
      <c r="JH83" s="12"/>
      <c r="JL83" s="9"/>
      <c r="JP83" s="12"/>
      <c r="JQ83" s="12"/>
      <c r="JR83" s="12"/>
      <c r="JS83" s="12"/>
      <c r="JT83" s="12"/>
      <c r="JU83" s="12"/>
      <c r="JV83" s="12"/>
      <c r="JW83" s="12"/>
      <c r="JX83" s="12"/>
      <c r="KB83" s="9"/>
      <c r="KF83" s="12"/>
      <c r="KG83" s="12"/>
      <c r="KH83" s="12"/>
      <c r="KI83" s="12"/>
      <c r="KJ83" s="12"/>
      <c r="KK83" s="12"/>
      <c r="KL83" s="12"/>
      <c r="KM83" s="12"/>
      <c r="KN83" s="12"/>
      <c r="KR83" s="9"/>
      <c r="KV83" s="12"/>
      <c r="KW83" s="12"/>
      <c r="KX83" s="12"/>
      <c r="KY83" s="12"/>
      <c r="KZ83" s="12"/>
      <c r="LA83" s="12"/>
      <c r="LB83" s="12"/>
      <c r="LC83" s="12"/>
      <c r="LD83" s="12"/>
      <c r="LH83" s="9"/>
      <c r="LL83" s="12"/>
      <c r="LM83" s="12"/>
      <c r="LN83" s="12"/>
      <c r="LO83" s="12"/>
      <c r="LP83" s="12"/>
      <c r="LQ83" s="12"/>
      <c r="LR83" s="12"/>
      <c r="LS83" s="12"/>
      <c r="LT83" s="12"/>
      <c r="LX83" s="9"/>
      <c r="MB83" s="12"/>
      <c r="MC83" s="12"/>
      <c r="MD83" s="12"/>
      <c r="ME83" s="12"/>
      <c r="MF83" s="12"/>
      <c r="MG83" s="12"/>
      <c r="MH83" s="12"/>
      <c r="MI83" s="12"/>
      <c r="MJ83" s="12"/>
      <c r="MN83" s="9"/>
      <c r="MR83" s="12"/>
      <c r="MS83" s="12"/>
      <c r="MT83" s="12"/>
      <c r="MU83" s="12"/>
      <c r="MV83" s="12"/>
      <c r="MW83" s="12"/>
      <c r="MX83" s="12"/>
      <c r="MY83" s="12"/>
      <c r="MZ83" s="12"/>
      <c r="ND83" s="9"/>
      <c r="NH83" s="12"/>
      <c r="NI83" s="12"/>
      <c r="NJ83" s="12"/>
      <c r="NK83" s="12"/>
      <c r="NL83" s="12"/>
      <c r="NM83" s="12"/>
      <c r="NN83" s="12"/>
      <c r="NO83" s="12"/>
      <c r="NP83" s="12"/>
      <c r="NT83" s="9"/>
      <c r="NX83" s="12"/>
      <c r="NY83" s="12"/>
      <c r="NZ83" s="12"/>
      <c r="OA83" s="12"/>
      <c r="OB83" s="12"/>
      <c r="OC83" s="12"/>
      <c r="OD83" s="12"/>
      <c r="OE83" s="12"/>
      <c r="OF83" s="12"/>
      <c r="OJ83" s="9"/>
    </row>
    <row r="84" spans="1:401" x14ac:dyDescent="0.2">
      <c r="A84" s="17" t="s">
        <v>1725</v>
      </c>
      <c r="B84" s="12">
        <f t="shared" ref="B84:I84" si="516">P84+AH84+AZ84+BP84+CF84+CV84+DL84+EB84+ER84+FH84+FX84+GN84+HD84+HT84+IJ84+IZ84+JP84+KF84+KV84+LL84+MB84+MR84+NH84+NX84</f>
        <v>0</v>
      </c>
      <c r="C84" s="12">
        <f t="shared" si="516"/>
        <v>0</v>
      </c>
      <c r="D84" s="12">
        <f t="shared" si="516"/>
        <v>0</v>
      </c>
      <c r="E84" s="12">
        <f t="shared" si="516"/>
        <v>0</v>
      </c>
      <c r="F84" s="12">
        <f t="shared" si="516"/>
        <v>0</v>
      </c>
      <c r="G84" s="12">
        <f t="shared" si="516"/>
        <v>0</v>
      </c>
      <c r="H84" s="12">
        <f t="shared" si="516"/>
        <v>0</v>
      </c>
      <c r="I84" s="12">
        <f t="shared" si="516"/>
        <v>0</v>
      </c>
      <c r="J84" s="12">
        <f>X84+AP84+BH84+BX84+CN84+DD84+DT84+EJ84+EZ84+FP84+GF84+GV84+HL84+IB84+IR84+JH84+JX84+KN84+LD84+LT84+MJ84+MZ84+NP84+OF84</f>
        <v>0</v>
      </c>
      <c r="O84" s="17"/>
      <c r="P84" s="12" cm="1">
        <f t="array" ref="P84">_xlfn.SWITCH(P$4, 0,0, 1, AA84,2,AC84,3,AE84,0)</f>
        <v>0</v>
      </c>
      <c r="Q84" s="12" cm="1">
        <f t="array" ref="Q84">_xlfn.SWITCH(Q$4, 0,0, 1, AA84,2,AC84,3,AE84,0)+P84</f>
        <v>0</v>
      </c>
      <c r="R84" s="12" cm="1">
        <f t="array" ref="R84">_xlfn.SWITCH(R$4, 0,0, 1, AA84,2,AC84,3,AE84,0)+Q84</f>
        <v>0</v>
      </c>
      <c r="S84" s="12" cm="1">
        <f t="array" ref="S84">_xlfn.SWITCH(S$4, 0,0, 1, AA84,2,AC84,3,AE84,0)+R84</f>
        <v>0</v>
      </c>
      <c r="T84" s="12" cm="1">
        <f t="array" ref="T84">_xlfn.SWITCH(T$4, 0,0, 1, AA84,2,AC84,3,AE84,0)+S84</f>
        <v>0</v>
      </c>
      <c r="U84" s="12" cm="1">
        <f t="array" ref="U84">_xlfn.SWITCH(U$4, 0,0, 1, AA84,2,AC84,3,AE84,0)+T84</f>
        <v>0</v>
      </c>
      <c r="V84" s="12" cm="1">
        <f t="array" ref="V84">_xlfn.SWITCH(V$4, 0,0, 1, AA84,2,AC84,3,AE84,0)+U84</f>
        <v>0</v>
      </c>
      <c r="W84" s="12" cm="1">
        <f t="array" ref="W84">_xlfn.SWITCH(W$4, 0,0, 1, AA84,2,AC84,3,AE84,0)+V84</f>
        <v>0</v>
      </c>
      <c r="X84" s="12" cm="1">
        <f t="array" ref="X84">_xlfn.SWITCH(X$4, 0,0, 1, AA84,2,AC84,3,AE84,0)+W84</f>
        <v>0</v>
      </c>
      <c r="Z84" t="s">
        <v>1304</v>
      </c>
      <c r="AA84">
        <f>_xlfn.XLOOKUP(Z84,'KPI Impacts'!$K$2:$Q$2,'KPI Impacts'!$K84:$Q84)</f>
        <v>0</v>
      </c>
      <c r="AB84" t="s">
        <v>1304</v>
      </c>
      <c r="AC84">
        <f>_xlfn.XLOOKUP(AB84,'KPI Impacts'!$K$2:$Q$2,'KPI Impacts'!$K84:$Q84)</f>
        <v>0</v>
      </c>
      <c r="AD84" t="s">
        <v>1304</v>
      </c>
      <c r="AE84">
        <f>_xlfn.XLOOKUP(AD84,'KPI Impacts'!$K$2:$Q$2,'KPI Impacts'!$K84:$Q84)</f>
        <v>0</v>
      </c>
      <c r="AG84" s="17"/>
      <c r="AH84" s="12" cm="1">
        <f t="array" ref="AH84">_xlfn.SWITCH(AH$4, 0,0, 1, AS84,2,AU84,3,AW84,0)</f>
        <v>0</v>
      </c>
      <c r="AI84" s="12" cm="1">
        <f t="array" ref="AI84">_xlfn.SWITCH(AI$4, 0,0, 1, AS84,2,AU84,3,AW84,0)+AH84</f>
        <v>0</v>
      </c>
      <c r="AJ84" s="12" cm="1">
        <f t="array" ref="AJ84">_xlfn.SWITCH(AJ$4, 0,0, 1, AS84,2,AU84,3,AW84,0)+AI84</f>
        <v>0</v>
      </c>
      <c r="AK84" s="12" cm="1">
        <f t="array" ref="AK84">_xlfn.SWITCH(AK$4, 0,0, 1, AS84,2,AU84,3,AW84,0)+AJ84</f>
        <v>0</v>
      </c>
      <c r="AL84" s="12" cm="1">
        <f t="array" ref="AL84">_xlfn.SWITCH(AL$4, 0,0, 1, AS84,2,AU84,3,AW84,0)+AK84</f>
        <v>0</v>
      </c>
      <c r="AM84" s="12" cm="1">
        <f t="array" ref="AM84">_xlfn.SWITCH(AM$4, 0,0, 1, AS84,2,AU84,3,AW84,0)+AL84</f>
        <v>0</v>
      </c>
      <c r="AN84" s="12" cm="1">
        <f t="array" ref="AN84">_xlfn.SWITCH(AN$4, 0,0, 1, AS84,2,AU84,3,AW84,0)+AM84</f>
        <v>0</v>
      </c>
      <c r="AO84" s="12" cm="1">
        <f t="array" ref="AO84">_xlfn.SWITCH(AO$4, 0,0, 1, AS84,2,AU84,3,AW84,0)+AN84</f>
        <v>0</v>
      </c>
      <c r="AP84" s="12" cm="1">
        <f t="array" ref="AP84">_xlfn.SWITCH(AP$4, 0,0, 1, AS84,2,AU84,3,AW84,0)+AO84</f>
        <v>0</v>
      </c>
      <c r="AR84" t="s">
        <v>1304</v>
      </c>
      <c r="AS84">
        <f>_xlfn.XLOOKUP(AR84,'KPI Impacts'!$K$2:$Q$2,'KPI Impacts'!$K84:$Q84)</f>
        <v>0</v>
      </c>
      <c r="AT84" t="s">
        <v>1304</v>
      </c>
      <c r="AU84">
        <f>_xlfn.XLOOKUP(AT84,'KPI Impacts'!$K$2:$Q$2,'KPI Impacts'!$K84:$Q84)</f>
        <v>0</v>
      </c>
      <c r="AV84" t="s">
        <v>1304</v>
      </c>
      <c r="AW84">
        <f>_xlfn.XLOOKUP(AV84,'KPI Impacts'!$K$2:$Q$2,'KPI Impacts'!$K84:$Q84)</f>
        <v>0</v>
      </c>
      <c r="AY84" s="17"/>
      <c r="AZ84" s="12">
        <f>AZ$4*BK84</f>
        <v>0</v>
      </c>
      <c r="BA84" s="12">
        <f>BA$4 * IF(AND(AZ$4=1,AZ$20=1), BM84, BK84)</f>
        <v>0</v>
      </c>
      <c r="BB84" s="12">
        <f>BB$4 * IF(AND(BA$4=1,AZ$20=1), BM84, BK84)</f>
        <v>0</v>
      </c>
      <c r="BC84" s="12">
        <f>BC$4 * IF(AND(BB$4=1,AZ$20=1), BM84, BK84)</f>
        <v>0</v>
      </c>
      <c r="BD84" s="12">
        <f>BD$4 * IF(AND(BC$4=1,AZ$20=1), BM84, BK84)</f>
        <v>0</v>
      </c>
      <c r="BE84" s="12">
        <f>BE$4 * IF(AND(BD$4=1,AZ$20=1), BM84, BK84)</f>
        <v>0</v>
      </c>
      <c r="BF84" s="12">
        <f>BF$4 * IF(AND(BE$4=1,AZ$20=1), BM84, BK84)</f>
        <v>0</v>
      </c>
      <c r="BG84" s="12">
        <f>BG$4 * IF(AND(BF$4=1,AZ$20=1), BM84, BK84)</f>
        <v>0</v>
      </c>
      <c r="BH84" s="12">
        <f>BH$4 * IF(AND(BG$4=1,AZ$20=1), BM84, BK84)</f>
        <v>0</v>
      </c>
      <c r="BJ84" s="16" t="s">
        <v>1304</v>
      </c>
      <c r="BK84">
        <f>_xlfn.XLOOKUP(BJ84,'KPI Impacts'!$B$2:$H$2,'KPI Impacts'!$B84:$H84)</f>
        <v>0</v>
      </c>
      <c r="BL84" s="35" t="s">
        <v>1304</v>
      </c>
      <c r="BM84">
        <f>_xlfn.XLOOKUP(BL84,'KPI Impacts'!$B$2:$H$2,'KPI Impacts'!$B84:$H84)</f>
        <v>0</v>
      </c>
      <c r="BO84" s="17"/>
      <c r="BP84" s="12">
        <f>BP$4*CA84</f>
        <v>0</v>
      </c>
      <c r="BQ84" s="12">
        <f>BQ$4 * IF(AND(BP$4=1,BP$20=1), CC84, CA84)</f>
        <v>0</v>
      </c>
      <c r="BR84" s="12">
        <f>BR$4 * IF(AND(BQ$4=1,BP$20=1), CC84, CA84)</f>
        <v>0</v>
      </c>
      <c r="BS84" s="12">
        <f>BS$4 * IF(AND(BR$4=1,BP$20=1), CC84, CA84)</f>
        <v>0</v>
      </c>
      <c r="BT84" s="12">
        <f>BT$4 * IF(AND(BS$4=1,BP$20=1), CC84, CA84)</f>
        <v>0</v>
      </c>
      <c r="BU84" s="12">
        <f>BU$4 * IF(AND(BT$4=1,BP$20=1), CC84, CA84)</f>
        <v>0</v>
      </c>
      <c r="BV84" s="12">
        <f>BV$4 * IF(AND(BU$4=1,BP$20=1), CC84, CA84)</f>
        <v>0</v>
      </c>
      <c r="BW84" s="12">
        <f>BW$4 * IF(AND(BV$4=1,BP$20=1), CC84, CA84)</f>
        <v>0</v>
      </c>
      <c r="BX84" s="12">
        <f>BX$4 * IF(AND(BW$4=1,BP$20=1), CC84, CA84)</f>
        <v>0</v>
      </c>
      <c r="BZ84" s="16" t="s">
        <v>1304</v>
      </c>
      <c r="CA84">
        <f>_xlfn.XLOOKUP(BZ84,'KPI Impacts'!$B$2:$H$2,'KPI Impacts'!$B84:$H84)</f>
        <v>0</v>
      </c>
      <c r="CB84" s="35" t="s">
        <v>1304</v>
      </c>
      <c r="CC84">
        <f>_xlfn.XLOOKUP(CB84,'KPI Impacts'!$B$2:$H$2,'KPI Impacts'!$B84:$H84)</f>
        <v>0</v>
      </c>
      <c r="CE84" s="17"/>
      <c r="CF84" s="12">
        <f>CF$4*CQ84</f>
        <v>0</v>
      </c>
      <c r="CG84" s="12">
        <f>CG$4 * IF(AND(CF$4=1,CF$20=1), CS84, CQ84)</f>
        <v>0</v>
      </c>
      <c r="CH84" s="12">
        <f>CH$4 * IF(AND(CG$4=1,CF$20=1), CS84, CQ84)</f>
        <v>0</v>
      </c>
      <c r="CI84" s="12">
        <f>CI$4 * IF(AND(CH$4=1,CF$20=1), CS84, CQ84)</f>
        <v>0</v>
      </c>
      <c r="CJ84" s="12">
        <f>CJ$4 * IF(AND(CI$4=1,CF$20=1), CS84, CQ84)</f>
        <v>0</v>
      </c>
      <c r="CK84" s="12">
        <f>CK$4 * IF(AND(CJ$4=1,CF$20=1), CS84, CQ84)</f>
        <v>0</v>
      </c>
      <c r="CL84" s="12">
        <f>CL$4 * IF(AND(CK$4=1,CF$20=1), CS84, CQ84)</f>
        <v>0</v>
      </c>
      <c r="CM84" s="12">
        <f>CM$4 * IF(AND(CL$4=1,CF$20=1), CS84, CQ84)</f>
        <v>0</v>
      </c>
      <c r="CN84" s="12">
        <f>CN$4 * IF(AND(CM$4=1,CF$20=1), CS84, CQ84)</f>
        <v>0</v>
      </c>
      <c r="CP84" s="16" t="s">
        <v>1304</v>
      </c>
      <c r="CQ84">
        <f>_xlfn.XLOOKUP(CP84,'KPI Impacts'!$B$2:$H$2,'KPI Impacts'!$B84:$H84)</f>
        <v>0</v>
      </c>
      <c r="CR84" s="35" t="s">
        <v>1304</v>
      </c>
      <c r="CS84">
        <f>_xlfn.XLOOKUP(CR84,'KPI Impacts'!$B$2:$H$2,'KPI Impacts'!$B84:$H84)</f>
        <v>0</v>
      </c>
      <c r="CU84" s="17"/>
      <c r="CV84" s="12">
        <f>CV$4*DG84</f>
        <v>0</v>
      </c>
      <c r="CW84" s="12">
        <f>CW$4 * IF(AND(CV$4=1,CV$20=1), DI84, DG84)</f>
        <v>0</v>
      </c>
      <c r="CX84" s="12">
        <f>CX$4 * IF(AND(CW$4=1,CV$20=1), DI84, DG84)</f>
        <v>0</v>
      </c>
      <c r="CY84" s="12">
        <f>CY$4 * IF(AND(CX$4=1,CV$20=1), DI84, DG84)</f>
        <v>0</v>
      </c>
      <c r="CZ84" s="12">
        <f>CZ$4 * IF(AND(CY$4=1,CV$20=1), DI84, DG84)</f>
        <v>0</v>
      </c>
      <c r="DA84" s="12">
        <f>DA$4 * IF(AND(CZ$4=1,CV$20=1), DI84, DG84)</f>
        <v>0</v>
      </c>
      <c r="DB84" s="12">
        <f>DB$4 * IF(AND(DA$4=1,CV$20=1), DI84, DG84)</f>
        <v>0</v>
      </c>
      <c r="DC84" s="12">
        <f>DC$4 * IF(AND(DB$4=1,CV$20=1), DI84, DG84)</f>
        <v>0</v>
      </c>
      <c r="DD84" s="12">
        <f>DD$4 * IF(AND(DC$4=1,CV$20=1), DI84, DG84)</f>
        <v>0</v>
      </c>
      <c r="DF84" s="16" t="s">
        <v>1304</v>
      </c>
      <c r="DG84">
        <f>_xlfn.XLOOKUP(DF84,'KPI Impacts'!$B$2:$H$2,'KPI Impacts'!$B84:$H84)</f>
        <v>0</v>
      </c>
      <c r="DH84" s="35" t="s">
        <v>1304</v>
      </c>
      <c r="DI84">
        <f>_xlfn.XLOOKUP(DH84,'KPI Impacts'!$B$2:$H$2,'KPI Impacts'!$B84:$H84)</f>
        <v>0</v>
      </c>
      <c r="DK84" s="17"/>
      <c r="DL84" s="12">
        <f>DL$4*DW84</f>
        <v>0</v>
      </c>
      <c r="DM84" s="12">
        <f>DM$4 * IF(AND(DL$4=1,DL$20=1), DY84, DW84)</f>
        <v>0</v>
      </c>
      <c r="DN84" s="12">
        <f>DN$4 * IF(AND(DM$4=1,DL$20=1), DY84, DW84)</f>
        <v>0</v>
      </c>
      <c r="DO84" s="12">
        <f>DO$4 * IF(AND(DN$4=1,DL$20=1), DY84, DW84)</f>
        <v>0</v>
      </c>
      <c r="DP84" s="12">
        <f>DP$4 * IF(AND(DO$4=1,DL$20=1), DY84, DW84)</f>
        <v>0</v>
      </c>
      <c r="DQ84" s="12">
        <f>DQ$4 * IF(AND(DP$4=1,DL$20=1), DY84, DW84)</f>
        <v>0</v>
      </c>
      <c r="DR84" s="12">
        <f>DR$4 * IF(AND(DQ$4=1,DL$20=1), DY84, DW84)</f>
        <v>0</v>
      </c>
      <c r="DS84" s="12">
        <f>DS$4 * IF(AND(DR$4=1,DL$20=1), DY84, DW84)</f>
        <v>0</v>
      </c>
      <c r="DT84" s="12">
        <f>DT$4 * IF(AND(DS$4=1,DL$20=1), DY84, DW84)</f>
        <v>0</v>
      </c>
      <c r="DV84" s="16" t="s">
        <v>1304</v>
      </c>
      <c r="DW84">
        <f>_xlfn.XLOOKUP(DV84,'KPI Impacts'!$B$2:$H$2,'KPI Impacts'!$B84:$H84)</f>
        <v>0</v>
      </c>
      <c r="DX84" s="35" t="s">
        <v>1304</v>
      </c>
      <c r="DY84">
        <f>_xlfn.XLOOKUP(DX84,'KPI Impacts'!$B$2:$H$2,'KPI Impacts'!$B84:$H84)</f>
        <v>0</v>
      </c>
      <c r="EA84" s="17"/>
      <c r="EB84" s="12">
        <f>EB$4*EM84</f>
        <v>0</v>
      </c>
      <c r="EC84" s="12">
        <f>EC$4 * IF(AND(EB$4=1,EB$20=1), EO84, EM84)</f>
        <v>0</v>
      </c>
      <c r="ED84" s="12">
        <f>ED$4 * IF(AND(EC$4=1,EB$20=1), EO84, EM84)</f>
        <v>0</v>
      </c>
      <c r="EE84" s="12">
        <f>EE$4 * IF(AND(ED$4=1,EB$20=1), EO84, EM84)</f>
        <v>0</v>
      </c>
      <c r="EF84" s="12">
        <f>EF$4 * IF(AND(EE$4=1,EB$20=1), EO84, EM84)</f>
        <v>0</v>
      </c>
      <c r="EG84" s="12">
        <f>EG$4 * IF(AND(EF$4=1,EB$20=1), EO84, EM84)</f>
        <v>0</v>
      </c>
      <c r="EH84" s="12">
        <f>EH$4 * IF(AND(EG$4=1,EB$20=1), EO84, EM84)</f>
        <v>0</v>
      </c>
      <c r="EI84" s="12">
        <f>EI$4 * IF(AND(EH$4=1,EB$20=1), EO84, EM84)</f>
        <v>0</v>
      </c>
      <c r="EJ84" s="12">
        <f>EJ$4 * IF(AND(EI$4=1,EB$20=1), EO84, EM84)</f>
        <v>0</v>
      </c>
      <c r="EL84" s="16" t="s">
        <v>1304</v>
      </c>
      <c r="EM84">
        <f>_xlfn.XLOOKUP(EL84,'KPI Impacts'!$B$2:$H$2,'KPI Impacts'!$B84:$H84)</f>
        <v>0</v>
      </c>
      <c r="EN84" s="35" t="s">
        <v>1304</v>
      </c>
      <c r="EO84">
        <f>_xlfn.XLOOKUP(EN84,'KPI Impacts'!$B$2:$H$2,'KPI Impacts'!$B84:$H84)</f>
        <v>0</v>
      </c>
      <c r="EQ84" s="17"/>
      <c r="ER84" s="12">
        <f>ER$4*FC84</f>
        <v>0</v>
      </c>
      <c r="ES84" s="12">
        <f>ES$4 * IF(AND(ER$4=1,ER$20=1), FE84, FC84)</f>
        <v>0</v>
      </c>
      <c r="ET84" s="12">
        <f>ET$4 * IF(AND(ES$4=1,ER$20=1), FE84, FC84)</f>
        <v>0</v>
      </c>
      <c r="EU84" s="12">
        <f>EU$4 * IF(AND(ET$4=1,ER$20=1), FE84, FC84)</f>
        <v>0</v>
      </c>
      <c r="EV84" s="12">
        <f>EV$4 * IF(AND(EU$4=1,ER$20=1), FE84, FC84)</f>
        <v>0</v>
      </c>
      <c r="EW84" s="12">
        <f>EW$4 * IF(AND(EV$4=1,ER$20=1), FE84, FC84)</f>
        <v>0</v>
      </c>
      <c r="EX84" s="12">
        <f>EX$4 * IF(AND(EW$4=1,ER$20=1), FE84, FC84)</f>
        <v>0</v>
      </c>
      <c r="EY84" s="12">
        <f>EY$4 * IF(AND(EX$4=1,ER$20=1), FE84, FC84)</f>
        <v>0</v>
      </c>
      <c r="EZ84" s="12">
        <f>EZ$4 * IF(AND(EY$4=1,ER$20=1), FE84, FC84)</f>
        <v>0</v>
      </c>
      <c r="FB84" s="16" t="s">
        <v>1304</v>
      </c>
      <c r="FC84">
        <f>_xlfn.XLOOKUP(FB84,'KPI Impacts'!$B$2:$H$2,'KPI Impacts'!$B84:$H84)</f>
        <v>0</v>
      </c>
      <c r="FD84" s="35" t="s">
        <v>1304</v>
      </c>
      <c r="FE84">
        <f>_xlfn.XLOOKUP(FD84,'KPI Impacts'!$B$2:$H$2,'KPI Impacts'!$B84:$H84)</f>
        <v>0</v>
      </c>
      <c r="FG84" s="17"/>
      <c r="FH84" s="12">
        <f>FH$4*FS84</f>
        <v>0</v>
      </c>
      <c r="FI84" s="12">
        <f>FI$4 * IF(AND(FH$4=1,FH$20=1), FU84, FS84)</f>
        <v>0</v>
      </c>
      <c r="FJ84" s="12">
        <f>FJ$4 * IF(AND(FI$4=1,FH$20=1), FU84, FS84)</f>
        <v>0</v>
      </c>
      <c r="FK84" s="12">
        <f>FK$4 * IF(AND(FJ$4=1,FH$20=1), FU84, FS84)</f>
        <v>0</v>
      </c>
      <c r="FL84" s="12">
        <f>FL$4 * IF(AND(FK$4=1,FH$20=1), FU84, FS84)</f>
        <v>0</v>
      </c>
      <c r="FM84" s="12">
        <f>FM$4 * IF(AND(FL$4=1,FH$20=1), FU84, FS84)</f>
        <v>0</v>
      </c>
      <c r="FN84" s="12">
        <f>FN$4 * IF(AND(FM$4=1,FH$20=1), FU84, FS84)</f>
        <v>0</v>
      </c>
      <c r="FO84" s="12">
        <f>FO$4 * IF(AND(FN$4=1,FH$20=1), FU84, FS84)</f>
        <v>0</v>
      </c>
      <c r="FP84" s="12">
        <f>FP$4 * IF(AND(FO$4=1,FH$20=1), FU84, FS84)</f>
        <v>0</v>
      </c>
      <c r="FR84" s="16" t="s">
        <v>1304</v>
      </c>
      <c r="FS84">
        <f>_xlfn.XLOOKUP(FR84,'KPI Impacts'!$B$2:$H$2,'KPI Impacts'!$B84:$H84)</f>
        <v>0</v>
      </c>
      <c r="FT84" s="9" t="s">
        <v>1304</v>
      </c>
      <c r="FU84">
        <f>_xlfn.XLOOKUP(FT84,'KPI Impacts'!$B$2:$H$2,'KPI Impacts'!$B84:$H84)</f>
        <v>0</v>
      </c>
      <c r="FW84" s="17"/>
      <c r="FX84" s="12">
        <f>FX$4*GI84</f>
        <v>0</v>
      </c>
      <c r="FY84" s="12">
        <f>FY$4 * IF(AND(FX$4=1,FX$20=1), GK84, GI84)</f>
        <v>0</v>
      </c>
      <c r="FZ84" s="12">
        <f>FZ$4 * IF(AND(FY$4=1,FX$20=1), GK84, GI84)</f>
        <v>0</v>
      </c>
      <c r="GA84" s="12">
        <f>GA$4 * IF(AND(FZ$4=1,FX$20=1), GK84, GI84)</f>
        <v>0</v>
      </c>
      <c r="GB84" s="12">
        <f>GB$4 * IF(AND(GA$4=1,FX$20=1), GK84, GI84)</f>
        <v>0</v>
      </c>
      <c r="GC84" s="12">
        <f>GC$4 * IF(AND(GB$4=1,FX$20=1), GK84, GI84)</f>
        <v>0</v>
      </c>
      <c r="GD84" s="12">
        <f>GD$4 * IF(AND(GC$4=1,FX$20=1), GK84, GI84)</f>
        <v>0</v>
      </c>
      <c r="GE84" s="12">
        <f>GE$4 * IF(AND(GD$4=1,FX$20=1), GK84, GI84)</f>
        <v>0</v>
      </c>
      <c r="GF84" s="12">
        <f>GF$4 * IF(AND(GE$4=1,FX$20=1), GK84, GI84)</f>
        <v>0</v>
      </c>
      <c r="GH84" s="16" t="s">
        <v>1304</v>
      </c>
      <c r="GI84">
        <f>_xlfn.XLOOKUP(GH84,'KPI Impacts'!$B$2:$H$2,'KPI Impacts'!$B84:$H84)</f>
        <v>0</v>
      </c>
      <c r="GJ84" s="9" t="s">
        <v>1304</v>
      </c>
      <c r="GK84">
        <f>_xlfn.XLOOKUP(GJ84,'KPI Impacts'!$B$2:$H$2,'KPI Impacts'!$B84:$H84)</f>
        <v>0</v>
      </c>
      <c r="GN84" s="12">
        <f>GN$4*GY84</f>
        <v>0</v>
      </c>
      <c r="GO84" s="12">
        <f>GO$4 * IF(AND(GN$4=1,GN$20=1), HA84, GY84)</f>
        <v>0</v>
      </c>
      <c r="GP84" s="12">
        <f>GP$4 * IF(AND(GO$4=1,GN$20=1), HA84, GY84)</f>
        <v>0</v>
      </c>
      <c r="GQ84" s="12">
        <f>GQ$4 * IF(AND(GP$4=1,GN$20=1), HA84, GY84)</f>
        <v>0</v>
      </c>
      <c r="GR84" s="12">
        <f>GR$4 * IF(AND(GQ$4=1,GN$20=1), HA84, GY84)</f>
        <v>0</v>
      </c>
      <c r="GS84" s="12">
        <f>GS$4 * IF(AND(GR$4=1,GN$20=1), HA84, GY84)</f>
        <v>0</v>
      </c>
      <c r="GT84" s="12">
        <f>GT$4 * IF(AND(GS$4=1,GN$20=1), HA84, GY84)</f>
        <v>0</v>
      </c>
      <c r="GU84" s="12">
        <f>GU$4 * IF(AND(GT$4=1,GN$20=1), HA84, GY84)</f>
        <v>0</v>
      </c>
      <c r="GV84" s="12">
        <f>GV$4 * IF(AND(GU$4=1,GN$20=1), HA84, GY84)</f>
        <v>0</v>
      </c>
      <c r="GX84" s="16" t="s">
        <v>1304</v>
      </c>
      <c r="GY84">
        <f>_xlfn.XLOOKUP(GX84,'KPI Impacts'!$B$2:$H$2,'KPI Impacts'!$B84:$H84)</f>
        <v>0</v>
      </c>
      <c r="GZ84" s="9" t="s">
        <v>1304</v>
      </c>
      <c r="HA84">
        <f>_xlfn.XLOOKUP(GZ84,'KPI Impacts'!$B$2:$H$2,'KPI Impacts'!$B84:$H84)</f>
        <v>0</v>
      </c>
      <c r="HD84" s="12">
        <f>HD$4*HO84</f>
        <v>0</v>
      </c>
      <c r="HE84" s="12">
        <f>HE$4 * IF(AND(HD$4=1,HD$20=1), HQ84, HO84)</f>
        <v>0</v>
      </c>
      <c r="HF84" s="12">
        <f>HF$4 * IF(AND(HE$4=1,HD$20=1), HQ84, HO84)</f>
        <v>0</v>
      </c>
      <c r="HG84" s="12">
        <f>HG$4 * IF(AND(HF$4=1,HD$20=1), HQ84, HO84)</f>
        <v>0</v>
      </c>
      <c r="HH84" s="12">
        <f>HH$4 * IF(AND(HG$4=1,HD$20=1), HQ84, HO84)</f>
        <v>0</v>
      </c>
      <c r="HI84" s="12">
        <f>HI$4 * IF(AND(HH$4=1,HD$20=1), HQ84, HO84)</f>
        <v>0</v>
      </c>
      <c r="HJ84" s="12">
        <f>HJ$4 * IF(AND(HI$4=1,HD$20=1), HQ84, HO84)</f>
        <v>0</v>
      </c>
      <c r="HK84" s="12">
        <f>HK$4 * IF(AND(HJ$4=1,HD$20=1), HQ84, HO84)</f>
        <v>0</v>
      </c>
      <c r="HL84" s="12">
        <f>HL$4 * IF(AND(HK$4=1,HD$20=1), HQ84, HO84)</f>
        <v>0</v>
      </c>
      <c r="HN84" t="s">
        <v>1304</v>
      </c>
      <c r="HO84">
        <f>_xlfn.XLOOKUP(HN84,'KPI Impacts'!$B$2:$H$2,'KPI Impacts'!$B84:$H84)</f>
        <v>0</v>
      </c>
      <c r="HP84" s="9" t="s">
        <v>1304</v>
      </c>
      <c r="HQ84">
        <f>_xlfn.XLOOKUP(HP84,'KPI Impacts'!$B$2:$H$2,'KPI Impacts'!$B84:$H84)</f>
        <v>0</v>
      </c>
      <c r="HT84" s="12">
        <f>HT$4*IE84</f>
        <v>0</v>
      </c>
      <c r="HU84" s="12">
        <f>HU$4 * IF(AND(HT$4=1,HT$20=1), IG84, IE84)</f>
        <v>0</v>
      </c>
      <c r="HV84" s="12">
        <f>HV$4 * IF(AND(HU$4=1,HT$20=1), IG84, IE84)</f>
        <v>0</v>
      </c>
      <c r="HW84" s="12">
        <f>HW$4 * IF(AND(HV$4=1,HT$20=1), IG84, IE84)</f>
        <v>0</v>
      </c>
      <c r="HX84" s="12">
        <f>HX$4 * IF(AND(HW$4=1,HT$20=1), IG84, IE84)</f>
        <v>0</v>
      </c>
      <c r="HY84" s="12">
        <f>HY$4 * IF(AND(HX$4=1,HT$20=1), IG84, IE84)</f>
        <v>0</v>
      </c>
      <c r="HZ84" s="12">
        <f>HZ$4 * IF(AND(HY$4=1,HT$20=1), IG84, IE84)</f>
        <v>0</v>
      </c>
      <c r="IA84" s="12">
        <f>IA$4 * IF(AND(HZ$4=1,HT$20=1), IG84, IE84)</f>
        <v>0</v>
      </c>
      <c r="IB84" s="12">
        <f>IB$4 * IF(AND(IA$4=1,HT$20=1), IG84, IE84)</f>
        <v>0</v>
      </c>
      <c r="ID84" t="s">
        <v>1304</v>
      </c>
      <c r="IE84">
        <f>_xlfn.XLOOKUP(ID84,'KPI Impacts'!$B$2:$H$2,'KPI Impacts'!$B84:$H84)</f>
        <v>0</v>
      </c>
      <c r="IF84" s="9" t="s">
        <v>1304</v>
      </c>
      <c r="IG84">
        <f>_xlfn.XLOOKUP(IF84,'KPI Impacts'!$B$2:$H$2,'KPI Impacts'!$B84:$H84)</f>
        <v>0</v>
      </c>
      <c r="IJ84" s="12">
        <f>IJ$4*IU84</f>
        <v>0</v>
      </c>
      <c r="IK84" s="12">
        <f>IK$4 * IF(AND(IJ$4=1,IJ$20=1), IW84, IU84)</f>
        <v>0</v>
      </c>
      <c r="IL84" s="12">
        <f>IL$4 * IF(AND(IK$4=1,IJ$20=1), IW84, IU84)</f>
        <v>0</v>
      </c>
      <c r="IM84" s="12">
        <f>IM$4 * IF(AND(IL$4=1,IJ$20=1), IW84, IU84)</f>
        <v>0</v>
      </c>
      <c r="IN84" s="12">
        <f>IN$4 * IF(AND(IM$4=1,IJ$20=1), IW84, IU84)</f>
        <v>0</v>
      </c>
      <c r="IO84" s="12">
        <f>IO$4 * IF(AND(IN$4=1,IJ$20=1), IW84, IU84)</f>
        <v>0</v>
      </c>
      <c r="IP84" s="12">
        <f>IP$4 * IF(AND(IO$4=1,IJ$20=1), IW84, IU84)</f>
        <v>0</v>
      </c>
      <c r="IQ84" s="12">
        <f>IQ$4 * IF(AND(IP$4=1,IJ$20=1), IW84, IU84)</f>
        <v>0</v>
      </c>
      <c r="IR84" s="12">
        <f>IR$4 * IF(AND(IQ$4=1,IJ$20=1), IW84, IU84)</f>
        <v>0</v>
      </c>
      <c r="IT84" t="s">
        <v>1304</v>
      </c>
      <c r="IU84">
        <f>_xlfn.XLOOKUP(IT84,'KPI Impacts'!$B$2:$H$2,'KPI Impacts'!$B84:$H84)</f>
        <v>0</v>
      </c>
      <c r="IV84" s="9" t="s">
        <v>1304</v>
      </c>
      <c r="IW84">
        <f>_xlfn.XLOOKUP(IV84,'KPI Impacts'!$B$2:$H$2,'KPI Impacts'!$B84:$H84)</f>
        <v>0</v>
      </c>
      <c r="IZ84" s="12">
        <f>IZ$4*JK84</f>
        <v>0</v>
      </c>
      <c r="JA84" s="12">
        <f>JA$4 * IF(AND(IZ$4=1,IZ$20=1), JM84, JK84)</f>
        <v>0</v>
      </c>
      <c r="JB84" s="12">
        <f>JB$4 * IF(AND(JA$4=1,IZ$20=1), JM84, JK84)</f>
        <v>0</v>
      </c>
      <c r="JC84" s="12">
        <f>JC$4 * IF(AND(JB$4=1,IZ$20=1), JM84, JK84)</f>
        <v>0</v>
      </c>
      <c r="JD84" s="12">
        <f>JD$4 * IF(AND(JC$4=1,IZ$20=1), JM84, JK84)</f>
        <v>0</v>
      </c>
      <c r="JE84" s="12">
        <f>JE$4 * IF(AND(JD$4=1,IZ$20=1), JM84, JK84)</f>
        <v>0</v>
      </c>
      <c r="JF84" s="12">
        <f>JF$4 * IF(AND(JE$4=1,IZ$20=1), JM84, JK84)</f>
        <v>0</v>
      </c>
      <c r="JG84" s="12">
        <f>JG$4 * IF(AND(JF$4=1,IZ$20=1), JM84, JK84)</f>
        <v>0</v>
      </c>
      <c r="JH84" s="12">
        <f>JH$4 * IF(AND(JG$4=1,IZ$20=1), JM84, JK84)</f>
        <v>0</v>
      </c>
      <c r="JJ84" t="s">
        <v>1304</v>
      </c>
      <c r="JK84">
        <f>_xlfn.XLOOKUP(JJ84,'KPI Impacts'!$B$2:$H$2,'KPI Impacts'!$B84:$H84)</f>
        <v>0</v>
      </c>
      <c r="JL84" s="9" t="s">
        <v>1304</v>
      </c>
      <c r="JM84">
        <f>_xlfn.XLOOKUP(JL84,'KPI Impacts'!$B$2:$H$2,'KPI Impacts'!$B84:$H84)</f>
        <v>0</v>
      </c>
      <c r="JP84" s="12">
        <f>JP$4*KA84</f>
        <v>0</v>
      </c>
      <c r="JQ84" s="12">
        <f>JQ$4 * IF(AND(JP$4=1,JP$20=1), KC84, KA84)</f>
        <v>0</v>
      </c>
      <c r="JR84" s="12">
        <f>JR$4 * IF(AND(JQ$4=1,JP$20=1), KC84, KA84)</f>
        <v>0</v>
      </c>
      <c r="JS84" s="12">
        <f>JS$4 * IF(AND(JR$4=1,JP$20=1), KC84, KA84)</f>
        <v>0</v>
      </c>
      <c r="JT84" s="12">
        <f>JT$4 * IF(AND(JS$4=1,JP$20=1), KC84, KA84)</f>
        <v>0</v>
      </c>
      <c r="JU84" s="12">
        <f>JU$4 * IF(AND(JT$4=1,JP$20=1), KC84, KA84)</f>
        <v>0</v>
      </c>
      <c r="JV84" s="12">
        <f>JV$4 * IF(AND(JU$4=1,JP$20=1), KC84, KA84)</f>
        <v>0</v>
      </c>
      <c r="JW84" s="12">
        <f>JW$4 * IF(AND(JV$4=1,JP$20=1), KC84, KA84)</f>
        <v>0</v>
      </c>
      <c r="JX84" s="12">
        <f>JX$4 * IF(AND(JW$4=1,JP$20=1), KC84, KA84)</f>
        <v>0</v>
      </c>
      <c r="JZ84" t="s">
        <v>1304</v>
      </c>
      <c r="KA84">
        <f>_xlfn.XLOOKUP(JZ84,'KPI Impacts'!$B$2:$H$2,'KPI Impacts'!$B84:$H84)</f>
        <v>0</v>
      </c>
      <c r="KB84" s="9" t="s">
        <v>1304</v>
      </c>
      <c r="KC84">
        <f>_xlfn.XLOOKUP(KB84,'KPI Impacts'!$B$2:$H$2,'KPI Impacts'!$B84:$H84)</f>
        <v>0</v>
      </c>
      <c r="KF84" s="12">
        <f>KF$4*KQ84</f>
        <v>0</v>
      </c>
      <c r="KG84" s="12">
        <f>KG$4 * IF(AND(KF$4=1,KF$20=1), KS84, KQ84)</f>
        <v>0</v>
      </c>
      <c r="KH84" s="12">
        <f>KH$4 * IF(AND(KG$4=1,KF$20=1), KS84, KQ84)</f>
        <v>0</v>
      </c>
      <c r="KI84" s="12">
        <f>KI$4 * IF(AND(KH$4=1,KF$20=1), KS84, KQ84)</f>
        <v>0</v>
      </c>
      <c r="KJ84" s="12">
        <f>KJ$4 * IF(AND(KI$4=1,KF$20=1), KS84, KQ84)</f>
        <v>0</v>
      </c>
      <c r="KK84" s="12">
        <f>KK$4 * IF(AND(KJ$4=1,KF$20=1), KS84, KQ84)</f>
        <v>0</v>
      </c>
      <c r="KL84" s="12">
        <f>KL$4 * IF(AND(KK$4=1,KF$20=1), KS84, KQ84)</f>
        <v>0</v>
      </c>
      <c r="KM84" s="12">
        <f>KM$4 * IF(AND(KL$4=1,KF$20=1), KS84, KQ84)</f>
        <v>0</v>
      </c>
      <c r="KN84" s="12">
        <f>KN$4 * IF(AND(KM$4=1,KF$20=1), KS84, KQ84)</f>
        <v>0</v>
      </c>
      <c r="KP84" t="s">
        <v>1304</v>
      </c>
      <c r="KQ84">
        <f>_xlfn.XLOOKUP(KP84,'KPI Impacts'!$B$2:$H$2,'KPI Impacts'!$B84:$H84)</f>
        <v>0</v>
      </c>
      <c r="KR84" s="9" t="s">
        <v>1304</v>
      </c>
      <c r="KS84">
        <f>_xlfn.XLOOKUP(KR84,'KPI Impacts'!$B$2:$H$2,'KPI Impacts'!$B84:$H84)</f>
        <v>0</v>
      </c>
      <c r="KV84" s="12">
        <f>KV$4*LG84</f>
        <v>0</v>
      </c>
      <c r="KW84" s="12">
        <f>KW$4 * IF(AND(KV$4=1,KV$20=1), LI84, LG84)</f>
        <v>0</v>
      </c>
      <c r="KX84" s="12">
        <f>KX$4 * IF(AND(KW$4=1,KV$20=1), LI84, LG84)</f>
        <v>0</v>
      </c>
      <c r="KY84" s="12">
        <f>KY$4 * IF(AND(KX$4=1,KV$20=1), LI84, LG84)</f>
        <v>0</v>
      </c>
      <c r="KZ84" s="12">
        <f>KZ$4 * IF(AND(KY$4=1,KV$20=1), LI84, LG84)</f>
        <v>0</v>
      </c>
      <c r="LA84" s="12">
        <f>LA$4 * IF(AND(KZ$4=1,KV$20=1), LI84, LG84)</f>
        <v>0</v>
      </c>
      <c r="LB84" s="12">
        <f>LB$4 * IF(AND(LA$4=1,KV$20=1), LI84, LG84)</f>
        <v>0</v>
      </c>
      <c r="LC84" s="12">
        <f>LC$4 * IF(AND(LB$4=1,KV$20=1), LI84, LG84)</f>
        <v>0</v>
      </c>
      <c r="LD84" s="12">
        <f>LD$4 * IF(AND(LC$4=1,KV$20=1), LI84, LG84)</f>
        <v>0</v>
      </c>
      <c r="LF84" t="s">
        <v>1304</v>
      </c>
      <c r="LG84">
        <f>_xlfn.XLOOKUP(LF84,'KPI Impacts'!$B$2:$H$2,'KPI Impacts'!$B84:$H84)</f>
        <v>0</v>
      </c>
      <c r="LH84" s="9" t="s">
        <v>1304</v>
      </c>
      <c r="LI84">
        <f>_xlfn.XLOOKUP(LH84,'KPI Impacts'!$B$2:$H$2,'KPI Impacts'!$B84:$H84)</f>
        <v>0</v>
      </c>
      <c r="LL84" s="12">
        <f>LL$4*LW84</f>
        <v>0</v>
      </c>
      <c r="LM84" s="12">
        <f>LM$4 * IF(AND(LL$4=1,LL$20=1), LY84, LW84)</f>
        <v>0</v>
      </c>
      <c r="LN84" s="12">
        <f>LN$4 * IF(AND(LM$4=1,LL$20=1), LY84, LW84)</f>
        <v>0</v>
      </c>
      <c r="LO84" s="12">
        <f>LO$4 * IF(AND(LN$4=1,LL$20=1), LY84, LW84)</f>
        <v>0</v>
      </c>
      <c r="LP84" s="12">
        <f>LP$4 * IF(AND(LO$4=1,LL$20=1), LY84, LW84)</f>
        <v>0</v>
      </c>
      <c r="LQ84" s="12">
        <f>LQ$4 * IF(AND(LP$4=1,LL$20=1), LY84, LW84)</f>
        <v>0</v>
      </c>
      <c r="LR84" s="12">
        <f>LR$4 * IF(AND(LQ$4=1,LL$20=1), LY84, LW84)</f>
        <v>0</v>
      </c>
      <c r="LS84" s="12">
        <f>LS$4 * IF(AND(LR$4=1,LL$20=1), LY84, LW84)</f>
        <v>0</v>
      </c>
      <c r="LT84" s="12">
        <f>LT$4 * IF(AND(LS$4=1,LL$20=1), LY84, LW84)</f>
        <v>0</v>
      </c>
      <c r="LV84" t="s">
        <v>1304</v>
      </c>
      <c r="LW84">
        <f>_xlfn.XLOOKUP(LV84,'KPI Impacts'!$B$2:$H$2,'KPI Impacts'!$B84:$H84)</f>
        <v>0</v>
      </c>
      <c r="LX84" s="9" t="s">
        <v>1304</v>
      </c>
      <c r="LY84">
        <f>_xlfn.XLOOKUP(LX84,'KPI Impacts'!$B$2:$H$2,'KPI Impacts'!$B84:$H84)</f>
        <v>0</v>
      </c>
      <c r="MB84" s="12">
        <f>MB$4*MM84</f>
        <v>0</v>
      </c>
      <c r="MC84" s="12">
        <f>MC$4 * IF(AND(MB$4=1,MB$20=1), MO84, MM84)</f>
        <v>0</v>
      </c>
      <c r="MD84" s="12">
        <f>MD$4 * IF(AND(MC$4=1,MB$20=1), MO84, MM84)</f>
        <v>0</v>
      </c>
      <c r="ME84" s="12">
        <f>ME$4 * IF(AND(MD$4=1,MB$20=1), MO84, MM84)</f>
        <v>0</v>
      </c>
      <c r="MF84" s="12">
        <f>MF$4 * IF(AND(ME$4=1,MB$20=1), MO84, MM84)</f>
        <v>0</v>
      </c>
      <c r="MG84" s="12">
        <f>MG$4 * IF(AND(MF$4=1,MB$20=1), MO84, MM84)</f>
        <v>0</v>
      </c>
      <c r="MH84" s="12">
        <f>MH$4 * IF(AND(MG$4=1,MB$20=1), MO84, MM84)</f>
        <v>0</v>
      </c>
      <c r="MI84" s="12">
        <f>MI$4 * IF(AND(MH$4=1,MB$20=1), MO84, MM84)</f>
        <v>0</v>
      </c>
      <c r="MJ84" s="12">
        <f>MJ$4 * IF(AND(MI$4=1,MB$20=1), MO84, MM84)</f>
        <v>0</v>
      </c>
      <c r="ML84" t="s">
        <v>1304</v>
      </c>
      <c r="MM84">
        <f>_xlfn.XLOOKUP(ML84,'KPI Impacts'!$B$2:$H$2,'KPI Impacts'!$B84:$H84)</f>
        <v>0</v>
      </c>
      <c r="MN84" s="9" t="s">
        <v>1304</v>
      </c>
      <c r="MO84">
        <f>_xlfn.XLOOKUP(MN84,'KPI Impacts'!$B$2:$H$2,'KPI Impacts'!$B84:$H84)</f>
        <v>0</v>
      </c>
      <c r="MR84" s="12">
        <f>MR$4*NC84</f>
        <v>0</v>
      </c>
      <c r="MS84" s="12">
        <f>MS$4 * IF(AND(MR$4=1,MR$20=1), NE84, NC84)</f>
        <v>0</v>
      </c>
      <c r="MT84" s="12">
        <f>MT$4 * IF(AND(MS$4=1,MR$20=1), NE84, NC84)</f>
        <v>0</v>
      </c>
      <c r="MU84" s="12">
        <f>MU$4 * IF(AND(MT$4=1,MR$20=1), NE84, NC84)</f>
        <v>0</v>
      </c>
      <c r="MV84" s="12">
        <f>MV$4 * IF(AND(MU$4=1,MR$20=1), NE84, NC84)</f>
        <v>0</v>
      </c>
      <c r="MW84" s="12">
        <f>MW$4 * IF(AND(MV$4=1,MR$20=1), NE84, NC84)</f>
        <v>0</v>
      </c>
      <c r="MX84" s="12">
        <f>MX$4 * IF(AND(MW$4=1,MR$20=1), NE84, NC84)</f>
        <v>0</v>
      </c>
      <c r="MY84" s="12">
        <f>MY$4 * IF(AND(MX$4=1,MR$20=1), NE84, NC84)</f>
        <v>0</v>
      </c>
      <c r="MZ84" s="12">
        <f>MZ$4 * IF(AND(MY$4=1,MR$20=1), NE84, NC84)</f>
        <v>0</v>
      </c>
      <c r="NB84" t="s">
        <v>1304</v>
      </c>
      <c r="NC84">
        <f>_xlfn.XLOOKUP(NB84,'KPI Impacts'!$B$2:$H$2,'KPI Impacts'!$B84:$H84)</f>
        <v>0</v>
      </c>
      <c r="ND84" s="9" t="s">
        <v>1304</v>
      </c>
      <c r="NE84">
        <f>_xlfn.XLOOKUP(ND84,'KPI Impacts'!$B$2:$H$2,'KPI Impacts'!$B84:$H84)</f>
        <v>0</v>
      </c>
      <c r="NH84" s="12">
        <f>NH$4*NS84</f>
        <v>0</v>
      </c>
      <c r="NI84" s="12">
        <f>NI$4 * IF(AND(NH$4=1,NH$20=1), NU84, NS84)</f>
        <v>0</v>
      </c>
      <c r="NJ84" s="12">
        <f>NJ$4 * IF(AND(NI$4=1,NH$20=1), NU84, NS84)</f>
        <v>0</v>
      </c>
      <c r="NK84" s="12">
        <f>NK$4 * IF(AND(NJ$4=1,NH$20=1), NU84, NS84)</f>
        <v>0</v>
      </c>
      <c r="NL84" s="12">
        <f>NL$4 * IF(AND(NK$4=1,NH$20=1), NU84, NS84)</f>
        <v>0</v>
      </c>
      <c r="NM84" s="12">
        <f>NM$4 * IF(AND(NL$4=1,NH$20=1), NU84, NS84)</f>
        <v>0</v>
      </c>
      <c r="NN84" s="12">
        <f>NN$4 * IF(AND(NM$4=1,NH$20=1), NU84, NS84)</f>
        <v>0</v>
      </c>
      <c r="NO84" s="12">
        <f>NO$4 * IF(AND(NN$4=1,NH$20=1), NU84, NS84)</f>
        <v>0</v>
      </c>
      <c r="NP84" s="12">
        <f>NP$4 * IF(AND(NO$4=1,NH$20=1), NU84, NS84)</f>
        <v>0</v>
      </c>
      <c r="NR84" t="s">
        <v>1304</v>
      </c>
      <c r="NS84">
        <f>_xlfn.XLOOKUP(NR84,'KPI Impacts'!$B$2:$H$2,'KPI Impacts'!$B84:$H84)</f>
        <v>0</v>
      </c>
      <c r="NT84" s="9" t="s">
        <v>1304</v>
      </c>
      <c r="NU84">
        <f>_xlfn.XLOOKUP(NT84,'KPI Impacts'!$B$2:$H$2,'KPI Impacts'!$B84:$H84)</f>
        <v>0</v>
      </c>
      <c r="NX84" s="12">
        <f>NX$4*OI84</f>
        <v>0</v>
      </c>
      <c r="NY84" s="12">
        <f>NY$4 * IF(AND(NX$4=1,NX$20=1), OK84, OI84)</f>
        <v>0</v>
      </c>
      <c r="NZ84" s="12">
        <f>NZ$4 * IF(AND(NY$4=1,NX$20=1), OK84, OI84)</f>
        <v>0</v>
      </c>
      <c r="OA84" s="12">
        <f>OA$4 * IF(AND(NZ$4=1,NX$20=1), OK84, OI84)</f>
        <v>0</v>
      </c>
      <c r="OB84" s="12">
        <f>OB$4 * IF(AND(OA$4=1,NX$20=1), OK84, OI84)</f>
        <v>0</v>
      </c>
      <c r="OC84" s="12">
        <f>OC$4 * IF(AND(OB$4=1,NX$20=1), OK84, OI84)</f>
        <v>0</v>
      </c>
      <c r="OD84" s="12">
        <f>OD$4 * IF(AND(OC$4=1,NX$20=1), OK84, OI84)</f>
        <v>0</v>
      </c>
      <c r="OE84" s="12">
        <f>OE$4 * IF(AND(OD$4=1,NX$20=1), OK84, OI84)</f>
        <v>0</v>
      </c>
      <c r="OF84" s="12">
        <f>OF$4 * IF(AND(OE$4=1,NX$20=1), OK84, OI84)</f>
        <v>0</v>
      </c>
      <c r="OH84" t="s">
        <v>1304</v>
      </c>
      <c r="OI84">
        <f>_xlfn.XLOOKUP(OH84,'KPI Impacts'!$B$2:$H$2,'KPI Impacts'!$B84:$H84)</f>
        <v>0</v>
      </c>
      <c r="OJ84" s="9" t="s">
        <v>1304</v>
      </c>
      <c r="OK84">
        <f>_xlfn.XLOOKUP(OJ84,'KPI Impacts'!$B$2:$H$2,'KPI Impacts'!$B84:$H84)</f>
        <v>0</v>
      </c>
    </row>
    <row r="85" spans="1:401" x14ac:dyDescent="0.2">
      <c r="A85" s="9" t="s">
        <v>1315</v>
      </c>
      <c r="B85" s="12">
        <f t="shared" ref="B85:J86" si="517">P85+AH85+AZ85+BP85+CF85+CV85+DL85+EB85+ER85+FH85+FX85+GN85+HD85+HT85+IJ85+IZ85+JP85+KF85+KV85+LL85+MB85+MR85+NH85+NX85</f>
        <v>0</v>
      </c>
      <c r="C85" s="12">
        <f t="shared" si="517"/>
        <v>0</v>
      </c>
      <c r="D85" s="12">
        <f t="shared" si="517"/>
        <v>0</v>
      </c>
      <c r="E85" s="12">
        <f t="shared" si="517"/>
        <v>0</v>
      </c>
      <c r="F85" s="12">
        <f t="shared" si="517"/>
        <v>0</v>
      </c>
      <c r="G85" s="12">
        <f t="shared" si="517"/>
        <v>0</v>
      </c>
      <c r="H85" s="12">
        <f t="shared" si="517"/>
        <v>0</v>
      </c>
      <c r="I85" s="12">
        <f t="shared" si="517"/>
        <v>0</v>
      </c>
      <c r="J85" s="12">
        <f t="shared" si="517"/>
        <v>0</v>
      </c>
      <c r="O85" s="17"/>
      <c r="P85" s="12" cm="1">
        <f t="array" ref="P85">_xlfn.SWITCH(P$4, 0,0, 1, AA85,2,AC85,3,AE85,0)</f>
        <v>0</v>
      </c>
      <c r="Q85" s="12" cm="1">
        <f t="array" ref="Q85">_xlfn.SWITCH(Q$4, 0,0, 1, AA85,2,AC85,3,AE85,0)+P85</f>
        <v>0</v>
      </c>
      <c r="R85" s="12" cm="1">
        <f t="array" ref="R85">_xlfn.SWITCH(R$4, 0,0, 1, AA85,2,AC85,3,AE85,0)+Q85</f>
        <v>0</v>
      </c>
      <c r="S85" s="12" cm="1">
        <f t="array" ref="S85">_xlfn.SWITCH(S$4, 0,0, 1, AA85,2,AC85,3,AE85,0)+R85</f>
        <v>0</v>
      </c>
      <c r="T85" s="12" cm="1">
        <f t="array" ref="T85">_xlfn.SWITCH(T$4, 0,0, 1, AA85,2,AC85,3,AE85,0)+S85</f>
        <v>0</v>
      </c>
      <c r="U85" s="12" cm="1">
        <f t="array" ref="U85">_xlfn.SWITCH(U$4, 0,0, 1, AA85,2,AC85,3,AE85,0)+T85</f>
        <v>0</v>
      </c>
      <c r="V85" s="12" cm="1">
        <f t="array" ref="V85">_xlfn.SWITCH(V$4, 0,0, 1, AA85,2,AC85,3,AE85,0)+U85</f>
        <v>0</v>
      </c>
      <c r="W85" s="12" cm="1">
        <f t="array" ref="W85">_xlfn.SWITCH(W$4, 0,0, 1, AA85,2,AC85,3,AE85,0)+V85</f>
        <v>0</v>
      </c>
      <c r="X85" s="12" cm="1">
        <f t="array" ref="X85">_xlfn.SWITCH(X$4, 0,0, 1, AA85,2,AC85,3,AE85,0)+W85</f>
        <v>0</v>
      </c>
      <c r="Z85" t="s">
        <v>1304</v>
      </c>
      <c r="AA85">
        <f>_xlfn.XLOOKUP(Z85,'KPI Impacts'!$K$2:$Q$2,'KPI Impacts'!$K85:$Q85)</f>
        <v>0</v>
      </c>
      <c r="AB85" t="s">
        <v>1304</v>
      </c>
      <c r="AC85">
        <f>_xlfn.XLOOKUP(AB85,'KPI Impacts'!$K$2:$Q$2,'KPI Impacts'!$K85:$Q85)</f>
        <v>0</v>
      </c>
      <c r="AD85" t="s">
        <v>1304</v>
      </c>
      <c r="AE85">
        <f>_xlfn.XLOOKUP(AD85,'KPI Impacts'!$K$2:$Q$2,'KPI Impacts'!$K85:$Q85)</f>
        <v>0</v>
      </c>
      <c r="AG85" s="17"/>
      <c r="AH85" s="12" cm="1">
        <f t="array" ref="AH85">_xlfn.SWITCH(AH$4, 0,0, 1, AS85,2,AU85,3,AW85,0)</f>
        <v>0</v>
      </c>
      <c r="AI85" s="12" cm="1">
        <f t="array" ref="AI85">_xlfn.SWITCH(AI$4, 0,0, 1, AS85,2,AU85,3,AW85,0)+AH85</f>
        <v>0</v>
      </c>
      <c r="AJ85" s="12" cm="1">
        <f t="array" ref="AJ85">_xlfn.SWITCH(AJ$4, 0,0, 1, AS85,2,AU85,3,AW85,0)+AI85</f>
        <v>0</v>
      </c>
      <c r="AK85" s="12" cm="1">
        <f t="array" ref="AK85">_xlfn.SWITCH(AK$4, 0,0, 1, AS85,2,AU85,3,AW85,0)+AJ85</f>
        <v>0</v>
      </c>
      <c r="AL85" s="12" cm="1">
        <f t="array" ref="AL85">_xlfn.SWITCH(AL$4, 0,0, 1, AS85,2,AU85,3,AW85,0)+AK85</f>
        <v>0</v>
      </c>
      <c r="AM85" s="12" cm="1">
        <f t="array" ref="AM85">_xlfn.SWITCH(AM$4, 0,0, 1, AS85,2,AU85,3,AW85,0)+AL85</f>
        <v>0</v>
      </c>
      <c r="AN85" s="12" cm="1">
        <f t="array" ref="AN85">_xlfn.SWITCH(AN$4, 0,0, 1, AS85,2,AU85,3,AW85,0)+AM85</f>
        <v>0</v>
      </c>
      <c r="AO85" s="12" cm="1">
        <f t="array" ref="AO85">_xlfn.SWITCH(AO$4, 0,0, 1, AS85,2,AU85,3,AW85,0)+AN85</f>
        <v>0</v>
      </c>
      <c r="AP85" s="12" cm="1">
        <f t="array" ref="AP85">_xlfn.SWITCH(AP$4, 0,0, 1, AS85,2,AU85,3,AW85,0)+AO85</f>
        <v>0</v>
      </c>
      <c r="AR85" t="s">
        <v>1304</v>
      </c>
      <c r="AS85">
        <f>_xlfn.XLOOKUP(AR85,'KPI Impacts'!$K$2:$Q$2,'KPI Impacts'!$K85:$Q85)</f>
        <v>0</v>
      </c>
      <c r="AT85" t="s">
        <v>1304</v>
      </c>
      <c r="AU85">
        <f>_xlfn.XLOOKUP(AT85,'KPI Impacts'!$K$2:$Q$2,'KPI Impacts'!$K85:$Q85)</f>
        <v>0</v>
      </c>
      <c r="AV85" t="s">
        <v>1304</v>
      </c>
      <c r="AW85">
        <f>_xlfn.XLOOKUP(AV85,'KPI Impacts'!$K$2:$Q$2,'KPI Impacts'!$K85:$Q85)</f>
        <v>0</v>
      </c>
      <c r="AY85" s="17"/>
      <c r="AZ85" s="12">
        <f>AZ$4*BK85</f>
        <v>0</v>
      </c>
      <c r="BA85" s="12">
        <f>BA$4 * IF(AND(AZ$4=1,AZ$20=1), BM85, BK85)</f>
        <v>0</v>
      </c>
      <c r="BB85" s="12">
        <f>BB$4 * IF(AND(BA$4=1,AZ$20=1), BM85, BK85)</f>
        <v>0</v>
      </c>
      <c r="BC85" s="12">
        <f>BC$4 * IF(AND(BB$4=1,AZ$20=1), BM85, BK85)</f>
        <v>0</v>
      </c>
      <c r="BD85" s="12">
        <f>BD$4 * IF(AND(BC$4=1,AZ$20=1), BM85, BK85)</f>
        <v>0</v>
      </c>
      <c r="BE85" s="12">
        <f>BE$4 * IF(AND(BD$4=1,AZ$20=1), BM85, BK85)</f>
        <v>0</v>
      </c>
      <c r="BF85" s="12">
        <f>BF$4 * IF(AND(BE$4=1,AZ$20=1), BM85, BK85)</f>
        <v>0</v>
      </c>
      <c r="BG85" s="12">
        <f>BG$4 * IF(AND(BF$4=1,AZ$20=1), BM85, BK85)</f>
        <v>0</v>
      </c>
      <c r="BH85" s="12">
        <f>BH$4 * IF(AND(BG$4=1,AZ$20=1), BM85, BK85)</f>
        <v>0</v>
      </c>
      <c r="BJ85" s="16" t="s">
        <v>1304</v>
      </c>
      <c r="BK85">
        <f>_xlfn.XLOOKUP(BJ85,'KPI Impacts'!$B$2:$H$2,'KPI Impacts'!$B85:$H85)</f>
        <v>0</v>
      </c>
      <c r="BL85" s="35" t="s">
        <v>1304</v>
      </c>
      <c r="BM85">
        <f>_xlfn.XLOOKUP(BL85,'KPI Impacts'!$B$2:$H$2,'KPI Impacts'!$B85:$H85)</f>
        <v>0</v>
      </c>
      <c r="BO85" s="17"/>
      <c r="BP85" s="12">
        <f>BP$4*CA85</f>
        <v>0</v>
      </c>
      <c r="BQ85" s="12">
        <f>BQ$4 * IF(AND(BP$4=1,BP$20=1), CC85, CA85)</f>
        <v>0</v>
      </c>
      <c r="BR85" s="12">
        <f>BR$4 * IF(AND(BQ$4=1,BP$20=1), CC85, CA85)</f>
        <v>0</v>
      </c>
      <c r="BS85" s="12">
        <f>BS$4 * IF(AND(BR$4=1,BP$20=1), CC85, CA85)</f>
        <v>0</v>
      </c>
      <c r="BT85" s="12">
        <f>BT$4 * IF(AND(BS$4=1,BP$20=1), CC85, CA85)</f>
        <v>0</v>
      </c>
      <c r="BU85" s="12">
        <f>BU$4 * IF(AND(BT$4=1,BP$20=1), CC85, CA85)</f>
        <v>0</v>
      </c>
      <c r="BV85" s="12">
        <f>BV$4 * IF(AND(BU$4=1,BP$20=1), CC85, CA85)</f>
        <v>0</v>
      </c>
      <c r="BW85" s="12">
        <f>BW$4 * IF(AND(BV$4=1,BP$20=1), CC85, CA85)</f>
        <v>0</v>
      </c>
      <c r="BX85" s="12">
        <f>BX$4 * IF(AND(BW$4=1,BP$20=1), CC85, CA85)</f>
        <v>0</v>
      </c>
      <c r="BZ85" s="16" t="s">
        <v>1304</v>
      </c>
      <c r="CA85">
        <f>_xlfn.XLOOKUP(BZ85,'KPI Impacts'!$B$2:$H$2,'KPI Impacts'!$B85:$H85)</f>
        <v>0</v>
      </c>
      <c r="CB85" s="35" t="s">
        <v>1304</v>
      </c>
      <c r="CC85">
        <f>_xlfn.XLOOKUP(CB85,'KPI Impacts'!$B$2:$H$2,'KPI Impacts'!$B85:$H85)</f>
        <v>0</v>
      </c>
      <c r="CE85" s="17"/>
      <c r="CF85" s="12">
        <f>CF$4*CQ85</f>
        <v>0</v>
      </c>
      <c r="CG85" s="12">
        <f>CG$4 * IF(AND(CF$4=1,CF$20=1), CS85, CQ85)</f>
        <v>0</v>
      </c>
      <c r="CH85" s="12">
        <f>CH$4 * IF(AND(CG$4=1,CF$20=1), CS85, CQ85)</f>
        <v>0</v>
      </c>
      <c r="CI85" s="12">
        <f>CI$4 * IF(AND(CH$4=1,CF$20=1), CS85, CQ85)</f>
        <v>0</v>
      </c>
      <c r="CJ85" s="12">
        <f>CJ$4 * IF(AND(CI$4=1,CF$20=1), CS85, CQ85)</f>
        <v>0</v>
      </c>
      <c r="CK85" s="12">
        <f>CK$4 * IF(AND(CJ$4=1,CF$20=1), CS85, CQ85)</f>
        <v>0</v>
      </c>
      <c r="CL85" s="12">
        <f>CL$4 * IF(AND(CK$4=1,CF$20=1), CS85, CQ85)</f>
        <v>0</v>
      </c>
      <c r="CM85" s="12">
        <f>CM$4 * IF(AND(CL$4=1,CF$20=1), CS85, CQ85)</f>
        <v>0</v>
      </c>
      <c r="CN85" s="12">
        <f>CN$4 * IF(AND(CM$4=1,CF$20=1), CS85, CQ85)</f>
        <v>0</v>
      </c>
      <c r="CP85" s="16" t="s">
        <v>1304</v>
      </c>
      <c r="CQ85">
        <f>_xlfn.XLOOKUP(CP85,'KPI Impacts'!$B$2:$H$2,'KPI Impacts'!$B85:$H85)</f>
        <v>0</v>
      </c>
      <c r="CR85" s="35" t="s">
        <v>1304</v>
      </c>
      <c r="CS85">
        <f>_xlfn.XLOOKUP(CR85,'KPI Impacts'!$B$2:$H$2,'KPI Impacts'!$B85:$H85)</f>
        <v>0</v>
      </c>
      <c r="CU85" s="17"/>
      <c r="CV85" s="12">
        <f>CV$4*DG85</f>
        <v>0</v>
      </c>
      <c r="CW85" s="12">
        <f>CW$4 * IF(AND(CV$4=1,CV$20=1), DI85, DG85)</f>
        <v>0</v>
      </c>
      <c r="CX85" s="12">
        <f>CX$4 * IF(AND(CW$4=1,CV$20=1), DI85, DG85)</f>
        <v>0</v>
      </c>
      <c r="CY85" s="12">
        <f>CY$4 * IF(AND(CX$4=1,CV$20=1), DI85, DG85)</f>
        <v>0</v>
      </c>
      <c r="CZ85" s="12">
        <f>CZ$4 * IF(AND(CY$4=1,CV$20=1), DI85, DG85)</f>
        <v>0</v>
      </c>
      <c r="DA85" s="12">
        <f>DA$4 * IF(AND(CZ$4=1,CV$20=1), DI85, DG85)</f>
        <v>0</v>
      </c>
      <c r="DB85" s="12">
        <f>DB$4 * IF(AND(DA$4=1,CV$20=1), DI85, DG85)</f>
        <v>0</v>
      </c>
      <c r="DC85" s="12">
        <f>DC$4 * IF(AND(DB$4=1,CV$20=1), DI85, DG85)</f>
        <v>0</v>
      </c>
      <c r="DD85" s="12">
        <f>DD$4 * IF(AND(DC$4=1,CV$20=1), DI85, DG85)</f>
        <v>0</v>
      </c>
      <c r="DF85" s="16" t="s">
        <v>1304</v>
      </c>
      <c r="DG85">
        <f>_xlfn.XLOOKUP(DF85,'KPI Impacts'!$B$2:$H$2,'KPI Impacts'!$B85:$H85)</f>
        <v>0</v>
      </c>
      <c r="DH85" s="35" t="s">
        <v>1304</v>
      </c>
      <c r="DI85">
        <f>_xlfn.XLOOKUP(DH85,'KPI Impacts'!$B$2:$H$2,'KPI Impacts'!$B85:$H85)</f>
        <v>0</v>
      </c>
      <c r="DK85" s="17"/>
      <c r="DL85" s="12">
        <f>DL$4*DW85</f>
        <v>0</v>
      </c>
      <c r="DM85" s="12">
        <f>DM$4 * IF(AND(DL$4=1,DL$20=1), DY85, DW85)</f>
        <v>0</v>
      </c>
      <c r="DN85" s="12">
        <f>DN$4 * IF(AND(DM$4=1,DL$20=1), DY85, DW85)</f>
        <v>0</v>
      </c>
      <c r="DO85" s="12">
        <f>DO$4 * IF(AND(DN$4=1,DL$20=1), DY85, DW85)</f>
        <v>0</v>
      </c>
      <c r="DP85" s="12">
        <f>DP$4 * IF(AND(DO$4=1,DL$20=1), DY85, DW85)</f>
        <v>0</v>
      </c>
      <c r="DQ85" s="12">
        <f>DQ$4 * IF(AND(DP$4=1,DL$20=1), DY85, DW85)</f>
        <v>0</v>
      </c>
      <c r="DR85" s="12">
        <f>DR$4 * IF(AND(DQ$4=1,DL$20=1), DY85, DW85)</f>
        <v>0</v>
      </c>
      <c r="DS85" s="12">
        <f>DS$4 * IF(AND(DR$4=1,DL$20=1), DY85, DW85)</f>
        <v>0</v>
      </c>
      <c r="DT85" s="12">
        <f>DT$4 * IF(AND(DS$4=1,DL$20=1), DY85, DW85)</f>
        <v>0</v>
      </c>
      <c r="DV85" s="16" t="s">
        <v>1304</v>
      </c>
      <c r="DW85">
        <f>_xlfn.XLOOKUP(DV85,'KPI Impacts'!$B$2:$H$2,'KPI Impacts'!$B85:$H85)</f>
        <v>0</v>
      </c>
      <c r="DX85" s="35" t="s">
        <v>1304</v>
      </c>
      <c r="DY85">
        <f>_xlfn.XLOOKUP(DX85,'KPI Impacts'!$B$2:$H$2,'KPI Impacts'!$B85:$H85)</f>
        <v>0</v>
      </c>
      <c r="EA85" s="17"/>
      <c r="EB85" s="12">
        <f>EB$4*EM85</f>
        <v>0</v>
      </c>
      <c r="EC85" s="12">
        <f>EC$4 * IF(AND(EB$4=1,EB$20=1), EO85, EM85)</f>
        <v>0</v>
      </c>
      <c r="ED85" s="12">
        <f>ED$4 * IF(AND(EC$4=1,EB$20=1), EO85, EM85)</f>
        <v>0</v>
      </c>
      <c r="EE85" s="12">
        <f>EE$4 * IF(AND(ED$4=1,EB$20=1), EO85, EM85)</f>
        <v>0</v>
      </c>
      <c r="EF85" s="12">
        <f>EF$4 * IF(AND(EE$4=1,EB$20=1), EO85, EM85)</f>
        <v>0</v>
      </c>
      <c r="EG85" s="12">
        <f>EG$4 * IF(AND(EF$4=1,EB$20=1), EO85, EM85)</f>
        <v>0</v>
      </c>
      <c r="EH85" s="12">
        <f>EH$4 * IF(AND(EG$4=1,EB$20=1), EO85, EM85)</f>
        <v>0</v>
      </c>
      <c r="EI85" s="12">
        <f>EI$4 * IF(AND(EH$4=1,EB$20=1), EO85, EM85)</f>
        <v>0</v>
      </c>
      <c r="EJ85" s="12">
        <f>EJ$4 * IF(AND(EI$4=1,EB$20=1), EO85, EM85)</f>
        <v>0</v>
      </c>
      <c r="EL85" s="16" t="s">
        <v>1304</v>
      </c>
      <c r="EM85">
        <f>_xlfn.XLOOKUP(EL85,'KPI Impacts'!$B$2:$H$2,'KPI Impacts'!$B85:$H85)</f>
        <v>0</v>
      </c>
      <c r="EN85" s="35" t="s">
        <v>1304</v>
      </c>
      <c r="EO85">
        <f>_xlfn.XLOOKUP(EN85,'KPI Impacts'!$B$2:$H$2,'KPI Impacts'!$B85:$H85)</f>
        <v>0</v>
      </c>
      <c r="EQ85" s="17"/>
      <c r="ER85" s="12">
        <f>ER$4*FC85</f>
        <v>0</v>
      </c>
      <c r="ES85" s="12">
        <f>ES$4 * IF(AND(ER$4=1,ER$20=1), FE85, FC85)</f>
        <v>0</v>
      </c>
      <c r="ET85" s="12">
        <f>ET$4 * IF(AND(ES$4=1,ER$20=1), FE85, FC85)</f>
        <v>0</v>
      </c>
      <c r="EU85" s="12">
        <f>EU$4 * IF(AND(ET$4=1,ER$20=1), FE85, FC85)</f>
        <v>0</v>
      </c>
      <c r="EV85" s="12">
        <f>EV$4 * IF(AND(EU$4=1,ER$20=1), FE85, FC85)</f>
        <v>0</v>
      </c>
      <c r="EW85" s="12">
        <f>EW$4 * IF(AND(EV$4=1,ER$20=1), FE85, FC85)</f>
        <v>0</v>
      </c>
      <c r="EX85" s="12">
        <f>EX$4 * IF(AND(EW$4=1,ER$20=1), FE85, FC85)</f>
        <v>0</v>
      </c>
      <c r="EY85" s="12">
        <f>EY$4 * IF(AND(EX$4=1,ER$20=1), FE85, FC85)</f>
        <v>0</v>
      </c>
      <c r="EZ85" s="12">
        <f>EZ$4 * IF(AND(EY$4=1,ER$20=1), FE85, FC85)</f>
        <v>0</v>
      </c>
      <c r="FB85" s="16" t="s">
        <v>1304</v>
      </c>
      <c r="FC85">
        <f>_xlfn.XLOOKUP(FB85,'KPI Impacts'!$B$2:$H$2,'KPI Impacts'!$B85:$H85)</f>
        <v>0</v>
      </c>
      <c r="FD85" s="35" t="s">
        <v>1304</v>
      </c>
      <c r="FE85">
        <f>_xlfn.XLOOKUP(FD85,'KPI Impacts'!$B$2:$H$2,'KPI Impacts'!$B85:$H85)</f>
        <v>0</v>
      </c>
      <c r="FG85" s="17"/>
      <c r="FH85" s="12">
        <f>FH$4*FS85</f>
        <v>0</v>
      </c>
      <c r="FI85" s="12">
        <f>FI$4 * IF(AND(FH$4=1,FH$20=1), FU85, FS85)</f>
        <v>0</v>
      </c>
      <c r="FJ85" s="12">
        <f>FJ$4 * IF(AND(FI$4=1,FH$20=1), FU85, FS85)</f>
        <v>0</v>
      </c>
      <c r="FK85" s="12">
        <f>FK$4 * IF(AND(FJ$4=1,FH$20=1), FU85, FS85)</f>
        <v>0</v>
      </c>
      <c r="FL85" s="12">
        <f>FL$4 * IF(AND(FK$4=1,FH$20=1), FU85, FS85)</f>
        <v>0</v>
      </c>
      <c r="FM85" s="12">
        <f>FM$4 * IF(AND(FL$4=1,FH$20=1), FU85, FS85)</f>
        <v>0</v>
      </c>
      <c r="FN85" s="12">
        <f>FN$4 * IF(AND(FM$4=1,FH$20=1), FU85, FS85)</f>
        <v>0</v>
      </c>
      <c r="FO85" s="12">
        <f>FO$4 * IF(AND(FN$4=1,FH$20=1), FU85, FS85)</f>
        <v>0</v>
      </c>
      <c r="FP85" s="12">
        <f>FP$4 * IF(AND(FO$4=1,FH$20=1), FU85, FS85)</f>
        <v>0</v>
      </c>
      <c r="FR85" s="16" t="s">
        <v>1304</v>
      </c>
      <c r="FS85">
        <f>_xlfn.XLOOKUP(FR85,'KPI Impacts'!$B$2:$H$2,'KPI Impacts'!$B85:$H85)</f>
        <v>0</v>
      </c>
      <c r="FT85" s="9" t="s">
        <v>1304</v>
      </c>
      <c r="FU85">
        <f>_xlfn.XLOOKUP(FT85,'KPI Impacts'!$B$2:$H$2,'KPI Impacts'!$B85:$H85)</f>
        <v>0</v>
      </c>
      <c r="FW85" s="17"/>
      <c r="FX85" s="12">
        <f>FX$4*GI85</f>
        <v>0</v>
      </c>
      <c r="FY85" s="12">
        <f>FY$4 * IF(AND(FX$4=1,FX$20=1), GK85, GI85)</f>
        <v>0</v>
      </c>
      <c r="FZ85" s="12">
        <f>FZ$4 * IF(AND(FY$4=1,FX$20=1), GK85, GI85)</f>
        <v>0</v>
      </c>
      <c r="GA85" s="12">
        <f>GA$4 * IF(AND(FZ$4=1,FX$20=1), GK85, GI85)</f>
        <v>0</v>
      </c>
      <c r="GB85" s="12">
        <f>GB$4 * IF(AND(GA$4=1,FX$20=1), GK85, GI85)</f>
        <v>0</v>
      </c>
      <c r="GC85" s="12">
        <f>GC$4 * IF(AND(GB$4=1,FX$20=1), GK85, GI85)</f>
        <v>0</v>
      </c>
      <c r="GD85" s="12">
        <f>GD$4 * IF(AND(GC$4=1,FX$20=1), GK85, GI85)</f>
        <v>0</v>
      </c>
      <c r="GE85" s="12">
        <f>GE$4 * IF(AND(GD$4=1,FX$20=1), GK85, GI85)</f>
        <v>0</v>
      </c>
      <c r="GF85" s="12">
        <f>GF$4 * IF(AND(GE$4=1,FX$20=1), GK85, GI85)</f>
        <v>0</v>
      </c>
      <c r="GH85" s="16" t="s">
        <v>1304</v>
      </c>
      <c r="GI85">
        <f>_xlfn.XLOOKUP(GH85,'KPI Impacts'!$B$2:$H$2,'KPI Impacts'!$B85:$H85)</f>
        <v>0</v>
      </c>
      <c r="GJ85" s="9" t="s">
        <v>1304</v>
      </c>
      <c r="GK85">
        <f>_xlfn.XLOOKUP(GJ85,'KPI Impacts'!$B$2:$H$2,'KPI Impacts'!$B85:$H85)</f>
        <v>0</v>
      </c>
      <c r="GN85" s="12">
        <f>GN$4*GY85</f>
        <v>0</v>
      </c>
      <c r="GO85" s="12">
        <f>GO$4 * IF(AND(GN$4=1,GN$20=1), HA85, GY85)</f>
        <v>0</v>
      </c>
      <c r="GP85" s="12">
        <f>GP$4 * IF(AND(GO$4=1,GN$20=1), HA85, GY85)</f>
        <v>0</v>
      </c>
      <c r="GQ85" s="12">
        <f>GQ$4 * IF(AND(GP$4=1,GN$20=1), HA85, GY85)</f>
        <v>0</v>
      </c>
      <c r="GR85" s="12">
        <f>GR$4 * IF(AND(GQ$4=1,GN$20=1), HA85, GY85)</f>
        <v>0</v>
      </c>
      <c r="GS85" s="12">
        <f>GS$4 * IF(AND(GR$4=1,GN$20=1), HA85, GY85)</f>
        <v>0</v>
      </c>
      <c r="GT85" s="12">
        <f>GT$4 * IF(AND(GS$4=1,GN$20=1), HA85, GY85)</f>
        <v>0</v>
      </c>
      <c r="GU85" s="12">
        <f>GU$4 * IF(AND(GT$4=1,GN$20=1), HA85, GY85)</f>
        <v>0</v>
      </c>
      <c r="GV85" s="12">
        <f>GV$4 * IF(AND(GU$4=1,GN$20=1), HA85, GY85)</f>
        <v>0</v>
      </c>
      <c r="GX85" s="16" t="s">
        <v>1304</v>
      </c>
      <c r="GY85">
        <f>_xlfn.XLOOKUP(GX85,'KPI Impacts'!$B$2:$H$2,'KPI Impacts'!$B85:$H85)</f>
        <v>0</v>
      </c>
      <c r="GZ85" s="9" t="s">
        <v>1304</v>
      </c>
      <c r="HA85">
        <f>_xlfn.XLOOKUP(GZ85,'KPI Impacts'!$B$2:$H$2,'KPI Impacts'!$B85:$H85)</f>
        <v>0</v>
      </c>
      <c r="HD85" s="12">
        <f>HD$4*HO85</f>
        <v>0</v>
      </c>
      <c r="HE85" s="12">
        <f>HE$4 * IF(AND(HD$4=1,HD$20=1), HQ85, HO85)</f>
        <v>0</v>
      </c>
      <c r="HF85" s="12">
        <f>HF$4 * IF(AND(HE$4=1,HD$20=1), HQ85, HO85)</f>
        <v>0</v>
      </c>
      <c r="HG85" s="12">
        <f>HG$4 * IF(AND(HF$4=1,HD$20=1), HQ85, HO85)</f>
        <v>0</v>
      </c>
      <c r="HH85" s="12">
        <f>HH$4 * IF(AND(HG$4=1,HD$20=1), HQ85, HO85)</f>
        <v>0</v>
      </c>
      <c r="HI85" s="12">
        <f>HI$4 * IF(AND(HH$4=1,HD$20=1), HQ85, HO85)</f>
        <v>0</v>
      </c>
      <c r="HJ85" s="12">
        <f>HJ$4 * IF(AND(HI$4=1,HD$20=1), HQ85, HO85)</f>
        <v>0</v>
      </c>
      <c r="HK85" s="12">
        <f>HK$4 * IF(AND(HJ$4=1,HD$20=1), HQ85, HO85)</f>
        <v>0</v>
      </c>
      <c r="HL85" s="12">
        <f>HL$4 * IF(AND(HK$4=1,HD$20=1), HQ85, HO85)</f>
        <v>0</v>
      </c>
      <c r="HN85" t="s">
        <v>1304</v>
      </c>
      <c r="HO85">
        <f>_xlfn.XLOOKUP(HN85,'KPI Impacts'!$B$2:$H$2,'KPI Impacts'!$B85:$H85)</f>
        <v>0</v>
      </c>
      <c r="HP85" s="9" t="s">
        <v>1304</v>
      </c>
      <c r="HQ85">
        <f>_xlfn.XLOOKUP(HP85,'KPI Impacts'!$B$2:$H$2,'KPI Impacts'!$B85:$H85)</f>
        <v>0</v>
      </c>
      <c r="HT85" s="12">
        <f>HT$4*IE85</f>
        <v>0</v>
      </c>
      <c r="HU85" s="12">
        <f>HU$4 * IF(AND(HT$4=1,HT$20=1), IG85, IE85)</f>
        <v>0</v>
      </c>
      <c r="HV85" s="12">
        <f>HV$4 * IF(AND(HU$4=1,HT$20=1), IG85, IE85)</f>
        <v>0</v>
      </c>
      <c r="HW85" s="12">
        <f>HW$4 * IF(AND(HV$4=1,HT$20=1), IG85, IE85)</f>
        <v>0</v>
      </c>
      <c r="HX85" s="12">
        <f>HX$4 * IF(AND(HW$4=1,HT$20=1), IG85, IE85)</f>
        <v>0</v>
      </c>
      <c r="HY85" s="12">
        <f>HY$4 * IF(AND(HX$4=1,HT$20=1), IG85, IE85)</f>
        <v>0</v>
      </c>
      <c r="HZ85" s="12">
        <f>HZ$4 * IF(AND(HY$4=1,HT$20=1), IG85, IE85)</f>
        <v>0</v>
      </c>
      <c r="IA85" s="12">
        <f>IA$4 * IF(AND(HZ$4=1,HT$20=1), IG85, IE85)</f>
        <v>0</v>
      </c>
      <c r="IB85" s="12">
        <f>IB$4 * IF(AND(IA$4=1,HT$20=1), IG85, IE85)</f>
        <v>0</v>
      </c>
      <c r="ID85" t="s">
        <v>1304</v>
      </c>
      <c r="IE85">
        <f>_xlfn.XLOOKUP(ID85,'KPI Impacts'!$B$2:$H$2,'KPI Impacts'!$B85:$H85)</f>
        <v>0</v>
      </c>
      <c r="IF85" s="9" t="s">
        <v>1304</v>
      </c>
      <c r="IG85">
        <f>_xlfn.XLOOKUP(IF85,'KPI Impacts'!$B$2:$H$2,'KPI Impacts'!$B85:$H85)</f>
        <v>0</v>
      </c>
      <c r="IJ85" s="12">
        <f>IJ$4*IU85</f>
        <v>0</v>
      </c>
      <c r="IK85" s="12">
        <f>IK$4 * IF(AND(IJ$4=1,IJ$20=1), IW85, IU85)</f>
        <v>0</v>
      </c>
      <c r="IL85" s="12">
        <f>IL$4 * IF(AND(IK$4=1,IJ$20=1), IW85, IU85)</f>
        <v>0</v>
      </c>
      <c r="IM85" s="12">
        <f>IM$4 * IF(AND(IL$4=1,IJ$20=1), IW85, IU85)</f>
        <v>0</v>
      </c>
      <c r="IN85" s="12">
        <f>IN$4 * IF(AND(IM$4=1,IJ$20=1), IW85, IU85)</f>
        <v>0</v>
      </c>
      <c r="IO85" s="12">
        <f>IO$4 * IF(AND(IN$4=1,IJ$20=1), IW85, IU85)</f>
        <v>0</v>
      </c>
      <c r="IP85" s="12">
        <f>IP$4 * IF(AND(IO$4=1,IJ$20=1), IW85, IU85)</f>
        <v>0</v>
      </c>
      <c r="IQ85" s="12">
        <f>IQ$4 * IF(AND(IP$4=1,IJ$20=1), IW85, IU85)</f>
        <v>0</v>
      </c>
      <c r="IR85" s="12">
        <f>IR$4 * IF(AND(IQ$4=1,IJ$20=1), IW85, IU85)</f>
        <v>0</v>
      </c>
      <c r="IT85" t="s">
        <v>1304</v>
      </c>
      <c r="IU85">
        <f>_xlfn.XLOOKUP(IT85,'KPI Impacts'!$B$2:$H$2,'KPI Impacts'!$B85:$H85)</f>
        <v>0</v>
      </c>
      <c r="IV85" s="9" t="s">
        <v>1304</v>
      </c>
      <c r="IW85">
        <f>_xlfn.XLOOKUP(IV85,'KPI Impacts'!$B$2:$H$2,'KPI Impacts'!$B85:$H85)</f>
        <v>0</v>
      </c>
      <c r="IZ85" s="12">
        <f>IZ$4*JK85</f>
        <v>0</v>
      </c>
      <c r="JA85" s="12">
        <f>JA$4 * IF(AND(IZ$4=1,IZ$20=1), JM85, JK85)</f>
        <v>0</v>
      </c>
      <c r="JB85" s="12">
        <f>JB$4 * IF(AND(JA$4=1,IZ$20=1), JM85, JK85)</f>
        <v>0</v>
      </c>
      <c r="JC85" s="12">
        <f>JC$4 * IF(AND(JB$4=1,IZ$20=1), JM85, JK85)</f>
        <v>0</v>
      </c>
      <c r="JD85" s="12">
        <f>JD$4 * IF(AND(JC$4=1,IZ$20=1), JM85, JK85)</f>
        <v>0</v>
      </c>
      <c r="JE85" s="12">
        <f>JE$4 * IF(AND(JD$4=1,IZ$20=1), JM85, JK85)</f>
        <v>0</v>
      </c>
      <c r="JF85" s="12">
        <f>JF$4 * IF(AND(JE$4=1,IZ$20=1), JM85, JK85)</f>
        <v>0</v>
      </c>
      <c r="JG85" s="12">
        <f>JG$4 * IF(AND(JF$4=1,IZ$20=1), JM85, JK85)</f>
        <v>0</v>
      </c>
      <c r="JH85" s="12">
        <f>JH$4 * IF(AND(JG$4=1,IZ$20=1), JM85, JK85)</f>
        <v>0</v>
      </c>
      <c r="JJ85" t="s">
        <v>1304</v>
      </c>
      <c r="JK85">
        <f>_xlfn.XLOOKUP(JJ85,'KPI Impacts'!$B$2:$H$2,'KPI Impacts'!$B85:$H85)</f>
        <v>0</v>
      </c>
      <c r="JL85" s="9" t="s">
        <v>1304</v>
      </c>
      <c r="JM85">
        <f>_xlfn.XLOOKUP(JL85,'KPI Impacts'!$B$2:$H$2,'KPI Impacts'!$B85:$H85)</f>
        <v>0</v>
      </c>
      <c r="JP85" s="12">
        <f>JP$4*KA85</f>
        <v>0</v>
      </c>
      <c r="JQ85" s="12">
        <f>JQ$4 * IF(AND(JP$4=1,JP$20=1), KC85, KA85)</f>
        <v>0</v>
      </c>
      <c r="JR85" s="12">
        <f>JR$4 * IF(AND(JQ$4=1,JP$20=1), KC85, KA85)</f>
        <v>0</v>
      </c>
      <c r="JS85" s="12">
        <f>JS$4 * IF(AND(JR$4=1,JP$20=1), KC85, KA85)</f>
        <v>0</v>
      </c>
      <c r="JT85" s="12">
        <f>JT$4 * IF(AND(JS$4=1,JP$20=1), KC85, KA85)</f>
        <v>0</v>
      </c>
      <c r="JU85" s="12">
        <f>JU$4 * IF(AND(JT$4=1,JP$20=1), KC85, KA85)</f>
        <v>0</v>
      </c>
      <c r="JV85" s="12">
        <f>JV$4 * IF(AND(JU$4=1,JP$20=1), KC85, KA85)</f>
        <v>0</v>
      </c>
      <c r="JW85" s="12">
        <f>JW$4 * IF(AND(JV$4=1,JP$20=1), KC85, KA85)</f>
        <v>0</v>
      </c>
      <c r="JX85" s="12">
        <f>JX$4 * IF(AND(JW$4=1,JP$20=1), KC85, KA85)</f>
        <v>0</v>
      </c>
      <c r="JZ85" t="s">
        <v>1304</v>
      </c>
      <c r="KA85">
        <f>_xlfn.XLOOKUP(JZ85,'KPI Impacts'!$B$2:$H$2,'KPI Impacts'!$B85:$H85)</f>
        <v>0</v>
      </c>
      <c r="KB85" s="9" t="s">
        <v>1304</v>
      </c>
      <c r="KC85">
        <f>_xlfn.XLOOKUP(KB85,'KPI Impacts'!$B$2:$H$2,'KPI Impacts'!$B85:$H85)</f>
        <v>0</v>
      </c>
      <c r="KF85" s="12">
        <f>KF$4*KQ85</f>
        <v>0</v>
      </c>
      <c r="KG85" s="12">
        <f>KG$4 * IF(AND(KF$4=1,KF$20=1), KS85, KQ85)</f>
        <v>0</v>
      </c>
      <c r="KH85" s="12">
        <f>KH$4 * IF(AND(KG$4=1,KF$20=1), KS85, KQ85)</f>
        <v>0</v>
      </c>
      <c r="KI85" s="12">
        <f>KI$4 * IF(AND(KH$4=1,KF$20=1), KS85, KQ85)</f>
        <v>0</v>
      </c>
      <c r="KJ85" s="12">
        <f>KJ$4 * IF(AND(KI$4=1,KF$20=1), KS85, KQ85)</f>
        <v>0</v>
      </c>
      <c r="KK85" s="12">
        <f>KK$4 * IF(AND(KJ$4=1,KF$20=1), KS85, KQ85)</f>
        <v>0</v>
      </c>
      <c r="KL85" s="12">
        <f>KL$4 * IF(AND(KK$4=1,KF$20=1), KS85, KQ85)</f>
        <v>0</v>
      </c>
      <c r="KM85" s="12">
        <f>KM$4 * IF(AND(KL$4=1,KF$20=1), KS85, KQ85)</f>
        <v>0</v>
      </c>
      <c r="KN85" s="12">
        <f>KN$4 * IF(AND(KM$4=1,KF$20=1), KS85, KQ85)</f>
        <v>0</v>
      </c>
      <c r="KP85" t="s">
        <v>1304</v>
      </c>
      <c r="KQ85">
        <f>_xlfn.XLOOKUP(KP85,'KPI Impacts'!$B$2:$H$2,'KPI Impacts'!$B85:$H85)</f>
        <v>0</v>
      </c>
      <c r="KR85" s="9" t="s">
        <v>1304</v>
      </c>
      <c r="KS85">
        <f>_xlfn.XLOOKUP(KR85,'KPI Impacts'!$B$2:$H$2,'KPI Impacts'!$B85:$H85)</f>
        <v>0</v>
      </c>
      <c r="KV85" s="12">
        <f>KV$4*LG85</f>
        <v>0</v>
      </c>
      <c r="KW85" s="12">
        <f>KW$4 * IF(AND(KV$4=1,KV$20=1), LI85, LG85)</f>
        <v>0</v>
      </c>
      <c r="KX85" s="12">
        <f>KX$4 * IF(AND(KW$4=1,KV$20=1), LI85, LG85)</f>
        <v>0</v>
      </c>
      <c r="KY85" s="12">
        <f>KY$4 * IF(AND(KX$4=1,KV$20=1), LI85, LG85)</f>
        <v>0</v>
      </c>
      <c r="KZ85" s="12">
        <f>KZ$4 * IF(AND(KY$4=1,KV$20=1), LI85, LG85)</f>
        <v>0</v>
      </c>
      <c r="LA85" s="12">
        <f>LA$4 * IF(AND(KZ$4=1,KV$20=1), LI85, LG85)</f>
        <v>0</v>
      </c>
      <c r="LB85" s="12">
        <f>LB$4 * IF(AND(LA$4=1,KV$20=1), LI85, LG85)</f>
        <v>0</v>
      </c>
      <c r="LC85" s="12">
        <f>LC$4 * IF(AND(LB$4=1,KV$20=1), LI85, LG85)</f>
        <v>0</v>
      </c>
      <c r="LD85" s="12">
        <f>LD$4 * IF(AND(LC$4=1,KV$20=1), LI85, LG85)</f>
        <v>0</v>
      </c>
      <c r="LF85" t="s">
        <v>1304</v>
      </c>
      <c r="LG85">
        <f>_xlfn.XLOOKUP(LF85,'KPI Impacts'!$B$2:$H$2,'KPI Impacts'!$B85:$H85)</f>
        <v>0</v>
      </c>
      <c r="LH85" s="9" t="s">
        <v>1304</v>
      </c>
      <c r="LI85">
        <f>_xlfn.XLOOKUP(LH85,'KPI Impacts'!$B$2:$H$2,'KPI Impacts'!$B85:$H85)</f>
        <v>0</v>
      </c>
      <c r="LL85" s="12">
        <f>LL$4*LW85</f>
        <v>0</v>
      </c>
      <c r="LM85" s="12">
        <f>LM$4 * IF(AND(LL$4=1,LL$20=1), LY85, LW85)</f>
        <v>0</v>
      </c>
      <c r="LN85" s="12">
        <f>LN$4 * IF(AND(LM$4=1,LL$20=1), LY85, LW85)</f>
        <v>0</v>
      </c>
      <c r="LO85" s="12">
        <f>LO$4 * IF(AND(LN$4=1,LL$20=1), LY85, LW85)</f>
        <v>0</v>
      </c>
      <c r="LP85" s="12">
        <f>LP$4 * IF(AND(LO$4=1,LL$20=1), LY85, LW85)</f>
        <v>0</v>
      </c>
      <c r="LQ85" s="12">
        <f>LQ$4 * IF(AND(LP$4=1,LL$20=1), LY85, LW85)</f>
        <v>0</v>
      </c>
      <c r="LR85" s="12">
        <f>LR$4 * IF(AND(LQ$4=1,LL$20=1), LY85, LW85)</f>
        <v>0</v>
      </c>
      <c r="LS85" s="12">
        <f>LS$4 * IF(AND(LR$4=1,LL$20=1), LY85, LW85)</f>
        <v>0</v>
      </c>
      <c r="LT85" s="12">
        <f>LT$4 * IF(AND(LS$4=1,LL$20=1), LY85, LW85)</f>
        <v>0</v>
      </c>
      <c r="LV85" t="s">
        <v>1304</v>
      </c>
      <c r="LW85">
        <f>_xlfn.XLOOKUP(LV85,'KPI Impacts'!$B$2:$H$2,'KPI Impacts'!$B85:$H85)</f>
        <v>0</v>
      </c>
      <c r="LX85" s="9" t="s">
        <v>1304</v>
      </c>
      <c r="LY85">
        <f>_xlfn.XLOOKUP(LX85,'KPI Impacts'!$B$2:$H$2,'KPI Impacts'!$B85:$H85)</f>
        <v>0</v>
      </c>
      <c r="MB85" s="12">
        <f>MB$4*MM85</f>
        <v>0</v>
      </c>
      <c r="MC85" s="12">
        <f>MC$4 * IF(AND(MB$4=1,MB$20=1), MO85, MM85)</f>
        <v>0</v>
      </c>
      <c r="MD85" s="12">
        <f>MD$4 * IF(AND(MC$4=1,MB$20=1), MO85, MM85)</f>
        <v>0</v>
      </c>
      <c r="ME85" s="12">
        <f>ME$4 * IF(AND(MD$4=1,MB$20=1), MO85, MM85)</f>
        <v>0</v>
      </c>
      <c r="MF85" s="12">
        <f>MF$4 * IF(AND(ME$4=1,MB$20=1), MO85, MM85)</f>
        <v>0</v>
      </c>
      <c r="MG85" s="12">
        <f>MG$4 * IF(AND(MF$4=1,MB$20=1), MO85, MM85)</f>
        <v>0</v>
      </c>
      <c r="MH85" s="12">
        <f>MH$4 * IF(AND(MG$4=1,MB$20=1), MO85, MM85)</f>
        <v>0</v>
      </c>
      <c r="MI85" s="12">
        <f>MI$4 * IF(AND(MH$4=1,MB$20=1), MO85, MM85)</f>
        <v>0</v>
      </c>
      <c r="MJ85" s="12">
        <f>MJ$4 * IF(AND(MI$4=1,MB$20=1), MO85, MM85)</f>
        <v>0</v>
      </c>
      <c r="ML85" t="s">
        <v>1304</v>
      </c>
      <c r="MM85">
        <f>_xlfn.XLOOKUP(ML85,'KPI Impacts'!$B$2:$H$2,'KPI Impacts'!$B85:$H85)</f>
        <v>0</v>
      </c>
      <c r="MN85" s="9" t="s">
        <v>1304</v>
      </c>
      <c r="MO85">
        <f>_xlfn.XLOOKUP(MN85,'KPI Impacts'!$B$2:$H$2,'KPI Impacts'!$B85:$H85)</f>
        <v>0</v>
      </c>
      <c r="MR85" s="12">
        <f>MR$4*NC85</f>
        <v>0</v>
      </c>
      <c r="MS85" s="12">
        <f>MS$4 * IF(AND(MR$4=1,MR$20=1), NE85, NC85)</f>
        <v>0</v>
      </c>
      <c r="MT85" s="12">
        <f>MT$4 * IF(AND(MS$4=1,MR$20=1), NE85, NC85)</f>
        <v>0</v>
      </c>
      <c r="MU85" s="12">
        <f>MU$4 * IF(AND(MT$4=1,MR$20=1), NE85, NC85)</f>
        <v>0</v>
      </c>
      <c r="MV85" s="12">
        <f>MV$4 * IF(AND(MU$4=1,MR$20=1), NE85, NC85)</f>
        <v>0</v>
      </c>
      <c r="MW85" s="12">
        <f>MW$4 * IF(AND(MV$4=1,MR$20=1), NE85, NC85)</f>
        <v>0</v>
      </c>
      <c r="MX85" s="12">
        <f>MX$4 * IF(AND(MW$4=1,MR$20=1), NE85, NC85)</f>
        <v>0</v>
      </c>
      <c r="MY85" s="12">
        <f>MY$4 * IF(AND(MX$4=1,MR$20=1), NE85, NC85)</f>
        <v>0</v>
      </c>
      <c r="MZ85" s="12">
        <f>MZ$4 * IF(AND(MY$4=1,MR$20=1), NE85, NC85)</f>
        <v>0</v>
      </c>
      <c r="NB85" t="s">
        <v>1304</v>
      </c>
      <c r="NC85">
        <f>_xlfn.XLOOKUP(NB85,'KPI Impacts'!$B$2:$H$2,'KPI Impacts'!$B85:$H85)</f>
        <v>0</v>
      </c>
      <c r="ND85" s="9" t="s">
        <v>1304</v>
      </c>
      <c r="NE85">
        <f>_xlfn.XLOOKUP(ND85,'KPI Impacts'!$B$2:$H$2,'KPI Impacts'!$B85:$H85)</f>
        <v>0</v>
      </c>
      <c r="NH85" s="12">
        <f>NH$4*NS85</f>
        <v>0</v>
      </c>
      <c r="NI85" s="12">
        <f>NI$4 * IF(AND(NH$4=1,NH$20=1), NU85, NS85)</f>
        <v>0</v>
      </c>
      <c r="NJ85" s="12">
        <f>NJ$4 * IF(AND(NI$4=1,NH$20=1), NU85, NS85)</f>
        <v>0</v>
      </c>
      <c r="NK85" s="12">
        <f>NK$4 * IF(AND(NJ$4=1,NH$20=1), NU85, NS85)</f>
        <v>0</v>
      </c>
      <c r="NL85" s="12">
        <f>NL$4 * IF(AND(NK$4=1,NH$20=1), NU85, NS85)</f>
        <v>0</v>
      </c>
      <c r="NM85" s="12">
        <f>NM$4 * IF(AND(NL$4=1,NH$20=1), NU85, NS85)</f>
        <v>0</v>
      </c>
      <c r="NN85" s="12">
        <f>NN$4 * IF(AND(NM$4=1,NH$20=1), NU85, NS85)</f>
        <v>0</v>
      </c>
      <c r="NO85" s="12">
        <f>NO$4 * IF(AND(NN$4=1,NH$20=1), NU85, NS85)</f>
        <v>0</v>
      </c>
      <c r="NP85" s="12">
        <f>NP$4 * IF(AND(NO$4=1,NH$20=1), NU85, NS85)</f>
        <v>0</v>
      </c>
      <c r="NR85" t="s">
        <v>1304</v>
      </c>
      <c r="NS85">
        <f>_xlfn.XLOOKUP(NR85,'KPI Impacts'!$B$2:$H$2,'KPI Impacts'!$B85:$H85)</f>
        <v>0</v>
      </c>
      <c r="NT85" s="9" t="s">
        <v>1304</v>
      </c>
      <c r="NU85">
        <f>_xlfn.XLOOKUP(NT85,'KPI Impacts'!$B$2:$H$2,'KPI Impacts'!$B85:$H85)</f>
        <v>0</v>
      </c>
      <c r="NX85" s="12">
        <f>NX$4*OI85</f>
        <v>0</v>
      </c>
      <c r="NY85" s="12">
        <f>NY$4 * IF(AND(NX$4=1,NX$20=1), OK85, OI85)</f>
        <v>0</v>
      </c>
      <c r="NZ85" s="12">
        <f>NZ$4 * IF(AND(NY$4=1,NX$20=1), OK85, OI85)</f>
        <v>0</v>
      </c>
      <c r="OA85" s="12">
        <f>OA$4 * IF(AND(NZ$4=1,NX$20=1), OK85, OI85)</f>
        <v>0</v>
      </c>
      <c r="OB85" s="12">
        <f>OB$4 * IF(AND(OA$4=1,NX$20=1), OK85, OI85)</f>
        <v>0</v>
      </c>
      <c r="OC85" s="12">
        <f>OC$4 * IF(AND(OB$4=1,NX$20=1), OK85, OI85)</f>
        <v>0</v>
      </c>
      <c r="OD85" s="12">
        <f>OD$4 * IF(AND(OC$4=1,NX$20=1), OK85, OI85)</f>
        <v>0</v>
      </c>
      <c r="OE85" s="12">
        <f>OE$4 * IF(AND(OD$4=1,NX$20=1), OK85, OI85)</f>
        <v>0</v>
      </c>
      <c r="OF85" s="12">
        <f>OF$4 * IF(AND(OE$4=1,NX$20=1), OK85, OI85)</f>
        <v>0</v>
      </c>
      <c r="OH85" t="s">
        <v>1304</v>
      </c>
      <c r="OI85">
        <f>_xlfn.XLOOKUP(OH85,'KPI Impacts'!$B$2:$H$2,'KPI Impacts'!$B85:$H85)</f>
        <v>0</v>
      </c>
      <c r="OJ85" s="9" t="s">
        <v>1304</v>
      </c>
      <c r="OK85">
        <f>_xlfn.XLOOKUP(OJ85,'KPI Impacts'!$B$2:$H$2,'KPI Impacts'!$B85:$H85)</f>
        <v>0</v>
      </c>
    </row>
    <row r="86" spans="1:401" x14ac:dyDescent="0.2">
      <c r="A86" s="9" t="s">
        <v>1316</v>
      </c>
      <c r="B86" s="12">
        <f t="shared" si="517"/>
        <v>0</v>
      </c>
      <c r="C86" s="12">
        <f t="shared" si="517"/>
        <v>0</v>
      </c>
      <c r="D86" s="12">
        <f t="shared" si="517"/>
        <v>0</v>
      </c>
      <c r="E86" s="12">
        <f t="shared" si="517"/>
        <v>0</v>
      </c>
      <c r="F86" s="12">
        <f t="shared" si="517"/>
        <v>0</v>
      </c>
      <c r="G86" s="12">
        <f t="shared" si="517"/>
        <v>0</v>
      </c>
      <c r="H86" s="12">
        <f t="shared" si="517"/>
        <v>0</v>
      </c>
      <c r="I86" s="12">
        <f t="shared" si="517"/>
        <v>0</v>
      </c>
      <c r="J86" s="12">
        <f t="shared" si="517"/>
        <v>0</v>
      </c>
      <c r="O86" s="17"/>
      <c r="P86" s="12" cm="1">
        <f t="array" ref="P86">_xlfn.SWITCH(P$4, 0,0, 1, AA86,2,AC86,3,AE86,0)</f>
        <v>0</v>
      </c>
      <c r="Q86" s="12" cm="1">
        <f t="array" ref="Q86">_xlfn.SWITCH(Q$4, 0,0, 1, AA86,2,AC86,3,AE86,0)+P86</f>
        <v>0</v>
      </c>
      <c r="R86" s="12" cm="1">
        <f t="array" ref="R86">_xlfn.SWITCH(R$4, 0,0, 1, AA86,2,AC86,3,AE86,0)+Q86</f>
        <v>0</v>
      </c>
      <c r="S86" s="12" cm="1">
        <f t="array" ref="S86">_xlfn.SWITCH(S$4, 0,0, 1, AA86,2,AC86,3,AE86,0)+R86</f>
        <v>0</v>
      </c>
      <c r="T86" s="12" cm="1">
        <f t="array" ref="T86">_xlfn.SWITCH(T$4, 0,0, 1, AA86,2,AC86,3,AE86,0)+S86</f>
        <v>0</v>
      </c>
      <c r="U86" s="12" cm="1">
        <f t="array" ref="U86">_xlfn.SWITCH(U$4, 0,0, 1, AA86,2,AC86,3,AE86,0)+T86</f>
        <v>0</v>
      </c>
      <c r="V86" s="12" cm="1">
        <f t="array" ref="V86">_xlfn.SWITCH(V$4, 0,0, 1, AA86,2,AC86,3,AE86,0)+U86</f>
        <v>0</v>
      </c>
      <c r="W86" s="12" cm="1">
        <f t="array" ref="W86">_xlfn.SWITCH(W$4, 0,0, 1, AA86,2,AC86,3,AE86,0)+V86</f>
        <v>0</v>
      </c>
      <c r="X86" s="12" cm="1">
        <f t="array" ref="X86">_xlfn.SWITCH(X$4, 0,0, 1, AA86,2,AC86,3,AE86,0)+W86</f>
        <v>0</v>
      </c>
      <c r="Z86" t="s">
        <v>1304</v>
      </c>
      <c r="AA86">
        <f>_xlfn.XLOOKUP(Z86,'KPI Impacts'!$K$2:$Q$2,'KPI Impacts'!$K86:$Q86)</f>
        <v>0</v>
      </c>
      <c r="AB86" t="s">
        <v>1304</v>
      </c>
      <c r="AC86">
        <f>_xlfn.XLOOKUP(AB86,'KPI Impacts'!$K$2:$Q$2,'KPI Impacts'!$K86:$Q86)</f>
        <v>0</v>
      </c>
      <c r="AD86" t="s">
        <v>1304</v>
      </c>
      <c r="AE86">
        <f>_xlfn.XLOOKUP(AD86,'KPI Impacts'!$K$2:$Q$2,'KPI Impacts'!$K86:$Q86)</f>
        <v>0</v>
      </c>
      <c r="AG86" s="17"/>
      <c r="AH86" s="12" cm="1">
        <f t="array" ref="AH86">_xlfn.SWITCH(AH$4, 0,0, 1, AS86,2,AU86,3,AW86,0)</f>
        <v>0</v>
      </c>
      <c r="AI86" s="12" cm="1">
        <f t="array" ref="AI86">_xlfn.SWITCH(AI$4, 0,0, 1, AS86,2,AU86,3,AW86,0)+AH86</f>
        <v>0</v>
      </c>
      <c r="AJ86" s="12" cm="1">
        <f t="array" ref="AJ86">_xlfn.SWITCH(AJ$4, 0,0, 1, AS86,2,AU86,3,AW86,0)+AI86</f>
        <v>0</v>
      </c>
      <c r="AK86" s="12" cm="1">
        <f t="array" ref="AK86">_xlfn.SWITCH(AK$4, 0,0, 1, AS86,2,AU86,3,AW86,0)+AJ86</f>
        <v>0</v>
      </c>
      <c r="AL86" s="12" cm="1">
        <f t="array" ref="AL86">_xlfn.SWITCH(AL$4, 0,0, 1, AS86,2,AU86,3,AW86,0)+AK86</f>
        <v>0</v>
      </c>
      <c r="AM86" s="12" cm="1">
        <f t="array" ref="AM86">_xlfn.SWITCH(AM$4, 0,0, 1, AS86,2,AU86,3,AW86,0)+AL86</f>
        <v>0</v>
      </c>
      <c r="AN86" s="12" cm="1">
        <f t="array" ref="AN86">_xlfn.SWITCH(AN$4, 0,0, 1, AS86,2,AU86,3,AW86,0)+AM86</f>
        <v>0</v>
      </c>
      <c r="AO86" s="12" cm="1">
        <f t="array" ref="AO86">_xlfn.SWITCH(AO$4, 0,0, 1, AS86,2,AU86,3,AW86,0)+AN86</f>
        <v>0</v>
      </c>
      <c r="AP86" s="12" cm="1">
        <f t="array" ref="AP86">_xlfn.SWITCH(AP$4, 0,0, 1, AS86,2,AU86,3,AW86,0)+AO86</f>
        <v>0</v>
      </c>
      <c r="AR86" t="s">
        <v>1304</v>
      </c>
      <c r="AS86">
        <f>_xlfn.XLOOKUP(AR86,'KPI Impacts'!$K$2:$Q$2,'KPI Impacts'!$K86:$Q86)</f>
        <v>0</v>
      </c>
      <c r="AT86" t="s">
        <v>1304</v>
      </c>
      <c r="AU86">
        <f>_xlfn.XLOOKUP(AT86,'KPI Impacts'!$K$2:$Q$2,'KPI Impacts'!$K86:$Q86)</f>
        <v>0</v>
      </c>
      <c r="AV86" t="s">
        <v>1304</v>
      </c>
      <c r="AW86">
        <f>_xlfn.XLOOKUP(AV86,'KPI Impacts'!$K$2:$Q$2,'KPI Impacts'!$K86:$Q86)</f>
        <v>0</v>
      </c>
      <c r="AY86" s="17"/>
      <c r="AZ86" s="12">
        <f>AZ$4*BK86</f>
        <v>0</v>
      </c>
      <c r="BA86" s="12">
        <f>BA$4 * IF(AND(AZ$4=1,AZ$20=1), BM86, BK86)</f>
        <v>0</v>
      </c>
      <c r="BB86" s="12">
        <f>BB$4 * IF(AND(BA$4=1,AZ$20=1), BM86, BK86)</f>
        <v>0</v>
      </c>
      <c r="BC86" s="12">
        <f>BC$4 * IF(AND(BB$4=1,AZ$20=1), BM86, BK86)</f>
        <v>0</v>
      </c>
      <c r="BD86" s="12">
        <f>BD$4 * IF(AND(BC$4=1,AZ$20=1), BM86, BK86)</f>
        <v>0</v>
      </c>
      <c r="BE86" s="12">
        <f>BE$4 * IF(AND(BD$4=1,AZ$20=1), BM86, BK86)</f>
        <v>0</v>
      </c>
      <c r="BF86" s="12">
        <f>BF$4 * IF(AND(BE$4=1,AZ$20=1), BM86, BK86)</f>
        <v>0</v>
      </c>
      <c r="BG86" s="12">
        <f>BG$4 * IF(AND(BF$4=1,AZ$20=1), BM86, BK86)</f>
        <v>0</v>
      </c>
      <c r="BH86" s="12">
        <f>BH$4 * IF(AND(BG$4=1,AZ$20=1), BM86, BK86)</f>
        <v>0</v>
      </c>
      <c r="BJ86" s="16" t="s">
        <v>1304</v>
      </c>
      <c r="BK86">
        <f>_xlfn.XLOOKUP(BJ86,'KPI Impacts'!$B$2:$H$2,'KPI Impacts'!$B86:$H86)</f>
        <v>0</v>
      </c>
      <c r="BL86" s="35" t="s">
        <v>1304</v>
      </c>
      <c r="BM86">
        <f>_xlfn.XLOOKUP(BL86,'KPI Impacts'!$B$2:$H$2,'KPI Impacts'!$B86:$H86)</f>
        <v>0</v>
      </c>
      <c r="BO86" s="17"/>
      <c r="BP86" s="12">
        <f>BP$4*CA86</f>
        <v>0</v>
      </c>
      <c r="BQ86" s="12">
        <f>BQ$4 * IF(AND(BP$4=1,BP$20=1), CC86, CA86)</f>
        <v>0</v>
      </c>
      <c r="BR86" s="12">
        <f>BR$4 * IF(AND(BQ$4=1,BP$20=1), CC86, CA86)</f>
        <v>0</v>
      </c>
      <c r="BS86" s="12">
        <f>BS$4 * IF(AND(BR$4=1,BP$20=1), CC86, CA86)</f>
        <v>0</v>
      </c>
      <c r="BT86" s="12">
        <f>BT$4 * IF(AND(BS$4=1,BP$20=1), CC86, CA86)</f>
        <v>0</v>
      </c>
      <c r="BU86" s="12">
        <f>BU$4 * IF(AND(BT$4=1,BP$20=1), CC86, CA86)</f>
        <v>0</v>
      </c>
      <c r="BV86" s="12">
        <f>BV$4 * IF(AND(BU$4=1,BP$20=1), CC86, CA86)</f>
        <v>0</v>
      </c>
      <c r="BW86" s="12">
        <f>BW$4 * IF(AND(BV$4=1,BP$20=1), CC86, CA86)</f>
        <v>0</v>
      </c>
      <c r="BX86" s="12">
        <f>BX$4 * IF(AND(BW$4=1,BP$20=1), CC86, CA86)</f>
        <v>0</v>
      </c>
      <c r="BZ86" s="16" t="s">
        <v>1304</v>
      </c>
      <c r="CA86">
        <f>_xlfn.XLOOKUP(BZ86,'KPI Impacts'!$B$2:$H$2,'KPI Impacts'!$B86:$H86)</f>
        <v>0</v>
      </c>
      <c r="CB86" s="35" t="s">
        <v>1304</v>
      </c>
      <c r="CC86">
        <f>_xlfn.XLOOKUP(CB86,'KPI Impacts'!$B$2:$H$2,'KPI Impacts'!$B86:$H86)</f>
        <v>0</v>
      </c>
      <c r="CE86" s="17"/>
      <c r="CF86" s="12">
        <f>CF$4*CQ86</f>
        <v>0</v>
      </c>
      <c r="CG86" s="12">
        <f>CG$4 * IF(AND(CF$4=1,CF$20=1), CS86, CQ86)</f>
        <v>0</v>
      </c>
      <c r="CH86" s="12">
        <f>CH$4 * IF(AND(CG$4=1,CF$20=1), CS86, CQ86)</f>
        <v>0</v>
      </c>
      <c r="CI86" s="12">
        <f>CI$4 * IF(AND(CH$4=1,CF$20=1), CS86, CQ86)</f>
        <v>0</v>
      </c>
      <c r="CJ86" s="12">
        <f>CJ$4 * IF(AND(CI$4=1,CF$20=1), CS86, CQ86)</f>
        <v>0</v>
      </c>
      <c r="CK86" s="12">
        <f>CK$4 * IF(AND(CJ$4=1,CF$20=1), CS86, CQ86)</f>
        <v>0</v>
      </c>
      <c r="CL86" s="12">
        <f>CL$4 * IF(AND(CK$4=1,CF$20=1), CS86, CQ86)</f>
        <v>0</v>
      </c>
      <c r="CM86" s="12">
        <f>CM$4 * IF(AND(CL$4=1,CF$20=1), CS86, CQ86)</f>
        <v>0</v>
      </c>
      <c r="CN86" s="12">
        <f>CN$4 * IF(AND(CM$4=1,CF$20=1), CS86, CQ86)</f>
        <v>0</v>
      </c>
      <c r="CP86" s="16" t="s">
        <v>1304</v>
      </c>
      <c r="CQ86">
        <f>_xlfn.XLOOKUP(CP86,'KPI Impacts'!$B$2:$H$2,'KPI Impacts'!$B86:$H86)</f>
        <v>0</v>
      </c>
      <c r="CR86" s="35" t="s">
        <v>1304</v>
      </c>
      <c r="CS86">
        <f>_xlfn.XLOOKUP(CR86,'KPI Impacts'!$B$2:$H$2,'KPI Impacts'!$B86:$H86)</f>
        <v>0</v>
      </c>
      <c r="CU86" s="17"/>
      <c r="CV86" s="12">
        <f>CV$4*DG86</f>
        <v>0</v>
      </c>
      <c r="CW86" s="12">
        <f>CW$4 * IF(AND(CV$4=1,CV$20=1), DI86, DG86)</f>
        <v>0</v>
      </c>
      <c r="CX86" s="12">
        <f>CX$4 * IF(AND(CW$4=1,CV$20=1), DI86, DG86)</f>
        <v>0</v>
      </c>
      <c r="CY86" s="12">
        <f>CY$4 * IF(AND(CX$4=1,CV$20=1), DI86, DG86)</f>
        <v>0</v>
      </c>
      <c r="CZ86" s="12">
        <f>CZ$4 * IF(AND(CY$4=1,CV$20=1), DI86, DG86)</f>
        <v>0</v>
      </c>
      <c r="DA86" s="12">
        <f>DA$4 * IF(AND(CZ$4=1,CV$20=1), DI86, DG86)</f>
        <v>0</v>
      </c>
      <c r="DB86" s="12">
        <f>DB$4 * IF(AND(DA$4=1,CV$20=1), DI86, DG86)</f>
        <v>0</v>
      </c>
      <c r="DC86" s="12">
        <f>DC$4 * IF(AND(DB$4=1,CV$20=1), DI86, DG86)</f>
        <v>0</v>
      </c>
      <c r="DD86" s="12">
        <f>DD$4 * IF(AND(DC$4=1,CV$20=1), DI86, DG86)</f>
        <v>0</v>
      </c>
      <c r="DF86" s="16" t="s">
        <v>1304</v>
      </c>
      <c r="DG86">
        <f>_xlfn.XLOOKUP(DF86,'KPI Impacts'!$B$2:$H$2,'KPI Impacts'!$B86:$H86)</f>
        <v>0</v>
      </c>
      <c r="DH86" s="35" t="s">
        <v>1304</v>
      </c>
      <c r="DI86">
        <f>_xlfn.XLOOKUP(DH86,'KPI Impacts'!$B$2:$H$2,'KPI Impacts'!$B86:$H86)</f>
        <v>0</v>
      </c>
      <c r="DK86" s="17"/>
      <c r="DL86" s="12">
        <f>DL$4*DW86</f>
        <v>0</v>
      </c>
      <c r="DM86" s="12">
        <f>DM$4 * IF(AND(DL$4=1,DL$20=1), DY86, DW86)</f>
        <v>0</v>
      </c>
      <c r="DN86" s="12">
        <f>DN$4 * IF(AND(DM$4=1,DL$20=1), DY86, DW86)</f>
        <v>0</v>
      </c>
      <c r="DO86" s="12">
        <f>DO$4 * IF(AND(DN$4=1,DL$20=1), DY86, DW86)</f>
        <v>0</v>
      </c>
      <c r="DP86" s="12">
        <f>DP$4 * IF(AND(DO$4=1,DL$20=1), DY86, DW86)</f>
        <v>0</v>
      </c>
      <c r="DQ86" s="12">
        <f>DQ$4 * IF(AND(DP$4=1,DL$20=1), DY86, DW86)</f>
        <v>0</v>
      </c>
      <c r="DR86" s="12">
        <f>DR$4 * IF(AND(DQ$4=1,DL$20=1), DY86, DW86)</f>
        <v>0</v>
      </c>
      <c r="DS86" s="12">
        <f>DS$4 * IF(AND(DR$4=1,DL$20=1), DY86, DW86)</f>
        <v>0</v>
      </c>
      <c r="DT86" s="12">
        <f>DT$4 * IF(AND(DS$4=1,DL$20=1), DY86, DW86)</f>
        <v>0</v>
      </c>
      <c r="DV86" s="16" t="s">
        <v>1304</v>
      </c>
      <c r="DW86">
        <f>_xlfn.XLOOKUP(DV86,'KPI Impacts'!$B$2:$H$2,'KPI Impacts'!$B86:$H86)</f>
        <v>0</v>
      </c>
      <c r="DX86" s="35" t="s">
        <v>1304</v>
      </c>
      <c r="DY86">
        <f>_xlfn.XLOOKUP(DX86,'KPI Impacts'!$B$2:$H$2,'KPI Impacts'!$B86:$H86)</f>
        <v>0</v>
      </c>
      <c r="EA86" s="17"/>
      <c r="EB86" s="12">
        <f>EB$4*EM86</f>
        <v>0</v>
      </c>
      <c r="EC86" s="12">
        <f>EC$4 * IF(AND(EB$4=1,EB$20=1), EO86, EM86)</f>
        <v>0</v>
      </c>
      <c r="ED86" s="12">
        <f>ED$4 * IF(AND(EC$4=1,EB$20=1), EO86, EM86)</f>
        <v>0</v>
      </c>
      <c r="EE86" s="12">
        <f>EE$4 * IF(AND(ED$4=1,EB$20=1), EO86, EM86)</f>
        <v>0</v>
      </c>
      <c r="EF86" s="12">
        <f>EF$4 * IF(AND(EE$4=1,EB$20=1), EO86, EM86)</f>
        <v>0</v>
      </c>
      <c r="EG86" s="12">
        <f>EG$4 * IF(AND(EF$4=1,EB$20=1), EO86, EM86)</f>
        <v>0</v>
      </c>
      <c r="EH86" s="12">
        <f>EH$4 * IF(AND(EG$4=1,EB$20=1), EO86, EM86)</f>
        <v>0</v>
      </c>
      <c r="EI86" s="12">
        <f>EI$4 * IF(AND(EH$4=1,EB$20=1), EO86, EM86)</f>
        <v>0</v>
      </c>
      <c r="EJ86" s="12">
        <f>EJ$4 * IF(AND(EI$4=1,EB$20=1), EO86, EM86)</f>
        <v>0</v>
      </c>
      <c r="EL86" s="16" t="s">
        <v>1304</v>
      </c>
      <c r="EM86">
        <f>_xlfn.XLOOKUP(EL86,'KPI Impacts'!$B$2:$H$2,'KPI Impacts'!$B86:$H86)</f>
        <v>0</v>
      </c>
      <c r="EN86" s="35" t="s">
        <v>1304</v>
      </c>
      <c r="EO86">
        <f>_xlfn.XLOOKUP(EN86,'KPI Impacts'!$B$2:$H$2,'KPI Impacts'!$B86:$H86)</f>
        <v>0</v>
      </c>
      <c r="EQ86" s="17"/>
      <c r="ER86" s="12">
        <f>ER$4*FC86</f>
        <v>0</v>
      </c>
      <c r="ES86" s="12">
        <f>ES$4 * IF(AND(ER$4=1,ER$20=1), FE86, FC86)</f>
        <v>0</v>
      </c>
      <c r="ET86" s="12">
        <f>ET$4 * IF(AND(ES$4=1,ER$20=1), FE86, FC86)</f>
        <v>0</v>
      </c>
      <c r="EU86" s="12">
        <f>EU$4 * IF(AND(ET$4=1,ER$20=1), FE86, FC86)</f>
        <v>0</v>
      </c>
      <c r="EV86" s="12">
        <f>EV$4 * IF(AND(EU$4=1,ER$20=1), FE86, FC86)</f>
        <v>0</v>
      </c>
      <c r="EW86" s="12">
        <f>EW$4 * IF(AND(EV$4=1,ER$20=1), FE86, FC86)</f>
        <v>0</v>
      </c>
      <c r="EX86" s="12">
        <f>EX$4 * IF(AND(EW$4=1,ER$20=1), FE86, FC86)</f>
        <v>0</v>
      </c>
      <c r="EY86" s="12">
        <f>EY$4 * IF(AND(EX$4=1,ER$20=1), FE86, FC86)</f>
        <v>0</v>
      </c>
      <c r="EZ86" s="12">
        <f>EZ$4 * IF(AND(EY$4=1,ER$20=1), FE86, FC86)</f>
        <v>0</v>
      </c>
      <c r="FB86" s="16" t="s">
        <v>1304</v>
      </c>
      <c r="FC86">
        <f>_xlfn.XLOOKUP(FB86,'KPI Impacts'!$B$2:$H$2,'KPI Impacts'!$B86:$H86)</f>
        <v>0</v>
      </c>
      <c r="FD86" s="35" t="s">
        <v>1304</v>
      </c>
      <c r="FE86">
        <f>_xlfn.XLOOKUP(FD86,'KPI Impacts'!$B$2:$H$2,'KPI Impacts'!$B86:$H86)</f>
        <v>0</v>
      </c>
      <c r="FG86" s="17"/>
      <c r="FH86" s="12">
        <f>FH$4*FS86</f>
        <v>0</v>
      </c>
      <c r="FI86" s="12">
        <f>FI$4 * IF(AND(FH$4=1,FH$20=1), FU86, FS86)</f>
        <v>0</v>
      </c>
      <c r="FJ86" s="12">
        <f>FJ$4 * IF(AND(FI$4=1,FH$20=1), FU86, FS86)</f>
        <v>0</v>
      </c>
      <c r="FK86" s="12">
        <f>FK$4 * IF(AND(FJ$4=1,FH$20=1), FU86, FS86)</f>
        <v>0</v>
      </c>
      <c r="FL86" s="12">
        <f>FL$4 * IF(AND(FK$4=1,FH$20=1), FU86, FS86)</f>
        <v>0</v>
      </c>
      <c r="FM86" s="12">
        <f>FM$4 * IF(AND(FL$4=1,FH$20=1), FU86, FS86)</f>
        <v>0</v>
      </c>
      <c r="FN86" s="12">
        <f>FN$4 * IF(AND(FM$4=1,FH$20=1), FU86, FS86)</f>
        <v>0</v>
      </c>
      <c r="FO86" s="12">
        <f>FO$4 * IF(AND(FN$4=1,FH$20=1), FU86, FS86)</f>
        <v>0</v>
      </c>
      <c r="FP86" s="12">
        <f>FP$4 * IF(AND(FO$4=1,FH$20=1), FU86, FS86)</f>
        <v>0</v>
      </c>
      <c r="FR86" s="16" t="s">
        <v>1304</v>
      </c>
      <c r="FS86">
        <f>_xlfn.XLOOKUP(FR86,'KPI Impacts'!$B$2:$H$2,'KPI Impacts'!$B86:$H86)</f>
        <v>0</v>
      </c>
      <c r="FT86" s="9" t="s">
        <v>1304</v>
      </c>
      <c r="FU86">
        <f>_xlfn.XLOOKUP(FT86,'KPI Impacts'!$B$2:$H$2,'KPI Impacts'!$B86:$H86)</f>
        <v>0</v>
      </c>
      <c r="FW86" s="17"/>
      <c r="FX86" s="12">
        <f>FX$4*GI86</f>
        <v>0</v>
      </c>
      <c r="FY86" s="12">
        <f>FY$4 * IF(AND(FX$4=1,FX$20=1), GK86, GI86)</f>
        <v>0</v>
      </c>
      <c r="FZ86" s="12">
        <f>FZ$4 * IF(AND(FY$4=1,FX$20=1), GK86, GI86)</f>
        <v>0</v>
      </c>
      <c r="GA86" s="12">
        <f>GA$4 * IF(AND(FZ$4=1,FX$20=1), GK86, GI86)</f>
        <v>0</v>
      </c>
      <c r="GB86" s="12">
        <f>GB$4 * IF(AND(GA$4=1,FX$20=1), GK86, GI86)</f>
        <v>0</v>
      </c>
      <c r="GC86" s="12">
        <f>GC$4 * IF(AND(GB$4=1,FX$20=1), GK86, GI86)</f>
        <v>0</v>
      </c>
      <c r="GD86" s="12">
        <f>GD$4 * IF(AND(GC$4=1,FX$20=1), GK86, GI86)</f>
        <v>0</v>
      </c>
      <c r="GE86" s="12">
        <f>GE$4 * IF(AND(GD$4=1,FX$20=1), GK86, GI86)</f>
        <v>0</v>
      </c>
      <c r="GF86" s="12">
        <f>GF$4 * IF(AND(GE$4=1,FX$20=1), GK86, GI86)</f>
        <v>0</v>
      </c>
      <c r="GH86" s="16" t="s">
        <v>1304</v>
      </c>
      <c r="GI86">
        <f>_xlfn.XLOOKUP(GH86,'KPI Impacts'!$B$2:$H$2,'KPI Impacts'!$B86:$H86)</f>
        <v>0</v>
      </c>
      <c r="GJ86" s="9" t="s">
        <v>1304</v>
      </c>
      <c r="GK86">
        <f>_xlfn.XLOOKUP(GJ86,'KPI Impacts'!$B$2:$H$2,'KPI Impacts'!$B86:$H86)</f>
        <v>0</v>
      </c>
      <c r="GN86" s="12">
        <f>GN$4*GY86</f>
        <v>0</v>
      </c>
      <c r="GO86" s="12">
        <f>GO$4 * IF(AND(GN$4=1,GN$20=1), HA86, GY86)</f>
        <v>0</v>
      </c>
      <c r="GP86" s="12">
        <f>GP$4 * IF(AND(GO$4=1,GN$20=1), HA86, GY86)</f>
        <v>0</v>
      </c>
      <c r="GQ86" s="12">
        <f>GQ$4 * IF(AND(GP$4=1,GN$20=1), HA86, GY86)</f>
        <v>0</v>
      </c>
      <c r="GR86" s="12">
        <f>GR$4 * IF(AND(GQ$4=1,GN$20=1), HA86, GY86)</f>
        <v>0</v>
      </c>
      <c r="GS86" s="12">
        <f>GS$4 * IF(AND(GR$4=1,GN$20=1), HA86, GY86)</f>
        <v>0</v>
      </c>
      <c r="GT86" s="12">
        <f>GT$4 * IF(AND(GS$4=1,GN$20=1), HA86, GY86)</f>
        <v>0</v>
      </c>
      <c r="GU86" s="12">
        <f>GU$4 * IF(AND(GT$4=1,GN$20=1), HA86, GY86)</f>
        <v>0</v>
      </c>
      <c r="GV86" s="12">
        <f>GV$4 * IF(AND(GU$4=1,GN$20=1), HA86, GY86)</f>
        <v>0</v>
      </c>
      <c r="GX86" s="16" t="s">
        <v>1304</v>
      </c>
      <c r="GY86">
        <f>_xlfn.XLOOKUP(GX86,'KPI Impacts'!$B$2:$H$2,'KPI Impacts'!$B86:$H86)</f>
        <v>0</v>
      </c>
      <c r="GZ86" s="9" t="s">
        <v>1304</v>
      </c>
      <c r="HA86">
        <f>_xlfn.XLOOKUP(GZ86,'KPI Impacts'!$B$2:$H$2,'KPI Impacts'!$B86:$H86)</f>
        <v>0</v>
      </c>
      <c r="HD86" s="12">
        <f>HD$4*HO86</f>
        <v>0</v>
      </c>
      <c r="HE86" s="12">
        <f>HE$4 * IF(AND(HD$4=1,HD$20=1), HQ86, HO86)</f>
        <v>0</v>
      </c>
      <c r="HF86" s="12">
        <f>HF$4 * IF(AND(HE$4=1,HD$20=1), HQ86, HO86)</f>
        <v>0</v>
      </c>
      <c r="HG86" s="12">
        <f>HG$4 * IF(AND(HF$4=1,HD$20=1), HQ86, HO86)</f>
        <v>0</v>
      </c>
      <c r="HH86" s="12">
        <f>HH$4 * IF(AND(HG$4=1,HD$20=1), HQ86, HO86)</f>
        <v>0</v>
      </c>
      <c r="HI86" s="12">
        <f>HI$4 * IF(AND(HH$4=1,HD$20=1), HQ86, HO86)</f>
        <v>0</v>
      </c>
      <c r="HJ86" s="12">
        <f>HJ$4 * IF(AND(HI$4=1,HD$20=1), HQ86, HO86)</f>
        <v>0</v>
      </c>
      <c r="HK86" s="12">
        <f>HK$4 * IF(AND(HJ$4=1,HD$20=1), HQ86, HO86)</f>
        <v>0</v>
      </c>
      <c r="HL86" s="12">
        <f>HL$4 * IF(AND(HK$4=1,HD$20=1), HQ86, HO86)</f>
        <v>0</v>
      </c>
      <c r="HN86" t="s">
        <v>1304</v>
      </c>
      <c r="HO86">
        <f>_xlfn.XLOOKUP(HN86,'KPI Impacts'!$B$2:$H$2,'KPI Impacts'!$B86:$H86)</f>
        <v>0</v>
      </c>
      <c r="HP86" s="9" t="s">
        <v>1304</v>
      </c>
      <c r="HQ86">
        <f>_xlfn.XLOOKUP(HP86,'KPI Impacts'!$B$2:$H$2,'KPI Impacts'!$B86:$H86)</f>
        <v>0</v>
      </c>
      <c r="HT86" s="12">
        <f>HT$4*IE86</f>
        <v>0</v>
      </c>
      <c r="HU86" s="12">
        <f>HU$4 * IF(AND(HT$4=1,HT$20=1), IG86, IE86)</f>
        <v>0</v>
      </c>
      <c r="HV86" s="12">
        <f>HV$4 * IF(AND(HU$4=1,HT$20=1), IG86, IE86)</f>
        <v>0</v>
      </c>
      <c r="HW86" s="12">
        <f>HW$4 * IF(AND(HV$4=1,HT$20=1), IG86, IE86)</f>
        <v>0</v>
      </c>
      <c r="HX86" s="12">
        <f>HX$4 * IF(AND(HW$4=1,HT$20=1), IG86, IE86)</f>
        <v>0</v>
      </c>
      <c r="HY86" s="12">
        <f>HY$4 * IF(AND(HX$4=1,HT$20=1), IG86, IE86)</f>
        <v>0</v>
      </c>
      <c r="HZ86" s="12">
        <f>HZ$4 * IF(AND(HY$4=1,HT$20=1), IG86, IE86)</f>
        <v>0</v>
      </c>
      <c r="IA86" s="12">
        <f>IA$4 * IF(AND(HZ$4=1,HT$20=1), IG86, IE86)</f>
        <v>0</v>
      </c>
      <c r="IB86" s="12">
        <f>IB$4 * IF(AND(IA$4=1,HT$20=1), IG86, IE86)</f>
        <v>0</v>
      </c>
      <c r="ID86" t="s">
        <v>1304</v>
      </c>
      <c r="IE86">
        <f>_xlfn.XLOOKUP(ID86,'KPI Impacts'!$B$2:$H$2,'KPI Impacts'!$B86:$H86)</f>
        <v>0</v>
      </c>
      <c r="IF86" s="9" t="s">
        <v>1304</v>
      </c>
      <c r="IG86">
        <f>_xlfn.XLOOKUP(IF86,'KPI Impacts'!$B$2:$H$2,'KPI Impacts'!$B86:$H86)</f>
        <v>0</v>
      </c>
      <c r="IJ86" s="12">
        <f>IJ$4*IU86</f>
        <v>0</v>
      </c>
      <c r="IK86" s="12">
        <f>IK$4 * IF(AND(IJ$4=1,IJ$20=1), IW86, IU86)</f>
        <v>0</v>
      </c>
      <c r="IL86" s="12">
        <f>IL$4 * IF(AND(IK$4=1,IJ$20=1), IW86, IU86)</f>
        <v>0</v>
      </c>
      <c r="IM86" s="12">
        <f>IM$4 * IF(AND(IL$4=1,IJ$20=1), IW86, IU86)</f>
        <v>0</v>
      </c>
      <c r="IN86" s="12">
        <f>IN$4 * IF(AND(IM$4=1,IJ$20=1), IW86, IU86)</f>
        <v>0</v>
      </c>
      <c r="IO86" s="12">
        <f>IO$4 * IF(AND(IN$4=1,IJ$20=1), IW86, IU86)</f>
        <v>0</v>
      </c>
      <c r="IP86" s="12">
        <f>IP$4 * IF(AND(IO$4=1,IJ$20=1), IW86, IU86)</f>
        <v>0</v>
      </c>
      <c r="IQ86" s="12">
        <f>IQ$4 * IF(AND(IP$4=1,IJ$20=1), IW86, IU86)</f>
        <v>0</v>
      </c>
      <c r="IR86" s="12">
        <f>IR$4 * IF(AND(IQ$4=1,IJ$20=1), IW86, IU86)</f>
        <v>0</v>
      </c>
      <c r="IT86" t="s">
        <v>1304</v>
      </c>
      <c r="IU86">
        <f>_xlfn.XLOOKUP(IT86,'KPI Impacts'!$B$2:$H$2,'KPI Impacts'!$B86:$H86)</f>
        <v>0</v>
      </c>
      <c r="IV86" s="9" t="s">
        <v>1304</v>
      </c>
      <c r="IW86">
        <f>_xlfn.XLOOKUP(IV86,'KPI Impacts'!$B$2:$H$2,'KPI Impacts'!$B86:$H86)</f>
        <v>0</v>
      </c>
      <c r="IZ86" s="12">
        <f>IZ$4*JK86</f>
        <v>0</v>
      </c>
      <c r="JA86" s="12">
        <f>JA$4 * IF(AND(IZ$4=1,IZ$20=1), JM86, JK86)</f>
        <v>0</v>
      </c>
      <c r="JB86" s="12">
        <f>JB$4 * IF(AND(JA$4=1,IZ$20=1), JM86, JK86)</f>
        <v>0</v>
      </c>
      <c r="JC86" s="12">
        <f>JC$4 * IF(AND(JB$4=1,IZ$20=1), JM86, JK86)</f>
        <v>0</v>
      </c>
      <c r="JD86" s="12">
        <f>JD$4 * IF(AND(JC$4=1,IZ$20=1), JM86, JK86)</f>
        <v>0</v>
      </c>
      <c r="JE86" s="12">
        <f>JE$4 * IF(AND(JD$4=1,IZ$20=1), JM86, JK86)</f>
        <v>0</v>
      </c>
      <c r="JF86" s="12">
        <f>JF$4 * IF(AND(JE$4=1,IZ$20=1), JM86, JK86)</f>
        <v>0</v>
      </c>
      <c r="JG86" s="12">
        <f>JG$4 * IF(AND(JF$4=1,IZ$20=1), JM86, JK86)</f>
        <v>0</v>
      </c>
      <c r="JH86" s="12">
        <f>JH$4 * IF(AND(JG$4=1,IZ$20=1), JM86, JK86)</f>
        <v>0</v>
      </c>
      <c r="JJ86" t="s">
        <v>1304</v>
      </c>
      <c r="JK86">
        <f>_xlfn.XLOOKUP(JJ86,'KPI Impacts'!$B$2:$H$2,'KPI Impacts'!$B86:$H86)</f>
        <v>0</v>
      </c>
      <c r="JL86" s="9" t="s">
        <v>1304</v>
      </c>
      <c r="JM86">
        <f>_xlfn.XLOOKUP(JL86,'KPI Impacts'!$B$2:$H$2,'KPI Impacts'!$B86:$H86)</f>
        <v>0</v>
      </c>
      <c r="JP86" s="12">
        <f>JP$4*KA86</f>
        <v>0</v>
      </c>
      <c r="JQ86" s="12">
        <f>JQ$4 * IF(AND(JP$4=1,JP$20=1), KC86, KA86)</f>
        <v>0</v>
      </c>
      <c r="JR86" s="12">
        <f>JR$4 * IF(AND(JQ$4=1,JP$20=1), KC86, KA86)</f>
        <v>0</v>
      </c>
      <c r="JS86" s="12">
        <f>JS$4 * IF(AND(JR$4=1,JP$20=1), KC86, KA86)</f>
        <v>0</v>
      </c>
      <c r="JT86" s="12">
        <f>JT$4 * IF(AND(JS$4=1,JP$20=1), KC86, KA86)</f>
        <v>0</v>
      </c>
      <c r="JU86" s="12">
        <f>JU$4 * IF(AND(JT$4=1,JP$20=1), KC86, KA86)</f>
        <v>0</v>
      </c>
      <c r="JV86" s="12">
        <f>JV$4 * IF(AND(JU$4=1,JP$20=1), KC86, KA86)</f>
        <v>0</v>
      </c>
      <c r="JW86" s="12">
        <f>JW$4 * IF(AND(JV$4=1,JP$20=1), KC86, KA86)</f>
        <v>0</v>
      </c>
      <c r="JX86" s="12">
        <f>JX$4 * IF(AND(JW$4=1,JP$20=1), KC86, KA86)</f>
        <v>0</v>
      </c>
      <c r="JZ86" t="s">
        <v>1304</v>
      </c>
      <c r="KA86">
        <f>_xlfn.XLOOKUP(JZ86,'KPI Impacts'!$B$2:$H$2,'KPI Impacts'!$B86:$H86)</f>
        <v>0</v>
      </c>
      <c r="KB86" s="9" t="s">
        <v>1304</v>
      </c>
      <c r="KC86">
        <f>_xlfn.XLOOKUP(KB86,'KPI Impacts'!$B$2:$H$2,'KPI Impacts'!$B86:$H86)</f>
        <v>0</v>
      </c>
      <c r="KF86" s="12">
        <f>KF$4*KQ86</f>
        <v>0</v>
      </c>
      <c r="KG86" s="12">
        <f>KG$4 * IF(AND(KF$4=1,KF$20=1), KS86, KQ86)</f>
        <v>0</v>
      </c>
      <c r="KH86" s="12">
        <f>KH$4 * IF(AND(KG$4=1,KF$20=1), KS86, KQ86)</f>
        <v>0</v>
      </c>
      <c r="KI86" s="12">
        <f>KI$4 * IF(AND(KH$4=1,KF$20=1), KS86, KQ86)</f>
        <v>0</v>
      </c>
      <c r="KJ86" s="12">
        <f>KJ$4 * IF(AND(KI$4=1,KF$20=1), KS86, KQ86)</f>
        <v>0</v>
      </c>
      <c r="KK86" s="12">
        <f>KK$4 * IF(AND(KJ$4=1,KF$20=1), KS86, KQ86)</f>
        <v>0</v>
      </c>
      <c r="KL86" s="12">
        <f>KL$4 * IF(AND(KK$4=1,KF$20=1), KS86, KQ86)</f>
        <v>0</v>
      </c>
      <c r="KM86" s="12">
        <f>KM$4 * IF(AND(KL$4=1,KF$20=1), KS86, KQ86)</f>
        <v>0</v>
      </c>
      <c r="KN86" s="12">
        <f>KN$4 * IF(AND(KM$4=1,KF$20=1), KS86, KQ86)</f>
        <v>0</v>
      </c>
      <c r="KP86" t="s">
        <v>1304</v>
      </c>
      <c r="KQ86">
        <f>_xlfn.XLOOKUP(KP86,'KPI Impacts'!$B$2:$H$2,'KPI Impacts'!$B86:$H86)</f>
        <v>0</v>
      </c>
      <c r="KR86" s="9" t="s">
        <v>1304</v>
      </c>
      <c r="KS86">
        <f>_xlfn.XLOOKUP(KR86,'KPI Impacts'!$B$2:$H$2,'KPI Impacts'!$B86:$H86)</f>
        <v>0</v>
      </c>
      <c r="KV86" s="12">
        <f>KV$4*LG86</f>
        <v>0</v>
      </c>
      <c r="KW86" s="12">
        <f>KW$4 * IF(AND(KV$4=1,KV$20=1), LI86, LG86)</f>
        <v>0</v>
      </c>
      <c r="KX86" s="12">
        <f>KX$4 * IF(AND(KW$4=1,KV$20=1), LI86, LG86)</f>
        <v>0</v>
      </c>
      <c r="KY86" s="12">
        <f>KY$4 * IF(AND(KX$4=1,KV$20=1), LI86, LG86)</f>
        <v>0</v>
      </c>
      <c r="KZ86" s="12">
        <f>KZ$4 * IF(AND(KY$4=1,KV$20=1), LI86, LG86)</f>
        <v>0</v>
      </c>
      <c r="LA86" s="12">
        <f>LA$4 * IF(AND(KZ$4=1,KV$20=1), LI86, LG86)</f>
        <v>0</v>
      </c>
      <c r="LB86" s="12">
        <f>LB$4 * IF(AND(LA$4=1,KV$20=1), LI86, LG86)</f>
        <v>0</v>
      </c>
      <c r="LC86" s="12">
        <f>LC$4 * IF(AND(LB$4=1,KV$20=1), LI86, LG86)</f>
        <v>0</v>
      </c>
      <c r="LD86" s="12">
        <f>LD$4 * IF(AND(LC$4=1,KV$20=1), LI86, LG86)</f>
        <v>0</v>
      </c>
      <c r="LF86" t="s">
        <v>1304</v>
      </c>
      <c r="LG86">
        <f>_xlfn.XLOOKUP(LF86,'KPI Impacts'!$B$2:$H$2,'KPI Impacts'!$B86:$H86)</f>
        <v>0</v>
      </c>
      <c r="LH86" s="9" t="s">
        <v>1304</v>
      </c>
      <c r="LI86">
        <f>_xlfn.XLOOKUP(LH86,'KPI Impacts'!$B$2:$H$2,'KPI Impacts'!$B86:$H86)</f>
        <v>0</v>
      </c>
      <c r="LL86" s="12">
        <f>LL$4*LW86</f>
        <v>0</v>
      </c>
      <c r="LM86" s="12">
        <f>LM$4 * IF(AND(LL$4=1,LL$20=1), LY86, LW86)</f>
        <v>0</v>
      </c>
      <c r="LN86" s="12">
        <f>LN$4 * IF(AND(LM$4=1,LL$20=1), LY86, LW86)</f>
        <v>0</v>
      </c>
      <c r="LO86" s="12">
        <f>LO$4 * IF(AND(LN$4=1,LL$20=1), LY86, LW86)</f>
        <v>0</v>
      </c>
      <c r="LP86" s="12">
        <f>LP$4 * IF(AND(LO$4=1,LL$20=1), LY86, LW86)</f>
        <v>0</v>
      </c>
      <c r="LQ86" s="12">
        <f>LQ$4 * IF(AND(LP$4=1,LL$20=1), LY86, LW86)</f>
        <v>0</v>
      </c>
      <c r="LR86" s="12">
        <f>LR$4 * IF(AND(LQ$4=1,LL$20=1), LY86, LW86)</f>
        <v>0</v>
      </c>
      <c r="LS86" s="12">
        <f>LS$4 * IF(AND(LR$4=1,LL$20=1), LY86, LW86)</f>
        <v>0</v>
      </c>
      <c r="LT86" s="12">
        <f>LT$4 * IF(AND(LS$4=1,LL$20=1), LY86, LW86)</f>
        <v>0</v>
      </c>
      <c r="LV86" t="s">
        <v>1304</v>
      </c>
      <c r="LW86">
        <f>_xlfn.XLOOKUP(LV86,'KPI Impacts'!$B$2:$H$2,'KPI Impacts'!$B86:$H86)</f>
        <v>0</v>
      </c>
      <c r="LX86" s="9" t="s">
        <v>1304</v>
      </c>
      <c r="LY86">
        <f>_xlfn.XLOOKUP(LX86,'KPI Impacts'!$B$2:$H$2,'KPI Impacts'!$B86:$H86)</f>
        <v>0</v>
      </c>
      <c r="MB86" s="12">
        <f>MB$4*MM86</f>
        <v>0</v>
      </c>
      <c r="MC86" s="12">
        <f>MC$4 * IF(AND(MB$4=1,MB$20=1), MO86, MM86)</f>
        <v>0</v>
      </c>
      <c r="MD86" s="12">
        <f>MD$4 * IF(AND(MC$4=1,MB$20=1), MO86, MM86)</f>
        <v>0</v>
      </c>
      <c r="ME86" s="12">
        <f>ME$4 * IF(AND(MD$4=1,MB$20=1), MO86, MM86)</f>
        <v>0</v>
      </c>
      <c r="MF86" s="12">
        <f>MF$4 * IF(AND(ME$4=1,MB$20=1), MO86, MM86)</f>
        <v>0</v>
      </c>
      <c r="MG86" s="12">
        <f>MG$4 * IF(AND(MF$4=1,MB$20=1), MO86, MM86)</f>
        <v>0</v>
      </c>
      <c r="MH86" s="12">
        <f>MH$4 * IF(AND(MG$4=1,MB$20=1), MO86, MM86)</f>
        <v>0</v>
      </c>
      <c r="MI86" s="12">
        <f>MI$4 * IF(AND(MH$4=1,MB$20=1), MO86, MM86)</f>
        <v>0</v>
      </c>
      <c r="MJ86" s="12">
        <f>MJ$4 * IF(AND(MI$4=1,MB$20=1), MO86, MM86)</f>
        <v>0</v>
      </c>
      <c r="ML86" t="s">
        <v>1304</v>
      </c>
      <c r="MM86">
        <f>_xlfn.XLOOKUP(ML86,'KPI Impacts'!$B$2:$H$2,'KPI Impacts'!$B86:$H86)</f>
        <v>0</v>
      </c>
      <c r="MN86" s="9" t="s">
        <v>1304</v>
      </c>
      <c r="MO86">
        <f>_xlfn.XLOOKUP(MN86,'KPI Impacts'!$B$2:$H$2,'KPI Impacts'!$B86:$H86)</f>
        <v>0</v>
      </c>
      <c r="MR86" s="12">
        <f>MR$4*NC86</f>
        <v>0</v>
      </c>
      <c r="MS86" s="12">
        <f>MS$4 * IF(AND(MR$4=1,MR$20=1), NE86, NC86)</f>
        <v>0</v>
      </c>
      <c r="MT86" s="12">
        <f>MT$4 * IF(AND(MS$4=1,MR$20=1), NE86, NC86)</f>
        <v>0</v>
      </c>
      <c r="MU86" s="12">
        <f>MU$4 * IF(AND(MT$4=1,MR$20=1), NE86, NC86)</f>
        <v>0</v>
      </c>
      <c r="MV86" s="12">
        <f>MV$4 * IF(AND(MU$4=1,MR$20=1), NE86, NC86)</f>
        <v>0</v>
      </c>
      <c r="MW86" s="12">
        <f>MW$4 * IF(AND(MV$4=1,MR$20=1), NE86, NC86)</f>
        <v>0</v>
      </c>
      <c r="MX86" s="12">
        <f>MX$4 * IF(AND(MW$4=1,MR$20=1), NE86, NC86)</f>
        <v>0</v>
      </c>
      <c r="MY86" s="12">
        <f>MY$4 * IF(AND(MX$4=1,MR$20=1), NE86, NC86)</f>
        <v>0</v>
      </c>
      <c r="MZ86" s="12">
        <f>MZ$4 * IF(AND(MY$4=1,MR$20=1), NE86, NC86)</f>
        <v>0</v>
      </c>
      <c r="NB86" t="s">
        <v>1304</v>
      </c>
      <c r="NC86">
        <f>_xlfn.XLOOKUP(NB86,'KPI Impacts'!$B$2:$H$2,'KPI Impacts'!$B86:$H86)</f>
        <v>0</v>
      </c>
      <c r="ND86" s="9" t="s">
        <v>1304</v>
      </c>
      <c r="NE86">
        <f>_xlfn.XLOOKUP(ND86,'KPI Impacts'!$B$2:$H$2,'KPI Impacts'!$B86:$H86)</f>
        <v>0</v>
      </c>
      <c r="NH86" s="12">
        <f>NH$4*NS86</f>
        <v>0</v>
      </c>
      <c r="NI86" s="12">
        <f>NI$4 * IF(AND(NH$4=1,NH$20=1), NU86, NS86)</f>
        <v>0</v>
      </c>
      <c r="NJ86" s="12">
        <f>NJ$4 * IF(AND(NI$4=1,NH$20=1), NU86, NS86)</f>
        <v>0</v>
      </c>
      <c r="NK86" s="12">
        <f>NK$4 * IF(AND(NJ$4=1,NH$20=1), NU86, NS86)</f>
        <v>0</v>
      </c>
      <c r="NL86" s="12">
        <f>NL$4 * IF(AND(NK$4=1,NH$20=1), NU86, NS86)</f>
        <v>0</v>
      </c>
      <c r="NM86" s="12">
        <f>NM$4 * IF(AND(NL$4=1,NH$20=1), NU86, NS86)</f>
        <v>0</v>
      </c>
      <c r="NN86" s="12">
        <f>NN$4 * IF(AND(NM$4=1,NH$20=1), NU86, NS86)</f>
        <v>0</v>
      </c>
      <c r="NO86" s="12">
        <f>NO$4 * IF(AND(NN$4=1,NH$20=1), NU86, NS86)</f>
        <v>0</v>
      </c>
      <c r="NP86" s="12">
        <f>NP$4 * IF(AND(NO$4=1,NH$20=1), NU86, NS86)</f>
        <v>0</v>
      </c>
      <c r="NR86" t="s">
        <v>1304</v>
      </c>
      <c r="NS86">
        <f>_xlfn.XLOOKUP(NR86,'KPI Impacts'!$B$2:$H$2,'KPI Impacts'!$B86:$H86)</f>
        <v>0</v>
      </c>
      <c r="NT86" s="9" t="s">
        <v>1304</v>
      </c>
      <c r="NU86">
        <f>_xlfn.XLOOKUP(NT86,'KPI Impacts'!$B$2:$H$2,'KPI Impacts'!$B86:$H86)</f>
        <v>0</v>
      </c>
      <c r="NX86" s="12">
        <f>NX$4*OI86</f>
        <v>0</v>
      </c>
      <c r="NY86" s="12">
        <f>NY$4 * IF(AND(NX$4=1,NX$20=1), OK86, OI86)</f>
        <v>0</v>
      </c>
      <c r="NZ86" s="12">
        <f>NZ$4 * IF(AND(NY$4=1,NX$20=1), OK86, OI86)</f>
        <v>0</v>
      </c>
      <c r="OA86" s="12">
        <f>OA$4 * IF(AND(NZ$4=1,NX$20=1), OK86, OI86)</f>
        <v>0</v>
      </c>
      <c r="OB86" s="12">
        <f>OB$4 * IF(AND(OA$4=1,NX$20=1), OK86, OI86)</f>
        <v>0</v>
      </c>
      <c r="OC86" s="12">
        <f>OC$4 * IF(AND(OB$4=1,NX$20=1), OK86, OI86)</f>
        <v>0</v>
      </c>
      <c r="OD86" s="12">
        <f>OD$4 * IF(AND(OC$4=1,NX$20=1), OK86, OI86)</f>
        <v>0</v>
      </c>
      <c r="OE86" s="12">
        <f>OE$4 * IF(AND(OD$4=1,NX$20=1), OK86, OI86)</f>
        <v>0</v>
      </c>
      <c r="OF86" s="12">
        <f>OF$4 * IF(AND(OE$4=1,NX$20=1), OK86, OI86)</f>
        <v>0</v>
      </c>
      <c r="OH86" t="s">
        <v>1304</v>
      </c>
      <c r="OI86">
        <f>_xlfn.XLOOKUP(OH86,'KPI Impacts'!$B$2:$H$2,'KPI Impacts'!$B86:$H86)</f>
        <v>0</v>
      </c>
      <c r="OJ86" s="9" t="s">
        <v>1304</v>
      </c>
      <c r="OK86">
        <f>_xlfn.XLOOKUP(OJ86,'KPI Impacts'!$B$2:$H$2,'KPI Impacts'!$B86:$H86)</f>
        <v>0</v>
      </c>
    </row>
    <row r="87" spans="1:401" x14ac:dyDescent="0.2">
      <c r="A87" s="9" t="s">
        <v>1294</v>
      </c>
      <c r="B87" s="19" t="s">
        <v>1319</v>
      </c>
      <c r="C87" s="19" t="s">
        <v>1319</v>
      </c>
      <c r="D87" s="19" t="s">
        <v>1319</v>
      </c>
      <c r="E87" s="19" t="s">
        <v>1319</v>
      </c>
      <c r="F87" s="19" t="s">
        <v>1319</v>
      </c>
      <c r="G87" s="19" t="s">
        <v>1319</v>
      </c>
      <c r="H87" s="19" t="s">
        <v>1319</v>
      </c>
      <c r="I87" s="19" t="s">
        <v>1319</v>
      </c>
      <c r="J87" s="19" t="s">
        <v>1319</v>
      </c>
      <c r="M87" s="6"/>
      <c r="N87" s="6"/>
      <c r="O87" s="9"/>
      <c r="P87" s="12"/>
      <c r="Q87" s="12"/>
      <c r="R87" s="12"/>
      <c r="S87" s="12"/>
      <c r="T87" s="12"/>
      <c r="U87" s="12"/>
      <c r="V87" s="12"/>
      <c r="W87" s="12"/>
      <c r="X87" s="12"/>
      <c r="AG87" s="9"/>
      <c r="AH87" s="12"/>
      <c r="AI87" s="12"/>
      <c r="AJ87" s="12"/>
      <c r="AK87" s="12"/>
      <c r="AL87" s="12"/>
      <c r="AM87" s="12"/>
      <c r="AN87" s="12"/>
      <c r="AO87" s="12"/>
      <c r="AP87" s="12"/>
      <c r="AY87" s="17"/>
      <c r="AZ87" s="12"/>
      <c r="BA87" s="12"/>
      <c r="BB87" s="12"/>
      <c r="BC87" s="12"/>
      <c r="BD87" s="12"/>
      <c r="BE87" s="12"/>
      <c r="BF87" s="12"/>
      <c r="BG87" s="12"/>
      <c r="BH87" s="12"/>
      <c r="BJ87" s="16"/>
      <c r="BL87" s="35"/>
      <c r="BO87" s="17"/>
      <c r="BP87" s="12"/>
      <c r="BQ87" s="12"/>
      <c r="BR87" s="12"/>
      <c r="BS87" s="12"/>
      <c r="BT87" s="12"/>
      <c r="BU87" s="12"/>
      <c r="BV87" s="12"/>
      <c r="BW87" s="12"/>
      <c r="BX87" s="12"/>
      <c r="BZ87" s="16"/>
      <c r="CB87" s="35"/>
      <c r="CE87" s="17"/>
      <c r="CF87" s="12"/>
      <c r="CG87" s="12"/>
      <c r="CH87" s="12"/>
      <c r="CI87" s="12"/>
      <c r="CJ87" s="12"/>
      <c r="CK87" s="12"/>
      <c r="CL87" s="12"/>
      <c r="CM87" s="12"/>
      <c r="CN87" s="12"/>
      <c r="CP87" s="16"/>
      <c r="CR87" s="35"/>
      <c r="CU87" s="17"/>
      <c r="CV87" s="12"/>
      <c r="CW87" s="12"/>
      <c r="CX87" s="12"/>
      <c r="CY87" s="12"/>
      <c r="CZ87" s="12"/>
      <c r="DA87" s="12"/>
      <c r="DB87" s="12"/>
      <c r="DC87" s="12"/>
      <c r="DD87" s="12"/>
      <c r="DF87" s="16"/>
      <c r="DH87" s="35"/>
      <c r="DK87" s="17"/>
      <c r="DL87" s="12"/>
      <c r="DM87" s="12"/>
      <c r="DN87" s="12"/>
      <c r="DO87" s="12"/>
      <c r="DP87" s="12"/>
      <c r="DQ87" s="12"/>
      <c r="DR87" s="12"/>
      <c r="DS87" s="12"/>
      <c r="DT87" s="12"/>
      <c r="DV87" s="16"/>
      <c r="DX87" s="35"/>
      <c r="EA87" s="17"/>
      <c r="EB87" s="12"/>
      <c r="EC87" s="12"/>
      <c r="ED87" s="12"/>
      <c r="EE87" s="12"/>
      <c r="EF87" s="12"/>
      <c r="EG87" s="12"/>
      <c r="EH87" s="12"/>
      <c r="EI87" s="12"/>
      <c r="EJ87" s="12"/>
      <c r="EL87" s="16"/>
      <c r="EN87" s="35"/>
      <c r="EQ87" s="17"/>
      <c r="ER87" s="12"/>
      <c r="ES87" s="12"/>
      <c r="ET87" s="12"/>
      <c r="EU87" s="12"/>
      <c r="EV87" s="12"/>
      <c r="EW87" s="12"/>
      <c r="EX87" s="12"/>
      <c r="EY87" s="12"/>
      <c r="EZ87" s="12"/>
      <c r="FB87" s="16"/>
      <c r="FD87" s="35"/>
      <c r="FG87" s="17"/>
      <c r="FH87" s="12"/>
      <c r="FI87" s="12"/>
      <c r="FJ87" s="12"/>
      <c r="FK87" s="12"/>
      <c r="FL87" s="12"/>
      <c r="FM87" s="12"/>
      <c r="FN87" s="12"/>
      <c r="FO87" s="12"/>
      <c r="FP87" s="12"/>
      <c r="FR87" s="16"/>
      <c r="FT87" s="9"/>
      <c r="FW87" s="17"/>
      <c r="FX87" s="12"/>
      <c r="FY87" s="12"/>
      <c r="FZ87" s="12"/>
      <c r="GA87" s="12"/>
      <c r="GB87" s="12"/>
      <c r="GC87" s="12"/>
      <c r="GD87" s="12"/>
      <c r="GE87" s="12"/>
      <c r="GF87" s="12"/>
      <c r="GH87" s="16"/>
      <c r="GJ87" s="9"/>
      <c r="GN87" s="12"/>
      <c r="GO87" s="12"/>
      <c r="GP87" s="12"/>
      <c r="GQ87" s="12"/>
      <c r="GR87" s="12"/>
      <c r="GS87" s="12"/>
      <c r="GT87" s="12"/>
      <c r="GU87" s="12"/>
      <c r="GV87" s="12"/>
      <c r="GX87" s="16"/>
      <c r="GZ87" s="9"/>
      <c r="HD87" s="12"/>
      <c r="HE87" s="12"/>
      <c r="HF87" s="12"/>
      <c r="HG87" s="12"/>
      <c r="HH87" s="12"/>
      <c r="HI87" s="12"/>
      <c r="HJ87" s="12"/>
      <c r="HK87" s="12"/>
      <c r="HL87" s="12"/>
      <c r="HP87" s="9"/>
      <c r="HT87" s="12"/>
      <c r="HU87" s="12"/>
      <c r="HV87" s="12"/>
      <c r="HW87" s="12"/>
      <c r="HX87" s="12"/>
      <c r="HY87" s="12"/>
      <c r="HZ87" s="12"/>
      <c r="IA87" s="12"/>
      <c r="IB87" s="12"/>
      <c r="IF87" s="9"/>
      <c r="IJ87" s="12"/>
      <c r="IK87" s="12"/>
      <c r="IL87" s="12"/>
      <c r="IM87" s="12"/>
      <c r="IN87" s="12"/>
      <c r="IO87" s="12"/>
      <c r="IP87" s="12"/>
      <c r="IQ87" s="12"/>
      <c r="IR87" s="12"/>
      <c r="IV87" s="9"/>
      <c r="IZ87" s="12"/>
      <c r="JA87" s="12"/>
      <c r="JB87" s="12"/>
      <c r="JC87" s="12"/>
      <c r="JD87" s="12"/>
      <c r="JE87" s="12"/>
      <c r="JF87" s="12"/>
      <c r="JG87" s="12"/>
      <c r="JH87" s="12"/>
      <c r="JL87" s="9"/>
      <c r="JP87" s="12"/>
      <c r="JQ87" s="12"/>
      <c r="JR87" s="12"/>
      <c r="JS87" s="12"/>
      <c r="JT87" s="12"/>
      <c r="JU87" s="12"/>
      <c r="JV87" s="12"/>
      <c r="JW87" s="12"/>
      <c r="JX87" s="12"/>
      <c r="KB87" s="9"/>
      <c r="KF87" s="12"/>
      <c r="KG87" s="12"/>
      <c r="KH87" s="12"/>
      <c r="KI87" s="12"/>
      <c r="KJ87" s="12"/>
      <c r="KK87" s="12"/>
      <c r="KL87" s="12"/>
      <c r="KM87" s="12"/>
      <c r="KN87" s="12"/>
      <c r="KR87" s="9"/>
      <c r="KV87" s="12"/>
      <c r="KW87" s="12"/>
      <c r="KX87" s="12"/>
      <c r="KY87" s="12"/>
      <c r="KZ87" s="12"/>
      <c r="LA87" s="12"/>
      <c r="LB87" s="12"/>
      <c r="LC87" s="12"/>
      <c r="LD87" s="12"/>
      <c r="LH87" s="9"/>
      <c r="LL87" s="12"/>
      <c r="LM87" s="12"/>
      <c r="LN87" s="12"/>
      <c r="LO87" s="12"/>
      <c r="LP87" s="12"/>
      <c r="LQ87" s="12"/>
      <c r="LR87" s="12"/>
      <c r="LS87" s="12"/>
      <c r="LT87" s="12"/>
      <c r="LX87" s="9"/>
      <c r="MB87" s="12"/>
      <c r="MC87" s="12"/>
      <c r="MD87" s="12"/>
      <c r="ME87" s="12"/>
      <c r="MF87" s="12"/>
      <c r="MG87" s="12"/>
      <c r="MH87" s="12"/>
      <c r="MI87" s="12"/>
      <c r="MJ87" s="12"/>
      <c r="MN87" s="9"/>
      <c r="MR87" s="12"/>
      <c r="MS87" s="12"/>
      <c r="MT87" s="12"/>
      <c r="MU87" s="12"/>
      <c r="MV87" s="12"/>
      <c r="MW87" s="12"/>
      <c r="MX87" s="12"/>
      <c r="MY87" s="12"/>
      <c r="MZ87" s="12"/>
      <c r="ND87" s="9"/>
      <c r="NH87" s="12"/>
      <c r="NI87" s="12"/>
      <c r="NJ87" s="12"/>
      <c r="NK87" s="12"/>
      <c r="NL87" s="12"/>
      <c r="NM87" s="12"/>
      <c r="NN87" s="12"/>
      <c r="NO87" s="12"/>
      <c r="NP87" s="12"/>
      <c r="NT87" s="9"/>
      <c r="NX87" s="12"/>
      <c r="NY87" s="12"/>
      <c r="NZ87" s="12"/>
      <c r="OA87" s="12"/>
      <c r="OB87" s="12"/>
      <c r="OC87" s="12"/>
      <c r="OD87" s="12"/>
      <c r="OE87" s="12"/>
      <c r="OF87" s="12"/>
      <c r="OJ87" s="9"/>
    </row>
    <row r="88" spans="1:401" x14ac:dyDescent="0.2">
      <c r="A88" s="9" t="s">
        <v>1291</v>
      </c>
      <c r="B88" s="12">
        <f t="shared" ref="B88:J88" si="518">P88+AH88+AZ88+BP88+CF88+CV88+DL88+EB88+ER88+FH88+FX88+GN88+HD88+HT88+IJ88+IZ88+JP88+KF88+KV88+LL88+MB88+MR88+NH88+NX88</f>
        <v>0</v>
      </c>
      <c r="C88" s="12">
        <f t="shared" si="518"/>
        <v>0</v>
      </c>
      <c r="D88" s="12">
        <f t="shared" si="518"/>
        <v>0</v>
      </c>
      <c r="E88" s="12">
        <f t="shared" si="518"/>
        <v>0</v>
      </c>
      <c r="F88" s="12">
        <f t="shared" si="518"/>
        <v>0</v>
      </c>
      <c r="G88" s="12">
        <f t="shared" si="518"/>
        <v>0</v>
      </c>
      <c r="H88" s="12">
        <f t="shared" si="518"/>
        <v>0</v>
      </c>
      <c r="I88" s="12">
        <f t="shared" si="518"/>
        <v>0</v>
      </c>
      <c r="J88" s="12">
        <f t="shared" si="518"/>
        <v>0</v>
      </c>
      <c r="M88" s="6"/>
      <c r="N88" s="6"/>
      <c r="O88" s="9"/>
      <c r="P88" s="12" cm="1">
        <f t="array" ref="P88">_xlfn.SWITCH(P$4, 0,0, 1, AA88,2,AC88,3,AE88,0)</f>
        <v>0</v>
      </c>
      <c r="Q88" s="12" cm="1">
        <f t="array" ref="Q88">_xlfn.SWITCH(Q$4, 0,0, 1, AA88,2,AC88,3,AE88,0)+P88</f>
        <v>0</v>
      </c>
      <c r="R88" s="12" cm="1">
        <f t="array" ref="R88">_xlfn.SWITCH(R$4, 0,0, 1, AA88,2,AC88,3,AE88,0)+Q88</f>
        <v>0</v>
      </c>
      <c r="S88" s="12" cm="1">
        <f t="array" ref="S88">_xlfn.SWITCH(S$4, 0,0, 1, AA88,2,AC88,3,AE88,0)+R88</f>
        <v>0</v>
      </c>
      <c r="T88" s="12" cm="1">
        <f t="array" ref="T88">_xlfn.SWITCH(T$4, 0,0, 1, AA88,2,AC88,3,AE88,0)+S88</f>
        <v>0</v>
      </c>
      <c r="U88" s="12" cm="1">
        <f t="array" ref="U88">_xlfn.SWITCH(U$4, 0,0, 1, AA88,2,AC88,3,AE88,0)+T88</f>
        <v>0</v>
      </c>
      <c r="V88" s="12" cm="1">
        <f t="array" ref="V88">_xlfn.SWITCH(V$4, 0,0, 1, AA88,2,AC88,3,AE88,0)+U88</f>
        <v>0</v>
      </c>
      <c r="W88" s="12" cm="1">
        <f t="array" ref="W88">_xlfn.SWITCH(W$4, 0,0, 1, AA88,2,AC88,3,AE88,0)+V88</f>
        <v>0</v>
      </c>
      <c r="X88" s="12" cm="1">
        <f t="array" ref="X88">_xlfn.SWITCH(X$4, 0,0, 1, AA88,2,AC88,3,AE88,0)+W88</f>
        <v>0</v>
      </c>
      <c r="Z88" t="s">
        <v>1304</v>
      </c>
      <c r="AA88">
        <f>_xlfn.XLOOKUP(Z88,'KPI Impacts'!$K$2:$Q$2,'KPI Impacts'!$K88:$Q88)</f>
        <v>0</v>
      </c>
      <c r="AB88" t="s">
        <v>1304</v>
      </c>
      <c r="AC88">
        <f>_xlfn.XLOOKUP(AB88,'KPI Impacts'!$K$2:$Q$2,'KPI Impacts'!$K88:$Q88)</f>
        <v>0</v>
      </c>
      <c r="AD88" t="s">
        <v>1304</v>
      </c>
      <c r="AE88">
        <f>_xlfn.XLOOKUP(AD88,'KPI Impacts'!$K$2:$Q$2,'KPI Impacts'!$K88:$Q88)</f>
        <v>0</v>
      </c>
      <c r="AG88" s="9"/>
      <c r="AH88" s="12" cm="1">
        <f t="array" ref="AH88">_xlfn.SWITCH(AH$4, 0,0, 1, AS88,2,AU88,3,AW88,0)</f>
        <v>0</v>
      </c>
      <c r="AI88" s="12" cm="1">
        <f t="array" ref="AI88">_xlfn.SWITCH(AI$4, 0,0, 1, AS88,2,AU88,3,AW88,0)+AH88</f>
        <v>0</v>
      </c>
      <c r="AJ88" s="12" cm="1">
        <f t="array" ref="AJ88">_xlfn.SWITCH(AJ$4, 0,0, 1, AS88,2,AU88,3,AW88,0)+AI88</f>
        <v>0</v>
      </c>
      <c r="AK88" s="12" cm="1">
        <f t="array" ref="AK88">_xlfn.SWITCH(AK$4, 0,0, 1, AS88,2,AU88,3,AW88,0)+AJ88</f>
        <v>0</v>
      </c>
      <c r="AL88" s="12" cm="1">
        <f t="array" ref="AL88">_xlfn.SWITCH(AL$4, 0,0, 1, AS88,2,AU88,3,AW88,0)+AK88</f>
        <v>0</v>
      </c>
      <c r="AM88" s="12" cm="1">
        <f t="array" ref="AM88">_xlfn.SWITCH(AM$4, 0,0, 1, AS88,2,AU88,3,AW88,0)+AL88</f>
        <v>0</v>
      </c>
      <c r="AN88" s="12" cm="1">
        <f t="array" ref="AN88">_xlfn.SWITCH(AN$4, 0,0, 1, AS88,2,AU88,3,AW88,0)+AM88</f>
        <v>0</v>
      </c>
      <c r="AO88" s="12" cm="1">
        <f t="array" ref="AO88">_xlfn.SWITCH(AO$4, 0,0, 1, AS88,2,AU88,3,AW88,0)+AN88</f>
        <v>0</v>
      </c>
      <c r="AP88" s="12" cm="1">
        <f t="array" ref="AP88">_xlfn.SWITCH(AP$4, 0,0, 1, AS88,2,AU88,3,AW88,0)+AO88</f>
        <v>0</v>
      </c>
      <c r="AR88" t="s">
        <v>1304</v>
      </c>
      <c r="AS88">
        <f>_xlfn.XLOOKUP(AR88,'KPI Impacts'!$K$2:$Q$2,'KPI Impacts'!$K88:$Q88)</f>
        <v>0</v>
      </c>
      <c r="AT88" t="s">
        <v>1304</v>
      </c>
      <c r="AU88">
        <f>_xlfn.XLOOKUP(AT88,'KPI Impacts'!$K$2:$Q$2,'KPI Impacts'!$K88:$Q88)</f>
        <v>0</v>
      </c>
      <c r="AV88" t="s">
        <v>1304</v>
      </c>
      <c r="AW88">
        <f>_xlfn.XLOOKUP(AV88,'KPI Impacts'!$K$2:$Q$2,'KPI Impacts'!$K88:$Q88)</f>
        <v>0</v>
      </c>
      <c r="AY88" s="9"/>
      <c r="AZ88" s="12">
        <f>AZ$4*BK88</f>
        <v>0</v>
      </c>
      <c r="BA88" s="12">
        <f>BA$4 * IF(AND(AZ$4=1,AZ$20=1), BM88, BK88)</f>
        <v>0</v>
      </c>
      <c r="BB88" s="12">
        <f>BB$4 * IF(AND(BA$4=1,AZ$20=1), BM88, BK88)</f>
        <v>0</v>
      </c>
      <c r="BC88" s="12">
        <f>BC$4 * IF(AND(BB$4=1,AZ$20=1), BM88, BK88)</f>
        <v>0</v>
      </c>
      <c r="BD88" s="12">
        <f>BD$4 * IF(AND(BC$4=1,AZ$20=1), BM88, BK88)</f>
        <v>0</v>
      </c>
      <c r="BE88" s="12">
        <f>BE$4 * IF(AND(BD$4=1,AZ$20=1), BM88, BK88)</f>
        <v>0</v>
      </c>
      <c r="BF88" s="12">
        <f>BF$4 * IF(AND(BE$4=1,AZ$20=1), BM88, BK88)</f>
        <v>0</v>
      </c>
      <c r="BG88" s="12">
        <f>BG$4 * IF(AND(BF$4=1,AZ$20=1), BM88, BK88)</f>
        <v>0</v>
      </c>
      <c r="BH88" s="12">
        <f>BH$4 * IF(AND(BG$4=1,AZ$20=1), BM88, BK88)</f>
        <v>0</v>
      </c>
      <c r="BJ88" s="16" t="s">
        <v>1304</v>
      </c>
      <c r="BK88">
        <f>_xlfn.XLOOKUP(BJ88,'KPI Impacts'!$B$2:$H$2,'KPI Impacts'!$B88:$H88)</f>
        <v>0</v>
      </c>
      <c r="BL88" s="35" t="s">
        <v>1304</v>
      </c>
      <c r="BM88">
        <f>_xlfn.XLOOKUP(BL88,'KPI Impacts'!$B$2:$H$2,'KPI Impacts'!$B88:$H88)</f>
        <v>0</v>
      </c>
      <c r="BO88" s="9"/>
      <c r="BP88" s="12">
        <f>BP$4*CA88</f>
        <v>0</v>
      </c>
      <c r="BQ88" s="12">
        <f>BQ$4 * IF(AND(BP$4=1,BP$20=1), CC88, CA88)</f>
        <v>0</v>
      </c>
      <c r="BR88" s="12">
        <f>BR$4 * IF(AND(BQ$4=1,BP$20=1), CC88, CA88)</f>
        <v>0</v>
      </c>
      <c r="BS88" s="12">
        <f>BS$4 * IF(AND(BR$4=1,BP$20=1), CC88, CA88)</f>
        <v>0</v>
      </c>
      <c r="BT88" s="12">
        <f>BT$4 * IF(AND(BS$4=1,BP$20=1), CC88, CA88)</f>
        <v>0</v>
      </c>
      <c r="BU88" s="12">
        <f>BU$4 * IF(AND(BT$4=1,BP$20=1), CC88, CA88)</f>
        <v>0</v>
      </c>
      <c r="BV88" s="12">
        <f>BV$4 * IF(AND(BU$4=1,BP$20=1), CC88, CA88)</f>
        <v>0</v>
      </c>
      <c r="BW88" s="12">
        <f>BW$4 * IF(AND(BV$4=1,BP$20=1), CC88, CA88)</f>
        <v>0</v>
      </c>
      <c r="BX88" s="12">
        <f>BX$4 * IF(AND(BW$4=1,BP$20=1), CC88, CA88)</f>
        <v>0</v>
      </c>
      <c r="BZ88" s="16" t="s">
        <v>1304</v>
      </c>
      <c r="CA88">
        <f>_xlfn.XLOOKUP(BZ88,'KPI Impacts'!$B$2:$H$2,'KPI Impacts'!$B88:$H88)</f>
        <v>0</v>
      </c>
      <c r="CB88" s="35" t="s">
        <v>1304</v>
      </c>
      <c r="CC88">
        <f>_xlfn.XLOOKUP(CB88,'KPI Impacts'!$B$2:$H$2,'KPI Impacts'!$B88:$H88)</f>
        <v>0</v>
      </c>
      <c r="CE88" s="9"/>
      <c r="CF88" s="12">
        <f>CF$4*CQ88</f>
        <v>0</v>
      </c>
      <c r="CG88" s="12">
        <f>CG$4 * IF(AND(CF$4=1,CF$20=1), CS88, CQ88)</f>
        <v>0</v>
      </c>
      <c r="CH88" s="12">
        <f>CH$4 * IF(AND(CG$4=1,CF$20=1), CS88, CQ88)</f>
        <v>0</v>
      </c>
      <c r="CI88" s="12">
        <f>CI$4 * IF(AND(CH$4=1,CF$20=1), CS88, CQ88)</f>
        <v>0</v>
      </c>
      <c r="CJ88" s="12">
        <f>CJ$4 * IF(AND(CI$4=1,CF$20=1), CS88, CQ88)</f>
        <v>0</v>
      </c>
      <c r="CK88" s="12">
        <f>CK$4 * IF(AND(CJ$4=1,CF$20=1), CS88, CQ88)</f>
        <v>0</v>
      </c>
      <c r="CL88" s="12">
        <f>CL$4 * IF(AND(CK$4=1,CF$20=1), CS88, CQ88)</f>
        <v>0</v>
      </c>
      <c r="CM88" s="12">
        <f>CM$4 * IF(AND(CL$4=1,CF$20=1), CS88, CQ88)</f>
        <v>0</v>
      </c>
      <c r="CN88" s="12">
        <f>CN$4 * IF(AND(CM$4=1,CF$20=1), CS88, CQ88)</f>
        <v>0</v>
      </c>
      <c r="CP88" s="16" t="s">
        <v>1304</v>
      </c>
      <c r="CQ88">
        <f>_xlfn.XLOOKUP(CP88,'KPI Impacts'!$B$2:$H$2,'KPI Impacts'!$B88:$H88)</f>
        <v>0</v>
      </c>
      <c r="CR88" s="35" t="s">
        <v>1304</v>
      </c>
      <c r="CS88">
        <f>_xlfn.XLOOKUP(CR88,'KPI Impacts'!$B$2:$H$2,'KPI Impacts'!$B88:$H88)</f>
        <v>0</v>
      </c>
      <c r="CU88" s="9"/>
      <c r="CV88" s="12">
        <f>CV$4*DG88</f>
        <v>0</v>
      </c>
      <c r="CW88" s="12">
        <f>CW$4 * IF(AND(CV$4=1,CV$20=1), DI88, DG88)</f>
        <v>0</v>
      </c>
      <c r="CX88" s="12">
        <f>CX$4 * IF(AND(CW$4=1,CV$20=1), DI88, DG88)</f>
        <v>0</v>
      </c>
      <c r="CY88" s="12">
        <f>CY$4 * IF(AND(CX$4=1,CV$20=1), DI88, DG88)</f>
        <v>0</v>
      </c>
      <c r="CZ88" s="12">
        <f>CZ$4 * IF(AND(CY$4=1,CV$20=1), DI88, DG88)</f>
        <v>0</v>
      </c>
      <c r="DA88" s="12">
        <f>DA$4 * IF(AND(CZ$4=1,CV$20=1), DI88, DG88)</f>
        <v>0</v>
      </c>
      <c r="DB88" s="12">
        <f>DB$4 * IF(AND(DA$4=1,CV$20=1), DI88, DG88)</f>
        <v>0</v>
      </c>
      <c r="DC88" s="12">
        <f>DC$4 * IF(AND(DB$4=1,CV$20=1), DI88, DG88)</f>
        <v>0</v>
      </c>
      <c r="DD88" s="12">
        <f>DD$4 * IF(AND(DC$4=1,CV$20=1), DI88, DG88)</f>
        <v>0</v>
      </c>
      <c r="DF88" s="16" t="s">
        <v>1304</v>
      </c>
      <c r="DG88">
        <f>_xlfn.XLOOKUP(DF88,'KPI Impacts'!$B$2:$H$2,'KPI Impacts'!$B88:$H88)</f>
        <v>0</v>
      </c>
      <c r="DH88" s="35" t="s">
        <v>1304</v>
      </c>
      <c r="DI88">
        <f>_xlfn.XLOOKUP(DH88,'KPI Impacts'!$B$2:$H$2,'KPI Impacts'!$B88:$H88)</f>
        <v>0</v>
      </c>
      <c r="DK88" s="9"/>
      <c r="DL88" s="12">
        <f>DL$4*DW88</f>
        <v>0</v>
      </c>
      <c r="DM88" s="12">
        <f>DM$4 * IF(AND(DL$4=1,DL$20=1), DY88, DW88)</f>
        <v>0</v>
      </c>
      <c r="DN88" s="12">
        <f>DN$4 * IF(AND(DM$4=1,DL$20=1), DY88, DW88)</f>
        <v>0</v>
      </c>
      <c r="DO88" s="12">
        <f>DO$4 * IF(AND(DN$4=1,DL$20=1), DY88, DW88)</f>
        <v>0</v>
      </c>
      <c r="DP88" s="12">
        <f>DP$4 * IF(AND(DO$4=1,DL$20=1), DY88, DW88)</f>
        <v>0</v>
      </c>
      <c r="DQ88" s="12">
        <f>DQ$4 * IF(AND(DP$4=1,DL$20=1), DY88, DW88)</f>
        <v>0</v>
      </c>
      <c r="DR88" s="12">
        <f>DR$4 * IF(AND(DQ$4=1,DL$20=1), DY88, DW88)</f>
        <v>0</v>
      </c>
      <c r="DS88" s="12">
        <f>DS$4 * IF(AND(DR$4=1,DL$20=1), DY88, DW88)</f>
        <v>0</v>
      </c>
      <c r="DT88" s="12">
        <f>DT$4 * IF(AND(DS$4=1,DL$20=1), DY88, DW88)</f>
        <v>0</v>
      </c>
      <c r="DV88" s="16" t="s">
        <v>1304</v>
      </c>
      <c r="DW88">
        <f>_xlfn.XLOOKUP(DV88,'KPI Impacts'!$B$2:$H$2,'KPI Impacts'!$B88:$H88)</f>
        <v>0</v>
      </c>
      <c r="DX88" s="35" t="s">
        <v>1304</v>
      </c>
      <c r="DY88">
        <f>_xlfn.XLOOKUP(DX88,'KPI Impacts'!$B$2:$H$2,'KPI Impacts'!$B88:$H88)</f>
        <v>0</v>
      </c>
      <c r="EA88" s="9"/>
      <c r="EB88" s="12">
        <f>EB$4*EM88</f>
        <v>0</v>
      </c>
      <c r="EC88" s="12">
        <f>EC$4 * IF(AND(EB$4=1,EB$20=1), EO88, EM88)</f>
        <v>0</v>
      </c>
      <c r="ED88" s="12">
        <f>ED$4 * IF(AND(EC$4=1,EB$20=1), EO88, EM88)</f>
        <v>0</v>
      </c>
      <c r="EE88" s="12">
        <f>EE$4 * IF(AND(ED$4=1,EB$20=1), EO88, EM88)</f>
        <v>0</v>
      </c>
      <c r="EF88" s="12">
        <f>EF$4 * IF(AND(EE$4=1,EB$20=1), EO88, EM88)</f>
        <v>0</v>
      </c>
      <c r="EG88" s="12">
        <f>EG$4 * IF(AND(EF$4=1,EB$20=1), EO88, EM88)</f>
        <v>0</v>
      </c>
      <c r="EH88" s="12">
        <f>EH$4 * IF(AND(EG$4=1,EB$20=1), EO88, EM88)</f>
        <v>0</v>
      </c>
      <c r="EI88" s="12">
        <f>EI$4 * IF(AND(EH$4=1,EB$20=1), EO88, EM88)</f>
        <v>0</v>
      </c>
      <c r="EJ88" s="12">
        <f>EJ$4 * IF(AND(EI$4=1,EB$20=1), EO88, EM88)</f>
        <v>0</v>
      </c>
      <c r="EL88" s="16" t="s">
        <v>1304</v>
      </c>
      <c r="EM88">
        <f>_xlfn.XLOOKUP(EL88,'KPI Impacts'!$B$2:$H$2,'KPI Impacts'!$B88:$H88)</f>
        <v>0</v>
      </c>
      <c r="EN88" s="35" t="s">
        <v>1304</v>
      </c>
      <c r="EO88">
        <f>_xlfn.XLOOKUP(EN88,'KPI Impacts'!$B$2:$H$2,'KPI Impacts'!$B88:$H88)</f>
        <v>0</v>
      </c>
      <c r="EQ88" s="9"/>
      <c r="ER88" s="12">
        <f>ER$4*FC88</f>
        <v>0</v>
      </c>
      <c r="ES88" s="12">
        <f>ES$4 * IF(AND(ER$4=1,ER$20=1), FE88, FC88)</f>
        <v>0</v>
      </c>
      <c r="ET88" s="12">
        <f>ET$4 * IF(AND(ES$4=1,ER$20=1), FE88, FC88)</f>
        <v>0</v>
      </c>
      <c r="EU88" s="12">
        <f>EU$4 * IF(AND(ET$4=1,ER$20=1), FE88, FC88)</f>
        <v>0</v>
      </c>
      <c r="EV88" s="12">
        <f>EV$4 * IF(AND(EU$4=1,ER$20=1), FE88, FC88)</f>
        <v>0</v>
      </c>
      <c r="EW88" s="12">
        <f>EW$4 * IF(AND(EV$4=1,ER$20=1), FE88, FC88)</f>
        <v>0</v>
      </c>
      <c r="EX88" s="12">
        <f>EX$4 * IF(AND(EW$4=1,ER$20=1), FE88, FC88)</f>
        <v>0</v>
      </c>
      <c r="EY88" s="12">
        <f>EY$4 * IF(AND(EX$4=1,ER$20=1), FE88, FC88)</f>
        <v>0</v>
      </c>
      <c r="EZ88" s="12">
        <f>EZ$4 * IF(AND(EY$4=1,ER$20=1), FE88, FC88)</f>
        <v>0</v>
      </c>
      <c r="FB88" s="16" t="s">
        <v>1304</v>
      </c>
      <c r="FC88">
        <f>_xlfn.XLOOKUP(FB88,'KPI Impacts'!$B$2:$H$2,'KPI Impacts'!$B88:$H88)</f>
        <v>0</v>
      </c>
      <c r="FD88" s="35" t="s">
        <v>1304</v>
      </c>
      <c r="FE88">
        <f>_xlfn.XLOOKUP(FD88,'KPI Impacts'!$B$2:$H$2,'KPI Impacts'!$B88:$H88)</f>
        <v>0</v>
      </c>
      <c r="FG88" s="9"/>
      <c r="FH88" s="12">
        <f>FH$4*FS88</f>
        <v>0</v>
      </c>
      <c r="FI88" s="12">
        <f>FI$4 * IF(AND(FH$4=1,FH$20=1), FU88, FS88)</f>
        <v>0</v>
      </c>
      <c r="FJ88" s="12">
        <f>FJ$4 * IF(AND(FI$4=1,FH$20=1), FU88, FS88)</f>
        <v>0</v>
      </c>
      <c r="FK88" s="12">
        <f>FK$4 * IF(AND(FJ$4=1,FH$20=1), FU88, FS88)</f>
        <v>0</v>
      </c>
      <c r="FL88" s="12">
        <f>FL$4 * IF(AND(FK$4=1,FH$20=1), FU88, FS88)</f>
        <v>0</v>
      </c>
      <c r="FM88" s="12">
        <f>FM$4 * IF(AND(FL$4=1,FH$20=1), FU88, FS88)</f>
        <v>0</v>
      </c>
      <c r="FN88" s="12">
        <f>FN$4 * IF(AND(FM$4=1,FH$20=1), FU88, FS88)</f>
        <v>0</v>
      </c>
      <c r="FO88" s="12">
        <f>FO$4 * IF(AND(FN$4=1,FH$20=1), FU88, FS88)</f>
        <v>0</v>
      </c>
      <c r="FP88" s="12">
        <f>FP$4 * IF(AND(FO$4=1,FH$20=1), FU88, FS88)</f>
        <v>0</v>
      </c>
      <c r="FR88" s="16" t="s">
        <v>1304</v>
      </c>
      <c r="FS88">
        <f>_xlfn.XLOOKUP(FR88,'KPI Impacts'!$B$2:$H$2,'KPI Impacts'!$B88:$H88)</f>
        <v>0</v>
      </c>
      <c r="FT88" s="9" t="s">
        <v>1304</v>
      </c>
      <c r="FU88">
        <f>_xlfn.XLOOKUP(FT88,'KPI Impacts'!$B$2:$H$2,'KPI Impacts'!$B88:$H88)</f>
        <v>0</v>
      </c>
      <c r="FW88" s="9"/>
      <c r="FX88" s="12">
        <f>FX$4*GI88</f>
        <v>0</v>
      </c>
      <c r="FY88" s="12">
        <f>FY$4 * IF(AND(FX$4=1,FX$20=1), GK88, GI88)</f>
        <v>0</v>
      </c>
      <c r="FZ88" s="12">
        <f>FZ$4 * IF(AND(FY$4=1,FX$20=1), GK88, GI88)</f>
        <v>0</v>
      </c>
      <c r="GA88" s="12">
        <f>GA$4 * IF(AND(FZ$4=1,FX$20=1), GK88, GI88)</f>
        <v>0</v>
      </c>
      <c r="GB88" s="12">
        <f>GB$4 * IF(AND(GA$4=1,FX$20=1), GK88, GI88)</f>
        <v>0</v>
      </c>
      <c r="GC88" s="12">
        <f>GC$4 * IF(AND(GB$4=1,FX$20=1), GK88, GI88)</f>
        <v>0</v>
      </c>
      <c r="GD88" s="12">
        <f>GD$4 * IF(AND(GC$4=1,FX$20=1), GK88, GI88)</f>
        <v>0</v>
      </c>
      <c r="GE88" s="12">
        <f>GE$4 * IF(AND(GD$4=1,FX$20=1), GK88, GI88)</f>
        <v>0</v>
      </c>
      <c r="GF88" s="12">
        <f>GF$4 * IF(AND(GE$4=1,FX$20=1), GK88, GI88)</f>
        <v>0</v>
      </c>
      <c r="GH88" s="16" t="s">
        <v>1304</v>
      </c>
      <c r="GI88">
        <f>_xlfn.XLOOKUP(GH88,'KPI Impacts'!$B$2:$H$2,'KPI Impacts'!$B88:$H88)</f>
        <v>0</v>
      </c>
      <c r="GJ88" s="9" t="s">
        <v>1304</v>
      </c>
      <c r="GK88">
        <f>_xlfn.XLOOKUP(GJ88,'KPI Impacts'!$B$2:$H$2,'KPI Impacts'!$B88:$H88)</f>
        <v>0</v>
      </c>
      <c r="GN88" s="12">
        <f>GN$4*GY88</f>
        <v>0</v>
      </c>
      <c r="GO88" s="12">
        <f>GO$4 * IF(AND(GN$4=1,GN$20=1), HA88, GY88)</f>
        <v>0</v>
      </c>
      <c r="GP88" s="12">
        <f>GP$4 * IF(AND(GO$4=1,GN$20=1), HA88, GY88)</f>
        <v>0</v>
      </c>
      <c r="GQ88" s="12">
        <f>GQ$4 * IF(AND(GP$4=1,GN$20=1), HA88, GY88)</f>
        <v>0</v>
      </c>
      <c r="GR88" s="12">
        <f>GR$4 * IF(AND(GQ$4=1,GN$20=1), HA88, GY88)</f>
        <v>0</v>
      </c>
      <c r="GS88" s="12">
        <f>GS$4 * IF(AND(GR$4=1,GN$20=1), HA88, GY88)</f>
        <v>0</v>
      </c>
      <c r="GT88" s="12">
        <f>GT$4 * IF(AND(GS$4=1,GN$20=1), HA88, GY88)</f>
        <v>0</v>
      </c>
      <c r="GU88" s="12">
        <f>GU$4 * IF(AND(GT$4=1,GN$20=1), HA88, GY88)</f>
        <v>0</v>
      </c>
      <c r="GV88" s="12">
        <f>GV$4 * IF(AND(GU$4=1,GN$20=1), HA88, GY88)</f>
        <v>0</v>
      </c>
      <c r="GX88" s="16" t="s">
        <v>1304</v>
      </c>
      <c r="GY88">
        <f>_xlfn.XLOOKUP(GX88,'KPI Impacts'!$B$2:$H$2,'KPI Impacts'!$B88:$H88)</f>
        <v>0</v>
      </c>
      <c r="GZ88" s="9" t="s">
        <v>1304</v>
      </c>
      <c r="HA88">
        <f>_xlfn.XLOOKUP(GZ88,'KPI Impacts'!$B$2:$H$2,'KPI Impacts'!$B88:$H88)</f>
        <v>0</v>
      </c>
      <c r="HD88" s="12">
        <f>HD$4*HO88</f>
        <v>0</v>
      </c>
      <c r="HE88" s="12">
        <f>HE$4 * IF(AND(HD$4=1,HD$20=1), HQ88, HO88)</f>
        <v>0</v>
      </c>
      <c r="HF88" s="12">
        <f>HF$4 * IF(AND(HE$4=1,HD$20=1), HQ88, HO88)</f>
        <v>0</v>
      </c>
      <c r="HG88" s="12">
        <f>HG$4 * IF(AND(HF$4=1,HD$20=1), HQ88, HO88)</f>
        <v>0</v>
      </c>
      <c r="HH88" s="12">
        <f>HH$4 * IF(AND(HG$4=1,HD$20=1), HQ88, HO88)</f>
        <v>0</v>
      </c>
      <c r="HI88" s="12">
        <f>HI$4 * IF(AND(HH$4=1,HD$20=1), HQ88, HO88)</f>
        <v>0</v>
      </c>
      <c r="HJ88" s="12">
        <f>HJ$4 * IF(AND(HI$4=1,HD$20=1), HQ88, HO88)</f>
        <v>0</v>
      </c>
      <c r="HK88" s="12">
        <f>HK$4 * IF(AND(HJ$4=1,HD$20=1), HQ88, HO88)</f>
        <v>0</v>
      </c>
      <c r="HL88" s="12">
        <f>HL$4 * IF(AND(HK$4=1,HD$20=1), HQ88, HO88)</f>
        <v>0</v>
      </c>
      <c r="HN88" t="s">
        <v>1304</v>
      </c>
      <c r="HO88">
        <f>_xlfn.XLOOKUP(HN88,'KPI Impacts'!$B$2:$H$2,'KPI Impacts'!$B88:$H88)</f>
        <v>0</v>
      </c>
      <c r="HP88" s="9" t="s">
        <v>1304</v>
      </c>
      <c r="HQ88">
        <f>_xlfn.XLOOKUP(HP88,'KPI Impacts'!$B$2:$H$2,'KPI Impacts'!$B88:$H88)</f>
        <v>0</v>
      </c>
      <c r="HT88" s="12">
        <f>HT$4*IE88</f>
        <v>0</v>
      </c>
      <c r="HU88" s="12">
        <f>HU$4 * IF(AND(HT$4=1,HT$20=1), IG88, IE88)</f>
        <v>0</v>
      </c>
      <c r="HV88" s="12">
        <f>HV$4 * IF(AND(HU$4=1,HT$20=1), IG88, IE88)</f>
        <v>0</v>
      </c>
      <c r="HW88" s="12">
        <f>HW$4 * IF(AND(HV$4=1,HT$20=1), IG88, IE88)</f>
        <v>0</v>
      </c>
      <c r="HX88" s="12">
        <f>HX$4 * IF(AND(HW$4=1,HT$20=1), IG88, IE88)</f>
        <v>0</v>
      </c>
      <c r="HY88" s="12">
        <f>HY$4 * IF(AND(HX$4=1,HT$20=1), IG88, IE88)</f>
        <v>0</v>
      </c>
      <c r="HZ88" s="12">
        <f>HZ$4 * IF(AND(HY$4=1,HT$20=1), IG88, IE88)</f>
        <v>0</v>
      </c>
      <c r="IA88" s="12">
        <f>IA$4 * IF(AND(HZ$4=1,HT$20=1), IG88, IE88)</f>
        <v>0</v>
      </c>
      <c r="IB88" s="12">
        <f>IB$4 * IF(AND(IA$4=1,HT$20=1), IG88, IE88)</f>
        <v>0</v>
      </c>
      <c r="ID88" t="s">
        <v>1304</v>
      </c>
      <c r="IE88">
        <f>_xlfn.XLOOKUP(ID88,'KPI Impacts'!$B$2:$H$2,'KPI Impacts'!$B88:$H88)</f>
        <v>0</v>
      </c>
      <c r="IF88" s="9" t="s">
        <v>1304</v>
      </c>
      <c r="IG88">
        <f>_xlfn.XLOOKUP(IF88,'KPI Impacts'!$B$2:$H$2,'KPI Impacts'!$B88:$H88)</f>
        <v>0</v>
      </c>
      <c r="IJ88" s="12">
        <f>IJ$4*IU88</f>
        <v>0</v>
      </c>
      <c r="IK88" s="12">
        <f>IK$4 * IF(AND(IJ$4=1,IJ$20=1), IW88, IU88)</f>
        <v>0</v>
      </c>
      <c r="IL88" s="12">
        <f>IL$4 * IF(AND(IK$4=1,IJ$20=1), IW88, IU88)</f>
        <v>0</v>
      </c>
      <c r="IM88" s="12">
        <f>IM$4 * IF(AND(IL$4=1,IJ$20=1), IW88, IU88)</f>
        <v>0</v>
      </c>
      <c r="IN88" s="12">
        <f>IN$4 * IF(AND(IM$4=1,IJ$20=1), IW88, IU88)</f>
        <v>0</v>
      </c>
      <c r="IO88" s="12">
        <f>IO$4 * IF(AND(IN$4=1,IJ$20=1), IW88, IU88)</f>
        <v>0</v>
      </c>
      <c r="IP88" s="12">
        <f>IP$4 * IF(AND(IO$4=1,IJ$20=1), IW88, IU88)</f>
        <v>0</v>
      </c>
      <c r="IQ88" s="12">
        <f>IQ$4 * IF(AND(IP$4=1,IJ$20=1), IW88, IU88)</f>
        <v>0</v>
      </c>
      <c r="IR88" s="12">
        <f>IR$4 * IF(AND(IQ$4=1,IJ$20=1), IW88, IU88)</f>
        <v>0</v>
      </c>
      <c r="IT88" t="s">
        <v>1304</v>
      </c>
      <c r="IU88">
        <f>_xlfn.XLOOKUP(IT88,'KPI Impacts'!$B$2:$H$2,'KPI Impacts'!$B88:$H88)</f>
        <v>0</v>
      </c>
      <c r="IV88" s="9" t="s">
        <v>1304</v>
      </c>
      <c r="IW88">
        <f>_xlfn.XLOOKUP(IV88,'KPI Impacts'!$B$2:$H$2,'KPI Impacts'!$B88:$H88)</f>
        <v>0</v>
      </c>
      <c r="IZ88" s="12">
        <f>IZ$4*JK88</f>
        <v>0</v>
      </c>
      <c r="JA88" s="12">
        <f>JA$4 * IF(AND(IZ$4=1,IZ$20=1), JM88, JK88)</f>
        <v>0</v>
      </c>
      <c r="JB88" s="12">
        <f>JB$4 * IF(AND(JA$4=1,IZ$20=1), JM88, JK88)</f>
        <v>0</v>
      </c>
      <c r="JC88" s="12">
        <f>JC$4 * IF(AND(JB$4=1,IZ$20=1), JM88, JK88)</f>
        <v>0</v>
      </c>
      <c r="JD88" s="12">
        <f>JD$4 * IF(AND(JC$4=1,IZ$20=1), JM88, JK88)</f>
        <v>0</v>
      </c>
      <c r="JE88" s="12">
        <f>JE$4 * IF(AND(JD$4=1,IZ$20=1), JM88, JK88)</f>
        <v>0</v>
      </c>
      <c r="JF88" s="12">
        <f>JF$4 * IF(AND(JE$4=1,IZ$20=1), JM88, JK88)</f>
        <v>0</v>
      </c>
      <c r="JG88" s="12">
        <f>JG$4 * IF(AND(JF$4=1,IZ$20=1), JM88, JK88)</f>
        <v>0</v>
      </c>
      <c r="JH88" s="12">
        <f>JH$4 * IF(AND(JG$4=1,IZ$20=1), JM88, JK88)</f>
        <v>0</v>
      </c>
      <c r="JJ88" t="s">
        <v>1304</v>
      </c>
      <c r="JK88">
        <f>_xlfn.XLOOKUP(JJ88,'KPI Impacts'!$B$2:$H$2,'KPI Impacts'!$B88:$H88)</f>
        <v>0</v>
      </c>
      <c r="JL88" s="9" t="s">
        <v>1304</v>
      </c>
      <c r="JM88">
        <f>_xlfn.XLOOKUP(JL88,'KPI Impacts'!$B$2:$H$2,'KPI Impacts'!$B88:$H88)</f>
        <v>0</v>
      </c>
      <c r="JP88" s="12">
        <f>JP$4*KA88</f>
        <v>0</v>
      </c>
      <c r="JQ88" s="12">
        <f>JQ$4 * IF(AND(JP$4=1,JP$20=1), KC88, KA88)</f>
        <v>0</v>
      </c>
      <c r="JR88" s="12">
        <f>JR$4 * IF(AND(JQ$4=1,JP$20=1), KC88, KA88)</f>
        <v>0</v>
      </c>
      <c r="JS88" s="12">
        <f>JS$4 * IF(AND(JR$4=1,JP$20=1), KC88, KA88)</f>
        <v>0</v>
      </c>
      <c r="JT88" s="12">
        <f>JT$4 * IF(AND(JS$4=1,JP$20=1), KC88, KA88)</f>
        <v>0</v>
      </c>
      <c r="JU88" s="12">
        <f>JU$4 * IF(AND(JT$4=1,JP$20=1), KC88, KA88)</f>
        <v>0</v>
      </c>
      <c r="JV88" s="12">
        <f>JV$4 * IF(AND(JU$4=1,JP$20=1), KC88, KA88)</f>
        <v>0</v>
      </c>
      <c r="JW88" s="12">
        <f>JW$4 * IF(AND(JV$4=1,JP$20=1), KC88, KA88)</f>
        <v>0</v>
      </c>
      <c r="JX88" s="12">
        <f>JX$4 * IF(AND(JW$4=1,JP$20=1), KC88, KA88)</f>
        <v>0</v>
      </c>
      <c r="JZ88" t="s">
        <v>1304</v>
      </c>
      <c r="KA88">
        <f>_xlfn.XLOOKUP(JZ88,'KPI Impacts'!$B$2:$H$2,'KPI Impacts'!$B88:$H88)</f>
        <v>0</v>
      </c>
      <c r="KB88" s="9" t="s">
        <v>1304</v>
      </c>
      <c r="KC88">
        <f>_xlfn.XLOOKUP(KB88,'KPI Impacts'!$B$2:$H$2,'KPI Impacts'!$B88:$H88)</f>
        <v>0</v>
      </c>
      <c r="KF88" s="12">
        <f>KF$4*KQ88</f>
        <v>0</v>
      </c>
      <c r="KG88" s="12">
        <f>KG$4 * IF(AND(KF$4=1,KF$20=1), KS88, KQ88)</f>
        <v>0</v>
      </c>
      <c r="KH88" s="12">
        <f>KH$4 * IF(AND(KG$4=1,KF$20=1), KS88, KQ88)</f>
        <v>0</v>
      </c>
      <c r="KI88" s="12">
        <f>KI$4 * IF(AND(KH$4=1,KF$20=1), KS88, KQ88)</f>
        <v>0</v>
      </c>
      <c r="KJ88" s="12">
        <f>KJ$4 * IF(AND(KI$4=1,KF$20=1), KS88, KQ88)</f>
        <v>0</v>
      </c>
      <c r="KK88" s="12">
        <f>KK$4 * IF(AND(KJ$4=1,KF$20=1), KS88, KQ88)</f>
        <v>0</v>
      </c>
      <c r="KL88" s="12">
        <f>KL$4 * IF(AND(KK$4=1,KF$20=1), KS88, KQ88)</f>
        <v>0</v>
      </c>
      <c r="KM88" s="12">
        <f>KM$4 * IF(AND(KL$4=1,KF$20=1), KS88, KQ88)</f>
        <v>0</v>
      </c>
      <c r="KN88" s="12">
        <f>KN$4 * IF(AND(KM$4=1,KF$20=1), KS88, KQ88)</f>
        <v>0</v>
      </c>
      <c r="KP88" t="s">
        <v>1304</v>
      </c>
      <c r="KQ88">
        <f>_xlfn.XLOOKUP(KP88,'KPI Impacts'!$B$2:$H$2,'KPI Impacts'!$B88:$H88)</f>
        <v>0</v>
      </c>
      <c r="KR88" s="9" t="s">
        <v>1304</v>
      </c>
      <c r="KS88">
        <f>_xlfn.XLOOKUP(KR88,'KPI Impacts'!$B$2:$H$2,'KPI Impacts'!$B88:$H88)</f>
        <v>0</v>
      </c>
      <c r="KV88" s="12">
        <f>KV$4*LG88</f>
        <v>0</v>
      </c>
      <c r="KW88" s="12">
        <f>KW$4 * IF(AND(KV$4=1,KV$20=1), LI88, LG88)</f>
        <v>0</v>
      </c>
      <c r="KX88" s="12">
        <f>KX$4 * IF(AND(KW$4=1,KV$20=1), LI88, LG88)</f>
        <v>0</v>
      </c>
      <c r="KY88" s="12">
        <f>KY$4 * IF(AND(KX$4=1,KV$20=1), LI88, LG88)</f>
        <v>0</v>
      </c>
      <c r="KZ88" s="12">
        <f>KZ$4 * IF(AND(KY$4=1,KV$20=1), LI88, LG88)</f>
        <v>0</v>
      </c>
      <c r="LA88" s="12">
        <f>LA$4 * IF(AND(KZ$4=1,KV$20=1), LI88, LG88)</f>
        <v>0</v>
      </c>
      <c r="LB88" s="12">
        <f>LB$4 * IF(AND(LA$4=1,KV$20=1), LI88, LG88)</f>
        <v>0</v>
      </c>
      <c r="LC88" s="12">
        <f>LC$4 * IF(AND(LB$4=1,KV$20=1), LI88, LG88)</f>
        <v>0</v>
      </c>
      <c r="LD88" s="12">
        <f>LD$4 * IF(AND(LC$4=1,KV$20=1), LI88, LG88)</f>
        <v>0</v>
      </c>
      <c r="LF88" t="s">
        <v>1304</v>
      </c>
      <c r="LG88">
        <f>_xlfn.XLOOKUP(LF88,'KPI Impacts'!$B$2:$H$2,'KPI Impacts'!$B88:$H88)</f>
        <v>0</v>
      </c>
      <c r="LH88" s="9" t="s">
        <v>1304</v>
      </c>
      <c r="LI88">
        <f>_xlfn.XLOOKUP(LH88,'KPI Impacts'!$B$2:$H$2,'KPI Impacts'!$B88:$H88)</f>
        <v>0</v>
      </c>
      <c r="LL88" s="12">
        <f>LL$4*LW88</f>
        <v>0</v>
      </c>
      <c r="LM88" s="12">
        <f>LM$4 * IF(AND(LL$4=1,LL$20=1), LY88, LW88)</f>
        <v>0</v>
      </c>
      <c r="LN88" s="12">
        <f>LN$4 * IF(AND(LM$4=1,LL$20=1), LY88, LW88)</f>
        <v>0</v>
      </c>
      <c r="LO88" s="12">
        <f>LO$4 * IF(AND(LN$4=1,LL$20=1), LY88, LW88)</f>
        <v>0</v>
      </c>
      <c r="LP88" s="12">
        <f>LP$4 * IF(AND(LO$4=1,LL$20=1), LY88, LW88)</f>
        <v>0</v>
      </c>
      <c r="LQ88" s="12">
        <f>LQ$4 * IF(AND(LP$4=1,LL$20=1), LY88, LW88)</f>
        <v>0</v>
      </c>
      <c r="LR88" s="12">
        <f>LR$4 * IF(AND(LQ$4=1,LL$20=1), LY88, LW88)</f>
        <v>0</v>
      </c>
      <c r="LS88" s="12">
        <f>LS$4 * IF(AND(LR$4=1,LL$20=1), LY88, LW88)</f>
        <v>0</v>
      </c>
      <c r="LT88" s="12">
        <f>LT$4 * IF(AND(LS$4=1,LL$20=1), LY88, LW88)</f>
        <v>0</v>
      </c>
      <c r="LV88" t="s">
        <v>1304</v>
      </c>
      <c r="LW88">
        <f>_xlfn.XLOOKUP(LV88,'KPI Impacts'!$B$2:$H$2,'KPI Impacts'!$B88:$H88)</f>
        <v>0</v>
      </c>
      <c r="LX88" s="9" t="s">
        <v>1304</v>
      </c>
      <c r="LY88">
        <f>_xlfn.XLOOKUP(LX88,'KPI Impacts'!$B$2:$H$2,'KPI Impacts'!$B88:$H88)</f>
        <v>0</v>
      </c>
      <c r="MB88" s="12">
        <f>MB$4*MM88</f>
        <v>0</v>
      </c>
      <c r="MC88" s="12">
        <f>MC$4 * IF(AND(MB$4=1,MB$20=1), MO88, MM88)</f>
        <v>0</v>
      </c>
      <c r="MD88" s="12">
        <f>MD$4 * IF(AND(MC$4=1,MB$20=1), MO88, MM88)</f>
        <v>0</v>
      </c>
      <c r="ME88" s="12">
        <f>ME$4 * IF(AND(MD$4=1,MB$20=1), MO88, MM88)</f>
        <v>0</v>
      </c>
      <c r="MF88" s="12">
        <f>MF$4 * IF(AND(ME$4=1,MB$20=1), MO88, MM88)</f>
        <v>0</v>
      </c>
      <c r="MG88" s="12">
        <f>MG$4 * IF(AND(MF$4=1,MB$20=1), MO88, MM88)</f>
        <v>0</v>
      </c>
      <c r="MH88" s="12">
        <f>MH$4 * IF(AND(MG$4=1,MB$20=1), MO88, MM88)</f>
        <v>0</v>
      </c>
      <c r="MI88" s="12">
        <f>MI$4 * IF(AND(MH$4=1,MB$20=1), MO88, MM88)</f>
        <v>0</v>
      </c>
      <c r="MJ88" s="12">
        <f>MJ$4 * IF(AND(MI$4=1,MB$20=1), MO88, MM88)</f>
        <v>0</v>
      </c>
      <c r="ML88" t="s">
        <v>1304</v>
      </c>
      <c r="MM88">
        <f>_xlfn.XLOOKUP(ML88,'KPI Impacts'!$B$2:$H$2,'KPI Impacts'!$B88:$H88)</f>
        <v>0</v>
      </c>
      <c r="MN88" s="9" t="s">
        <v>1304</v>
      </c>
      <c r="MO88">
        <f>_xlfn.XLOOKUP(MN88,'KPI Impacts'!$B$2:$H$2,'KPI Impacts'!$B88:$H88)</f>
        <v>0</v>
      </c>
      <c r="MR88" s="12">
        <f>MR$4*NC88</f>
        <v>0</v>
      </c>
      <c r="MS88" s="12">
        <f>MS$4 * IF(AND(MR$4=1,MR$20=1), NE88, NC88)</f>
        <v>0</v>
      </c>
      <c r="MT88" s="12">
        <f>MT$4 * IF(AND(MS$4=1,MR$20=1), NE88, NC88)</f>
        <v>0</v>
      </c>
      <c r="MU88" s="12">
        <f>MU$4 * IF(AND(MT$4=1,MR$20=1), NE88, NC88)</f>
        <v>0</v>
      </c>
      <c r="MV88" s="12">
        <f>MV$4 * IF(AND(MU$4=1,MR$20=1), NE88, NC88)</f>
        <v>0</v>
      </c>
      <c r="MW88" s="12">
        <f>MW$4 * IF(AND(MV$4=1,MR$20=1), NE88, NC88)</f>
        <v>0</v>
      </c>
      <c r="MX88" s="12">
        <f>MX$4 * IF(AND(MW$4=1,MR$20=1), NE88, NC88)</f>
        <v>0</v>
      </c>
      <c r="MY88" s="12">
        <f>MY$4 * IF(AND(MX$4=1,MR$20=1), NE88, NC88)</f>
        <v>0</v>
      </c>
      <c r="MZ88" s="12">
        <f>MZ$4 * IF(AND(MY$4=1,MR$20=1), NE88, NC88)</f>
        <v>0</v>
      </c>
      <c r="NB88" t="s">
        <v>1304</v>
      </c>
      <c r="NC88">
        <f>_xlfn.XLOOKUP(NB88,'KPI Impacts'!$B$2:$H$2,'KPI Impacts'!$B88:$H88)</f>
        <v>0</v>
      </c>
      <c r="ND88" s="9" t="s">
        <v>1304</v>
      </c>
      <c r="NE88">
        <f>_xlfn.XLOOKUP(ND88,'KPI Impacts'!$B$2:$H$2,'KPI Impacts'!$B88:$H88)</f>
        <v>0</v>
      </c>
      <c r="NH88" s="12">
        <f>NH$4*NS88</f>
        <v>0</v>
      </c>
      <c r="NI88" s="12">
        <f>NI$4 * IF(AND(NH$4=1,NH$20=1), NU88, NS88)</f>
        <v>0</v>
      </c>
      <c r="NJ88" s="12">
        <f>NJ$4 * IF(AND(NI$4=1,NH$20=1), NU88, NS88)</f>
        <v>0</v>
      </c>
      <c r="NK88" s="12">
        <f>NK$4 * IF(AND(NJ$4=1,NH$20=1), NU88, NS88)</f>
        <v>0</v>
      </c>
      <c r="NL88" s="12">
        <f>NL$4 * IF(AND(NK$4=1,NH$20=1), NU88, NS88)</f>
        <v>0</v>
      </c>
      <c r="NM88" s="12">
        <f>NM$4 * IF(AND(NL$4=1,NH$20=1), NU88, NS88)</f>
        <v>0</v>
      </c>
      <c r="NN88" s="12">
        <f>NN$4 * IF(AND(NM$4=1,NH$20=1), NU88, NS88)</f>
        <v>0</v>
      </c>
      <c r="NO88" s="12">
        <f>NO$4 * IF(AND(NN$4=1,NH$20=1), NU88, NS88)</f>
        <v>0</v>
      </c>
      <c r="NP88" s="12">
        <f>NP$4 * IF(AND(NO$4=1,NH$20=1), NU88, NS88)</f>
        <v>0</v>
      </c>
      <c r="NR88" t="s">
        <v>1304</v>
      </c>
      <c r="NS88">
        <f>_xlfn.XLOOKUP(NR88,'KPI Impacts'!$B$2:$H$2,'KPI Impacts'!$B88:$H88)</f>
        <v>0</v>
      </c>
      <c r="NT88" s="9" t="s">
        <v>1304</v>
      </c>
      <c r="NU88">
        <f>_xlfn.XLOOKUP(NT88,'KPI Impacts'!$B$2:$H$2,'KPI Impacts'!$B88:$H88)</f>
        <v>0</v>
      </c>
      <c r="NX88" s="12">
        <f>NX$4*OI88</f>
        <v>0</v>
      </c>
      <c r="NY88" s="12">
        <f>NY$4 * IF(AND(NX$4=1,NX$20=1), OK88, OI88)</f>
        <v>0</v>
      </c>
      <c r="NZ88" s="12">
        <f>NZ$4 * IF(AND(NY$4=1,NX$20=1), OK88, OI88)</f>
        <v>0</v>
      </c>
      <c r="OA88" s="12">
        <f>OA$4 * IF(AND(NZ$4=1,NX$20=1), OK88, OI88)</f>
        <v>0</v>
      </c>
      <c r="OB88" s="12">
        <f>OB$4 * IF(AND(OA$4=1,NX$20=1), OK88, OI88)</f>
        <v>0</v>
      </c>
      <c r="OC88" s="12">
        <f>OC$4 * IF(AND(OB$4=1,NX$20=1), OK88, OI88)</f>
        <v>0</v>
      </c>
      <c r="OD88" s="12">
        <f>OD$4 * IF(AND(OC$4=1,NX$20=1), OK88, OI88)</f>
        <v>0</v>
      </c>
      <c r="OE88" s="12">
        <f>OE$4 * IF(AND(OD$4=1,NX$20=1), OK88, OI88)</f>
        <v>0</v>
      </c>
      <c r="OF88" s="12">
        <f>OF$4 * IF(AND(OE$4=1,NX$20=1), OK88, OI88)</f>
        <v>0</v>
      </c>
      <c r="OH88" t="s">
        <v>1304</v>
      </c>
      <c r="OI88">
        <f>_xlfn.XLOOKUP(OH88,'KPI Impacts'!$B$2:$H$2,'KPI Impacts'!$B88:$H88)</f>
        <v>0</v>
      </c>
      <c r="OJ88" s="9" t="s">
        <v>1304</v>
      </c>
      <c r="OK88">
        <f>_xlfn.XLOOKUP(OJ88,'KPI Impacts'!$B$2:$H$2,'KPI Impacts'!$B88:$H88)</f>
        <v>0</v>
      </c>
    </row>
    <row r="89" spans="1:401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M89" s="6"/>
      <c r="N89" s="6"/>
      <c r="O89" s="9"/>
      <c r="P89" s="12"/>
      <c r="Q89" s="12"/>
      <c r="R89" s="12"/>
      <c r="S89" s="12"/>
      <c r="T89" s="12"/>
      <c r="U89" s="12"/>
      <c r="V89" s="12"/>
      <c r="W89" s="12"/>
      <c r="X89" s="12"/>
      <c r="AG89" s="9"/>
      <c r="AH89" s="12"/>
      <c r="AI89" s="12"/>
      <c r="AJ89" s="12"/>
      <c r="AK89" s="12"/>
      <c r="AL89" s="12"/>
      <c r="AM89" s="12"/>
      <c r="AN89" s="12"/>
      <c r="AO89" s="12"/>
      <c r="AP89" s="12"/>
      <c r="AY89" s="9"/>
      <c r="AZ89" s="12"/>
      <c r="BA89" s="12"/>
      <c r="BB89" s="12"/>
      <c r="BC89" s="12"/>
      <c r="BD89" s="12"/>
      <c r="BE89" s="12"/>
      <c r="BF89" s="12"/>
      <c r="BG89" s="12"/>
      <c r="BH89" s="12"/>
      <c r="BJ89" s="16"/>
      <c r="BL89" s="35"/>
      <c r="BO89" s="9"/>
      <c r="BP89" s="12"/>
      <c r="BQ89" s="12"/>
      <c r="BR89" s="12"/>
      <c r="BS89" s="12"/>
      <c r="BT89" s="12"/>
      <c r="BU89" s="12"/>
      <c r="BV89" s="12"/>
      <c r="BW89" s="12"/>
      <c r="BX89" s="12"/>
      <c r="BZ89" s="16"/>
      <c r="CB89" s="35"/>
      <c r="CE89" s="9"/>
      <c r="CF89" s="12"/>
      <c r="CG89" s="12"/>
      <c r="CH89" s="12"/>
      <c r="CI89" s="12"/>
      <c r="CJ89" s="12"/>
      <c r="CK89" s="12"/>
      <c r="CL89" s="12"/>
      <c r="CM89" s="12"/>
      <c r="CN89" s="12"/>
      <c r="CP89" s="16"/>
      <c r="CR89" s="35"/>
      <c r="CU89" s="9"/>
      <c r="CV89" s="12"/>
      <c r="CW89" s="12"/>
      <c r="CX89" s="12"/>
      <c r="CY89" s="12"/>
      <c r="CZ89" s="12"/>
      <c r="DA89" s="12"/>
      <c r="DB89" s="12"/>
      <c r="DC89" s="12"/>
      <c r="DD89" s="12"/>
      <c r="DF89" s="16"/>
      <c r="DH89" s="35"/>
      <c r="DK89" s="9"/>
      <c r="DL89" s="12"/>
      <c r="DM89" s="12"/>
      <c r="DN89" s="12"/>
      <c r="DO89" s="12"/>
      <c r="DP89" s="12"/>
      <c r="DQ89" s="12"/>
      <c r="DR89" s="12"/>
      <c r="DS89" s="12"/>
      <c r="DT89" s="12"/>
      <c r="DV89" s="16"/>
      <c r="DX89" s="35"/>
      <c r="EA89" s="9"/>
      <c r="EB89" s="12"/>
      <c r="EC89" s="12"/>
      <c r="ED89" s="12"/>
      <c r="EE89" s="12"/>
      <c r="EF89" s="12"/>
      <c r="EG89" s="12"/>
      <c r="EH89" s="12"/>
      <c r="EI89" s="12"/>
      <c r="EJ89" s="12"/>
      <c r="EL89" s="16"/>
      <c r="EN89" s="35"/>
      <c r="EQ89" s="9"/>
      <c r="ER89" s="12"/>
      <c r="ES89" s="12"/>
      <c r="ET89" s="12"/>
      <c r="EU89" s="12"/>
      <c r="EV89" s="12"/>
      <c r="EW89" s="12"/>
      <c r="EX89" s="12"/>
      <c r="EY89" s="12"/>
      <c r="EZ89" s="12"/>
      <c r="FB89" s="16"/>
      <c r="FD89" s="35"/>
      <c r="FG89" s="9"/>
      <c r="FH89" s="12"/>
      <c r="FI89" s="12"/>
      <c r="FJ89" s="12"/>
      <c r="FK89" s="12"/>
      <c r="FL89" s="12"/>
      <c r="FM89" s="12"/>
      <c r="FN89" s="12"/>
      <c r="FO89" s="12"/>
      <c r="FP89" s="12"/>
      <c r="FR89" s="16"/>
      <c r="FT89" s="9"/>
      <c r="FW89" s="9"/>
      <c r="FX89" s="12"/>
      <c r="FY89" s="12"/>
      <c r="FZ89" s="12"/>
      <c r="GA89" s="12"/>
      <c r="GB89" s="12"/>
      <c r="GC89" s="12"/>
      <c r="GD89" s="12"/>
      <c r="GE89" s="12"/>
      <c r="GF89" s="12"/>
      <c r="GH89" s="16"/>
      <c r="GJ89" s="9"/>
      <c r="GN89" s="12"/>
      <c r="GO89" s="12"/>
      <c r="GP89" s="12"/>
      <c r="GQ89" s="12"/>
      <c r="GR89" s="12"/>
      <c r="GS89" s="12"/>
      <c r="GT89" s="12"/>
      <c r="GU89" s="12"/>
      <c r="GV89" s="12"/>
      <c r="GX89" s="16"/>
      <c r="GZ89" s="9"/>
      <c r="HD89" s="12"/>
      <c r="HE89" s="12"/>
      <c r="HF89" s="12"/>
      <c r="HG89" s="12"/>
      <c r="HH89" s="12"/>
      <c r="HI89" s="12"/>
      <c r="HJ89" s="12"/>
      <c r="HK89" s="12"/>
      <c r="HL89" s="12"/>
      <c r="HP89" s="9"/>
      <c r="HT89" s="12"/>
      <c r="HU89" s="12"/>
      <c r="HV89" s="12"/>
      <c r="HW89" s="12"/>
      <c r="HX89" s="12"/>
      <c r="HY89" s="12"/>
      <c r="HZ89" s="12"/>
      <c r="IA89" s="12"/>
      <c r="IB89" s="12"/>
      <c r="IF89" s="9"/>
      <c r="IJ89" s="12"/>
      <c r="IK89" s="12"/>
      <c r="IL89" s="12"/>
      <c r="IM89" s="12"/>
      <c r="IN89" s="12"/>
      <c r="IO89" s="12"/>
      <c r="IP89" s="12"/>
      <c r="IQ89" s="12"/>
      <c r="IR89" s="12"/>
      <c r="IV89" s="9"/>
      <c r="IZ89" s="12"/>
      <c r="JA89" s="12"/>
      <c r="JB89" s="12"/>
      <c r="JC89" s="12"/>
      <c r="JD89" s="12"/>
      <c r="JE89" s="12"/>
      <c r="JF89" s="12"/>
      <c r="JG89" s="12"/>
      <c r="JH89" s="12"/>
      <c r="JL89" s="9"/>
      <c r="JP89" s="12"/>
      <c r="JQ89" s="12"/>
      <c r="JR89" s="12"/>
      <c r="JS89" s="12"/>
      <c r="JT89" s="12"/>
      <c r="JU89" s="12"/>
      <c r="JV89" s="12"/>
      <c r="JW89" s="12"/>
      <c r="JX89" s="12"/>
      <c r="KB89" s="9"/>
      <c r="KF89" s="12"/>
      <c r="KG89" s="12"/>
      <c r="KH89" s="12"/>
      <c r="KI89" s="12"/>
      <c r="KJ89" s="12"/>
      <c r="KK89" s="12"/>
      <c r="KL89" s="12"/>
      <c r="KM89" s="12"/>
      <c r="KN89" s="12"/>
      <c r="KR89" s="9"/>
      <c r="KV89" s="12"/>
      <c r="KW89" s="12"/>
      <c r="KX89" s="12"/>
      <c r="KY89" s="12"/>
      <c r="KZ89" s="12"/>
      <c r="LA89" s="12"/>
      <c r="LB89" s="12"/>
      <c r="LC89" s="12"/>
      <c r="LD89" s="12"/>
      <c r="LH89" s="9"/>
      <c r="LL89" s="12"/>
      <c r="LM89" s="12"/>
      <c r="LN89" s="12"/>
      <c r="LO89" s="12"/>
      <c r="LP89" s="12"/>
      <c r="LQ89" s="12"/>
      <c r="LR89" s="12"/>
      <c r="LS89" s="12"/>
      <c r="LT89" s="12"/>
      <c r="LX89" s="9"/>
      <c r="MB89" s="12"/>
      <c r="MC89" s="12"/>
      <c r="MD89" s="12"/>
      <c r="ME89" s="12"/>
      <c r="MF89" s="12"/>
      <c r="MG89" s="12"/>
      <c r="MH89" s="12"/>
      <c r="MI89" s="12"/>
      <c r="MJ89" s="12"/>
      <c r="MN89" s="9"/>
      <c r="MR89" s="12"/>
      <c r="MS89" s="12"/>
      <c r="MT89" s="12"/>
      <c r="MU89" s="12"/>
      <c r="MV89" s="12"/>
      <c r="MW89" s="12"/>
      <c r="MX89" s="12"/>
      <c r="MY89" s="12"/>
      <c r="MZ89" s="12"/>
      <c r="ND89" s="9"/>
      <c r="NH89" s="12"/>
      <c r="NI89" s="12"/>
      <c r="NJ89" s="12"/>
      <c r="NK89" s="12"/>
      <c r="NL89" s="12"/>
      <c r="NM89" s="12"/>
      <c r="NN89" s="12"/>
      <c r="NO89" s="12"/>
      <c r="NP89" s="12"/>
      <c r="NT89" s="9"/>
      <c r="NX89" s="12"/>
      <c r="NY89" s="12"/>
      <c r="NZ89" s="12"/>
      <c r="OA89" s="12"/>
      <c r="OB89" s="12"/>
      <c r="OC89" s="12"/>
      <c r="OD89" s="12"/>
      <c r="OE89" s="12"/>
      <c r="OF89" s="12"/>
      <c r="OJ89" s="9"/>
    </row>
    <row r="90" spans="1:401" x14ac:dyDescent="0.2">
      <c r="B90" s="12"/>
      <c r="M90" s="6"/>
      <c r="O90" s="9"/>
      <c r="P90" s="12"/>
      <c r="Q90" s="12"/>
      <c r="R90" s="12"/>
      <c r="S90" s="12"/>
      <c r="T90" s="12"/>
      <c r="U90" s="12"/>
      <c r="V90" s="12"/>
      <c r="W90" s="12"/>
      <c r="X90" s="12"/>
      <c r="AG90" s="9"/>
      <c r="AH90" s="12"/>
      <c r="AI90" s="12"/>
      <c r="AJ90" s="12"/>
      <c r="AK90" s="12"/>
      <c r="AL90" s="12"/>
      <c r="AM90" s="12"/>
      <c r="AN90" s="12"/>
      <c r="AO90" s="12"/>
      <c r="AP90" s="12"/>
      <c r="AY90" s="9"/>
      <c r="AZ90" s="12"/>
      <c r="BA90" s="12"/>
      <c r="BB90" s="12"/>
      <c r="BC90" s="12"/>
      <c r="BD90" s="12"/>
      <c r="BE90" s="12"/>
      <c r="BF90" s="12"/>
      <c r="BG90" s="12"/>
      <c r="BH90" s="12"/>
      <c r="BJ90" s="16"/>
      <c r="BL90" s="35"/>
      <c r="BO90" s="9"/>
      <c r="BP90" s="12"/>
      <c r="BQ90" s="12"/>
      <c r="BR90" s="12"/>
      <c r="BS90" s="12"/>
      <c r="BT90" s="12"/>
      <c r="BU90" s="12"/>
      <c r="BV90" s="12"/>
      <c r="BW90" s="12"/>
      <c r="BX90" s="12"/>
      <c r="BZ90" s="16"/>
      <c r="CB90" s="35"/>
      <c r="CE90" s="9"/>
      <c r="CF90" s="12"/>
      <c r="CG90" s="12"/>
      <c r="CH90" s="12"/>
      <c r="CI90" s="12"/>
      <c r="CJ90" s="12"/>
      <c r="CK90" s="12"/>
      <c r="CL90" s="12"/>
      <c r="CM90" s="12"/>
      <c r="CN90" s="12"/>
      <c r="CP90" s="16"/>
      <c r="CR90" s="35"/>
      <c r="CU90" s="9"/>
      <c r="CV90" s="12"/>
      <c r="CW90" s="12"/>
      <c r="CX90" s="12"/>
      <c r="CY90" s="12"/>
      <c r="CZ90" s="12"/>
      <c r="DA90" s="12"/>
      <c r="DB90" s="12"/>
      <c r="DC90" s="12"/>
      <c r="DD90" s="12"/>
      <c r="DF90" s="16"/>
      <c r="DH90" s="35"/>
      <c r="DK90" s="9"/>
      <c r="DL90" s="12"/>
      <c r="DM90" s="12"/>
      <c r="DN90" s="12"/>
      <c r="DO90" s="12"/>
      <c r="DP90" s="12"/>
      <c r="DQ90" s="12"/>
      <c r="DR90" s="12"/>
      <c r="DS90" s="12"/>
      <c r="DT90" s="12"/>
      <c r="DV90" s="16"/>
      <c r="DX90" s="35"/>
      <c r="EA90" s="9"/>
      <c r="EB90" s="12"/>
      <c r="EC90" s="12"/>
      <c r="ED90" s="12"/>
      <c r="EE90" s="12"/>
      <c r="EF90" s="12"/>
      <c r="EG90" s="12"/>
      <c r="EH90" s="12"/>
      <c r="EI90" s="12"/>
      <c r="EJ90" s="12"/>
      <c r="EL90" s="16"/>
      <c r="EN90" s="35"/>
      <c r="EQ90" s="9"/>
      <c r="ER90" s="12"/>
      <c r="ES90" s="12"/>
      <c r="ET90" s="12"/>
      <c r="EU90" s="12"/>
      <c r="EV90" s="12"/>
      <c r="EW90" s="12"/>
      <c r="EX90" s="12"/>
      <c r="EY90" s="12"/>
      <c r="EZ90" s="12"/>
      <c r="FB90" s="16"/>
      <c r="FD90" s="35"/>
      <c r="FG90" s="9"/>
      <c r="FH90" s="12"/>
      <c r="FI90" s="12"/>
      <c r="FJ90" s="12"/>
      <c r="FK90" s="12"/>
      <c r="FL90" s="12"/>
      <c r="FM90" s="12"/>
      <c r="FN90" s="12"/>
      <c r="FO90" s="12"/>
      <c r="FP90" s="12"/>
      <c r="FR90" s="16"/>
      <c r="FT90" s="9"/>
      <c r="FW90" s="9"/>
      <c r="FX90" s="12"/>
      <c r="FY90" s="12"/>
      <c r="FZ90" s="12"/>
      <c r="GA90" s="12"/>
      <c r="GB90" s="12"/>
      <c r="GC90" s="12"/>
      <c r="GD90" s="12"/>
      <c r="GE90" s="12"/>
      <c r="GF90" s="12"/>
      <c r="GH90" s="16"/>
      <c r="GJ90" s="9"/>
      <c r="GN90" s="12"/>
      <c r="GO90" s="12"/>
      <c r="GP90" s="12"/>
      <c r="GQ90" s="12"/>
      <c r="GR90" s="12"/>
      <c r="GS90" s="12"/>
      <c r="GT90" s="12"/>
      <c r="GU90" s="12"/>
      <c r="GV90" s="12"/>
      <c r="GX90" s="16"/>
      <c r="GZ90" s="9"/>
      <c r="HD90" s="12"/>
      <c r="HE90" s="12"/>
      <c r="HF90" s="12"/>
      <c r="HG90" s="12"/>
      <c r="HH90" s="12"/>
      <c r="HI90" s="12"/>
      <c r="HJ90" s="12"/>
      <c r="HK90" s="12"/>
      <c r="HL90" s="12"/>
      <c r="HP90" s="9"/>
      <c r="HT90" s="12"/>
      <c r="HU90" s="12"/>
      <c r="HV90" s="12"/>
      <c r="HW90" s="12"/>
      <c r="HX90" s="12"/>
      <c r="HY90" s="12"/>
      <c r="HZ90" s="12"/>
      <c r="IA90" s="12"/>
      <c r="IB90" s="12"/>
      <c r="IF90" s="9"/>
      <c r="IJ90" s="12"/>
      <c r="IK90" s="12"/>
      <c r="IL90" s="12"/>
      <c r="IM90" s="12"/>
      <c r="IN90" s="12"/>
      <c r="IO90" s="12"/>
      <c r="IP90" s="12"/>
      <c r="IQ90" s="12"/>
      <c r="IR90" s="12"/>
      <c r="IV90" s="9"/>
      <c r="IZ90" s="12"/>
      <c r="JA90" s="12"/>
      <c r="JB90" s="12"/>
      <c r="JC90" s="12"/>
      <c r="JD90" s="12"/>
      <c r="JE90" s="12"/>
      <c r="JF90" s="12"/>
      <c r="JG90" s="12"/>
      <c r="JH90" s="12"/>
      <c r="JL90" s="9"/>
      <c r="JP90" s="12"/>
      <c r="JQ90" s="12"/>
      <c r="JR90" s="12"/>
      <c r="JS90" s="12"/>
      <c r="JT90" s="12"/>
      <c r="JU90" s="12"/>
      <c r="JV90" s="12"/>
      <c r="JW90" s="12"/>
      <c r="JX90" s="12"/>
      <c r="KB90" s="9"/>
      <c r="KF90" s="12"/>
      <c r="KG90" s="12"/>
      <c r="KH90" s="12"/>
      <c r="KI90" s="12"/>
      <c r="KJ90" s="12"/>
      <c r="KK90" s="12"/>
      <c r="KL90" s="12"/>
      <c r="KM90" s="12"/>
      <c r="KN90" s="12"/>
      <c r="KR90" s="9"/>
      <c r="KV90" s="12"/>
      <c r="KW90" s="12"/>
      <c r="KX90" s="12"/>
      <c r="KY90" s="12"/>
      <c r="KZ90" s="12"/>
      <c r="LA90" s="12"/>
      <c r="LB90" s="12"/>
      <c r="LC90" s="12"/>
      <c r="LD90" s="12"/>
      <c r="LH90" s="9"/>
      <c r="LL90" s="12"/>
      <c r="LM90" s="12"/>
      <c r="LN90" s="12"/>
      <c r="LO90" s="12"/>
      <c r="LP90" s="12"/>
      <c r="LQ90" s="12"/>
      <c r="LR90" s="12"/>
      <c r="LS90" s="12"/>
      <c r="LT90" s="12"/>
      <c r="LX90" s="9"/>
      <c r="MB90" s="12"/>
      <c r="MC90" s="12"/>
      <c r="MD90" s="12"/>
      <c r="ME90" s="12"/>
      <c r="MF90" s="12"/>
      <c r="MG90" s="12"/>
      <c r="MH90" s="12"/>
      <c r="MI90" s="12"/>
      <c r="MJ90" s="12"/>
      <c r="MN90" s="9"/>
      <c r="MR90" s="12"/>
      <c r="MS90" s="12"/>
      <c r="MT90" s="12"/>
      <c r="MU90" s="12"/>
      <c r="MV90" s="12"/>
      <c r="MW90" s="12"/>
      <c r="MX90" s="12"/>
      <c r="MY90" s="12"/>
      <c r="MZ90" s="12"/>
      <c r="ND90" s="9"/>
      <c r="NH90" s="12"/>
      <c r="NI90" s="12"/>
      <c r="NJ90" s="12"/>
      <c r="NK90" s="12"/>
      <c r="NL90" s="12"/>
      <c r="NM90" s="12"/>
      <c r="NN90" s="12"/>
      <c r="NO90" s="12"/>
      <c r="NP90" s="12"/>
      <c r="NT90" s="9"/>
      <c r="NX90" s="12"/>
      <c r="NY90" s="12"/>
      <c r="NZ90" s="12"/>
      <c r="OA90" s="12"/>
      <c r="OB90" s="12"/>
      <c r="OC90" s="12"/>
      <c r="OD90" s="12"/>
      <c r="OE90" s="12"/>
      <c r="OF90" s="12"/>
      <c r="OJ90" s="9"/>
    </row>
    <row r="91" spans="1:401" x14ac:dyDescent="0.2">
      <c r="M91" s="6"/>
      <c r="O91" s="5"/>
      <c r="P91" s="12"/>
      <c r="Q91" s="12"/>
      <c r="R91" s="12"/>
      <c r="S91" s="12"/>
      <c r="T91" s="12"/>
      <c r="U91" s="12"/>
      <c r="V91" s="12"/>
      <c r="W91" s="12"/>
      <c r="X91" s="12"/>
      <c r="AG91" s="5"/>
      <c r="AH91" s="12"/>
      <c r="AI91" s="12"/>
      <c r="AJ91" s="12"/>
      <c r="AK91" s="12"/>
      <c r="AL91" s="12"/>
      <c r="AM91" s="12"/>
      <c r="AN91" s="12"/>
      <c r="AO91" s="12"/>
      <c r="AP91" s="12"/>
      <c r="AY91" s="9"/>
      <c r="AZ91" s="12"/>
      <c r="BA91" s="12"/>
      <c r="BB91" s="12"/>
      <c r="BC91" s="12"/>
      <c r="BD91" s="12"/>
      <c r="BE91" s="12"/>
      <c r="BF91" s="12"/>
      <c r="BG91" s="12"/>
      <c r="BH91" s="12"/>
      <c r="BJ91" s="16"/>
      <c r="BL91" s="35"/>
      <c r="BO91" s="9"/>
      <c r="BP91" s="12"/>
      <c r="BQ91" s="12"/>
      <c r="BR91" s="12"/>
      <c r="BS91" s="12"/>
      <c r="BT91" s="12"/>
      <c r="BU91" s="12"/>
      <c r="BV91" s="12"/>
      <c r="BW91" s="12"/>
      <c r="BX91" s="12"/>
      <c r="BZ91" s="16"/>
      <c r="CB91" s="35"/>
      <c r="CE91" s="9"/>
      <c r="CF91" s="12"/>
      <c r="CG91" s="12"/>
      <c r="CH91" s="12"/>
      <c r="CI91" s="12"/>
      <c r="CJ91" s="12"/>
      <c r="CK91" s="12"/>
      <c r="CL91" s="12"/>
      <c r="CM91" s="12"/>
      <c r="CN91" s="12"/>
      <c r="CP91" s="16"/>
      <c r="CR91" s="35"/>
      <c r="CU91" s="9"/>
      <c r="CV91" s="12"/>
      <c r="CW91" s="12"/>
      <c r="CX91" s="12"/>
      <c r="CY91" s="12"/>
      <c r="CZ91" s="12"/>
      <c r="DA91" s="12"/>
      <c r="DB91" s="12"/>
      <c r="DC91" s="12"/>
      <c r="DD91" s="12"/>
      <c r="DF91" s="16"/>
      <c r="DH91" s="35"/>
      <c r="DK91" s="9"/>
      <c r="DL91" s="12"/>
      <c r="DM91" s="12"/>
      <c r="DN91" s="12"/>
      <c r="DO91" s="12"/>
      <c r="DP91" s="12"/>
      <c r="DQ91" s="12"/>
      <c r="DR91" s="12"/>
      <c r="DS91" s="12"/>
      <c r="DT91" s="12"/>
      <c r="DV91" s="16"/>
      <c r="DX91" s="35"/>
      <c r="EA91" s="9"/>
      <c r="EB91" s="12"/>
      <c r="EC91" s="12"/>
      <c r="ED91" s="12"/>
      <c r="EE91" s="12"/>
      <c r="EF91" s="12"/>
      <c r="EG91" s="12"/>
      <c r="EH91" s="12"/>
      <c r="EI91" s="12"/>
      <c r="EJ91" s="12"/>
      <c r="EL91" s="16"/>
      <c r="EN91" s="35"/>
      <c r="EQ91" s="9"/>
      <c r="ER91" s="12"/>
      <c r="ES91" s="12"/>
      <c r="ET91" s="12"/>
      <c r="EU91" s="12"/>
      <c r="EV91" s="12"/>
      <c r="EW91" s="12"/>
      <c r="EX91" s="12"/>
      <c r="EY91" s="12"/>
      <c r="EZ91" s="12"/>
      <c r="FB91" s="16"/>
      <c r="FD91" s="35"/>
      <c r="FG91" s="9"/>
      <c r="FH91" s="12"/>
      <c r="FI91" s="12"/>
      <c r="FJ91" s="12"/>
      <c r="FK91" s="12"/>
      <c r="FL91" s="12"/>
      <c r="FM91" s="12"/>
      <c r="FN91" s="12"/>
      <c r="FO91" s="12"/>
      <c r="FP91" s="12"/>
      <c r="FR91" s="16"/>
      <c r="FT91" s="9"/>
      <c r="FW91" s="9"/>
      <c r="FX91" s="12"/>
      <c r="FY91" s="12"/>
      <c r="FZ91" s="12"/>
      <c r="GA91" s="12"/>
      <c r="GB91" s="12"/>
      <c r="GC91" s="12"/>
      <c r="GD91" s="12"/>
      <c r="GE91" s="12"/>
      <c r="GF91" s="12"/>
      <c r="GH91" s="16"/>
      <c r="GJ91" s="9"/>
      <c r="GN91" s="12"/>
      <c r="GO91" s="12"/>
      <c r="GP91" s="12"/>
      <c r="GQ91" s="12"/>
      <c r="GR91" s="12"/>
      <c r="GS91" s="12"/>
      <c r="GT91" s="12"/>
      <c r="GU91" s="12"/>
      <c r="GV91" s="12"/>
      <c r="GX91" s="16"/>
      <c r="GZ91" s="9"/>
      <c r="HD91" s="12"/>
      <c r="HE91" s="12"/>
      <c r="HF91" s="12"/>
      <c r="HG91" s="12"/>
      <c r="HH91" s="12"/>
      <c r="HI91" s="12"/>
      <c r="HJ91" s="12"/>
      <c r="HK91" s="12"/>
      <c r="HL91" s="12"/>
      <c r="HP91" s="9"/>
      <c r="HT91" s="12"/>
      <c r="HU91" s="12"/>
      <c r="HV91" s="12"/>
      <c r="HW91" s="12"/>
      <c r="HX91" s="12"/>
      <c r="HY91" s="12"/>
      <c r="HZ91" s="12"/>
      <c r="IA91" s="12"/>
      <c r="IB91" s="12"/>
      <c r="IF91" s="9"/>
      <c r="IJ91" s="12"/>
      <c r="IK91" s="12"/>
      <c r="IL91" s="12"/>
      <c r="IM91" s="12"/>
      <c r="IN91" s="12"/>
      <c r="IO91" s="12"/>
      <c r="IP91" s="12"/>
      <c r="IQ91" s="12"/>
      <c r="IR91" s="12"/>
      <c r="IV91" s="9"/>
      <c r="IZ91" s="12"/>
      <c r="JA91" s="12"/>
      <c r="JB91" s="12"/>
      <c r="JC91" s="12"/>
      <c r="JD91" s="12"/>
      <c r="JE91" s="12"/>
      <c r="JF91" s="12"/>
      <c r="JG91" s="12"/>
      <c r="JH91" s="12"/>
      <c r="JL91" s="9"/>
      <c r="JP91" s="12"/>
      <c r="JQ91" s="12"/>
      <c r="JR91" s="12"/>
      <c r="JS91" s="12"/>
      <c r="JT91" s="12"/>
      <c r="JU91" s="12"/>
      <c r="JV91" s="12"/>
      <c r="JW91" s="12"/>
      <c r="JX91" s="12"/>
      <c r="KB91" s="9"/>
      <c r="KF91" s="12"/>
      <c r="KG91" s="12"/>
      <c r="KH91" s="12"/>
      <c r="KI91" s="12"/>
      <c r="KJ91" s="12"/>
      <c r="KK91" s="12"/>
      <c r="KL91" s="12"/>
      <c r="KM91" s="12"/>
      <c r="KN91" s="12"/>
      <c r="KR91" s="9"/>
      <c r="KV91" s="12"/>
      <c r="KW91" s="12"/>
      <c r="KX91" s="12"/>
      <c r="KY91" s="12"/>
      <c r="KZ91" s="12"/>
      <c r="LA91" s="12"/>
      <c r="LB91" s="12"/>
      <c r="LC91" s="12"/>
      <c r="LD91" s="12"/>
      <c r="LH91" s="9"/>
      <c r="LL91" s="12"/>
      <c r="LM91" s="12"/>
      <c r="LN91" s="12"/>
      <c r="LO91" s="12"/>
      <c r="LP91" s="12"/>
      <c r="LQ91" s="12"/>
      <c r="LR91" s="12"/>
      <c r="LS91" s="12"/>
      <c r="LT91" s="12"/>
      <c r="LX91" s="9"/>
      <c r="MB91" s="12"/>
      <c r="MC91" s="12"/>
      <c r="MD91" s="12"/>
      <c r="ME91" s="12"/>
      <c r="MF91" s="12"/>
      <c r="MG91" s="12"/>
      <c r="MH91" s="12"/>
      <c r="MI91" s="12"/>
      <c r="MJ91" s="12"/>
      <c r="MN91" s="9"/>
      <c r="MR91" s="12"/>
      <c r="MS91" s="12"/>
      <c r="MT91" s="12"/>
      <c r="MU91" s="12"/>
      <c r="MV91" s="12"/>
      <c r="MW91" s="12"/>
      <c r="MX91" s="12"/>
      <c r="MY91" s="12"/>
      <c r="MZ91" s="12"/>
      <c r="ND91" s="9"/>
      <c r="NH91" s="12"/>
      <c r="NI91" s="12"/>
      <c r="NJ91" s="12"/>
      <c r="NK91" s="12"/>
      <c r="NL91" s="12"/>
      <c r="NM91" s="12"/>
      <c r="NN91" s="12"/>
      <c r="NO91" s="12"/>
      <c r="NP91" s="12"/>
      <c r="NT91" s="9"/>
      <c r="NX91" s="12"/>
      <c r="NY91" s="12"/>
      <c r="NZ91" s="12"/>
      <c r="OA91" s="12"/>
      <c r="OB91" s="12"/>
      <c r="OC91" s="12"/>
      <c r="OD91" s="12"/>
      <c r="OE91" s="12"/>
      <c r="OF91" s="12"/>
      <c r="OJ91" s="9"/>
    </row>
    <row r="92" spans="1:401" x14ac:dyDescent="0.2">
      <c r="A92" s="5" t="s">
        <v>52</v>
      </c>
      <c r="B92" s="12"/>
      <c r="M92" s="6"/>
      <c r="P92" s="12"/>
      <c r="Q92" s="12"/>
      <c r="R92" s="12"/>
      <c r="S92" s="12"/>
      <c r="T92" s="12"/>
      <c r="U92" s="12"/>
      <c r="V92" s="12"/>
      <c r="W92" s="12"/>
      <c r="X92" s="12"/>
      <c r="AH92" s="12"/>
      <c r="AI92" s="12"/>
      <c r="AJ92" s="12"/>
      <c r="AK92" s="12"/>
      <c r="AL92" s="12"/>
      <c r="AM92" s="12"/>
      <c r="AN92" s="12"/>
      <c r="AO92" s="12"/>
      <c r="AP92" s="12"/>
      <c r="AY92" s="5"/>
      <c r="AZ92" s="12"/>
      <c r="BA92" s="12"/>
      <c r="BB92" s="12"/>
      <c r="BC92" s="12"/>
      <c r="BD92" s="12"/>
      <c r="BE92" s="12"/>
      <c r="BF92" s="12"/>
      <c r="BG92" s="12"/>
      <c r="BH92" s="12"/>
      <c r="BJ92" s="16"/>
      <c r="BL92" s="35"/>
      <c r="BO92" s="5"/>
      <c r="BP92" s="12"/>
      <c r="BQ92" s="12"/>
      <c r="BR92" s="12"/>
      <c r="BS92" s="12"/>
      <c r="BT92" s="12"/>
      <c r="BU92" s="12"/>
      <c r="BV92" s="12"/>
      <c r="BW92" s="12"/>
      <c r="BX92" s="12"/>
      <c r="BZ92" s="16"/>
      <c r="CB92" s="35"/>
      <c r="CE92" s="5"/>
      <c r="CF92" s="12"/>
      <c r="CG92" s="12"/>
      <c r="CH92" s="12"/>
      <c r="CI92" s="12"/>
      <c r="CJ92" s="12"/>
      <c r="CK92" s="12"/>
      <c r="CL92" s="12"/>
      <c r="CM92" s="12"/>
      <c r="CN92" s="12"/>
      <c r="CP92" s="16"/>
      <c r="CR92" s="35"/>
      <c r="CU92" s="5"/>
      <c r="CV92" s="12"/>
      <c r="CW92" s="12"/>
      <c r="CX92" s="12"/>
      <c r="CY92" s="12"/>
      <c r="CZ92" s="12"/>
      <c r="DA92" s="12"/>
      <c r="DB92" s="12"/>
      <c r="DC92" s="12"/>
      <c r="DD92" s="12"/>
      <c r="DF92" s="16"/>
      <c r="DH92" s="35"/>
      <c r="DK92" s="5"/>
      <c r="DL92" s="12"/>
      <c r="DM92" s="12"/>
      <c r="DN92" s="12"/>
      <c r="DO92" s="12"/>
      <c r="DP92" s="12"/>
      <c r="DQ92" s="12"/>
      <c r="DR92" s="12"/>
      <c r="DS92" s="12"/>
      <c r="DT92" s="12"/>
      <c r="DV92" s="16"/>
      <c r="DX92" s="35"/>
      <c r="EA92" s="5"/>
      <c r="EB92" s="12"/>
      <c r="EC92" s="12"/>
      <c r="ED92" s="12"/>
      <c r="EE92" s="12"/>
      <c r="EF92" s="12"/>
      <c r="EG92" s="12"/>
      <c r="EH92" s="12"/>
      <c r="EI92" s="12"/>
      <c r="EJ92" s="12"/>
      <c r="EL92" s="16"/>
      <c r="EN92" s="35"/>
      <c r="EQ92" s="5"/>
      <c r="ER92" s="12"/>
      <c r="ES92" s="12"/>
      <c r="ET92" s="12"/>
      <c r="EU92" s="12"/>
      <c r="EV92" s="12"/>
      <c r="EW92" s="12"/>
      <c r="EX92" s="12"/>
      <c r="EY92" s="12"/>
      <c r="EZ92" s="12"/>
      <c r="FB92" s="16"/>
      <c r="FD92" s="35"/>
      <c r="FG92" s="5"/>
      <c r="FH92" s="12"/>
      <c r="FI92" s="12"/>
      <c r="FJ92" s="12"/>
      <c r="FK92" s="12"/>
      <c r="FL92" s="12"/>
      <c r="FM92" s="12"/>
      <c r="FN92" s="12"/>
      <c r="FO92" s="12"/>
      <c r="FP92" s="12"/>
      <c r="FR92" s="16"/>
      <c r="FT92" s="9"/>
      <c r="FW92" s="5"/>
      <c r="FX92" s="12"/>
      <c r="FY92" s="12"/>
      <c r="FZ92" s="12"/>
      <c r="GA92" s="12"/>
      <c r="GB92" s="12"/>
      <c r="GC92" s="12"/>
      <c r="GD92" s="12"/>
      <c r="GE92" s="12"/>
      <c r="GF92" s="12"/>
      <c r="GH92" s="16"/>
      <c r="GJ92" s="9"/>
      <c r="GN92" s="12"/>
      <c r="GO92" s="12"/>
      <c r="GP92" s="12"/>
      <c r="GQ92" s="12"/>
      <c r="GR92" s="12"/>
      <c r="GS92" s="12"/>
      <c r="GT92" s="12"/>
      <c r="GU92" s="12"/>
      <c r="GV92" s="12"/>
      <c r="GX92" s="16"/>
      <c r="GZ92" s="9"/>
      <c r="HD92" s="12"/>
      <c r="HE92" s="12"/>
      <c r="HF92" s="12"/>
      <c r="HG92" s="12"/>
      <c r="HH92" s="12"/>
      <c r="HI92" s="12"/>
      <c r="HJ92" s="12"/>
      <c r="HK92" s="12"/>
      <c r="HL92" s="12"/>
      <c r="HP92" s="9"/>
      <c r="HT92" s="12"/>
      <c r="HU92" s="12"/>
      <c r="HV92" s="12"/>
      <c r="HW92" s="12"/>
      <c r="HX92" s="12"/>
      <c r="HY92" s="12"/>
      <c r="HZ92" s="12"/>
      <c r="IA92" s="12"/>
      <c r="IB92" s="12"/>
      <c r="IF92" s="9"/>
      <c r="IJ92" s="12"/>
      <c r="IK92" s="12"/>
      <c r="IL92" s="12"/>
      <c r="IM92" s="12"/>
      <c r="IN92" s="12"/>
      <c r="IO92" s="12"/>
      <c r="IP92" s="12"/>
      <c r="IQ92" s="12"/>
      <c r="IR92" s="12"/>
      <c r="IV92" s="9"/>
      <c r="IZ92" s="12"/>
      <c r="JA92" s="12"/>
      <c r="JB92" s="12"/>
      <c r="JC92" s="12"/>
      <c r="JD92" s="12"/>
      <c r="JE92" s="12"/>
      <c r="JF92" s="12"/>
      <c r="JG92" s="12"/>
      <c r="JH92" s="12"/>
      <c r="JL92" s="9"/>
      <c r="JP92" s="12"/>
      <c r="JQ92" s="12"/>
      <c r="JR92" s="12"/>
      <c r="JS92" s="12"/>
      <c r="JT92" s="12"/>
      <c r="JU92" s="12"/>
      <c r="JV92" s="12"/>
      <c r="JW92" s="12"/>
      <c r="JX92" s="12"/>
      <c r="KB92" s="9"/>
      <c r="KF92" s="12"/>
      <c r="KG92" s="12"/>
      <c r="KH92" s="12"/>
      <c r="KI92" s="12"/>
      <c r="KJ92" s="12"/>
      <c r="KK92" s="12"/>
      <c r="KL92" s="12"/>
      <c r="KM92" s="12"/>
      <c r="KN92" s="12"/>
      <c r="KR92" s="9"/>
      <c r="KV92" s="12"/>
      <c r="KW92" s="12"/>
      <c r="KX92" s="12"/>
      <c r="KY92" s="12"/>
      <c r="KZ92" s="12"/>
      <c r="LA92" s="12"/>
      <c r="LB92" s="12"/>
      <c r="LC92" s="12"/>
      <c r="LD92" s="12"/>
      <c r="LH92" s="9"/>
      <c r="LL92" s="12"/>
      <c r="LM92" s="12"/>
      <c r="LN92" s="12"/>
      <c r="LO92" s="12"/>
      <c r="LP92" s="12"/>
      <c r="LQ92" s="12"/>
      <c r="LR92" s="12"/>
      <c r="LS92" s="12"/>
      <c r="LT92" s="12"/>
      <c r="LX92" s="9"/>
      <c r="MB92" s="12"/>
      <c r="MC92" s="12"/>
      <c r="MD92" s="12"/>
      <c r="ME92" s="12"/>
      <c r="MF92" s="12"/>
      <c r="MG92" s="12"/>
      <c r="MH92" s="12"/>
      <c r="MI92" s="12"/>
      <c r="MJ92" s="12"/>
      <c r="MN92" s="9"/>
      <c r="MR92" s="12"/>
      <c r="MS92" s="12"/>
      <c r="MT92" s="12"/>
      <c r="MU92" s="12"/>
      <c r="MV92" s="12"/>
      <c r="MW92" s="12"/>
      <c r="MX92" s="12"/>
      <c r="MY92" s="12"/>
      <c r="MZ92" s="12"/>
      <c r="ND92" s="9"/>
      <c r="NH92" s="12"/>
      <c r="NI92" s="12"/>
      <c r="NJ92" s="12"/>
      <c r="NK92" s="12"/>
      <c r="NL92" s="12"/>
      <c r="NM92" s="12"/>
      <c r="NN92" s="12"/>
      <c r="NO92" s="12"/>
      <c r="NP92" s="12"/>
      <c r="NT92" s="9"/>
      <c r="NX92" s="12"/>
      <c r="NY92" s="12"/>
      <c r="NZ92" s="12"/>
      <c r="OA92" s="12"/>
      <c r="OB92" s="12"/>
      <c r="OC92" s="12"/>
      <c r="OD92" s="12"/>
      <c r="OE92" s="12"/>
      <c r="OF92" s="12"/>
      <c r="OJ92" s="9"/>
    </row>
    <row r="93" spans="1:401" x14ac:dyDescent="0.2">
      <c r="A93" t="s">
        <v>56</v>
      </c>
      <c r="B93" s="12">
        <f t="shared" ref="B93:J96" si="519">P93+AH93+AZ93+BP93+CF93+CV93+DL93+EB93+ER93+FH93+FX93+GN93+HD93+HT93+IJ93+IZ93+JP93+KF93+KV93+LL93+MB93+MR93+NH93+NX93</f>
        <v>0</v>
      </c>
      <c r="C93" s="12">
        <f t="shared" si="519"/>
        <v>0</v>
      </c>
      <c r="D93" s="12">
        <f t="shared" si="519"/>
        <v>0</v>
      </c>
      <c r="E93" s="12">
        <f t="shared" si="519"/>
        <v>0</v>
      </c>
      <c r="F93" s="12">
        <f t="shared" si="519"/>
        <v>0</v>
      </c>
      <c r="G93" s="12">
        <f t="shared" si="519"/>
        <v>0</v>
      </c>
      <c r="H93" s="12">
        <f t="shared" si="519"/>
        <v>0</v>
      </c>
      <c r="I93" s="12">
        <f t="shared" si="519"/>
        <v>0</v>
      </c>
      <c r="J93" s="12">
        <f t="shared" si="519"/>
        <v>0</v>
      </c>
      <c r="M93" s="6"/>
      <c r="N93" s="6"/>
      <c r="P93" s="12" cm="1">
        <f t="array" ref="P93">_xlfn.SWITCH(P$4, 0,0, 1, AA93,2,AC93,3,AE93,0)</f>
        <v>0</v>
      </c>
      <c r="Q93" s="12" cm="1">
        <f t="array" ref="Q93">_xlfn.SWITCH(Q$4, 0,0, 1, AA93,2,AC93,3,AE93,0)+P93</f>
        <v>0</v>
      </c>
      <c r="R93" s="12" cm="1">
        <f t="array" ref="R93">_xlfn.SWITCH(R$4, 0,0, 1, AA93,2,AC93,3,AE93,0)+Q93</f>
        <v>0</v>
      </c>
      <c r="S93" s="12" cm="1">
        <f t="array" ref="S93">_xlfn.SWITCH(S$4, 0,0, 1, AA93,2,AC93,3,AE93,0)+R93</f>
        <v>0</v>
      </c>
      <c r="T93" s="12" cm="1">
        <f t="array" ref="T93">_xlfn.SWITCH(T$4, 0,0, 1, AA93,2,AC93,3,AE93,0)+S93</f>
        <v>0</v>
      </c>
      <c r="U93" s="12" cm="1">
        <f t="array" ref="U93">_xlfn.SWITCH(U$4, 0,0, 1, AA93,2,AC93,3,AE93,0)+T93</f>
        <v>0</v>
      </c>
      <c r="V93" s="12" cm="1">
        <f t="array" ref="V93">_xlfn.SWITCH(V$4, 0,0, 1, AA93,2,AC93,3,AE93,0)+U93</f>
        <v>0</v>
      </c>
      <c r="W93" s="12" cm="1">
        <f t="array" ref="W93">_xlfn.SWITCH(W$4, 0,0, 1, AA93,2,AC93,3,AE93,0)+V93</f>
        <v>0</v>
      </c>
      <c r="X93" s="12" cm="1">
        <f t="array" ref="X93">_xlfn.SWITCH(X$4, 0,0, 1, AA93,2,AC93,3,AE93,0)+W93</f>
        <v>0</v>
      </c>
      <c r="Z93" t="s">
        <v>1304</v>
      </c>
      <c r="AA93">
        <f>_xlfn.XLOOKUP(Z93,'KPI Impacts'!$K$2:$Q$2,'KPI Impacts'!$K93:$Q93)</f>
        <v>0</v>
      </c>
      <c r="AB93" t="s">
        <v>1304</v>
      </c>
      <c r="AC93">
        <f>_xlfn.XLOOKUP(AB93,'KPI Impacts'!$K$2:$Q$2,'KPI Impacts'!$K93:$Q93)</f>
        <v>0</v>
      </c>
      <c r="AD93" t="s">
        <v>1304</v>
      </c>
      <c r="AE93">
        <f>_xlfn.XLOOKUP(AD93,'KPI Impacts'!$K$2:$Q$2,'KPI Impacts'!$K93:$Q93)</f>
        <v>0</v>
      </c>
      <c r="AH93" s="12" cm="1">
        <f t="array" ref="AH93">_xlfn.SWITCH(AH$4, 0,0, 1, AS93,2,AU93,3,AW93,0)</f>
        <v>0</v>
      </c>
      <c r="AI93" s="12" cm="1">
        <f t="array" ref="AI93">_xlfn.SWITCH(AI$4, 0,0, 1, AS93,2,AU93,3,AW93,0)+AH93</f>
        <v>0</v>
      </c>
      <c r="AJ93" s="12" cm="1">
        <f t="array" ref="AJ93">_xlfn.SWITCH(AJ$4, 0,0, 1, AS93,2,AU93,3,AW93,0)+AI93</f>
        <v>0</v>
      </c>
      <c r="AK93" s="12" cm="1">
        <f t="array" ref="AK93">_xlfn.SWITCH(AK$4, 0,0, 1, AS93,2,AU93,3,AW93,0)+AJ93</f>
        <v>0</v>
      </c>
      <c r="AL93" s="12" cm="1">
        <f t="array" ref="AL93">_xlfn.SWITCH(AL$4, 0,0, 1, AS93,2,AU93,3,AW93,0)+AK93</f>
        <v>0</v>
      </c>
      <c r="AM93" s="12" cm="1">
        <f t="array" ref="AM93">_xlfn.SWITCH(AM$4, 0,0, 1, AS93,2,AU93,3,AW93,0)+AL93</f>
        <v>0</v>
      </c>
      <c r="AN93" s="12" cm="1">
        <f t="array" ref="AN93">_xlfn.SWITCH(AN$4, 0,0, 1, AS93,2,AU93,3,AW93,0)+AM93</f>
        <v>0</v>
      </c>
      <c r="AO93" s="12" cm="1">
        <f t="array" ref="AO93">_xlfn.SWITCH(AO$4, 0,0, 1, AS93,2,AU93,3,AW93,0)+AN93</f>
        <v>0</v>
      </c>
      <c r="AP93" s="12" cm="1">
        <f t="array" ref="AP93">_xlfn.SWITCH(AP$4, 0,0, 1, AS93,2,AU93,3,AW93,0)+AO93</f>
        <v>0</v>
      </c>
      <c r="AR93" t="s">
        <v>1304</v>
      </c>
      <c r="AS93">
        <f>_xlfn.XLOOKUP(AR93,'KPI Impacts'!$K$2:$Q$2,'KPI Impacts'!$K93:$Q93)</f>
        <v>0</v>
      </c>
      <c r="AT93" t="s">
        <v>1304</v>
      </c>
      <c r="AU93">
        <f>_xlfn.XLOOKUP(AT93,'KPI Impacts'!$K$2:$Q$2,'KPI Impacts'!$K93:$Q93)</f>
        <v>0</v>
      </c>
      <c r="AV93" t="s">
        <v>1304</v>
      </c>
      <c r="AW93">
        <f>_xlfn.XLOOKUP(AV93,'KPI Impacts'!$K$2:$Q$2,'KPI Impacts'!$K93:$Q93)</f>
        <v>0</v>
      </c>
      <c r="AZ93" s="12">
        <f>AZ$4*BK93</f>
        <v>0</v>
      </c>
      <c r="BA93" s="12">
        <f>BA$4 * IF(AND(AZ$4=1,AZ$20=1), BM93, BK93)</f>
        <v>0</v>
      </c>
      <c r="BB93" s="12">
        <f>BB$4 * IF(AND(BA$4=1,AZ$20=1), BM93, BK93)</f>
        <v>0</v>
      </c>
      <c r="BC93" s="12">
        <f>BC$4 * IF(AND(BB$4=1,AZ$20=1), BM93, BK93)</f>
        <v>0</v>
      </c>
      <c r="BD93" s="12">
        <f>BD$4 * IF(AND(BC$4=1,AZ$20=1), BM93, BK93)</f>
        <v>0</v>
      </c>
      <c r="BE93" s="12">
        <f>BE$4 * IF(AND(BD$4=1,AZ$20=1), BM93, BK93)</f>
        <v>0</v>
      </c>
      <c r="BF93" s="12">
        <f>BF$4 * IF(AND(BE$4=1,AZ$20=1), BM93, BK93)</f>
        <v>0</v>
      </c>
      <c r="BG93" s="12">
        <f>BG$4 * IF(AND(BF$4=1,AZ$20=1), BM93, BK93)</f>
        <v>0</v>
      </c>
      <c r="BH93" s="12">
        <f>BH$4 * IF(AND(BG$4=1,AZ$20=1), BM93, BK93)</f>
        <v>0</v>
      </c>
      <c r="BJ93" s="16" t="s">
        <v>1304</v>
      </c>
      <c r="BK93">
        <f>_xlfn.XLOOKUP(BJ93,'KPI Impacts'!$B$2:$H$2,'KPI Impacts'!$B93:$H93)</f>
        <v>0</v>
      </c>
      <c r="BL93" s="35" t="s">
        <v>1304</v>
      </c>
      <c r="BM93">
        <f>_xlfn.XLOOKUP(BL93,'KPI Impacts'!$B$2:$H$2,'KPI Impacts'!$B93:$H93)</f>
        <v>0</v>
      </c>
      <c r="BP93" s="12">
        <f>BP$4*CA93</f>
        <v>0</v>
      </c>
      <c r="BQ93" s="12">
        <f>BQ$4 * IF(AND(BP$4=1,BP$20=1), CC93, CA93)</f>
        <v>0</v>
      </c>
      <c r="BR93" s="12">
        <f>BR$4 * IF(AND(BQ$4=1,BP$20=1), CC93, CA93)</f>
        <v>0</v>
      </c>
      <c r="BS93" s="12">
        <f>BS$4 * IF(AND(BR$4=1,BP$20=1), CC93, CA93)</f>
        <v>0</v>
      </c>
      <c r="BT93" s="12">
        <f>BT$4 * IF(AND(BS$4=1,BP$20=1), CC93, CA93)</f>
        <v>0</v>
      </c>
      <c r="BU93" s="12">
        <f>BU$4 * IF(AND(BT$4=1,BP$20=1), CC93, CA93)</f>
        <v>0</v>
      </c>
      <c r="BV93" s="12">
        <f>BV$4 * IF(AND(BU$4=1,BP$20=1), CC93, CA93)</f>
        <v>0</v>
      </c>
      <c r="BW93" s="12">
        <f>BW$4 * IF(AND(BV$4=1,BP$20=1), CC93, CA93)</f>
        <v>0</v>
      </c>
      <c r="BX93" s="12">
        <f>BX$4 * IF(AND(BW$4=1,BP$20=1), CC93, CA93)</f>
        <v>0</v>
      </c>
      <c r="BZ93" s="16" t="s">
        <v>1304</v>
      </c>
      <c r="CA93">
        <f>_xlfn.XLOOKUP(BZ93,'KPI Impacts'!$B$2:$H$2,'KPI Impacts'!$B93:$H93)</f>
        <v>0</v>
      </c>
      <c r="CB93" s="35" t="s">
        <v>1304</v>
      </c>
      <c r="CC93">
        <f>_xlfn.XLOOKUP(CB93,'KPI Impacts'!$B$2:$H$2,'KPI Impacts'!$B93:$H93)</f>
        <v>0</v>
      </c>
      <c r="CF93" s="12">
        <f>CF$4*CQ93</f>
        <v>0</v>
      </c>
      <c r="CG93" s="12">
        <f>CG$4 * IF(AND(CF$4=1,CF$20=1), CS93, CQ93)</f>
        <v>0</v>
      </c>
      <c r="CH93" s="12">
        <f>CH$4 * IF(AND(CG$4=1,CF$20=1), CS93, CQ93)</f>
        <v>0</v>
      </c>
      <c r="CI93" s="12">
        <f>CI$4 * IF(AND(CH$4=1,CF$20=1), CS93, CQ93)</f>
        <v>0</v>
      </c>
      <c r="CJ93" s="12">
        <f>CJ$4 * IF(AND(CI$4=1,CF$20=1), CS93, CQ93)</f>
        <v>0</v>
      </c>
      <c r="CK93" s="12">
        <f>CK$4 * IF(AND(CJ$4=1,CF$20=1), CS93, CQ93)</f>
        <v>0</v>
      </c>
      <c r="CL93" s="12">
        <f>CL$4 * IF(AND(CK$4=1,CF$20=1), CS93, CQ93)</f>
        <v>0</v>
      </c>
      <c r="CM93" s="12">
        <f>CM$4 * IF(AND(CL$4=1,CF$20=1), CS93, CQ93)</f>
        <v>0</v>
      </c>
      <c r="CN93" s="12">
        <f>CN$4 * IF(AND(CM$4=1,CF$20=1), CS93, CQ93)</f>
        <v>0</v>
      </c>
      <c r="CP93" s="16" t="s">
        <v>1304</v>
      </c>
      <c r="CQ93">
        <f>_xlfn.XLOOKUP(CP93,'KPI Impacts'!$B$2:$H$2,'KPI Impacts'!$B93:$H93)</f>
        <v>0</v>
      </c>
      <c r="CR93" s="35" t="s">
        <v>1304</v>
      </c>
      <c r="CS93">
        <f>_xlfn.XLOOKUP(CR93,'KPI Impacts'!$B$2:$H$2,'KPI Impacts'!$B93:$H93)</f>
        <v>0</v>
      </c>
      <c r="CV93" s="12">
        <f>CV$4*DG93</f>
        <v>0</v>
      </c>
      <c r="CW93" s="12">
        <f>CW$4 * IF(AND(CV$4=1,CV$20=1), DI93, DG93)</f>
        <v>0</v>
      </c>
      <c r="CX93" s="12">
        <f>CX$4 * IF(AND(CW$4=1,CV$20=1), DI93, DG93)</f>
        <v>0</v>
      </c>
      <c r="CY93" s="12">
        <f>CY$4 * IF(AND(CX$4=1,CV$20=1), DI93, DG93)</f>
        <v>0</v>
      </c>
      <c r="CZ93" s="12">
        <f>CZ$4 * IF(AND(CY$4=1,CV$20=1), DI93, DG93)</f>
        <v>0</v>
      </c>
      <c r="DA93" s="12">
        <f>DA$4 * IF(AND(CZ$4=1,CV$20=1), DI93, DG93)</f>
        <v>0</v>
      </c>
      <c r="DB93" s="12">
        <f>DB$4 * IF(AND(DA$4=1,CV$20=1), DI93, DG93)</f>
        <v>0</v>
      </c>
      <c r="DC93" s="12">
        <f>DC$4 * IF(AND(DB$4=1,CV$20=1), DI93, DG93)</f>
        <v>0</v>
      </c>
      <c r="DD93" s="12">
        <f>DD$4 * IF(AND(DC$4=1,CV$20=1), DI93, DG93)</f>
        <v>0</v>
      </c>
      <c r="DF93" s="16" t="s">
        <v>1304</v>
      </c>
      <c r="DG93">
        <f>_xlfn.XLOOKUP(DF93,'KPI Impacts'!$B$2:$H$2,'KPI Impacts'!$B93:$H93)</f>
        <v>0</v>
      </c>
      <c r="DH93" s="35" t="s">
        <v>1304</v>
      </c>
      <c r="DI93">
        <f>_xlfn.XLOOKUP(DH93,'KPI Impacts'!$B$2:$H$2,'KPI Impacts'!$B93:$H93)</f>
        <v>0</v>
      </c>
      <c r="DL93" s="12">
        <f>DL$4*DW93</f>
        <v>0</v>
      </c>
      <c r="DM93" s="12">
        <f>DM$4 * IF(AND(DL$4=1,DL$20=1), DY93, DW93)</f>
        <v>0</v>
      </c>
      <c r="DN93" s="12">
        <f>DN$4 * IF(AND(DM$4=1,DL$20=1), DY93, DW93)</f>
        <v>0</v>
      </c>
      <c r="DO93" s="12">
        <f>DO$4 * IF(AND(DN$4=1,DL$20=1), DY93, DW93)</f>
        <v>0</v>
      </c>
      <c r="DP93" s="12">
        <f>DP$4 * IF(AND(DO$4=1,DL$20=1), DY93, DW93)</f>
        <v>0</v>
      </c>
      <c r="DQ93" s="12">
        <f>DQ$4 * IF(AND(DP$4=1,DL$20=1), DY93, DW93)</f>
        <v>0</v>
      </c>
      <c r="DR93" s="12">
        <f>DR$4 * IF(AND(DQ$4=1,DL$20=1), DY93, DW93)</f>
        <v>0</v>
      </c>
      <c r="DS93" s="12">
        <f>DS$4 * IF(AND(DR$4=1,DL$20=1), DY93, DW93)</f>
        <v>0</v>
      </c>
      <c r="DT93" s="12">
        <f>DT$4 * IF(AND(DS$4=1,DL$20=1), DY93, DW93)</f>
        <v>0</v>
      </c>
      <c r="DV93" s="16" t="s">
        <v>1304</v>
      </c>
      <c r="DW93">
        <f>_xlfn.XLOOKUP(DV93,'KPI Impacts'!$B$2:$H$2,'KPI Impacts'!$B93:$H93)</f>
        <v>0</v>
      </c>
      <c r="DX93" s="35" t="s">
        <v>1304</v>
      </c>
      <c r="DY93">
        <f>_xlfn.XLOOKUP(DX93,'KPI Impacts'!$B$2:$H$2,'KPI Impacts'!$B93:$H93)</f>
        <v>0</v>
      </c>
      <c r="EB93" s="12">
        <f>EB$4*EM93</f>
        <v>0</v>
      </c>
      <c r="EC93" s="12">
        <f>EC$4 * IF(AND(EB$4=1,EB$20=1), EO93, EM93)</f>
        <v>0</v>
      </c>
      <c r="ED93" s="12">
        <f>ED$4 * IF(AND(EC$4=1,EB$20=1), EO93, EM93)</f>
        <v>0</v>
      </c>
      <c r="EE93" s="12">
        <f>EE$4 * IF(AND(ED$4=1,EB$20=1), EO93, EM93)</f>
        <v>0</v>
      </c>
      <c r="EF93" s="12">
        <f>EF$4 * IF(AND(EE$4=1,EB$20=1), EO93, EM93)</f>
        <v>0</v>
      </c>
      <c r="EG93" s="12">
        <f>EG$4 * IF(AND(EF$4=1,EB$20=1), EO93, EM93)</f>
        <v>0</v>
      </c>
      <c r="EH93" s="12">
        <f>EH$4 * IF(AND(EG$4=1,EB$20=1), EO93, EM93)</f>
        <v>0</v>
      </c>
      <c r="EI93" s="12">
        <f>EI$4 * IF(AND(EH$4=1,EB$20=1), EO93, EM93)</f>
        <v>0</v>
      </c>
      <c r="EJ93" s="12">
        <f>EJ$4 * IF(AND(EI$4=1,EB$20=1), EO93, EM93)</f>
        <v>0</v>
      </c>
      <c r="EL93" s="16" t="s">
        <v>1304</v>
      </c>
      <c r="EM93">
        <f>_xlfn.XLOOKUP(EL93,'KPI Impacts'!$B$2:$H$2,'KPI Impacts'!$B93:$H93)</f>
        <v>0</v>
      </c>
      <c r="EN93" s="35" t="s">
        <v>1304</v>
      </c>
      <c r="EO93">
        <f>_xlfn.XLOOKUP(EN93,'KPI Impacts'!$B$2:$H$2,'KPI Impacts'!$B93:$H93)</f>
        <v>0</v>
      </c>
      <c r="ER93" s="12">
        <f>ER$4*FC93</f>
        <v>0</v>
      </c>
      <c r="ES93" s="12">
        <f>ES$4 * IF(AND(ER$4=1,ER$20=1), FE93, FC93)</f>
        <v>0</v>
      </c>
      <c r="ET93" s="12">
        <f>ET$4 * IF(AND(ES$4=1,ER$20=1), FE93, FC93)</f>
        <v>0</v>
      </c>
      <c r="EU93" s="12">
        <f>EU$4 * IF(AND(ET$4=1,ER$20=1), FE93, FC93)</f>
        <v>0</v>
      </c>
      <c r="EV93" s="12">
        <f>EV$4 * IF(AND(EU$4=1,ER$20=1), FE93, FC93)</f>
        <v>0</v>
      </c>
      <c r="EW93" s="12">
        <f>EW$4 * IF(AND(EV$4=1,ER$20=1), FE93, FC93)</f>
        <v>0</v>
      </c>
      <c r="EX93" s="12">
        <f>EX$4 * IF(AND(EW$4=1,ER$20=1), FE93, FC93)</f>
        <v>0</v>
      </c>
      <c r="EY93" s="12">
        <f>EY$4 * IF(AND(EX$4=1,ER$20=1), FE93, FC93)</f>
        <v>0</v>
      </c>
      <c r="EZ93" s="12">
        <f>EZ$4 * IF(AND(EY$4=1,ER$20=1), FE93, FC93)</f>
        <v>0</v>
      </c>
      <c r="FB93" s="16" t="s">
        <v>1304</v>
      </c>
      <c r="FC93">
        <f>_xlfn.XLOOKUP(FB93,'KPI Impacts'!$B$2:$H$2,'KPI Impacts'!$B93:$H93)</f>
        <v>0</v>
      </c>
      <c r="FD93" s="35" t="s">
        <v>1304</v>
      </c>
      <c r="FE93">
        <f>_xlfn.XLOOKUP(FD93,'KPI Impacts'!$B$2:$H$2,'KPI Impacts'!$B93:$H93)</f>
        <v>0</v>
      </c>
      <c r="FH93" s="12">
        <f>FH$4*FS93</f>
        <v>0</v>
      </c>
      <c r="FI93" s="12">
        <f>FI$4 * IF(AND(FH$4=1,FH$20=1), FU93, FS93)</f>
        <v>0</v>
      </c>
      <c r="FJ93" s="12">
        <f>FJ$4 * IF(AND(FI$4=1,FH$20=1), FU93, FS93)</f>
        <v>0</v>
      </c>
      <c r="FK93" s="12">
        <f>FK$4 * IF(AND(FJ$4=1,FH$20=1), FU93, FS93)</f>
        <v>0</v>
      </c>
      <c r="FL93" s="12">
        <f>FL$4 * IF(AND(FK$4=1,FH$20=1), FU93, FS93)</f>
        <v>0</v>
      </c>
      <c r="FM93" s="12">
        <f>FM$4 * IF(AND(FL$4=1,FH$20=1), FU93, FS93)</f>
        <v>0</v>
      </c>
      <c r="FN93" s="12">
        <f>FN$4 * IF(AND(FM$4=1,FH$20=1), FU93, FS93)</f>
        <v>0</v>
      </c>
      <c r="FO93" s="12">
        <f>FO$4 * IF(AND(FN$4=1,FH$20=1), FU93, FS93)</f>
        <v>0</v>
      </c>
      <c r="FP93" s="12">
        <f>FP$4 * IF(AND(FO$4=1,FH$20=1), FU93, FS93)</f>
        <v>0</v>
      </c>
      <c r="FR93" s="16" t="s">
        <v>1304</v>
      </c>
      <c r="FS93">
        <f>_xlfn.XLOOKUP(FR93,'KPI Impacts'!$B$2:$H$2,'KPI Impacts'!$B93:$H93)</f>
        <v>0</v>
      </c>
      <c r="FT93" s="9" t="s">
        <v>1304</v>
      </c>
      <c r="FU93">
        <f>_xlfn.XLOOKUP(FT93,'KPI Impacts'!$B$2:$H$2,'KPI Impacts'!$B93:$H93)</f>
        <v>0</v>
      </c>
      <c r="FX93" s="12">
        <f>FX$4*GI93</f>
        <v>0</v>
      </c>
      <c r="FY93" s="12">
        <f>FY$4 * IF(AND(FX$4=1,FX$20=1), GK93, GI93)</f>
        <v>0</v>
      </c>
      <c r="FZ93" s="12">
        <f>FZ$4 * IF(AND(FY$4=1,FX$20=1), GK93, GI93)</f>
        <v>0</v>
      </c>
      <c r="GA93" s="12">
        <f>GA$4 * IF(AND(FZ$4=1,FX$20=1), GK93, GI93)</f>
        <v>0</v>
      </c>
      <c r="GB93" s="12">
        <f>GB$4 * IF(AND(GA$4=1,FX$20=1), GK93, GI93)</f>
        <v>0</v>
      </c>
      <c r="GC93" s="12">
        <f>GC$4 * IF(AND(GB$4=1,FX$20=1), GK93, GI93)</f>
        <v>0</v>
      </c>
      <c r="GD93" s="12">
        <f>GD$4 * IF(AND(GC$4=1,FX$20=1), GK93, GI93)</f>
        <v>0</v>
      </c>
      <c r="GE93" s="12">
        <f>GE$4 * IF(AND(GD$4=1,FX$20=1), GK93, GI93)</f>
        <v>0</v>
      </c>
      <c r="GF93" s="12">
        <f>GF$4 * IF(AND(GE$4=1,FX$20=1), GK93, GI93)</f>
        <v>0</v>
      </c>
      <c r="GH93" s="16" t="s">
        <v>1304</v>
      </c>
      <c r="GI93">
        <f>_xlfn.XLOOKUP(GH93,'KPI Impacts'!$B$2:$H$2,'KPI Impacts'!$B93:$H93)</f>
        <v>0</v>
      </c>
      <c r="GJ93" s="9" t="s">
        <v>1304</v>
      </c>
      <c r="GK93">
        <f>_xlfn.XLOOKUP(GJ93,'KPI Impacts'!$B$2:$H$2,'KPI Impacts'!$B93:$H93)</f>
        <v>0</v>
      </c>
      <c r="GN93" s="12">
        <f>GN$4*GY93</f>
        <v>0</v>
      </c>
      <c r="GO93" s="12">
        <f>GO$4 * IF(AND(GN$4=1,GN$20=1), HA93, GY93)</f>
        <v>0</v>
      </c>
      <c r="GP93" s="12">
        <f>GP$4 * IF(AND(GO$4=1,GN$20=1), HA93, GY93)</f>
        <v>0</v>
      </c>
      <c r="GQ93" s="12">
        <f>GQ$4 * IF(AND(GP$4=1,GN$20=1), HA93, GY93)</f>
        <v>0</v>
      </c>
      <c r="GR93" s="12">
        <f>GR$4 * IF(AND(GQ$4=1,GN$20=1), HA93, GY93)</f>
        <v>0</v>
      </c>
      <c r="GS93" s="12">
        <f>GS$4 * IF(AND(GR$4=1,GN$20=1), HA93, GY93)</f>
        <v>0</v>
      </c>
      <c r="GT93" s="12">
        <f>GT$4 * IF(AND(GS$4=1,GN$20=1), HA93, GY93)</f>
        <v>0</v>
      </c>
      <c r="GU93" s="12">
        <f>GU$4 * IF(AND(GT$4=1,GN$20=1), HA93, GY93)</f>
        <v>0</v>
      </c>
      <c r="GV93" s="12">
        <f>GV$4 * IF(AND(GU$4=1,GN$20=1), HA93, GY93)</f>
        <v>0</v>
      </c>
      <c r="GX93" s="16" t="s">
        <v>1304</v>
      </c>
      <c r="GY93">
        <f>_xlfn.XLOOKUP(GX93,'KPI Impacts'!$B$2:$H$2,'KPI Impacts'!$B93:$H93)</f>
        <v>0</v>
      </c>
      <c r="GZ93" s="9" t="s">
        <v>1304</v>
      </c>
      <c r="HA93">
        <f>_xlfn.XLOOKUP(GZ93,'KPI Impacts'!$B$2:$H$2,'KPI Impacts'!$B93:$H93)</f>
        <v>0</v>
      </c>
      <c r="HD93" s="12">
        <f>HD$4*HO93</f>
        <v>0</v>
      </c>
      <c r="HE93" s="12">
        <f>HE$4 * IF(AND(HD$4=1,HD$20=1), HQ93, HO93)</f>
        <v>0</v>
      </c>
      <c r="HF93" s="12">
        <f>HF$4 * IF(AND(HE$4=1,HD$20=1), HQ93, HO93)</f>
        <v>0</v>
      </c>
      <c r="HG93" s="12">
        <f>HG$4 * IF(AND(HF$4=1,HD$20=1), HQ93, HO93)</f>
        <v>0</v>
      </c>
      <c r="HH93" s="12">
        <f>HH$4 * IF(AND(HG$4=1,HD$20=1), HQ93, HO93)</f>
        <v>0</v>
      </c>
      <c r="HI93" s="12">
        <f>HI$4 * IF(AND(HH$4=1,HD$20=1), HQ93, HO93)</f>
        <v>0</v>
      </c>
      <c r="HJ93" s="12">
        <f>HJ$4 * IF(AND(HI$4=1,HD$20=1), HQ93, HO93)</f>
        <v>0</v>
      </c>
      <c r="HK93" s="12">
        <f>HK$4 * IF(AND(HJ$4=1,HD$20=1), HQ93, HO93)</f>
        <v>0</v>
      </c>
      <c r="HL93" s="12">
        <f>HL$4 * IF(AND(HK$4=1,HD$20=1), HQ93, HO93)</f>
        <v>0</v>
      </c>
      <c r="HN93" t="s">
        <v>1304</v>
      </c>
      <c r="HO93">
        <f>_xlfn.XLOOKUP(HN93,'KPI Impacts'!$B$2:$H$2,'KPI Impacts'!$B93:$H93)</f>
        <v>0</v>
      </c>
      <c r="HP93" s="9" t="s">
        <v>1304</v>
      </c>
      <c r="HQ93">
        <f>_xlfn.XLOOKUP(HP93,'KPI Impacts'!$B$2:$H$2,'KPI Impacts'!$B93:$H93)</f>
        <v>0</v>
      </c>
      <c r="HT93" s="12">
        <f>HT$4*IE93</f>
        <v>0</v>
      </c>
      <c r="HU93" s="12">
        <f>HU$4 * IF(AND(HT$4=1,HT$20=1), IG93, IE93)</f>
        <v>0</v>
      </c>
      <c r="HV93" s="12">
        <f>HV$4 * IF(AND(HU$4=1,HT$20=1), IG93, IE93)</f>
        <v>0</v>
      </c>
      <c r="HW93" s="12">
        <f>HW$4 * IF(AND(HV$4=1,HT$20=1), IG93, IE93)</f>
        <v>0</v>
      </c>
      <c r="HX93" s="12">
        <f>HX$4 * IF(AND(HW$4=1,HT$20=1), IG93, IE93)</f>
        <v>0</v>
      </c>
      <c r="HY93" s="12">
        <f>HY$4 * IF(AND(HX$4=1,HT$20=1), IG93, IE93)</f>
        <v>0</v>
      </c>
      <c r="HZ93" s="12">
        <f>HZ$4 * IF(AND(HY$4=1,HT$20=1), IG93, IE93)</f>
        <v>0</v>
      </c>
      <c r="IA93" s="12">
        <f>IA$4 * IF(AND(HZ$4=1,HT$20=1), IG93, IE93)</f>
        <v>0</v>
      </c>
      <c r="IB93" s="12">
        <f>IB$4 * IF(AND(IA$4=1,HT$20=1), IG93, IE93)</f>
        <v>0</v>
      </c>
      <c r="ID93" t="s">
        <v>1304</v>
      </c>
      <c r="IE93">
        <f>_xlfn.XLOOKUP(ID93,'KPI Impacts'!$B$2:$H$2,'KPI Impacts'!$B93:$H93)</f>
        <v>0</v>
      </c>
      <c r="IF93" s="9" t="s">
        <v>1304</v>
      </c>
      <c r="IG93">
        <f>_xlfn.XLOOKUP(IF93,'KPI Impacts'!$B$2:$H$2,'KPI Impacts'!$B93:$H93)</f>
        <v>0</v>
      </c>
      <c r="IJ93" s="12">
        <f>IJ$4*IU93</f>
        <v>0</v>
      </c>
      <c r="IK93" s="12">
        <f>IK$4 * IF(AND(IJ$4=1,IJ$20=1), IW93, IU93)</f>
        <v>0</v>
      </c>
      <c r="IL93" s="12">
        <f>IL$4 * IF(AND(IK$4=1,IJ$20=1), IW93, IU93)</f>
        <v>0</v>
      </c>
      <c r="IM93" s="12">
        <f>IM$4 * IF(AND(IL$4=1,IJ$20=1), IW93, IU93)</f>
        <v>0</v>
      </c>
      <c r="IN93" s="12">
        <f>IN$4 * IF(AND(IM$4=1,IJ$20=1), IW93, IU93)</f>
        <v>0</v>
      </c>
      <c r="IO93" s="12">
        <f>IO$4 * IF(AND(IN$4=1,IJ$20=1), IW93, IU93)</f>
        <v>0</v>
      </c>
      <c r="IP93" s="12">
        <f>IP$4 * IF(AND(IO$4=1,IJ$20=1), IW93, IU93)</f>
        <v>0</v>
      </c>
      <c r="IQ93" s="12">
        <f>IQ$4 * IF(AND(IP$4=1,IJ$20=1), IW93, IU93)</f>
        <v>0</v>
      </c>
      <c r="IR93" s="12">
        <f>IR$4 * IF(AND(IQ$4=1,IJ$20=1), IW93, IU93)</f>
        <v>0</v>
      </c>
      <c r="IT93" t="s">
        <v>1304</v>
      </c>
      <c r="IU93">
        <f>_xlfn.XLOOKUP(IT93,'KPI Impacts'!$B$2:$H$2,'KPI Impacts'!$B93:$H93)</f>
        <v>0</v>
      </c>
      <c r="IV93" s="9" t="s">
        <v>1304</v>
      </c>
      <c r="IW93">
        <f>_xlfn.XLOOKUP(IV93,'KPI Impacts'!$B$2:$H$2,'KPI Impacts'!$B93:$H93)</f>
        <v>0</v>
      </c>
      <c r="IZ93" s="12">
        <f>IZ$4*JK93</f>
        <v>0</v>
      </c>
      <c r="JA93" s="12">
        <f>JA$4 * IF(AND(IZ$4=1,IZ$20=1), JM93, JK93)</f>
        <v>0</v>
      </c>
      <c r="JB93" s="12">
        <f>JB$4 * IF(AND(JA$4=1,IZ$20=1), JM93, JK93)</f>
        <v>0</v>
      </c>
      <c r="JC93" s="12">
        <f>JC$4 * IF(AND(JB$4=1,IZ$20=1), JM93, JK93)</f>
        <v>0</v>
      </c>
      <c r="JD93" s="12">
        <f>JD$4 * IF(AND(JC$4=1,IZ$20=1), JM93, JK93)</f>
        <v>0</v>
      </c>
      <c r="JE93" s="12">
        <f>JE$4 * IF(AND(JD$4=1,IZ$20=1), JM93, JK93)</f>
        <v>0</v>
      </c>
      <c r="JF93" s="12">
        <f>JF$4 * IF(AND(JE$4=1,IZ$20=1), JM93, JK93)</f>
        <v>0</v>
      </c>
      <c r="JG93" s="12">
        <f>JG$4 * IF(AND(JF$4=1,IZ$20=1), JM93, JK93)</f>
        <v>0</v>
      </c>
      <c r="JH93" s="12">
        <f>JH$4 * IF(AND(JG$4=1,IZ$20=1), JM93, JK93)</f>
        <v>0</v>
      </c>
      <c r="JJ93" t="s">
        <v>1304</v>
      </c>
      <c r="JK93">
        <f>_xlfn.XLOOKUP(JJ93,'KPI Impacts'!$B$2:$H$2,'KPI Impacts'!$B93:$H93)</f>
        <v>0</v>
      </c>
      <c r="JL93" s="9" t="s">
        <v>1304</v>
      </c>
      <c r="JM93">
        <f>_xlfn.XLOOKUP(JL93,'KPI Impacts'!$B$2:$H$2,'KPI Impacts'!$B93:$H93)</f>
        <v>0</v>
      </c>
      <c r="JP93" s="12">
        <f>JP$4*KA93</f>
        <v>0</v>
      </c>
      <c r="JQ93" s="12">
        <f>JQ$4 * IF(AND(JP$4=1,JP$20=1), KC93, KA93)</f>
        <v>0</v>
      </c>
      <c r="JR93" s="12">
        <f>JR$4 * IF(AND(JQ$4=1,JP$20=1), KC93, KA93)</f>
        <v>0</v>
      </c>
      <c r="JS93" s="12">
        <f>JS$4 * IF(AND(JR$4=1,JP$20=1), KC93, KA93)</f>
        <v>0</v>
      </c>
      <c r="JT93" s="12">
        <f>JT$4 * IF(AND(JS$4=1,JP$20=1), KC93, KA93)</f>
        <v>0</v>
      </c>
      <c r="JU93" s="12">
        <f>JU$4 * IF(AND(JT$4=1,JP$20=1), KC93, KA93)</f>
        <v>0</v>
      </c>
      <c r="JV93" s="12">
        <f>JV$4 * IF(AND(JU$4=1,JP$20=1), KC93, KA93)</f>
        <v>0</v>
      </c>
      <c r="JW93" s="12">
        <f>JW$4 * IF(AND(JV$4=1,JP$20=1), KC93, KA93)</f>
        <v>0</v>
      </c>
      <c r="JX93" s="12">
        <f>JX$4 * IF(AND(JW$4=1,JP$20=1), KC93, KA93)</f>
        <v>0</v>
      </c>
      <c r="JZ93" t="s">
        <v>1304</v>
      </c>
      <c r="KA93">
        <f>_xlfn.XLOOKUP(JZ93,'KPI Impacts'!$B$2:$H$2,'KPI Impacts'!$B93:$H93)</f>
        <v>0</v>
      </c>
      <c r="KB93" s="9" t="s">
        <v>1304</v>
      </c>
      <c r="KC93">
        <f>_xlfn.XLOOKUP(KB93,'KPI Impacts'!$B$2:$H$2,'KPI Impacts'!$B93:$H93)</f>
        <v>0</v>
      </c>
      <c r="KF93" s="12">
        <f>KF$4*KQ93</f>
        <v>0</v>
      </c>
      <c r="KG93" s="12">
        <f>KG$4 * IF(AND(KF$4=1,KF$20=1), KS93, KQ93)</f>
        <v>0</v>
      </c>
      <c r="KH93" s="12">
        <f>KH$4 * IF(AND(KG$4=1,KF$20=1), KS93, KQ93)</f>
        <v>0</v>
      </c>
      <c r="KI93" s="12">
        <f>KI$4 * IF(AND(KH$4=1,KF$20=1), KS93, KQ93)</f>
        <v>0</v>
      </c>
      <c r="KJ93" s="12">
        <f>KJ$4 * IF(AND(KI$4=1,KF$20=1), KS93, KQ93)</f>
        <v>0</v>
      </c>
      <c r="KK93" s="12">
        <f>KK$4 * IF(AND(KJ$4=1,KF$20=1), KS93, KQ93)</f>
        <v>0</v>
      </c>
      <c r="KL93" s="12">
        <f>KL$4 * IF(AND(KK$4=1,KF$20=1), KS93, KQ93)</f>
        <v>0</v>
      </c>
      <c r="KM93" s="12">
        <f>KM$4 * IF(AND(KL$4=1,KF$20=1), KS93, KQ93)</f>
        <v>0</v>
      </c>
      <c r="KN93" s="12">
        <f>KN$4 * IF(AND(KM$4=1,KF$20=1), KS93, KQ93)</f>
        <v>0</v>
      </c>
      <c r="KP93" t="s">
        <v>1304</v>
      </c>
      <c r="KQ93">
        <f>_xlfn.XLOOKUP(KP93,'KPI Impacts'!$B$2:$H$2,'KPI Impacts'!$B93:$H93)</f>
        <v>0</v>
      </c>
      <c r="KR93" s="9" t="s">
        <v>1304</v>
      </c>
      <c r="KS93">
        <f>_xlfn.XLOOKUP(KR93,'KPI Impacts'!$B$2:$H$2,'KPI Impacts'!$B93:$H93)</f>
        <v>0</v>
      </c>
      <c r="KV93" s="12">
        <f>KV$4*LG93</f>
        <v>0</v>
      </c>
      <c r="KW93" s="12">
        <f>KW$4 * IF(AND(KV$4=1,KV$20=1), LI93, LG93)</f>
        <v>0</v>
      </c>
      <c r="KX93" s="12">
        <f>KX$4 * IF(AND(KW$4=1,KV$20=1), LI93, LG93)</f>
        <v>0</v>
      </c>
      <c r="KY93" s="12">
        <f>KY$4 * IF(AND(KX$4=1,KV$20=1), LI93, LG93)</f>
        <v>0</v>
      </c>
      <c r="KZ93" s="12">
        <f>KZ$4 * IF(AND(KY$4=1,KV$20=1), LI93, LG93)</f>
        <v>0</v>
      </c>
      <c r="LA93" s="12">
        <f>LA$4 * IF(AND(KZ$4=1,KV$20=1), LI93, LG93)</f>
        <v>0</v>
      </c>
      <c r="LB93" s="12">
        <f>LB$4 * IF(AND(LA$4=1,KV$20=1), LI93, LG93)</f>
        <v>0</v>
      </c>
      <c r="LC93" s="12">
        <f>LC$4 * IF(AND(LB$4=1,KV$20=1), LI93, LG93)</f>
        <v>0</v>
      </c>
      <c r="LD93" s="12">
        <f>LD$4 * IF(AND(LC$4=1,KV$20=1), LI93, LG93)</f>
        <v>0</v>
      </c>
      <c r="LF93" t="s">
        <v>1304</v>
      </c>
      <c r="LG93">
        <f>_xlfn.XLOOKUP(LF93,'KPI Impacts'!$B$2:$H$2,'KPI Impacts'!$B93:$H93)</f>
        <v>0</v>
      </c>
      <c r="LH93" s="9" t="s">
        <v>1304</v>
      </c>
      <c r="LI93">
        <f>_xlfn.XLOOKUP(LH93,'KPI Impacts'!$B$2:$H$2,'KPI Impacts'!$B93:$H93)</f>
        <v>0</v>
      </c>
      <c r="LL93" s="12">
        <f>LL$4*LW93</f>
        <v>0</v>
      </c>
      <c r="LM93" s="12">
        <f>LM$4 * IF(AND(LL$4=1,LL$20=1), LY93, LW93)</f>
        <v>0</v>
      </c>
      <c r="LN93" s="12">
        <f>LN$4 * IF(AND(LM$4=1,LL$20=1), LY93, LW93)</f>
        <v>0</v>
      </c>
      <c r="LO93" s="12">
        <f>LO$4 * IF(AND(LN$4=1,LL$20=1), LY93, LW93)</f>
        <v>0</v>
      </c>
      <c r="LP93" s="12">
        <f>LP$4 * IF(AND(LO$4=1,LL$20=1), LY93, LW93)</f>
        <v>0</v>
      </c>
      <c r="LQ93" s="12">
        <f>LQ$4 * IF(AND(LP$4=1,LL$20=1), LY93, LW93)</f>
        <v>0</v>
      </c>
      <c r="LR93" s="12">
        <f>LR$4 * IF(AND(LQ$4=1,LL$20=1), LY93, LW93)</f>
        <v>0</v>
      </c>
      <c r="LS93" s="12">
        <f>LS$4 * IF(AND(LR$4=1,LL$20=1), LY93, LW93)</f>
        <v>0</v>
      </c>
      <c r="LT93" s="12">
        <f>LT$4 * IF(AND(LS$4=1,LL$20=1), LY93, LW93)</f>
        <v>0</v>
      </c>
      <c r="LV93" t="s">
        <v>1304</v>
      </c>
      <c r="LW93">
        <f>_xlfn.XLOOKUP(LV93,'KPI Impacts'!$B$2:$H$2,'KPI Impacts'!$B93:$H93)</f>
        <v>0</v>
      </c>
      <c r="LX93" s="9" t="s">
        <v>1304</v>
      </c>
      <c r="LY93">
        <f>_xlfn.XLOOKUP(LX93,'KPI Impacts'!$B$2:$H$2,'KPI Impacts'!$B93:$H93)</f>
        <v>0</v>
      </c>
      <c r="MB93" s="12">
        <f>MB$4*MM93</f>
        <v>0</v>
      </c>
      <c r="MC93" s="12">
        <f>MC$4 * IF(AND(MB$4=1,MB$20=1), MO93, MM93)</f>
        <v>0</v>
      </c>
      <c r="MD93" s="12">
        <f>MD$4 * IF(AND(MC$4=1,MB$20=1), MO93, MM93)</f>
        <v>0</v>
      </c>
      <c r="ME93" s="12">
        <f>ME$4 * IF(AND(MD$4=1,MB$20=1), MO93, MM93)</f>
        <v>0</v>
      </c>
      <c r="MF93" s="12">
        <f>MF$4 * IF(AND(ME$4=1,MB$20=1), MO93, MM93)</f>
        <v>0</v>
      </c>
      <c r="MG93" s="12">
        <f>MG$4 * IF(AND(MF$4=1,MB$20=1), MO93, MM93)</f>
        <v>0</v>
      </c>
      <c r="MH93" s="12">
        <f>MH$4 * IF(AND(MG$4=1,MB$20=1), MO93, MM93)</f>
        <v>0</v>
      </c>
      <c r="MI93" s="12">
        <f>MI$4 * IF(AND(MH$4=1,MB$20=1), MO93, MM93)</f>
        <v>0</v>
      </c>
      <c r="MJ93" s="12">
        <f>MJ$4 * IF(AND(MI$4=1,MB$20=1), MO93, MM93)</f>
        <v>0</v>
      </c>
      <c r="ML93" t="s">
        <v>1304</v>
      </c>
      <c r="MM93">
        <f>_xlfn.XLOOKUP(ML93,'KPI Impacts'!$B$2:$H$2,'KPI Impacts'!$B93:$H93)</f>
        <v>0</v>
      </c>
      <c r="MN93" s="9" t="s">
        <v>1304</v>
      </c>
      <c r="MO93">
        <f>_xlfn.XLOOKUP(MN93,'KPI Impacts'!$B$2:$H$2,'KPI Impacts'!$B93:$H93)</f>
        <v>0</v>
      </c>
      <c r="MR93" s="12">
        <f>MR$4*NC93</f>
        <v>0</v>
      </c>
      <c r="MS93" s="12">
        <f>MS$4 * IF(AND(MR$4=1,MR$20=1), NE93, NC93)</f>
        <v>0</v>
      </c>
      <c r="MT93" s="12">
        <f>MT$4 * IF(AND(MS$4=1,MR$20=1), NE93, NC93)</f>
        <v>0</v>
      </c>
      <c r="MU93" s="12">
        <f>MU$4 * IF(AND(MT$4=1,MR$20=1), NE93, NC93)</f>
        <v>0</v>
      </c>
      <c r="MV93" s="12">
        <f>MV$4 * IF(AND(MU$4=1,MR$20=1), NE93, NC93)</f>
        <v>0</v>
      </c>
      <c r="MW93" s="12">
        <f>MW$4 * IF(AND(MV$4=1,MR$20=1), NE93, NC93)</f>
        <v>0</v>
      </c>
      <c r="MX93" s="12">
        <f>MX$4 * IF(AND(MW$4=1,MR$20=1), NE93, NC93)</f>
        <v>0</v>
      </c>
      <c r="MY93" s="12">
        <f>MY$4 * IF(AND(MX$4=1,MR$20=1), NE93, NC93)</f>
        <v>0</v>
      </c>
      <c r="MZ93" s="12">
        <f>MZ$4 * IF(AND(MY$4=1,MR$20=1), NE93, NC93)</f>
        <v>0</v>
      </c>
      <c r="NB93" t="s">
        <v>1304</v>
      </c>
      <c r="NC93">
        <f>_xlfn.XLOOKUP(NB93,'KPI Impacts'!$B$2:$H$2,'KPI Impacts'!$B93:$H93)</f>
        <v>0</v>
      </c>
      <c r="ND93" s="9" t="s">
        <v>1304</v>
      </c>
      <c r="NE93">
        <f>_xlfn.XLOOKUP(ND93,'KPI Impacts'!$B$2:$H$2,'KPI Impacts'!$B93:$H93)</f>
        <v>0</v>
      </c>
      <c r="NH93" s="12">
        <f>NH$4*NS93</f>
        <v>0</v>
      </c>
      <c r="NI93" s="12">
        <f>NI$4 * IF(AND(NH$4=1,NH$20=1), NU93, NS93)</f>
        <v>0</v>
      </c>
      <c r="NJ93" s="12">
        <f>NJ$4 * IF(AND(NI$4=1,NH$20=1), NU93, NS93)</f>
        <v>0</v>
      </c>
      <c r="NK93" s="12">
        <f>NK$4 * IF(AND(NJ$4=1,NH$20=1), NU93, NS93)</f>
        <v>0</v>
      </c>
      <c r="NL93" s="12">
        <f>NL$4 * IF(AND(NK$4=1,NH$20=1), NU93, NS93)</f>
        <v>0</v>
      </c>
      <c r="NM93" s="12">
        <f>NM$4 * IF(AND(NL$4=1,NH$20=1), NU93, NS93)</f>
        <v>0</v>
      </c>
      <c r="NN93" s="12">
        <f>NN$4 * IF(AND(NM$4=1,NH$20=1), NU93, NS93)</f>
        <v>0</v>
      </c>
      <c r="NO93" s="12">
        <f>NO$4 * IF(AND(NN$4=1,NH$20=1), NU93, NS93)</f>
        <v>0</v>
      </c>
      <c r="NP93" s="12">
        <f>NP$4 * IF(AND(NO$4=1,NH$20=1), NU93, NS93)</f>
        <v>0</v>
      </c>
      <c r="NR93" t="s">
        <v>1304</v>
      </c>
      <c r="NS93">
        <f>_xlfn.XLOOKUP(NR93,'KPI Impacts'!$B$2:$H$2,'KPI Impacts'!$B93:$H93)</f>
        <v>0</v>
      </c>
      <c r="NT93" s="9" t="s">
        <v>1304</v>
      </c>
      <c r="NU93">
        <f>_xlfn.XLOOKUP(NT93,'KPI Impacts'!$B$2:$H$2,'KPI Impacts'!$B93:$H93)</f>
        <v>0</v>
      </c>
      <c r="NX93" s="12">
        <f>NX$4*OI93</f>
        <v>0</v>
      </c>
      <c r="NY93" s="12">
        <f>NY$4 * IF(AND(NX$4=1,NX$20=1), OK93, OI93)</f>
        <v>0</v>
      </c>
      <c r="NZ93" s="12">
        <f>NZ$4 * IF(AND(NY$4=1,NX$20=1), OK93, OI93)</f>
        <v>0</v>
      </c>
      <c r="OA93" s="12">
        <f>OA$4 * IF(AND(NZ$4=1,NX$20=1), OK93, OI93)</f>
        <v>0</v>
      </c>
      <c r="OB93" s="12">
        <f>OB$4 * IF(AND(OA$4=1,NX$20=1), OK93, OI93)</f>
        <v>0</v>
      </c>
      <c r="OC93" s="12">
        <f>OC$4 * IF(AND(OB$4=1,NX$20=1), OK93, OI93)</f>
        <v>0</v>
      </c>
      <c r="OD93" s="12">
        <f>OD$4 * IF(AND(OC$4=1,NX$20=1), OK93, OI93)</f>
        <v>0</v>
      </c>
      <c r="OE93" s="12">
        <f>OE$4 * IF(AND(OD$4=1,NX$20=1), OK93, OI93)</f>
        <v>0</v>
      </c>
      <c r="OF93" s="12">
        <f>OF$4 * IF(AND(OE$4=1,NX$20=1), OK93, OI93)</f>
        <v>0</v>
      </c>
      <c r="OH93" t="s">
        <v>1304</v>
      </c>
      <c r="OI93">
        <f>_xlfn.XLOOKUP(OH93,'KPI Impacts'!$B$2:$H$2,'KPI Impacts'!$B93:$H93)</f>
        <v>0</v>
      </c>
      <c r="OJ93" s="9" t="s">
        <v>1304</v>
      </c>
      <c r="OK93">
        <f>_xlfn.XLOOKUP(OJ93,'KPI Impacts'!$B$2:$H$2,'KPI Impacts'!$B93:$H93)</f>
        <v>0</v>
      </c>
    </row>
    <row r="94" spans="1:401" x14ac:dyDescent="0.2">
      <c r="A94" s="9" t="s">
        <v>1727</v>
      </c>
      <c r="B94" s="12">
        <f t="shared" si="519"/>
        <v>0</v>
      </c>
      <c r="C94" s="12">
        <f t="shared" si="519"/>
        <v>0</v>
      </c>
      <c r="D94" s="12">
        <f t="shared" si="519"/>
        <v>0</v>
      </c>
      <c r="E94" s="12">
        <f t="shared" si="519"/>
        <v>0</v>
      </c>
      <c r="F94" s="12">
        <f t="shared" si="519"/>
        <v>0</v>
      </c>
      <c r="G94" s="12">
        <f t="shared" si="519"/>
        <v>0</v>
      </c>
      <c r="H94" s="12">
        <f t="shared" si="519"/>
        <v>0</v>
      </c>
      <c r="I94" s="12">
        <f t="shared" si="519"/>
        <v>0</v>
      </c>
      <c r="J94" s="12">
        <f t="shared" si="519"/>
        <v>0</v>
      </c>
      <c r="M94" s="6"/>
      <c r="N94" s="6"/>
      <c r="P94" s="12" cm="1">
        <f t="array" ref="P94">_xlfn.SWITCH(P$4, 0,0, 1, AA94,2,AC94,3,AE94,0)</f>
        <v>0</v>
      </c>
      <c r="Q94" s="12" cm="1">
        <f t="array" ref="Q94">_xlfn.SWITCH(Q$4, 0,0, 1, AA94,2,AC94,3,AE94,0)+P94</f>
        <v>0</v>
      </c>
      <c r="R94" s="12" cm="1">
        <f t="array" ref="R94">_xlfn.SWITCH(R$4, 0,0, 1, AA94,2,AC94,3,AE94,0)+Q94</f>
        <v>0</v>
      </c>
      <c r="S94" s="12" cm="1">
        <f t="array" ref="S94">_xlfn.SWITCH(S$4, 0,0, 1, AA94,2,AC94,3,AE94,0)+R94</f>
        <v>0</v>
      </c>
      <c r="T94" s="12" cm="1">
        <f t="array" ref="T94">_xlfn.SWITCH(T$4, 0,0, 1, AA94,2,AC94,3,AE94,0)+S94</f>
        <v>0</v>
      </c>
      <c r="U94" s="12" cm="1">
        <f t="array" ref="U94">_xlfn.SWITCH(U$4, 0,0, 1, AA94,2,AC94,3,AE94,0)+T94</f>
        <v>0</v>
      </c>
      <c r="V94" s="12" cm="1">
        <f t="array" ref="V94">_xlfn.SWITCH(V$4, 0,0, 1, AA94,2,AC94,3,AE94,0)+U94</f>
        <v>0</v>
      </c>
      <c r="W94" s="12" cm="1">
        <f t="array" ref="W94">_xlfn.SWITCH(W$4, 0,0, 1, AA94,2,AC94,3,AE94,0)+V94</f>
        <v>0</v>
      </c>
      <c r="X94" s="12" cm="1">
        <f t="array" ref="X94">_xlfn.SWITCH(X$4, 0,0, 1, AA94,2,AC94,3,AE94,0)+W94</f>
        <v>0</v>
      </c>
      <c r="Z94" t="s">
        <v>1304</v>
      </c>
      <c r="AA94">
        <f>_xlfn.XLOOKUP(Z94,'KPI Impacts'!$K$2:$Q$2,'KPI Impacts'!$K94:$Q94)</f>
        <v>0</v>
      </c>
      <c r="AB94" t="s">
        <v>1304</v>
      </c>
      <c r="AC94">
        <f>_xlfn.XLOOKUP(AB94,'KPI Impacts'!$K$2:$Q$2,'KPI Impacts'!$K94:$Q94)</f>
        <v>0</v>
      </c>
      <c r="AD94" t="s">
        <v>1304</v>
      </c>
      <c r="AE94">
        <f>_xlfn.XLOOKUP(AD94,'KPI Impacts'!$K$2:$Q$2,'KPI Impacts'!$K94:$Q94)</f>
        <v>0</v>
      </c>
      <c r="AH94" s="12" cm="1">
        <f t="array" ref="AH94">_xlfn.SWITCH(AH$4, 0,0, 1, AS94,2,AU94,3,AW94,0)</f>
        <v>0</v>
      </c>
      <c r="AI94" s="12" cm="1">
        <f t="array" ref="AI94">_xlfn.SWITCH(AI$4, 0,0, 1, AS94,2,AU94,3,AW94,0)+AH94</f>
        <v>0</v>
      </c>
      <c r="AJ94" s="12" cm="1">
        <f t="array" ref="AJ94">_xlfn.SWITCH(AJ$4, 0,0, 1, AS94,2,AU94,3,AW94,0)+AI94</f>
        <v>0</v>
      </c>
      <c r="AK94" s="12" cm="1">
        <f t="array" ref="AK94">_xlfn.SWITCH(AK$4, 0,0, 1, AS94,2,AU94,3,AW94,0)+AJ94</f>
        <v>0</v>
      </c>
      <c r="AL94" s="12" cm="1">
        <f t="array" ref="AL94">_xlfn.SWITCH(AL$4, 0,0, 1, AS94,2,AU94,3,AW94,0)+AK94</f>
        <v>0</v>
      </c>
      <c r="AM94" s="12" cm="1">
        <f t="array" ref="AM94">_xlfn.SWITCH(AM$4, 0,0, 1, AS94,2,AU94,3,AW94,0)+AL94</f>
        <v>0</v>
      </c>
      <c r="AN94" s="12" cm="1">
        <f t="array" ref="AN94">_xlfn.SWITCH(AN$4, 0,0, 1, AS94,2,AU94,3,AW94,0)+AM94</f>
        <v>0</v>
      </c>
      <c r="AO94" s="12" cm="1">
        <f t="array" ref="AO94">_xlfn.SWITCH(AO$4, 0,0, 1, AS94,2,AU94,3,AW94,0)+AN94</f>
        <v>0</v>
      </c>
      <c r="AP94" s="12" cm="1">
        <f t="array" ref="AP94">_xlfn.SWITCH(AP$4, 0,0, 1, AS94,2,AU94,3,AW94,0)+AO94</f>
        <v>0</v>
      </c>
      <c r="AR94" t="s">
        <v>1304</v>
      </c>
      <c r="AS94">
        <f>_xlfn.XLOOKUP(AR94,'KPI Impacts'!$K$2:$Q$2,'KPI Impacts'!$K94:$Q94)</f>
        <v>0</v>
      </c>
      <c r="AT94" t="s">
        <v>1304</v>
      </c>
      <c r="AU94">
        <f>_xlfn.XLOOKUP(AT94,'KPI Impacts'!$K$2:$Q$2,'KPI Impacts'!$K94:$Q94)</f>
        <v>0</v>
      </c>
      <c r="AV94" t="s">
        <v>1304</v>
      </c>
      <c r="AW94">
        <f>_xlfn.XLOOKUP(AV94,'KPI Impacts'!$K$2:$Q$2,'KPI Impacts'!$K94:$Q94)</f>
        <v>0</v>
      </c>
      <c r="AZ94" s="12">
        <f>AZ$4*BK94</f>
        <v>0</v>
      </c>
      <c r="BA94" s="12">
        <f>BA$4 * IF(AND(AZ$4=1,AZ$20=1), BM94, BK94)</f>
        <v>0</v>
      </c>
      <c r="BB94" s="12">
        <f>BB$4 * IF(AND(BA$4=1,AZ$20=1), BM94, BK94)</f>
        <v>0</v>
      </c>
      <c r="BC94" s="12">
        <f>BC$4 * IF(AND(BB$4=1,AZ$20=1), BM94, BK94)</f>
        <v>0</v>
      </c>
      <c r="BD94" s="12">
        <f>BD$4 * IF(AND(BC$4=1,AZ$20=1), BM94, BK94)</f>
        <v>0</v>
      </c>
      <c r="BE94" s="12">
        <f>BE$4 * IF(AND(BD$4=1,AZ$20=1), BM94, BK94)</f>
        <v>0</v>
      </c>
      <c r="BF94" s="12">
        <f>BF$4 * IF(AND(BE$4=1,AZ$20=1), BM94, BK94)</f>
        <v>0</v>
      </c>
      <c r="BG94" s="12">
        <f>BG$4 * IF(AND(BF$4=1,AZ$20=1), BM94, BK94)</f>
        <v>0</v>
      </c>
      <c r="BH94" s="12">
        <f>BH$4 * IF(AND(BG$4=1,AZ$20=1), BM94, BK94)</f>
        <v>0</v>
      </c>
      <c r="BJ94" s="16" t="s">
        <v>1304</v>
      </c>
      <c r="BK94">
        <f>_xlfn.XLOOKUP(BJ94,'KPI Impacts'!$B$2:$H$2,'KPI Impacts'!$B94:$H94)</f>
        <v>0</v>
      </c>
      <c r="BL94" s="35" t="s">
        <v>1304</v>
      </c>
      <c r="BM94">
        <f>_xlfn.XLOOKUP(BL94,'KPI Impacts'!$B$2:$H$2,'KPI Impacts'!$B94:$H94)</f>
        <v>0</v>
      </c>
      <c r="BP94" s="12">
        <f>BP$4*CA94</f>
        <v>0</v>
      </c>
      <c r="BQ94" s="12">
        <f>BQ$4 * IF(AND(BP$4=1,BP$20=1), CC94, CA94)</f>
        <v>0</v>
      </c>
      <c r="BR94" s="12">
        <f>BR$4 * IF(AND(BQ$4=1,BP$20=1), CC94, CA94)</f>
        <v>0</v>
      </c>
      <c r="BS94" s="12">
        <f>BS$4 * IF(AND(BR$4=1,BP$20=1), CC94, CA94)</f>
        <v>0</v>
      </c>
      <c r="BT94" s="12">
        <f>BT$4 * IF(AND(BS$4=1,BP$20=1), CC94, CA94)</f>
        <v>0</v>
      </c>
      <c r="BU94" s="12">
        <f>BU$4 * IF(AND(BT$4=1,BP$20=1), CC94, CA94)</f>
        <v>0</v>
      </c>
      <c r="BV94" s="12">
        <f>BV$4 * IF(AND(BU$4=1,BP$20=1), CC94, CA94)</f>
        <v>0</v>
      </c>
      <c r="BW94" s="12">
        <f>BW$4 * IF(AND(BV$4=1,BP$20=1), CC94, CA94)</f>
        <v>0</v>
      </c>
      <c r="BX94" s="12">
        <f>BX$4 * IF(AND(BW$4=1,BP$20=1), CC94, CA94)</f>
        <v>0</v>
      </c>
      <c r="BZ94" s="16" t="s">
        <v>1304</v>
      </c>
      <c r="CA94">
        <f>_xlfn.XLOOKUP(BZ94,'KPI Impacts'!$B$2:$H$2,'KPI Impacts'!$B94:$H94)</f>
        <v>0</v>
      </c>
      <c r="CB94" s="35" t="s">
        <v>1304</v>
      </c>
      <c r="CC94">
        <f>_xlfn.XLOOKUP(CB94,'KPI Impacts'!$B$2:$H$2,'KPI Impacts'!$B94:$H94)</f>
        <v>0</v>
      </c>
      <c r="CF94" s="12">
        <f>CF$4*CQ94</f>
        <v>0</v>
      </c>
      <c r="CG94" s="12">
        <f>CG$4 * IF(AND(CF$4=1,CF$20=1), CS94, CQ94)</f>
        <v>0</v>
      </c>
      <c r="CH94" s="12">
        <f>CH$4 * IF(AND(CG$4=1,CF$20=1), CS94, CQ94)</f>
        <v>0</v>
      </c>
      <c r="CI94" s="12">
        <f>CI$4 * IF(AND(CH$4=1,CF$20=1), CS94, CQ94)</f>
        <v>0</v>
      </c>
      <c r="CJ94" s="12">
        <f>CJ$4 * IF(AND(CI$4=1,CF$20=1), CS94, CQ94)</f>
        <v>0</v>
      </c>
      <c r="CK94" s="12">
        <f>CK$4 * IF(AND(CJ$4=1,CF$20=1), CS94, CQ94)</f>
        <v>0</v>
      </c>
      <c r="CL94" s="12">
        <f>CL$4 * IF(AND(CK$4=1,CF$20=1), CS94, CQ94)</f>
        <v>0</v>
      </c>
      <c r="CM94" s="12">
        <f>CM$4 * IF(AND(CL$4=1,CF$20=1), CS94, CQ94)</f>
        <v>0</v>
      </c>
      <c r="CN94" s="12">
        <f>CN$4 * IF(AND(CM$4=1,CF$20=1), CS94, CQ94)</f>
        <v>0</v>
      </c>
      <c r="CP94" s="16" t="s">
        <v>1304</v>
      </c>
      <c r="CQ94">
        <f>_xlfn.XLOOKUP(CP94,'KPI Impacts'!$B$2:$H$2,'KPI Impacts'!$B94:$H94)</f>
        <v>0</v>
      </c>
      <c r="CR94" s="35" t="s">
        <v>1304</v>
      </c>
      <c r="CS94">
        <f>_xlfn.XLOOKUP(CR94,'KPI Impacts'!$B$2:$H$2,'KPI Impacts'!$B94:$H94)</f>
        <v>0</v>
      </c>
      <c r="CV94" s="12">
        <f>CV$4*DG94</f>
        <v>0</v>
      </c>
      <c r="CW94" s="12">
        <f>CW$4 * IF(AND(CV$4=1,CV$20=1), DI94, DG94)</f>
        <v>0</v>
      </c>
      <c r="CX94" s="12">
        <f>CX$4 * IF(AND(CW$4=1,CV$20=1), DI94, DG94)</f>
        <v>0</v>
      </c>
      <c r="CY94" s="12">
        <f>CY$4 * IF(AND(CX$4=1,CV$20=1), DI94, DG94)</f>
        <v>0</v>
      </c>
      <c r="CZ94" s="12">
        <f>CZ$4 * IF(AND(CY$4=1,CV$20=1), DI94, DG94)</f>
        <v>0</v>
      </c>
      <c r="DA94" s="12">
        <f>DA$4 * IF(AND(CZ$4=1,CV$20=1), DI94, DG94)</f>
        <v>0</v>
      </c>
      <c r="DB94" s="12">
        <f>DB$4 * IF(AND(DA$4=1,CV$20=1), DI94, DG94)</f>
        <v>0</v>
      </c>
      <c r="DC94" s="12">
        <f>DC$4 * IF(AND(DB$4=1,CV$20=1), DI94, DG94)</f>
        <v>0</v>
      </c>
      <c r="DD94" s="12">
        <f>DD$4 * IF(AND(DC$4=1,CV$20=1), DI94, DG94)</f>
        <v>0</v>
      </c>
      <c r="DF94" s="16" t="s">
        <v>1304</v>
      </c>
      <c r="DG94">
        <f>_xlfn.XLOOKUP(DF94,'KPI Impacts'!$B$2:$H$2,'KPI Impacts'!$B94:$H94)</f>
        <v>0</v>
      </c>
      <c r="DH94" s="35" t="s">
        <v>1304</v>
      </c>
      <c r="DI94">
        <f>_xlfn.XLOOKUP(DH94,'KPI Impacts'!$B$2:$H$2,'KPI Impacts'!$B94:$H94)</f>
        <v>0</v>
      </c>
      <c r="DL94" s="12">
        <f>DL$4*DW94</f>
        <v>0</v>
      </c>
      <c r="DM94" s="12">
        <f>DM$4 * IF(AND(DL$4=1,DL$20=1), DY94, DW94)</f>
        <v>0</v>
      </c>
      <c r="DN94" s="12">
        <f>DN$4 * IF(AND(DM$4=1,DL$20=1), DY94, DW94)</f>
        <v>0</v>
      </c>
      <c r="DO94" s="12">
        <f>DO$4 * IF(AND(DN$4=1,DL$20=1), DY94, DW94)</f>
        <v>0</v>
      </c>
      <c r="DP94" s="12">
        <f>DP$4 * IF(AND(DO$4=1,DL$20=1), DY94, DW94)</f>
        <v>0</v>
      </c>
      <c r="DQ94" s="12">
        <f>DQ$4 * IF(AND(DP$4=1,DL$20=1), DY94, DW94)</f>
        <v>0</v>
      </c>
      <c r="DR94" s="12">
        <f>DR$4 * IF(AND(DQ$4=1,DL$20=1), DY94, DW94)</f>
        <v>0</v>
      </c>
      <c r="DS94" s="12">
        <f>DS$4 * IF(AND(DR$4=1,DL$20=1), DY94, DW94)</f>
        <v>0</v>
      </c>
      <c r="DT94" s="12">
        <f>DT$4 * IF(AND(DS$4=1,DL$20=1), DY94, DW94)</f>
        <v>0</v>
      </c>
      <c r="DV94" s="16" t="s">
        <v>1304</v>
      </c>
      <c r="DW94">
        <f>_xlfn.XLOOKUP(DV94,'KPI Impacts'!$B$2:$H$2,'KPI Impacts'!$B94:$H94)</f>
        <v>0</v>
      </c>
      <c r="DX94" s="35" t="s">
        <v>1304</v>
      </c>
      <c r="DY94">
        <f>_xlfn.XLOOKUP(DX94,'KPI Impacts'!$B$2:$H$2,'KPI Impacts'!$B94:$H94)</f>
        <v>0</v>
      </c>
      <c r="EB94" s="12">
        <f>EB$4*EM94</f>
        <v>0</v>
      </c>
      <c r="EC94" s="12">
        <f>EC$4 * IF(AND(EB$4=1,EB$20=1), EO94, EM94)</f>
        <v>0</v>
      </c>
      <c r="ED94" s="12">
        <f>ED$4 * IF(AND(EC$4=1,EB$20=1), EO94, EM94)</f>
        <v>0</v>
      </c>
      <c r="EE94" s="12">
        <f>EE$4 * IF(AND(ED$4=1,EB$20=1), EO94, EM94)</f>
        <v>0</v>
      </c>
      <c r="EF94" s="12">
        <f>EF$4 * IF(AND(EE$4=1,EB$20=1), EO94, EM94)</f>
        <v>0</v>
      </c>
      <c r="EG94" s="12">
        <f>EG$4 * IF(AND(EF$4=1,EB$20=1), EO94, EM94)</f>
        <v>0</v>
      </c>
      <c r="EH94" s="12">
        <f>EH$4 * IF(AND(EG$4=1,EB$20=1), EO94, EM94)</f>
        <v>0</v>
      </c>
      <c r="EI94" s="12">
        <f>EI$4 * IF(AND(EH$4=1,EB$20=1), EO94, EM94)</f>
        <v>0</v>
      </c>
      <c r="EJ94" s="12">
        <f>EJ$4 * IF(AND(EI$4=1,EB$20=1), EO94, EM94)</f>
        <v>0</v>
      </c>
      <c r="EL94" s="16" t="s">
        <v>1304</v>
      </c>
      <c r="EM94">
        <f>_xlfn.XLOOKUP(EL94,'KPI Impacts'!$B$2:$H$2,'KPI Impacts'!$B94:$H94)</f>
        <v>0</v>
      </c>
      <c r="EN94" s="35" t="s">
        <v>1304</v>
      </c>
      <c r="EO94">
        <f>_xlfn.XLOOKUP(EN94,'KPI Impacts'!$B$2:$H$2,'KPI Impacts'!$B94:$H94)</f>
        <v>0</v>
      </c>
      <c r="ER94" s="12">
        <f>ER$4*FC94</f>
        <v>0</v>
      </c>
      <c r="ES94" s="12">
        <f>ES$4 * IF(AND(ER$4=1,ER$20=1), FE94, FC94)</f>
        <v>0</v>
      </c>
      <c r="ET94" s="12">
        <f>ET$4 * IF(AND(ES$4=1,ER$20=1), FE94, FC94)</f>
        <v>0</v>
      </c>
      <c r="EU94" s="12">
        <f>EU$4 * IF(AND(ET$4=1,ER$20=1), FE94, FC94)</f>
        <v>0</v>
      </c>
      <c r="EV94" s="12">
        <f>EV$4 * IF(AND(EU$4=1,ER$20=1), FE94, FC94)</f>
        <v>0</v>
      </c>
      <c r="EW94" s="12">
        <f>EW$4 * IF(AND(EV$4=1,ER$20=1), FE94, FC94)</f>
        <v>0</v>
      </c>
      <c r="EX94" s="12">
        <f>EX$4 * IF(AND(EW$4=1,ER$20=1), FE94, FC94)</f>
        <v>0</v>
      </c>
      <c r="EY94" s="12">
        <f>EY$4 * IF(AND(EX$4=1,ER$20=1), FE94, FC94)</f>
        <v>0</v>
      </c>
      <c r="EZ94" s="12">
        <f>EZ$4 * IF(AND(EY$4=1,ER$20=1), FE94, FC94)</f>
        <v>0</v>
      </c>
      <c r="FB94" s="16" t="s">
        <v>1304</v>
      </c>
      <c r="FC94">
        <f>_xlfn.XLOOKUP(FB94,'KPI Impacts'!$B$2:$H$2,'KPI Impacts'!$B94:$H94)</f>
        <v>0</v>
      </c>
      <c r="FD94" s="35" t="s">
        <v>1304</v>
      </c>
      <c r="FE94">
        <f>_xlfn.XLOOKUP(FD94,'KPI Impacts'!$B$2:$H$2,'KPI Impacts'!$B94:$H94)</f>
        <v>0</v>
      </c>
      <c r="FH94" s="12">
        <f>FH$4*FS94</f>
        <v>0</v>
      </c>
      <c r="FI94" s="12">
        <f>FI$4 * IF(AND(FH$4=1,FH$20=1), FU94, FS94)</f>
        <v>0</v>
      </c>
      <c r="FJ94" s="12">
        <f>FJ$4 * IF(AND(FI$4=1,FH$20=1), FU94, FS94)</f>
        <v>0</v>
      </c>
      <c r="FK94" s="12">
        <f>FK$4 * IF(AND(FJ$4=1,FH$20=1), FU94, FS94)</f>
        <v>0</v>
      </c>
      <c r="FL94" s="12">
        <f>FL$4 * IF(AND(FK$4=1,FH$20=1), FU94, FS94)</f>
        <v>0</v>
      </c>
      <c r="FM94" s="12">
        <f>FM$4 * IF(AND(FL$4=1,FH$20=1), FU94, FS94)</f>
        <v>0</v>
      </c>
      <c r="FN94" s="12">
        <f>FN$4 * IF(AND(FM$4=1,FH$20=1), FU94, FS94)</f>
        <v>0</v>
      </c>
      <c r="FO94" s="12">
        <f>FO$4 * IF(AND(FN$4=1,FH$20=1), FU94, FS94)</f>
        <v>0</v>
      </c>
      <c r="FP94" s="12">
        <f>FP$4 * IF(AND(FO$4=1,FH$20=1), FU94, FS94)</f>
        <v>0</v>
      </c>
      <c r="FR94" s="16" t="s">
        <v>1304</v>
      </c>
      <c r="FS94">
        <f>_xlfn.XLOOKUP(FR94,'KPI Impacts'!$B$2:$H$2,'KPI Impacts'!$B94:$H94)</f>
        <v>0</v>
      </c>
      <c r="FT94" s="9" t="s">
        <v>1304</v>
      </c>
      <c r="FU94">
        <f>_xlfn.XLOOKUP(FT94,'KPI Impacts'!$B$2:$H$2,'KPI Impacts'!$B94:$H94)</f>
        <v>0</v>
      </c>
      <c r="FX94" s="12">
        <f>FX$4*GI94</f>
        <v>0</v>
      </c>
      <c r="FY94" s="12">
        <f>FY$4 * IF(AND(FX$4=1,FX$20=1), GK94, GI94)</f>
        <v>0</v>
      </c>
      <c r="FZ94" s="12">
        <f>FZ$4 * IF(AND(FY$4=1,FX$20=1), GK94, GI94)</f>
        <v>0</v>
      </c>
      <c r="GA94" s="12">
        <f>GA$4 * IF(AND(FZ$4=1,FX$20=1), GK94, GI94)</f>
        <v>0</v>
      </c>
      <c r="GB94" s="12">
        <f>GB$4 * IF(AND(GA$4=1,FX$20=1), GK94, GI94)</f>
        <v>0</v>
      </c>
      <c r="GC94" s="12">
        <f>GC$4 * IF(AND(GB$4=1,FX$20=1), GK94, GI94)</f>
        <v>0</v>
      </c>
      <c r="GD94" s="12">
        <f>GD$4 * IF(AND(GC$4=1,FX$20=1), GK94, GI94)</f>
        <v>0</v>
      </c>
      <c r="GE94" s="12">
        <f>GE$4 * IF(AND(GD$4=1,FX$20=1), GK94, GI94)</f>
        <v>0</v>
      </c>
      <c r="GF94" s="12">
        <f>GF$4 * IF(AND(GE$4=1,FX$20=1), GK94, GI94)</f>
        <v>0</v>
      </c>
      <c r="GH94" s="16" t="s">
        <v>1304</v>
      </c>
      <c r="GI94">
        <f>_xlfn.XLOOKUP(GH94,'KPI Impacts'!$B$2:$H$2,'KPI Impacts'!$B94:$H94)</f>
        <v>0</v>
      </c>
      <c r="GJ94" s="9" t="s">
        <v>1304</v>
      </c>
      <c r="GK94">
        <f>_xlfn.XLOOKUP(GJ94,'KPI Impacts'!$B$2:$H$2,'KPI Impacts'!$B94:$H94)</f>
        <v>0</v>
      </c>
      <c r="GN94" s="12">
        <f>GN$4*GY94</f>
        <v>0</v>
      </c>
      <c r="GO94" s="12">
        <f>GO$4 * IF(AND(GN$4=1,GN$20=1), HA94, GY94)</f>
        <v>0</v>
      </c>
      <c r="GP94" s="12">
        <f>GP$4 * IF(AND(GO$4=1,GN$20=1), HA94, GY94)</f>
        <v>0</v>
      </c>
      <c r="GQ94" s="12">
        <f>GQ$4 * IF(AND(GP$4=1,GN$20=1), HA94, GY94)</f>
        <v>0</v>
      </c>
      <c r="GR94" s="12">
        <f>GR$4 * IF(AND(GQ$4=1,GN$20=1), HA94, GY94)</f>
        <v>0</v>
      </c>
      <c r="GS94" s="12">
        <f>GS$4 * IF(AND(GR$4=1,GN$20=1), HA94, GY94)</f>
        <v>0</v>
      </c>
      <c r="GT94" s="12">
        <f>GT$4 * IF(AND(GS$4=1,GN$20=1), HA94, GY94)</f>
        <v>0</v>
      </c>
      <c r="GU94" s="12">
        <f>GU$4 * IF(AND(GT$4=1,GN$20=1), HA94, GY94)</f>
        <v>0</v>
      </c>
      <c r="GV94" s="12">
        <f>GV$4 * IF(AND(GU$4=1,GN$20=1), HA94, GY94)</f>
        <v>0</v>
      </c>
      <c r="GX94" s="16" t="s">
        <v>1304</v>
      </c>
      <c r="GY94">
        <f>_xlfn.XLOOKUP(GX94,'KPI Impacts'!$B$2:$H$2,'KPI Impacts'!$B94:$H94)</f>
        <v>0</v>
      </c>
      <c r="GZ94" s="9" t="s">
        <v>1304</v>
      </c>
      <c r="HA94">
        <f>_xlfn.XLOOKUP(GZ94,'KPI Impacts'!$B$2:$H$2,'KPI Impacts'!$B94:$H94)</f>
        <v>0</v>
      </c>
      <c r="HD94" s="12">
        <f>HD$4*HO94</f>
        <v>0</v>
      </c>
      <c r="HE94" s="12">
        <f>HE$4 * IF(AND(HD$4=1,HD$20=1), HQ94, HO94)</f>
        <v>0</v>
      </c>
      <c r="HF94" s="12">
        <f>HF$4 * IF(AND(HE$4=1,HD$20=1), HQ94, HO94)</f>
        <v>0</v>
      </c>
      <c r="HG94" s="12">
        <f>HG$4 * IF(AND(HF$4=1,HD$20=1), HQ94, HO94)</f>
        <v>0</v>
      </c>
      <c r="HH94" s="12">
        <f>HH$4 * IF(AND(HG$4=1,HD$20=1), HQ94, HO94)</f>
        <v>0</v>
      </c>
      <c r="HI94" s="12">
        <f>HI$4 * IF(AND(HH$4=1,HD$20=1), HQ94, HO94)</f>
        <v>0</v>
      </c>
      <c r="HJ94" s="12">
        <f>HJ$4 * IF(AND(HI$4=1,HD$20=1), HQ94, HO94)</f>
        <v>0</v>
      </c>
      <c r="HK94" s="12">
        <f>HK$4 * IF(AND(HJ$4=1,HD$20=1), HQ94, HO94)</f>
        <v>0</v>
      </c>
      <c r="HL94" s="12">
        <f>HL$4 * IF(AND(HK$4=1,HD$20=1), HQ94, HO94)</f>
        <v>0</v>
      </c>
      <c r="HN94" t="s">
        <v>1304</v>
      </c>
      <c r="HO94">
        <f>_xlfn.XLOOKUP(HN94,'KPI Impacts'!$B$2:$H$2,'KPI Impacts'!$B94:$H94)</f>
        <v>0</v>
      </c>
      <c r="HP94" s="9" t="s">
        <v>1304</v>
      </c>
      <c r="HQ94">
        <f>_xlfn.XLOOKUP(HP94,'KPI Impacts'!$B$2:$H$2,'KPI Impacts'!$B94:$H94)</f>
        <v>0</v>
      </c>
      <c r="HT94" s="12">
        <f>HT$4*IE94</f>
        <v>0</v>
      </c>
      <c r="HU94" s="12">
        <f>HU$4 * IF(AND(HT$4=1,HT$20=1), IG94, IE94)</f>
        <v>0</v>
      </c>
      <c r="HV94" s="12">
        <f>HV$4 * IF(AND(HU$4=1,HT$20=1), IG94, IE94)</f>
        <v>0</v>
      </c>
      <c r="HW94" s="12">
        <f>HW$4 * IF(AND(HV$4=1,HT$20=1), IG94, IE94)</f>
        <v>0</v>
      </c>
      <c r="HX94" s="12">
        <f>HX$4 * IF(AND(HW$4=1,HT$20=1), IG94, IE94)</f>
        <v>0</v>
      </c>
      <c r="HY94" s="12">
        <f>HY$4 * IF(AND(HX$4=1,HT$20=1), IG94, IE94)</f>
        <v>0</v>
      </c>
      <c r="HZ94" s="12">
        <f>HZ$4 * IF(AND(HY$4=1,HT$20=1), IG94, IE94)</f>
        <v>0</v>
      </c>
      <c r="IA94" s="12">
        <f>IA$4 * IF(AND(HZ$4=1,HT$20=1), IG94, IE94)</f>
        <v>0</v>
      </c>
      <c r="IB94" s="12">
        <f>IB$4 * IF(AND(IA$4=1,HT$20=1), IG94, IE94)</f>
        <v>0</v>
      </c>
      <c r="ID94" t="s">
        <v>1304</v>
      </c>
      <c r="IE94">
        <f>_xlfn.XLOOKUP(ID94,'KPI Impacts'!$B$2:$H$2,'KPI Impacts'!$B94:$H94)</f>
        <v>0</v>
      </c>
      <c r="IF94" s="9" t="s">
        <v>1304</v>
      </c>
      <c r="IG94">
        <f>_xlfn.XLOOKUP(IF94,'KPI Impacts'!$B$2:$H$2,'KPI Impacts'!$B94:$H94)</f>
        <v>0</v>
      </c>
      <c r="IJ94" s="12">
        <f>IJ$4*IU94</f>
        <v>0</v>
      </c>
      <c r="IK94" s="12">
        <f>IK$4 * IF(AND(IJ$4=1,IJ$20=1), IW94, IU94)</f>
        <v>0</v>
      </c>
      <c r="IL94" s="12">
        <f>IL$4 * IF(AND(IK$4=1,IJ$20=1), IW94, IU94)</f>
        <v>0</v>
      </c>
      <c r="IM94" s="12">
        <f>IM$4 * IF(AND(IL$4=1,IJ$20=1), IW94, IU94)</f>
        <v>0</v>
      </c>
      <c r="IN94" s="12">
        <f>IN$4 * IF(AND(IM$4=1,IJ$20=1), IW94, IU94)</f>
        <v>0</v>
      </c>
      <c r="IO94" s="12">
        <f>IO$4 * IF(AND(IN$4=1,IJ$20=1), IW94, IU94)</f>
        <v>0</v>
      </c>
      <c r="IP94" s="12">
        <f>IP$4 * IF(AND(IO$4=1,IJ$20=1), IW94, IU94)</f>
        <v>0</v>
      </c>
      <c r="IQ94" s="12">
        <f>IQ$4 * IF(AND(IP$4=1,IJ$20=1), IW94, IU94)</f>
        <v>0</v>
      </c>
      <c r="IR94" s="12">
        <f>IR$4 * IF(AND(IQ$4=1,IJ$20=1), IW94, IU94)</f>
        <v>0</v>
      </c>
      <c r="IT94" t="s">
        <v>1304</v>
      </c>
      <c r="IU94">
        <f>_xlfn.XLOOKUP(IT94,'KPI Impacts'!$B$2:$H$2,'KPI Impacts'!$B94:$H94)</f>
        <v>0</v>
      </c>
      <c r="IV94" s="9" t="s">
        <v>1304</v>
      </c>
      <c r="IW94">
        <f>_xlfn.XLOOKUP(IV94,'KPI Impacts'!$B$2:$H$2,'KPI Impacts'!$B94:$H94)</f>
        <v>0</v>
      </c>
      <c r="IZ94" s="12">
        <f>IZ$4*JK94</f>
        <v>0</v>
      </c>
      <c r="JA94" s="12">
        <f>JA$4 * IF(AND(IZ$4=1,IZ$20=1), JM94, JK94)</f>
        <v>0</v>
      </c>
      <c r="JB94" s="12">
        <f>JB$4 * IF(AND(JA$4=1,IZ$20=1), JM94, JK94)</f>
        <v>0</v>
      </c>
      <c r="JC94" s="12">
        <f>JC$4 * IF(AND(JB$4=1,IZ$20=1), JM94, JK94)</f>
        <v>0</v>
      </c>
      <c r="JD94" s="12">
        <f>JD$4 * IF(AND(JC$4=1,IZ$20=1), JM94, JK94)</f>
        <v>0</v>
      </c>
      <c r="JE94" s="12">
        <f>JE$4 * IF(AND(JD$4=1,IZ$20=1), JM94, JK94)</f>
        <v>0</v>
      </c>
      <c r="JF94" s="12">
        <f>JF$4 * IF(AND(JE$4=1,IZ$20=1), JM94, JK94)</f>
        <v>0</v>
      </c>
      <c r="JG94" s="12">
        <f>JG$4 * IF(AND(JF$4=1,IZ$20=1), JM94, JK94)</f>
        <v>0</v>
      </c>
      <c r="JH94" s="12">
        <f>JH$4 * IF(AND(JG$4=1,IZ$20=1), JM94, JK94)</f>
        <v>0</v>
      </c>
      <c r="JJ94" t="s">
        <v>1304</v>
      </c>
      <c r="JK94">
        <f>_xlfn.XLOOKUP(JJ94,'KPI Impacts'!$B$2:$H$2,'KPI Impacts'!$B94:$H94)</f>
        <v>0</v>
      </c>
      <c r="JL94" s="9" t="s">
        <v>1304</v>
      </c>
      <c r="JM94">
        <f>_xlfn.XLOOKUP(JL94,'KPI Impacts'!$B$2:$H$2,'KPI Impacts'!$B94:$H94)</f>
        <v>0</v>
      </c>
      <c r="JP94" s="12">
        <f>JP$4*KA94</f>
        <v>0</v>
      </c>
      <c r="JQ94" s="12">
        <f>JQ$4 * IF(AND(JP$4=1,JP$20=1), KC94, KA94)</f>
        <v>0</v>
      </c>
      <c r="JR94" s="12">
        <f>JR$4 * IF(AND(JQ$4=1,JP$20=1), KC94, KA94)</f>
        <v>0</v>
      </c>
      <c r="JS94" s="12">
        <f>JS$4 * IF(AND(JR$4=1,JP$20=1), KC94, KA94)</f>
        <v>0</v>
      </c>
      <c r="JT94" s="12">
        <f>JT$4 * IF(AND(JS$4=1,JP$20=1), KC94, KA94)</f>
        <v>0</v>
      </c>
      <c r="JU94" s="12">
        <f>JU$4 * IF(AND(JT$4=1,JP$20=1), KC94, KA94)</f>
        <v>0</v>
      </c>
      <c r="JV94" s="12">
        <f>JV$4 * IF(AND(JU$4=1,JP$20=1), KC94, KA94)</f>
        <v>0</v>
      </c>
      <c r="JW94" s="12">
        <f>JW$4 * IF(AND(JV$4=1,JP$20=1), KC94, KA94)</f>
        <v>0</v>
      </c>
      <c r="JX94" s="12">
        <f>JX$4 * IF(AND(JW$4=1,JP$20=1), KC94, KA94)</f>
        <v>0</v>
      </c>
      <c r="JZ94" t="s">
        <v>1304</v>
      </c>
      <c r="KA94">
        <f>_xlfn.XLOOKUP(JZ94,'KPI Impacts'!$B$2:$H$2,'KPI Impacts'!$B94:$H94)</f>
        <v>0</v>
      </c>
      <c r="KB94" s="9" t="s">
        <v>1304</v>
      </c>
      <c r="KC94">
        <f>_xlfn.XLOOKUP(KB94,'KPI Impacts'!$B$2:$H$2,'KPI Impacts'!$B94:$H94)</f>
        <v>0</v>
      </c>
      <c r="KF94" s="12">
        <f>KF$4*KQ94</f>
        <v>0</v>
      </c>
      <c r="KG94" s="12">
        <f>KG$4 * IF(AND(KF$4=1,KF$20=1), KS94, KQ94)</f>
        <v>0</v>
      </c>
      <c r="KH94" s="12">
        <f>KH$4 * IF(AND(KG$4=1,KF$20=1), KS94, KQ94)</f>
        <v>0</v>
      </c>
      <c r="KI94" s="12">
        <f>KI$4 * IF(AND(KH$4=1,KF$20=1), KS94, KQ94)</f>
        <v>0</v>
      </c>
      <c r="KJ94" s="12">
        <f>KJ$4 * IF(AND(KI$4=1,KF$20=1), KS94, KQ94)</f>
        <v>0</v>
      </c>
      <c r="KK94" s="12">
        <f>KK$4 * IF(AND(KJ$4=1,KF$20=1), KS94, KQ94)</f>
        <v>0</v>
      </c>
      <c r="KL94" s="12">
        <f>KL$4 * IF(AND(KK$4=1,KF$20=1), KS94, KQ94)</f>
        <v>0</v>
      </c>
      <c r="KM94" s="12">
        <f>KM$4 * IF(AND(KL$4=1,KF$20=1), KS94, KQ94)</f>
        <v>0</v>
      </c>
      <c r="KN94" s="12">
        <f>KN$4 * IF(AND(KM$4=1,KF$20=1), KS94, KQ94)</f>
        <v>0</v>
      </c>
      <c r="KP94" t="s">
        <v>1304</v>
      </c>
      <c r="KQ94">
        <f>_xlfn.XLOOKUP(KP94,'KPI Impacts'!$B$2:$H$2,'KPI Impacts'!$B94:$H94)</f>
        <v>0</v>
      </c>
      <c r="KR94" s="9" t="s">
        <v>1304</v>
      </c>
      <c r="KS94">
        <f>_xlfn.XLOOKUP(KR94,'KPI Impacts'!$B$2:$H$2,'KPI Impacts'!$B94:$H94)</f>
        <v>0</v>
      </c>
      <c r="KV94" s="12">
        <f>KV$4*LG94</f>
        <v>0</v>
      </c>
      <c r="KW94" s="12">
        <f>KW$4 * IF(AND(KV$4=1,KV$20=1), LI94, LG94)</f>
        <v>0</v>
      </c>
      <c r="KX94" s="12">
        <f>KX$4 * IF(AND(KW$4=1,KV$20=1), LI94, LG94)</f>
        <v>0</v>
      </c>
      <c r="KY94" s="12">
        <f>KY$4 * IF(AND(KX$4=1,KV$20=1), LI94, LG94)</f>
        <v>0</v>
      </c>
      <c r="KZ94" s="12">
        <f>KZ$4 * IF(AND(KY$4=1,KV$20=1), LI94, LG94)</f>
        <v>0</v>
      </c>
      <c r="LA94" s="12">
        <f>LA$4 * IF(AND(KZ$4=1,KV$20=1), LI94, LG94)</f>
        <v>0</v>
      </c>
      <c r="LB94" s="12">
        <f>LB$4 * IF(AND(LA$4=1,KV$20=1), LI94, LG94)</f>
        <v>0</v>
      </c>
      <c r="LC94" s="12">
        <f>LC$4 * IF(AND(LB$4=1,KV$20=1), LI94, LG94)</f>
        <v>0</v>
      </c>
      <c r="LD94" s="12">
        <f>LD$4 * IF(AND(LC$4=1,KV$20=1), LI94, LG94)</f>
        <v>0</v>
      </c>
      <c r="LF94" t="s">
        <v>1304</v>
      </c>
      <c r="LG94">
        <f>_xlfn.XLOOKUP(LF94,'KPI Impacts'!$B$2:$H$2,'KPI Impacts'!$B94:$H94)</f>
        <v>0</v>
      </c>
      <c r="LH94" s="9" t="s">
        <v>1304</v>
      </c>
      <c r="LI94">
        <f>_xlfn.XLOOKUP(LH94,'KPI Impacts'!$B$2:$H$2,'KPI Impacts'!$B94:$H94)</f>
        <v>0</v>
      </c>
      <c r="LL94" s="12">
        <f>LL$4*LW94</f>
        <v>0</v>
      </c>
      <c r="LM94" s="12">
        <f>LM$4 * IF(AND(LL$4=1,LL$20=1), LY94, LW94)</f>
        <v>0</v>
      </c>
      <c r="LN94" s="12">
        <f>LN$4 * IF(AND(LM$4=1,LL$20=1), LY94, LW94)</f>
        <v>0</v>
      </c>
      <c r="LO94" s="12">
        <f>LO$4 * IF(AND(LN$4=1,LL$20=1), LY94, LW94)</f>
        <v>0</v>
      </c>
      <c r="LP94" s="12">
        <f>LP$4 * IF(AND(LO$4=1,LL$20=1), LY94, LW94)</f>
        <v>0</v>
      </c>
      <c r="LQ94" s="12">
        <f>LQ$4 * IF(AND(LP$4=1,LL$20=1), LY94, LW94)</f>
        <v>0</v>
      </c>
      <c r="LR94" s="12">
        <f>LR$4 * IF(AND(LQ$4=1,LL$20=1), LY94, LW94)</f>
        <v>0</v>
      </c>
      <c r="LS94" s="12">
        <f>LS$4 * IF(AND(LR$4=1,LL$20=1), LY94, LW94)</f>
        <v>0</v>
      </c>
      <c r="LT94" s="12">
        <f>LT$4 * IF(AND(LS$4=1,LL$20=1), LY94, LW94)</f>
        <v>0</v>
      </c>
      <c r="LV94" t="s">
        <v>1304</v>
      </c>
      <c r="LW94">
        <f>_xlfn.XLOOKUP(LV94,'KPI Impacts'!$B$2:$H$2,'KPI Impacts'!$B94:$H94)</f>
        <v>0</v>
      </c>
      <c r="LX94" s="9" t="s">
        <v>1304</v>
      </c>
      <c r="LY94">
        <f>_xlfn.XLOOKUP(LX94,'KPI Impacts'!$B$2:$H$2,'KPI Impacts'!$B94:$H94)</f>
        <v>0</v>
      </c>
      <c r="MB94" s="12">
        <f>MB$4*MM94</f>
        <v>0</v>
      </c>
      <c r="MC94" s="12">
        <f>MC$4 * IF(AND(MB$4=1,MB$20=1), MO94, MM94)</f>
        <v>0</v>
      </c>
      <c r="MD94" s="12">
        <f>MD$4 * IF(AND(MC$4=1,MB$20=1), MO94, MM94)</f>
        <v>0</v>
      </c>
      <c r="ME94" s="12">
        <f>ME$4 * IF(AND(MD$4=1,MB$20=1), MO94, MM94)</f>
        <v>0</v>
      </c>
      <c r="MF94" s="12">
        <f>MF$4 * IF(AND(ME$4=1,MB$20=1), MO94, MM94)</f>
        <v>0</v>
      </c>
      <c r="MG94" s="12">
        <f>MG$4 * IF(AND(MF$4=1,MB$20=1), MO94, MM94)</f>
        <v>0</v>
      </c>
      <c r="MH94" s="12">
        <f>MH$4 * IF(AND(MG$4=1,MB$20=1), MO94, MM94)</f>
        <v>0</v>
      </c>
      <c r="MI94" s="12">
        <f>MI$4 * IF(AND(MH$4=1,MB$20=1), MO94, MM94)</f>
        <v>0</v>
      </c>
      <c r="MJ94" s="12">
        <f>MJ$4 * IF(AND(MI$4=1,MB$20=1), MO94, MM94)</f>
        <v>0</v>
      </c>
      <c r="ML94" t="s">
        <v>1304</v>
      </c>
      <c r="MM94">
        <f>_xlfn.XLOOKUP(ML94,'KPI Impacts'!$B$2:$H$2,'KPI Impacts'!$B94:$H94)</f>
        <v>0</v>
      </c>
      <c r="MN94" s="9" t="s">
        <v>1304</v>
      </c>
      <c r="MO94">
        <f>_xlfn.XLOOKUP(MN94,'KPI Impacts'!$B$2:$H$2,'KPI Impacts'!$B94:$H94)</f>
        <v>0</v>
      </c>
      <c r="MR94" s="12">
        <f>MR$4*NC94</f>
        <v>0</v>
      </c>
      <c r="MS94" s="12">
        <f>MS$4 * IF(AND(MR$4=1,MR$20=1), NE94, NC94)</f>
        <v>0</v>
      </c>
      <c r="MT94" s="12">
        <f>MT$4 * IF(AND(MS$4=1,MR$20=1), NE94, NC94)</f>
        <v>0</v>
      </c>
      <c r="MU94" s="12">
        <f>MU$4 * IF(AND(MT$4=1,MR$20=1), NE94, NC94)</f>
        <v>0</v>
      </c>
      <c r="MV94" s="12">
        <f>MV$4 * IF(AND(MU$4=1,MR$20=1), NE94, NC94)</f>
        <v>0</v>
      </c>
      <c r="MW94" s="12">
        <f>MW$4 * IF(AND(MV$4=1,MR$20=1), NE94, NC94)</f>
        <v>0</v>
      </c>
      <c r="MX94" s="12">
        <f>MX$4 * IF(AND(MW$4=1,MR$20=1), NE94, NC94)</f>
        <v>0</v>
      </c>
      <c r="MY94" s="12">
        <f>MY$4 * IF(AND(MX$4=1,MR$20=1), NE94, NC94)</f>
        <v>0</v>
      </c>
      <c r="MZ94" s="12">
        <f>MZ$4 * IF(AND(MY$4=1,MR$20=1), NE94, NC94)</f>
        <v>0</v>
      </c>
      <c r="NB94" t="s">
        <v>1304</v>
      </c>
      <c r="NC94">
        <f>_xlfn.XLOOKUP(NB94,'KPI Impacts'!$B$2:$H$2,'KPI Impacts'!$B94:$H94)</f>
        <v>0</v>
      </c>
      <c r="ND94" s="9" t="s">
        <v>1304</v>
      </c>
      <c r="NE94">
        <f>_xlfn.XLOOKUP(ND94,'KPI Impacts'!$B$2:$H$2,'KPI Impacts'!$B94:$H94)</f>
        <v>0</v>
      </c>
      <c r="NH94" s="12">
        <f>NH$4*NS94</f>
        <v>0</v>
      </c>
      <c r="NI94" s="12">
        <f>NI$4 * IF(AND(NH$4=1,NH$20=1), NU94, NS94)</f>
        <v>0</v>
      </c>
      <c r="NJ94" s="12">
        <f>NJ$4 * IF(AND(NI$4=1,NH$20=1), NU94, NS94)</f>
        <v>0</v>
      </c>
      <c r="NK94" s="12">
        <f>NK$4 * IF(AND(NJ$4=1,NH$20=1), NU94, NS94)</f>
        <v>0</v>
      </c>
      <c r="NL94" s="12">
        <f>NL$4 * IF(AND(NK$4=1,NH$20=1), NU94, NS94)</f>
        <v>0</v>
      </c>
      <c r="NM94" s="12">
        <f>NM$4 * IF(AND(NL$4=1,NH$20=1), NU94, NS94)</f>
        <v>0</v>
      </c>
      <c r="NN94" s="12">
        <f>NN$4 * IF(AND(NM$4=1,NH$20=1), NU94, NS94)</f>
        <v>0</v>
      </c>
      <c r="NO94" s="12">
        <f>NO$4 * IF(AND(NN$4=1,NH$20=1), NU94, NS94)</f>
        <v>0</v>
      </c>
      <c r="NP94" s="12">
        <f>NP$4 * IF(AND(NO$4=1,NH$20=1), NU94, NS94)</f>
        <v>0</v>
      </c>
      <c r="NR94" t="s">
        <v>1304</v>
      </c>
      <c r="NS94">
        <f>_xlfn.XLOOKUP(NR94,'KPI Impacts'!$B$2:$H$2,'KPI Impacts'!$B94:$H94)</f>
        <v>0</v>
      </c>
      <c r="NT94" s="9" t="s">
        <v>1304</v>
      </c>
      <c r="NU94">
        <f>_xlfn.XLOOKUP(NT94,'KPI Impacts'!$B$2:$H$2,'KPI Impacts'!$B94:$H94)</f>
        <v>0</v>
      </c>
      <c r="NX94" s="12">
        <f>NX$4*OI94</f>
        <v>0</v>
      </c>
      <c r="NY94" s="12">
        <f>NY$4 * IF(AND(NX$4=1,NX$20=1), OK94, OI94)</f>
        <v>0</v>
      </c>
      <c r="NZ94" s="12">
        <f>NZ$4 * IF(AND(NY$4=1,NX$20=1), OK94, OI94)</f>
        <v>0</v>
      </c>
      <c r="OA94" s="12">
        <f>OA$4 * IF(AND(NZ$4=1,NX$20=1), OK94, OI94)</f>
        <v>0</v>
      </c>
      <c r="OB94" s="12">
        <f>OB$4 * IF(AND(OA$4=1,NX$20=1), OK94, OI94)</f>
        <v>0</v>
      </c>
      <c r="OC94" s="12">
        <f>OC$4 * IF(AND(OB$4=1,NX$20=1), OK94, OI94)</f>
        <v>0</v>
      </c>
      <c r="OD94" s="12">
        <f>OD$4 * IF(AND(OC$4=1,NX$20=1), OK94, OI94)</f>
        <v>0</v>
      </c>
      <c r="OE94" s="12">
        <f>OE$4 * IF(AND(OD$4=1,NX$20=1), OK94, OI94)</f>
        <v>0</v>
      </c>
      <c r="OF94" s="12">
        <f>OF$4 * IF(AND(OE$4=1,NX$20=1), OK94, OI94)</f>
        <v>0</v>
      </c>
      <c r="OH94" t="s">
        <v>1304</v>
      </c>
      <c r="OI94">
        <f>_xlfn.XLOOKUP(OH94,'KPI Impacts'!$B$2:$H$2,'KPI Impacts'!$B94:$H94)</f>
        <v>0</v>
      </c>
      <c r="OJ94" s="9" t="s">
        <v>1304</v>
      </c>
      <c r="OK94">
        <f>_xlfn.XLOOKUP(OJ94,'KPI Impacts'!$B$2:$H$2,'KPI Impacts'!$B94:$H94)</f>
        <v>0</v>
      </c>
    </row>
    <row r="95" spans="1:401" x14ac:dyDescent="0.2">
      <c r="A95" t="s">
        <v>1317</v>
      </c>
      <c r="B95" s="12">
        <f t="shared" si="519"/>
        <v>0</v>
      </c>
      <c r="C95" s="12">
        <f t="shared" si="519"/>
        <v>0</v>
      </c>
      <c r="D95" s="12">
        <f t="shared" si="519"/>
        <v>0</v>
      </c>
      <c r="E95" s="12">
        <f t="shared" si="519"/>
        <v>0</v>
      </c>
      <c r="F95" s="12">
        <f t="shared" si="519"/>
        <v>0</v>
      </c>
      <c r="G95" s="12">
        <f t="shared" si="519"/>
        <v>0</v>
      </c>
      <c r="H95" s="12">
        <f t="shared" si="519"/>
        <v>0</v>
      </c>
      <c r="I95" s="12">
        <f t="shared" si="519"/>
        <v>0</v>
      </c>
      <c r="J95" s="12">
        <f t="shared" si="519"/>
        <v>0</v>
      </c>
      <c r="M95" s="6"/>
      <c r="N95" s="6"/>
      <c r="P95" s="12" cm="1">
        <f t="array" ref="P95">_xlfn.SWITCH(P$4, 0,0, 1, AA95,2,AC95,3,AE95,0)</f>
        <v>0</v>
      </c>
      <c r="Q95" s="12" cm="1">
        <f t="array" ref="Q95">_xlfn.SWITCH(Q$4, 0,0, 1, AA95,2,AC95,3,AE95,0)+P95</f>
        <v>0</v>
      </c>
      <c r="R95" s="12" cm="1">
        <f t="array" ref="R95">_xlfn.SWITCH(R$4, 0,0, 1, AA95,2,AC95,3,AE95,0)+Q95</f>
        <v>0</v>
      </c>
      <c r="S95" s="12" cm="1">
        <f t="array" ref="S95">_xlfn.SWITCH(S$4, 0,0, 1, AA95,2,AC95,3,AE95,0)+R95</f>
        <v>0</v>
      </c>
      <c r="T95" s="12" cm="1">
        <f t="array" ref="T95">_xlfn.SWITCH(T$4, 0,0, 1, AA95,2,AC95,3,AE95,0)+S95</f>
        <v>0</v>
      </c>
      <c r="U95" s="12" cm="1">
        <f t="array" ref="U95">_xlfn.SWITCH(U$4, 0,0, 1, AA95,2,AC95,3,AE95,0)+T95</f>
        <v>0</v>
      </c>
      <c r="V95" s="12" cm="1">
        <f t="array" ref="V95">_xlfn.SWITCH(V$4, 0,0, 1, AA95,2,AC95,3,AE95,0)+U95</f>
        <v>0</v>
      </c>
      <c r="W95" s="12" cm="1">
        <f t="array" ref="W95">_xlfn.SWITCH(W$4, 0,0, 1, AA95,2,AC95,3,AE95,0)+V95</f>
        <v>0</v>
      </c>
      <c r="X95" s="12" cm="1">
        <f t="array" ref="X95">_xlfn.SWITCH(X$4, 0,0, 1, AA95,2,AC95,3,AE95,0)+W95</f>
        <v>0</v>
      </c>
      <c r="Z95" t="s">
        <v>1304</v>
      </c>
      <c r="AA95">
        <f>_xlfn.XLOOKUP(Z95,'KPI Impacts'!$K$2:$Q$2,'KPI Impacts'!$K95:$Q95)</f>
        <v>0</v>
      </c>
      <c r="AB95" t="s">
        <v>1304</v>
      </c>
      <c r="AC95">
        <f>_xlfn.XLOOKUP(AB95,'KPI Impacts'!$K$2:$Q$2,'KPI Impacts'!$K95:$Q95)</f>
        <v>0</v>
      </c>
      <c r="AD95" t="s">
        <v>1304</v>
      </c>
      <c r="AE95">
        <f>_xlfn.XLOOKUP(AD95,'KPI Impacts'!$K$2:$Q$2,'KPI Impacts'!$K95:$Q95)</f>
        <v>0</v>
      </c>
      <c r="AH95" s="12" cm="1">
        <f t="array" ref="AH95">_xlfn.SWITCH(AH$4, 0,0, 1, AS95,2,AU95,3,AW95,0)</f>
        <v>0</v>
      </c>
      <c r="AI95" s="12" cm="1">
        <f t="array" ref="AI95">_xlfn.SWITCH(AI$4, 0,0, 1, AS95,2,AU95,3,AW95,0)+AH95</f>
        <v>0</v>
      </c>
      <c r="AJ95" s="12" cm="1">
        <f t="array" ref="AJ95">_xlfn.SWITCH(AJ$4, 0,0, 1, AS95,2,AU95,3,AW95,0)+AI95</f>
        <v>0</v>
      </c>
      <c r="AK95" s="12" cm="1">
        <f t="array" ref="AK95">_xlfn.SWITCH(AK$4, 0,0, 1, AS95,2,AU95,3,AW95,0)+AJ95</f>
        <v>0</v>
      </c>
      <c r="AL95" s="12" cm="1">
        <f t="array" ref="AL95">_xlfn.SWITCH(AL$4, 0,0, 1, AS95,2,AU95,3,AW95,0)+AK95</f>
        <v>0</v>
      </c>
      <c r="AM95" s="12" cm="1">
        <f t="array" ref="AM95">_xlfn.SWITCH(AM$4, 0,0, 1, AS95,2,AU95,3,AW95,0)+AL95</f>
        <v>0</v>
      </c>
      <c r="AN95" s="12" cm="1">
        <f t="array" ref="AN95">_xlfn.SWITCH(AN$4, 0,0, 1, AS95,2,AU95,3,AW95,0)+AM95</f>
        <v>0</v>
      </c>
      <c r="AO95" s="12" cm="1">
        <f t="array" ref="AO95">_xlfn.SWITCH(AO$4, 0,0, 1, AS95,2,AU95,3,AW95,0)+AN95</f>
        <v>0</v>
      </c>
      <c r="AP95" s="12" cm="1">
        <f t="array" ref="AP95">_xlfn.SWITCH(AP$4, 0,0, 1, AS95,2,AU95,3,AW95,0)+AO95</f>
        <v>0</v>
      </c>
      <c r="AR95" t="s">
        <v>1304</v>
      </c>
      <c r="AS95">
        <f>_xlfn.XLOOKUP(AR95,'KPI Impacts'!$K$2:$Q$2,'KPI Impacts'!$K95:$Q95)</f>
        <v>0</v>
      </c>
      <c r="AT95" t="s">
        <v>1304</v>
      </c>
      <c r="AU95">
        <f>_xlfn.XLOOKUP(AT95,'KPI Impacts'!$K$2:$Q$2,'KPI Impacts'!$K95:$Q95)</f>
        <v>0</v>
      </c>
      <c r="AV95" t="s">
        <v>1304</v>
      </c>
      <c r="AW95">
        <f>_xlfn.XLOOKUP(AV95,'KPI Impacts'!$K$2:$Q$2,'KPI Impacts'!$K95:$Q95)</f>
        <v>0</v>
      </c>
      <c r="AZ95" s="12">
        <f>AZ$4*BK95</f>
        <v>0</v>
      </c>
      <c r="BA95" s="12">
        <f>BA$4 * IF(AND(AZ$4=1,AZ$20=1), BM95, BK95)</f>
        <v>0</v>
      </c>
      <c r="BB95" s="12">
        <f>BB$4 * IF(AND(BA$4=1,AZ$20=1), BM95, BK95)</f>
        <v>0</v>
      </c>
      <c r="BC95" s="12">
        <f>BC$4 * IF(AND(BB$4=1,AZ$20=1), BM95, BK95)</f>
        <v>0</v>
      </c>
      <c r="BD95" s="12">
        <f>BD$4 * IF(AND(BC$4=1,AZ$20=1), BM95, BK95)</f>
        <v>0</v>
      </c>
      <c r="BE95" s="12">
        <f>BE$4 * IF(AND(BD$4=1,AZ$20=1), BM95, BK95)</f>
        <v>0</v>
      </c>
      <c r="BF95" s="12">
        <f>BF$4 * IF(AND(BE$4=1,AZ$20=1), BM95, BK95)</f>
        <v>0</v>
      </c>
      <c r="BG95" s="12">
        <f>BG$4 * IF(AND(BF$4=1,AZ$20=1), BM95, BK95)</f>
        <v>0</v>
      </c>
      <c r="BH95" s="12">
        <f>BH$4 * IF(AND(BG$4=1,AZ$20=1), BM95, BK95)</f>
        <v>0</v>
      </c>
      <c r="BJ95" s="16" t="s">
        <v>1304</v>
      </c>
      <c r="BK95">
        <f>_xlfn.XLOOKUP(BJ95,'KPI Impacts'!$B$2:$H$2,'KPI Impacts'!$B95:$H95)</f>
        <v>0</v>
      </c>
      <c r="BL95" s="35" t="s">
        <v>1304</v>
      </c>
      <c r="BM95">
        <f>_xlfn.XLOOKUP(BL95,'KPI Impacts'!$B$2:$H$2,'KPI Impacts'!$B95:$H95)</f>
        <v>0</v>
      </c>
      <c r="BP95" s="12">
        <f>BP$4*CA95</f>
        <v>0</v>
      </c>
      <c r="BQ95" s="12">
        <f>BQ$4 * IF(AND(BP$4=1,BP$20=1), CC95, CA95)</f>
        <v>0</v>
      </c>
      <c r="BR95" s="12">
        <f>BR$4 * IF(AND(BQ$4=1,BP$20=1), CC95, CA95)</f>
        <v>0</v>
      </c>
      <c r="BS95" s="12">
        <f>BS$4 * IF(AND(BR$4=1,BP$20=1), CC95, CA95)</f>
        <v>0</v>
      </c>
      <c r="BT95" s="12">
        <f>BT$4 * IF(AND(BS$4=1,BP$20=1), CC95, CA95)</f>
        <v>0</v>
      </c>
      <c r="BU95" s="12">
        <f>BU$4 * IF(AND(BT$4=1,BP$20=1), CC95, CA95)</f>
        <v>0</v>
      </c>
      <c r="BV95" s="12">
        <f>BV$4 * IF(AND(BU$4=1,BP$20=1), CC95, CA95)</f>
        <v>0</v>
      </c>
      <c r="BW95" s="12">
        <f>BW$4 * IF(AND(BV$4=1,BP$20=1), CC95, CA95)</f>
        <v>0</v>
      </c>
      <c r="BX95" s="12">
        <f>BX$4 * IF(AND(BW$4=1,BP$20=1), CC95, CA95)</f>
        <v>0</v>
      </c>
      <c r="BZ95" s="16" t="s">
        <v>1304</v>
      </c>
      <c r="CA95">
        <f>_xlfn.XLOOKUP(BZ95,'KPI Impacts'!$B$2:$H$2,'KPI Impacts'!$B95:$H95)</f>
        <v>0</v>
      </c>
      <c r="CB95" s="35" t="s">
        <v>1304</v>
      </c>
      <c r="CC95">
        <f>_xlfn.XLOOKUP(CB95,'KPI Impacts'!$B$2:$H$2,'KPI Impacts'!$B95:$H95)</f>
        <v>0</v>
      </c>
      <c r="CF95" s="12">
        <f>CF$4*CQ95</f>
        <v>0</v>
      </c>
      <c r="CG95" s="12">
        <f>CG$4 * IF(AND(CF$4=1,CF$20=1), CS95, CQ95)</f>
        <v>0</v>
      </c>
      <c r="CH95" s="12">
        <f>CH$4 * IF(AND(CG$4=1,CF$20=1), CS95, CQ95)</f>
        <v>0</v>
      </c>
      <c r="CI95" s="12">
        <f>CI$4 * IF(AND(CH$4=1,CF$20=1), CS95, CQ95)</f>
        <v>0</v>
      </c>
      <c r="CJ95" s="12">
        <f>CJ$4 * IF(AND(CI$4=1,CF$20=1), CS95, CQ95)</f>
        <v>0</v>
      </c>
      <c r="CK95" s="12">
        <f>CK$4 * IF(AND(CJ$4=1,CF$20=1), CS95, CQ95)</f>
        <v>0</v>
      </c>
      <c r="CL95" s="12">
        <f>CL$4 * IF(AND(CK$4=1,CF$20=1), CS95, CQ95)</f>
        <v>0</v>
      </c>
      <c r="CM95" s="12">
        <f>CM$4 * IF(AND(CL$4=1,CF$20=1), CS95, CQ95)</f>
        <v>0</v>
      </c>
      <c r="CN95" s="12">
        <f>CN$4 * IF(AND(CM$4=1,CF$20=1), CS95, CQ95)</f>
        <v>0</v>
      </c>
      <c r="CP95" s="16" t="s">
        <v>1304</v>
      </c>
      <c r="CQ95">
        <f>_xlfn.XLOOKUP(CP95,'KPI Impacts'!$B$2:$H$2,'KPI Impacts'!$B95:$H95)</f>
        <v>0</v>
      </c>
      <c r="CR95" s="35" t="s">
        <v>1304</v>
      </c>
      <c r="CS95">
        <f>_xlfn.XLOOKUP(CR95,'KPI Impacts'!$B$2:$H$2,'KPI Impacts'!$B95:$H95)</f>
        <v>0</v>
      </c>
      <c r="CV95" s="12">
        <f>CV$4*DG95</f>
        <v>0</v>
      </c>
      <c r="CW95" s="12">
        <f>CW$4 * IF(AND(CV$4=1,CV$20=1), DI95, DG95)</f>
        <v>0</v>
      </c>
      <c r="CX95" s="12">
        <f>CX$4 * IF(AND(CW$4=1,CV$20=1), DI95, DG95)</f>
        <v>0</v>
      </c>
      <c r="CY95" s="12">
        <f>CY$4 * IF(AND(CX$4=1,CV$20=1), DI95, DG95)</f>
        <v>0</v>
      </c>
      <c r="CZ95" s="12">
        <f>CZ$4 * IF(AND(CY$4=1,CV$20=1), DI95, DG95)</f>
        <v>0</v>
      </c>
      <c r="DA95" s="12">
        <f>DA$4 * IF(AND(CZ$4=1,CV$20=1), DI95, DG95)</f>
        <v>0</v>
      </c>
      <c r="DB95" s="12">
        <f>DB$4 * IF(AND(DA$4=1,CV$20=1), DI95, DG95)</f>
        <v>0</v>
      </c>
      <c r="DC95" s="12">
        <f>DC$4 * IF(AND(DB$4=1,CV$20=1), DI95, DG95)</f>
        <v>0</v>
      </c>
      <c r="DD95" s="12">
        <f>DD$4 * IF(AND(DC$4=1,CV$20=1), DI95, DG95)</f>
        <v>0</v>
      </c>
      <c r="DF95" s="16" t="s">
        <v>1304</v>
      </c>
      <c r="DG95">
        <f>_xlfn.XLOOKUP(DF95,'KPI Impacts'!$B$2:$H$2,'KPI Impacts'!$B95:$H95)</f>
        <v>0</v>
      </c>
      <c r="DH95" s="35" t="s">
        <v>1304</v>
      </c>
      <c r="DI95">
        <f>_xlfn.XLOOKUP(DH95,'KPI Impacts'!$B$2:$H$2,'KPI Impacts'!$B95:$H95)</f>
        <v>0</v>
      </c>
      <c r="DL95" s="12">
        <f>DL$4*DW95</f>
        <v>0</v>
      </c>
      <c r="DM95" s="12">
        <f>DM$4 * IF(AND(DL$4=1,DL$20=1), DY95, DW95)</f>
        <v>0</v>
      </c>
      <c r="DN95" s="12">
        <f>DN$4 * IF(AND(DM$4=1,DL$20=1), DY95, DW95)</f>
        <v>0</v>
      </c>
      <c r="DO95" s="12">
        <f>DO$4 * IF(AND(DN$4=1,DL$20=1), DY95, DW95)</f>
        <v>0</v>
      </c>
      <c r="DP95" s="12">
        <f>DP$4 * IF(AND(DO$4=1,DL$20=1), DY95, DW95)</f>
        <v>0</v>
      </c>
      <c r="DQ95" s="12">
        <f>DQ$4 * IF(AND(DP$4=1,DL$20=1), DY95, DW95)</f>
        <v>0</v>
      </c>
      <c r="DR95" s="12">
        <f>DR$4 * IF(AND(DQ$4=1,DL$20=1), DY95, DW95)</f>
        <v>0</v>
      </c>
      <c r="DS95" s="12">
        <f>DS$4 * IF(AND(DR$4=1,DL$20=1), DY95, DW95)</f>
        <v>0</v>
      </c>
      <c r="DT95" s="12">
        <f>DT$4 * IF(AND(DS$4=1,DL$20=1), DY95, DW95)</f>
        <v>0</v>
      </c>
      <c r="DV95" s="16" t="s">
        <v>1304</v>
      </c>
      <c r="DW95">
        <f>_xlfn.XLOOKUP(DV95,'KPI Impacts'!$B$2:$H$2,'KPI Impacts'!$B95:$H95)</f>
        <v>0</v>
      </c>
      <c r="DX95" s="35" t="s">
        <v>1304</v>
      </c>
      <c r="DY95">
        <f>_xlfn.XLOOKUP(DX95,'KPI Impacts'!$B$2:$H$2,'KPI Impacts'!$B95:$H95)</f>
        <v>0</v>
      </c>
      <c r="EB95" s="12">
        <f>EB$4*EM95</f>
        <v>0</v>
      </c>
      <c r="EC95" s="12">
        <f>EC$4 * IF(AND(EB$4=1,EB$20=1), EO95, EM95)</f>
        <v>0</v>
      </c>
      <c r="ED95" s="12">
        <f>ED$4 * IF(AND(EC$4=1,EB$20=1), EO95, EM95)</f>
        <v>0</v>
      </c>
      <c r="EE95" s="12">
        <f>EE$4 * IF(AND(ED$4=1,EB$20=1), EO95, EM95)</f>
        <v>0</v>
      </c>
      <c r="EF95" s="12">
        <f>EF$4 * IF(AND(EE$4=1,EB$20=1), EO95, EM95)</f>
        <v>0</v>
      </c>
      <c r="EG95" s="12">
        <f>EG$4 * IF(AND(EF$4=1,EB$20=1), EO95, EM95)</f>
        <v>0</v>
      </c>
      <c r="EH95" s="12">
        <f>EH$4 * IF(AND(EG$4=1,EB$20=1), EO95, EM95)</f>
        <v>0</v>
      </c>
      <c r="EI95" s="12">
        <f>EI$4 * IF(AND(EH$4=1,EB$20=1), EO95, EM95)</f>
        <v>0</v>
      </c>
      <c r="EJ95" s="12">
        <f>EJ$4 * IF(AND(EI$4=1,EB$20=1), EO95, EM95)</f>
        <v>0</v>
      </c>
      <c r="EL95" s="16" t="s">
        <v>1304</v>
      </c>
      <c r="EM95">
        <f>_xlfn.XLOOKUP(EL95,'KPI Impacts'!$B$2:$H$2,'KPI Impacts'!$B95:$H95)</f>
        <v>0</v>
      </c>
      <c r="EN95" s="35" t="s">
        <v>1304</v>
      </c>
      <c r="EO95">
        <f>_xlfn.XLOOKUP(EN95,'KPI Impacts'!$B$2:$H$2,'KPI Impacts'!$B95:$H95)</f>
        <v>0</v>
      </c>
      <c r="ER95" s="12">
        <f>ER$4*FC95</f>
        <v>0</v>
      </c>
      <c r="ES95" s="12">
        <f>ES$4 * IF(AND(ER$4=1,ER$20=1), FE95, FC95)</f>
        <v>0</v>
      </c>
      <c r="ET95" s="12">
        <f>ET$4 * IF(AND(ES$4=1,ER$20=1), FE95, FC95)</f>
        <v>0</v>
      </c>
      <c r="EU95" s="12">
        <f>EU$4 * IF(AND(ET$4=1,ER$20=1), FE95, FC95)</f>
        <v>0</v>
      </c>
      <c r="EV95" s="12">
        <f>EV$4 * IF(AND(EU$4=1,ER$20=1), FE95, FC95)</f>
        <v>0</v>
      </c>
      <c r="EW95" s="12">
        <f>EW$4 * IF(AND(EV$4=1,ER$20=1), FE95, FC95)</f>
        <v>0</v>
      </c>
      <c r="EX95" s="12">
        <f>EX$4 * IF(AND(EW$4=1,ER$20=1), FE95, FC95)</f>
        <v>0</v>
      </c>
      <c r="EY95" s="12">
        <f>EY$4 * IF(AND(EX$4=1,ER$20=1), FE95, FC95)</f>
        <v>0</v>
      </c>
      <c r="EZ95" s="12">
        <f>EZ$4 * IF(AND(EY$4=1,ER$20=1), FE95, FC95)</f>
        <v>0</v>
      </c>
      <c r="FB95" s="16" t="s">
        <v>1304</v>
      </c>
      <c r="FC95">
        <f>_xlfn.XLOOKUP(FB95,'KPI Impacts'!$B$2:$H$2,'KPI Impacts'!$B95:$H95)</f>
        <v>0</v>
      </c>
      <c r="FD95" s="35" t="s">
        <v>1304</v>
      </c>
      <c r="FE95">
        <f>_xlfn.XLOOKUP(FD95,'KPI Impacts'!$B$2:$H$2,'KPI Impacts'!$B95:$H95)</f>
        <v>0</v>
      </c>
      <c r="FH95" s="12">
        <f>FH$4*FS95</f>
        <v>0</v>
      </c>
      <c r="FI95" s="12">
        <f>FI$4 * IF(AND(FH$4=1,FH$20=1), FU95, FS95)</f>
        <v>0</v>
      </c>
      <c r="FJ95" s="12">
        <f>FJ$4 * IF(AND(FI$4=1,FH$20=1), FU95, FS95)</f>
        <v>0</v>
      </c>
      <c r="FK95" s="12">
        <f>FK$4 * IF(AND(FJ$4=1,FH$20=1), FU95, FS95)</f>
        <v>0</v>
      </c>
      <c r="FL95" s="12">
        <f>FL$4 * IF(AND(FK$4=1,FH$20=1), FU95, FS95)</f>
        <v>0</v>
      </c>
      <c r="FM95" s="12">
        <f>FM$4 * IF(AND(FL$4=1,FH$20=1), FU95, FS95)</f>
        <v>0</v>
      </c>
      <c r="FN95" s="12">
        <f>FN$4 * IF(AND(FM$4=1,FH$20=1), FU95, FS95)</f>
        <v>0</v>
      </c>
      <c r="FO95" s="12">
        <f>FO$4 * IF(AND(FN$4=1,FH$20=1), FU95, FS95)</f>
        <v>0</v>
      </c>
      <c r="FP95" s="12">
        <f>FP$4 * IF(AND(FO$4=1,FH$20=1), FU95, FS95)</f>
        <v>0</v>
      </c>
      <c r="FR95" s="16" t="s">
        <v>1304</v>
      </c>
      <c r="FS95">
        <f>_xlfn.XLOOKUP(FR95,'KPI Impacts'!$B$2:$H$2,'KPI Impacts'!$B95:$H95)</f>
        <v>0</v>
      </c>
      <c r="FT95" s="9" t="s">
        <v>1304</v>
      </c>
      <c r="FU95">
        <f>_xlfn.XLOOKUP(FT95,'KPI Impacts'!$B$2:$H$2,'KPI Impacts'!$B95:$H95)</f>
        <v>0</v>
      </c>
      <c r="FX95" s="12">
        <f>FX$4*GI95</f>
        <v>0</v>
      </c>
      <c r="FY95" s="12">
        <f>FY$4 * IF(AND(FX$4=1,FX$20=1), GK95, GI95)</f>
        <v>0</v>
      </c>
      <c r="FZ95" s="12">
        <f>FZ$4 * IF(AND(FY$4=1,FX$20=1), GK95, GI95)</f>
        <v>0</v>
      </c>
      <c r="GA95" s="12">
        <f>GA$4 * IF(AND(FZ$4=1,FX$20=1), GK95, GI95)</f>
        <v>0</v>
      </c>
      <c r="GB95" s="12">
        <f>GB$4 * IF(AND(GA$4=1,FX$20=1), GK95, GI95)</f>
        <v>0</v>
      </c>
      <c r="GC95" s="12">
        <f>GC$4 * IF(AND(GB$4=1,FX$20=1), GK95, GI95)</f>
        <v>0</v>
      </c>
      <c r="GD95" s="12">
        <f>GD$4 * IF(AND(GC$4=1,FX$20=1), GK95, GI95)</f>
        <v>0</v>
      </c>
      <c r="GE95" s="12">
        <f>GE$4 * IF(AND(GD$4=1,FX$20=1), GK95, GI95)</f>
        <v>0</v>
      </c>
      <c r="GF95" s="12">
        <f>GF$4 * IF(AND(GE$4=1,FX$20=1), GK95, GI95)</f>
        <v>0</v>
      </c>
      <c r="GH95" s="16" t="s">
        <v>1304</v>
      </c>
      <c r="GI95">
        <f>_xlfn.XLOOKUP(GH95,'KPI Impacts'!$B$2:$H$2,'KPI Impacts'!$B95:$H95)</f>
        <v>0</v>
      </c>
      <c r="GJ95" s="9" t="s">
        <v>1304</v>
      </c>
      <c r="GK95">
        <f>_xlfn.XLOOKUP(GJ95,'KPI Impacts'!$B$2:$H$2,'KPI Impacts'!$B95:$H95)</f>
        <v>0</v>
      </c>
      <c r="GN95" s="12">
        <f>GN$4*GY95</f>
        <v>0</v>
      </c>
      <c r="GO95" s="12">
        <f>GO$4 * IF(AND(GN$4=1,GN$20=1), HA95, GY95)</f>
        <v>0</v>
      </c>
      <c r="GP95" s="12">
        <f>GP$4 * IF(AND(GO$4=1,GN$20=1), HA95, GY95)</f>
        <v>0</v>
      </c>
      <c r="GQ95" s="12">
        <f>GQ$4 * IF(AND(GP$4=1,GN$20=1), HA95, GY95)</f>
        <v>0</v>
      </c>
      <c r="GR95" s="12">
        <f>GR$4 * IF(AND(GQ$4=1,GN$20=1), HA95, GY95)</f>
        <v>0</v>
      </c>
      <c r="GS95" s="12">
        <f>GS$4 * IF(AND(GR$4=1,GN$20=1), HA95, GY95)</f>
        <v>0</v>
      </c>
      <c r="GT95" s="12">
        <f>GT$4 * IF(AND(GS$4=1,GN$20=1), HA95, GY95)</f>
        <v>0</v>
      </c>
      <c r="GU95" s="12">
        <f>GU$4 * IF(AND(GT$4=1,GN$20=1), HA95, GY95)</f>
        <v>0</v>
      </c>
      <c r="GV95" s="12">
        <f>GV$4 * IF(AND(GU$4=1,GN$20=1), HA95, GY95)</f>
        <v>0</v>
      </c>
      <c r="GX95" s="16" t="s">
        <v>1304</v>
      </c>
      <c r="GY95">
        <f>_xlfn.XLOOKUP(GX95,'KPI Impacts'!$B$2:$H$2,'KPI Impacts'!$B95:$H95)</f>
        <v>0</v>
      </c>
      <c r="GZ95" s="9" t="s">
        <v>1304</v>
      </c>
      <c r="HA95">
        <f>_xlfn.XLOOKUP(GZ95,'KPI Impacts'!$B$2:$H$2,'KPI Impacts'!$B95:$H95)</f>
        <v>0</v>
      </c>
      <c r="HD95" s="12">
        <f>HD$4*HO95</f>
        <v>0</v>
      </c>
      <c r="HE95" s="12">
        <f>HE$4 * IF(AND(HD$4=1,HD$20=1), HQ95, HO95)</f>
        <v>0</v>
      </c>
      <c r="HF95" s="12">
        <f>HF$4 * IF(AND(HE$4=1,HD$20=1), HQ95, HO95)</f>
        <v>0</v>
      </c>
      <c r="HG95" s="12">
        <f>HG$4 * IF(AND(HF$4=1,HD$20=1), HQ95, HO95)</f>
        <v>0</v>
      </c>
      <c r="HH95" s="12">
        <f>HH$4 * IF(AND(HG$4=1,HD$20=1), HQ95, HO95)</f>
        <v>0</v>
      </c>
      <c r="HI95" s="12">
        <f>HI$4 * IF(AND(HH$4=1,HD$20=1), HQ95, HO95)</f>
        <v>0</v>
      </c>
      <c r="HJ95" s="12">
        <f>HJ$4 * IF(AND(HI$4=1,HD$20=1), HQ95, HO95)</f>
        <v>0</v>
      </c>
      <c r="HK95" s="12">
        <f>HK$4 * IF(AND(HJ$4=1,HD$20=1), HQ95, HO95)</f>
        <v>0</v>
      </c>
      <c r="HL95" s="12">
        <f>HL$4 * IF(AND(HK$4=1,HD$20=1), HQ95, HO95)</f>
        <v>0</v>
      </c>
      <c r="HN95" t="s">
        <v>1304</v>
      </c>
      <c r="HO95">
        <f>_xlfn.XLOOKUP(HN95,'KPI Impacts'!$B$2:$H$2,'KPI Impacts'!$B95:$H95)</f>
        <v>0</v>
      </c>
      <c r="HP95" s="9" t="s">
        <v>1304</v>
      </c>
      <c r="HQ95">
        <f>_xlfn.XLOOKUP(HP95,'KPI Impacts'!$B$2:$H$2,'KPI Impacts'!$B95:$H95)</f>
        <v>0</v>
      </c>
      <c r="HT95" s="12">
        <f>HT$4*IE95</f>
        <v>0</v>
      </c>
      <c r="HU95" s="12">
        <f>HU$4 * IF(AND(HT$4=1,HT$20=1), IG95, IE95)</f>
        <v>0</v>
      </c>
      <c r="HV95" s="12">
        <f>HV$4 * IF(AND(HU$4=1,HT$20=1), IG95, IE95)</f>
        <v>0</v>
      </c>
      <c r="HW95" s="12">
        <f>HW$4 * IF(AND(HV$4=1,HT$20=1), IG95, IE95)</f>
        <v>0</v>
      </c>
      <c r="HX95" s="12">
        <f>HX$4 * IF(AND(HW$4=1,HT$20=1), IG95, IE95)</f>
        <v>0</v>
      </c>
      <c r="HY95" s="12">
        <f>HY$4 * IF(AND(HX$4=1,HT$20=1), IG95, IE95)</f>
        <v>0</v>
      </c>
      <c r="HZ95" s="12">
        <f>HZ$4 * IF(AND(HY$4=1,HT$20=1), IG95, IE95)</f>
        <v>0</v>
      </c>
      <c r="IA95" s="12">
        <f>IA$4 * IF(AND(HZ$4=1,HT$20=1), IG95, IE95)</f>
        <v>0</v>
      </c>
      <c r="IB95" s="12">
        <f>IB$4 * IF(AND(IA$4=1,HT$20=1), IG95, IE95)</f>
        <v>0</v>
      </c>
      <c r="ID95" t="s">
        <v>1304</v>
      </c>
      <c r="IE95">
        <f>_xlfn.XLOOKUP(ID95,'KPI Impacts'!$B$2:$H$2,'KPI Impacts'!$B95:$H95)</f>
        <v>0</v>
      </c>
      <c r="IF95" s="9" t="s">
        <v>1304</v>
      </c>
      <c r="IG95">
        <f>_xlfn.XLOOKUP(IF95,'KPI Impacts'!$B$2:$H$2,'KPI Impacts'!$B95:$H95)</f>
        <v>0</v>
      </c>
      <c r="IJ95" s="12">
        <f>IJ$4*IU95</f>
        <v>0</v>
      </c>
      <c r="IK95" s="12">
        <f>IK$4 * IF(AND(IJ$4=1,IJ$20=1), IW95, IU95)</f>
        <v>0</v>
      </c>
      <c r="IL95" s="12">
        <f>IL$4 * IF(AND(IK$4=1,IJ$20=1), IW95, IU95)</f>
        <v>0</v>
      </c>
      <c r="IM95" s="12">
        <f>IM$4 * IF(AND(IL$4=1,IJ$20=1), IW95, IU95)</f>
        <v>0</v>
      </c>
      <c r="IN95" s="12">
        <f>IN$4 * IF(AND(IM$4=1,IJ$20=1), IW95, IU95)</f>
        <v>0</v>
      </c>
      <c r="IO95" s="12">
        <f>IO$4 * IF(AND(IN$4=1,IJ$20=1), IW95, IU95)</f>
        <v>0</v>
      </c>
      <c r="IP95" s="12">
        <f>IP$4 * IF(AND(IO$4=1,IJ$20=1), IW95, IU95)</f>
        <v>0</v>
      </c>
      <c r="IQ95" s="12">
        <f>IQ$4 * IF(AND(IP$4=1,IJ$20=1), IW95, IU95)</f>
        <v>0</v>
      </c>
      <c r="IR95" s="12">
        <f>IR$4 * IF(AND(IQ$4=1,IJ$20=1), IW95, IU95)</f>
        <v>0</v>
      </c>
      <c r="IT95" t="s">
        <v>1304</v>
      </c>
      <c r="IU95">
        <f>_xlfn.XLOOKUP(IT95,'KPI Impacts'!$B$2:$H$2,'KPI Impacts'!$B95:$H95)</f>
        <v>0</v>
      </c>
      <c r="IV95" s="9" t="s">
        <v>1304</v>
      </c>
      <c r="IW95">
        <f>_xlfn.XLOOKUP(IV95,'KPI Impacts'!$B$2:$H$2,'KPI Impacts'!$B95:$H95)</f>
        <v>0</v>
      </c>
      <c r="IZ95" s="12">
        <f>IZ$4*JK95</f>
        <v>0</v>
      </c>
      <c r="JA95" s="12">
        <f>JA$4 * IF(AND(IZ$4=1,IZ$20=1), JM95, JK95)</f>
        <v>0</v>
      </c>
      <c r="JB95" s="12">
        <f>JB$4 * IF(AND(JA$4=1,IZ$20=1), JM95, JK95)</f>
        <v>0</v>
      </c>
      <c r="JC95" s="12">
        <f>JC$4 * IF(AND(JB$4=1,IZ$20=1), JM95, JK95)</f>
        <v>0</v>
      </c>
      <c r="JD95" s="12">
        <f>JD$4 * IF(AND(JC$4=1,IZ$20=1), JM95, JK95)</f>
        <v>0</v>
      </c>
      <c r="JE95" s="12">
        <f>JE$4 * IF(AND(JD$4=1,IZ$20=1), JM95, JK95)</f>
        <v>0</v>
      </c>
      <c r="JF95" s="12">
        <f>JF$4 * IF(AND(JE$4=1,IZ$20=1), JM95, JK95)</f>
        <v>0</v>
      </c>
      <c r="JG95" s="12">
        <f>JG$4 * IF(AND(JF$4=1,IZ$20=1), JM95, JK95)</f>
        <v>0</v>
      </c>
      <c r="JH95" s="12">
        <f>JH$4 * IF(AND(JG$4=1,IZ$20=1), JM95, JK95)</f>
        <v>0</v>
      </c>
      <c r="JJ95" t="s">
        <v>1304</v>
      </c>
      <c r="JK95">
        <f>_xlfn.XLOOKUP(JJ95,'KPI Impacts'!$B$2:$H$2,'KPI Impacts'!$B95:$H95)</f>
        <v>0</v>
      </c>
      <c r="JL95" s="9" t="s">
        <v>1304</v>
      </c>
      <c r="JM95">
        <f>_xlfn.XLOOKUP(JL95,'KPI Impacts'!$B$2:$H$2,'KPI Impacts'!$B95:$H95)</f>
        <v>0</v>
      </c>
      <c r="JP95" s="12">
        <f>JP$4*KA95</f>
        <v>0</v>
      </c>
      <c r="JQ95" s="12">
        <f>JQ$4 * IF(AND(JP$4=1,JP$20=1), KC95, KA95)</f>
        <v>0</v>
      </c>
      <c r="JR95" s="12">
        <f>JR$4 * IF(AND(JQ$4=1,JP$20=1), KC95, KA95)</f>
        <v>0</v>
      </c>
      <c r="JS95" s="12">
        <f>JS$4 * IF(AND(JR$4=1,JP$20=1), KC95, KA95)</f>
        <v>0</v>
      </c>
      <c r="JT95" s="12">
        <f>JT$4 * IF(AND(JS$4=1,JP$20=1), KC95, KA95)</f>
        <v>0</v>
      </c>
      <c r="JU95" s="12">
        <f>JU$4 * IF(AND(JT$4=1,JP$20=1), KC95, KA95)</f>
        <v>0</v>
      </c>
      <c r="JV95" s="12">
        <f>JV$4 * IF(AND(JU$4=1,JP$20=1), KC95, KA95)</f>
        <v>0</v>
      </c>
      <c r="JW95" s="12">
        <f>JW$4 * IF(AND(JV$4=1,JP$20=1), KC95, KA95)</f>
        <v>0</v>
      </c>
      <c r="JX95" s="12">
        <f>JX$4 * IF(AND(JW$4=1,JP$20=1), KC95, KA95)</f>
        <v>0</v>
      </c>
      <c r="JZ95" t="s">
        <v>1304</v>
      </c>
      <c r="KA95">
        <f>_xlfn.XLOOKUP(JZ95,'KPI Impacts'!$B$2:$H$2,'KPI Impacts'!$B95:$H95)</f>
        <v>0</v>
      </c>
      <c r="KB95" s="9" t="s">
        <v>1304</v>
      </c>
      <c r="KC95">
        <f>_xlfn.XLOOKUP(KB95,'KPI Impacts'!$B$2:$H$2,'KPI Impacts'!$B95:$H95)</f>
        <v>0</v>
      </c>
      <c r="KF95" s="12">
        <f>KF$4*KQ95</f>
        <v>0</v>
      </c>
      <c r="KG95" s="12">
        <f>KG$4 * IF(AND(KF$4=1,KF$20=1), KS95, KQ95)</f>
        <v>0</v>
      </c>
      <c r="KH95" s="12">
        <f>KH$4 * IF(AND(KG$4=1,KF$20=1), KS95, KQ95)</f>
        <v>0</v>
      </c>
      <c r="KI95" s="12">
        <f>KI$4 * IF(AND(KH$4=1,KF$20=1), KS95, KQ95)</f>
        <v>0</v>
      </c>
      <c r="KJ95" s="12">
        <f>KJ$4 * IF(AND(KI$4=1,KF$20=1), KS95, KQ95)</f>
        <v>0</v>
      </c>
      <c r="KK95" s="12">
        <f>KK$4 * IF(AND(KJ$4=1,KF$20=1), KS95, KQ95)</f>
        <v>0</v>
      </c>
      <c r="KL95" s="12">
        <f>KL$4 * IF(AND(KK$4=1,KF$20=1), KS95, KQ95)</f>
        <v>0</v>
      </c>
      <c r="KM95" s="12">
        <f>KM$4 * IF(AND(KL$4=1,KF$20=1), KS95, KQ95)</f>
        <v>0</v>
      </c>
      <c r="KN95" s="12">
        <f>KN$4 * IF(AND(KM$4=1,KF$20=1), KS95, KQ95)</f>
        <v>0</v>
      </c>
      <c r="KP95" t="s">
        <v>1304</v>
      </c>
      <c r="KQ95">
        <f>_xlfn.XLOOKUP(KP95,'KPI Impacts'!$B$2:$H$2,'KPI Impacts'!$B95:$H95)</f>
        <v>0</v>
      </c>
      <c r="KR95" s="9" t="s">
        <v>1304</v>
      </c>
      <c r="KS95">
        <f>_xlfn.XLOOKUP(KR95,'KPI Impacts'!$B$2:$H$2,'KPI Impacts'!$B95:$H95)</f>
        <v>0</v>
      </c>
      <c r="KV95" s="12">
        <f>KV$4*LG95</f>
        <v>0</v>
      </c>
      <c r="KW95" s="12">
        <f>KW$4 * IF(AND(KV$4=1,KV$20=1), LI95, LG95)</f>
        <v>0</v>
      </c>
      <c r="KX95" s="12">
        <f>KX$4 * IF(AND(KW$4=1,KV$20=1), LI95, LG95)</f>
        <v>0</v>
      </c>
      <c r="KY95" s="12">
        <f>KY$4 * IF(AND(KX$4=1,KV$20=1), LI95, LG95)</f>
        <v>0</v>
      </c>
      <c r="KZ95" s="12">
        <f>KZ$4 * IF(AND(KY$4=1,KV$20=1), LI95, LG95)</f>
        <v>0</v>
      </c>
      <c r="LA95" s="12">
        <f>LA$4 * IF(AND(KZ$4=1,KV$20=1), LI95, LG95)</f>
        <v>0</v>
      </c>
      <c r="LB95" s="12">
        <f>LB$4 * IF(AND(LA$4=1,KV$20=1), LI95, LG95)</f>
        <v>0</v>
      </c>
      <c r="LC95" s="12">
        <f>LC$4 * IF(AND(LB$4=1,KV$20=1), LI95, LG95)</f>
        <v>0</v>
      </c>
      <c r="LD95" s="12">
        <f>LD$4 * IF(AND(LC$4=1,KV$20=1), LI95, LG95)</f>
        <v>0</v>
      </c>
      <c r="LF95" t="s">
        <v>1304</v>
      </c>
      <c r="LG95">
        <f>_xlfn.XLOOKUP(LF95,'KPI Impacts'!$B$2:$H$2,'KPI Impacts'!$B95:$H95)</f>
        <v>0</v>
      </c>
      <c r="LH95" s="9" t="s">
        <v>1304</v>
      </c>
      <c r="LI95">
        <f>_xlfn.XLOOKUP(LH95,'KPI Impacts'!$B$2:$H$2,'KPI Impacts'!$B95:$H95)</f>
        <v>0</v>
      </c>
      <c r="LL95" s="12">
        <f>LL$4*LW95</f>
        <v>0</v>
      </c>
      <c r="LM95" s="12">
        <f>LM$4 * IF(AND(LL$4=1,LL$20=1), LY95, LW95)</f>
        <v>0</v>
      </c>
      <c r="LN95" s="12">
        <f>LN$4 * IF(AND(LM$4=1,LL$20=1), LY95, LW95)</f>
        <v>0</v>
      </c>
      <c r="LO95" s="12">
        <f>LO$4 * IF(AND(LN$4=1,LL$20=1), LY95, LW95)</f>
        <v>0</v>
      </c>
      <c r="LP95" s="12">
        <f>LP$4 * IF(AND(LO$4=1,LL$20=1), LY95, LW95)</f>
        <v>0</v>
      </c>
      <c r="LQ95" s="12">
        <f>LQ$4 * IF(AND(LP$4=1,LL$20=1), LY95, LW95)</f>
        <v>0</v>
      </c>
      <c r="LR95" s="12">
        <f>LR$4 * IF(AND(LQ$4=1,LL$20=1), LY95, LW95)</f>
        <v>0</v>
      </c>
      <c r="LS95" s="12">
        <f>LS$4 * IF(AND(LR$4=1,LL$20=1), LY95, LW95)</f>
        <v>0</v>
      </c>
      <c r="LT95" s="12">
        <f>LT$4 * IF(AND(LS$4=1,LL$20=1), LY95, LW95)</f>
        <v>0</v>
      </c>
      <c r="LV95" t="s">
        <v>1304</v>
      </c>
      <c r="LW95">
        <f>_xlfn.XLOOKUP(LV95,'KPI Impacts'!$B$2:$H$2,'KPI Impacts'!$B95:$H95)</f>
        <v>0</v>
      </c>
      <c r="LX95" s="9" t="s">
        <v>1304</v>
      </c>
      <c r="LY95">
        <f>_xlfn.XLOOKUP(LX95,'KPI Impacts'!$B$2:$H$2,'KPI Impacts'!$B95:$H95)</f>
        <v>0</v>
      </c>
      <c r="MB95" s="12">
        <f>MB$4*MM95</f>
        <v>0</v>
      </c>
      <c r="MC95" s="12">
        <f>MC$4 * IF(AND(MB$4=1,MB$20=1), MO95, MM95)</f>
        <v>0</v>
      </c>
      <c r="MD95" s="12">
        <f>MD$4 * IF(AND(MC$4=1,MB$20=1), MO95, MM95)</f>
        <v>0</v>
      </c>
      <c r="ME95" s="12">
        <f>ME$4 * IF(AND(MD$4=1,MB$20=1), MO95, MM95)</f>
        <v>0</v>
      </c>
      <c r="MF95" s="12">
        <f>MF$4 * IF(AND(ME$4=1,MB$20=1), MO95, MM95)</f>
        <v>0</v>
      </c>
      <c r="MG95" s="12">
        <f>MG$4 * IF(AND(MF$4=1,MB$20=1), MO95, MM95)</f>
        <v>0</v>
      </c>
      <c r="MH95" s="12">
        <f>MH$4 * IF(AND(MG$4=1,MB$20=1), MO95, MM95)</f>
        <v>0</v>
      </c>
      <c r="MI95" s="12">
        <f>MI$4 * IF(AND(MH$4=1,MB$20=1), MO95, MM95)</f>
        <v>0</v>
      </c>
      <c r="MJ95" s="12">
        <f>MJ$4 * IF(AND(MI$4=1,MB$20=1), MO95, MM95)</f>
        <v>0</v>
      </c>
      <c r="ML95" t="s">
        <v>1304</v>
      </c>
      <c r="MM95">
        <f>_xlfn.XLOOKUP(ML95,'KPI Impacts'!$B$2:$H$2,'KPI Impacts'!$B95:$H95)</f>
        <v>0</v>
      </c>
      <c r="MN95" s="9" t="s">
        <v>1304</v>
      </c>
      <c r="MO95">
        <f>_xlfn.XLOOKUP(MN95,'KPI Impacts'!$B$2:$H$2,'KPI Impacts'!$B95:$H95)</f>
        <v>0</v>
      </c>
      <c r="MR95" s="12">
        <f>MR$4*NC95</f>
        <v>0</v>
      </c>
      <c r="MS95" s="12">
        <f>MS$4 * IF(AND(MR$4=1,MR$20=1), NE95, NC95)</f>
        <v>0</v>
      </c>
      <c r="MT95" s="12">
        <f>MT$4 * IF(AND(MS$4=1,MR$20=1), NE95, NC95)</f>
        <v>0</v>
      </c>
      <c r="MU95" s="12">
        <f>MU$4 * IF(AND(MT$4=1,MR$20=1), NE95, NC95)</f>
        <v>0</v>
      </c>
      <c r="MV95" s="12">
        <f>MV$4 * IF(AND(MU$4=1,MR$20=1), NE95, NC95)</f>
        <v>0</v>
      </c>
      <c r="MW95" s="12">
        <f>MW$4 * IF(AND(MV$4=1,MR$20=1), NE95, NC95)</f>
        <v>0</v>
      </c>
      <c r="MX95" s="12">
        <f>MX$4 * IF(AND(MW$4=1,MR$20=1), NE95, NC95)</f>
        <v>0</v>
      </c>
      <c r="MY95" s="12">
        <f>MY$4 * IF(AND(MX$4=1,MR$20=1), NE95, NC95)</f>
        <v>0</v>
      </c>
      <c r="MZ95" s="12">
        <f>MZ$4 * IF(AND(MY$4=1,MR$20=1), NE95, NC95)</f>
        <v>0</v>
      </c>
      <c r="NB95" t="s">
        <v>1304</v>
      </c>
      <c r="NC95">
        <f>_xlfn.XLOOKUP(NB95,'KPI Impacts'!$B$2:$H$2,'KPI Impacts'!$B95:$H95)</f>
        <v>0</v>
      </c>
      <c r="ND95" s="9" t="s">
        <v>1304</v>
      </c>
      <c r="NE95">
        <f>_xlfn.XLOOKUP(ND95,'KPI Impacts'!$B$2:$H$2,'KPI Impacts'!$B95:$H95)</f>
        <v>0</v>
      </c>
      <c r="NH95" s="12">
        <f>NH$4*NS95</f>
        <v>0</v>
      </c>
      <c r="NI95" s="12">
        <f>NI$4 * IF(AND(NH$4=1,NH$20=1), NU95, NS95)</f>
        <v>0</v>
      </c>
      <c r="NJ95" s="12">
        <f>NJ$4 * IF(AND(NI$4=1,NH$20=1), NU95, NS95)</f>
        <v>0</v>
      </c>
      <c r="NK95" s="12">
        <f>NK$4 * IF(AND(NJ$4=1,NH$20=1), NU95, NS95)</f>
        <v>0</v>
      </c>
      <c r="NL95" s="12">
        <f>NL$4 * IF(AND(NK$4=1,NH$20=1), NU95, NS95)</f>
        <v>0</v>
      </c>
      <c r="NM95" s="12">
        <f>NM$4 * IF(AND(NL$4=1,NH$20=1), NU95, NS95)</f>
        <v>0</v>
      </c>
      <c r="NN95" s="12">
        <f>NN$4 * IF(AND(NM$4=1,NH$20=1), NU95, NS95)</f>
        <v>0</v>
      </c>
      <c r="NO95" s="12">
        <f>NO$4 * IF(AND(NN$4=1,NH$20=1), NU95, NS95)</f>
        <v>0</v>
      </c>
      <c r="NP95" s="12">
        <f>NP$4 * IF(AND(NO$4=1,NH$20=1), NU95, NS95)</f>
        <v>0</v>
      </c>
      <c r="NR95" t="s">
        <v>1304</v>
      </c>
      <c r="NS95">
        <f>_xlfn.XLOOKUP(NR95,'KPI Impacts'!$B$2:$H$2,'KPI Impacts'!$B95:$H95)</f>
        <v>0</v>
      </c>
      <c r="NT95" s="9" t="s">
        <v>1304</v>
      </c>
      <c r="NU95">
        <f>_xlfn.XLOOKUP(NT95,'KPI Impacts'!$B$2:$H$2,'KPI Impacts'!$B95:$H95)</f>
        <v>0</v>
      </c>
      <c r="NX95" s="12">
        <f>NX$4*OI95</f>
        <v>0</v>
      </c>
      <c r="NY95" s="12">
        <f>NY$4 * IF(AND(NX$4=1,NX$20=1), OK95, OI95)</f>
        <v>0</v>
      </c>
      <c r="NZ95" s="12">
        <f>NZ$4 * IF(AND(NY$4=1,NX$20=1), OK95, OI95)</f>
        <v>0</v>
      </c>
      <c r="OA95" s="12">
        <f>OA$4 * IF(AND(NZ$4=1,NX$20=1), OK95, OI95)</f>
        <v>0</v>
      </c>
      <c r="OB95" s="12">
        <f>OB$4 * IF(AND(OA$4=1,NX$20=1), OK95, OI95)</f>
        <v>0</v>
      </c>
      <c r="OC95" s="12">
        <f>OC$4 * IF(AND(OB$4=1,NX$20=1), OK95, OI95)</f>
        <v>0</v>
      </c>
      <c r="OD95" s="12">
        <f>OD$4 * IF(AND(OC$4=1,NX$20=1), OK95, OI95)</f>
        <v>0</v>
      </c>
      <c r="OE95" s="12">
        <f>OE$4 * IF(AND(OD$4=1,NX$20=1), OK95, OI95)</f>
        <v>0</v>
      </c>
      <c r="OF95" s="12">
        <f>OF$4 * IF(AND(OE$4=1,NX$20=1), OK95, OI95)</f>
        <v>0</v>
      </c>
      <c r="OH95" t="s">
        <v>1304</v>
      </c>
      <c r="OI95">
        <f>_xlfn.XLOOKUP(OH95,'KPI Impacts'!$B$2:$H$2,'KPI Impacts'!$B95:$H95)</f>
        <v>0</v>
      </c>
      <c r="OJ95" s="9" t="s">
        <v>1304</v>
      </c>
      <c r="OK95">
        <f>_xlfn.XLOOKUP(OJ95,'KPI Impacts'!$B$2:$H$2,'KPI Impacts'!$B95:$H95)</f>
        <v>0</v>
      </c>
    </row>
    <row r="96" spans="1:401" x14ac:dyDescent="0.2">
      <c r="A96" t="s">
        <v>1318</v>
      </c>
      <c r="B96" s="12">
        <f t="shared" si="519"/>
        <v>0</v>
      </c>
      <c r="C96" s="12">
        <f t="shared" si="519"/>
        <v>0</v>
      </c>
      <c r="D96" s="12">
        <f t="shared" si="519"/>
        <v>0</v>
      </c>
      <c r="E96" s="12">
        <f t="shared" si="519"/>
        <v>0</v>
      </c>
      <c r="F96" s="12">
        <f t="shared" si="519"/>
        <v>0</v>
      </c>
      <c r="G96" s="12">
        <f t="shared" si="519"/>
        <v>0</v>
      </c>
      <c r="H96" s="12">
        <f t="shared" si="519"/>
        <v>0</v>
      </c>
      <c r="I96" s="12">
        <f t="shared" si="519"/>
        <v>0</v>
      </c>
      <c r="J96" s="12">
        <f t="shared" si="519"/>
        <v>0</v>
      </c>
      <c r="M96" s="6"/>
      <c r="N96" s="6"/>
      <c r="P96" s="12" cm="1">
        <f t="array" ref="P96">_xlfn.SWITCH(P$4, 0,0, 1, AA96,2,AC96,3,AE96,0)</f>
        <v>0</v>
      </c>
      <c r="Q96" s="12" cm="1">
        <f t="array" ref="Q96">_xlfn.SWITCH(Q$4, 0,0, 1, AA96,2,AC96,3,AE96,0)+P96</f>
        <v>0</v>
      </c>
      <c r="R96" s="12" cm="1">
        <f t="array" ref="R96">_xlfn.SWITCH(R$4, 0,0, 1, AA96,2,AC96,3,AE96,0)+Q96</f>
        <v>0</v>
      </c>
      <c r="S96" s="12" cm="1">
        <f t="array" ref="S96">_xlfn.SWITCH(S$4, 0,0, 1, AA96,2,AC96,3,AE96,0)+R96</f>
        <v>0</v>
      </c>
      <c r="T96" s="12" cm="1">
        <f t="array" ref="T96">_xlfn.SWITCH(T$4, 0,0, 1, AA96,2,AC96,3,AE96,0)+S96</f>
        <v>0</v>
      </c>
      <c r="U96" s="12" cm="1">
        <f t="array" ref="U96">_xlfn.SWITCH(U$4, 0,0, 1, AA96,2,AC96,3,AE96,0)+T96</f>
        <v>0</v>
      </c>
      <c r="V96" s="12" cm="1">
        <f t="array" ref="V96">_xlfn.SWITCH(V$4, 0,0, 1, AA96,2,AC96,3,AE96,0)+U96</f>
        <v>0</v>
      </c>
      <c r="W96" s="12" cm="1">
        <f t="array" ref="W96">_xlfn.SWITCH(W$4, 0,0, 1, AA96,2,AC96,3,AE96,0)+V96</f>
        <v>0</v>
      </c>
      <c r="X96" s="12" cm="1">
        <f t="array" ref="X96">_xlfn.SWITCH(X$4, 0,0, 1, AA96,2,AC96,3,AE96,0)+W96</f>
        <v>0</v>
      </c>
      <c r="Z96" t="s">
        <v>1304</v>
      </c>
      <c r="AA96">
        <f>_xlfn.XLOOKUP(Z96,'KPI Impacts'!$K$2:$Q$2,'KPI Impacts'!$K96:$Q96)</f>
        <v>0</v>
      </c>
      <c r="AB96" t="s">
        <v>1304</v>
      </c>
      <c r="AC96">
        <f>_xlfn.XLOOKUP(AB96,'KPI Impacts'!$K$2:$Q$2,'KPI Impacts'!$K96:$Q96)</f>
        <v>0</v>
      </c>
      <c r="AD96" t="s">
        <v>1304</v>
      </c>
      <c r="AE96">
        <f>_xlfn.XLOOKUP(AD96,'KPI Impacts'!$K$2:$Q$2,'KPI Impacts'!$K96:$Q96)</f>
        <v>0</v>
      </c>
      <c r="AH96" s="12" cm="1">
        <f t="array" ref="AH96">_xlfn.SWITCH(AH$4, 0,0, 1, AS96,2,AU96,3,AW96,0)</f>
        <v>0</v>
      </c>
      <c r="AI96" s="12" cm="1">
        <f t="array" ref="AI96">_xlfn.SWITCH(AI$4, 0,0, 1, AS96,2,AU96,3,AW96,0)+AH96</f>
        <v>0</v>
      </c>
      <c r="AJ96" s="12" cm="1">
        <f t="array" ref="AJ96">_xlfn.SWITCH(AJ$4, 0,0, 1, AS96,2,AU96,3,AW96,0)+AI96</f>
        <v>0</v>
      </c>
      <c r="AK96" s="12" cm="1">
        <f t="array" ref="AK96">_xlfn.SWITCH(AK$4, 0,0, 1, AS96,2,AU96,3,AW96,0)+AJ96</f>
        <v>0</v>
      </c>
      <c r="AL96" s="12" cm="1">
        <f t="array" ref="AL96">_xlfn.SWITCH(AL$4, 0,0, 1, AS96,2,AU96,3,AW96,0)+AK96</f>
        <v>0</v>
      </c>
      <c r="AM96" s="12" cm="1">
        <f t="array" ref="AM96">_xlfn.SWITCH(AM$4, 0,0, 1, AS96,2,AU96,3,AW96,0)+AL96</f>
        <v>0</v>
      </c>
      <c r="AN96" s="12" cm="1">
        <f t="array" ref="AN96">_xlfn.SWITCH(AN$4, 0,0, 1, AS96,2,AU96,3,AW96,0)+AM96</f>
        <v>0</v>
      </c>
      <c r="AO96" s="12" cm="1">
        <f t="array" ref="AO96">_xlfn.SWITCH(AO$4, 0,0, 1, AS96,2,AU96,3,AW96,0)+AN96</f>
        <v>0</v>
      </c>
      <c r="AP96" s="12" cm="1">
        <f t="array" ref="AP96">_xlfn.SWITCH(AP$4, 0,0, 1, AS96,2,AU96,3,AW96,0)+AO96</f>
        <v>0</v>
      </c>
      <c r="AR96" t="s">
        <v>1304</v>
      </c>
      <c r="AS96">
        <f>_xlfn.XLOOKUP(AR96,'KPI Impacts'!$K$2:$Q$2,'KPI Impacts'!$K96:$Q96)</f>
        <v>0</v>
      </c>
      <c r="AT96" t="s">
        <v>1304</v>
      </c>
      <c r="AU96">
        <f>_xlfn.XLOOKUP(AT96,'KPI Impacts'!$K$2:$Q$2,'KPI Impacts'!$K96:$Q96)</f>
        <v>0</v>
      </c>
      <c r="AV96" t="s">
        <v>1304</v>
      </c>
      <c r="AW96">
        <f>_xlfn.XLOOKUP(AV96,'KPI Impacts'!$K$2:$Q$2,'KPI Impacts'!$K96:$Q96)</f>
        <v>0</v>
      </c>
      <c r="AZ96" s="12">
        <f>AZ$4*BK96</f>
        <v>0</v>
      </c>
      <c r="BA96" s="12">
        <f>BA$4 * IF(AND(AZ$4=1,AZ$20=1), BM96, BK96)</f>
        <v>0</v>
      </c>
      <c r="BB96" s="12">
        <f>BB$4 * IF(AND(BA$4=1,AZ$20=1), BM96, BK96)</f>
        <v>0</v>
      </c>
      <c r="BC96" s="12">
        <f>BC$4 * IF(AND(BB$4=1,AZ$20=1), BM96, BK96)</f>
        <v>0</v>
      </c>
      <c r="BD96" s="12">
        <f>BD$4 * IF(AND(BC$4=1,AZ$20=1), BM96, BK96)</f>
        <v>0</v>
      </c>
      <c r="BE96" s="12">
        <f>BE$4 * IF(AND(BD$4=1,AZ$20=1), BM96, BK96)</f>
        <v>0</v>
      </c>
      <c r="BF96" s="12">
        <f>BF$4 * IF(AND(BE$4=1,AZ$20=1), BM96, BK96)</f>
        <v>0</v>
      </c>
      <c r="BG96" s="12">
        <f>BG$4 * IF(AND(BF$4=1,AZ$20=1), BM96, BK96)</f>
        <v>0</v>
      </c>
      <c r="BH96" s="12">
        <f>BH$4 * IF(AND(BG$4=1,AZ$20=1), BM96, BK96)</f>
        <v>0</v>
      </c>
      <c r="BJ96" s="16" t="s">
        <v>1304</v>
      </c>
      <c r="BK96">
        <f>_xlfn.XLOOKUP(BJ96,'KPI Impacts'!$B$2:$H$2,'KPI Impacts'!$B96:$H96)</f>
        <v>0</v>
      </c>
      <c r="BL96" s="35" t="s">
        <v>1304</v>
      </c>
      <c r="BM96">
        <f>_xlfn.XLOOKUP(BL96,'KPI Impacts'!$B$2:$H$2,'KPI Impacts'!$B96:$H96)</f>
        <v>0</v>
      </c>
      <c r="BP96" s="12">
        <f>BP$4*CA96</f>
        <v>0</v>
      </c>
      <c r="BQ96" s="12">
        <f>BQ$4 * IF(AND(BP$4=1,BP$20=1), CC96, CA96)</f>
        <v>0</v>
      </c>
      <c r="BR96" s="12">
        <f>BR$4 * IF(AND(BQ$4=1,BP$20=1), CC96, CA96)</f>
        <v>0</v>
      </c>
      <c r="BS96" s="12">
        <f>BS$4 * IF(AND(BR$4=1,BP$20=1), CC96, CA96)</f>
        <v>0</v>
      </c>
      <c r="BT96" s="12">
        <f>BT$4 * IF(AND(BS$4=1,BP$20=1), CC96, CA96)</f>
        <v>0</v>
      </c>
      <c r="BU96" s="12">
        <f>BU$4 * IF(AND(BT$4=1,BP$20=1), CC96, CA96)</f>
        <v>0</v>
      </c>
      <c r="BV96" s="12">
        <f>BV$4 * IF(AND(BU$4=1,BP$20=1), CC96, CA96)</f>
        <v>0</v>
      </c>
      <c r="BW96" s="12">
        <f>BW$4 * IF(AND(BV$4=1,BP$20=1), CC96, CA96)</f>
        <v>0</v>
      </c>
      <c r="BX96" s="12">
        <f>BX$4 * IF(AND(BW$4=1,BP$20=1), CC96, CA96)</f>
        <v>0</v>
      </c>
      <c r="BZ96" s="16" t="s">
        <v>1304</v>
      </c>
      <c r="CA96">
        <f>_xlfn.XLOOKUP(BZ96,'KPI Impacts'!$B$2:$H$2,'KPI Impacts'!$B96:$H96)</f>
        <v>0</v>
      </c>
      <c r="CB96" s="35" t="s">
        <v>1304</v>
      </c>
      <c r="CC96">
        <f>_xlfn.XLOOKUP(CB96,'KPI Impacts'!$B$2:$H$2,'KPI Impacts'!$B96:$H96)</f>
        <v>0</v>
      </c>
      <c r="CF96" s="12">
        <f>CF$4*CQ96</f>
        <v>0</v>
      </c>
      <c r="CG96" s="12">
        <f>CG$4 * IF(AND(CF$4=1,CF$20=1), CS96, CQ96)</f>
        <v>0</v>
      </c>
      <c r="CH96" s="12">
        <f>CH$4 * IF(AND(CG$4=1,CF$20=1), CS96, CQ96)</f>
        <v>0</v>
      </c>
      <c r="CI96" s="12">
        <f>CI$4 * IF(AND(CH$4=1,CF$20=1), CS96, CQ96)</f>
        <v>0</v>
      </c>
      <c r="CJ96" s="12">
        <f>CJ$4 * IF(AND(CI$4=1,CF$20=1), CS96, CQ96)</f>
        <v>0</v>
      </c>
      <c r="CK96" s="12">
        <f>CK$4 * IF(AND(CJ$4=1,CF$20=1), CS96, CQ96)</f>
        <v>0</v>
      </c>
      <c r="CL96" s="12">
        <f>CL$4 * IF(AND(CK$4=1,CF$20=1), CS96, CQ96)</f>
        <v>0</v>
      </c>
      <c r="CM96" s="12">
        <f>CM$4 * IF(AND(CL$4=1,CF$20=1), CS96, CQ96)</f>
        <v>0</v>
      </c>
      <c r="CN96" s="12">
        <f>CN$4 * IF(AND(CM$4=1,CF$20=1), CS96, CQ96)</f>
        <v>0</v>
      </c>
      <c r="CP96" s="16" t="s">
        <v>1304</v>
      </c>
      <c r="CQ96">
        <f>_xlfn.XLOOKUP(CP96,'KPI Impacts'!$B$2:$H$2,'KPI Impacts'!$B96:$H96)</f>
        <v>0</v>
      </c>
      <c r="CR96" s="35" t="s">
        <v>1304</v>
      </c>
      <c r="CS96">
        <f>_xlfn.XLOOKUP(CR96,'KPI Impacts'!$B$2:$H$2,'KPI Impacts'!$B96:$H96)</f>
        <v>0</v>
      </c>
      <c r="CV96" s="12">
        <f>CV$4*DG96</f>
        <v>0</v>
      </c>
      <c r="CW96" s="12">
        <f>CW$4 * IF(AND(CV$4=1,CV$20=1), DI96, DG96)</f>
        <v>0</v>
      </c>
      <c r="CX96" s="12">
        <f>CX$4 * IF(AND(CW$4=1,CV$20=1), DI96, DG96)</f>
        <v>0</v>
      </c>
      <c r="CY96" s="12">
        <f>CY$4 * IF(AND(CX$4=1,CV$20=1), DI96, DG96)</f>
        <v>0</v>
      </c>
      <c r="CZ96" s="12">
        <f>CZ$4 * IF(AND(CY$4=1,CV$20=1), DI96, DG96)</f>
        <v>0</v>
      </c>
      <c r="DA96" s="12">
        <f>DA$4 * IF(AND(CZ$4=1,CV$20=1), DI96, DG96)</f>
        <v>0</v>
      </c>
      <c r="DB96" s="12">
        <f>DB$4 * IF(AND(DA$4=1,CV$20=1), DI96, DG96)</f>
        <v>0</v>
      </c>
      <c r="DC96" s="12">
        <f>DC$4 * IF(AND(DB$4=1,CV$20=1), DI96, DG96)</f>
        <v>0</v>
      </c>
      <c r="DD96" s="12">
        <f>DD$4 * IF(AND(DC$4=1,CV$20=1), DI96, DG96)</f>
        <v>0</v>
      </c>
      <c r="DF96" s="16" t="s">
        <v>1304</v>
      </c>
      <c r="DG96">
        <f>_xlfn.XLOOKUP(DF96,'KPI Impacts'!$B$2:$H$2,'KPI Impacts'!$B96:$H96)</f>
        <v>0</v>
      </c>
      <c r="DH96" s="35" t="s">
        <v>1304</v>
      </c>
      <c r="DI96">
        <f>_xlfn.XLOOKUP(DH96,'KPI Impacts'!$B$2:$H$2,'KPI Impacts'!$B96:$H96)</f>
        <v>0</v>
      </c>
      <c r="DL96" s="12">
        <f>DL$4*DW96</f>
        <v>0</v>
      </c>
      <c r="DM96" s="12">
        <f>DM$4 * IF(AND(DL$4=1,DL$20=1), DY96, DW96)</f>
        <v>0</v>
      </c>
      <c r="DN96" s="12">
        <f>DN$4 * IF(AND(DM$4=1,DL$20=1), DY96, DW96)</f>
        <v>0</v>
      </c>
      <c r="DO96" s="12">
        <f>DO$4 * IF(AND(DN$4=1,DL$20=1), DY96, DW96)</f>
        <v>0</v>
      </c>
      <c r="DP96" s="12">
        <f>DP$4 * IF(AND(DO$4=1,DL$20=1), DY96, DW96)</f>
        <v>0</v>
      </c>
      <c r="DQ96" s="12">
        <f>DQ$4 * IF(AND(DP$4=1,DL$20=1), DY96, DW96)</f>
        <v>0</v>
      </c>
      <c r="DR96" s="12">
        <f>DR$4 * IF(AND(DQ$4=1,DL$20=1), DY96, DW96)</f>
        <v>0</v>
      </c>
      <c r="DS96" s="12">
        <f>DS$4 * IF(AND(DR$4=1,DL$20=1), DY96, DW96)</f>
        <v>0</v>
      </c>
      <c r="DT96" s="12">
        <f>DT$4 * IF(AND(DS$4=1,DL$20=1), DY96, DW96)</f>
        <v>0</v>
      </c>
      <c r="DV96" s="16" t="s">
        <v>1304</v>
      </c>
      <c r="DW96">
        <f>_xlfn.XLOOKUP(DV96,'KPI Impacts'!$B$2:$H$2,'KPI Impacts'!$B96:$H96)</f>
        <v>0</v>
      </c>
      <c r="DX96" s="35" t="s">
        <v>1304</v>
      </c>
      <c r="DY96">
        <f>_xlfn.XLOOKUP(DX96,'KPI Impacts'!$B$2:$H$2,'KPI Impacts'!$B96:$H96)</f>
        <v>0</v>
      </c>
      <c r="EB96" s="12">
        <f>EB$4*EM96</f>
        <v>0</v>
      </c>
      <c r="EC96" s="12">
        <f>EC$4 * IF(AND(EB$4=1,EB$20=1), EO96, EM96)</f>
        <v>0</v>
      </c>
      <c r="ED96" s="12">
        <f>ED$4 * IF(AND(EC$4=1,EB$20=1), EO96, EM96)</f>
        <v>0</v>
      </c>
      <c r="EE96" s="12">
        <f>EE$4 * IF(AND(ED$4=1,EB$20=1), EO96, EM96)</f>
        <v>0</v>
      </c>
      <c r="EF96" s="12">
        <f>EF$4 * IF(AND(EE$4=1,EB$20=1), EO96, EM96)</f>
        <v>0</v>
      </c>
      <c r="EG96" s="12">
        <f>EG$4 * IF(AND(EF$4=1,EB$20=1), EO96, EM96)</f>
        <v>0</v>
      </c>
      <c r="EH96" s="12">
        <f>EH$4 * IF(AND(EG$4=1,EB$20=1), EO96, EM96)</f>
        <v>0</v>
      </c>
      <c r="EI96" s="12">
        <f>EI$4 * IF(AND(EH$4=1,EB$20=1), EO96, EM96)</f>
        <v>0</v>
      </c>
      <c r="EJ96" s="12">
        <f>EJ$4 * IF(AND(EI$4=1,EB$20=1), EO96, EM96)</f>
        <v>0</v>
      </c>
      <c r="EL96" s="16" t="s">
        <v>1304</v>
      </c>
      <c r="EM96">
        <f>_xlfn.XLOOKUP(EL96,'KPI Impacts'!$B$2:$H$2,'KPI Impacts'!$B96:$H96)</f>
        <v>0</v>
      </c>
      <c r="EN96" s="35" t="s">
        <v>1304</v>
      </c>
      <c r="EO96">
        <f>_xlfn.XLOOKUP(EN96,'KPI Impacts'!$B$2:$H$2,'KPI Impacts'!$B96:$H96)</f>
        <v>0</v>
      </c>
      <c r="ER96" s="12">
        <f>ER$4*FC96</f>
        <v>0</v>
      </c>
      <c r="ES96" s="12">
        <f>ES$4 * IF(AND(ER$4=1,ER$20=1), FE96, FC96)</f>
        <v>0</v>
      </c>
      <c r="ET96" s="12">
        <f>ET$4 * IF(AND(ES$4=1,ER$20=1), FE96, FC96)</f>
        <v>0</v>
      </c>
      <c r="EU96" s="12">
        <f>EU$4 * IF(AND(ET$4=1,ER$20=1), FE96, FC96)</f>
        <v>0</v>
      </c>
      <c r="EV96" s="12">
        <f>EV$4 * IF(AND(EU$4=1,ER$20=1), FE96, FC96)</f>
        <v>0</v>
      </c>
      <c r="EW96" s="12">
        <f>EW$4 * IF(AND(EV$4=1,ER$20=1), FE96, FC96)</f>
        <v>0</v>
      </c>
      <c r="EX96" s="12">
        <f>EX$4 * IF(AND(EW$4=1,ER$20=1), FE96, FC96)</f>
        <v>0</v>
      </c>
      <c r="EY96" s="12">
        <f>EY$4 * IF(AND(EX$4=1,ER$20=1), FE96, FC96)</f>
        <v>0</v>
      </c>
      <c r="EZ96" s="12">
        <f>EZ$4 * IF(AND(EY$4=1,ER$20=1), FE96, FC96)</f>
        <v>0</v>
      </c>
      <c r="FB96" s="16" t="s">
        <v>1304</v>
      </c>
      <c r="FC96">
        <f>_xlfn.XLOOKUP(FB96,'KPI Impacts'!$B$2:$H$2,'KPI Impacts'!$B96:$H96)</f>
        <v>0</v>
      </c>
      <c r="FD96" s="35" t="s">
        <v>1304</v>
      </c>
      <c r="FE96">
        <f>_xlfn.XLOOKUP(FD96,'KPI Impacts'!$B$2:$H$2,'KPI Impacts'!$B96:$H96)</f>
        <v>0</v>
      </c>
      <c r="FH96" s="12">
        <f>FH$4*FS96</f>
        <v>0</v>
      </c>
      <c r="FI96" s="12">
        <f>FI$4 * IF(AND(FH$4=1,FH$20=1), FU96, FS96)</f>
        <v>0</v>
      </c>
      <c r="FJ96" s="12">
        <f>FJ$4 * IF(AND(FI$4=1,FH$20=1), FU96, FS96)</f>
        <v>0</v>
      </c>
      <c r="FK96" s="12">
        <f>FK$4 * IF(AND(FJ$4=1,FH$20=1), FU96, FS96)</f>
        <v>0</v>
      </c>
      <c r="FL96" s="12">
        <f>FL$4 * IF(AND(FK$4=1,FH$20=1), FU96, FS96)</f>
        <v>0</v>
      </c>
      <c r="FM96" s="12">
        <f>FM$4 * IF(AND(FL$4=1,FH$20=1), FU96, FS96)</f>
        <v>0</v>
      </c>
      <c r="FN96" s="12">
        <f>FN$4 * IF(AND(FM$4=1,FH$20=1), FU96, FS96)</f>
        <v>0</v>
      </c>
      <c r="FO96" s="12">
        <f>FO$4 * IF(AND(FN$4=1,FH$20=1), FU96, FS96)</f>
        <v>0</v>
      </c>
      <c r="FP96" s="12">
        <f>FP$4 * IF(AND(FO$4=1,FH$20=1), FU96, FS96)</f>
        <v>0</v>
      </c>
      <c r="FR96" s="16" t="s">
        <v>1304</v>
      </c>
      <c r="FS96">
        <f>_xlfn.XLOOKUP(FR96,'KPI Impacts'!$B$2:$H$2,'KPI Impacts'!$B96:$H96)</f>
        <v>0</v>
      </c>
      <c r="FT96" s="9" t="s">
        <v>1304</v>
      </c>
      <c r="FU96">
        <f>_xlfn.XLOOKUP(FT96,'KPI Impacts'!$B$2:$H$2,'KPI Impacts'!$B96:$H96)</f>
        <v>0</v>
      </c>
      <c r="FX96" s="12">
        <f>FX$4*GI96</f>
        <v>0</v>
      </c>
      <c r="FY96" s="12">
        <f>FY$4 * IF(AND(FX$4=1,FX$20=1), GK96, GI96)</f>
        <v>0</v>
      </c>
      <c r="FZ96" s="12">
        <f>FZ$4 * IF(AND(FY$4=1,FX$20=1), GK96, GI96)</f>
        <v>0</v>
      </c>
      <c r="GA96" s="12">
        <f>GA$4 * IF(AND(FZ$4=1,FX$20=1), GK96, GI96)</f>
        <v>0</v>
      </c>
      <c r="GB96" s="12">
        <f>GB$4 * IF(AND(GA$4=1,FX$20=1), GK96, GI96)</f>
        <v>0</v>
      </c>
      <c r="GC96" s="12">
        <f>GC$4 * IF(AND(GB$4=1,FX$20=1), GK96, GI96)</f>
        <v>0</v>
      </c>
      <c r="GD96" s="12">
        <f>GD$4 * IF(AND(GC$4=1,FX$20=1), GK96, GI96)</f>
        <v>0</v>
      </c>
      <c r="GE96" s="12">
        <f>GE$4 * IF(AND(GD$4=1,FX$20=1), GK96, GI96)</f>
        <v>0</v>
      </c>
      <c r="GF96" s="12">
        <f>GF$4 * IF(AND(GE$4=1,FX$20=1), GK96, GI96)</f>
        <v>0</v>
      </c>
      <c r="GH96" s="16" t="s">
        <v>1304</v>
      </c>
      <c r="GI96">
        <f>_xlfn.XLOOKUP(GH96,'KPI Impacts'!$B$2:$H$2,'KPI Impacts'!$B96:$H96)</f>
        <v>0</v>
      </c>
      <c r="GJ96" s="9" t="s">
        <v>1304</v>
      </c>
      <c r="GK96">
        <f>_xlfn.XLOOKUP(GJ96,'KPI Impacts'!$B$2:$H$2,'KPI Impacts'!$B96:$H96)</f>
        <v>0</v>
      </c>
      <c r="GN96" s="12">
        <f>GN$4*GY96</f>
        <v>0</v>
      </c>
      <c r="GO96" s="12">
        <f>GO$4 * IF(AND(GN$4=1,GN$20=1), HA96, GY96)</f>
        <v>0</v>
      </c>
      <c r="GP96" s="12">
        <f>GP$4 * IF(AND(GO$4=1,GN$20=1), HA96, GY96)</f>
        <v>0</v>
      </c>
      <c r="GQ96" s="12">
        <f>GQ$4 * IF(AND(GP$4=1,GN$20=1), HA96, GY96)</f>
        <v>0</v>
      </c>
      <c r="GR96" s="12">
        <f>GR$4 * IF(AND(GQ$4=1,GN$20=1), HA96, GY96)</f>
        <v>0</v>
      </c>
      <c r="GS96" s="12">
        <f>GS$4 * IF(AND(GR$4=1,GN$20=1), HA96, GY96)</f>
        <v>0</v>
      </c>
      <c r="GT96" s="12">
        <f>GT$4 * IF(AND(GS$4=1,GN$20=1), HA96, GY96)</f>
        <v>0</v>
      </c>
      <c r="GU96" s="12">
        <f>GU$4 * IF(AND(GT$4=1,GN$20=1), HA96, GY96)</f>
        <v>0</v>
      </c>
      <c r="GV96" s="12">
        <f>GV$4 * IF(AND(GU$4=1,GN$20=1), HA96, GY96)</f>
        <v>0</v>
      </c>
      <c r="GX96" s="16" t="s">
        <v>1304</v>
      </c>
      <c r="GY96">
        <f>_xlfn.XLOOKUP(GX96,'KPI Impacts'!$B$2:$H$2,'KPI Impacts'!$B96:$H96)</f>
        <v>0</v>
      </c>
      <c r="GZ96" s="9" t="s">
        <v>1304</v>
      </c>
      <c r="HA96">
        <f>_xlfn.XLOOKUP(GZ96,'KPI Impacts'!$B$2:$H$2,'KPI Impacts'!$B96:$H96)</f>
        <v>0</v>
      </c>
      <c r="HD96" s="12">
        <f>HD$4*HO96</f>
        <v>0</v>
      </c>
      <c r="HE96" s="12">
        <f>HE$4 * IF(AND(HD$4=1,HD$20=1), HQ96, HO96)</f>
        <v>0</v>
      </c>
      <c r="HF96" s="12">
        <f>HF$4 * IF(AND(HE$4=1,HD$20=1), HQ96, HO96)</f>
        <v>0</v>
      </c>
      <c r="HG96" s="12">
        <f>HG$4 * IF(AND(HF$4=1,HD$20=1), HQ96, HO96)</f>
        <v>0</v>
      </c>
      <c r="HH96" s="12">
        <f>HH$4 * IF(AND(HG$4=1,HD$20=1), HQ96, HO96)</f>
        <v>0</v>
      </c>
      <c r="HI96" s="12">
        <f>HI$4 * IF(AND(HH$4=1,HD$20=1), HQ96, HO96)</f>
        <v>0</v>
      </c>
      <c r="HJ96" s="12">
        <f>HJ$4 * IF(AND(HI$4=1,HD$20=1), HQ96, HO96)</f>
        <v>0</v>
      </c>
      <c r="HK96" s="12">
        <f>HK$4 * IF(AND(HJ$4=1,HD$20=1), HQ96, HO96)</f>
        <v>0</v>
      </c>
      <c r="HL96" s="12">
        <f>HL$4 * IF(AND(HK$4=1,HD$20=1), HQ96, HO96)</f>
        <v>0</v>
      </c>
      <c r="HN96" t="s">
        <v>1304</v>
      </c>
      <c r="HO96">
        <f>_xlfn.XLOOKUP(HN96,'KPI Impacts'!$B$2:$H$2,'KPI Impacts'!$B96:$H96)</f>
        <v>0</v>
      </c>
      <c r="HP96" s="9" t="s">
        <v>1304</v>
      </c>
      <c r="HQ96">
        <f>_xlfn.XLOOKUP(HP96,'KPI Impacts'!$B$2:$H$2,'KPI Impacts'!$B96:$H96)</f>
        <v>0</v>
      </c>
      <c r="HT96" s="12">
        <f>HT$4*IE96</f>
        <v>0</v>
      </c>
      <c r="HU96" s="12">
        <f>HU$4 * IF(AND(HT$4=1,HT$20=1), IG96, IE96)</f>
        <v>0</v>
      </c>
      <c r="HV96" s="12">
        <f>HV$4 * IF(AND(HU$4=1,HT$20=1), IG96, IE96)</f>
        <v>0</v>
      </c>
      <c r="HW96" s="12">
        <f>HW$4 * IF(AND(HV$4=1,HT$20=1), IG96, IE96)</f>
        <v>0</v>
      </c>
      <c r="HX96" s="12">
        <f>HX$4 * IF(AND(HW$4=1,HT$20=1), IG96, IE96)</f>
        <v>0</v>
      </c>
      <c r="HY96" s="12">
        <f>HY$4 * IF(AND(HX$4=1,HT$20=1), IG96, IE96)</f>
        <v>0</v>
      </c>
      <c r="HZ96" s="12">
        <f>HZ$4 * IF(AND(HY$4=1,HT$20=1), IG96, IE96)</f>
        <v>0</v>
      </c>
      <c r="IA96" s="12">
        <f>IA$4 * IF(AND(HZ$4=1,HT$20=1), IG96, IE96)</f>
        <v>0</v>
      </c>
      <c r="IB96" s="12">
        <f>IB$4 * IF(AND(IA$4=1,HT$20=1), IG96, IE96)</f>
        <v>0</v>
      </c>
      <c r="ID96" t="s">
        <v>1304</v>
      </c>
      <c r="IE96">
        <f>_xlfn.XLOOKUP(ID96,'KPI Impacts'!$B$2:$H$2,'KPI Impacts'!$B96:$H96)</f>
        <v>0</v>
      </c>
      <c r="IF96" s="9" t="s">
        <v>1304</v>
      </c>
      <c r="IG96">
        <f>_xlfn.XLOOKUP(IF96,'KPI Impacts'!$B$2:$H$2,'KPI Impacts'!$B96:$H96)</f>
        <v>0</v>
      </c>
      <c r="IJ96" s="12">
        <f>IJ$4*IU96</f>
        <v>0</v>
      </c>
      <c r="IK96" s="12">
        <f>IK$4 * IF(AND(IJ$4=1,IJ$20=1), IW96, IU96)</f>
        <v>0</v>
      </c>
      <c r="IL96" s="12">
        <f>IL$4 * IF(AND(IK$4=1,IJ$20=1), IW96, IU96)</f>
        <v>0</v>
      </c>
      <c r="IM96" s="12">
        <f>IM$4 * IF(AND(IL$4=1,IJ$20=1), IW96, IU96)</f>
        <v>0</v>
      </c>
      <c r="IN96" s="12">
        <f>IN$4 * IF(AND(IM$4=1,IJ$20=1), IW96, IU96)</f>
        <v>0</v>
      </c>
      <c r="IO96" s="12">
        <f>IO$4 * IF(AND(IN$4=1,IJ$20=1), IW96, IU96)</f>
        <v>0</v>
      </c>
      <c r="IP96" s="12">
        <f>IP$4 * IF(AND(IO$4=1,IJ$20=1), IW96, IU96)</f>
        <v>0</v>
      </c>
      <c r="IQ96" s="12">
        <f>IQ$4 * IF(AND(IP$4=1,IJ$20=1), IW96, IU96)</f>
        <v>0</v>
      </c>
      <c r="IR96" s="12">
        <f>IR$4 * IF(AND(IQ$4=1,IJ$20=1), IW96, IU96)</f>
        <v>0</v>
      </c>
      <c r="IT96" t="s">
        <v>1304</v>
      </c>
      <c r="IU96">
        <f>_xlfn.XLOOKUP(IT96,'KPI Impacts'!$B$2:$H$2,'KPI Impacts'!$B96:$H96)</f>
        <v>0</v>
      </c>
      <c r="IV96" s="9" t="s">
        <v>1304</v>
      </c>
      <c r="IW96">
        <f>_xlfn.XLOOKUP(IV96,'KPI Impacts'!$B$2:$H$2,'KPI Impacts'!$B96:$H96)</f>
        <v>0</v>
      </c>
      <c r="IZ96" s="12">
        <f>IZ$4*JK96</f>
        <v>0</v>
      </c>
      <c r="JA96" s="12">
        <f>JA$4 * IF(AND(IZ$4=1,IZ$20=1), JM96, JK96)</f>
        <v>0</v>
      </c>
      <c r="JB96" s="12">
        <f>JB$4 * IF(AND(JA$4=1,IZ$20=1), JM96, JK96)</f>
        <v>0</v>
      </c>
      <c r="JC96" s="12">
        <f>JC$4 * IF(AND(JB$4=1,IZ$20=1), JM96, JK96)</f>
        <v>0</v>
      </c>
      <c r="JD96" s="12">
        <f>JD$4 * IF(AND(JC$4=1,IZ$20=1), JM96, JK96)</f>
        <v>0</v>
      </c>
      <c r="JE96" s="12">
        <f>JE$4 * IF(AND(JD$4=1,IZ$20=1), JM96, JK96)</f>
        <v>0</v>
      </c>
      <c r="JF96" s="12">
        <f>JF$4 * IF(AND(JE$4=1,IZ$20=1), JM96, JK96)</f>
        <v>0</v>
      </c>
      <c r="JG96" s="12">
        <f>JG$4 * IF(AND(JF$4=1,IZ$20=1), JM96, JK96)</f>
        <v>0</v>
      </c>
      <c r="JH96" s="12">
        <f>JH$4 * IF(AND(JG$4=1,IZ$20=1), JM96, JK96)</f>
        <v>0</v>
      </c>
      <c r="JJ96" t="s">
        <v>1304</v>
      </c>
      <c r="JK96">
        <f>_xlfn.XLOOKUP(JJ96,'KPI Impacts'!$B$2:$H$2,'KPI Impacts'!$B96:$H96)</f>
        <v>0</v>
      </c>
      <c r="JL96" s="9" t="s">
        <v>1304</v>
      </c>
      <c r="JM96">
        <f>_xlfn.XLOOKUP(JL96,'KPI Impacts'!$B$2:$H$2,'KPI Impacts'!$B96:$H96)</f>
        <v>0</v>
      </c>
      <c r="JP96" s="12">
        <f>JP$4*KA96</f>
        <v>0</v>
      </c>
      <c r="JQ96" s="12">
        <f>JQ$4 * IF(AND(JP$4=1,JP$20=1), KC96, KA96)</f>
        <v>0</v>
      </c>
      <c r="JR96" s="12">
        <f>JR$4 * IF(AND(JQ$4=1,JP$20=1), KC96, KA96)</f>
        <v>0</v>
      </c>
      <c r="JS96" s="12">
        <f>JS$4 * IF(AND(JR$4=1,JP$20=1), KC96, KA96)</f>
        <v>0</v>
      </c>
      <c r="JT96" s="12">
        <f>JT$4 * IF(AND(JS$4=1,JP$20=1), KC96, KA96)</f>
        <v>0</v>
      </c>
      <c r="JU96" s="12">
        <f>JU$4 * IF(AND(JT$4=1,JP$20=1), KC96, KA96)</f>
        <v>0</v>
      </c>
      <c r="JV96" s="12">
        <f>JV$4 * IF(AND(JU$4=1,JP$20=1), KC96, KA96)</f>
        <v>0</v>
      </c>
      <c r="JW96" s="12">
        <f>JW$4 * IF(AND(JV$4=1,JP$20=1), KC96, KA96)</f>
        <v>0</v>
      </c>
      <c r="JX96" s="12">
        <f>JX$4 * IF(AND(JW$4=1,JP$20=1), KC96, KA96)</f>
        <v>0</v>
      </c>
      <c r="JZ96" t="s">
        <v>1304</v>
      </c>
      <c r="KA96">
        <f>_xlfn.XLOOKUP(JZ96,'KPI Impacts'!$B$2:$H$2,'KPI Impacts'!$B96:$H96)</f>
        <v>0</v>
      </c>
      <c r="KB96" s="9" t="s">
        <v>1304</v>
      </c>
      <c r="KC96">
        <f>_xlfn.XLOOKUP(KB96,'KPI Impacts'!$B$2:$H$2,'KPI Impacts'!$B96:$H96)</f>
        <v>0</v>
      </c>
      <c r="KF96" s="12">
        <f>KF$4*KQ96</f>
        <v>0</v>
      </c>
      <c r="KG96" s="12">
        <f>KG$4 * IF(AND(KF$4=1,KF$20=1), KS96, KQ96)</f>
        <v>0</v>
      </c>
      <c r="KH96" s="12">
        <f>KH$4 * IF(AND(KG$4=1,KF$20=1), KS96, KQ96)</f>
        <v>0</v>
      </c>
      <c r="KI96" s="12">
        <f>KI$4 * IF(AND(KH$4=1,KF$20=1), KS96, KQ96)</f>
        <v>0</v>
      </c>
      <c r="KJ96" s="12">
        <f>KJ$4 * IF(AND(KI$4=1,KF$20=1), KS96, KQ96)</f>
        <v>0</v>
      </c>
      <c r="KK96" s="12">
        <f>KK$4 * IF(AND(KJ$4=1,KF$20=1), KS96, KQ96)</f>
        <v>0</v>
      </c>
      <c r="KL96" s="12">
        <f>KL$4 * IF(AND(KK$4=1,KF$20=1), KS96, KQ96)</f>
        <v>0</v>
      </c>
      <c r="KM96" s="12">
        <f>KM$4 * IF(AND(KL$4=1,KF$20=1), KS96, KQ96)</f>
        <v>0</v>
      </c>
      <c r="KN96" s="12">
        <f>KN$4 * IF(AND(KM$4=1,KF$20=1), KS96, KQ96)</f>
        <v>0</v>
      </c>
      <c r="KP96" t="s">
        <v>1304</v>
      </c>
      <c r="KQ96">
        <f>_xlfn.XLOOKUP(KP96,'KPI Impacts'!$B$2:$H$2,'KPI Impacts'!$B96:$H96)</f>
        <v>0</v>
      </c>
      <c r="KR96" s="9" t="s">
        <v>1304</v>
      </c>
      <c r="KS96">
        <f>_xlfn.XLOOKUP(KR96,'KPI Impacts'!$B$2:$H$2,'KPI Impacts'!$B96:$H96)</f>
        <v>0</v>
      </c>
      <c r="KV96" s="12">
        <f>KV$4*LG96</f>
        <v>0</v>
      </c>
      <c r="KW96" s="12">
        <f>KW$4 * IF(AND(KV$4=1,KV$20=1), LI96, LG96)</f>
        <v>0</v>
      </c>
      <c r="KX96" s="12">
        <f>KX$4 * IF(AND(KW$4=1,KV$20=1), LI96, LG96)</f>
        <v>0</v>
      </c>
      <c r="KY96" s="12">
        <f>KY$4 * IF(AND(KX$4=1,KV$20=1), LI96, LG96)</f>
        <v>0</v>
      </c>
      <c r="KZ96" s="12">
        <f>KZ$4 * IF(AND(KY$4=1,KV$20=1), LI96, LG96)</f>
        <v>0</v>
      </c>
      <c r="LA96" s="12">
        <f>LA$4 * IF(AND(KZ$4=1,KV$20=1), LI96, LG96)</f>
        <v>0</v>
      </c>
      <c r="LB96" s="12">
        <f>LB$4 * IF(AND(LA$4=1,KV$20=1), LI96, LG96)</f>
        <v>0</v>
      </c>
      <c r="LC96" s="12">
        <f>LC$4 * IF(AND(LB$4=1,KV$20=1), LI96, LG96)</f>
        <v>0</v>
      </c>
      <c r="LD96" s="12">
        <f>LD$4 * IF(AND(LC$4=1,KV$20=1), LI96, LG96)</f>
        <v>0</v>
      </c>
      <c r="LF96" t="s">
        <v>1304</v>
      </c>
      <c r="LG96">
        <f>_xlfn.XLOOKUP(LF96,'KPI Impacts'!$B$2:$H$2,'KPI Impacts'!$B96:$H96)</f>
        <v>0</v>
      </c>
      <c r="LH96" s="9" t="s">
        <v>1304</v>
      </c>
      <c r="LI96">
        <f>_xlfn.XLOOKUP(LH96,'KPI Impacts'!$B$2:$H$2,'KPI Impacts'!$B96:$H96)</f>
        <v>0</v>
      </c>
      <c r="LL96" s="12">
        <f>LL$4*LW96</f>
        <v>0</v>
      </c>
      <c r="LM96" s="12">
        <f>LM$4 * IF(AND(LL$4=1,LL$20=1), LY96, LW96)</f>
        <v>0</v>
      </c>
      <c r="LN96" s="12">
        <f>LN$4 * IF(AND(LM$4=1,LL$20=1), LY96, LW96)</f>
        <v>0</v>
      </c>
      <c r="LO96" s="12">
        <f>LO$4 * IF(AND(LN$4=1,LL$20=1), LY96, LW96)</f>
        <v>0</v>
      </c>
      <c r="LP96" s="12">
        <f>LP$4 * IF(AND(LO$4=1,LL$20=1), LY96, LW96)</f>
        <v>0</v>
      </c>
      <c r="LQ96" s="12">
        <f>LQ$4 * IF(AND(LP$4=1,LL$20=1), LY96, LW96)</f>
        <v>0</v>
      </c>
      <c r="LR96" s="12">
        <f>LR$4 * IF(AND(LQ$4=1,LL$20=1), LY96, LW96)</f>
        <v>0</v>
      </c>
      <c r="LS96" s="12">
        <f>LS$4 * IF(AND(LR$4=1,LL$20=1), LY96, LW96)</f>
        <v>0</v>
      </c>
      <c r="LT96" s="12">
        <f>LT$4 * IF(AND(LS$4=1,LL$20=1), LY96, LW96)</f>
        <v>0</v>
      </c>
      <c r="LV96" t="s">
        <v>1304</v>
      </c>
      <c r="LW96">
        <f>_xlfn.XLOOKUP(LV96,'KPI Impacts'!$B$2:$H$2,'KPI Impacts'!$B96:$H96)</f>
        <v>0</v>
      </c>
      <c r="LX96" s="9" t="s">
        <v>1304</v>
      </c>
      <c r="LY96">
        <f>_xlfn.XLOOKUP(LX96,'KPI Impacts'!$B$2:$H$2,'KPI Impacts'!$B96:$H96)</f>
        <v>0</v>
      </c>
      <c r="MB96" s="12">
        <f>MB$4*MM96</f>
        <v>0</v>
      </c>
      <c r="MC96" s="12">
        <f>MC$4 * IF(AND(MB$4=1,MB$20=1), MO96, MM96)</f>
        <v>0</v>
      </c>
      <c r="MD96" s="12">
        <f>MD$4 * IF(AND(MC$4=1,MB$20=1), MO96, MM96)</f>
        <v>0</v>
      </c>
      <c r="ME96" s="12">
        <f>ME$4 * IF(AND(MD$4=1,MB$20=1), MO96, MM96)</f>
        <v>0</v>
      </c>
      <c r="MF96" s="12">
        <f>MF$4 * IF(AND(ME$4=1,MB$20=1), MO96, MM96)</f>
        <v>0</v>
      </c>
      <c r="MG96" s="12">
        <f>MG$4 * IF(AND(MF$4=1,MB$20=1), MO96, MM96)</f>
        <v>0</v>
      </c>
      <c r="MH96" s="12">
        <f>MH$4 * IF(AND(MG$4=1,MB$20=1), MO96, MM96)</f>
        <v>0</v>
      </c>
      <c r="MI96" s="12">
        <f>MI$4 * IF(AND(MH$4=1,MB$20=1), MO96, MM96)</f>
        <v>0</v>
      </c>
      <c r="MJ96" s="12">
        <f>MJ$4 * IF(AND(MI$4=1,MB$20=1), MO96, MM96)</f>
        <v>0</v>
      </c>
      <c r="ML96" t="s">
        <v>1304</v>
      </c>
      <c r="MM96">
        <f>_xlfn.XLOOKUP(ML96,'KPI Impacts'!$B$2:$H$2,'KPI Impacts'!$B96:$H96)</f>
        <v>0</v>
      </c>
      <c r="MN96" s="9" t="s">
        <v>1304</v>
      </c>
      <c r="MO96">
        <f>_xlfn.XLOOKUP(MN96,'KPI Impacts'!$B$2:$H$2,'KPI Impacts'!$B96:$H96)</f>
        <v>0</v>
      </c>
      <c r="MR96" s="12">
        <f>MR$4*NC96</f>
        <v>0</v>
      </c>
      <c r="MS96" s="12">
        <f>MS$4 * IF(AND(MR$4=1,MR$20=1), NE96, NC96)</f>
        <v>0</v>
      </c>
      <c r="MT96" s="12">
        <f>MT$4 * IF(AND(MS$4=1,MR$20=1), NE96, NC96)</f>
        <v>0</v>
      </c>
      <c r="MU96" s="12">
        <f>MU$4 * IF(AND(MT$4=1,MR$20=1), NE96, NC96)</f>
        <v>0</v>
      </c>
      <c r="MV96" s="12">
        <f>MV$4 * IF(AND(MU$4=1,MR$20=1), NE96, NC96)</f>
        <v>0</v>
      </c>
      <c r="MW96" s="12">
        <f>MW$4 * IF(AND(MV$4=1,MR$20=1), NE96, NC96)</f>
        <v>0</v>
      </c>
      <c r="MX96" s="12">
        <f>MX$4 * IF(AND(MW$4=1,MR$20=1), NE96, NC96)</f>
        <v>0</v>
      </c>
      <c r="MY96" s="12">
        <f>MY$4 * IF(AND(MX$4=1,MR$20=1), NE96, NC96)</f>
        <v>0</v>
      </c>
      <c r="MZ96" s="12">
        <f>MZ$4 * IF(AND(MY$4=1,MR$20=1), NE96, NC96)</f>
        <v>0</v>
      </c>
      <c r="NB96" t="s">
        <v>1304</v>
      </c>
      <c r="NC96">
        <f>_xlfn.XLOOKUP(NB96,'KPI Impacts'!$B$2:$H$2,'KPI Impacts'!$B96:$H96)</f>
        <v>0</v>
      </c>
      <c r="ND96" s="9" t="s">
        <v>1304</v>
      </c>
      <c r="NE96">
        <f>_xlfn.XLOOKUP(ND96,'KPI Impacts'!$B$2:$H$2,'KPI Impacts'!$B96:$H96)</f>
        <v>0</v>
      </c>
      <c r="NH96" s="12">
        <f>NH$4*NS96</f>
        <v>0</v>
      </c>
      <c r="NI96" s="12">
        <f>NI$4 * IF(AND(NH$4=1,NH$20=1), NU96, NS96)</f>
        <v>0</v>
      </c>
      <c r="NJ96" s="12">
        <f>NJ$4 * IF(AND(NI$4=1,NH$20=1), NU96, NS96)</f>
        <v>0</v>
      </c>
      <c r="NK96" s="12">
        <f>NK$4 * IF(AND(NJ$4=1,NH$20=1), NU96, NS96)</f>
        <v>0</v>
      </c>
      <c r="NL96" s="12">
        <f>NL$4 * IF(AND(NK$4=1,NH$20=1), NU96, NS96)</f>
        <v>0</v>
      </c>
      <c r="NM96" s="12">
        <f>NM$4 * IF(AND(NL$4=1,NH$20=1), NU96, NS96)</f>
        <v>0</v>
      </c>
      <c r="NN96" s="12">
        <f>NN$4 * IF(AND(NM$4=1,NH$20=1), NU96, NS96)</f>
        <v>0</v>
      </c>
      <c r="NO96" s="12">
        <f>NO$4 * IF(AND(NN$4=1,NH$20=1), NU96, NS96)</f>
        <v>0</v>
      </c>
      <c r="NP96" s="12">
        <f>NP$4 * IF(AND(NO$4=1,NH$20=1), NU96, NS96)</f>
        <v>0</v>
      </c>
      <c r="NR96" t="s">
        <v>1304</v>
      </c>
      <c r="NS96">
        <f>_xlfn.XLOOKUP(NR96,'KPI Impacts'!$B$2:$H$2,'KPI Impacts'!$B96:$H96)</f>
        <v>0</v>
      </c>
      <c r="NT96" s="9" t="s">
        <v>1304</v>
      </c>
      <c r="NU96">
        <f>_xlfn.XLOOKUP(NT96,'KPI Impacts'!$B$2:$H$2,'KPI Impacts'!$B96:$H96)</f>
        <v>0</v>
      </c>
      <c r="NX96" s="12">
        <f>NX$4*OI96</f>
        <v>0</v>
      </c>
      <c r="NY96" s="12">
        <f>NY$4 * IF(AND(NX$4=1,NX$20=1), OK96, OI96)</f>
        <v>0</v>
      </c>
      <c r="NZ96" s="12">
        <f>NZ$4 * IF(AND(NY$4=1,NX$20=1), OK96, OI96)</f>
        <v>0</v>
      </c>
      <c r="OA96" s="12">
        <f>OA$4 * IF(AND(NZ$4=1,NX$20=1), OK96, OI96)</f>
        <v>0</v>
      </c>
      <c r="OB96" s="12">
        <f>OB$4 * IF(AND(OA$4=1,NX$20=1), OK96, OI96)</f>
        <v>0</v>
      </c>
      <c r="OC96" s="12">
        <f>OC$4 * IF(AND(OB$4=1,NX$20=1), OK96, OI96)</f>
        <v>0</v>
      </c>
      <c r="OD96" s="12">
        <f>OD$4 * IF(AND(OC$4=1,NX$20=1), OK96, OI96)</f>
        <v>0</v>
      </c>
      <c r="OE96" s="12">
        <f>OE$4 * IF(AND(OD$4=1,NX$20=1), OK96, OI96)</f>
        <v>0</v>
      </c>
      <c r="OF96" s="12">
        <f>OF$4 * IF(AND(OE$4=1,NX$20=1), OK96, OI96)</f>
        <v>0</v>
      </c>
      <c r="OH96" t="s">
        <v>1304</v>
      </c>
      <c r="OI96">
        <f>_xlfn.XLOOKUP(OH96,'KPI Impacts'!$B$2:$H$2,'KPI Impacts'!$B96:$H96)</f>
        <v>0</v>
      </c>
      <c r="OJ96" s="9" t="s">
        <v>1304</v>
      </c>
      <c r="OK96">
        <f>_xlfn.XLOOKUP(OJ96,'KPI Impacts'!$B$2:$H$2,'KPI Impacts'!$B96:$H96)</f>
        <v>0</v>
      </c>
    </row>
    <row r="97" spans="1:499" x14ac:dyDescent="0.2">
      <c r="A97" t="s">
        <v>1295</v>
      </c>
      <c r="B97" s="19" t="s">
        <v>1319</v>
      </c>
      <c r="C97" s="19" t="s">
        <v>1319</v>
      </c>
      <c r="D97" s="19" t="s">
        <v>1319</v>
      </c>
      <c r="E97" s="19" t="s">
        <v>1319</v>
      </c>
      <c r="F97" s="19" t="s">
        <v>1319</v>
      </c>
      <c r="G97" s="19" t="s">
        <v>1319</v>
      </c>
      <c r="H97" s="19" t="s">
        <v>1319</v>
      </c>
      <c r="I97" s="19" t="s">
        <v>1319</v>
      </c>
      <c r="J97" s="19" t="s">
        <v>1319</v>
      </c>
      <c r="M97" s="6"/>
      <c r="N97" s="6"/>
      <c r="P97" s="12"/>
      <c r="Q97" s="12"/>
      <c r="R97" s="12"/>
      <c r="S97" s="12"/>
      <c r="T97" s="12"/>
      <c r="U97" s="12"/>
      <c r="V97" s="12"/>
      <c r="W97" s="12"/>
      <c r="X97" s="12"/>
      <c r="AH97" s="12"/>
      <c r="AI97" s="12"/>
      <c r="AJ97" s="12"/>
      <c r="AK97" s="12"/>
      <c r="AL97" s="12"/>
      <c r="AM97" s="12"/>
      <c r="AN97" s="12"/>
      <c r="AO97" s="12"/>
      <c r="AP97" s="12"/>
      <c r="AZ97" s="12"/>
      <c r="BA97" s="12"/>
      <c r="BB97" s="12"/>
      <c r="BC97" s="12"/>
      <c r="BD97" s="12"/>
      <c r="BE97" s="12"/>
      <c r="BF97" s="12"/>
      <c r="BG97" s="12"/>
      <c r="BH97" s="12"/>
      <c r="BJ97" s="16"/>
      <c r="BL97" s="35"/>
      <c r="BP97" s="12"/>
      <c r="BQ97" s="12"/>
      <c r="BR97" s="12"/>
      <c r="BS97" s="12"/>
      <c r="BT97" s="12"/>
      <c r="BU97" s="12"/>
      <c r="BV97" s="12"/>
      <c r="BW97" s="12"/>
      <c r="BX97" s="12"/>
      <c r="BZ97" s="16"/>
      <c r="CB97" s="35"/>
      <c r="CF97" s="12"/>
      <c r="CG97" s="12"/>
      <c r="CH97" s="12"/>
      <c r="CI97" s="12"/>
      <c r="CJ97" s="12"/>
      <c r="CK97" s="12"/>
      <c r="CL97" s="12"/>
      <c r="CM97" s="12"/>
      <c r="CN97" s="12"/>
      <c r="CP97" s="16"/>
      <c r="CR97" s="35"/>
      <c r="CV97" s="12"/>
      <c r="CW97" s="12"/>
      <c r="CX97" s="12"/>
      <c r="CY97" s="12"/>
      <c r="CZ97" s="12"/>
      <c r="DA97" s="12"/>
      <c r="DB97" s="12"/>
      <c r="DC97" s="12"/>
      <c r="DD97" s="12"/>
      <c r="DF97" s="16"/>
      <c r="DH97" s="35"/>
      <c r="DL97" s="12"/>
      <c r="DM97" s="12"/>
      <c r="DN97" s="12"/>
      <c r="DO97" s="12"/>
      <c r="DP97" s="12"/>
      <c r="DQ97" s="12"/>
      <c r="DR97" s="12"/>
      <c r="DS97" s="12"/>
      <c r="DT97" s="12"/>
      <c r="DV97" s="16"/>
      <c r="DX97" s="35"/>
      <c r="EB97" s="12"/>
      <c r="EC97" s="12"/>
      <c r="ED97" s="12"/>
      <c r="EE97" s="12"/>
      <c r="EF97" s="12"/>
      <c r="EG97" s="12"/>
      <c r="EH97" s="12"/>
      <c r="EI97" s="12"/>
      <c r="EJ97" s="12"/>
      <c r="EL97" s="16"/>
      <c r="EN97" s="35"/>
      <c r="ER97" s="12"/>
      <c r="ES97" s="12"/>
      <c r="ET97" s="12"/>
      <c r="EU97" s="12"/>
      <c r="EV97" s="12"/>
      <c r="EW97" s="12"/>
      <c r="EX97" s="12"/>
      <c r="EY97" s="12"/>
      <c r="EZ97" s="12"/>
      <c r="FB97" s="16"/>
      <c r="FD97" s="35"/>
      <c r="FH97" s="12"/>
      <c r="FI97" s="12"/>
      <c r="FJ97" s="12"/>
      <c r="FK97" s="12"/>
      <c r="FL97" s="12"/>
      <c r="FM97" s="12"/>
      <c r="FN97" s="12"/>
      <c r="FO97" s="12"/>
      <c r="FP97" s="12"/>
      <c r="FR97" s="16"/>
      <c r="FT97" s="9"/>
      <c r="FX97" s="12"/>
      <c r="FY97" s="12"/>
      <c r="FZ97" s="12"/>
      <c r="GA97" s="12"/>
      <c r="GB97" s="12"/>
      <c r="GC97" s="12"/>
      <c r="GD97" s="12"/>
      <c r="GE97" s="12"/>
      <c r="GF97" s="12"/>
      <c r="GH97" s="16"/>
      <c r="GJ97" s="9"/>
      <c r="GN97" s="12"/>
      <c r="GO97" s="12"/>
      <c r="GP97" s="12"/>
      <c r="GQ97" s="12"/>
      <c r="GR97" s="12"/>
      <c r="GS97" s="12"/>
      <c r="GT97" s="12"/>
      <c r="GU97" s="12"/>
      <c r="GV97" s="12"/>
      <c r="GX97" s="16"/>
      <c r="GZ97" s="9"/>
      <c r="HD97" s="12"/>
      <c r="HE97" s="12"/>
      <c r="HF97" s="12"/>
      <c r="HG97" s="12"/>
      <c r="HH97" s="12"/>
      <c r="HI97" s="12"/>
      <c r="HJ97" s="12"/>
      <c r="HK97" s="12"/>
      <c r="HL97" s="12"/>
      <c r="HP97" s="9"/>
      <c r="HT97" s="12"/>
      <c r="HU97" s="12"/>
      <c r="HV97" s="12"/>
      <c r="HW97" s="12"/>
      <c r="HX97" s="12"/>
      <c r="HY97" s="12"/>
      <c r="HZ97" s="12"/>
      <c r="IA97" s="12"/>
      <c r="IB97" s="12"/>
      <c r="IF97" s="9"/>
      <c r="IJ97" s="12"/>
      <c r="IK97" s="12"/>
      <c r="IL97" s="12"/>
      <c r="IM97" s="12"/>
      <c r="IN97" s="12"/>
      <c r="IO97" s="12"/>
      <c r="IP97" s="12"/>
      <c r="IQ97" s="12"/>
      <c r="IR97" s="12"/>
      <c r="IV97" s="9"/>
      <c r="IZ97" s="12"/>
      <c r="JA97" s="12"/>
      <c r="JB97" s="12"/>
      <c r="JC97" s="12"/>
      <c r="JD97" s="12"/>
      <c r="JE97" s="12"/>
      <c r="JF97" s="12"/>
      <c r="JG97" s="12"/>
      <c r="JH97" s="12"/>
      <c r="JL97" s="9"/>
      <c r="JP97" s="12"/>
      <c r="JQ97" s="12"/>
      <c r="JR97" s="12"/>
      <c r="JS97" s="12"/>
      <c r="JT97" s="12"/>
      <c r="JU97" s="12"/>
      <c r="JV97" s="12"/>
      <c r="JW97" s="12"/>
      <c r="JX97" s="12"/>
      <c r="KB97" s="9"/>
      <c r="KF97" s="12"/>
      <c r="KG97" s="12"/>
      <c r="KH97" s="12"/>
      <c r="KI97" s="12"/>
      <c r="KJ97" s="12"/>
      <c r="KK97" s="12"/>
      <c r="KL97" s="12"/>
      <c r="KM97" s="12"/>
      <c r="KN97" s="12"/>
      <c r="KR97" s="9"/>
      <c r="KV97" s="12"/>
      <c r="KW97" s="12"/>
      <c r="KX97" s="12"/>
      <c r="KY97" s="12"/>
      <c r="KZ97" s="12"/>
      <c r="LA97" s="12"/>
      <c r="LB97" s="12"/>
      <c r="LC97" s="12"/>
      <c r="LD97" s="12"/>
      <c r="LH97" s="9"/>
      <c r="LL97" s="12"/>
      <c r="LM97" s="12"/>
      <c r="LN97" s="12"/>
      <c r="LO97" s="12"/>
      <c r="LP97" s="12"/>
      <c r="LQ97" s="12"/>
      <c r="LR97" s="12"/>
      <c r="LS97" s="12"/>
      <c r="LT97" s="12"/>
      <c r="LX97" s="9"/>
      <c r="MB97" s="12"/>
      <c r="MC97" s="12"/>
      <c r="MD97" s="12"/>
      <c r="ME97" s="12"/>
      <c r="MF97" s="12"/>
      <c r="MG97" s="12"/>
      <c r="MH97" s="12"/>
      <c r="MI97" s="12"/>
      <c r="MJ97" s="12"/>
      <c r="MN97" s="9"/>
      <c r="MR97" s="12"/>
      <c r="MS97" s="12"/>
      <c r="MT97" s="12"/>
      <c r="MU97" s="12"/>
      <c r="MV97" s="12"/>
      <c r="MW97" s="12"/>
      <c r="MX97" s="12"/>
      <c r="MY97" s="12"/>
      <c r="MZ97" s="12"/>
      <c r="ND97" s="9"/>
      <c r="NH97" s="12"/>
      <c r="NI97" s="12"/>
      <c r="NJ97" s="12"/>
      <c r="NK97" s="12"/>
      <c r="NL97" s="12"/>
      <c r="NM97" s="12"/>
      <c r="NN97" s="12"/>
      <c r="NO97" s="12"/>
      <c r="NP97" s="12"/>
      <c r="NT97" s="9"/>
      <c r="NX97" s="12"/>
      <c r="NY97" s="12"/>
      <c r="NZ97" s="12"/>
      <c r="OA97" s="12"/>
      <c r="OB97" s="12"/>
      <c r="OC97" s="12"/>
      <c r="OD97" s="12"/>
      <c r="OE97" s="12"/>
      <c r="OF97" s="12"/>
      <c r="OJ97" s="9"/>
    </row>
    <row r="98" spans="1:499" hidden="1" x14ac:dyDescent="0.2">
      <c r="B98" s="12"/>
      <c r="P98" s="12"/>
      <c r="Q98" s="12"/>
      <c r="R98" s="12"/>
      <c r="S98" s="12"/>
      <c r="T98" s="12"/>
      <c r="U98" s="12"/>
      <c r="V98" s="12"/>
      <c r="W98" s="12"/>
      <c r="X98" s="12"/>
      <c r="AH98" s="12"/>
      <c r="AI98" s="12"/>
      <c r="AJ98" s="12"/>
      <c r="AK98" s="12"/>
      <c r="AL98" s="12"/>
      <c r="AM98" s="12"/>
      <c r="AN98" s="12"/>
      <c r="AO98" s="12"/>
      <c r="AP98" s="12"/>
      <c r="AZ98" s="12"/>
      <c r="BA98" s="12"/>
      <c r="BB98" s="12"/>
      <c r="BC98" s="12"/>
      <c r="BD98" s="12"/>
      <c r="BE98" s="12"/>
      <c r="BF98" s="12"/>
      <c r="BG98" s="12"/>
      <c r="BH98" s="12"/>
      <c r="BJ98" s="16"/>
      <c r="BL98" s="35"/>
      <c r="BP98" s="12"/>
      <c r="BQ98" s="12"/>
      <c r="BR98" s="12"/>
      <c r="BS98" s="12"/>
      <c r="BT98" s="12"/>
      <c r="BU98" s="12"/>
      <c r="BV98" s="12"/>
      <c r="BW98" s="12"/>
      <c r="BX98" s="12"/>
      <c r="BZ98" s="16"/>
      <c r="CB98" s="35"/>
      <c r="CF98" s="12"/>
      <c r="CG98" s="12"/>
      <c r="CH98" s="12"/>
      <c r="CI98" s="12"/>
      <c r="CJ98" s="12"/>
      <c r="CK98" s="12"/>
      <c r="CL98" s="12"/>
      <c r="CM98" s="12"/>
      <c r="CN98" s="12"/>
      <c r="CP98" s="16"/>
      <c r="CR98" s="35"/>
      <c r="CV98" s="12"/>
      <c r="CW98" s="12"/>
      <c r="CX98" s="12"/>
      <c r="CY98" s="12"/>
      <c r="CZ98" s="12"/>
      <c r="DA98" s="12"/>
      <c r="DB98" s="12"/>
      <c r="DC98" s="12"/>
      <c r="DD98" s="12"/>
      <c r="DF98" s="16"/>
      <c r="DH98" s="35"/>
      <c r="DL98" s="12"/>
      <c r="DM98" s="12"/>
      <c r="DN98" s="12"/>
      <c r="DO98" s="12"/>
      <c r="DP98" s="12"/>
      <c r="DQ98" s="12"/>
      <c r="DR98" s="12"/>
      <c r="DS98" s="12"/>
      <c r="DT98" s="12"/>
      <c r="DV98" s="16"/>
      <c r="DX98" s="35"/>
      <c r="EB98" s="12"/>
      <c r="EC98" s="12"/>
      <c r="ED98" s="12"/>
      <c r="EE98" s="12"/>
      <c r="EF98" s="12"/>
      <c r="EG98" s="12"/>
      <c r="EH98" s="12"/>
      <c r="EI98" s="12"/>
      <c r="EJ98" s="12"/>
      <c r="EL98" s="16"/>
      <c r="EN98" s="35"/>
      <c r="ER98" s="12"/>
      <c r="ES98" s="12"/>
      <c r="ET98" s="12"/>
      <c r="EU98" s="12"/>
      <c r="EV98" s="12"/>
      <c r="EW98" s="12"/>
      <c r="EX98" s="12"/>
      <c r="EY98" s="12"/>
      <c r="EZ98" s="12"/>
      <c r="FB98" s="16"/>
      <c r="FD98" s="35"/>
      <c r="FH98" s="12"/>
      <c r="FI98" s="12"/>
      <c r="FJ98" s="12"/>
      <c r="FK98" s="12"/>
      <c r="FL98" s="12"/>
      <c r="FM98" s="12"/>
      <c r="FN98" s="12"/>
      <c r="FO98" s="12"/>
      <c r="FP98" s="12"/>
      <c r="FR98" s="16"/>
      <c r="FT98" s="9"/>
      <c r="FX98" s="12"/>
      <c r="FY98" s="12"/>
      <c r="FZ98" s="12"/>
      <c r="GA98" s="12"/>
      <c r="GB98" s="12"/>
      <c r="GC98" s="12"/>
      <c r="GD98" s="12"/>
      <c r="GE98" s="12"/>
      <c r="GF98" s="12"/>
      <c r="GH98" s="16"/>
      <c r="GJ98" s="9"/>
      <c r="GN98" s="12"/>
      <c r="GO98" s="12"/>
      <c r="GP98" s="12"/>
      <c r="GQ98" s="12"/>
      <c r="GR98" s="12"/>
      <c r="GS98" s="12"/>
      <c r="GT98" s="12"/>
      <c r="GU98" s="12"/>
      <c r="GV98" s="12"/>
      <c r="GX98" s="16"/>
      <c r="GZ98" s="9"/>
      <c r="HD98" s="12"/>
      <c r="HE98" s="12"/>
      <c r="HF98" s="12"/>
      <c r="HG98" s="12"/>
      <c r="HH98" s="12"/>
      <c r="HI98" s="12"/>
      <c r="HJ98" s="12"/>
      <c r="HK98" s="12"/>
      <c r="HL98" s="12"/>
      <c r="HP98" s="9"/>
      <c r="HT98" s="12"/>
      <c r="HU98" s="12"/>
      <c r="HV98" s="12"/>
      <c r="HW98" s="12"/>
      <c r="HX98" s="12"/>
      <c r="HY98" s="12"/>
      <c r="HZ98" s="12"/>
      <c r="IA98" s="12"/>
      <c r="IB98" s="12"/>
      <c r="IF98" s="9"/>
      <c r="IJ98" s="12"/>
      <c r="IK98" s="12"/>
      <c r="IL98" s="12"/>
      <c r="IM98" s="12"/>
      <c r="IN98" s="12"/>
      <c r="IO98" s="12"/>
      <c r="IP98" s="12"/>
      <c r="IQ98" s="12"/>
      <c r="IR98" s="12"/>
      <c r="IV98" s="9"/>
      <c r="IZ98" s="12"/>
      <c r="JA98" s="12"/>
      <c r="JB98" s="12"/>
      <c r="JC98" s="12"/>
      <c r="JD98" s="12"/>
      <c r="JE98" s="12"/>
      <c r="JF98" s="12"/>
      <c r="JG98" s="12"/>
      <c r="JH98" s="12"/>
      <c r="JL98" s="9"/>
      <c r="JP98" s="12"/>
      <c r="JQ98" s="12"/>
      <c r="JR98" s="12"/>
      <c r="JS98" s="12"/>
      <c r="JT98" s="12"/>
      <c r="JU98" s="12"/>
      <c r="JV98" s="12"/>
      <c r="JW98" s="12"/>
      <c r="JX98" s="12"/>
      <c r="KB98" s="9"/>
      <c r="KF98" s="12"/>
      <c r="KG98" s="12"/>
      <c r="KH98" s="12"/>
      <c r="KI98" s="12"/>
      <c r="KJ98" s="12"/>
      <c r="KK98" s="12"/>
      <c r="KL98" s="12"/>
      <c r="KM98" s="12"/>
      <c r="KN98" s="12"/>
      <c r="KR98" s="9"/>
      <c r="KV98" s="12"/>
      <c r="KW98" s="12"/>
      <c r="KX98" s="12"/>
      <c r="KY98" s="12"/>
      <c r="KZ98" s="12"/>
      <c r="LA98" s="12"/>
      <c r="LB98" s="12"/>
      <c r="LC98" s="12"/>
      <c r="LD98" s="12"/>
      <c r="LH98" s="9"/>
      <c r="LL98" s="12"/>
      <c r="LM98" s="12"/>
      <c r="LN98" s="12"/>
      <c r="LO98" s="12"/>
      <c r="LP98" s="12"/>
      <c r="LQ98" s="12"/>
      <c r="LR98" s="12"/>
      <c r="LS98" s="12"/>
      <c r="LT98" s="12"/>
      <c r="LX98" s="9"/>
      <c r="MB98" s="12"/>
      <c r="MC98" s="12"/>
      <c r="MD98" s="12"/>
      <c r="ME98" s="12"/>
      <c r="MF98" s="12"/>
      <c r="MG98" s="12"/>
      <c r="MH98" s="12"/>
      <c r="MI98" s="12"/>
      <c r="MJ98" s="12"/>
      <c r="MN98" s="9"/>
      <c r="MR98" s="12"/>
      <c r="MS98" s="12"/>
      <c r="MT98" s="12"/>
      <c r="MU98" s="12"/>
      <c r="MV98" s="12"/>
      <c r="MW98" s="12"/>
      <c r="MX98" s="12"/>
      <c r="MY98" s="12"/>
      <c r="MZ98" s="12"/>
      <c r="ND98" s="9"/>
      <c r="NH98" s="12"/>
      <c r="NI98" s="12"/>
      <c r="NJ98" s="12"/>
      <c r="NK98" s="12"/>
      <c r="NL98" s="12"/>
      <c r="NM98" s="12"/>
      <c r="NN98" s="12"/>
      <c r="NO98" s="12"/>
      <c r="NP98" s="12"/>
      <c r="NT98" s="9"/>
      <c r="NX98" s="12"/>
      <c r="NY98" s="12"/>
      <c r="NZ98" s="12"/>
      <c r="OA98" s="12"/>
      <c r="OB98" s="12"/>
      <c r="OC98" s="12"/>
      <c r="OD98" s="12"/>
      <c r="OE98" s="12"/>
      <c r="OF98" s="12"/>
      <c r="OJ98" s="9"/>
    </row>
    <row r="99" spans="1:499" x14ac:dyDescent="0.2">
      <c r="B99" s="12"/>
      <c r="P99" s="12"/>
      <c r="Q99" s="12"/>
      <c r="R99" s="12"/>
      <c r="S99" s="12"/>
      <c r="T99" s="12"/>
      <c r="U99" s="12"/>
      <c r="V99" s="12"/>
      <c r="W99" s="12"/>
      <c r="X99" s="12"/>
      <c r="AH99" s="12"/>
      <c r="AI99" s="12"/>
      <c r="AJ99" s="12"/>
      <c r="AK99" s="12"/>
      <c r="AL99" s="12"/>
      <c r="AM99" s="12"/>
      <c r="AN99" s="12"/>
      <c r="AO99" s="12"/>
      <c r="AP99" s="12"/>
      <c r="AZ99" s="12"/>
      <c r="BA99" s="12"/>
      <c r="BB99" s="12"/>
      <c r="BC99" s="12"/>
      <c r="BD99" s="12"/>
      <c r="BE99" s="12"/>
      <c r="BF99" s="12"/>
      <c r="BG99" s="12"/>
      <c r="BH99" s="12"/>
      <c r="BJ99" s="16"/>
      <c r="BL99" s="35"/>
      <c r="BP99" s="12"/>
      <c r="BQ99" s="12"/>
      <c r="BR99" s="12"/>
      <c r="BS99" s="12"/>
      <c r="BT99" s="12"/>
      <c r="BU99" s="12"/>
      <c r="BV99" s="12"/>
      <c r="BW99" s="12"/>
      <c r="BX99" s="12"/>
      <c r="BZ99" s="16"/>
      <c r="CB99" s="35"/>
      <c r="CF99" s="12"/>
      <c r="CG99" s="12"/>
      <c r="CH99" s="12"/>
      <c r="CI99" s="12"/>
      <c r="CJ99" s="12"/>
      <c r="CK99" s="12"/>
      <c r="CL99" s="12"/>
      <c r="CM99" s="12"/>
      <c r="CN99" s="12"/>
      <c r="CP99" s="16"/>
      <c r="CR99" s="35"/>
      <c r="CV99" s="12"/>
      <c r="CW99" s="12"/>
      <c r="CX99" s="12"/>
      <c r="CY99" s="12"/>
      <c r="CZ99" s="12"/>
      <c r="DA99" s="12"/>
      <c r="DB99" s="12"/>
      <c r="DC99" s="12"/>
      <c r="DD99" s="12"/>
      <c r="DF99" s="16"/>
      <c r="DH99" s="35"/>
      <c r="DL99" s="12"/>
      <c r="DM99" s="12"/>
      <c r="DN99" s="12"/>
      <c r="DO99" s="12"/>
      <c r="DP99" s="12"/>
      <c r="DQ99" s="12"/>
      <c r="DR99" s="12"/>
      <c r="DS99" s="12"/>
      <c r="DT99" s="12"/>
      <c r="DV99" s="16"/>
      <c r="DX99" s="35"/>
      <c r="EB99" s="12"/>
      <c r="EC99" s="12"/>
      <c r="ED99" s="12"/>
      <c r="EE99" s="12"/>
      <c r="EF99" s="12"/>
      <c r="EG99" s="12"/>
      <c r="EH99" s="12"/>
      <c r="EI99" s="12"/>
      <c r="EJ99" s="12"/>
      <c r="EL99" s="16"/>
      <c r="EN99" s="35"/>
      <c r="ER99" s="12"/>
      <c r="ES99" s="12"/>
      <c r="ET99" s="12"/>
      <c r="EU99" s="12"/>
      <c r="EV99" s="12"/>
      <c r="EW99" s="12"/>
      <c r="EX99" s="12"/>
      <c r="EY99" s="12"/>
      <c r="EZ99" s="12"/>
      <c r="FB99" s="16"/>
      <c r="FD99" s="35"/>
      <c r="FH99" s="12"/>
      <c r="FI99" s="12"/>
      <c r="FJ99" s="12"/>
      <c r="FK99" s="12"/>
      <c r="FL99" s="12"/>
      <c r="FM99" s="12"/>
      <c r="FN99" s="12"/>
      <c r="FO99" s="12"/>
      <c r="FP99" s="12"/>
      <c r="FR99" s="16"/>
      <c r="FT99" s="9"/>
      <c r="FX99" s="12"/>
      <c r="FY99" s="12"/>
      <c r="FZ99" s="12"/>
      <c r="GA99" s="12"/>
      <c r="GB99" s="12"/>
      <c r="GC99" s="12"/>
      <c r="GD99" s="12"/>
      <c r="GE99" s="12"/>
      <c r="GF99" s="12"/>
      <c r="GH99" s="16"/>
      <c r="GJ99" s="9"/>
      <c r="GN99" s="12"/>
      <c r="GO99" s="12"/>
      <c r="GP99" s="12"/>
      <c r="GQ99" s="12"/>
      <c r="GR99" s="12"/>
      <c r="GS99" s="12"/>
      <c r="GT99" s="12"/>
      <c r="GU99" s="12"/>
      <c r="GV99" s="12"/>
      <c r="GX99" s="16"/>
      <c r="GZ99" s="9"/>
      <c r="HD99" s="12"/>
      <c r="HE99" s="12"/>
      <c r="HF99" s="12"/>
      <c r="HG99" s="12"/>
      <c r="HH99" s="12"/>
      <c r="HI99" s="12"/>
      <c r="HJ99" s="12"/>
      <c r="HK99" s="12"/>
      <c r="HL99" s="12"/>
      <c r="HP99" s="9"/>
      <c r="HT99" s="12"/>
      <c r="HU99" s="12"/>
      <c r="HV99" s="12"/>
      <c r="HW99" s="12"/>
      <c r="HX99" s="12"/>
      <c r="HY99" s="12"/>
      <c r="HZ99" s="12"/>
      <c r="IA99" s="12"/>
      <c r="IB99" s="12"/>
      <c r="IF99" s="9"/>
      <c r="IJ99" s="12"/>
      <c r="IK99" s="12"/>
      <c r="IL99" s="12"/>
      <c r="IM99" s="12"/>
      <c r="IN99" s="12"/>
      <c r="IO99" s="12"/>
      <c r="IP99" s="12"/>
      <c r="IQ99" s="12"/>
      <c r="IR99" s="12"/>
      <c r="IV99" s="9"/>
      <c r="IZ99" s="12"/>
      <c r="JA99" s="12"/>
      <c r="JB99" s="12"/>
      <c r="JC99" s="12"/>
      <c r="JD99" s="12"/>
      <c r="JE99" s="12"/>
      <c r="JF99" s="12"/>
      <c r="JG99" s="12"/>
      <c r="JH99" s="12"/>
      <c r="JL99" s="9"/>
      <c r="JP99" s="12"/>
      <c r="JQ99" s="12"/>
      <c r="JR99" s="12"/>
      <c r="JS99" s="12"/>
      <c r="JT99" s="12"/>
      <c r="JU99" s="12"/>
      <c r="JV99" s="12"/>
      <c r="JW99" s="12"/>
      <c r="JX99" s="12"/>
      <c r="KB99" s="9"/>
      <c r="KF99" s="12"/>
      <c r="KG99" s="12"/>
      <c r="KH99" s="12"/>
      <c r="KI99" s="12"/>
      <c r="KJ99" s="12"/>
      <c r="KK99" s="12"/>
      <c r="KL99" s="12"/>
      <c r="KM99" s="12"/>
      <c r="KN99" s="12"/>
      <c r="KR99" s="9"/>
      <c r="KV99" s="12"/>
      <c r="KW99" s="12"/>
      <c r="KX99" s="12"/>
      <c r="KY99" s="12"/>
      <c r="KZ99" s="12"/>
      <c r="LA99" s="12"/>
      <c r="LB99" s="12"/>
      <c r="LC99" s="12"/>
      <c r="LD99" s="12"/>
      <c r="LH99" s="9"/>
      <c r="LL99" s="12"/>
      <c r="LM99" s="12"/>
      <c r="LN99" s="12"/>
      <c r="LO99" s="12"/>
      <c r="LP99" s="12"/>
      <c r="LQ99" s="12"/>
      <c r="LR99" s="12"/>
      <c r="LS99" s="12"/>
      <c r="LT99" s="12"/>
      <c r="LX99" s="9"/>
      <c r="MB99" s="12"/>
      <c r="MC99" s="12"/>
      <c r="MD99" s="12"/>
      <c r="ME99" s="12"/>
      <c r="MF99" s="12"/>
      <c r="MG99" s="12"/>
      <c r="MH99" s="12"/>
      <c r="MI99" s="12"/>
      <c r="MJ99" s="12"/>
      <c r="MN99" s="9"/>
      <c r="MR99" s="12"/>
      <c r="MS99" s="12"/>
      <c r="MT99" s="12"/>
      <c r="MU99" s="12"/>
      <c r="MV99" s="12"/>
      <c r="MW99" s="12"/>
      <c r="MX99" s="12"/>
      <c r="MY99" s="12"/>
      <c r="MZ99" s="12"/>
      <c r="ND99" s="9"/>
      <c r="NH99" s="12"/>
      <c r="NI99" s="12"/>
      <c r="NJ99" s="12"/>
      <c r="NK99" s="12"/>
      <c r="NL99" s="12"/>
      <c r="NM99" s="12"/>
      <c r="NN99" s="12"/>
      <c r="NO99" s="12"/>
      <c r="NP99" s="12"/>
      <c r="NT99" s="9"/>
      <c r="NX99" s="12"/>
      <c r="NY99" s="12"/>
      <c r="NZ99" s="12"/>
      <c r="OA99" s="12"/>
      <c r="OB99" s="12"/>
      <c r="OC99" s="12"/>
      <c r="OD99" s="12"/>
      <c r="OE99" s="12"/>
      <c r="OF99" s="12"/>
      <c r="OJ99" s="9"/>
    </row>
    <row r="100" spans="1:499" x14ac:dyDescent="0.2">
      <c r="B100" s="12"/>
      <c r="P100" s="12"/>
      <c r="Q100" s="12"/>
      <c r="R100" s="12"/>
      <c r="S100" s="12"/>
      <c r="T100" s="12"/>
      <c r="U100" s="12"/>
      <c r="V100" s="12"/>
      <c r="W100" s="12"/>
      <c r="X100" s="12"/>
      <c r="AH100" s="12"/>
      <c r="AI100" s="12"/>
      <c r="AJ100" s="12"/>
      <c r="AK100" s="12"/>
      <c r="AL100" s="12"/>
      <c r="AM100" s="12"/>
      <c r="AN100" s="12"/>
      <c r="AO100" s="12"/>
      <c r="AP100" s="12"/>
      <c r="AZ100" s="12"/>
      <c r="BA100" s="12"/>
      <c r="BB100" s="12"/>
      <c r="BC100" s="12"/>
      <c r="BD100" s="12"/>
      <c r="BE100" s="12"/>
      <c r="BF100" s="12"/>
      <c r="BG100" s="12"/>
      <c r="BH100" s="12"/>
      <c r="BJ100" s="16"/>
      <c r="BL100" s="35"/>
      <c r="BP100" s="12"/>
      <c r="BQ100" s="12"/>
      <c r="BR100" s="12"/>
      <c r="BS100" s="12"/>
      <c r="BT100" s="12"/>
      <c r="BU100" s="12"/>
      <c r="BV100" s="12"/>
      <c r="BW100" s="12"/>
      <c r="BX100" s="12"/>
      <c r="BZ100" s="16"/>
      <c r="CB100" s="35"/>
      <c r="CF100" s="12"/>
      <c r="CG100" s="12"/>
      <c r="CH100" s="12"/>
      <c r="CI100" s="12"/>
      <c r="CJ100" s="12"/>
      <c r="CK100" s="12"/>
      <c r="CL100" s="12"/>
      <c r="CM100" s="12"/>
      <c r="CN100" s="12"/>
      <c r="CP100" s="16"/>
      <c r="CR100" s="35"/>
      <c r="CV100" s="12"/>
      <c r="CW100" s="12"/>
      <c r="CX100" s="12"/>
      <c r="CY100" s="12"/>
      <c r="CZ100" s="12"/>
      <c r="DA100" s="12"/>
      <c r="DB100" s="12"/>
      <c r="DC100" s="12"/>
      <c r="DD100" s="12"/>
      <c r="DF100" s="16"/>
      <c r="DH100" s="35"/>
      <c r="DL100" s="12"/>
      <c r="DM100" s="12"/>
      <c r="DN100" s="12"/>
      <c r="DO100" s="12"/>
      <c r="DP100" s="12"/>
      <c r="DQ100" s="12"/>
      <c r="DR100" s="12"/>
      <c r="DS100" s="12"/>
      <c r="DT100" s="12"/>
      <c r="DV100" s="16"/>
      <c r="DX100" s="35"/>
      <c r="EB100" s="12"/>
      <c r="EC100" s="12"/>
      <c r="ED100" s="12"/>
      <c r="EE100" s="12"/>
      <c r="EF100" s="12"/>
      <c r="EG100" s="12"/>
      <c r="EH100" s="12"/>
      <c r="EI100" s="12"/>
      <c r="EJ100" s="12"/>
      <c r="EL100" s="16"/>
      <c r="EN100" s="35"/>
      <c r="ER100" s="12"/>
      <c r="ES100" s="12"/>
      <c r="ET100" s="12"/>
      <c r="EU100" s="12"/>
      <c r="EV100" s="12"/>
      <c r="EW100" s="12"/>
      <c r="EX100" s="12"/>
      <c r="EY100" s="12"/>
      <c r="EZ100" s="12"/>
      <c r="FB100" s="16"/>
      <c r="FD100" s="35"/>
      <c r="FH100" s="12"/>
      <c r="FI100" s="12"/>
      <c r="FJ100" s="12"/>
      <c r="FK100" s="12"/>
      <c r="FL100" s="12"/>
      <c r="FM100" s="12"/>
      <c r="FN100" s="12"/>
      <c r="FO100" s="12"/>
      <c r="FP100" s="12"/>
      <c r="FR100" s="16"/>
      <c r="FT100" s="9"/>
      <c r="FX100" s="12"/>
      <c r="FY100" s="12"/>
      <c r="FZ100" s="12"/>
      <c r="GA100" s="12"/>
      <c r="GB100" s="12"/>
      <c r="GC100" s="12"/>
      <c r="GD100" s="12"/>
      <c r="GE100" s="12"/>
      <c r="GF100" s="12"/>
      <c r="GH100" s="16"/>
      <c r="GJ100" s="9"/>
      <c r="GN100" s="12"/>
      <c r="GO100" s="12"/>
      <c r="GP100" s="12"/>
      <c r="GQ100" s="12"/>
      <c r="GR100" s="12"/>
      <c r="GS100" s="12"/>
      <c r="GT100" s="12"/>
      <c r="GU100" s="12"/>
      <c r="GV100" s="12"/>
      <c r="GX100" s="16"/>
      <c r="GZ100" s="9"/>
      <c r="HD100" s="12"/>
      <c r="HE100" s="12"/>
      <c r="HF100" s="12"/>
      <c r="HG100" s="12"/>
      <c r="HH100" s="12"/>
      <c r="HI100" s="12"/>
      <c r="HJ100" s="12"/>
      <c r="HK100" s="12"/>
      <c r="HL100" s="12"/>
      <c r="HP100" s="9"/>
      <c r="HT100" s="12"/>
      <c r="HU100" s="12"/>
      <c r="HV100" s="12"/>
      <c r="HW100" s="12"/>
      <c r="HX100" s="12"/>
      <c r="HY100" s="12"/>
      <c r="HZ100" s="12"/>
      <c r="IA100" s="12"/>
      <c r="IB100" s="12"/>
      <c r="IF100" s="9"/>
      <c r="IJ100" s="12"/>
      <c r="IK100" s="12"/>
      <c r="IL100" s="12"/>
      <c r="IM100" s="12"/>
      <c r="IN100" s="12"/>
      <c r="IO100" s="12"/>
      <c r="IP100" s="12"/>
      <c r="IQ100" s="12"/>
      <c r="IR100" s="12"/>
      <c r="IV100" s="9"/>
      <c r="IZ100" s="12"/>
      <c r="JA100" s="12"/>
      <c r="JB100" s="12"/>
      <c r="JC100" s="12"/>
      <c r="JD100" s="12"/>
      <c r="JE100" s="12"/>
      <c r="JF100" s="12"/>
      <c r="JG100" s="12"/>
      <c r="JH100" s="12"/>
      <c r="JL100" s="9"/>
      <c r="JP100" s="12"/>
      <c r="JQ100" s="12"/>
      <c r="JR100" s="12"/>
      <c r="JS100" s="12"/>
      <c r="JT100" s="12"/>
      <c r="JU100" s="12"/>
      <c r="JV100" s="12"/>
      <c r="JW100" s="12"/>
      <c r="JX100" s="12"/>
      <c r="KB100" s="9"/>
      <c r="KF100" s="12"/>
      <c r="KG100" s="12"/>
      <c r="KH100" s="12"/>
      <c r="KI100" s="12"/>
      <c r="KJ100" s="12"/>
      <c r="KK100" s="12"/>
      <c r="KL100" s="12"/>
      <c r="KM100" s="12"/>
      <c r="KN100" s="12"/>
      <c r="KR100" s="9"/>
      <c r="KV100" s="12"/>
      <c r="KW100" s="12"/>
      <c r="KX100" s="12"/>
      <c r="KY100" s="12"/>
      <c r="KZ100" s="12"/>
      <c r="LA100" s="12"/>
      <c r="LB100" s="12"/>
      <c r="LC100" s="12"/>
      <c r="LD100" s="12"/>
      <c r="LH100" s="9"/>
      <c r="LL100" s="12"/>
      <c r="LM100" s="12"/>
      <c r="LN100" s="12"/>
      <c r="LO100" s="12"/>
      <c r="LP100" s="12"/>
      <c r="LQ100" s="12"/>
      <c r="LR100" s="12"/>
      <c r="LS100" s="12"/>
      <c r="LT100" s="12"/>
      <c r="LX100" s="9"/>
      <c r="MB100" s="12"/>
      <c r="MC100" s="12"/>
      <c r="MD100" s="12"/>
      <c r="ME100" s="12"/>
      <c r="MF100" s="12"/>
      <c r="MG100" s="12"/>
      <c r="MH100" s="12"/>
      <c r="MI100" s="12"/>
      <c r="MJ100" s="12"/>
      <c r="MN100" s="9"/>
      <c r="MR100" s="12"/>
      <c r="MS100" s="12"/>
      <c r="MT100" s="12"/>
      <c r="MU100" s="12"/>
      <c r="MV100" s="12"/>
      <c r="MW100" s="12"/>
      <c r="MX100" s="12"/>
      <c r="MY100" s="12"/>
      <c r="MZ100" s="12"/>
      <c r="ND100" s="9"/>
      <c r="NH100" s="12"/>
      <c r="NI100" s="12"/>
      <c r="NJ100" s="12"/>
      <c r="NK100" s="12"/>
      <c r="NL100" s="12"/>
      <c r="NM100" s="12"/>
      <c r="NN100" s="12"/>
      <c r="NO100" s="12"/>
      <c r="NP100" s="12"/>
      <c r="NT100" s="9"/>
      <c r="NX100" s="12"/>
      <c r="NY100" s="12"/>
      <c r="NZ100" s="12"/>
      <c r="OA100" s="12"/>
      <c r="OB100" s="12"/>
      <c r="OC100" s="12"/>
      <c r="OD100" s="12"/>
      <c r="OE100" s="12"/>
      <c r="OF100" s="12"/>
      <c r="OJ100" s="9"/>
    </row>
    <row r="101" spans="1:499" x14ac:dyDescent="0.2">
      <c r="A101" s="5" t="s">
        <v>53</v>
      </c>
      <c r="B101" s="12"/>
      <c r="P101" s="12"/>
      <c r="Q101" s="12"/>
      <c r="R101" s="12"/>
      <c r="S101" s="12"/>
      <c r="T101" s="12"/>
      <c r="U101" s="12"/>
      <c r="V101" s="12"/>
      <c r="W101" s="12"/>
      <c r="X101" s="12"/>
      <c r="AH101" s="12"/>
      <c r="AI101" s="12"/>
      <c r="AJ101" s="12"/>
      <c r="AK101" s="12"/>
      <c r="AL101" s="12"/>
      <c r="AM101" s="12"/>
      <c r="AN101" s="12"/>
      <c r="AO101" s="12"/>
      <c r="AP101" s="12"/>
      <c r="AZ101" s="12"/>
      <c r="BA101" s="12"/>
      <c r="BB101" s="12"/>
      <c r="BC101" s="12"/>
      <c r="BD101" s="12"/>
      <c r="BE101" s="12"/>
      <c r="BF101" s="12"/>
      <c r="BG101" s="12"/>
      <c r="BH101" s="12"/>
      <c r="BJ101" s="16"/>
      <c r="BL101" s="35"/>
      <c r="BP101" s="12"/>
      <c r="BQ101" s="12"/>
      <c r="BR101" s="12"/>
      <c r="BS101" s="12"/>
      <c r="BT101" s="12"/>
      <c r="BU101" s="12"/>
      <c r="BV101" s="12"/>
      <c r="BW101" s="12"/>
      <c r="BX101" s="12"/>
      <c r="BZ101" s="16"/>
      <c r="CB101" s="35"/>
      <c r="CF101" s="12"/>
      <c r="CG101" s="12"/>
      <c r="CH101" s="12"/>
      <c r="CI101" s="12"/>
      <c r="CJ101" s="12"/>
      <c r="CK101" s="12"/>
      <c r="CL101" s="12"/>
      <c r="CM101" s="12"/>
      <c r="CN101" s="12"/>
      <c r="CP101" s="16"/>
      <c r="CR101" s="35"/>
      <c r="CV101" s="12"/>
      <c r="CW101" s="12"/>
      <c r="CX101" s="12"/>
      <c r="CY101" s="12"/>
      <c r="CZ101" s="12"/>
      <c r="DA101" s="12"/>
      <c r="DB101" s="12"/>
      <c r="DC101" s="12"/>
      <c r="DD101" s="12"/>
      <c r="DF101" s="16"/>
      <c r="DH101" s="35"/>
      <c r="DL101" s="12"/>
      <c r="DM101" s="12"/>
      <c r="DN101" s="12"/>
      <c r="DO101" s="12"/>
      <c r="DP101" s="12"/>
      <c r="DQ101" s="12"/>
      <c r="DR101" s="12"/>
      <c r="DS101" s="12"/>
      <c r="DT101" s="12"/>
      <c r="DV101" s="16"/>
      <c r="DX101" s="35"/>
      <c r="EB101" s="12"/>
      <c r="EC101" s="12"/>
      <c r="ED101" s="12"/>
      <c r="EE101" s="12"/>
      <c r="EF101" s="12"/>
      <c r="EG101" s="12"/>
      <c r="EH101" s="12"/>
      <c r="EI101" s="12"/>
      <c r="EJ101" s="12"/>
      <c r="EL101" s="16"/>
      <c r="EN101" s="35"/>
      <c r="ER101" s="12"/>
      <c r="ES101" s="12"/>
      <c r="ET101" s="12"/>
      <c r="EU101" s="12"/>
      <c r="EV101" s="12"/>
      <c r="EW101" s="12"/>
      <c r="EX101" s="12"/>
      <c r="EY101" s="12"/>
      <c r="EZ101" s="12"/>
      <c r="FB101" s="16"/>
      <c r="FD101" s="35"/>
      <c r="FH101" s="12"/>
      <c r="FI101" s="12"/>
      <c r="FJ101" s="12"/>
      <c r="FK101" s="12"/>
      <c r="FL101" s="12"/>
      <c r="FM101" s="12"/>
      <c r="FN101" s="12"/>
      <c r="FO101" s="12"/>
      <c r="FP101" s="12"/>
      <c r="FR101" s="16"/>
      <c r="FT101" s="9"/>
      <c r="FX101" s="12"/>
      <c r="FY101" s="12"/>
      <c r="FZ101" s="12"/>
      <c r="GA101" s="12"/>
      <c r="GB101" s="12"/>
      <c r="GC101" s="12"/>
      <c r="GD101" s="12"/>
      <c r="GE101" s="12"/>
      <c r="GF101" s="12"/>
      <c r="GH101" s="16"/>
      <c r="GJ101" s="9"/>
      <c r="GN101" s="12"/>
      <c r="GO101" s="12"/>
      <c r="GP101" s="12"/>
      <c r="GQ101" s="12"/>
      <c r="GR101" s="12"/>
      <c r="GS101" s="12"/>
      <c r="GT101" s="12"/>
      <c r="GU101" s="12"/>
      <c r="GV101" s="12"/>
      <c r="GX101" s="16"/>
      <c r="GZ101" s="9"/>
      <c r="HD101" s="12"/>
      <c r="HE101" s="12"/>
      <c r="HF101" s="12"/>
      <c r="HG101" s="12"/>
      <c r="HH101" s="12"/>
      <c r="HI101" s="12"/>
      <c r="HJ101" s="12"/>
      <c r="HK101" s="12"/>
      <c r="HL101" s="12"/>
      <c r="HP101" s="9"/>
      <c r="HT101" s="12"/>
      <c r="HU101" s="12"/>
      <c r="HV101" s="12"/>
      <c r="HW101" s="12"/>
      <c r="HX101" s="12"/>
      <c r="HY101" s="12"/>
      <c r="HZ101" s="12"/>
      <c r="IA101" s="12"/>
      <c r="IB101" s="12"/>
      <c r="IF101" s="9"/>
      <c r="IJ101" s="12"/>
      <c r="IK101" s="12"/>
      <c r="IL101" s="12"/>
      <c r="IM101" s="12"/>
      <c r="IN101" s="12"/>
      <c r="IO101" s="12"/>
      <c r="IP101" s="12"/>
      <c r="IQ101" s="12"/>
      <c r="IR101" s="12"/>
      <c r="IV101" s="9"/>
      <c r="IZ101" s="12"/>
      <c r="JA101" s="12"/>
      <c r="JB101" s="12"/>
      <c r="JC101" s="12"/>
      <c r="JD101" s="12"/>
      <c r="JE101" s="12"/>
      <c r="JF101" s="12"/>
      <c r="JG101" s="12"/>
      <c r="JH101" s="12"/>
      <c r="JL101" s="9"/>
      <c r="JP101" s="12"/>
      <c r="JQ101" s="12"/>
      <c r="JR101" s="12"/>
      <c r="JS101" s="12"/>
      <c r="JT101" s="12"/>
      <c r="JU101" s="12"/>
      <c r="JV101" s="12"/>
      <c r="JW101" s="12"/>
      <c r="JX101" s="12"/>
      <c r="KB101" s="9"/>
      <c r="KF101" s="12"/>
      <c r="KG101" s="12"/>
      <c r="KH101" s="12"/>
      <c r="KI101" s="12"/>
      <c r="KJ101" s="12"/>
      <c r="KK101" s="12"/>
      <c r="KL101" s="12"/>
      <c r="KM101" s="12"/>
      <c r="KN101" s="12"/>
      <c r="KR101" s="9"/>
      <c r="KV101" s="12"/>
      <c r="KW101" s="12"/>
      <c r="KX101" s="12"/>
      <c r="KY101" s="12"/>
      <c r="KZ101" s="12"/>
      <c r="LA101" s="12"/>
      <c r="LB101" s="12"/>
      <c r="LC101" s="12"/>
      <c r="LD101" s="12"/>
      <c r="LH101" s="9"/>
      <c r="LL101" s="12"/>
      <c r="LM101" s="12"/>
      <c r="LN101" s="12"/>
      <c r="LO101" s="12"/>
      <c r="LP101" s="12"/>
      <c r="LQ101" s="12"/>
      <c r="LR101" s="12"/>
      <c r="LS101" s="12"/>
      <c r="LT101" s="12"/>
      <c r="LX101" s="9"/>
      <c r="MB101" s="12"/>
      <c r="MC101" s="12"/>
      <c r="MD101" s="12"/>
      <c r="ME101" s="12"/>
      <c r="MF101" s="12"/>
      <c r="MG101" s="12"/>
      <c r="MH101" s="12"/>
      <c r="MI101" s="12"/>
      <c r="MJ101" s="12"/>
      <c r="MN101" s="9"/>
      <c r="MR101" s="12"/>
      <c r="MS101" s="12"/>
      <c r="MT101" s="12"/>
      <c r="MU101" s="12"/>
      <c r="MV101" s="12"/>
      <c r="MW101" s="12"/>
      <c r="MX101" s="12"/>
      <c r="MY101" s="12"/>
      <c r="MZ101" s="12"/>
      <c r="ND101" s="9"/>
      <c r="NH101" s="12"/>
      <c r="NI101" s="12"/>
      <c r="NJ101" s="12"/>
      <c r="NK101" s="12"/>
      <c r="NL101" s="12"/>
      <c r="NM101" s="12"/>
      <c r="NN101" s="12"/>
      <c r="NO101" s="12"/>
      <c r="NP101" s="12"/>
      <c r="NT101" s="9"/>
      <c r="NX101" s="12"/>
      <c r="NY101" s="12"/>
      <c r="NZ101" s="12"/>
      <c r="OA101" s="12"/>
      <c r="OB101" s="12"/>
      <c r="OC101" s="12"/>
      <c r="OD101" s="12"/>
      <c r="OE101" s="12"/>
      <c r="OF101" s="12"/>
      <c r="OJ101" s="9"/>
    </row>
    <row r="102" spans="1:499" x14ac:dyDescent="0.2">
      <c r="A102" t="s">
        <v>57</v>
      </c>
      <c r="B102" s="12">
        <f t="shared" ref="B102:J104" si="520">P102+AH102+AZ102+BP102+CF102+CV102+DL102+EB102+ER102+FH102+FX102+GN102+HD102+HT102+IJ102+IZ102+JP102+KF102+KV102+LL102+MB102+MR102+NH102+NX102</f>
        <v>0</v>
      </c>
      <c r="C102" s="12">
        <f t="shared" si="520"/>
        <v>0</v>
      </c>
      <c r="D102" s="12">
        <f t="shared" si="520"/>
        <v>0</v>
      </c>
      <c r="E102" s="12">
        <f t="shared" si="520"/>
        <v>0</v>
      </c>
      <c r="F102" s="12">
        <f t="shared" si="520"/>
        <v>0</v>
      </c>
      <c r="G102" s="12">
        <f t="shared" si="520"/>
        <v>0</v>
      </c>
      <c r="H102" s="12">
        <f t="shared" si="520"/>
        <v>0</v>
      </c>
      <c r="I102" s="12">
        <f t="shared" si="520"/>
        <v>0</v>
      </c>
      <c r="J102" s="12">
        <f t="shared" si="520"/>
        <v>0</v>
      </c>
      <c r="P102" s="12" cm="1">
        <f t="array" ref="P102">_xlfn.SWITCH(P$4, 0,0, 1, AA102,2,AC102,3,AE102,0)</f>
        <v>0</v>
      </c>
      <c r="Q102" s="12" cm="1">
        <f t="array" ref="Q102">_xlfn.SWITCH(Q$4, 0,0, 1, AA102,2,AC102,3,AE102,0)+P102</f>
        <v>0</v>
      </c>
      <c r="R102" s="12" cm="1">
        <f t="array" ref="R102">_xlfn.SWITCH(R$4, 0,0, 1, AA102,2,AC102,3,AE102,0)+Q102</f>
        <v>0</v>
      </c>
      <c r="S102" s="12" cm="1">
        <f t="array" ref="S102">_xlfn.SWITCH(S$4, 0,0, 1, AA102,2,AC102,3,AE102,0)+R102</f>
        <v>0</v>
      </c>
      <c r="T102" s="12" cm="1">
        <f t="array" ref="T102">_xlfn.SWITCH(T$4, 0,0, 1, AA102,2,AC102,3,AE102,0)+S102</f>
        <v>0</v>
      </c>
      <c r="U102" s="12" cm="1">
        <f t="array" ref="U102">_xlfn.SWITCH(U$4, 0,0, 1, AA102,2,AC102,3,AE102,0)+T102</f>
        <v>0</v>
      </c>
      <c r="V102" s="12" cm="1">
        <f t="array" ref="V102">_xlfn.SWITCH(V$4, 0,0, 1, AA102,2,AC102,3,AE102,0)+U102</f>
        <v>0</v>
      </c>
      <c r="W102" s="12" cm="1">
        <f t="array" ref="W102">_xlfn.SWITCH(W$4, 0,0, 1, AA102,2,AC102,3,AE102,0)+V102</f>
        <v>0</v>
      </c>
      <c r="X102" s="12" cm="1">
        <f t="array" ref="X102">_xlfn.SWITCH(X$4, 0,0, 1, AA102,2,AC102,3,AE102,0)+W102</f>
        <v>0</v>
      </c>
      <c r="Z102" t="s">
        <v>1308</v>
      </c>
      <c r="AA102">
        <f>_xlfn.XLOOKUP(Z102,'KPI Impacts'!$K$2:$Q$2,'KPI Impacts'!$K102:$Q102)</f>
        <v>0.6</v>
      </c>
      <c r="AB102" t="s">
        <v>1310</v>
      </c>
      <c r="AC102">
        <f>_xlfn.XLOOKUP(AB102,'KPI Impacts'!$K$2:$Q$2,'KPI Impacts'!$K102:$Q102)</f>
        <v>1.2</v>
      </c>
      <c r="AD102" t="s">
        <v>1309</v>
      </c>
      <c r="AE102">
        <f>_xlfn.XLOOKUP(AD102,'KPI Impacts'!$K$2:$Q$2,'KPI Impacts'!$K102:$Q102)</f>
        <v>1.7999999999999998</v>
      </c>
      <c r="AH102" s="12" cm="1">
        <f t="array" ref="AH102">_xlfn.SWITCH(AH$4, 0,0, 1, AS102,2,AU102,3,AW102,0)</f>
        <v>0</v>
      </c>
      <c r="AI102" s="12" cm="1">
        <f t="array" ref="AI102">_xlfn.SWITCH(AI$4, 0,0, 1, AS102,2,AU102,3,AW102,0)+AH102</f>
        <v>0</v>
      </c>
      <c r="AJ102" s="12" cm="1">
        <f t="array" ref="AJ102">_xlfn.SWITCH(AJ$4, 0,0, 1, AS102,2,AU102,3,AW102,0)+AI102</f>
        <v>0</v>
      </c>
      <c r="AK102" s="12" cm="1">
        <f t="array" ref="AK102">_xlfn.SWITCH(AK$4, 0,0, 1, AS102,2,AU102,3,AW102,0)+AJ102</f>
        <v>0</v>
      </c>
      <c r="AL102" s="12" cm="1">
        <f t="array" ref="AL102">_xlfn.SWITCH(AL$4, 0,0, 1, AS102,2,AU102,3,AW102,0)+AK102</f>
        <v>0</v>
      </c>
      <c r="AM102" s="12" cm="1">
        <f t="array" ref="AM102">_xlfn.SWITCH(AM$4, 0,0, 1, AS102,2,AU102,3,AW102,0)+AL102</f>
        <v>0</v>
      </c>
      <c r="AN102" s="12" cm="1">
        <f t="array" ref="AN102">_xlfn.SWITCH(AN$4, 0,0, 1, AS102,2,AU102,3,AW102,0)+AM102</f>
        <v>0</v>
      </c>
      <c r="AO102" s="12" cm="1">
        <f t="array" ref="AO102">_xlfn.SWITCH(AO$4, 0,0, 1, AS102,2,AU102,3,AW102,0)+AN102</f>
        <v>0</v>
      </c>
      <c r="AP102" s="12" cm="1">
        <f t="array" ref="AP102">_xlfn.SWITCH(AP$4, 0,0, 1, AS102,2,AU102,3,AW102,0)+AO102</f>
        <v>0</v>
      </c>
      <c r="AR102" t="s">
        <v>1308</v>
      </c>
      <c r="AS102">
        <f>_xlfn.XLOOKUP(AR102,'KPI Impacts'!$K$2:$Q$2,'KPI Impacts'!$K102:$Q102)</f>
        <v>0.6</v>
      </c>
      <c r="AT102" t="s">
        <v>1310</v>
      </c>
      <c r="AU102">
        <f>_xlfn.XLOOKUP(AT102,'KPI Impacts'!$K$2:$Q$2,'KPI Impacts'!$K102:$Q102)</f>
        <v>1.2</v>
      </c>
      <c r="AV102" t="s">
        <v>1309</v>
      </c>
      <c r="AW102">
        <f>_xlfn.XLOOKUP(AV102,'KPI Impacts'!$K$2:$Q$2,'KPI Impacts'!$K102:$Q102)</f>
        <v>1.7999999999999998</v>
      </c>
      <c r="AZ102" s="12">
        <f>AZ$4*BK102</f>
        <v>0</v>
      </c>
      <c r="BA102" s="12">
        <f>BA$4 * IF(AND(AZ$4=1,AZ$20=1), BM102, BK102)</f>
        <v>0</v>
      </c>
      <c r="BB102" s="12">
        <f>BB$4 * IF(AND(BA$4=1,AZ$20=1), BM102, BK102)</f>
        <v>0</v>
      </c>
      <c r="BC102" s="12">
        <f>BC$4 * IF(AND(BB$4=1,AZ$20=1), BM102, BK102)</f>
        <v>0</v>
      </c>
      <c r="BD102" s="12">
        <f>BD$4 * IF(AND(BC$4=1,AZ$20=1), BM102, BK102)</f>
        <v>0</v>
      </c>
      <c r="BE102" s="12">
        <f>BE$4 * IF(AND(BD$4=1,AZ$20=1), BM102, BK102)</f>
        <v>0</v>
      </c>
      <c r="BF102" s="12">
        <f>BF$4 * IF(AND(BE$4=1,AZ$20=1), BM102, BK102)</f>
        <v>0</v>
      </c>
      <c r="BG102" s="12">
        <f>BG$4 * IF(AND(BF$4=1,AZ$20=1), BM102, BK102)</f>
        <v>0</v>
      </c>
      <c r="BH102" s="12">
        <f>BH$4 * IF(AND(BG$4=1,AZ$20=1), BM102, BK102)</f>
        <v>0</v>
      </c>
      <c r="BJ102" s="16" t="s">
        <v>1304</v>
      </c>
      <c r="BK102">
        <f>_xlfn.XLOOKUP(BJ102,'KPI Impacts'!$B$2:$H$2,'KPI Impacts'!$B102:$H102)</f>
        <v>0</v>
      </c>
      <c r="BL102" s="35" t="s">
        <v>1304</v>
      </c>
      <c r="BM102">
        <f>_xlfn.XLOOKUP(BL102,'KPI Impacts'!$B$2:$H$2,'KPI Impacts'!$B102:$H102)</f>
        <v>0</v>
      </c>
      <c r="BP102" s="12">
        <f>BP$4*CA102</f>
        <v>0</v>
      </c>
      <c r="BQ102" s="12">
        <f>BQ$4 * IF(AND(BP$4=1,BP$20=1), CC102, CA102)</f>
        <v>0</v>
      </c>
      <c r="BR102" s="12">
        <f>BR$4 * IF(AND(BQ$4=1,BP$20=1), CC102, CA102)</f>
        <v>0</v>
      </c>
      <c r="BS102" s="12">
        <f>BS$4 * IF(AND(BR$4=1,BP$20=1), CC102, CA102)</f>
        <v>0</v>
      </c>
      <c r="BT102" s="12">
        <f>BT$4 * IF(AND(BS$4=1,BP$20=1), CC102, CA102)</f>
        <v>0</v>
      </c>
      <c r="BU102" s="12">
        <f>BU$4 * IF(AND(BT$4=1,BP$20=1), CC102, CA102)</f>
        <v>0</v>
      </c>
      <c r="BV102" s="12">
        <f>BV$4 * IF(AND(BU$4=1,BP$20=1), CC102, CA102)</f>
        <v>0</v>
      </c>
      <c r="BW102" s="12">
        <f>BW$4 * IF(AND(BV$4=1,BP$20=1), CC102, CA102)</f>
        <v>0</v>
      </c>
      <c r="BX102" s="12">
        <f>BX$4 * IF(AND(BW$4=1,BP$20=1), CC102, CA102)</f>
        <v>0</v>
      </c>
      <c r="BZ102" s="30" t="s">
        <v>1308</v>
      </c>
      <c r="CA102">
        <f>_xlfn.XLOOKUP(BZ102,'KPI Impacts'!$B$2:$H$2,'KPI Impacts'!$B102:$H102)</f>
        <v>1</v>
      </c>
      <c r="CB102" s="35" t="s">
        <v>1304</v>
      </c>
      <c r="CC102">
        <f>_xlfn.XLOOKUP(CB102,'KPI Impacts'!$B$2:$H$2,'KPI Impacts'!$B102:$H102)</f>
        <v>0</v>
      </c>
      <c r="CF102" s="12">
        <f>CF$4*CQ102</f>
        <v>0</v>
      </c>
      <c r="CG102" s="12">
        <f>CG$4 * IF(AND(CF$4=1,CF$20=1), CS102, CQ102)</f>
        <v>0</v>
      </c>
      <c r="CH102" s="12">
        <f>CH$4 * IF(AND(CG$4=1,CF$20=1), CS102, CQ102)</f>
        <v>0</v>
      </c>
      <c r="CI102" s="12">
        <f>CI$4 * IF(AND(CH$4=1,CF$20=1), CS102, CQ102)</f>
        <v>0</v>
      </c>
      <c r="CJ102" s="12">
        <f>CJ$4 * IF(AND(CI$4=1,CF$20=1), CS102, CQ102)</f>
        <v>0</v>
      </c>
      <c r="CK102" s="12">
        <f>CK$4 * IF(AND(CJ$4=1,CF$20=1), CS102, CQ102)</f>
        <v>0</v>
      </c>
      <c r="CL102" s="12">
        <f>CL$4 * IF(AND(CK$4=1,CF$20=1), CS102, CQ102)</f>
        <v>0</v>
      </c>
      <c r="CM102" s="12">
        <f>CM$4 * IF(AND(CL$4=1,CF$20=1), CS102, CQ102)</f>
        <v>0</v>
      </c>
      <c r="CN102" s="12">
        <f>CN$4 * IF(AND(CM$4=1,CF$20=1), CS102, CQ102)</f>
        <v>0</v>
      </c>
      <c r="CP102" s="30" t="s">
        <v>1309</v>
      </c>
      <c r="CQ102">
        <f>_xlfn.XLOOKUP(CP102,'KPI Impacts'!$B$2:$H$2,'KPI Impacts'!$B102:$H102)</f>
        <v>4</v>
      </c>
      <c r="CR102" s="35" t="s">
        <v>1304</v>
      </c>
      <c r="CS102">
        <f>_xlfn.XLOOKUP(CR102,'KPI Impacts'!$B$2:$H$2,'KPI Impacts'!$B102:$H102)</f>
        <v>0</v>
      </c>
      <c r="CV102" s="12">
        <f>CV$4*DG102</f>
        <v>0</v>
      </c>
      <c r="CW102" s="12">
        <f>CW$4 * IF(AND(CV$4=1,CV$20=1), DI102, DG102)</f>
        <v>0</v>
      </c>
      <c r="CX102" s="12">
        <f>CX$4 * IF(AND(CW$4=1,CV$20=1), DI102, DG102)</f>
        <v>0</v>
      </c>
      <c r="CY102" s="12">
        <f>CY$4 * IF(AND(CX$4=1,CV$20=1), DI102, DG102)</f>
        <v>0</v>
      </c>
      <c r="CZ102" s="12">
        <f>CZ$4 * IF(AND(CY$4=1,CV$20=1), DI102, DG102)</f>
        <v>0</v>
      </c>
      <c r="DA102" s="12">
        <f>DA$4 * IF(AND(CZ$4=1,CV$20=1), DI102, DG102)</f>
        <v>0</v>
      </c>
      <c r="DB102" s="12">
        <f>DB$4 * IF(AND(DA$4=1,CV$20=1), DI102, DG102)</f>
        <v>0</v>
      </c>
      <c r="DC102" s="12">
        <f>DC$4 * IF(AND(DB$4=1,CV$20=1), DI102, DG102)</f>
        <v>0</v>
      </c>
      <c r="DD102" s="12">
        <f>DD$4 * IF(AND(DC$4=1,CV$20=1), DI102, DG102)</f>
        <v>0</v>
      </c>
      <c r="DF102" s="16" t="s">
        <v>1304</v>
      </c>
      <c r="DG102">
        <f>_xlfn.XLOOKUP(DF102,'KPI Impacts'!$B$2:$H$2,'KPI Impacts'!$B102:$H102)</f>
        <v>0</v>
      </c>
      <c r="DH102" s="35" t="s">
        <v>1304</v>
      </c>
      <c r="DI102">
        <f>_xlfn.XLOOKUP(DH102,'KPI Impacts'!$B$2:$H$2,'KPI Impacts'!$B102:$H102)</f>
        <v>0</v>
      </c>
      <c r="DL102" s="12">
        <f>DL$4*DW102</f>
        <v>0</v>
      </c>
      <c r="DM102" s="12">
        <f>DM$4 * IF(AND(DL$4=1,DL$20=1), DY102, DW102)</f>
        <v>0</v>
      </c>
      <c r="DN102" s="12">
        <f>DN$4 * IF(AND(DM$4=1,DL$20=1), DY102, DW102)</f>
        <v>0</v>
      </c>
      <c r="DO102" s="12">
        <f>DO$4 * IF(AND(DN$4=1,DL$20=1), DY102, DW102)</f>
        <v>0</v>
      </c>
      <c r="DP102" s="12">
        <f>DP$4 * IF(AND(DO$4=1,DL$20=1), DY102, DW102)</f>
        <v>0</v>
      </c>
      <c r="DQ102" s="12">
        <f>DQ$4 * IF(AND(DP$4=1,DL$20=1), DY102, DW102)</f>
        <v>0</v>
      </c>
      <c r="DR102" s="12">
        <f>DR$4 * IF(AND(DQ$4=1,DL$20=1), DY102, DW102)</f>
        <v>0</v>
      </c>
      <c r="DS102" s="12">
        <f>DS$4 * IF(AND(DR$4=1,DL$20=1), DY102, DW102)</f>
        <v>0</v>
      </c>
      <c r="DT102" s="12">
        <f>DT$4 * IF(AND(DS$4=1,DL$20=1), DY102, DW102)</f>
        <v>0</v>
      </c>
      <c r="DV102" s="30" t="s">
        <v>1308</v>
      </c>
      <c r="DW102">
        <f>_xlfn.XLOOKUP(DV102,'KPI Impacts'!$B$2:$H$2,'KPI Impacts'!$B102:$H102)</f>
        <v>1</v>
      </c>
      <c r="DX102" s="35" t="s">
        <v>1304</v>
      </c>
      <c r="DY102">
        <f>_xlfn.XLOOKUP(DX102,'KPI Impacts'!$B$2:$H$2,'KPI Impacts'!$B102:$H102)</f>
        <v>0</v>
      </c>
      <c r="EB102" s="12">
        <f>EB$4*EM102</f>
        <v>0</v>
      </c>
      <c r="EC102" s="12">
        <f>EC$4 * IF(AND(EB$4=1,EB$20=1), EO102, EM102)</f>
        <v>0</v>
      </c>
      <c r="ED102" s="12">
        <f>ED$4 * IF(AND(EC$4=1,EB$20=1), EO102, EM102)</f>
        <v>0</v>
      </c>
      <c r="EE102" s="12">
        <f>EE$4 * IF(AND(ED$4=1,EB$20=1), EO102, EM102)</f>
        <v>0</v>
      </c>
      <c r="EF102" s="12">
        <f>EF$4 * IF(AND(EE$4=1,EB$20=1), EO102, EM102)</f>
        <v>0</v>
      </c>
      <c r="EG102" s="12">
        <f>EG$4 * IF(AND(EF$4=1,EB$20=1), EO102, EM102)</f>
        <v>0</v>
      </c>
      <c r="EH102" s="12">
        <f>EH$4 * IF(AND(EG$4=1,EB$20=1), EO102, EM102)</f>
        <v>0</v>
      </c>
      <c r="EI102" s="12">
        <f>EI$4 * IF(AND(EH$4=1,EB$20=1), EO102, EM102)</f>
        <v>0</v>
      </c>
      <c r="EJ102" s="12">
        <f>EJ$4 * IF(AND(EI$4=1,EB$20=1), EO102, EM102)</f>
        <v>0</v>
      </c>
      <c r="EL102" s="16" t="s">
        <v>1304</v>
      </c>
      <c r="EM102">
        <f>_xlfn.XLOOKUP(EL102,'KPI Impacts'!$B$2:$H$2,'KPI Impacts'!$B102:$H102)</f>
        <v>0</v>
      </c>
      <c r="EN102" s="35" t="s">
        <v>1304</v>
      </c>
      <c r="EO102">
        <f>_xlfn.XLOOKUP(EN102,'KPI Impacts'!$B$2:$H$2,'KPI Impacts'!$B102:$H102)</f>
        <v>0</v>
      </c>
      <c r="ER102" s="12">
        <f>ER$4*FC102</f>
        <v>0</v>
      </c>
      <c r="ES102" s="12">
        <f>ES$4 * IF(AND(ER$4=1,ER$20=1), FE102, FC102)</f>
        <v>0</v>
      </c>
      <c r="ET102" s="12">
        <f>ET$4 * IF(AND(ES$4=1,ER$20=1), FE102, FC102)</f>
        <v>0</v>
      </c>
      <c r="EU102" s="12">
        <f>EU$4 * IF(AND(ET$4=1,ER$20=1), FE102, FC102)</f>
        <v>0</v>
      </c>
      <c r="EV102" s="12">
        <f>EV$4 * IF(AND(EU$4=1,ER$20=1), FE102, FC102)</f>
        <v>0</v>
      </c>
      <c r="EW102" s="12">
        <f>EW$4 * IF(AND(EV$4=1,ER$20=1), FE102, FC102)</f>
        <v>0</v>
      </c>
      <c r="EX102" s="12">
        <f>EX$4 * IF(AND(EW$4=1,ER$20=1), FE102, FC102)</f>
        <v>0</v>
      </c>
      <c r="EY102" s="12">
        <f>EY$4 * IF(AND(EX$4=1,ER$20=1), FE102, FC102)</f>
        <v>0</v>
      </c>
      <c r="EZ102" s="12">
        <f>EZ$4 * IF(AND(EY$4=1,ER$20=1), FE102, FC102)</f>
        <v>0</v>
      </c>
      <c r="FB102" s="30" t="s">
        <v>1308</v>
      </c>
      <c r="FC102">
        <f>_xlfn.XLOOKUP(FB102,'KPI Impacts'!$B$2:$H$2,'KPI Impacts'!$B102:$H102)</f>
        <v>1</v>
      </c>
      <c r="FD102" s="35" t="s">
        <v>1304</v>
      </c>
      <c r="FE102">
        <f>_xlfn.XLOOKUP(FD102,'KPI Impacts'!$B$2:$H$2,'KPI Impacts'!$B102:$H102)</f>
        <v>0</v>
      </c>
      <c r="FH102" s="12">
        <f>FH$4*FS102</f>
        <v>0</v>
      </c>
      <c r="FI102" s="12">
        <f>FI$4 * IF(AND(FH$4=1,FH$20=1), FU102, FS102)</f>
        <v>0</v>
      </c>
      <c r="FJ102" s="12">
        <f>FJ$4 * IF(AND(FI$4=1,FH$20=1), FU102, FS102)</f>
        <v>0</v>
      </c>
      <c r="FK102" s="12">
        <f>FK$4 * IF(AND(FJ$4=1,FH$20=1), FU102, FS102)</f>
        <v>0</v>
      </c>
      <c r="FL102" s="12">
        <f>FL$4 * IF(AND(FK$4=1,FH$20=1), FU102, FS102)</f>
        <v>0</v>
      </c>
      <c r="FM102" s="12">
        <f>FM$4 * IF(AND(FL$4=1,FH$20=1), FU102, FS102)</f>
        <v>0</v>
      </c>
      <c r="FN102" s="12">
        <f>FN$4 * IF(AND(FM$4=1,FH$20=1), FU102, FS102)</f>
        <v>0</v>
      </c>
      <c r="FO102" s="12">
        <f>FO$4 * IF(AND(FN$4=1,FH$20=1), FU102, FS102)</f>
        <v>0</v>
      </c>
      <c r="FP102" s="12">
        <f>FP$4 * IF(AND(FO$4=1,FH$20=1), FU102, FS102)</f>
        <v>0</v>
      </c>
      <c r="FR102" s="30" t="s">
        <v>1309</v>
      </c>
      <c r="FS102">
        <f>_xlfn.XLOOKUP(FR102,'KPI Impacts'!$B$2:$H$2,'KPI Impacts'!$B102:$H102)</f>
        <v>4</v>
      </c>
      <c r="FT102" s="9" t="s">
        <v>1304</v>
      </c>
      <c r="FU102">
        <f>_xlfn.XLOOKUP(FT102,'KPI Impacts'!$B$2:$H$2,'KPI Impacts'!$B102:$H102)</f>
        <v>0</v>
      </c>
      <c r="FX102" s="12">
        <f>FX$4*GI102</f>
        <v>0</v>
      </c>
      <c r="FY102" s="12">
        <f>FY$4 * IF(AND(FX$4=1,FX$20=1), GK102, GI102)</f>
        <v>0</v>
      </c>
      <c r="FZ102" s="12">
        <f>FZ$4 * IF(AND(FY$4=1,FX$20=1), GK102, GI102)</f>
        <v>0</v>
      </c>
      <c r="GA102" s="12">
        <f>GA$4 * IF(AND(FZ$4=1,FX$20=1), GK102, GI102)</f>
        <v>0</v>
      </c>
      <c r="GB102" s="12">
        <f>GB$4 * IF(AND(GA$4=1,FX$20=1), GK102, GI102)</f>
        <v>0</v>
      </c>
      <c r="GC102" s="12">
        <f>GC$4 * IF(AND(GB$4=1,FX$20=1), GK102, GI102)</f>
        <v>0</v>
      </c>
      <c r="GD102" s="12">
        <f>GD$4 * IF(AND(GC$4=1,FX$20=1), GK102, GI102)</f>
        <v>0</v>
      </c>
      <c r="GE102" s="12">
        <f>GE$4 * IF(AND(GD$4=1,FX$20=1), GK102, GI102)</f>
        <v>0</v>
      </c>
      <c r="GF102" s="12">
        <f>GF$4 * IF(AND(GE$4=1,FX$20=1), GK102, GI102)</f>
        <v>0</v>
      </c>
      <c r="GH102" s="30" t="s">
        <v>1310</v>
      </c>
      <c r="GI102">
        <f>_xlfn.XLOOKUP(GH102,'KPI Impacts'!$B$2:$H$2,'KPI Impacts'!$B102:$H102)</f>
        <v>2</v>
      </c>
      <c r="GJ102" s="9" t="s">
        <v>1304</v>
      </c>
      <c r="GK102">
        <f>_xlfn.XLOOKUP(GJ102,'KPI Impacts'!$B$2:$H$2,'KPI Impacts'!$B102:$H102)</f>
        <v>0</v>
      </c>
      <c r="GN102" s="12">
        <f>GN$4*GY102</f>
        <v>0</v>
      </c>
      <c r="GO102" s="12">
        <f>GO$4 * IF(AND(GN$4=1,GN$20=1), HA102, GY102)</f>
        <v>0</v>
      </c>
      <c r="GP102" s="12">
        <f>GP$4 * IF(AND(GO$4=1,GN$20=1), HA102, GY102)</f>
        <v>0</v>
      </c>
      <c r="GQ102" s="12">
        <f>GQ$4 * IF(AND(GP$4=1,GN$20=1), HA102, GY102)</f>
        <v>0</v>
      </c>
      <c r="GR102" s="12">
        <f>GR$4 * IF(AND(GQ$4=1,GN$20=1), HA102, GY102)</f>
        <v>0</v>
      </c>
      <c r="GS102" s="12">
        <f>GS$4 * IF(AND(GR$4=1,GN$20=1), HA102, GY102)</f>
        <v>0</v>
      </c>
      <c r="GT102" s="12">
        <f>GT$4 * IF(AND(GS$4=1,GN$20=1), HA102, GY102)</f>
        <v>0</v>
      </c>
      <c r="GU102" s="12">
        <f>GU$4 * IF(AND(GT$4=1,GN$20=1), HA102, GY102)</f>
        <v>0</v>
      </c>
      <c r="GV102" s="12">
        <f>GV$4 * IF(AND(GU$4=1,GN$20=1), HA102, GY102)</f>
        <v>0</v>
      </c>
      <c r="GX102" s="30" t="s">
        <v>1308</v>
      </c>
      <c r="GY102">
        <f>_xlfn.XLOOKUP(GX102,'KPI Impacts'!$B$2:$H$2,'KPI Impacts'!$B102:$H102)</f>
        <v>1</v>
      </c>
      <c r="GZ102" s="9" t="s">
        <v>1304</v>
      </c>
      <c r="HA102">
        <f>_xlfn.XLOOKUP(GZ102,'KPI Impacts'!$B$2:$H$2,'KPI Impacts'!$B102:$H102)</f>
        <v>0</v>
      </c>
      <c r="HD102" s="12">
        <f>HD$4*HO102</f>
        <v>0</v>
      </c>
      <c r="HE102" s="12">
        <f>HE$4 * IF(AND(HD$4=1,HD$20=1), HQ102, HO102)</f>
        <v>0</v>
      </c>
      <c r="HF102" s="12">
        <f>HF$4 * IF(AND(HE$4=1,HD$20=1), HQ102, HO102)</f>
        <v>0</v>
      </c>
      <c r="HG102" s="12">
        <f>HG$4 * IF(AND(HF$4=1,HD$20=1), HQ102, HO102)</f>
        <v>0</v>
      </c>
      <c r="HH102" s="12">
        <f>HH$4 * IF(AND(HG$4=1,HD$20=1), HQ102, HO102)</f>
        <v>0</v>
      </c>
      <c r="HI102" s="12">
        <f>HI$4 * IF(AND(HH$4=1,HD$20=1), HQ102, HO102)</f>
        <v>0</v>
      </c>
      <c r="HJ102" s="12">
        <f>HJ$4 * IF(AND(HI$4=1,HD$20=1), HQ102, HO102)</f>
        <v>0</v>
      </c>
      <c r="HK102" s="12">
        <f>HK$4 * IF(AND(HJ$4=1,HD$20=1), HQ102, HO102)</f>
        <v>0</v>
      </c>
      <c r="HL102" s="12">
        <f>HL$4 * IF(AND(HK$4=1,HD$20=1), HQ102, HO102)</f>
        <v>0</v>
      </c>
      <c r="HN102" t="s">
        <v>1304</v>
      </c>
      <c r="HO102">
        <f>_xlfn.XLOOKUP(HN102,'KPI Impacts'!$B$2:$H$2,'KPI Impacts'!$B102:$H102)</f>
        <v>0</v>
      </c>
      <c r="HP102" s="9" t="s">
        <v>1304</v>
      </c>
      <c r="HQ102">
        <f>_xlfn.XLOOKUP(HP102,'KPI Impacts'!$B$2:$H$2,'KPI Impacts'!$B102:$H102)</f>
        <v>0</v>
      </c>
      <c r="HT102" s="12">
        <f>HT$4*IE102</f>
        <v>0</v>
      </c>
      <c r="HU102" s="12">
        <f>HU$4 * IF(AND(HT$4=1,HT$20=1), IG102, IE102)</f>
        <v>0</v>
      </c>
      <c r="HV102" s="12">
        <f>HV$4 * IF(AND(HU$4=1,HT$20=1), IG102, IE102)</f>
        <v>0</v>
      </c>
      <c r="HW102" s="12">
        <f>HW$4 * IF(AND(HV$4=1,HT$20=1), IG102, IE102)</f>
        <v>0</v>
      </c>
      <c r="HX102" s="12">
        <f>HX$4 * IF(AND(HW$4=1,HT$20=1), IG102, IE102)</f>
        <v>0</v>
      </c>
      <c r="HY102" s="12">
        <f>HY$4 * IF(AND(HX$4=1,HT$20=1), IG102, IE102)</f>
        <v>0</v>
      </c>
      <c r="HZ102" s="12">
        <f>HZ$4 * IF(AND(HY$4=1,HT$20=1), IG102, IE102)</f>
        <v>0</v>
      </c>
      <c r="IA102" s="12">
        <f>IA$4 * IF(AND(HZ$4=1,HT$20=1), IG102, IE102)</f>
        <v>0</v>
      </c>
      <c r="IB102" s="12">
        <f>IB$4 * IF(AND(IA$4=1,HT$20=1), IG102, IE102)</f>
        <v>0</v>
      </c>
      <c r="ID102" t="s">
        <v>1304</v>
      </c>
      <c r="IE102">
        <f>_xlfn.XLOOKUP(ID102,'KPI Impacts'!$B$2:$H$2,'KPI Impacts'!$B102:$H102)</f>
        <v>0</v>
      </c>
      <c r="IF102" s="9" t="s">
        <v>1304</v>
      </c>
      <c r="IG102">
        <f>_xlfn.XLOOKUP(IF102,'KPI Impacts'!$B$2:$H$2,'KPI Impacts'!$B102:$H102)</f>
        <v>0</v>
      </c>
      <c r="IJ102" s="12">
        <f>IJ$4*IU102</f>
        <v>0</v>
      </c>
      <c r="IK102" s="12">
        <f>IK$4 * IF(AND(IJ$4=1,IJ$20=1), IW102, IU102)</f>
        <v>0</v>
      </c>
      <c r="IL102" s="12">
        <f>IL$4 * IF(AND(IK$4=1,IJ$20=1), IW102, IU102)</f>
        <v>0</v>
      </c>
      <c r="IM102" s="12">
        <f>IM$4 * IF(AND(IL$4=1,IJ$20=1), IW102, IU102)</f>
        <v>0</v>
      </c>
      <c r="IN102" s="12">
        <f>IN$4 * IF(AND(IM$4=1,IJ$20=1), IW102, IU102)</f>
        <v>0</v>
      </c>
      <c r="IO102" s="12">
        <f>IO$4 * IF(AND(IN$4=1,IJ$20=1), IW102, IU102)</f>
        <v>0</v>
      </c>
      <c r="IP102" s="12">
        <f>IP$4 * IF(AND(IO$4=1,IJ$20=1), IW102, IU102)</f>
        <v>0</v>
      </c>
      <c r="IQ102" s="12">
        <f>IQ$4 * IF(AND(IP$4=1,IJ$20=1), IW102, IU102)</f>
        <v>0</v>
      </c>
      <c r="IR102" s="12">
        <f>IR$4 * IF(AND(IQ$4=1,IJ$20=1), IW102, IU102)</f>
        <v>0</v>
      </c>
      <c r="IT102" t="s">
        <v>1304</v>
      </c>
      <c r="IU102">
        <f>_xlfn.XLOOKUP(IT102,'KPI Impacts'!$B$2:$H$2,'KPI Impacts'!$B102:$H102)</f>
        <v>0</v>
      </c>
      <c r="IV102" s="9" t="s">
        <v>1304</v>
      </c>
      <c r="IW102">
        <f>_xlfn.XLOOKUP(IV102,'KPI Impacts'!$B$2:$H$2,'KPI Impacts'!$B102:$H102)</f>
        <v>0</v>
      </c>
      <c r="IZ102" s="12">
        <f>IZ$4*JK102</f>
        <v>0</v>
      </c>
      <c r="JA102" s="12">
        <f>JA$4 * IF(AND(IZ$4=1,IZ$20=1), JM102, JK102)</f>
        <v>0</v>
      </c>
      <c r="JB102" s="12">
        <f>JB$4 * IF(AND(JA$4=1,IZ$20=1), JM102, JK102)</f>
        <v>0</v>
      </c>
      <c r="JC102" s="12">
        <f>JC$4 * IF(AND(JB$4=1,IZ$20=1), JM102, JK102)</f>
        <v>0</v>
      </c>
      <c r="JD102" s="12">
        <f>JD$4 * IF(AND(JC$4=1,IZ$20=1), JM102, JK102)</f>
        <v>0</v>
      </c>
      <c r="JE102" s="12">
        <f>JE$4 * IF(AND(JD$4=1,IZ$20=1), JM102, JK102)</f>
        <v>0</v>
      </c>
      <c r="JF102" s="12">
        <f>JF$4 * IF(AND(JE$4=1,IZ$20=1), JM102, JK102)</f>
        <v>0</v>
      </c>
      <c r="JG102" s="12">
        <f>JG$4 * IF(AND(JF$4=1,IZ$20=1), JM102, JK102)</f>
        <v>0</v>
      </c>
      <c r="JH102" s="12">
        <f>JH$4 * IF(AND(JG$4=1,IZ$20=1), JM102, JK102)</f>
        <v>0</v>
      </c>
      <c r="JJ102" t="s">
        <v>1304</v>
      </c>
      <c r="JK102">
        <f>_xlfn.XLOOKUP(JJ102,'KPI Impacts'!$B$2:$H$2,'KPI Impacts'!$B102:$H102)</f>
        <v>0</v>
      </c>
      <c r="JL102" s="9" t="s">
        <v>1304</v>
      </c>
      <c r="JM102">
        <f>_xlfn.XLOOKUP(JL102,'KPI Impacts'!$B$2:$H$2,'KPI Impacts'!$B102:$H102)</f>
        <v>0</v>
      </c>
      <c r="JP102" s="12">
        <f>JP$4*KA102</f>
        <v>0</v>
      </c>
      <c r="JQ102" s="12">
        <f>JQ$4 * IF(AND(JP$4=1,JP$20=1), KC102, KA102)</f>
        <v>0</v>
      </c>
      <c r="JR102" s="12">
        <f>JR$4 * IF(AND(JQ$4=1,JP$20=1), KC102, KA102)</f>
        <v>0</v>
      </c>
      <c r="JS102" s="12">
        <f>JS$4 * IF(AND(JR$4=1,JP$20=1), KC102, KA102)</f>
        <v>0</v>
      </c>
      <c r="JT102" s="12">
        <f>JT$4 * IF(AND(JS$4=1,JP$20=1), KC102, KA102)</f>
        <v>0</v>
      </c>
      <c r="JU102" s="12">
        <f>JU$4 * IF(AND(JT$4=1,JP$20=1), KC102, KA102)</f>
        <v>0</v>
      </c>
      <c r="JV102" s="12">
        <f>JV$4 * IF(AND(JU$4=1,JP$20=1), KC102, KA102)</f>
        <v>0</v>
      </c>
      <c r="JW102" s="12">
        <f>JW$4 * IF(AND(JV$4=1,JP$20=1), KC102, KA102)</f>
        <v>0</v>
      </c>
      <c r="JX102" s="12">
        <f>JX$4 * IF(AND(JW$4=1,JP$20=1), KC102, KA102)</f>
        <v>0</v>
      </c>
      <c r="JZ102" t="s">
        <v>1304</v>
      </c>
      <c r="KA102">
        <f>_xlfn.XLOOKUP(JZ102,'KPI Impacts'!$B$2:$H$2,'KPI Impacts'!$B102:$H102)</f>
        <v>0</v>
      </c>
      <c r="KB102" s="9" t="s">
        <v>1304</v>
      </c>
      <c r="KC102">
        <f>_xlfn.XLOOKUP(KB102,'KPI Impacts'!$B$2:$H$2,'KPI Impacts'!$B102:$H102)</f>
        <v>0</v>
      </c>
      <c r="KF102" s="12">
        <f>KF$4*KQ102</f>
        <v>0</v>
      </c>
      <c r="KG102" s="12">
        <f>KG$4 * IF(AND(KF$4=1,KF$20=1), KS102, KQ102)</f>
        <v>0</v>
      </c>
      <c r="KH102" s="12">
        <f>KH$4 * IF(AND(KG$4=1,KF$20=1), KS102, KQ102)</f>
        <v>0</v>
      </c>
      <c r="KI102" s="12">
        <f>KI$4 * IF(AND(KH$4=1,KF$20=1), KS102, KQ102)</f>
        <v>0</v>
      </c>
      <c r="KJ102" s="12">
        <f>KJ$4 * IF(AND(KI$4=1,KF$20=1), KS102, KQ102)</f>
        <v>0</v>
      </c>
      <c r="KK102" s="12">
        <f>KK$4 * IF(AND(KJ$4=1,KF$20=1), KS102, KQ102)</f>
        <v>0</v>
      </c>
      <c r="KL102" s="12">
        <f>KL$4 * IF(AND(KK$4=1,KF$20=1), KS102, KQ102)</f>
        <v>0</v>
      </c>
      <c r="KM102" s="12">
        <f>KM$4 * IF(AND(KL$4=1,KF$20=1), KS102, KQ102)</f>
        <v>0</v>
      </c>
      <c r="KN102" s="12">
        <f>KN$4 * IF(AND(KM$4=1,KF$20=1), KS102, KQ102)</f>
        <v>0</v>
      </c>
      <c r="KP102" t="s">
        <v>1304</v>
      </c>
      <c r="KQ102">
        <f>_xlfn.XLOOKUP(KP102,'KPI Impacts'!$B$2:$H$2,'KPI Impacts'!$B102:$H102)</f>
        <v>0</v>
      </c>
      <c r="KR102" s="9" t="s">
        <v>1304</v>
      </c>
      <c r="KS102">
        <f>_xlfn.XLOOKUP(KR102,'KPI Impacts'!$B$2:$H$2,'KPI Impacts'!$B102:$H102)</f>
        <v>0</v>
      </c>
      <c r="KV102" s="12">
        <f>KV$4*LG102</f>
        <v>0</v>
      </c>
      <c r="KW102" s="12">
        <f>KW$4 * IF(AND(KV$4=1,KV$20=1), LI102, LG102)</f>
        <v>0</v>
      </c>
      <c r="KX102" s="12">
        <f>KX$4 * IF(AND(KW$4=1,KV$20=1), LI102, LG102)</f>
        <v>0</v>
      </c>
      <c r="KY102" s="12">
        <f>KY$4 * IF(AND(KX$4=1,KV$20=1), LI102, LG102)</f>
        <v>0</v>
      </c>
      <c r="KZ102" s="12">
        <f>KZ$4 * IF(AND(KY$4=1,KV$20=1), LI102, LG102)</f>
        <v>0</v>
      </c>
      <c r="LA102" s="12">
        <f>LA$4 * IF(AND(KZ$4=1,KV$20=1), LI102, LG102)</f>
        <v>0</v>
      </c>
      <c r="LB102" s="12">
        <f>LB$4 * IF(AND(LA$4=1,KV$20=1), LI102, LG102)</f>
        <v>0</v>
      </c>
      <c r="LC102" s="12">
        <f>LC$4 * IF(AND(LB$4=1,KV$20=1), LI102, LG102)</f>
        <v>0</v>
      </c>
      <c r="LD102" s="12">
        <f>LD$4 * IF(AND(LC$4=1,KV$20=1), LI102, LG102)</f>
        <v>0</v>
      </c>
      <c r="LF102" t="s">
        <v>1304</v>
      </c>
      <c r="LG102">
        <f>_xlfn.XLOOKUP(LF102,'KPI Impacts'!$B$2:$H$2,'KPI Impacts'!$B102:$H102)</f>
        <v>0</v>
      </c>
      <c r="LH102" s="9" t="s">
        <v>1304</v>
      </c>
      <c r="LI102">
        <f>_xlfn.XLOOKUP(LH102,'KPI Impacts'!$B$2:$H$2,'KPI Impacts'!$B102:$H102)</f>
        <v>0</v>
      </c>
      <c r="LL102" s="12">
        <f>LL$4*LW102</f>
        <v>0</v>
      </c>
      <c r="LM102" s="12">
        <f>LM$4 * IF(AND(LL$4=1,LL$20=1), LY102, LW102)</f>
        <v>0</v>
      </c>
      <c r="LN102" s="12">
        <f>LN$4 * IF(AND(LM$4=1,LL$20=1), LY102, LW102)</f>
        <v>0</v>
      </c>
      <c r="LO102" s="12">
        <f>LO$4 * IF(AND(LN$4=1,LL$20=1), LY102, LW102)</f>
        <v>0</v>
      </c>
      <c r="LP102" s="12">
        <f>LP$4 * IF(AND(LO$4=1,LL$20=1), LY102, LW102)</f>
        <v>0</v>
      </c>
      <c r="LQ102" s="12">
        <f>LQ$4 * IF(AND(LP$4=1,LL$20=1), LY102, LW102)</f>
        <v>0</v>
      </c>
      <c r="LR102" s="12">
        <f>LR$4 * IF(AND(LQ$4=1,LL$20=1), LY102, LW102)</f>
        <v>0</v>
      </c>
      <c r="LS102" s="12">
        <f>LS$4 * IF(AND(LR$4=1,LL$20=1), LY102, LW102)</f>
        <v>0</v>
      </c>
      <c r="LT102" s="12">
        <f>LT$4 * IF(AND(LS$4=1,LL$20=1), LY102, LW102)</f>
        <v>0</v>
      </c>
      <c r="LV102" t="s">
        <v>1304</v>
      </c>
      <c r="LW102">
        <f>_xlfn.XLOOKUP(LV102,'KPI Impacts'!$B$2:$H$2,'KPI Impacts'!$B102:$H102)</f>
        <v>0</v>
      </c>
      <c r="LX102" s="9" t="s">
        <v>1304</v>
      </c>
      <c r="LY102">
        <f>_xlfn.XLOOKUP(LX102,'KPI Impacts'!$B$2:$H$2,'KPI Impacts'!$B102:$H102)</f>
        <v>0</v>
      </c>
      <c r="MB102" s="12">
        <f>MB$4*MM102</f>
        <v>0</v>
      </c>
      <c r="MC102" s="12">
        <f>MC$4 * IF(AND(MB$4=1,MB$20=1), MO102, MM102)</f>
        <v>0</v>
      </c>
      <c r="MD102" s="12">
        <f>MD$4 * IF(AND(MC$4=1,MB$20=1), MO102, MM102)</f>
        <v>0</v>
      </c>
      <c r="ME102" s="12">
        <f>ME$4 * IF(AND(MD$4=1,MB$20=1), MO102, MM102)</f>
        <v>0</v>
      </c>
      <c r="MF102" s="12">
        <f>MF$4 * IF(AND(ME$4=1,MB$20=1), MO102, MM102)</f>
        <v>0</v>
      </c>
      <c r="MG102" s="12">
        <f>MG$4 * IF(AND(MF$4=1,MB$20=1), MO102, MM102)</f>
        <v>0</v>
      </c>
      <c r="MH102" s="12">
        <f>MH$4 * IF(AND(MG$4=1,MB$20=1), MO102, MM102)</f>
        <v>0</v>
      </c>
      <c r="MI102" s="12">
        <f>MI$4 * IF(AND(MH$4=1,MB$20=1), MO102, MM102)</f>
        <v>0</v>
      </c>
      <c r="MJ102" s="12">
        <f>MJ$4 * IF(AND(MI$4=1,MB$20=1), MO102, MM102)</f>
        <v>0</v>
      </c>
      <c r="ML102" t="s">
        <v>1304</v>
      </c>
      <c r="MM102">
        <f>_xlfn.XLOOKUP(ML102,'KPI Impacts'!$B$2:$H$2,'KPI Impacts'!$B102:$H102)</f>
        <v>0</v>
      </c>
      <c r="MN102" s="9" t="s">
        <v>1304</v>
      </c>
      <c r="MO102">
        <f>_xlfn.XLOOKUP(MN102,'KPI Impacts'!$B$2:$H$2,'KPI Impacts'!$B102:$H102)</f>
        <v>0</v>
      </c>
      <c r="MR102" s="12">
        <f>MR$4*NC102</f>
        <v>0</v>
      </c>
      <c r="MS102" s="12">
        <f>MS$4 * IF(AND(MR$4=1,MR$20=1), NE102, NC102)</f>
        <v>0</v>
      </c>
      <c r="MT102" s="12">
        <f>MT$4 * IF(AND(MS$4=1,MR$20=1), NE102, NC102)</f>
        <v>0</v>
      </c>
      <c r="MU102" s="12">
        <f>MU$4 * IF(AND(MT$4=1,MR$20=1), NE102, NC102)</f>
        <v>0</v>
      </c>
      <c r="MV102" s="12">
        <f>MV$4 * IF(AND(MU$4=1,MR$20=1), NE102, NC102)</f>
        <v>0</v>
      </c>
      <c r="MW102" s="12">
        <f>MW$4 * IF(AND(MV$4=1,MR$20=1), NE102, NC102)</f>
        <v>0</v>
      </c>
      <c r="MX102" s="12">
        <f>MX$4 * IF(AND(MW$4=1,MR$20=1), NE102, NC102)</f>
        <v>0</v>
      </c>
      <c r="MY102" s="12">
        <f>MY$4 * IF(AND(MX$4=1,MR$20=1), NE102, NC102)</f>
        <v>0</v>
      </c>
      <c r="MZ102" s="12">
        <f>MZ$4 * IF(AND(MY$4=1,MR$20=1), NE102, NC102)</f>
        <v>0</v>
      </c>
      <c r="NB102" t="s">
        <v>1304</v>
      </c>
      <c r="NC102">
        <f>_xlfn.XLOOKUP(NB102,'KPI Impacts'!$B$2:$H$2,'KPI Impacts'!$B102:$H102)</f>
        <v>0</v>
      </c>
      <c r="ND102" s="9" t="s">
        <v>1304</v>
      </c>
      <c r="NE102">
        <f>_xlfn.XLOOKUP(ND102,'KPI Impacts'!$B$2:$H$2,'KPI Impacts'!$B102:$H102)</f>
        <v>0</v>
      </c>
      <c r="NH102" s="12">
        <f>NH$4*NS102</f>
        <v>0</v>
      </c>
      <c r="NI102" s="12">
        <f>NI$4 * IF(AND(NH$4=1,NH$20=1), NU102, NS102)</f>
        <v>0</v>
      </c>
      <c r="NJ102" s="12">
        <f>NJ$4 * IF(AND(NI$4=1,NH$20=1), NU102, NS102)</f>
        <v>0</v>
      </c>
      <c r="NK102" s="12">
        <f>NK$4 * IF(AND(NJ$4=1,NH$20=1), NU102, NS102)</f>
        <v>0</v>
      </c>
      <c r="NL102" s="12">
        <f>NL$4 * IF(AND(NK$4=1,NH$20=1), NU102, NS102)</f>
        <v>0</v>
      </c>
      <c r="NM102" s="12">
        <f>NM$4 * IF(AND(NL$4=1,NH$20=1), NU102, NS102)</f>
        <v>0</v>
      </c>
      <c r="NN102" s="12">
        <f>NN$4 * IF(AND(NM$4=1,NH$20=1), NU102, NS102)</f>
        <v>0</v>
      </c>
      <c r="NO102" s="12">
        <f>NO$4 * IF(AND(NN$4=1,NH$20=1), NU102, NS102)</f>
        <v>0</v>
      </c>
      <c r="NP102" s="12">
        <f>NP$4 * IF(AND(NO$4=1,NH$20=1), NU102, NS102)</f>
        <v>0</v>
      </c>
      <c r="NR102" t="s">
        <v>1304</v>
      </c>
      <c r="NS102">
        <f>_xlfn.XLOOKUP(NR102,'KPI Impacts'!$B$2:$H$2,'KPI Impacts'!$B102:$H102)</f>
        <v>0</v>
      </c>
      <c r="NT102" s="9" t="s">
        <v>1304</v>
      </c>
      <c r="NU102">
        <f>_xlfn.XLOOKUP(NT102,'KPI Impacts'!$B$2:$H$2,'KPI Impacts'!$B102:$H102)</f>
        <v>0</v>
      </c>
      <c r="NX102" s="12">
        <f>NX$4*OI102</f>
        <v>0</v>
      </c>
      <c r="NY102" s="12">
        <f>NY$4 * IF(AND(NX$4=1,NX$20=1), OK102, OI102)</f>
        <v>0</v>
      </c>
      <c r="NZ102" s="12">
        <f>NZ$4 * IF(AND(NY$4=1,NX$20=1), OK102, OI102)</f>
        <v>0</v>
      </c>
      <c r="OA102" s="12">
        <f>OA$4 * IF(AND(NZ$4=1,NX$20=1), OK102, OI102)</f>
        <v>0</v>
      </c>
      <c r="OB102" s="12">
        <f>OB$4 * IF(AND(OA$4=1,NX$20=1), OK102, OI102)</f>
        <v>0</v>
      </c>
      <c r="OC102" s="12">
        <f>OC$4 * IF(AND(OB$4=1,NX$20=1), OK102, OI102)</f>
        <v>0</v>
      </c>
      <c r="OD102" s="12">
        <f>OD$4 * IF(AND(OC$4=1,NX$20=1), OK102, OI102)</f>
        <v>0</v>
      </c>
      <c r="OE102" s="12">
        <f>OE$4 * IF(AND(OD$4=1,NX$20=1), OK102, OI102)</f>
        <v>0</v>
      </c>
      <c r="OF102" s="12">
        <f>OF$4 * IF(AND(OE$4=1,NX$20=1), OK102, OI102)</f>
        <v>0</v>
      </c>
      <c r="OH102" t="s">
        <v>1304</v>
      </c>
      <c r="OI102">
        <f>_xlfn.XLOOKUP(OH102,'KPI Impacts'!$B$2:$H$2,'KPI Impacts'!$B102:$H102)</f>
        <v>0</v>
      </c>
      <c r="OJ102" s="9" t="s">
        <v>1304</v>
      </c>
      <c r="OK102">
        <f>_xlfn.XLOOKUP(OJ102,'KPI Impacts'!$B$2:$H$2,'KPI Impacts'!$B102:$H102)</f>
        <v>0</v>
      </c>
    </row>
    <row r="103" spans="1:499" x14ac:dyDescent="0.2">
      <c r="A103" t="s">
        <v>58</v>
      </c>
      <c r="B103" s="12">
        <f t="shared" si="520"/>
        <v>0</v>
      </c>
      <c r="C103" s="12">
        <f t="shared" si="520"/>
        <v>0</v>
      </c>
      <c r="D103" s="12">
        <f t="shared" si="520"/>
        <v>0</v>
      </c>
      <c r="E103" s="12">
        <f t="shared" si="520"/>
        <v>0</v>
      </c>
      <c r="F103" s="12">
        <f t="shared" si="520"/>
        <v>0</v>
      </c>
      <c r="G103" s="12">
        <f t="shared" si="520"/>
        <v>0</v>
      </c>
      <c r="H103" s="12">
        <f t="shared" si="520"/>
        <v>0</v>
      </c>
      <c r="I103" s="12">
        <f t="shared" si="520"/>
        <v>0</v>
      </c>
      <c r="J103" s="12">
        <f t="shared" si="520"/>
        <v>0</v>
      </c>
      <c r="P103" s="12" cm="1">
        <f t="array" ref="P103">_xlfn.SWITCH(P$4, 0,0, 1, AA103,2,AC103,3,AE103,0)</f>
        <v>0</v>
      </c>
      <c r="Q103" s="12" cm="1">
        <f t="array" ref="Q103">_xlfn.SWITCH(Q$4, 0,0, 1, AA103,2,AC103,3,AE103,0)+P103</f>
        <v>0</v>
      </c>
      <c r="R103" s="12" cm="1">
        <f t="array" ref="R103">_xlfn.SWITCH(R$4, 0,0, 1, AA103,2,AC103,3,AE103,0)+Q103</f>
        <v>0</v>
      </c>
      <c r="S103" s="12" cm="1">
        <f t="array" ref="S103">_xlfn.SWITCH(S$4, 0,0, 1, AA103,2,AC103,3,AE103,0)+R103</f>
        <v>0</v>
      </c>
      <c r="T103" s="12" cm="1">
        <f t="array" ref="T103">_xlfn.SWITCH(T$4, 0,0, 1, AA103,2,AC103,3,AE103,0)+S103</f>
        <v>0</v>
      </c>
      <c r="U103" s="12" cm="1">
        <f t="array" ref="U103">_xlfn.SWITCH(U$4, 0,0, 1, AA103,2,AC103,3,AE103,0)+T103</f>
        <v>0</v>
      </c>
      <c r="V103" s="12" cm="1">
        <f t="array" ref="V103">_xlfn.SWITCH(V$4, 0,0, 1, AA103,2,AC103,3,AE103,0)+U103</f>
        <v>0</v>
      </c>
      <c r="W103" s="12" cm="1">
        <f t="array" ref="W103">_xlfn.SWITCH(W$4, 0,0, 1, AA103,2,AC103,3,AE103,0)+V103</f>
        <v>0</v>
      </c>
      <c r="X103" s="12" cm="1">
        <f t="array" ref="X103">_xlfn.SWITCH(X$4, 0,0, 1, AA103,2,AC103,3,AE103,0)+W103</f>
        <v>0</v>
      </c>
      <c r="Z103" t="s">
        <v>1308</v>
      </c>
      <c r="AA103">
        <f>_xlfn.XLOOKUP(Z103,'KPI Impacts'!$K$2:$Q$2,'KPI Impacts'!$K103:$Q103)</f>
        <v>0.3</v>
      </c>
      <c r="AB103" t="s">
        <v>1310</v>
      </c>
      <c r="AC103">
        <f>_xlfn.XLOOKUP(AB103,'KPI Impacts'!$K$2:$Q$2,'KPI Impacts'!$K103:$Q103)</f>
        <v>0.6</v>
      </c>
      <c r="AD103" t="s">
        <v>1309</v>
      </c>
      <c r="AE103">
        <f>_xlfn.XLOOKUP(AD103,'KPI Impacts'!$K$2:$Q$2,'KPI Impacts'!$K103:$Q103)</f>
        <v>0.89999999999999991</v>
      </c>
      <c r="AH103" s="12" cm="1">
        <f t="array" ref="AH103">_xlfn.SWITCH(AH$4, 0,0, 1, AS103,2,AU103,3,AW103,0)</f>
        <v>0</v>
      </c>
      <c r="AI103" s="12" cm="1">
        <f t="array" ref="AI103">_xlfn.SWITCH(AI$4, 0,0, 1, AS103,2,AU103,3,AW103,0)+AH103</f>
        <v>0</v>
      </c>
      <c r="AJ103" s="12" cm="1">
        <f t="array" ref="AJ103">_xlfn.SWITCH(AJ$4, 0,0, 1, AS103,2,AU103,3,AW103,0)+AI103</f>
        <v>0</v>
      </c>
      <c r="AK103" s="12" cm="1">
        <f t="array" ref="AK103">_xlfn.SWITCH(AK$4, 0,0, 1, AS103,2,AU103,3,AW103,0)+AJ103</f>
        <v>0</v>
      </c>
      <c r="AL103" s="12" cm="1">
        <f t="array" ref="AL103">_xlfn.SWITCH(AL$4, 0,0, 1, AS103,2,AU103,3,AW103,0)+AK103</f>
        <v>0</v>
      </c>
      <c r="AM103" s="12" cm="1">
        <f t="array" ref="AM103">_xlfn.SWITCH(AM$4, 0,0, 1, AS103,2,AU103,3,AW103,0)+AL103</f>
        <v>0</v>
      </c>
      <c r="AN103" s="12" cm="1">
        <f t="array" ref="AN103">_xlfn.SWITCH(AN$4, 0,0, 1, AS103,2,AU103,3,AW103,0)+AM103</f>
        <v>0</v>
      </c>
      <c r="AO103" s="12" cm="1">
        <f t="array" ref="AO103">_xlfn.SWITCH(AO$4, 0,0, 1, AS103,2,AU103,3,AW103,0)+AN103</f>
        <v>0</v>
      </c>
      <c r="AP103" s="12" cm="1">
        <f t="array" ref="AP103">_xlfn.SWITCH(AP$4, 0,0, 1, AS103,2,AU103,3,AW103,0)+AO103</f>
        <v>0</v>
      </c>
      <c r="AR103" t="s">
        <v>1308</v>
      </c>
      <c r="AS103">
        <f>_xlfn.XLOOKUP(AR103,'KPI Impacts'!$K$2:$Q$2,'KPI Impacts'!$K103:$Q103)</f>
        <v>0.3</v>
      </c>
      <c r="AT103" t="s">
        <v>1310</v>
      </c>
      <c r="AU103">
        <f>_xlfn.XLOOKUP(AT103,'KPI Impacts'!$K$2:$Q$2,'KPI Impacts'!$K103:$Q103)</f>
        <v>0.6</v>
      </c>
      <c r="AV103" t="s">
        <v>1309</v>
      </c>
      <c r="AW103">
        <f>_xlfn.XLOOKUP(AV103,'KPI Impacts'!$K$2:$Q$2,'KPI Impacts'!$K103:$Q103)</f>
        <v>0.89999999999999991</v>
      </c>
      <c r="AZ103" s="12">
        <f>AZ$4*BK103</f>
        <v>0</v>
      </c>
      <c r="BA103" s="12">
        <f>BA$4 * IF(AND(AZ$4=1,AZ$20=1), BM103, BK103)</f>
        <v>0</v>
      </c>
      <c r="BB103" s="12">
        <f>BB$4 * IF(AND(BA$4=1,AZ$20=1), BM103, BK103)</f>
        <v>0</v>
      </c>
      <c r="BC103" s="12">
        <f>BC$4 * IF(AND(BB$4=1,AZ$20=1), BM103, BK103)</f>
        <v>0</v>
      </c>
      <c r="BD103" s="12">
        <f>BD$4 * IF(AND(BC$4=1,AZ$20=1), BM103, BK103)</f>
        <v>0</v>
      </c>
      <c r="BE103" s="12">
        <f>BE$4 * IF(AND(BD$4=1,AZ$20=1), BM103, BK103)</f>
        <v>0</v>
      </c>
      <c r="BF103" s="12">
        <f>BF$4 * IF(AND(BE$4=1,AZ$20=1), BM103, BK103)</f>
        <v>0</v>
      </c>
      <c r="BG103" s="12">
        <f>BG$4 * IF(AND(BF$4=1,AZ$20=1), BM103, BK103)</f>
        <v>0</v>
      </c>
      <c r="BH103" s="12">
        <f>BH$4 * IF(AND(BG$4=1,AZ$20=1), BM103, BK103)</f>
        <v>0</v>
      </c>
      <c r="BJ103" s="30" t="s">
        <v>1310</v>
      </c>
      <c r="BK103">
        <f>_xlfn.XLOOKUP(BJ103,'KPI Impacts'!$B$2:$H$2,'KPI Impacts'!$B103:$H103)</f>
        <v>1</v>
      </c>
      <c r="BL103" s="35" t="s">
        <v>1304</v>
      </c>
      <c r="BM103">
        <f>_xlfn.XLOOKUP(BL103,'KPI Impacts'!$B$2:$H$2,'KPI Impacts'!$B103:$H103)</f>
        <v>0</v>
      </c>
      <c r="BP103" s="12">
        <f>BP$4*CA103</f>
        <v>0</v>
      </c>
      <c r="BQ103" s="12">
        <f>BQ$4 * IF(AND(BP$4=1,BP$20=1), CC103, CA103)</f>
        <v>0</v>
      </c>
      <c r="BR103" s="12">
        <f>BR$4 * IF(AND(BQ$4=1,BP$20=1), CC103, CA103)</f>
        <v>0</v>
      </c>
      <c r="BS103" s="12">
        <f>BS$4 * IF(AND(BR$4=1,BP$20=1), CC103, CA103)</f>
        <v>0</v>
      </c>
      <c r="BT103" s="12">
        <f>BT$4 * IF(AND(BS$4=1,BP$20=1), CC103, CA103)</f>
        <v>0</v>
      </c>
      <c r="BU103" s="12">
        <f>BU$4 * IF(AND(BT$4=1,BP$20=1), CC103, CA103)</f>
        <v>0</v>
      </c>
      <c r="BV103" s="12">
        <f>BV$4 * IF(AND(BU$4=1,BP$20=1), CC103, CA103)</f>
        <v>0</v>
      </c>
      <c r="BW103" s="12">
        <f>BW$4 * IF(AND(BV$4=1,BP$20=1), CC103, CA103)</f>
        <v>0</v>
      </c>
      <c r="BX103" s="12">
        <f>BX$4 * IF(AND(BW$4=1,BP$20=1), CC103, CA103)</f>
        <v>0</v>
      </c>
      <c r="BZ103" s="16" t="s">
        <v>1304</v>
      </c>
      <c r="CA103">
        <f>_xlfn.XLOOKUP(BZ103,'KPI Impacts'!$B$2:$H$2,'KPI Impacts'!$B103:$H103)</f>
        <v>0</v>
      </c>
      <c r="CB103" s="35" t="s">
        <v>1304</v>
      </c>
      <c r="CC103">
        <f>_xlfn.XLOOKUP(CB103,'KPI Impacts'!$B$2:$H$2,'KPI Impacts'!$B103:$H103)</f>
        <v>0</v>
      </c>
      <c r="CF103" s="12">
        <f>CF$4*CQ103</f>
        <v>0</v>
      </c>
      <c r="CG103" s="12">
        <f>CG$4 * IF(AND(CF$4=1,CF$20=1), CS103, CQ103)</f>
        <v>0</v>
      </c>
      <c r="CH103" s="12">
        <f>CH$4 * IF(AND(CG$4=1,CF$20=1), CS103, CQ103)</f>
        <v>0</v>
      </c>
      <c r="CI103" s="12">
        <f>CI$4 * IF(AND(CH$4=1,CF$20=1), CS103, CQ103)</f>
        <v>0</v>
      </c>
      <c r="CJ103" s="12">
        <f>CJ$4 * IF(AND(CI$4=1,CF$20=1), CS103, CQ103)</f>
        <v>0</v>
      </c>
      <c r="CK103" s="12">
        <f>CK$4 * IF(AND(CJ$4=1,CF$20=1), CS103, CQ103)</f>
        <v>0</v>
      </c>
      <c r="CL103" s="12">
        <f>CL$4 * IF(AND(CK$4=1,CF$20=1), CS103, CQ103)</f>
        <v>0</v>
      </c>
      <c r="CM103" s="12">
        <f>CM$4 * IF(AND(CL$4=1,CF$20=1), CS103, CQ103)</f>
        <v>0</v>
      </c>
      <c r="CN103" s="12">
        <f>CN$4 * IF(AND(CM$4=1,CF$20=1), CS103, CQ103)</f>
        <v>0</v>
      </c>
      <c r="CP103" s="30" t="s">
        <v>1308</v>
      </c>
      <c r="CQ103">
        <f>_xlfn.XLOOKUP(CP103,'KPI Impacts'!$B$2:$H$2,'KPI Impacts'!$B103:$H103)</f>
        <v>0.5</v>
      </c>
      <c r="CR103" s="35" t="s">
        <v>1304</v>
      </c>
      <c r="CS103">
        <f>_xlfn.XLOOKUP(CR103,'KPI Impacts'!$B$2:$H$2,'KPI Impacts'!$B103:$H103)</f>
        <v>0</v>
      </c>
      <c r="CV103" s="12">
        <f>CV$4*DG103</f>
        <v>0</v>
      </c>
      <c r="CW103" s="12">
        <f>CW$4 * IF(AND(CV$4=1,CV$20=1), DI103, DG103)</f>
        <v>0</v>
      </c>
      <c r="CX103" s="12">
        <f>CX$4 * IF(AND(CW$4=1,CV$20=1), DI103, DG103)</f>
        <v>0</v>
      </c>
      <c r="CY103" s="12">
        <f>CY$4 * IF(AND(CX$4=1,CV$20=1), DI103, DG103)</f>
        <v>0</v>
      </c>
      <c r="CZ103" s="12">
        <f>CZ$4 * IF(AND(CY$4=1,CV$20=1), DI103, DG103)</f>
        <v>0</v>
      </c>
      <c r="DA103" s="12">
        <f>DA$4 * IF(AND(CZ$4=1,CV$20=1), DI103, DG103)</f>
        <v>0</v>
      </c>
      <c r="DB103" s="12">
        <f>DB$4 * IF(AND(DA$4=1,CV$20=1), DI103, DG103)</f>
        <v>0</v>
      </c>
      <c r="DC103" s="12">
        <f>DC$4 * IF(AND(DB$4=1,CV$20=1), DI103, DG103)</f>
        <v>0</v>
      </c>
      <c r="DD103" s="12">
        <f>DD$4 * IF(AND(DC$4=1,CV$20=1), DI103, DG103)</f>
        <v>0</v>
      </c>
      <c r="DF103" s="16" t="s">
        <v>1304</v>
      </c>
      <c r="DG103">
        <f>_xlfn.XLOOKUP(DF103,'KPI Impacts'!$B$2:$H$2,'KPI Impacts'!$B103:$H103)</f>
        <v>0</v>
      </c>
      <c r="DH103" s="35" t="s">
        <v>1304</v>
      </c>
      <c r="DI103">
        <f>_xlfn.XLOOKUP(DH103,'KPI Impacts'!$B$2:$H$2,'KPI Impacts'!$B103:$H103)</f>
        <v>0</v>
      </c>
      <c r="DL103" s="12">
        <f>DL$4*DW103</f>
        <v>0</v>
      </c>
      <c r="DM103" s="12">
        <f>DM$4 * IF(AND(DL$4=1,DL$20=1), DY103, DW103)</f>
        <v>0</v>
      </c>
      <c r="DN103" s="12">
        <f>DN$4 * IF(AND(DM$4=1,DL$20=1), DY103, DW103)</f>
        <v>0</v>
      </c>
      <c r="DO103" s="12">
        <f>DO$4 * IF(AND(DN$4=1,DL$20=1), DY103, DW103)</f>
        <v>0</v>
      </c>
      <c r="DP103" s="12">
        <f>DP$4 * IF(AND(DO$4=1,DL$20=1), DY103, DW103)</f>
        <v>0</v>
      </c>
      <c r="DQ103" s="12">
        <f>DQ$4 * IF(AND(DP$4=1,DL$20=1), DY103, DW103)</f>
        <v>0</v>
      </c>
      <c r="DR103" s="12">
        <f>DR$4 * IF(AND(DQ$4=1,DL$20=1), DY103, DW103)</f>
        <v>0</v>
      </c>
      <c r="DS103" s="12">
        <f>DS$4 * IF(AND(DR$4=1,DL$20=1), DY103, DW103)</f>
        <v>0</v>
      </c>
      <c r="DT103" s="12">
        <f>DT$4 * IF(AND(DS$4=1,DL$20=1), DY103, DW103)</f>
        <v>0</v>
      </c>
      <c r="DV103" s="16" t="s">
        <v>1304</v>
      </c>
      <c r="DW103">
        <f>_xlfn.XLOOKUP(DV103,'KPI Impacts'!$B$2:$H$2,'KPI Impacts'!$B103:$H103)</f>
        <v>0</v>
      </c>
      <c r="DX103" s="35" t="s">
        <v>1304</v>
      </c>
      <c r="DY103">
        <f>_xlfn.XLOOKUP(DX103,'KPI Impacts'!$B$2:$H$2,'KPI Impacts'!$B103:$H103)</f>
        <v>0</v>
      </c>
      <c r="EB103" s="12">
        <f>EB$4*EM103</f>
        <v>0</v>
      </c>
      <c r="EC103" s="12">
        <f>EC$4 * IF(AND(EB$4=1,EB$20=1), EO103, EM103)</f>
        <v>0</v>
      </c>
      <c r="ED103" s="12">
        <f>ED$4 * IF(AND(EC$4=1,EB$20=1), EO103, EM103)</f>
        <v>0</v>
      </c>
      <c r="EE103" s="12">
        <f>EE$4 * IF(AND(ED$4=1,EB$20=1), EO103, EM103)</f>
        <v>0</v>
      </c>
      <c r="EF103" s="12">
        <f>EF$4 * IF(AND(EE$4=1,EB$20=1), EO103, EM103)</f>
        <v>0</v>
      </c>
      <c r="EG103" s="12">
        <f>EG$4 * IF(AND(EF$4=1,EB$20=1), EO103, EM103)</f>
        <v>0</v>
      </c>
      <c r="EH103" s="12">
        <f>EH$4 * IF(AND(EG$4=1,EB$20=1), EO103, EM103)</f>
        <v>0</v>
      </c>
      <c r="EI103" s="12">
        <f>EI$4 * IF(AND(EH$4=1,EB$20=1), EO103, EM103)</f>
        <v>0</v>
      </c>
      <c r="EJ103" s="12">
        <f>EJ$4 * IF(AND(EI$4=1,EB$20=1), EO103, EM103)</f>
        <v>0</v>
      </c>
      <c r="EL103" s="30" t="s">
        <v>1309</v>
      </c>
      <c r="EM103">
        <f>_xlfn.XLOOKUP(EL103,'KPI Impacts'!$B$2:$H$2,'KPI Impacts'!$B103:$H103)</f>
        <v>1.5</v>
      </c>
      <c r="EN103" s="35" t="s">
        <v>1304</v>
      </c>
      <c r="EO103">
        <f>_xlfn.XLOOKUP(EN103,'KPI Impacts'!$B$2:$H$2,'KPI Impacts'!$B103:$H103)</f>
        <v>0</v>
      </c>
      <c r="ER103" s="12">
        <f>ER$4*FC103</f>
        <v>0</v>
      </c>
      <c r="ES103" s="12">
        <f>ES$4 * IF(AND(ER$4=1,ER$20=1), FE103, FC103)</f>
        <v>0</v>
      </c>
      <c r="ET103" s="12">
        <f>ET$4 * IF(AND(ES$4=1,ER$20=1), FE103, FC103)</f>
        <v>0</v>
      </c>
      <c r="EU103" s="12">
        <f>EU$4 * IF(AND(ET$4=1,ER$20=1), FE103, FC103)</f>
        <v>0</v>
      </c>
      <c r="EV103" s="12">
        <f>EV$4 * IF(AND(EU$4=1,ER$20=1), FE103, FC103)</f>
        <v>0</v>
      </c>
      <c r="EW103" s="12">
        <f>EW$4 * IF(AND(EV$4=1,ER$20=1), FE103, FC103)</f>
        <v>0</v>
      </c>
      <c r="EX103" s="12">
        <f>EX$4 * IF(AND(EW$4=1,ER$20=1), FE103, FC103)</f>
        <v>0</v>
      </c>
      <c r="EY103" s="12">
        <f>EY$4 * IF(AND(EX$4=1,ER$20=1), FE103, FC103)</f>
        <v>0</v>
      </c>
      <c r="EZ103" s="12">
        <f>EZ$4 * IF(AND(EY$4=1,ER$20=1), FE103, FC103)</f>
        <v>0</v>
      </c>
      <c r="FB103" s="16" t="s">
        <v>1304</v>
      </c>
      <c r="FC103">
        <f>_xlfn.XLOOKUP(FB103,'KPI Impacts'!$B$2:$H$2,'KPI Impacts'!$B103:$H103)</f>
        <v>0</v>
      </c>
      <c r="FD103" s="35" t="s">
        <v>1304</v>
      </c>
      <c r="FE103">
        <f>_xlfn.XLOOKUP(FD103,'KPI Impacts'!$B$2:$H$2,'KPI Impacts'!$B103:$H103)</f>
        <v>0</v>
      </c>
      <c r="FH103" s="12">
        <f>FH$4*FS103</f>
        <v>0</v>
      </c>
      <c r="FI103" s="12">
        <f>FI$4 * IF(AND(FH$4=1,FH$20=1), FU103, FS103)</f>
        <v>0</v>
      </c>
      <c r="FJ103" s="12">
        <f>FJ$4 * IF(AND(FI$4=1,FH$20=1), FU103, FS103)</f>
        <v>0</v>
      </c>
      <c r="FK103" s="12">
        <f>FK$4 * IF(AND(FJ$4=1,FH$20=1), FU103, FS103)</f>
        <v>0</v>
      </c>
      <c r="FL103" s="12">
        <f>FL$4 * IF(AND(FK$4=1,FH$20=1), FU103, FS103)</f>
        <v>0</v>
      </c>
      <c r="FM103" s="12">
        <f>FM$4 * IF(AND(FL$4=1,FH$20=1), FU103, FS103)</f>
        <v>0</v>
      </c>
      <c r="FN103" s="12">
        <f>FN$4 * IF(AND(FM$4=1,FH$20=1), FU103, FS103)</f>
        <v>0</v>
      </c>
      <c r="FO103" s="12">
        <f>FO$4 * IF(AND(FN$4=1,FH$20=1), FU103, FS103)</f>
        <v>0</v>
      </c>
      <c r="FP103" s="12">
        <f>FP$4 * IF(AND(FO$4=1,FH$20=1), FU103, FS103)</f>
        <v>0</v>
      </c>
      <c r="FR103" s="30" t="s">
        <v>1308</v>
      </c>
      <c r="FS103">
        <f>_xlfn.XLOOKUP(FR103,'KPI Impacts'!$B$2:$H$2,'KPI Impacts'!$B103:$H103)</f>
        <v>0.5</v>
      </c>
      <c r="FT103" s="9" t="s">
        <v>1304</v>
      </c>
      <c r="FU103">
        <f>_xlfn.XLOOKUP(FT103,'KPI Impacts'!$B$2:$H$2,'KPI Impacts'!$B103:$H103)</f>
        <v>0</v>
      </c>
      <c r="FX103" s="12">
        <f>FX$4*GI103</f>
        <v>0</v>
      </c>
      <c r="FY103" s="12">
        <f>FY$4 * IF(AND(FX$4=1,FX$20=1), GK103, GI103)</f>
        <v>0</v>
      </c>
      <c r="FZ103" s="12">
        <f>FZ$4 * IF(AND(FY$4=1,FX$20=1), GK103, GI103)</f>
        <v>0</v>
      </c>
      <c r="GA103" s="12">
        <f>GA$4 * IF(AND(FZ$4=1,FX$20=1), GK103, GI103)</f>
        <v>0</v>
      </c>
      <c r="GB103" s="12">
        <f>GB$4 * IF(AND(GA$4=1,FX$20=1), GK103, GI103)</f>
        <v>0</v>
      </c>
      <c r="GC103" s="12">
        <f>GC$4 * IF(AND(GB$4=1,FX$20=1), GK103, GI103)</f>
        <v>0</v>
      </c>
      <c r="GD103" s="12">
        <f>GD$4 * IF(AND(GC$4=1,FX$20=1), GK103, GI103)</f>
        <v>0</v>
      </c>
      <c r="GE103" s="12">
        <f>GE$4 * IF(AND(GD$4=1,FX$20=1), GK103, GI103)</f>
        <v>0</v>
      </c>
      <c r="GF103" s="12">
        <f>GF$4 * IF(AND(GE$4=1,FX$20=1), GK103, GI103)</f>
        <v>0</v>
      </c>
      <c r="GH103" s="30" t="s">
        <v>1308</v>
      </c>
      <c r="GI103">
        <f>_xlfn.XLOOKUP(GH103,'KPI Impacts'!$B$2:$H$2,'KPI Impacts'!$B103:$H103)</f>
        <v>0.5</v>
      </c>
      <c r="GJ103" s="9" t="s">
        <v>1304</v>
      </c>
      <c r="GK103">
        <f>_xlfn.XLOOKUP(GJ103,'KPI Impacts'!$B$2:$H$2,'KPI Impacts'!$B103:$H103)</f>
        <v>0</v>
      </c>
      <c r="GN103" s="12">
        <f>GN$4*GY103</f>
        <v>0</v>
      </c>
      <c r="GO103" s="12">
        <f>GO$4 * IF(AND(GN$4=1,GN$20=1), HA103, GY103)</f>
        <v>0</v>
      </c>
      <c r="GP103" s="12">
        <f>GP$4 * IF(AND(GO$4=1,GN$20=1), HA103, GY103)</f>
        <v>0</v>
      </c>
      <c r="GQ103" s="12">
        <f>GQ$4 * IF(AND(GP$4=1,GN$20=1), HA103, GY103)</f>
        <v>0</v>
      </c>
      <c r="GR103" s="12">
        <f>GR$4 * IF(AND(GQ$4=1,GN$20=1), HA103, GY103)</f>
        <v>0</v>
      </c>
      <c r="GS103" s="12">
        <f>GS$4 * IF(AND(GR$4=1,GN$20=1), HA103, GY103)</f>
        <v>0</v>
      </c>
      <c r="GT103" s="12">
        <f>GT$4 * IF(AND(GS$4=1,GN$20=1), HA103, GY103)</f>
        <v>0</v>
      </c>
      <c r="GU103" s="12">
        <f>GU$4 * IF(AND(GT$4=1,GN$20=1), HA103, GY103)</f>
        <v>0</v>
      </c>
      <c r="GV103" s="12">
        <f>GV$4 * IF(AND(GU$4=1,GN$20=1), HA103, GY103)</f>
        <v>0</v>
      </c>
      <c r="GX103" s="16" t="s">
        <v>1304</v>
      </c>
      <c r="GY103">
        <f>_xlfn.XLOOKUP(GX103,'KPI Impacts'!$B$2:$H$2,'KPI Impacts'!$B103:$H103)</f>
        <v>0</v>
      </c>
      <c r="GZ103" s="9" t="s">
        <v>1304</v>
      </c>
      <c r="HA103">
        <f>_xlfn.XLOOKUP(GZ103,'KPI Impacts'!$B$2:$H$2,'KPI Impacts'!$B103:$H103)</f>
        <v>0</v>
      </c>
      <c r="HD103" s="12">
        <f>HD$4*HO103</f>
        <v>0</v>
      </c>
      <c r="HE103" s="12">
        <f>HE$4 * IF(AND(HD$4=1,HD$20=1), HQ103, HO103)</f>
        <v>0</v>
      </c>
      <c r="HF103" s="12">
        <f>HF$4 * IF(AND(HE$4=1,HD$20=1), HQ103, HO103)</f>
        <v>0</v>
      </c>
      <c r="HG103" s="12">
        <f>HG$4 * IF(AND(HF$4=1,HD$20=1), HQ103, HO103)</f>
        <v>0</v>
      </c>
      <c r="HH103" s="12">
        <f>HH$4 * IF(AND(HG$4=1,HD$20=1), HQ103, HO103)</f>
        <v>0</v>
      </c>
      <c r="HI103" s="12">
        <f>HI$4 * IF(AND(HH$4=1,HD$20=1), HQ103, HO103)</f>
        <v>0</v>
      </c>
      <c r="HJ103" s="12">
        <f>HJ$4 * IF(AND(HI$4=1,HD$20=1), HQ103, HO103)</f>
        <v>0</v>
      </c>
      <c r="HK103" s="12">
        <f>HK$4 * IF(AND(HJ$4=1,HD$20=1), HQ103, HO103)</f>
        <v>0</v>
      </c>
      <c r="HL103" s="12">
        <f>HL$4 * IF(AND(HK$4=1,HD$20=1), HQ103, HO103)</f>
        <v>0</v>
      </c>
      <c r="HN103" t="s">
        <v>1304</v>
      </c>
      <c r="HO103">
        <f>_xlfn.XLOOKUP(HN103,'KPI Impacts'!$B$2:$H$2,'KPI Impacts'!$B103:$H103)</f>
        <v>0</v>
      </c>
      <c r="HP103" s="9" t="s">
        <v>1304</v>
      </c>
      <c r="HQ103">
        <f>_xlfn.XLOOKUP(HP103,'KPI Impacts'!$B$2:$H$2,'KPI Impacts'!$B103:$H103)</f>
        <v>0</v>
      </c>
      <c r="HT103" s="12">
        <f>HT$4*IE103</f>
        <v>0</v>
      </c>
      <c r="HU103" s="12">
        <f>HU$4 * IF(AND(HT$4=1,HT$20=1), IG103, IE103)</f>
        <v>0</v>
      </c>
      <c r="HV103" s="12">
        <f>HV$4 * IF(AND(HU$4=1,HT$20=1), IG103, IE103)</f>
        <v>0</v>
      </c>
      <c r="HW103" s="12">
        <f>HW$4 * IF(AND(HV$4=1,HT$20=1), IG103, IE103)</f>
        <v>0</v>
      </c>
      <c r="HX103" s="12">
        <f>HX$4 * IF(AND(HW$4=1,HT$20=1), IG103, IE103)</f>
        <v>0</v>
      </c>
      <c r="HY103" s="12">
        <f>HY$4 * IF(AND(HX$4=1,HT$20=1), IG103, IE103)</f>
        <v>0</v>
      </c>
      <c r="HZ103" s="12">
        <f>HZ$4 * IF(AND(HY$4=1,HT$20=1), IG103, IE103)</f>
        <v>0</v>
      </c>
      <c r="IA103" s="12">
        <f>IA$4 * IF(AND(HZ$4=1,HT$20=1), IG103, IE103)</f>
        <v>0</v>
      </c>
      <c r="IB103" s="12">
        <f>IB$4 * IF(AND(IA$4=1,HT$20=1), IG103, IE103)</f>
        <v>0</v>
      </c>
      <c r="ID103" t="s">
        <v>1304</v>
      </c>
      <c r="IE103">
        <f>_xlfn.XLOOKUP(ID103,'KPI Impacts'!$B$2:$H$2,'KPI Impacts'!$B103:$H103)</f>
        <v>0</v>
      </c>
      <c r="IF103" s="9" t="s">
        <v>1304</v>
      </c>
      <c r="IG103">
        <f>_xlfn.XLOOKUP(IF103,'KPI Impacts'!$B$2:$H$2,'KPI Impacts'!$B103:$H103)</f>
        <v>0</v>
      </c>
      <c r="IJ103" s="12">
        <f>IJ$4*IU103</f>
        <v>0</v>
      </c>
      <c r="IK103" s="12">
        <f>IK$4 * IF(AND(IJ$4=1,IJ$20=1), IW103, IU103)</f>
        <v>0</v>
      </c>
      <c r="IL103" s="12">
        <f>IL$4 * IF(AND(IK$4=1,IJ$20=1), IW103, IU103)</f>
        <v>0</v>
      </c>
      <c r="IM103" s="12">
        <f>IM$4 * IF(AND(IL$4=1,IJ$20=1), IW103, IU103)</f>
        <v>0</v>
      </c>
      <c r="IN103" s="12">
        <f>IN$4 * IF(AND(IM$4=1,IJ$20=1), IW103, IU103)</f>
        <v>0</v>
      </c>
      <c r="IO103" s="12">
        <f>IO$4 * IF(AND(IN$4=1,IJ$20=1), IW103, IU103)</f>
        <v>0</v>
      </c>
      <c r="IP103" s="12">
        <f>IP$4 * IF(AND(IO$4=1,IJ$20=1), IW103, IU103)</f>
        <v>0</v>
      </c>
      <c r="IQ103" s="12">
        <f>IQ$4 * IF(AND(IP$4=1,IJ$20=1), IW103, IU103)</f>
        <v>0</v>
      </c>
      <c r="IR103" s="12">
        <f>IR$4 * IF(AND(IQ$4=1,IJ$20=1), IW103, IU103)</f>
        <v>0</v>
      </c>
      <c r="IT103" t="s">
        <v>1304</v>
      </c>
      <c r="IU103">
        <f>_xlfn.XLOOKUP(IT103,'KPI Impacts'!$B$2:$H$2,'KPI Impacts'!$B103:$H103)</f>
        <v>0</v>
      </c>
      <c r="IV103" s="9" t="s">
        <v>1304</v>
      </c>
      <c r="IW103">
        <f>_xlfn.XLOOKUP(IV103,'KPI Impacts'!$B$2:$H$2,'KPI Impacts'!$B103:$H103)</f>
        <v>0</v>
      </c>
      <c r="IZ103" s="12">
        <f>IZ$4*JK103</f>
        <v>0</v>
      </c>
      <c r="JA103" s="12">
        <f>JA$4 * IF(AND(IZ$4=1,IZ$20=1), JM103, JK103)</f>
        <v>0</v>
      </c>
      <c r="JB103" s="12">
        <f>JB$4 * IF(AND(JA$4=1,IZ$20=1), JM103, JK103)</f>
        <v>0</v>
      </c>
      <c r="JC103" s="12">
        <f>JC$4 * IF(AND(JB$4=1,IZ$20=1), JM103, JK103)</f>
        <v>0</v>
      </c>
      <c r="JD103" s="12">
        <f>JD$4 * IF(AND(JC$4=1,IZ$20=1), JM103, JK103)</f>
        <v>0</v>
      </c>
      <c r="JE103" s="12">
        <f>JE$4 * IF(AND(JD$4=1,IZ$20=1), JM103, JK103)</f>
        <v>0</v>
      </c>
      <c r="JF103" s="12">
        <f>JF$4 * IF(AND(JE$4=1,IZ$20=1), JM103, JK103)</f>
        <v>0</v>
      </c>
      <c r="JG103" s="12">
        <f>JG$4 * IF(AND(JF$4=1,IZ$20=1), JM103, JK103)</f>
        <v>0</v>
      </c>
      <c r="JH103" s="12">
        <f>JH$4 * IF(AND(JG$4=1,IZ$20=1), JM103, JK103)</f>
        <v>0</v>
      </c>
      <c r="JJ103" t="s">
        <v>1304</v>
      </c>
      <c r="JK103">
        <f>_xlfn.XLOOKUP(JJ103,'KPI Impacts'!$B$2:$H$2,'KPI Impacts'!$B103:$H103)</f>
        <v>0</v>
      </c>
      <c r="JL103" s="9" t="s">
        <v>1304</v>
      </c>
      <c r="JM103">
        <f>_xlfn.XLOOKUP(JL103,'KPI Impacts'!$B$2:$H$2,'KPI Impacts'!$B103:$H103)</f>
        <v>0</v>
      </c>
      <c r="JP103" s="12">
        <f>JP$4*KA103</f>
        <v>0</v>
      </c>
      <c r="JQ103" s="12">
        <f>JQ$4 * IF(AND(JP$4=1,JP$20=1), KC103, KA103)</f>
        <v>0</v>
      </c>
      <c r="JR103" s="12">
        <f>JR$4 * IF(AND(JQ$4=1,JP$20=1), KC103, KA103)</f>
        <v>0</v>
      </c>
      <c r="JS103" s="12">
        <f>JS$4 * IF(AND(JR$4=1,JP$20=1), KC103, KA103)</f>
        <v>0</v>
      </c>
      <c r="JT103" s="12">
        <f>JT$4 * IF(AND(JS$4=1,JP$20=1), KC103, KA103)</f>
        <v>0</v>
      </c>
      <c r="JU103" s="12">
        <f>JU$4 * IF(AND(JT$4=1,JP$20=1), KC103, KA103)</f>
        <v>0</v>
      </c>
      <c r="JV103" s="12">
        <f>JV$4 * IF(AND(JU$4=1,JP$20=1), KC103, KA103)</f>
        <v>0</v>
      </c>
      <c r="JW103" s="12">
        <f>JW$4 * IF(AND(JV$4=1,JP$20=1), KC103, KA103)</f>
        <v>0</v>
      </c>
      <c r="JX103" s="12">
        <f>JX$4 * IF(AND(JW$4=1,JP$20=1), KC103, KA103)</f>
        <v>0</v>
      </c>
      <c r="JZ103" t="s">
        <v>1304</v>
      </c>
      <c r="KA103">
        <f>_xlfn.XLOOKUP(JZ103,'KPI Impacts'!$B$2:$H$2,'KPI Impacts'!$B103:$H103)</f>
        <v>0</v>
      </c>
      <c r="KB103" s="9" t="s">
        <v>1304</v>
      </c>
      <c r="KC103">
        <f>_xlfn.XLOOKUP(KB103,'KPI Impacts'!$B$2:$H$2,'KPI Impacts'!$B103:$H103)</f>
        <v>0</v>
      </c>
      <c r="KF103" s="12">
        <f>KF$4*KQ103</f>
        <v>0</v>
      </c>
      <c r="KG103" s="12">
        <f>KG$4 * IF(AND(KF$4=1,KF$20=1), KS103, KQ103)</f>
        <v>0</v>
      </c>
      <c r="KH103" s="12">
        <f>KH$4 * IF(AND(KG$4=1,KF$20=1), KS103, KQ103)</f>
        <v>0</v>
      </c>
      <c r="KI103" s="12">
        <f>KI$4 * IF(AND(KH$4=1,KF$20=1), KS103, KQ103)</f>
        <v>0</v>
      </c>
      <c r="KJ103" s="12">
        <f>KJ$4 * IF(AND(KI$4=1,KF$20=1), KS103, KQ103)</f>
        <v>0</v>
      </c>
      <c r="KK103" s="12">
        <f>KK$4 * IF(AND(KJ$4=1,KF$20=1), KS103, KQ103)</f>
        <v>0</v>
      </c>
      <c r="KL103" s="12">
        <f>KL$4 * IF(AND(KK$4=1,KF$20=1), KS103, KQ103)</f>
        <v>0</v>
      </c>
      <c r="KM103" s="12">
        <f>KM$4 * IF(AND(KL$4=1,KF$20=1), KS103, KQ103)</f>
        <v>0</v>
      </c>
      <c r="KN103" s="12">
        <f>KN$4 * IF(AND(KM$4=1,KF$20=1), KS103, KQ103)</f>
        <v>0</v>
      </c>
      <c r="KP103" t="s">
        <v>1304</v>
      </c>
      <c r="KQ103">
        <f>_xlfn.XLOOKUP(KP103,'KPI Impacts'!$B$2:$H$2,'KPI Impacts'!$B103:$H103)</f>
        <v>0</v>
      </c>
      <c r="KR103" s="9" t="s">
        <v>1304</v>
      </c>
      <c r="KS103">
        <f>_xlfn.XLOOKUP(KR103,'KPI Impacts'!$B$2:$H$2,'KPI Impacts'!$B103:$H103)</f>
        <v>0</v>
      </c>
      <c r="KV103" s="12">
        <f>KV$4*LG103</f>
        <v>0</v>
      </c>
      <c r="KW103" s="12">
        <f>KW$4 * IF(AND(KV$4=1,KV$20=1), LI103, LG103)</f>
        <v>0</v>
      </c>
      <c r="KX103" s="12">
        <f>KX$4 * IF(AND(KW$4=1,KV$20=1), LI103, LG103)</f>
        <v>0</v>
      </c>
      <c r="KY103" s="12">
        <f>KY$4 * IF(AND(KX$4=1,KV$20=1), LI103, LG103)</f>
        <v>0</v>
      </c>
      <c r="KZ103" s="12">
        <f>KZ$4 * IF(AND(KY$4=1,KV$20=1), LI103, LG103)</f>
        <v>0</v>
      </c>
      <c r="LA103" s="12">
        <f>LA$4 * IF(AND(KZ$4=1,KV$20=1), LI103, LG103)</f>
        <v>0</v>
      </c>
      <c r="LB103" s="12">
        <f>LB$4 * IF(AND(LA$4=1,KV$20=1), LI103, LG103)</f>
        <v>0</v>
      </c>
      <c r="LC103" s="12">
        <f>LC$4 * IF(AND(LB$4=1,KV$20=1), LI103, LG103)</f>
        <v>0</v>
      </c>
      <c r="LD103" s="12">
        <f>LD$4 * IF(AND(LC$4=1,KV$20=1), LI103, LG103)</f>
        <v>0</v>
      </c>
      <c r="LF103" t="s">
        <v>1304</v>
      </c>
      <c r="LG103">
        <f>_xlfn.XLOOKUP(LF103,'KPI Impacts'!$B$2:$H$2,'KPI Impacts'!$B103:$H103)</f>
        <v>0</v>
      </c>
      <c r="LH103" s="9" t="s">
        <v>1304</v>
      </c>
      <c r="LI103">
        <f>_xlfn.XLOOKUP(LH103,'KPI Impacts'!$B$2:$H$2,'KPI Impacts'!$B103:$H103)</f>
        <v>0</v>
      </c>
      <c r="LL103" s="12">
        <f>LL$4*LW103</f>
        <v>0</v>
      </c>
      <c r="LM103" s="12">
        <f>LM$4 * IF(AND(LL$4=1,LL$20=1), LY103, LW103)</f>
        <v>0</v>
      </c>
      <c r="LN103" s="12">
        <f>LN$4 * IF(AND(LM$4=1,LL$20=1), LY103, LW103)</f>
        <v>0</v>
      </c>
      <c r="LO103" s="12">
        <f>LO$4 * IF(AND(LN$4=1,LL$20=1), LY103, LW103)</f>
        <v>0</v>
      </c>
      <c r="LP103" s="12">
        <f>LP$4 * IF(AND(LO$4=1,LL$20=1), LY103, LW103)</f>
        <v>0</v>
      </c>
      <c r="LQ103" s="12">
        <f>LQ$4 * IF(AND(LP$4=1,LL$20=1), LY103, LW103)</f>
        <v>0</v>
      </c>
      <c r="LR103" s="12">
        <f>LR$4 * IF(AND(LQ$4=1,LL$20=1), LY103, LW103)</f>
        <v>0</v>
      </c>
      <c r="LS103" s="12">
        <f>LS$4 * IF(AND(LR$4=1,LL$20=1), LY103, LW103)</f>
        <v>0</v>
      </c>
      <c r="LT103" s="12">
        <f>LT$4 * IF(AND(LS$4=1,LL$20=1), LY103, LW103)</f>
        <v>0</v>
      </c>
      <c r="LV103" t="s">
        <v>1304</v>
      </c>
      <c r="LW103">
        <f>_xlfn.XLOOKUP(LV103,'KPI Impacts'!$B$2:$H$2,'KPI Impacts'!$B103:$H103)</f>
        <v>0</v>
      </c>
      <c r="LX103" s="9" t="s">
        <v>1304</v>
      </c>
      <c r="LY103">
        <f>_xlfn.XLOOKUP(LX103,'KPI Impacts'!$B$2:$H$2,'KPI Impacts'!$B103:$H103)</f>
        <v>0</v>
      </c>
      <c r="MB103" s="12">
        <f>MB$4*MM103</f>
        <v>0</v>
      </c>
      <c r="MC103" s="12">
        <f>MC$4 * IF(AND(MB$4=1,MB$20=1), MO103, MM103)</f>
        <v>0</v>
      </c>
      <c r="MD103" s="12">
        <f>MD$4 * IF(AND(MC$4=1,MB$20=1), MO103, MM103)</f>
        <v>0</v>
      </c>
      <c r="ME103" s="12">
        <f>ME$4 * IF(AND(MD$4=1,MB$20=1), MO103, MM103)</f>
        <v>0</v>
      </c>
      <c r="MF103" s="12">
        <f>MF$4 * IF(AND(ME$4=1,MB$20=1), MO103, MM103)</f>
        <v>0</v>
      </c>
      <c r="MG103" s="12">
        <f>MG$4 * IF(AND(MF$4=1,MB$20=1), MO103, MM103)</f>
        <v>0</v>
      </c>
      <c r="MH103" s="12">
        <f>MH$4 * IF(AND(MG$4=1,MB$20=1), MO103, MM103)</f>
        <v>0</v>
      </c>
      <c r="MI103" s="12">
        <f>MI$4 * IF(AND(MH$4=1,MB$20=1), MO103, MM103)</f>
        <v>0</v>
      </c>
      <c r="MJ103" s="12">
        <f>MJ$4 * IF(AND(MI$4=1,MB$20=1), MO103, MM103)</f>
        <v>0</v>
      </c>
      <c r="ML103" t="s">
        <v>1304</v>
      </c>
      <c r="MM103">
        <f>_xlfn.XLOOKUP(ML103,'KPI Impacts'!$B$2:$H$2,'KPI Impacts'!$B103:$H103)</f>
        <v>0</v>
      </c>
      <c r="MN103" s="9" t="s">
        <v>1304</v>
      </c>
      <c r="MO103">
        <f>_xlfn.XLOOKUP(MN103,'KPI Impacts'!$B$2:$H$2,'KPI Impacts'!$B103:$H103)</f>
        <v>0</v>
      </c>
      <c r="MR103" s="12">
        <f>MR$4*NC103</f>
        <v>0</v>
      </c>
      <c r="MS103" s="12">
        <f>MS$4 * IF(AND(MR$4=1,MR$20=1), NE103, NC103)</f>
        <v>0</v>
      </c>
      <c r="MT103" s="12">
        <f>MT$4 * IF(AND(MS$4=1,MR$20=1), NE103, NC103)</f>
        <v>0</v>
      </c>
      <c r="MU103" s="12">
        <f>MU$4 * IF(AND(MT$4=1,MR$20=1), NE103, NC103)</f>
        <v>0</v>
      </c>
      <c r="MV103" s="12">
        <f>MV$4 * IF(AND(MU$4=1,MR$20=1), NE103, NC103)</f>
        <v>0</v>
      </c>
      <c r="MW103" s="12">
        <f>MW$4 * IF(AND(MV$4=1,MR$20=1), NE103, NC103)</f>
        <v>0</v>
      </c>
      <c r="MX103" s="12">
        <f>MX$4 * IF(AND(MW$4=1,MR$20=1), NE103, NC103)</f>
        <v>0</v>
      </c>
      <c r="MY103" s="12">
        <f>MY$4 * IF(AND(MX$4=1,MR$20=1), NE103, NC103)</f>
        <v>0</v>
      </c>
      <c r="MZ103" s="12">
        <f>MZ$4 * IF(AND(MY$4=1,MR$20=1), NE103, NC103)</f>
        <v>0</v>
      </c>
      <c r="NB103" t="s">
        <v>1304</v>
      </c>
      <c r="NC103">
        <f>_xlfn.XLOOKUP(NB103,'KPI Impacts'!$B$2:$H$2,'KPI Impacts'!$B103:$H103)</f>
        <v>0</v>
      </c>
      <c r="ND103" s="9" t="s">
        <v>1304</v>
      </c>
      <c r="NE103">
        <f>_xlfn.XLOOKUP(ND103,'KPI Impacts'!$B$2:$H$2,'KPI Impacts'!$B103:$H103)</f>
        <v>0</v>
      </c>
      <c r="NH103" s="12">
        <f>NH$4*NS103</f>
        <v>0</v>
      </c>
      <c r="NI103" s="12">
        <f>NI$4 * IF(AND(NH$4=1,NH$20=1), NU103, NS103)</f>
        <v>0</v>
      </c>
      <c r="NJ103" s="12">
        <f>NJ$4 * IF(AND(NI$4=1,NH$20=1), NU103, NS103)</f>
        <v>0</v>
      </c>
      <c r="NK103" s="12">
        <f>NK$4 * IF(AND(NJ$4=1,NH$20=1), NU103, NS103)</f>
        <v>0</v>
      </c>
      <c r="NL103" s="12">
        <f>NL$4 * IF(AND(NK$4=1,NH$20=1), NU103, NS103)</f>
        <v>0</v>
      </c>
      <c r="NM103" s="12">
        <f>NM$4 * IF(AND(NL$4=1,NH$20=1), NU103, NS103)</f>
        <v>0</v>
      </c>
      <c r="NN103" s="12">
        <f>NN$4 * IF(AND(NM$4=1,NH$20=1), NU103, NS103)</f>
        <v>0</v>
      </c>
      <c r="NO103" s="12">
        <f>NO$4 * IF(AND(NN$4=1,NH$20=1), NU103, NS103)</f>
        <v>0</v>
      </c>
      <c r="NP103" s="12">
        <f>NP$4 * IF(AND(NO$4=1,NH$20=1), NU103, NS103)</f>
        <v>0</v>
      </c>
      <c r="NR103" t="s">
        <v>1304</v>
      </c>
      <c r="NS103">
        <f>_xlfn.XLOOKUP(NR103,'KPI Impacts'!$B$2:$H$2,'KPI Impacts'!$B103:$H103)</f>
        <v>0</v>
      </c>
      <c r="NT103" s="9" t="s">
        <v>1304</v>
      </c>
      <c r="NU103">
        <f>_xlfn.XLOOKUP(NT103,'KPI Impacts'!$B$2:$H$2,'KPI Impacts'!$B103:$H103)</f>
        <v>0</v>
      </c>
      <c r="NX103" s="12">
        <f>NX$4*OI103</f>
        <v>0</v>
      </c>
      <c r="NY103" s="12">
        <f>NY$4 * IF(AND(NX$4=1,NX$20=1), OK103, OI103)</f>
        <v>0</v>
      </c>
      <c r="NZ103" s="12">
        <f>NZ$4 * IF(AND(NY$4=1,NX$20=1), OK103, OI103)</f>
        <v>0</v>
      </c>
      <c r="OA103" s="12">
        <f>OA$4 * IF(AND(NZ$4=1,NX$20=1), OK103, OI103)</f>
        <v>0</v>
      </c>
      <c r="OB103" s="12">
        <f>OB$4 * IF(AND(OA$4=1,NX$20=1), OK103, OI103)</f>
        <v>0</v>
      </c>
      <c r="OC103" s="12">
        <f>OC$4 * IF(AND(OB$4=1,NX$20=1), OK103, OI103)</f>
        <v>0</v>
      </c>
      <c r="OD103" s="12">
        <f>OD$4 * IF(AND(OC$4=1,NX$20=1), OK103, OI103)</f>
        <v>0</v>
      </c>
      <c r="OE103" s="12">
        <f>OE$4 * IF(AND(OD$4=1,NX$20=1), OK103, OI103)</f>
        <v>0</v>
      </c>
      <c r="OF103" s="12">
        <f>OF$4 * IF(AND(OE$4=1,NX$20=1), OK103, OI103)</f>
        <v>0</v>
      </c>
      <c r="OH103" t="s">
        <v>1304</v>
      </c>
      <c r="OI103">
        <f>_xlfn.XLOOKUP(OH103,'KPI Impacts'!$B$2:$H$2,'KPI Impacts'!$B103:$H103)</f>
        <v>0</v>
      </c>
      <c r="OJ103" s="9" t="s">
        <v>1304</v>
      </c>
      <c r="OK103">
        <f>_xlfn.XLOOKUP(OJ103,'KPI Impacts'!$B$2:$H$2,'KPI Impacts'!$B103:$H103)</f>
        <v>0</v>
      </c>
    </row>
    <row r="104" spans="1:499" x14ac:dyDescent="0.2">
      <c r="A104" t="s">
        <v>1296</v>
      </c>
      <c r="B104" s="12">
        <f t="shared" si="520"/>
        <v>0</v>
      </c>
      <c r="C104" s="12">
        <f t="shared" si="520"/>
        <v>0</v>
      </c>
      <c r="D104" s="12">
        <f t="shared" si="520"/>
        <v>0</v>
      </c>
      <c r="E104" s="12">
        <f t="shared" si="520"/>
        <v>0</v>
      </c>
      <c r="F104" s="12">
        <f t="shared" si="520"/>
        <v>0</v>
      </c>
      <c r="G104" s="12">
        <f t="shared" si="520"/>
        <v>0</v>
      </c>
      <c r="H104" s="12">
        <f t="shared" si="520"/>
        <v>0</v>
      </c>
      <c r="I104" s="12">
        <f t="shared" si="520"/>
        <v>0</v>
      </c>
      <c r="J104" s="12">
        <f t="shared" si="520"/>
        <v>0</v>
      </c>
      <c r="P104" s="12" cm="1">
        <f t="array" ref="P104">_xlfn.SWITCH(P$4, 0,0, 1, AA104,2,AC104,3,AE104,0)</f>
        <v>0</v>
      </c>
      <c r="Q104" s="12" cm="1">
        <f t="array" ref="Q104">_xlfn.SWITCH(Q$4, 0,0, 1, AA104,2,AC104,3,AE104,0)+P104</f>
        <v>0</v>
      </c>
      <c r="R104" s="12" cm="1">
        <f t="array" ref="R104">_xlfn.SWITCH(R$4, 0,0, 1, AA104,2,AC104,3,AE104,0)+Q104</f>
        <v>0</v>
      </c>
      <c r="S104" s="12" cm="1">
        <f t="array" ref="S104">_xlfn.SWITCH(S$4, 0,0, 1, AA104,2,AC104,3,AE104,0)+R104</f>
        <v>0</v>
      </c>
      <c r="T104" s="12" cm="1">
        <f t="array" ref="T104">_xlfn.SWITCH(T$4, 0,0, 1, AA104,2,AC104,3,AE104,0)+S104</f>
        <v>0</v>
      </c>
      <c r="U104" s="12" cm="1">
        <f t="array" ref="U104">_xlfn.SWITCH(U$4, 0,0, 1, AA104,2,AC104,3,AE104,0)+T104</f>
        <v>0</v>
      </c>
      <c r="V104" s="12" cm="1">
        <f t="array" ref="V104">_xlfn.SWITCH(V$4, 0,0, 1, AA104,2,AC104,3,AE104,0)+U104</f>
        <v>0</v>
      </c>
      <c r="W104" s="12" cm="1">
        <f t="array" ref="W104">_xlfn.SWITCH(W$4, 0,0, 1, AA104,2,AC104,3,AE104,0)+V104</f>
        <v>0</v>
      </c>
      <c r="X104" s="12" cm="1">
        <f t="array" ref="X104">_xlfn.SWITCH(X$4, 0,0, 1, AA104,2,AC104,3,AE104,0)+W104</f>
        <v>0</v>
      </c>
      <c r="Z104" t="s">
        <v>1308</v>
      </c>
      <c r="AA104">
        <f>_xlfn.XLOOKUP(Z104,'KPI Impacts'!$K$2:$Q$2,'KPI Impacts'!$K104:$Q104)</f>
        <v>0.6</v>
      </c>
      <c r="AB104" t="s">
        <v>1310</v>
      </c>
      <c r="AC104">
        <f>_xlfn.XLOOKUP(AB104,'KPI Impacts'!$K$2:$Q$2,'KPI Impacts'!$K104:$Q104)</f>
        <v>1.2</v>
      </c>
      <c r="AD104" t="s">
        <v>1309</v>
      </c>
      <c r="AE104">
        <f>_xlfn.XLOOKUP(AD104,'KPI Impacts'!$K$2:$Q$2,'KPI Impacts'!$K104:$Q104)</f>
        <v>2.4</v>
      </c>
      <c r="AH104" s="12" cm="1">
        <f t="array" ref="AH104">_xlfn.SWITCH(AH$4, 0,0, 1, AS104,2,AU104,3,AW104,0)</f>
        <v>0</v>
      </c>
      <c r="AI104" s="12" cm="1">
        <f t="array" ref="AI104">_xlfn.SWITCH(AI$4, 0,0, 1, AS104,2,AU104,3,AW104,0)+AH104</f>
        <v>0</v>
      </c>
      <c r="AJ104" s="12" cm="1">
        <f t="array" ref="AJ104">_xlfn.SWITCH(AJ$4, 0,0, 1, AS104,2,AU104,3,AW104,0)+AI104</f>
        <v>0</v>
      </c>
      <c r="AK104" s="12" cm="1">
        <f t="array" ref="AK104">_xlfn.SWITCH(AK$4, 0,0, 1, AS104,2,AU104,3,AW104,0)+AJ104</f>
        <v>0</v>
      </c>
      <c r="AL104" s="12" cm="1">
        <f t="array" ref="AL104">_xlfn.SWITCH(AL$4, 0,0, 1, AS104,2,AU104,3,AW104,0)+AK104</f>
        <v>0</v>
      </c>
      <c r="AM104" s="12" cm="1">
        <f t="array" ref="AM104">_xlfn.SWITCH(AM$4, 0,0, 1, AS104,2,AU104,3,AW104,0)+AL104</f>
        <v>0</v>
      </c>
      <c r="AN104" s="12" cm="1">
        <f t="array" ref="AN104">_xlfn.SWITCH(AN$4, 0,0, 1, AS104,2,AU104,3,AW104,0)+AM104</f>
        <v>0</v>
      </c>
      <c r="AO104" s="12" cm="1">
        <f t="array" ref="AO104">_xlfn.SWITCH(AO$4, 0,0, 1, AS104,2,AU104,3,AW104,0)+AN104</f>
        <v>0</v>
      </c>
      <c r="AP104" s="12" cm="1">
        <f t="array" ref="AP104">_xlfn.SWITCH(AP$4, 0,0, 1, AS104,2,AU104,3,AW104,0)+AO104</f>
        <v>0</v>
      </c>
      <c r="AR104" t="s">
        <v>1308</v>
      </c>
      <c r="AS104">
        <f>_xlfn.XLOOKUP(AR104,'KPI Impacts'!$K$2:$Q$2,'KPI Impacts'!$K104:$Q104)</f>
        <v>0.6</v>
      </c>
      <c r="AT104" t="s">
        <v>1310</v>
      </c>
      <c r="AU104">
        <f>_xlfn.XLOOKUP(AT104,'KPI Impacts'!$K$2:$Q$2,'KPI Impacts'!$K104:$Q104)</f>
        <v>1.2</v>
      </c>
      <c r="AV104" t="s">
        <v>1309</v>
      </c>
      <c r="AW104">
        <f>_xlfn.XLOOKUP(AV104,'KPI Impacts'!$K$2:$Q$2,'KPI Impacts'!$K104:$Q104)</f>
        <v>2.4</v>
      </c>
      <c r="AZ104" s="12">
        <f>AZ$4*BK104</f>
        <v>0</v>
      </c>
      <c r="BA104" s="12">
        <f>BA$4 * IF(AND(AZ$4=1,AZ$20=1), BM104, BK104)</f>
        <v>0</v>
      </c>
      <c r="BB104" s="12">
        <f>BB$4 * IF(AND(BA$4=1,AZ$20=1), BM104, BK104)</f>
        <v>0</v>
      </c>
      <c r="BC104" s="12">
        <f>BC$4 * IF(AND(BB$4=1,AZ$20=1), BM104, BK104)</f>
        <v>0</v>
      </c>
      <c r="BD104" s="12">
        <f>BD$4 * IF(AND(BC$4=1,AZ$20=1), BM104, BK104)</f>
        <v>0</v>
      </c>
      <c r="BE104" s="12">
        <f>BE$4 * IF(AND(BD$4=1,AZ$20=1), BM104, BK104)</f>
        <v>0</v>
      </c>
      <c r="BF104" s="12">
        <f>BF$4 * IF(AND(BE$4=1,AZ$20=1), BM104, BK104)</f>
        <v>0</v>
      </c>
      <c r="BG104" s="12">
        <f>BG$4 * IF(AND(BF$4=1,AZ$20=1), BM104, BK104)</f>
        <v>0</v>
      </c>
      <c r="BH104" s="12">
        <f>BH$4 * IF(AND(BG$4=1,AZ$20=1), BM104, BK104)</f>
        <v>0</v>
      </c>
      <c r="BJ104" s="30" t="s">
        <v>1308</v>
      </c>
      <c r="BK104">
        <f>_xlfn.XLOOKUP(BJ104,'KPI Impacts'!$B$2:$H$2,'KPI Impacts'!$B104:$H104)</f>
        <v>2</v>
      </c>
      <c r="BL104" s="35" t="s">
        <v>1304</v>
      </c>
      <c r="BM104">
        <f>_xlfn.XLOOKUP(BL104,'KPI Impacts'!$B$2:$H$2,'KPI Impacts'!$B104:$H104)</f>
        <v>0</v>
      </c>
      <c r="BP104" s="12">
        <f>BP$4*CA104</f>
        <v>0</v>
      </c>
      <c r="BQ104" s="12">
        <f>BQ$4 * IF(AND(BP$4=1,BP$20=1), CC104, CA104)</f>
        <v>0</v>
      </c>
      <c r="BR104" s="12">
        <f>BR$4 * IF(AND(BQ$4=1,BP$20=1), CC104, CA104)</f>
        <v>0</v>
      </c>
      <c r="BS104" s="12">
        <f>BS$4 * IF(AND(BR$4=1,BP$20=1), CC104, CA104)</f>
        <v>0</v>
      </c>
      <c r="BT104" s="12">
        <f>BT$4 * IF(AND(BS$4=1,BP$20=1), CC104, CA104)</f>
        <v>0</v>
      </c>
      <c r="BU104" s="12">
        <f>BU$4 * IF(AND(BT$4=1,BP$20=1), CC104, CA104)</f>
        <v>0</v>
      </c>
      <c r="BV104" s="12">
        <f>BV$4 * IF(AND(BU$4=1,BP$20=1), CC104, CA104)</f>
        <v>0</v>
      </c>
      <c r="BW104" s="12">
        <f>BW$4 * IF(AND(BV$4=1,BP$20=1), CC104, CA104)</f>
        <v>0</v>
      </c>
      <c r="BX104" s="12">
        <f>BX$4 * IF(AND(BW$4=1,BP$20=1), CC104, CA104)</f>
        <v>0</v>
      </c>
      <c r="BZ104" s="30" t="s">
        <v>1310</v>
      </c>
      <c r="CA104">
        <f>_xlfn.XLOOKUP(BZ104,'KPI Impacts'!$B$2:$H$2,'KPI Impacts'!$B104:$H104)</f>
        <v>4</v>
      </c>
      <c r="CB104" s="35" t="s">
        <v>1304</v>
      </c>
      <c r="CC104">
        <f>_xlfn.XLOOKUP(CB104,'KPI Impacts'!$B$2:$H$2,'KPI Impacts'!$B104:$H104)</f>
        <v>0</v>
      </c>
      <c r="CF104" s="12">
        <f>CF$4*CQ104</f>
        <v>0</v>
      </c>
      <c r="CG104" s="12">
        <f>CG$4 * IF(AND(CF$4=1,CF$20=1), CS104, CQ104)</f>
        <v>0</v>
      </c>
      <c r="CH104" s="12">
        <f>CH$4 * IF(AND(CG$4=1,CF$20=1), CS104, CQ104)</f>
        <v>0</v>
      </c>
      <c r="CI104" s="12">
        <f>CI$4 * IF(AND(CH$4=1,CF$20=1), CS104, CQ104)</f>
        <v>0</v>
      </c>
      <c r="CJ104" s="12">
        <f>CJ$4 * IF(AND(CI$4=1,CF$20=1), CS104, CQ104)</f>
        <v>0</v>
      </c>
      <c r="CK104" s="12">
        <f>CK$4 * IF(AND(CJ$4=1,CF$20=1), CS104, CQ104)</f>
        <v>0</v>
      </c>
      <c r="CL104" s="12">
        <f>CL$4 * IF(AND(CK$4=1,CF$20=1), CS104, CQ104)</f>
        <v>0</v>
      </c>
      <c r="CM104" s="12">
        <f>CM$4 * IF(AND(CL$4=1,CF$20=1), CS104, CQ104)</f>
        <v>0</v>
      </c>
      <c r="CN104" s="12">
        <f>CN$4 * IF(AND(CM$4=1,CF$20=1), CS104, CQ104)</f>
        <v>0</v>
      </c>
      <c r="CP104" s="30" t="s">
        <v>1310</v>
      </c>
      <c r="CQ104">
        <f>_xlfn.XLOOKUP(CP104,'KPI Impacts'!$B$2:$H$2,'KPI Impacts'!$B104:$H104)</f>
        <v>4</v>
      </c>
      <c r="CR104" s="35" t="s">
        <v>1304</v>
      </c>
      <c r="CS104">
        <f>_xlfn.XLOOKUP(CR104,'KPI Impacts'!$B$2:$H$2,'KPI Impacts'!$B104:$H104)</f>
        <v>0</v>
      </c>
      <c r="CV104" s="12">
        <f>CV$4*DG104</f>
        <v>0</v>
      </c>
      <c r="CW104" s="12">
        <f>CW$4 * IF(AND(CV$4=1,CV$20=1), DI104, DG104)</f>
        <v>0</v>
      </c>
      <c r="CX104" s="12">
        <f>CX$4 * IF(AND(CW$4=1,CV$20=1), DI104, DG104)</f>
        <v>0</v>
      </c>
      <c r="CY104" s="12">
        <f>CY$4 * IF(AND(CX$4=1,CV$20=1), DI104, DG104)</f>
        <v>0</v>
      </c>
      <c r="CZ104" s="12">
        <f>CZ$4 * IF(AND(CY$4=1,CV$20=1), DI104, DG104)</f>
        <v>0</v>
      </c>
      <c r="DA104" s="12">
        <f>DA$4 * IF(AND(CZ$4=1,CV$20=1), DI104, DG104)</f>
        <v>0</v>
      </c>
      <c r="DB104" s="12">
        <f>DB$4 * IF(AND(DA$4=1,CV$20=1), DI104, DG104)</f>
        <v>0</v>
      </c>
      <c r="DC104" s="12">
        <f>DC$4 * IF(AND(DB$4=1,CV$20=1), DI104, DG104)</f>
        <v>0</v>
      </c>
      <c r="DD104" s="12">
        <f>DD$4 * IF(AND(DC$4=1,CV$20=1), DI104, DG104)</f>
        <v>0</v>
      </c>
      <c r="DF104" s="30" t="s">
        <v>1310</v>
      </c>
      <c r="DG104">
        <f>_xlfn.XLOOKUP(DF104,'KPI Impacts'!$B$2:$H$2,'KPI Impacts'!$B104:$H104)</f>
        <v>4</v>
      </c>
      <c r="DH104" s="35" t="s">
        <v>1304</v>
      </c>
      <c r="DI104">
        <f>_xlfn.XLOOKUP(DH104,'KPI Impacts'!$B$2:$H$2,'KPI Impacts'!$B104:$H104)</f>
        <v>0</v>
      </c>
      <c r="DL104" s="12">
        <f>DL$4*DW104</f>
        <v>0</v>
      </c>
      <c r="DM104" s="12">
        <f>DM$4 * IF(AND(DL$4=1,DL$20=1), DY104, DW104)</f>
        <v>0</v>
      </c>
      <c r="DN104" s="12">
        <f>DN$4 * IF(AND(DM$4=1,DL$20=1), DY104, DW104)</f>
        <v>0</v>
      </c>
      <c r="DO104" s="12">
        <f>DO$4 * IF(AND(DN$4=1,DL$20=1), DY104, DW104)</f>
        <v>0</v>
      </c>
      <c r="DP104" s="12">
        <f>DP$4 * IF(AND(DO$4=1,DL$20=1), DY104, DW104)</f>
        <v>0</v>
      </c>
      <c r="DQ104" s="12">
        <f>DQ$4 * IF(AND(DP$4=1,DL$20=1), DY104, DW104)</f>
        <v>0</v>
      </c>
      <c r="DR104" s="12">
        <f>DR$4 * IF(AND(DQ$4=1,DL$20=1), DY104, DW104)</f>
        <v>0</v>
      </c>
      <c r="DS104" s="12">
        <f>DS$4 * IF(AND(DR$4=1,DL$20=1), DY104, DW104)</f>
        <v>0</v>
      </c>
      <c r="DT104" s="12">
        <f>DT$4 * IF(AND(DS$4=1,DL$20=1), DY104, DW104)</f>
        <v>0</v>
      </c>
      <c r="DV104" s="30" t="s">
        <v>1308</v>
      </c>
      <c r="DW104">
        <f>_xlfn.XLOOKUP(DV104,'KPI Impacts'!$B$2:$H$2,'KPI Impacts'!$B104:$H104)</f>
        <v>2</v>
      </c>
      <c r="DX104" s="35" t="s">
        <v>1304</v>
      </c>
      <c r="DY104">
        <f>_xlfn.XLOOKUP(DX104,'KPI Impacts'!$B$2:$H$2,'KPI Impacts'!$B104:$H104)</f>
        <v>0</v>
      </c>
      <c r="EB104" s="12">
        <f>EB$4*EM104</f>
        <v>0</v>
      </c>
      <c r="EC104" s="12">
        <f>EC$4 * IF(AND(EB$4=1,EB$20=1), EO104, EM104)</f>
        <v>0</v>
      </c>
      <c r="ED104" s="12">
        <f>ED$4 * IF(AND(EC$4=1,EB$20=1), EO104, EM104)</f>
        <v>0</v>
      </c>
      <c r="EE104" s="12">
        <f>EE$4 * IF(AND(ED$4=1,EB$20=1), EO104, EM104)</f>
        <v>0</v>
      </c>
      <c r="EF104" s="12">
        <f>EF$4 * IF(AND(EE$4=1,EB$20=1), EO104, EM104)</f>
        <v>0</v>
      </c>
      <c r="EG104" s="12">
        <f>EG$4 * IF(AND(EF$4=1,EB$20=1), EO104, EM104)</f>
        <v>0</v>
      </c>
      <c r="EH104" s="12">
        <f>EH$4 * IF(AND(EG$4=1,EB$20=1), EO104, EM104)</f>
        <v>0</v>
      </c>
      <c r="EI104" s="12">
        <f>EI$4 * IF(AND(EH$4=1,EB$20=1), EO104, EM104)</f>
        <v>0</v>
      </c>
      <c r="EJ104" s="12">
        <f>EJ$4 * IF(AND(EI$4=1,EB$20=1), EO104, EM104)</f>
        <v>0</v>
      </c>
      <c r="EL104" s="16" t="s">
        <v>1304</v>
      </c>
      <c r="EM104">
        <f>_xlfn.XLOOKUP(EL104,'KPI Impacts'!$B$2:$H$2,'KPI Impacts'!$B104:$H104)</f>
        <v>0</v>
      </c>
      <c r="EN104" s="35" t="s">
        <v>1304</v>
      </c>
      <c r="EO104">
        <f>_xlfn.XLOOKUP(EN104,'KPI Impacts'!$B$2:$H$2,'KPI Impacts'!$B104:$H104)</f>
        <v>0</v>
      </c>
      <c r="ER104" s="12">
        <f>ER$4*FC104</f>
        <v>0</v>
      </c>
      <c r="ES104" s="12">
        <f>ES$4 * IF(AND(ER$4=1,ER$20=1), FE104, FC104)</f>
        <v>0</v>
      </c>
      <c r="ET104" s="12">
        <f>ET$4 * IF(AND(ES$4=1,ER$20=1), FE104, FC104)</f>
        <v>0</v>
      </c>
      <c r="EU104" s="12">
        <f>EU$4 * IF(AND(ET$4=1,ER$20=1), FE104, FC104)</f>
        <v>0</v>
      </c>
      <c r="EV104" s="12">
        <f>EV$4 * IF(AND(EU$4=1,ER$20=1), FE104, FC104)</f>
        <v>0</v>
      </c>
      <c r="EW104" s="12">
        <f>EW$4 * IF(AND(EV$4=1,ER$20=1), FE104, FC104)</f>
        <v>0</v>
      </c>
      <c r="EX104" s="12">
        <f>EX$4 * IF(AND(EW$4=1,ER$20=1), FE104, FC104)</f>
        <v>0</v>
      </c>
      <c r="EY104" s="12">
        <f>EY$4 * IF(AND(EX$4=1,ER$20=1), FE104, FC104)</f>
        <v>0</v>
      </c>
      <c r="EZ104" s="12">
        <f>EZ$4 * IF(AND(EY$4=1,ER$20=1), FE104, FC104)</f>
        <v>0</v>
      </c>
      <c r="FB104" s="30" t="s">
        <v>1308</v>
      </c>
      <c r="FC104">
        <f>_xlfn.XLOOKUP(FB104,'KPI Impacts'!$B$2:$H$2,'KPI Impacts'!$B104:$H104)</f>
        <v>2</v>
      </c>
      <c r="FD104" s="35" t="s">
        <v>1304</v>
      </c>
      <c r="FE104">
        <f>_xlfn.XLOOKUP(FD104,'KPI Impacts'!$B$2:$H$2,'KPI Impacts'!$B104:$H104)</f>
        <v>0</v>
      </c>
      <c r="FH104" s="12">
        <f>FH$4*FS104</f>
        <v>0</v>
      </c>
      <c r="FI104" s="12">
        <f>FI$4 * IF(AND(FH$4=1,FH$20=1), FU104, FS104)</f>
        <v>0</v>
      </c>
      <c r="FJ104" s="12">
        <f>FJ$4 * IF(AND(FI$4=1,FH$20=1), FU104, FS104)</f>
        <v>0</v>
      </c>
      <c r="FK104" s="12">
        <f>FK$4 * IF(AND(FJ$4=1,FH$20=1), FU104, FS104)</f>
        <v>0</v>
      </c>
      <c r="FL104" s="12">
        <f>FL$4 * IF(AND(FK$4=1,FH$20=1), FU104, FS104)</f>
        <v>0</v>
      </c>
      <c r="FM104" s="12">
        <f>FM$4 * IF(AND(FL$4=1,FH$20=1), FU104, FS104)</f>
        <v>0</v>
      </c>
      <c r="FN104" s="12">
        <f>FN$4 * IF(AND(FM$4=1,FH$20=1), FU104, FS104)</f>
        <v>0</v>
      </c>
      <c r="FO104" s="12">
        <f>FO$4 * IF(AND(FN$4=1,FH$20=1), FU104, FS104)</f>
        <v>0</v>
      </c>
      <c r="FP104" s="12">
        <f>FP$4 * IF(AND(FO$4=1,FH$20=1), FU104, FS104)</f>
        <v>0</v>
      </c>
      <c r="FR104" s="16" t="s">
        <v>1304</v>
      </c>
      <c r="FS104">
        <f>_xlfn.XLOOKUP(FR104,'KPI Impacts'!$B$2:$H$2,'KPI Impacts'!$B104:$H104)</f>
        <v>0</v>
      </c>
      <c r="FT104" s="9" t="s">
        <v>1304</v>
      </c>
      <c r="FU104">
        <f>_xlfn.XLOOKUP(FT104,'KPI Impacts'!$B$2:$H$2,'KPI Impacts'!$B104:$H104)</f>
        <v>0</v>
      </c>
      <c r="FX104" s="12">
        <f>FX$4*GI104</f>
        <v>0</v>
      </c>
      <c r="FY104" s="12">
        <f>FY$4 * IF(AND(FX$4=1,FX$20=1), GK104, GI104)</f>
        <v>0</v>
      </c>
      <c r="FZ104" s="12">
        <f>FZ$4 * IF(AND(FY$4=1,FX$20=1), GK104, GI104)</f>
        <v>0</v>
      </c>
      <c r="GA104" s="12">
        <f>GA$4 * IF(AND(FZ$4=1,FX$20=1), GK104, GI104)</f>
        <v>0</v>
      </c>
      <c r="GB104" s="12">
        <f>GB$4 * IF(AND(GA$4=1,FX$20=1), GK104, GI104)</f>
        <v>0</v>
      </c>
      <c r="GC104" s="12">
        <f>GC$4 * IF(AND(GB$4=1,FX$20=1), GK104, GI104)</f>
        <v>0</v>
      </c>
      <c r="GD104" s="12">
        <f>GD$4 * IF(AND(GC$4=1,FX$20=1), GK104, GI104)</f>
        <v>0</v>
      </c>
      <c r="GE104" s="12">
        <f>GE$4 * IF(AND(GD$4=1,FX$20=1), GK104, GI104)</f>
        <v>0</v>
      </c>
      <c r="GF104" s="12">
        <f>GF$4 * IF(AND(GE$4=1,FX$20=1), GK104, GI104)</f>
        <v>0</v>
      </c>
      <c r="GH104" s="16" t="s">
        <v>1304</v>
      </c>
      <c r="GI104">
        <f>_xlfn.XLOOKUP(GH104,'KPI Impacts'!$B$2:$H$2,'KPI Impacts'!$B104:$H104)</f>
        <v>0</v>
      </c>
      <c r="GJ104" s="9" t="s">
        <v>1304</v>
      </c>
      <c r="GK104">
        <f>_xlfn.XLOOKUP(GJ104,'KPI Impacts'!$B$2:$H$2,'KPI Impacts'!$B104:$H104)</f>
        <v>0</v>
      </c>
      <c r="GN104" s="12">
        <f>GN$4*GY104</f>
        <v>0</v>
      </c>
      <c r="GO104" s="12">
        <f>GO$4 * IF(AND(GN$4=1,GN$20=1), HA104, GY104)</f>
        <v>0</v>
      </c>
      <c r="GP104" s="12">
        <f>GP$4 * IF(AND(GO$4=1,GN$20=1), HA104, GY104)</f>
        <v>0</v>
      </c>
      <c r="GQ104" s="12">
        <f>GQ$4 * IF(AND(GP$4=1,GN$20=1), HA104, GY104)</f>
        <v>0</v>
      </c>
      <c r="GR104" s="12">
        <f>GR$4 * IF(AND(GQ$4=1,GN$20=1), HA104, GY104)</f>
        <v>0</v>
      </c>
      <c r="GS104" s="12">
        <f>GS$4 * IF(AND(GR$4=1,GN$20=1), HA104, GY104)</f>
        <v>0</v>
      </c>
      <c r="GT104" s="12">
        <f>GT$4 * IF(AND(GS$4=1,GN$20=1), HA104, GY104)</f>
        <v>0</v>
      </c>
      <c r="GU104" s="12">
        <f>GU$4 * IF(AND(GT$4=1,GN$20=1), HA104, GY104)</f>
        <v>0</v>
      </c>
      <c r="GV104" s="12">
        <f>GV$4 * IF(AND(GU$4=1,GN$20=1), HA104, GY104)</f>
        <v>0</v>
      </c>
      <c r="GX104" s="30" t="s">
        <v>1310</v>
      </c>
      <c r="GY104">
        <f>_xlfn.XLOOKUP(GX104,'KPI Impacts'!$B$2:$H$2,'KPI Impacts'!$B104:$H104)</f>
        <v>4</v>
      </c>
      <c r="GZ104" s="9" t="s">
        <v>1304</v>
      </c>
      <c r="HA104">
        <f>_xlfn.XLOOKUP(GZ104,'KPI Impacts'!$B$2:$H$2,'KPI Impacts'!$B104:$H104)</f>
        <v>0</v>
      </c>
      <c r="HD104" s="12">
        <f>HD$4*HO104</f>
        <v>0</v>
      </c>
      <c r="HE104" s="12">
        <f>HE$4 * IF(AND(HD$4=1,HD$20=1), HQ104, HO104)</f>
        <v>0</v>
      </c>
      <c r="HF104" s="12">
        <f>HF$4 * IF(AND(HE$4=1,HD$20=1), HQ104, HO104)</f>
        <v>0</v>
      </c>
      <c r="HG104" s="12">
        <f>HG$4 * IF(AND(HF$4=1,HD$20=1), HQ104, HO104)</f>
        <v>0</v>
      </c>
      <c r="HH104" s="12">
        <f>HH$4 * IF(AND(HG$4=1,HD$20=1), HQ104, HO104)</f>
        <v>0</v>
      </c>
      <c r="HI104" s="12">
        <f>HI$4 * IF(AND(HH$4=1,HD$20=1), HQ104, HO104)</f>
        <v>0</v>
      </c>
      <c r="HJ104" s="12">
        <f>HJ$4 * IF(AND(HI$4=1,HD$20=1), HQ104, HO104)</f>
        <v>0</v>
      </c>
      <c r="HK104" s="12">
        <f>HK$4 * IF(AND(HJ$4=1,HD$20=1), HQ104, HO104)</f>
        <v>0</v>
      </c>
      <c r="HL104" s="12">
        <f>HL$4 * IF(AND(HK$4=1,HD$20=1), HQ104, HO104)</f>
        <v>0</v>
      </c>
      <c r="HN104" t="s">
        <v>1304</v>
      </c>
      <c r="HO104">
        <f>_xlfn.XLOOKUP(HN104,'KPI Impacts'!$B$2:$H$2,'KPI Impacts'!$B104:$H104)</f>
        <v>0</v>
      </c>
      <c r="HP104" s="9" t="s">
        <v>1304</v>
      </c>
      <c r="HQ104">
        <f>_xlfn.XLOOKUP(HP104,'KPI Impacts'!$B$2:$H$2,'KPI Impacts'!$B104:$H104)</f>
        <v>0</v>
      </c>
      <c r="HT104" s="12">
        <f>HT$4*IE104</f>
        <v>0</v>
      </c>
      <c r="HU104" s="12">
        <f>HU$4 * IF(AND(HT$4=1,HT$20=1), IG104, IE104)</f>
        <v>0</v>
      </c>
      <c r="HV104" s="12">
        <f>HV$4 * IF(AND(HU$4=1,HT$20=1), IG104, IE104)</f>
        <v>0</v>
      </c>
      <c r="HW104" s="12">
        <f>HW$4 * IF(AND(HV$4=1,HT$20=1), IG104, IE104)</f>
        <v>0</v>
      </c>
      <c r="HX104" s="12">
        <f>HX$4 * IF(AND(HW$4=1,HT$20=1), IG104, IE104)</f>
        <v>0</v>
      </c>
      <c r="HY104" s="12">
        <f>HY$4 * IF(AND(HX$4=1,HT$20=1), IG104, IE104)</f>
        <v>0</v>
      </c>
      <c r="HZ104" s="12">
        <f>HZ$4 * IF(AND(HY$4=1,HT$20=1), IG104, IE104)</f>
        <v>0</v>
      </c>
      <c r="IA104" s="12">
        <f>IA$4 * IF(AND(HZ$4=1,HT$20=1), IG104, IE104)</f>
        <v>0</v>
      </c>
      <c r="IB104" s="12">
        <f>IB$4 * IF(AND(IA$4=1,HT$20=1), IG104, IE104)</f>
        <v>0</v>
      </c>
      <c r="ID104" t="s">
        <v>1304</v>
      </c>
      <c r="IE104">
        <f>_xlfn.XLOOKUP(ID104,'KPI Impacts'!$B$2:$H$2,'KPI Impacts'!$B104:$H104)</f>
        <v>0</v>
      </c>
      <c r="IF104" s="9" t="s">
        <v>1304</v>
      </c>
      <c r="IG104">
        <f>_xlfn.XLOOKUP(IF104,'KPI Impacts'!$B$2:$H$2,'KPI Impacts'!$B104:$H104)</f>
        <v>0</v>
      </c>
      <c r="IJ104" s="12">
        <f>IJ$4*IU104</f>
        <v>0</v>
      </c>
      <c r="IK104" s="12">
        <f>IK$4 * IF(AND(IJ$4=1,IJ$20=1), IW104, IU104)</f>
        <v>0</v>
      </c>
      <c r="IL104" s="12">
        <f>IL$4 * IF(AND(IK$4=1,IJ$20=1), IW104, IU104)</f>
        <v>0</v>
      </c>
      <c r="IM104" s="12">
        <f>IM$4 * IF(AND(IL$4=1,IJ$20=1), IW104, IU104)</f>
        <v>0</v>
      </c>
      <c r="IN104" s="12">
        <f>IN$4 * IF(AND(IM$4=1,IJ$20=1), IW104, IU104)</f>
        <v>0</v>
      </c>
      <c r="IO104" s="12">
        <f>IO$4 * IF(AND(IN$4=1,IJ$20=1), IW104, IU104)</f>
        <v>0</v>
      </c>
      <c r="IP104" s="12">
        <f>IP$4 * IF(AND(IO$4=1,IJ$20=1), IW104, IU104)</f>
        <v>0</v>
      </c>
      <c r="IQ104" s="12">
        <f>IQ$4 * IF(AND(IP$4=1,IJ$20=1), IW104, IU104)</f>
        <v>0</v>
      </c>
      <c r="IR104" s="12">
        <f>IR$4 * IF(AND(IQ$4=1,IJ$20=1), IW104, IU104)</f>
        <v>0</v>
      </c>
      <c r="IT104" t="s">
        <v>1304</v>
      </c>
      <c r="IU104">
        <f>_xlfn.XLOOKUP(IT104,'KPI Impacts'!$B$2:$H$2,'KPI Impacts'!$B104:$H104)</f>
        <v>0</v>
      </c>
      <c r="IV104" s="9" t="s">
        <v>1304</v>
      </c>
      <c r="IW104">
        <f>_xlfn.XLOOKUP(IV104,'KPI Impacts'!$B$2:$H$2,'KPI Impacts'!$B104:$H104)</f>
        <v>0</v>
      </c>
      <c r="IZ104" s="12">
        <f>IZ$4*JK104</f>
        <v>0</v>
      </c>
      <c r="JA104" s="12">
        <f>JA$4 * IF(AND(IZ$4=1,IZ$20=1), JM104, JK104)</f>
        <v>0</v>
      </c>
      <c r="JB104" s="12">
        <f>JB$4 * IF(AND(JA$4=1,IZ$20=1), JM104, JK104)</f>
        <v>0</v>
      </c>
      <c r="JC104" s="12">
        <f>JC$4 * IF(AND(JB$4=1,IZ$20=1), JM104, JK104)</f>
        <v>0</v>
      </c>
      <c r="JD104" s="12">
        <f>JD$4 * IF(AND(JC$4=1,IZ$20=1), JM104, JK104)</f>
        <v>0</v>
      </c>
      <c r="JE104" s="12">
        <f>JE$4 * IF(AND(JD$4=1,IZ$20=1), JM104, JK104)</f>
        <v>0</v>
      </c>
      <c r="JF104" s="12">
        <f>JF$4 * IF(AND(JE$4=1,IZ$20=1), JM104, JK104)</f>
        <v>0</v>
      </c>
      <c r="JG104" s="12">
        <f>JG$4 * IF(AND(JF$4=1,IZ$20=1), JM104, JK104)</f>
        <v>0</v>
      </c>
      <c r="JH104" s="12">
        <f>JH$4 * IF(AND(JG$4=1,IZ$20=1), JM104, JK104)</f>
        <v>0</v>
      </c>
      <c r="JJ104" t="s">
        <v>1304</v>
      </c>
      <c r="JK104">
        <f>_xlfn.XLOOKUP(JJ104,'KPI Impacts'!$B$2:$H$2,'KPI Impacts'!$B104:$H104)</f>
        <v>0</v>
      </c>
      <c r="JL104" s="9" t="s">
        <v>1304</v>
      </c>
      <c r="JM104">
        <f>_xlfn.XLOOKUP(JL104,'KPI Impacts'!$B$2:$H$2,'KPI Impacts'!$B104:$H104)</f>
        <v>0</v>
      </c>
      <c r="JP104" s="12">
        <f>JP$4*KA104</f>
        <v>0</v>
      </c>
      <c r="JQ104" s="12">
        <f>JQ$4 * IF(AND(JP$4=1,JP$20=1), KC104, KA104)</f>
        <v>0</v>
      </c>
      <c r="JR104" s="12">
        <f>JR$4 * IF(AND(JQ$4=1,JP$20=1), KC104, KA104)</f>
        <v>0</v>
      </c>
      <c r="JS104" s="12">
        <f>JS$4 * IF(AND(JR$4=1,JP$20=1), KC104, KA104)</f>
        <v>0</v>
      </c>
      <c r="JT104" s="12">
        <f>JT$4 * IF(AND(JS$4=1,JP$20=1), KC104, KA104)</f>
        <v>0</v>
      </c>
      <c r="JU104" s="12">
        <f>JU$4 * IF(AND(JT$4=1,JP$20=1), KC104, KA104)</f>
        <v>0</v>
      </c>
      <c r="JV104" s="12">
        <f>JV$4 * IF(AND(JU$4=1,JP$20=1), KC104, KA104)</f>
        <v>0</v>
      </c>
      <c r="JW104" s="12">
        <f>JW$4 * IF(AND(JV$4=1,JP$20=1), KC104, KA104)</f>
        <v>0</v>
      </c>
      <c r="JX104" s="12">
        <f>JX$4 * IF(AND(JW$4=1,JP$20=1), KC104, KA104)</f>
        <v>0</v>
      </c>
      <c r="JZ104" t="s">
        <v>1304</v>
      </c>
      <c r="KA104">
        <f>_xlfn.XLOOKUP(JZ104,'KPI Impacts'!$B$2:$H$2,'KPI Impacts'!$B104:$H104)</f>
        <v>0</v>
      </c>
      <c r="KB104" s="9" t="s">
        <v>1304</v>
      </c>
      <c r="KC104">
        <f>_xlfn.XLOOKUP(KB104,'KPI Impacts'!$B$2:$H$2,'KPI Impacts'!$B104:$H104)</f>
        <v>0</v>
      </c>
      <c r="KF104" s="12">
        <f>KF$4*KQ104</f>
        <v>0</v>
      </c>
      <c r="KG104" s="12">
        <f>KG$4 * IF(AND(KF$4=1,KF$20=1), KS104, KQ104)</f>
        <v>0</v>
      </c>
      <c r="KH104" s="12">
        <f>KH$4 * IF(AND(KG$4=1,KF$20=1), KS104, KQ104)</f>
        <v>0</v>
      </c>
      <c r="KI104" s="12">
        <f>KI$4 * IF(AND(KH$4=1,KF$20=1), KS104, KQ104)</f>
        <v>0</v>
      </c>
      <c r="KJ104" s="12">
        <f>KJ$4 * IF(AND(KI$4=1,KF$20=1), KS104, KQ104)</f>
        <v>0</v>
      </c>
      <c r="KK104" s="12">
        <f>KK$4 * IF(AND(KJ$4=1,KF$20=1), KS104, KQ104)</f>
        <v>0</v>
      </c>
      <c r="KL104" s="12">
        <f>KL$4 * IF(AND(KK$4=1,KF$20=1), KS104, KQ104)</f>
        <v>0</v>
      </c>
      <c r="KM104" s="12">
        <f>KM$4 * IF(AND(KL$4=1,KF$20=1), KS104, KQ104)</f>
        <v>0</v>
      </c>
      <c r="KN104" s="12">
        <f>KN$4 * IF(AND(KM$4=1,KF$20=1), KS104, KQ104)</f>
        <v>0</v>
      </c>
      <c r="KP104" t="s">
        <v>1304</v>
      </c>
      <c r="KQ104">
        <f>_xlfn.XLOOKUP(KP104,'KPI Impacts'!$B$2:$H$2,'KPI Impacts'!$B104:$H104)</f>
        <v>0</v>
      </c>
      <c r="KR104" s="9" t="s">
        <v>1304</v>
      </c>
      <c r="KS104">
        <f>_xlfn.XLOOKUP(KR104,'KPI Impacts'!$B$2:$H$2,'KPI Impacts'!$B104:$H104)</f>
        <v>0</v>
      </c>
      <c r="KV104" s="12">
        <f>KV$4*LG104</f>
        <v>0</v>
      </c>
      <c r="KW104" s="12">
        <f>KW$4 * IF(AND(KV$4=1,KV$20=1), LI104, LG104)</f>
        <v>0</v>
      </c>
      <c r="KX104" s="12">
        <f>KX$4 * IF(AND(KW$4=1,KV$20=1), LI104, LG104)</f>
        <v>0</v>
      </c>
      <c r="KY104" s="12">
        <f>KY$4 * IF(AND(KX$4=1,KV$20=1), LI104, LG104)</f>
        <v>0</v>
      </c>
      <c r="KZ104" s="12">
        <f>KZ$4 * IF(AND(KY$4=1,KV$20=1), LI104, LG104)</f>
        <v>0</v>
      </c>
      <c r="LA104" s="12">
        <f>LA$4 * IF(AND(KZ$4=1,KV$20=1), LI104, LG104)</f>
        <v>0</v>
      </c>
      <c r="LB104" s="12">
        <f>LB$4 * IF(AND(LA$4=1,KV$20=1), LI104, LG104)</f>
        <v>0</v>
      </c>
      <c r="LC104" s="12">
        <f>LC$4 * IF(AND(LB$4=1,KV$20=1), LI104, LG104)</f>
        <v>0</v>
      </c>
      <c r="LD104" s="12">
        <f>LD$4 * IF(AND(LC$4=1,KV$20=1), LI104, LG104)</f>
        <v>0</v>
      </c>
      <c r="LF104" t="s">
        <v>1304</v>
      </c>
      <c r="LG104">
        <f>_xlfn.XLOOKUP(LF104,'KPI Impacts'!$B$2:$H$2,'KPI Impacts'!$B104:$H104)</f>
        <v>0</v>
      </c>
      <c r="LH104" s="9" t="s">
        <v>1304</v>
      </c>
      <c r="LI104">
        <f>_xlfn.XLOOKUP(LH104,'KPI Impacts'!$B$2:$H$2,'KPI Impacts'!$B104:$H104)</f>
        <v>0</v>
      </c>
      <c r="LL104" s="12">
        <f>LL$4*LW104</f>
        <v>0</v>
      </c>
      <c r="LM104" s="12">
        <f>LM$4 * IF(AND(LL$4=1,LL$20=1), LY104, LW104)</f>
        <v>0</v>
      </c>
      <c r="LN104" s="12">
        <f>LN$4 * IF(AND(LM$4=1,LL$20=1), LY104, LW104)</f>
        <v>0</v>
      </c>
      <c r="LO104" s="12">
        <f>LO$4 * IF(AND(LN$4=1,LL$20=1), LY104, LW104)</f>
        <v>0</v>
      </c>
      <c r="LP104" s="12">
        <f>LP$4 * IF(AND(LO$4=1,LL$20=1), LY104, LW104)</f>
        <v>0</v>
      </c>
      <c r="LQ104" s="12">
        <f>LQ$4 * IF(AND(LP$4=1,LL$20=1), LY104, LW104)</f>
        <v>0</v>
      </c>
      <c r="LR104" s="12">
        <f>LR$4 * IF(AND(LQ$4=1,LL$20=1), LY104, LW104)</f>
        <v>0</v>
      </c>
      <c r="LS104" s="12">
        <f>LS$4 * IF(AND(LR$4=1,LL$20=1), LY104, LW104)</f>
        <v>0</v>
      </c>
      <c r="LT104" s="12">
        <f>LT$4 * IF(AND(LS$4=1,LL$20=1), LY104, LW104)</f>
        <v>0</v>
      </c>
      <c r="LV104" t="s">
        <v>1304</v>
      </c>
      <c r="LW104">
        <f>_xlfn.XLOOKUP(LV104,'KPI Impacts'!$B$2:$H$2,'KPI Impacts'!$B104:$H104)</f>
        <v>0</v>
      </c>
      <c r="LX104" s="9" t="s">
        <v>1304</v>
      </c>
      <c r="LY104">
        <f>_xlfn.XLOOKUP(LX104,'KPI Impacts'!$B$2:$H$2,'KPI Impacts'!$B104:$H104)</f>
        <v>0</v>
      </c>
      <c r="MB104" s="12">
        <f>MB$4*MM104</f>
        <v>0</v>
      </c>
      <c r="MC104" s="12">
        <f>MC$4 * IF(AND(MB$4=1,MB$20=1), MO104, MM104)</f>
        <v>0</v>
      </c>
      <c r="MD104" s="12">
        <f>MD$4 * IF(AND(MC$4=1,MB$20=1), MO104, MM104)</f>
        <v>0</v>
      </c>
      <c r="ME104" s="12">
        <f>ME$4 * IF(AND(MD$4=1,MB$20=1), MO104, MM104)</f>
        <v>0</v>
      </c>
      <c r="MF104" s="12">
        <f>MF$4 * IF(AND(ME$4=1,MB$20=1), MO104, MM104)</f>
        <v>0</v>
      </c>
      <c r="MG104" s="12">
        <f>MG$4 * IF(AND(MF$4=1,MB$20=1), MO104, MM104)</f>
        <v>0</v>
      </c>
      <c r="MH104" s="12">
        <f>MH$4 * IF(AND(MG$4=1,MB$20=1), MO104, MM104)</f>
        <v>0</v>
      </c>
      <c r="MI104" s="12">
        <f>MI$4 * IF(AND(MH$4=1,MB$20=1), MO104, MM104)</f>
        <v>0</v>
      </c>
      <c r="MJ104" s="12">
        <f>MJ$4 * IF(AND(MI$4=1,MB$20=1), MO104, MM104)</f>
        <v>0</v>
      </c>
      <c r="ML104" t="s">
        <v>1304</v>
      </c>
      <c r="MM104">
        <f>_xlfn.XLOOKUP(ML104,'KPI Impacts'!$B$2:$H$2,'KPI Impacts'!$B104:$H104)</f>
        <v>0</v>
      </c>
      <c r="MN104" s="9" t="s">
        <v>1304</v>
      </c>
      <c r="MO104">
        <f>_xlfn.XLOOKUP(MN104,'KPI Impacts'!$B$2:$H$2,'KPI Impacts'!$B104:$H104)</f>
        <v>0</v>
      </c>
      <c r="MR104" s="12">
        <f>MR$4*NC104</f>
        <v>0</v>
      </c>
      <c r="MS104" s="12">
        <f>MS$4 * IF(AND(MR$4=1,MR$20=1), NE104, NC104)</f>
        <v>0</v>
      </c>
      <c r="MT104" s="12">
        <f>MT$4 * IF(AND(MS$4=1,MR$20=1), NE104, NC104)</f>
        <v>0</v>
      </c>
      <c r="MU104" s="12">
        <f>MU$4 * IF(AND(MT$4=1,MR$20=1), NE104, NC104)</f>
        <v>0</v>
      </c>
      <c r="MV104" s="12">
        <f>MV$4 * IF(AND(MU$4=1,MR$20=1), NE104, NC104)</f>
        <v>0</v>
      </c>
      <c r="MW104" s="12">
        <f>MW$4 * IF(AND(MV$4=1,MR$20=1), NE104, NC104)</f>
        <v>0</v>
      </c>
      <c r="MX104" s="12">
        <f>MX$4 * IF(AND(MW$4=1,MR$20=1), NE104, NC104)</f>
        <v>0</v>
      </c>
      <c r="MY104" s="12">
        <f>MY$4 * IF(AND(MX$4=1,MR$20=1), NE104, NC104)</f>
        <v>0</v>
      </c>
      <c r="MZ104" s="12">
        <f>MZ$4 * IF(AND(MY$4=1,MR$20=1), NE104, NC104)</f>
        <v>0</v>
      </c>
      <c r="NB104" t="s">
        <v>1304</v>
      </c>
      <c r="NC104">
        <f>_xlfn.XLOOKUP(NB104,'KPI Impacts'!$B$2:$H$2,'KPI Impacts'!$B104:$H104)</f>
        <v>0</v>
      </c>
      <c r="ND104" s="9" t="s">
        <v>1304</v>
      </c>
      <c r="NE104">
        <f>_xlfn.XLOOKUP(ND104,'KPI Impacts'!$B$2:$H$2,'KPI Impacts'!$B104:$H104)</f>
        <v>0</v>
      </c>
      <c r="NH104" s="12">
        <f>NH$4*NS104</f>
        <v>0</v>
      </c>
      <c r="NI104" s="12">
        <f>NI$4 * IF(AND(NH$4=1,NH$20=1), NU104, NS104)</f>
        <v>0</v>
      </c>
      <c r="NJ104" s="12">
        <f>NJ$4 * IF(AND(NI$4=1,NH$20=1), NU104, NS104)</f>
        <v>0</v>
      </c>
      <c r="NK104" s="12">
        <f>NK$4 * IF(AND(NJ$4=1,NH$20=1), NU104, NS104)</f>
        <v>0</v>
      </c>
      <c r="NL104" s="12">
        <f>NL$4 * IF(AND(NK$4=1,NH$20=1), NU104, NS104)</f>
        <v>0</v>
      </c>
      <c r="NM104" s="12">
        <f>NM$4 * IF(AND(NL$4=1,NH$20=1), NU104, NS104)</f>
        <v>0</v>
      </c>
      <c r="NN104" s="12">
        <f>NN$4 * IF(AND(NM$4=1,NH$20=1), NU104, NS104)</f>
        <v>0</v>
      </c>
      <c r="NO104" s="12">
        <f>NO$4 * IF(AND(NN$4=1,NH$20=1), NU104, NS104)</f>
        <v>0</v>
      </c>
      <c r="NP104" s="12">
        <f>NP$4 * IF(AND(NO$4=1,NH$20=1), NU104, NS104)</f>
        <v>0</v>
      </c>
      <c r="NR104" t="s">
        <v>1304</v>
      </c>
      <c r="NS104">
        <f>_xlfn.XLOOKUP(NR104,'KPI Impacts'!$B$2:$H$2,'KPI Impacts'!$B104:$H104)</f>
        <v>0</v>
      </c>
      <c r="NT104" s="9" t="s">
        <v>1304</v>
      </c>
      <c r="NU104">
        <f>_xlfn.XLOOKUP(NT104,'KPI Impacts'!$B$2:$H$2,'KPI Impacts'!$B104:$H104)</f>
        <v>0</v>
      </c>
      <c r="NX104" s="12">
        <f>NX$4*OI104</f>
        <v>0</v>
      </c>
      <c r="NY104" s="12">
        <f>NY$4 * IF(AND(NX$4=1,NX$20=1), OK104, OI104)</f>
        <v>0</v>
      </c>
      <c r="NZ104" s="12">
        <f>NZ$4 * IF(AND(NY$4=1,NX$20=1), OK104, OI104)</f>
        <v>0</v>
      </c>
      <c r="OA104" s="12">
        <f>OA$4 * IF(AND(NZ$4=1,NX$20=1), OK104, OI104)</f>
        <v>0</v>
      </c>
      <c r="OB104" s="12">
        <f>OB$4 * IF(AND(OA$4=1,NX$20=1), OK104, OI104)</f>
        <v>0</v>
      </c>
      <c r="OC104" s="12">
        <f>OC$4 * IF(AND(OB$4=1,NX$20=1), OK104, OI104)</f>
        <v>0</v>
      </c>
      <c r="OD104" s="12">
        <f>OD$4 * IF(AND(OC$4=1,NX$20=1), OK104, OI104)</f>
        <v>0</v>
      </c>
      <c r="OE104" s="12">
        <f>OE$4 * IF(AND(OD$4=1,NX$20=1), OK104, OI104)</f>
        <v>0</v>
      </c>
      <c r="OF104" s="12">
        <f>OF$4 * IF(AND(OE$4=1,NX$20=1), OK104, OI104)</f>
        <v>0</v>
      </c>
      <c r="OH104" t="s">
        <v>1304</v>
      </c>
      <c r="OI104">
        <f>_xlfn.XLOOKUP(OH104,'KPI Impacts'!$B$2:$H$2,'KPI Impacts'!$B104:$H104)</f>
        <v>0</v>
      </c>
      <c r="OJ104" s="9" t="s">
        <v>1304</v>
      </c>
      <c r="OK104">
        <f>_xlfn.XLOOKUP(OJ104,'KPI Impacts'!$B$2:$H$2,'KPI Impacts'!$B104:$H104)</f>
        <v>0</v>
      </c>
    </row>
    <row r="105" spans="1:499" x14ac:dyDescent="0.2">
      <c r="B105" s="6"/>
      <c r="C105" s="6"/>
      <c r="D105" s="6"/>
      <c r="E105" s="6"/>
      <c r="F105" s="6"/>
      <c r="G105" s="6"/>
      <c r="H105" s="6"/>
      <c r="I105" s="6"/>
      <c r="J105" s="6"/>
      <c r="BL105" s="9"/>
      <c r="CB105" s="9"/>
      <c r="CR105" s="9"/>
      <c r="DH105" s="9"/>
      <c r="DX105" s="9"/>
      <c r="EN105" s="9"/>
      <c r="FD105" s="9"/>
      <c r="FT105" s="9"/>
      <c r="GJ105" s="9"/>
      <c r="GZ105" s="9"/>
      <c r="HP105" s="9"/>
      <c r="IF105" s="9"/>
      <c r="IV105" s="9"/>
      <c r="JL105" s="9"/>
      <c r="KB105" s="9"/>
      <c r="KR105" s="9"/>
      <c r="LH105" s="9"/>
      <c r="LX105" s="9"/>
      <c r="MN105" s="9"/>
      <c r="ND105" s="9"/>
      <c r="NT105" s="9"/>
      <c r="OJ105" s="9"/>
    </row>
    <row r="106" spans="1:499" x14ac:dyDescent="0.2">
      <c r="A106" s="3"/>
      <c r="BL106" s="9"/>
      <c r="CB106" s="9"/>
      <c r="CR106" s="9"/>
      <c r="DH106" s="9"/>
      <c r="DX106" s="9"/>
      <c r="EN106" s="9"/>
      <c r="FD106" s="9"/>
      <c r="FT106" s="9"/>
      <c r="GJ106" s="9"/>
      <c r="GM106" s="3"/>
      <c r="GZ106" s="9"/>
      <c r="HC106" s="3"/>
      <c r="HP106" s="9"/>
      <c r="HS106" s="3"/>
      <c r="IF106" s="9"/>
      <c r="II106" s="3"/>
      <c r="IV106" s="9"/>
      <c r="IY106" s="3"/>
      <c r="JL106" s="9"/>
      <c r="JO106" s="3"/>
      <c r="KB106" s="9"/>
      <c r="KE106" s="3"/>
      <c r="KR106" s="9"/>
      <c r="KU106" s="3"/>
      <c r="LH106" s="9"/>
      <c r="LK106" s="3"/>
      <c r="LX106" s="9"/>
      <c r="MA106" s="3"/>
      <c r="MN106" s="9"/>
      <c r="MQ106" s="3"/>
      <c r="ND106" s="9"/>
      <c r="NG106" s="3"/>
      <c r="NT106" s="9"/>
      <c r="NW106" s="3"/>
      <c r="OJ106" s="9"/>
      <c r="OY106" s="3"/>
      <c r="PM106" s="3"/>
      <c r="QA106" s="3"/>
      <c r="QO106" s="3"/>
      <c r="RC106" s="3"/>
      <c r="SE106" s="3"/>
    </row>
    <row r="107" spans="1:499" x14ac:dyDescent="0.2">
      <c r="A107" s="5" t="s">
        <v>42</v>
      </c>
      <c r="BL107" s="9"/>
      <c r="CB107" s="9"/>
      <c r="CR107" s="9"/>
      <c r="DH107" s="9"/>
      <c r="DX107" s="9"/>
      <c r="EN107" s="9"/>
      <c r="FD107" s="9"/>
      <c r="FT107" s="9"/>
      <c r="GJ107" s="9"/>
      <c r="GZ107" s="9"/>
      <c r="HP107" s="9"/>
      <c r="IF107" s="9"/>
      <c r="IV107" s="9"/>
      <c r="JL107" s="9"/>
      <c r="KB107" s="9"/>
      <c r="KR107" s="9"/>
      <c r="LH107" s="9"/>
      <c r="LX107" s="9"/>
      <c r="MN107" s="9"/>
      <c r="ND107" s="9"/>
      <c r="NT107" s="9"/>
      <c r="OJ107" s="9"/>
    </row>
    <row r="108" spans="1:499" x14ac:dyDescent="0.2">
      <c r="A108" t="s">
        <v>1629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BL108" s="9"/>
      <c r="CB108" s="9"/>
      <c r="CR108" s="9"/>
      <c r="DH108" s="9"/>
      <c r="DX108" s="9"/>
      <c r="EN108" s="9"/>
      <c r="FD108" s="9"/>
      <c r="FT108" s="9"/>
      <c r="GJ108" s="9"/>
      <c r="GZ108" s="9"/>
      <c r="HP108" s="9"/>
      <c r="IF108" s="9"/>
      <c r="IV108" s="9"/>
      <c r="JL108" s="9"/>
      <c r="KB108" s="9"/>
      <c r="KR108" s="9"/>
      <c r="LH108" s="9"/>
      <c r="LX108" s="9"/>
      <c r="MN108" s="9"/>
      <c r="ND108" s="9"/>
      <c r="NT108" s="9"/>
      <c r="OJ108" s="9"/>
    </row>
    <row r="109" spans="1:499" x14ac:dyDescent="0.2">
      <c r="A109" t="s">
        <v>1630</v>
      </c>
      <c r="B109" s="8">
        <f>P6+AH6+AZ11+BP11+CF11+CV11+DL11+EB11+ER11+FH11+FX11+GN11+HD11+HT11+IJ11+IZ11+JP11+KF11+KV11+LL11+MB11+MR11+NH11+NX11</f>
        <v>0</v>
      </c>
      <c r="C109" s="8">
        <f t="shared" ref="C109:J109" si="521">Q6+AI6+BA11+BQ11+CG11+CW11+DM11+EC11+ES11+FI11+FY11+GO11+HE11+HU11+IK11+JA11+JQ11+KG11+KW11+LM11+MC11+MS11+NI11+NY11</f>
        <v>0</v>
      </c>
      <c r="D109" s="8">
        <f t="shared" si="521"/>
        <v>0</v>
      </c>
      <c r="E109" s="8">
        <f t="shared" si="521"/>
        <v>0</v>
      </c>
      <c r="F109" s="8">
        <f t="shared" si="521"/>
        <v>0</v>
      </c>
      <c r="G109" s="8">
        <f t="shared" si="521"/>
        <v>0</v>
      </c>
      <c r="H109" s="8">
        <f t="shared" si="521"/>
        <v>0</v>
      </c>
      <c r="I109" s="8">
        <f>W6+AO6+BG11+BW11+CM11+DC11+DS11+EI11+EY11+FO11+GE11+GU11+HK11+IA11+IQ11+JG11+JW11+KM11+LC11+LS11+MI11+MY11+NO11+OE11</f>
        <v>0</v>
      </c>
      <c r="J109" s="8">
        <f t="shared" si="521"/>
        <v>0</v>
      </c>
      <c r="K109" s="8"/>
      <c r="L109" s="8"/>
      <c r="M109" s="8"/>
      <c r="BL109" s="9"/>
      <c r="CB109" s="9"/>
      <c r="CR109" s="9"/>
      <c r="DH109" s="9"/>
      <c r="DX109" s="9"/>
      <c r="EN109" s="9"/>
      <c r="FD109" s="9"/>
      <c r="FT109" s="9"/>
      <c r="GJ109" s="9"/>
      <c r="GZ109" s="9"/>
      <c r="HP109" s="9"/>
      <c r="IF109" s="9"/>
      <c r="IV109" s="9"/>
      <c r="JL109" s="9"/>
      <c r="KB109" s="9"/>
      <c r="KR109" s="9"/>
      <c r="LH109" s="9"/>
      <c r="LX109" s="9"/>
      <c r="MN109" s="9"/>
      <c r="ND109" s="9"/>
      <c r="NT109" s="9"/>
      <c r="OJ109" s="9"/>
    </row>
    <row r="110" spans="1:499" x14ac:dyDescent="0.2">
      <c r="A110" t="s">
        <v>1631</v>
      </c>
      <c r="B110" s="10">
        <f t="shared" ref="B110:J110" si="522">AZ13+BP13+CF13+CV13+DL13+EB13+ER13+FH13+FX13+GN13+HD13+HT13+IJ13+IZ13+JP13+KF13+KV13+LL13+MB13+MR13+NH13+NX13</f>
        <v>0</v>
      </c>
      <c r="C110" s="10">
        <f t="shared" si="522"/>
        <v>0</v>
      </c>
      <c r="D110" s="10">
        <f t="shared" si="522"/>
        <v>0</v>
      </c>
      <c r="E110" s="10">
        <f t="shared" si="522"/>
        <v>0</v>
      </c>
      <c r="F110" s="10">
        <f t="shared" si="522"/>
        <v>0</v>
      </c>
      <c r="G110" s="10">
        <f t="shared" si="522"/>
        <v>0</v>
      </c>
      <c r="H110" s="10">
        <f t="shared" si="522"/>
        <v>0</v>
      </c>
      <c r="I110" s="10">
        <f t="shared" si="522"/>
        <v>0</v>
      </c>
      <c r="J110" s="10">
        <f t="shared" si="522"/>
        <v>0</v>
      </c>
      <c r="BL110" s="9"/>
      <c r="CB110" s="9"/>
      <c r="CR110" s="9"/>
      <c r="DH110" s="9"/>
      <c r="DX110" s="9"/>
      <c r="EN110" s="9"/>
      <c r="FD110" s="9"/>
      <c r="FT110" s="9"/>
      <c r="GJ110" s="9"/>
      <c r="GZ110" s="9"/>
      <c r="HP110" s="9"/>
      <c r="IF110" s="9"/>
      <c r="IV110" s="9"/>
      <c r="JL110" s="9"/>
      <c r="KB110" s="9"/>
      <c r="KR110" s="9"/>
      <c r="LH110" s="9"/>
      <c r="LX110" s="9"/>
      <c r="MN110" s="9"/>
      <c r="ND110" s="9"/>
      <c r="NT110" s="9"/>
      <c r="OJ110" s="9"/>
    </row>
    <row r="111" spans="1:499" x14ac:dyDescent="0.2">
      <c r="A111" t="s">
        <v>1632</v>
      </c>
      <c r="B111" s="10">
        <f>B108-B110</f>
        <v>0</v>
      </c>
      <c r="C111" s="10">
        <f t="shared" ref="C111:J111" si="523">C108-C110</f>
        <v>100000000</v>
      </c>
      <c r="D111" s="10">
        <f t="shared" si="523"/>
        <v>100000000</v>
      </c>
      <c r="E111" s="10">
        <f t="shared" si="523"/>
        <v>100000000</v>
      </c>
      <c r="F111" s="10">
        <f t="shared" si="523"/>
        <v>100000000</v>
      </c>
      <c r="G111" s="10">
        <f t="shared" si="523"/>
        <v>100000000</v>
      </c>
      <c r="H111" s="10">
        <f t="shared" si="523"/>
        <v>100000000</v>
      </c>
      <c r="I111" s="10">
        <f t="shared" si="523"/>
        <v>100000000</v>
      </c>
      <c r="J111" s="10">
        <f t="shared" si="523"/>
        <v>100000000</v>
      </c>
      <c r="BL111" s="9"/>
      <c r="CB111" s="9"/>
      <c r="CR111" s="9"/>
      <c r="DH111" s="9"/>
      <c r="DX111" s="9"/>
      <c r="EN111" s="9"/>
      <c r="FD111" s="9"/>
      <c r="FT111" s="9"/>
      <c r="GJ111" s="9"/>
      <c r="GZ111" s="9"/>
      <c r="HP111" s="9"/>
      <c r="IF111" s="9"/>
      <c r="IV111" s="9"/>
      <c r="JL111" s="9"/>
      <c r="KB111" s="9"/>
      <c r="KR111" s="9"/>
      <c r="LH111" s="9"/>
      <c r="LX111" s="9"/>
      <c r="MN111" s="9"/>
      <c r="ND111" s="9"/>
      <c r="NT111" s="9"/>
      <c r="OJ111" s="9"/>
    </row>
    <row r="112" spans="1:499" x14ac:dyDescent="0.2">
      <c r="A112" t="s">
        <v>1633</v>
      </c>
      <c r="B112" s="8">
        <f>B109+B110</f>
        <v>0</v>
      </c>
      <c r="C112" s="8">
        <f t="shared" ref="C112:J112" si="524">C109+C110</f>
        <v>0</v>
      </c>
      <c r="D112" s="8">
        <f t="shared" si="524"/>
        <v>0</v>
      </c>
      <c r="E112" s="8">
        <f t="shared" si="524"/>
        <v>0</v>
      </c>
      <c r="F112" s="8">
        <f t="shared" si="524"/>
        <v>0</v>
      </c>
      <c r="G112" s="8">
        <f t="shared" si="524"/>
        <v>0</v>
      </c>
      <c r="H112" s="8">
        <f t="shared" si="524"/>
        <v>0</v>
      </c>
      <c r="I112" s="8">
        <f t="shared" si="524"/>
        <v>0</v>
      </c>
      <c r="J112" s="8">
        <f t="shared" si="524"/>
        <v>0</v>
      </c>
      <c r="O112" s="5"/>
      <c r="AG112" s="5"/>
      <c r="BL112" s="9"/>
      <c r="CB112" s="9"/>
      <c r="CR112" s="9"/>
      <c r="DH112" s="9"/>
      <c r="DX112" s="9"/>
      <c r="EN112" s="9"/>
      <c r="FD112" s="9"/>
      <c r="FT112" s="9"/>
      <c r="GJ112" s="9"/>
      <c r="GZ112" s="9"/>
      <c r="HP112" s="9"/>
      <c r="IF112" s="9"/>
      <c r="IV112" s="9"/>
      <c r="JL112" s="9"/>
      <c r="KB112" s="9"/>
      <c r="KR112" s="9"/>
      <c r="LH112" s="9"/>
      <c r="LX112" s="9"/>
      <c r="MN112" s="9"/>
      <c r="ND112" s="9"/>
      <c r="NT112" s="9"/>
      <c r="OJ112" s="9"/>
    </row>
    <row r="113" spans="1:400" x14ac:dyDescent="0.2">
      <c r="A113" t="s">
        <v>1634</v>
      </c>
      <c r="B113" s="8">
        <f>B108-B112</f>
        <v>0</v>
      </c>
      <c r="C113" s="8">
        <f t="shared" ref="C113:J113" si="525">C108-C112</f>
        <v>100000000</v>
      </c>
      <c r="D113" s="8">
        <f t="shared" si="525"/>
        <v>100000000</v>
      </c>
      <c r="E113" s="8">
        <f t="shared" si="525"/>
        <v>100000000</v>
      </c>
      <c r="F113" s="8">
        <f t="shared" si="525"/>
        <v>100000000</v>
      </c>
      <c r="G113" s="8">
        <f t="shared" si="525"/>
        <v>100000000</v>
      </c>
      <c r="H113" s="8">
        <f t="shared" si="525"/>
        <v>100000000</v>
      </c>
      <c r="I113" s="8">
        <f t="shared" si="525"/>
        <v>100000000</v>
      </c>
      <c r="J113" s="8">
        <f t="shared" si="525"/>
        <v>100000000</v>
      </c>
      <c r="K113" s="8"/>
      <c r="L113" s="8"/>
      <c r="M113" s="8"/>
      <c r="AY113" s="5"/>
      <c r="BL113" s="9"/>
      <c r="BO113" s="5"/>
      <c r="CB113" s="9"/>
      <c r="CE113" s="5"/>
      <c r="CR113" s="9"/>
      <c r="CU113" s="5"/>
      <c r="DH113" s="9"/>
      <c r="DK113" s="5"/>
      <c r="DX113" s="9"/>
      <c r="EA113" s="5"/>
      <c r="EN113" s="9"/>
      <c r="EQ113" s="5"/>
      <c r="FD113" s="9"/>
      <c r="FG113" s="5"/>
      <c r="FT113" s="9"/>
      <c r="FW113" s="5"/>
      <c r="GJ113" s="9"/>
      <c r="GZ113" s="9"/>
      <c r="HP113" s="9"/>
      <c r="IF113" s="9"/>
      <c r="IV113" s="9"/>
      <c r="JL113" s="9"/>
      <c r="KB113" s="9"/>
      <c r="KR113" s="9"/>
      <c r="LH113" s="9"/>
      <c r="LX113" s="9"/>
      <c r="MN113" s="9"/>
      <c r="ND113" s="9"/>
      <c r="NT113" s="9"/>
      <c r="OJ113" s="9"/>
    </row>
    <row r="114" spans="1:400" x14ac:dyDescent="0.2">
      <c r="A114" t="s">
        <v>1635</v>
      </c>
      <c r="B114" s="8">
        <f>C110</f>
        <v>0</v>
      </c>
      <c r="C114" s="8">
        <f t="shared" ref="C114:I114" si="526">D110</f>
        <v>0</v>
      </c>
      <c r="D114" s="8">
        <f t="shared" si="526"/>
        <v>0</v>
      </c>
      <c r="E114" s="8">
        <f t="shared" si="526"/>
        <v>0</v>
      </c>
      <c r="F114" s="8">
        <f t="shared" si="526"/>
        <v>0</v>
      </c>
      <c r="G114" s="8">
        <f t="shared" si="526"/>
        <v>0</v>
      </c>
      <c r="H114" s="8">
        <f t="shared" si="526"/>
        <v>0</v>
      </c>
      <c r="I114" s="8">
        <f t="shared" si="526"/>
        <v>0</v>
      </c>
      <c r="J114" s="8">
        <f>K110</f>
        <v>0</v>
      </c>
      <c r="K114" s="8"/>
      <c r="L114" s="8"/>
      <c r="M114" s="8"/>
      <c r="BL114" s="9"/>
      <c r="CB114" s="9"/>
      <c r="CR114" s="9"/>
      <c r="DH114" s="9"/>
      <c r="DX114" s="9"/>
      <c r="EN114" s="9"/>
      <c r="FD114" s="9"/>
      <c r="FT114" s="9"/>
      <c r="GJ114" s="9"/>
      <c r="GZ114" s="9"/>
      <c r="HP114" s="9"/>
      <c r="IF114" s="9"/>
      <c r="IV114" s="9"/>
      <c r="JL114" s="9"/>
      <c r="KB114" s="9"/>
      <c r="KR114" s="9"/>
      <c r="LH114" s="9"/>
      <c r="LX114" s="9"/>
      <c r="MN114" s="9"/>
      <c r="ND114" s="9"/>
      <c r="NT114" s="9"/>
      <c r="OJ114" s="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54D7-556F-48C4-A92A-419E7832707F}">
  <dimension ref="A1:EJ1421"/>
  <sheetViews>
    <sheetView workbookViewId="0">
      <pane xSplit="1" ySplit="20" topLeftCell="N21" activePane="bottomRight" state="frozen"/>
      <selection pane="topRight" activeCell="B1" sqref="B1"/>
      <selection pane="bottomLeft" activeCell="A21" sqref="A21"/>
      <selection pane="bottomRight" activeCell="Z17" sqref="Z17"/>
    </sheetView>
  </sheetViews>
  <sheetFormatPr baseColWidth="10" defaultColWidth="8.83203125" defaultRowHeight="15" x14ac:dyDescent="0.2"/>
  <cols>
    <col min="1" max="1" width="30" customWidth="1"/>
    <col min="2" max="10" width="13.33203125" customWidth="1"/>
    <col min="11" max="14" width="12.33203125" customWidth="1"/>
    <col min="15" max="15" width="19.5" customWidth="1"/>
    <col min="16" max="24" width="11.1640625" customWidth="1"/>
    <col min="25" max="28" width="11.83203125" customWidth="1"/>
    <col min="29" max="29" width="17.6640625" customWidth="1"/>
    <col min="30" max="42" width="11.5" customWidth="1"/>
    <col min="43" max="43" width="17.33203125" customWidth="1"/>
    <col min="44" max="56" width="11.83203125" customWidth="1"/>
    <col min="57" max="57" width="17" customWidth="1"/>
    <col min="58" max="70" width="11.83203125" customWidth="1"/>
    <col min="71" max="71" width="17" customWidth="1"/>
    <col min="72" max="84" width="11.83203125" customWidth="1"/>
    <col min="85" max="85" width="17" customWidth="1"/>
    <col min="86" max="98" width="11.83203125" customWidth="1"/>
    <col min="99" max="99" width="17" customWidth="1"/>
    <col min="100" max="112" width="11.83203125" customWidth="1"/>
    <col min="113" max="113" width="17" customWidth="1"/>
    <col min="114" max="126" width="11.83203125" customWidth="1"/>
    <col min="127" max="127" width="17" customWidth="1"/>
    <col min="128" max="140" width="11.83203125" customWidth="1"/>
  </cols>
  <sheetData>
    <row r="1" spans="1:140" x14ac:dyDescent="0.2">
      <c r="A1" s="9"/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20"/>
      <c r="M1" s="11"/>
      <c r="N1" s="11"/>
      <c r="O1" s="9"/>
      <c r="P1" s="9">
        <v>0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Z1" s="15" t="s">
        <v>1750</v>
      </c>
      <c r="AC1" s="9"/>
      <c r="AD1" s="9">
        <v>0</v>
      </c>
      <c r="AE1" s="9">
        <v>1</v>
      </c>
      <c r="AF1" s="9">
        <v>2</v>
      </c>
      <c r="AG1" s="9">
        <v>3</v>
      </c>
      <c r="AH1" s="9">
        <v>4</v>
      </c>
      <c r="AI1" s="9">
        <v>5</v>
      </c>
      <c r="AJ1" s="9">
        <v>6</v>
      </c>
      <c r="AK1" s="9">
        <v>7</v>
      </c>
      <c r="AL1" s="9">
        <v>8</v>
      </c>
      <c r="AN1" s="15" t="s">
        <v>1750</v>
      </c>
      <c r="AQ1" s="9"/>
      <c r="AR1" s="9">
        <v>0</v>
      </c>
      <c r="AS1" s="9">
        <v>1</v>
      </c>
      <c r="AT1" s="9">
        <v>2</v>
      </c>
      <c r="AU1" s="9">
        <v>3</v>
      </c>
      <c r="AV1" s="9">
        <v>4</v>
      </c>
      <c r="AW1" s="9">
        <v>5</v>
      </c>
      <c r="AX1" s="9">
        <v>6</v>
      </c>
      <c r="AY1" s="9">
        <v>7</v>
      </c>
      <c r="AZ1" s="9">
        <v>8</v>
      </c>
      <c r="BB1" s="15" t="s">
        <v>1750</v>
      </c>
      <c r="BE1" s="9"/>
      <c r="BF1" s="9">
        <v>0</v>
      </c>
      <c r="BG1" s="9">
        <v>1</v>
      </c>
      <c r="BH1" s="9">
        <v>2</v>
      </c>
      <c r="BI1" s="9">
        <v>3</v>
      </c>
      <c r="BJ1" s="9">
        <v>4</v>
      </c>
      <c r="BK1" s="9">
        <v>5</v>
      </c>
      <c r="BL1" s="9">
        <v>6</v>
      </c>
      <c r="BM1" s="9">
        <v>7</v>
      </c>
      <c r="BN1" s="9">
        <v>8</v>
      </c>
      <c r="BP1" s="15" t="s">
        <v>1750</v>
      </c>
      <c r="BS1" s="9"/>
      <c r="BT1" s="9">
        <v>0</v>
      </c>
      <c r="BU1" s="9">
        <v>1</v>
      </c>
      <c r="BV1" s="9">
        <v>2</v>
      </c>
      <c r="BW1" s="9">
        <v>3</v>
      </c>
      <c r="BX1" s="9">
        <v>4</v>
      </c>
      <c r="BY1" s="9">
        <v>5</v>
      </c>
      <c r="BZ1" s="9">
        <v>6</v>
      </c>
      <c r="CA1" s="9">
        <v>7</v>
      </c>
      <c r="CB1" s="9">
        <v>8</v>
      </c>
      <c r="CD1" s="15" t="s">
        <v>1750</v>
      </c>
      <c r="CG1" s="9"/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R1" s="15" t="s">
        <v>1750</v>
      </c>
      <c r="CU1" s="9"/>
      <c r="CV1" s="9">
        <v>0</v>
      </c>
      <c r="CW1" s="9">
        <v>1</v>
      </c>
      <c r="CX1" s="9">
        <v>2</v>
      </c>
      <c r="CY1" s="9">
        <v>3</v>
      </c>
      <c r="CZ1" s="9">
        <v>4</v>
      </c>
      <c r="DA1" s="9">
        <v>5</v>
      </c>
      <c r="DB1" s="9">
        <v>6</v>
      </c>
      <c r="DC1" s="9">
        <v>7</v>
      </c>
      <c r="DD1" s="9">
        <v>8</v>
      </c>
      <c r="DF1" s="15" t="s">
        <v>1750</v>
      </c>
      <c r="DI1" s="9"/>
      <c r="DJ1" s="9">
        <v>0</v>
      </c>
      <c r="DK1" s="9">
        <v>1</v>
      </c>
      <c r="DL1" s="9">
        <v>2</v>
      </c>
      <c r="DM1" s="9">
        <v>3</v>
      </c>
      <c r="DN1" s="9">
        <v>4</v>
      </c>
      <c r="DO1" s="9">
        <v>5</v>
      </c>
      <c r="DP1" s="9">
        <v>6</v>
      </c>
      <c r="DQ1" s="9">
        <v>7</v>
      </c>
      <c r="DR1" s="9">
        <v>8</v>
      </c>
      <c r="DT1" s="15" t="s">
        <v>1750</v>
      </c>
      <c r="DW1" s="9"/>
      <c r="DX1" s="9"/>
      <c r="DY1" s="9"/>
      <c r="DZ1" s="9"/>
      <c r="EA1" s="9"/>
      <c r="EB1" s="9"/>
      <c r="EC1" s="9"/>
      <c r="ED1" s="9"/>
      <c r="EE1" s="9"/>
      <c r="EF1" s="9"/>
      <c r="EH1" s="15"/>
    </row>
    <row r="2" spans="1:140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"/>
      <c r="P2" s="9"/>
      <c r="Q2" s="9"/>
      <c r="R2" s="9"/>
      <c r="S2" s="9"/>
      <c r="T2" s="9"/>
      <c r="U2" s="9"/>
      <c r="Z2" s="17" t="s">
        <v>1321</v>
      </c>
      <c r="AA2" s="17" t="s">
        <v>1320</v>
      </c>
      <c r="AC2" s="9"/>
      <c r="AD2" s="9"/>
      <c r="AE2" s="9"/>
      <c r="AF2" s="9"/>
      <c r="AG2" s="9"/>
      <c r="AH2" s="9"/>
      <c r="AI2" s="9"/>
      <c r="AN2" s="17" t="s">
        <v>1321</v>
      </c>
      <c r="AO2" s="17" t="s">
        <v>1320</v>
      </c>
      <c r="AQ2" s="9"/>
      <c r="AR2" s="9"/>
      <c r="AS2" s="9"/>
      <c r="AT2" s="9"/>
      <c r="AU2" s="9"/>
      <c r="AV2" s="9"/>
      <c r="AW2" s="9"/>
      <c r="BB2" s="17" t="s">
        <v>1321</v>
      </c>
      <c r="BC2" s="17" t="s">
        <v>1320</v>
      </c>
      <c r="BE2" s="9"/>
      <c r="BF2" s="9"/>
      <c r="BG2" s="9"/>
      <c r="BH2" s="9"/>
      <c r="BI2" s="9"/>
      <c r="BJ2" s="9"/>
      <c r="BK2" s="9"/>
      <c r="BP2" s="17" t="s">
        <v>1321</v>
      </c>
      <c r="BQ2" s="17" t="s">
        <v>1320</v>
      </c>
      <c r="BS2" s="9"/>
      <c r="BT2" s="9"/>
      <c r="BU2" s="9"/>
      <c r="BV2" s="9"/>
      <c r="BW2" s="9"/>
      <c r="BX2" s="9"/>
      <c r="BY2" s="9"/>
      <c r="CD2" s="17" t="s">
        <v>1321</v>
      </c>
      <c r="CE2" s="17" t="s">
        <v>1320</v>
      </c>
      <c r="CG2" s="9"/>
      <c r="CH2" s="9"/>
      <c r="CI2" s="9"/>
      <c r="CJ2" s="9"/>
      <c r="CK2" s="9"/>
      <c r="CL2" s="9"/>
      <c r="CM2" s="9"/>
      <c r="CR2" s="17" t="s">
        <v>1321</v>
      </c>
      <c r="CS2" s="17" t="s">
        <v>1320</v>
      </c>
      <c r="CU2" s="9"/>
      <c r="CV2" s="9"/>
      <c r="CW2" s="9"/>
      <c r="CX2" s="9"/>
      <c r="CY2" s="9"/>
      <c r="CZ2" s="9"/>
      <c r="DA2" s="9"/>
      <c r="DF2" s="17" t="s">
        <v>1321</v>
      </c>
      <c r="DG2" s="17" t="s">
        <v>1320</v>
      </c>
      <c r="DI2" s="9"/>
      <c r="DJ2" s="9"/>
      <c r="DK2" s="9"/>
      <c r="DL2" s="9"/>
      <c r="DM2" s="9"/>
      <c r="DN2" s="9"/>
      <c r="DO2" s="9"/>
      <c r="DT2" s="17" t="s">
        <v>1321</v>
      </c>
      <c r="DU2" s="17" t="s">
        <v>1320</v>
      </c>
      <c r="DW2" s="9"/>
      <c r="DX2" s="9"/>
      <c r="DY2" s="9"/>
      <c r="DZ2" s="9"/>
      <c r="EA2" s="9"/>
      <c r="EB2" s="9"/>
      <c r="EC2" s="9"/>
    </row>
    <row r="3" spans="1:140" x14ac:dyDescent="0.2">
      <c r="A3" s="11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" t="s">
        <v>1721</v>
      </c>
      <c r="P3" s="9"/>
      <c r="Q3" s="9"/>
      <c r="R3" s="9"/>
      <c r="S3" s="9"/>
      <c r="T3" s="9"/>
      <c r="U3" s="9"/>
      <c r="Z3" s="6"/>
      <c r="AA3" s="6"/>
      <c r="AC3" s="20" t="s">
        <v>1690</v>
      </c>
      <c r="AD3" s="9"/>
      <c r="AE3" s="9"/>
      <c r="AF3" s="9"/>
      <c r="AG3" s="9"/>
      <c r="AH3" s="9"/>
      <c r="AI3" s="9"/>
      <c r="AQ3" s="11" t="s">
        <v>1691</v>
      </c>
      <c r="AR3" s="9"/>
      <c r="AS3" s="9"/>
      <c r="AT3" s="9"/>
      <c r="AU3" s="9"/>
      <c r="AV3" s="9"/>
      <c r="AW3" s="9"/>
      <c r="BE3" s="11" t="s">
        <v>1692</v>
      </c>
      <c r="BF3" s="9"/>
      <c r="BG3" s="9"/>
      <c r="BH3" s="9"/>
      <c r="BI3" s="9"/>
      <c r="BJ3" s="9"/>
      <c r="BK3" s="9"/>
      <c r="BS3" s="11" t="s">
        <v>1693</v>
      </c>
      <c r="BT3" s="9"/>
      <c r="BU3" s="9"/>
      <c r="BV3" s="9"/>
      <c r="BW3" s="9"/>
      <c r="BX3" s="9"/>
      <c r="BY3" s="9"/>
      <c r="CG3" s="11" t="s">
        <v>1718</v>
      </c>
      <c r="CH3" s="9"/>
      <c r="CI3" s="9"/>
      <c r="CJ3" s="9"/>
      <c r="CK3" s="9"/>
      <c r="CL3" s="9"/>
      <c r="CM3" s="9"/>
      <c r="CU3" s="11" t="s">
        <v>1719</v>
      </c>
      <c r="CV3" s="9"/>
      <c r="CW3" s="9"/>
      <c r="CX3" s="9"/>
      <c r="CY3" s="9"/>
      <c r="CZ3" s="9"/>
      <c r="DA3" s="9"/>
      <c r="DI3" s="11" t="s">
        <v>1720</v>
      </c>
      <c r="DJ3" s="9"/>
      <c r="DK3" s="9"/>
      <c r="DL3" s="9"/>
      <c r="DM3" s="9"/>
      <c r="DN3" s="9"/>
      <c r="DO3" s="9"/>
      <c r="DW3" s="11"/>
      <c r="DX3" s="9"/>
      <c r="DY3" s="9"/>
      <c r="DZ3" s="9"/>
      <c r="EA3" s="9"/>
      <c r="EB3" s="9"/>
      <c r="EC3" s="9"/>
    </row>
    <row r="4" spans="1:140" x14ac:dyDescent="0.2">
      <c r="A4" s="9" t="s">
        <v>13</v>
      </c>
      <c r="M4" s="9"/>
      <c r="N4" s="9"/>
      <c r="O4" s="9" t="s">
        <v>14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AC4" s="9" t="s">
        <v>15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Q4" s="9" t="s">
        <v>16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E4" s="9" t="s">
        <v>17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R4" s="11"/>
      <c r="BS4" s="9" t="s">
        <v>1694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F4" s="11"/>
      <c r="CG4" s="9" t="s">
        <v>1700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T4" s="11"/>
      <c r="CU4" s="9" t="s">
        <v>1706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H4" s="11"/>
      <c r="DI4" s="9" t="s">
        <v>1712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V4" s="11"/>
      <c r="DW4" s="9"/>
      <c r="EJ4" s="11"/>
    </row>
    <row r="5" spans="1:140" x14ac:dyDescent="0.2">
      <c r="A5" s="9" t="s">
        <v>18</v>
      </c>
      <c r="B5" s="12"/>
      <c r="M5" s="9"/>
      <c r="N5" s="9"/>
      <c r="O5" s="9" t="s">
        <v>19</v>
      </c>
      <c r="P5" s="12">
        <f>IF(P8=0, P4*P7, 0)</f>
        <v>0</v>
      </c>
      <c r="Q5">
        <f>IF(P5=1,1,IF(Q8=0, Q4*Q7, 0))</f>
        <v>1</v>
      </c>
      <c r="R5">
        <f t="shared" ref="R5" si="0">IF(Q5=1,1,IF(R8=0, R4*R7, 0))</f>
        <v>1</v>
      </c>
      <c r="S5">
        <f t="shared" ref="S5" si="1">IF(R5=1,1,IF(S8=0, S4*S7, 0))</f>
        <v>1</v>
      </c>
      <c r="T5">
        <f t="shared" ref="T5" si="2">IF(S5=1,1,IF(T8=0, T4*T7, 0))</f>
        <v>1</v>
      </c>
      <c r="U5">
        <f t="shared" ref="U5" si="3">IF(T5=1,1,IF(U8=0, U4*U7, 0))</f>
        <v>1</v>
      </c>
      <c r="V5">
        <f t="shared" ref="V5" si="4">IF(U5=1,1,IF(V8=0, V4*V7, 0))</f>
        <v>1</v>
      </c>
      <c r="W5">
        <f t="shared" ref="W5" si="5">IF(V5=1,1,IF(W8=0, W4*W7, 0))</f>
        <v>1</v>
      </c>
      <c r="X5">
        <f t="shared" ref="X5" si="6">IF(W5=1,1,IF(X8=0, X4*X7, 0))</f>
        <v>1</v>
      </c>
      <c r="AC5" s="9" t="s">
        <v>20</v>
      </c>
      <c r="AD5" s="12">
        <f>IF(AD8=0, AD4*AD7, 0)</f>
        <v>0</v>
      </c>
      <c r="AE5">
        <f>IF(AD5=1,1,IF(AE8=0, AE4*AE7, 0))</f>
        <v>0</v>
      </c>
      <c r="AF5">
        <f t="shared" ref="AF5:AL5" si="7">IF(AE5=1,1,IF(AF8=0, AF4*AF7, 0))</f>
        <v>1</v>
      </c>
      <c r="AG5">
        <f t="shared" si="7"/>
        <v>1</v>
      </c>
      <c r="AH5">
        <f t="shared" si="7"/>
        <v>1</v>
      </c>
      <c r="AI5">
        <f t="shared" si="7"/>
        <v>1</v>
      </c>
      <c r="AJ5">
        <f t="shared" si="7"/>
        <v>1</v>
      </c>
      <c r="AK5">
        <f t="shared" si="7"/>
        <v>1</v>
      </c>
      <c r="AL5">
        <f t="shared" si="7"/>
        <v>1</v>
      </c>
      <c r="AQ5" s="9" t="s">
        <v>21</v>
      </c>
      <c r="AR5" s="12">
        <f>IF(AR8=0, AR4*AR7, 0)</f>
        <v>0</v>
      </c>
      <c r="AS5">
        <f>IF(AR5=1,1,IF(AS8=0, AS4*AS7, 0))</f>
        <v>0</v>
      </c>
      <c r="AT5">
        <f t="shared" ref="AT5" si="8">IF(AS5=1,1,IF(AT8=0, AT4*AT7, 0))</f>
        <v>0</v>
      </c>
      <c r="AU5">
        <f t="shared" ref="AU5" si="9">IF(AT5=1,1,IF(AU8=0, AU4*AU7, 0))</f>
        <v>1</v>
      </c>
      <c r="AV5">
        <f t="shared" ref="AV5" si="10">IF(AU5=1,1,IF(AV8=0, AV4*AV7, 0))</f>
        <v>1</v>
      </c>
      <c r="AW5">
        <f t="shared" ref="AW5" si="11">IF(AV5=1,1,IF(AW8=0, AW4*AW7, 0))</f>
        <v>1</v>
      </c>
      <c r="AX5">
        <f t="shared" ref="AX5" si="12">IF(AW5=1,1,IF(AX8=0, AX4*AX7, 0))</f>
        <v>1</v>
      </c>
      <c r="AY5">
        <f t="shared" ref="AY5" si="13">IF(AX5=1,1,IF(AY8=0, AY4*AY7, 0))</f>
        <v>1</v>
      </c>
      <c r="AZ5">
        <f t="shared" ref="AZ5" si="14">IF(AY5=1,1,IF(AZ8=0, AZ4*AZ7, 0))</f>
        <v>1</v>
      </c>
      <c r="BE5" s="9" t="s">
        <v>22</v>
      </c>
      <c r="BF5" s="12">
        <f>IF(BF8=0, BF4*BF7, 0)</f>
        <v>0</v>
      </c>
      <c r="BG5">
        <f>IF(BF5=1,1,IF(BG8=0, BG4*BG7, 0))</f>
        <v>0</v>
      </c>
      <c r="BH5">
        <f t="shared" ref="BH5" si="15">IF(BG5=1,1,IF(BH8=0, BH4*BH7, 0))</f>
        <v>0</v>
      </c>
      <c r="BI5">
        <f t="shared" ref="BI5" si="16">IF(BH5=1,1,IF(BI8=0, BI4*BI7, 0))</f>
        <v>0</v>
      </c>
      <c r="BJ5">
        <f t="shared" ref="BJ5" si="17">IF(BI5=1,1,IF(BJ8=0, BJ4*BJ7, 0))</f>
        <v>1</v>
      </c>
      <c r="BK5">
        <f t="shared" ref="BK5" si="18">IF(BJ5=1,1,IF(BK8=0, BK4*BK7, 0))</f>
        <v>1</v>
      </c>
      <c r="BL5">
        <f t="shared" ref="BL5" si="19">IF(BK5=1,1,IF(BL8=0, BL4*BL7, 0))</f>
        <v>1</v>
      </c>
      <c r="BM5">
        <f t="shared" ref="BM5" si="20">IF(BL5=1,1,IF(BM8=0, BM4*BM7, 0))</f>
        <v>1</v>
      </c>
      <c r="BN5">
        <f t="shared" ref="BN5" si="21">IF(BM5=1,1,IF(BN8=0, BN4*BN7, 0))</f>
        <v>1</v>
      </c>
      <c r="BS5" s="9" t="s">
        <v>1695</v>
      </c>
      <c r="BT5" s="12">
        <f>IF(BT8=0, BT4*BT7, 0)</f>
        <v>0</v>
      </c>
      <c r="BU5">
        <f>IF(BT5=1,1,IF(BU8=0, BU4*BU7, 0))</f>
        <v>0</v>
      </c>
      <c r="BV5">
        <f t="shared" ref="BV5" si="22">IF(BU5=1,1,IF(BV8=0, BV4*BV7, 0))</f>
        <v>0</v>
      </c>
      <c r="BW5">
        <f t="shared" ref="BW5" si="23">IF(BV5=1,1,IF(BW8=0, BW4*BW7, 0))</f>
        <v>0</v>
      </c>
      <c r="BX5">
        <f t="shared" ref="BX5" si="24">IF(BW5=1,1,IF(BX8=0, BX4*BX7, 0))</f>
        <v>0</v>
      </c>
      <c r="BY5">
        <f t="shared" ref="BY5" si="25">IF(BX5=1,1,IF(BY8=0, BY4*BY7, 0))</f>
        <v>1</v>
      </c>
      <c r="BZ5">
        <f t="shared" ref="BZ5" si="26">IF(BY5=1,1,IF(BZ8=0, BZ4*BZ7, 0))</f>
        <v>1</v>
      </c>
      <c r="CA5">
        <f t="shared" ref="CA5" si="27">IF(BZ5=1,1,IF(CA8=0, CA4*CA7, 0))</f>
        <v>1</v>
      </c>
      <c r="CB5">
        <f t="shared" ref="CB5" si="28">IF(CA5=1,1,IF(CB8=0, CB4*CB7, 0))</f>
        <v>1</v>
      </c>
      <c r="CG5" s="9" t="s">
        <v>1701</v>
      </c>
      <c r="CH5" s="12">
        <f>IF(CH8=0, CH4*CH7, 0)</f>
        <v>0</v>
      </c>
      <c r="CI5">
        <f>IF(CH5=1,1,IF(CI8=0, CI4*CI7, 0))</f>
        <v>0</v>
      </c>
      <c r="CJ5">
        <f t="shared" ref="CJ5" si="29">IF(CI5=1,1,IF(CJ8=0, CJ4*CJ7, 0))</f>
        <v>0</v>
      </c>
      <c r="CK5">
        <f t="shared" ref="CK5" si="30">IF(CJ5=1,1,IF(CK8=0, CK4*CK7, 0))</f>
        <v>0</v>
      </c>
      <c r="CL5">
        <f t="shared" ref="CL5" si="31">IF(CK5=1,1,IF(CL8=0, CL4*CL7, 0))</f>
        <v>0</v>
      </c>
      <c r="CM5">
        <f t="shared" ref="CM5" si="32">IF(CL5=1,1,IF(CM8=0, CM4*CM7, 0))</f>
        <v>0</v>
      </c>
      <c r="CN5">
        <f t="shared" ref="CN5" si="33">IF(CM5=1,1,IF(CN8=0, CN4*CN7, 0))</f>
        <v>1</v>
      </c>
      <c r="CO5">
        <f t="shared" ref="CO5" si="34">IF(CN5=1,1,IF(CO8=0, CO4*CO7, 0))</f>
        <v>1</v>
      </c>
      <c r="CP5">
        <f t="shared" ref="CP5" si="35">IF(CO5=1,1,IF(CP8=0, CP4*CP7, 0))</f>
        <v>1</v>
      </c>
      <c r="CU5" s="9" t="s">
        <v>1707</v>
      </c>
      <c r="CV5" s="12">
        <f>IF(CV8=0, CV4*CV7, 0)</f>
        <v>0</v>
      </c>
      <c r="CW5">
        <f>IF(CV5=1,1,IF(CW8=0, CW4*CW7, 0))</f>
        <v>0</v>
      </c>
      <c r="CX5">
        <f t="shared" ref="CX5" si="36">IF(CW5=1,1,IF(CX8=0, CX4*CX7, 0))</f>
        <v>0</v>
      </c>
      <c r="CY5">
        <f t="shared" ref="CY5" si="37">IF(CX5=1,1,IF(CY8=0, CY4*CY7, 0))</f>
        <v>0</v>
      </c>
      <c r="CZ5">
        <f t="shared" ref="CZ5" si="38">IF(CY5=1,1,IF(CZ8=0, CZ4*CZ7, 0))</f>
        <v>0</v>
      </c>
      <c r="DA5">
        <f t="shared" ref="DA5" si="39">IF(CZ5=1,1,IF(DA8=0, DA4*DA7, 0))</f>
        <v>0</v>
      </c>
      <c r="DB5">
        <f t="shared" ref="DB5" si="40">IF(DA5=1,1,IF(DB8=0, DB4*DB7, 0))</f>
        <v>0</v>
      </c>
      <c r="DC5">
        <f t="shared" ref="DC5" si="41">IF(DB5=1,1,IF(DC8=0, DC4*DC7, 0))</f>
        <v>1</v>
      </c>
      <c r="DD5">
        <f t="shared" ref="DD5" si="42">IF(DC5=1,1,IF(DD8=0, DD4*DD7, 0))</f>
        <v>1</v>
      </c>
      <c r="DI5" s="9" t="s">
        <v>1713</v>
      </c>
      <c r="DJ5" s="12">
        <f>IF(DJ8=0, DJ4*DJ7, 0)</f>
        <v>0</v>
      </c>
      <c r="DK5">
        <f>IF(DJ5=1,1,IF(DK8=0, DK4*DK7, 0))</f>
        <v>0</v>
      </c>
      <c r="DL5">
        <f t="shared" ref="DL5" si="43">IF(DK5=1,1,IF(DL8=0, DL4*DL7, 0))</f>
        <v>0</v>
      </c>
      <c r="DM5">
        <f t="shared" ref="DM5" si="44">IF(DL5=1,1,IF(DM8=0, DM4*DM7, 0))</f>
        <v>0</v>
      </c>
      <c r="DN5">
        <f t="shared" ref="DN5" si="45">IF(DM5=1,1,IF(DN8=0, DN4*DN7, 0))</f>
        <v>0</v>
      </c>
      <c r="DO5">
        <f t="shared" ref="DO5" si="46">IF(DN5=1,1,IF(DO8=0, DO4*DO7, 0))</f>
        <v>0</v>
      </c>
      <c r="DP5">
        <f t="shared" ref="DP5" si="47">IF(DO5=1,1,IF(DP8=0, DP4*DP7, 0))</f>
        <v>0</v>
      </c>
      <c r="DQ5">
        <f t="shared" ref="DQ5" si="48">IF(DP5=1,1,IF(DQ8=0, DQ4*DQ7, 0))</f>
        <v>0</v>
      </c>
      <c r="DR5">
        <f t="shared" ref="DR5" si="49">IF(DQ5=1,1,IF(DR8=0, DR4*DR7, 0))</f>
        <v>1</v>
      </c>
      <c r="DW5" s="9"/>
      <c r="DX5" s="12"/>
    </row>
    <row r="6" spans="1:140" x14ac:dyDescent="0.2">
      <c r="A6" s="9" t="s">
        <v>23</v>
      </c>
      <c r="B6" s="13"/>
      <c r="J6" s="13"/>
      <c r="K6" s="13"/>
      <c r="L6" s="13"/>
      <c r="M6" s="9"/>
      <c r="N6" s="9"/>
      <c r="O6" s="9" t="s">
        <v>24</v>
      </c>
      <c r="P6" s="13">
        <v>0</v>
      </c>
      <c r="Q6" s="13">
        <f>(Q5-P5)</f>
        <v>1</v>
      </c>
      <c r="R6" s="13">
        <f t="shared" ref="R6" si="50">(R5-Q5)</f>
        <v>0</v>
      </c>
      <c r="S6" s="13">
        <f t="shared" ref="S6" si="51">(S5-R5)</f>
        <v>0</v>
      </c>
      <c r="T6" s="13">
        <f t="shared" ref="T6" si="52">(T5-S5)</f>
        <v>0</v>
      </c>
      <c r="U6" s="13">
        <f t="shared" ref="U6" si="53">(U5-T5)</f>
        <v>0</v>
      </c>
      <c r="V6" s="13">
        <f t="shared" ref="V6" si="54">(V5-U5)</f>
        <v>0</v>
      </c>
      <c r="W6" s="13">
        <f t="shared" ref="W6" si="55">(W5-V5)</f>
        <v>0</v>
      </c>
      <c r="X6" s="13">
        <f t="shared" ref="X6" si="56">(X5-W5)</f>
        <v>0</v>
      </c>
      <c r="AC6" s="9" t="s">
        <v>25</v>
      </c>
      <c r="AD6" s="13">
        <v>0</v>
      </c>
      <c r="AE6" s="13">
        <f>(AE5-AD5)</f>
        <v>0</v>
      </c>
      <c r="AF6" s="13">
        <f t="shared" ref="AF6:AI6" si="57">(AF5-AE5)</f>
        <v>1</v>
      </c>
      <c r="AG6" s="13">
        <f t="shared" si="57"/>
        <v>0</v>
      </c>
      <c r="AH6" s="13">
        <f t="shared" si="57"/>
        <v>0</v>
      </c>
      <c r="AI6" s="13">
        <f t="shared" si="57"/>
        <v>0</v>
      </c>
      <c r="AJ6" s="13">
        <f t="shared" ref="AJ6" si="58">(AJ5-AI5)</f>
        <v>0</v>
      </c>
      <c r="AK6" s="13">
        <f t="shared" ref="AK6" si="59">(AK5-AJ5)</f>
        <v>0</v>
      </c>
      <c r="AL6" s="13">
        <f t="shared" ref="AL6" si="60">(AL5-AK5)</f>
        <v>0</v>
      </c>
      <c r="AQ6" s="9" t="s">
        <v>26</v>
      </c>
      <c r="AR6" s="13">
        <v>0</v>
      </c>
      <c r="AS6" s="13">
        <f>(AS5-AR5)</f>
        <v>0</v>
      </c>
      <c r="AT6" s="13">
        <f t="shared" ref="AT6" si="61">(AT5-AS5)</f>
        <v>0</v>
      </c>
      <c r="AU6" s="13">
        <f t="shared" ref="AU6" si="62">(AU5-AT5)</f>
        <v>1</v>
      </c>
      <c r="AV6" s="13">
        <f t="shared" ref="AV6" si="63">(AV5-AU5)</f>
        <v>0</v>
      </c>
      <c r="AW6" s="13">
        <f t="shared" ref="AW6" si="64">(AW5-AV5)</f>
        <v>0</v>
      </c>
      <c r="AX6" s="13">
        <f t="shared" ref="AX6" si="65">(AX5-AW5)</f>
        <v>0</v>
      </c>
      <c r="AY6" s="13">
        <f t="shared" ref="AY6" si="66">(AY5-AX5)</f>
        <v>0</v>
      </c>
      <c r="AZ6" s="13">
        <f t="shared" ref="AZ6" si="67">(AZ5-AY5)</f>
        <v>0</v>
      </c>
      <c r="BE6" s="9" t="s">
        <v>27</v>
      </c>
      <c r="BF6" s="13">
        <v>0</v>
      </c>
      <c r="BG6" s="13">
        <f>(BG5-BF5)</f>
        <v>0</v>
      </c>
      <c r="BH6" s="13">
        <f t="shared" ref="BH6" si="68">(BH5-BG5)</f>
        <v>0</v>
      </c>
      <c r="BI6" s="13">
        <f t="shared" ref="BI6" si="69">(BI5-BH5)</f>
        <v>0</v>
      </c>
      <c r="BJ6" s="13">
        <f t="shared" ref="BJ6" si="70">(BJ5-BI5)</f>
        <v>1</v>
      </c>
      <c r="BK6" s="13">
        <f t="shared" ref="BK6" si="71">(BK5-BJ5)</f>
        <v>0</v>
      </c>
      <c r="BL6" s="13">
        <f t="shared" ref="BL6" si="72">(BL5-BK5)</f>
        <v>0</v>
      </c>
      <c r="BM6" s="13">
        <f t="shared" ref="BM6" si="73">(BM5-BL5)</f>
        <v>0</v>
      </c>
      <c r="BN6" s="13">
        <f t="shared" ref="BN6" si="74">(BN5-BM5)</f>
        <v>0</v>
      </c>
      <c r="BS6" s="9" t="s">
        <v>1696</v>
      </c>
      <c r="BT6" s="13">
        <v>0</v>
      </c>
      <c r="BU6" s="13">
        <f>(BU5-BT5)</f>
        <v>0</v>
      </c>
      <c r="BV6" s="13">
        <f t="shared" ref="BV6" si="75">(BV5-BU5)</f>
        <v>0</v>
      </c>
      <c r="BW6" s="13">
        <f t="shared" ref="BW6" si="76">(BW5-BV5)</f>
        <v>0</v>
      </c>
      <c r="BX6" s="13">
        <f t="shared" ref="BX6" si="77">(BX5-BW5)</f>
        <v>0</v>
      </c>
      <c r="BY6" s="13">
        <f t="shared" ref="BY6" si="78">(BY5-BX5)</f>
        <v>1</v>
      </c>
      <c r="BZ6" s="13">
        <f t="shared" ref="BZ6" si="79">(BZ5-BY5)</f>
        <v>0</v>
      </c>
      <c r="CA6" s="13">
        <f t="shared" ref="CA6" si="80">(CA5-BZ5)</f>
        <v>0</v>
      </c>
      <c r="CB6" s="13">
        <f t="shared" ref="CB6" si="81">(CB5-CA5)</f>
        <v>0</v>
      </c>
      <c r="CG6" s="9" t="s">
        <v>1702</v>
      </c>
      <c r="CH6" s="13">
        <v>0</v>
      </c>
      <c r="CI6" s="13">
        <f>(CI5-CH5)</f>
        <v>0</v>
      </c>
      <c r="CJ6" s="13">
        <f t="shared" ref="CJ6" si="82">(CJ5-CI5)</f>
        <v>0</v>
      </c>
      <c r="CK6" s="13">
        <f t="shared" ref="CK6" si="83">(CK5-CJ5)</f>
        <v>0</v>
      </c>
      <c r="CL6" s="13">
        <f t="shared" ref="CL6" si="84">(CL5-CK5)</f>
        <v>0</v>
      </c>
      <c r="CM6" s="13">
        <f t="shared" ref="CM6" si="85">(CM5-CL5)</f>
        <v>0</v>
      </c>
      <c r="CN6" s="13">
        <f t="shared" ref="CN6" si="86">(CN5-CM5)</f>
        <v>1</v>
      </c>
      <c r="CO6" s="13">
        <f t="shared" ref="CO6" si="87">(CO5-CN5)</f>
        <v>0</v>
      </c>
      <c r="CP6" s="13">
        <f t="shared" ref="CP6" si="88">(CP5-CO5)</f>
        <v>0</v>
      </c>
      <c r="CU6" s="9" t="s">
        <v>1708</v>
      </c>
      <c r="CV6" s="13">
        <v>0</v>
      </c>
      <c r="CW6" s="13">
        <f>(CW5-CV5)</f>
        <v>0</v>
      </c>
      <c r="CX6" s="13">
        <f t="shared" ref="CX6" si="89">(CX5-CW5)</f>
        <v>0</v>
      </c>
      <c r="CY6" s="13">
        <f t="shared" ref="CY6" si="90">(CY5-CX5)</f>
        <v>0</v>
      </c>
      <c r="CZ6" s="13">
        <f t="shared" ref="CZ6" si="91">(CZ5-CY5)</f>
        <v>0</v>
      </c>
      <c r="DA6" s="13">
        <f t="shared" ref="DA6" si="92">(DA5-CZ5)</f>
        <v>0</v>
      </c>
      <c r="DB6" s="13">
        <f t="shared" ref="DB6" si="93">(DB5-DA5)</f>
        <v>0</v>
      </c>
      <c r="DC6" s="13">
        <f t="shared" ref="DC6" si="94">(DC5-DB5)</f>
        <v>1</v>
      </c>
      <c r="DD6" s="13">
        <f t="shared" ref="DD6" si="95">(DD5-DC5)</f>
        <v>0</v>
      </c>
      <c r="DI6" s="9" t="s">
        <v>1714</v>
      </c>
      <c r="DJ6" s="13">
        <v>0</v>
      </c>
      <c r="DK6" s="13">
        <f>(DK5-DJ5)</f>
        <v>0</v>
      </c>
      <c r="DL6" s="13">
        <f t="shared" ref="DL6" si="96">(DL5-DK5)</f>
        <v>0</v>
      </c>
      <c r="DM6" s="13">
        <f t="shared" ref="DM6" si="97">(DM5-DL5)</f>
        <v>0</v>
      </c>
      <c r="DN6" s="13">
        <f t="shared" ref="DN6" si="98">(DN5-DM5)</f>
        <v>0</v>
      </c>
      <c r="DO6" s="13">
        <f t="shared" ref="DO6" si="99">(DO5-DN5)</f>
        <v>0</v>
      </c>
      <c r="DP6" s="13">
        <f t="shared" ref="DP6" si="100">(DP5-DO5)</f>
        <v>0</v>
      </c>
      <c r="DQ6" s="13">
        <f t="shared" ref="DQ6" si="101">(DQ5-DP5)</f>
        <v>0</v>
      </c>
      <c r="DR6" s="13">
        <f t="shared" ref="DR6" si="102">(DR5-DQ5)</f>
        <v>1</v>
      </c>
      <c r="DW6" s="9"/>
      <c r="DX6" s="13"/>
      <c r="DY6" s="13"/>
      <c r="DZ6" s="13"/>
      <c r="EA6" s="13"/>
      <c r="EB6" s="13"/>
      <c r="EC6" s="13"/>
      <c r="ED6" s="13"/>
      <c r="EE6" s="13"/>
      <c r="EF6" s="13"/>
    </row>
    <row r="7" spans="1:140" x14ac:dyDescent="0.2">
      <c r="A7" s="9" t="s">
        <v>28</v>
      </c>
      <c r="B7" s="13"/>
      <c r="J7" s="13"/>
      <c r="K7" s="13"/>
      <c r="L7" s="13"/>
      <c r="M7" s="9"/>
      <c r="N7" s="9"/>
      <c r="O7" s="9" t="s">
        <v>29</v>
      </c>
      <c r="P7" s="13">
        <v>1</v>
      </c>
      <c r="Q7" s="13">
        <f>P7</f>
        <v>1</v>
      </c>
      <c r="R7" s="13">
        <f t="shared" ref="R7" si="103">Q7</f>
        <v>1</v>
      </c>
      <c r="S7" s="13">
        <f t="shared" ref="S7" si="104">R7</f>
        <v>1</v>
      </c>
      <c r="T7" s="13">
        <f t="shared" ref="T7" si="105">S7</f>
        <v>1</v>
      </c>
      <c r="U7" s="13">
        <f t="shared" ref="U7" si="106">T7</f>
        <v>1</v>
      </c>
      <c r="V7" s="13">
        <f t="shared" ref="V7" si="107">U7</f>
        <v>1</v>
      </c>
      <c r="W7" s="13">
        <f t="shared" ref="W7" si="108">V7</f>
        <v>1</v>
      </c>
      <c r="X7" s="13">
        <f t="shared" ref="X7" si="109">W7</f>
        <v>1</v>
      </c>
      <c r="AC7" s="9" t="s">
        <v>30</v>
      </c>
      <c r="AD7" s="13">
        <v>1</v>
      </c>
      <c r="AE7" s="13">
        <f>AD7</f>
        <v>1</v>
      </c>
      <c r="AF7" s="13">
        <f t="shared" ref="AF7:AI7" si="110">AE7</f>
        <v>1</v>
      </c>
      <c r="AG7" s="13">
        <f t="shared" si="110"/>
        <v>1</v>
      </c>
      <c r="AH7" s="13">
        <f t="shared" si="110"/>
        <v>1</v>
      </c>
      <c r="AI7" s="13">
        <f t="shared" si="110"/>
        <v>1</v>
      </c>
      <c r="AJ7" s="13">
        <f t="shared" ref="AJ7" si="111">AI7</f>
        <v>1</v>
      </c>
      <c r="AK7" s="13">
        <f t="shared" ref="AK7" si="112">AJ7</f>
        <v>1</v>
      </c>
      <c r="AL7" s="13">
        <f t="shared" ref="AL7" si="113">AK7</f>
        <v>1</v>
      </c>
      <c r="AQ7" s="9" t="s">
        <v>31</v>
      </c>
      <c r="AR7" s="13">
        <v>1</v>
      </c>
      <c r="AS7" s="13">
        <f>AR7</f>
        <v>1</v>
      </c>
      <c r="AT7" s="13">
        <f t="shared" ref="AT7" si="114">AS7</f>
        <v>1</v>
      </c>
      <c r="AU7" s="13">
        <f t="shared" ref="AU7" si="115">AT7</f>
        <v>1</v>
      </c>
      <c r="AV7" s="13">
        <f t="shared" ref="AV7" si="116">AU7</f>
        <v>1</v>
      </c>
      <c r="AW7" s="13">
        <f t="shared" ref="AW7" si="117">AV7</f>
        <v>1</v>
      </c>
      <c r="AX7" s="13">
        <f t="shared" ref="AX7" si="118">AW7</f>
        <v>1</v>
      </c>
      <c r="AY7" s="13">
        <f t="shared" ref="AY7" si="119">AX7</f>
        <v>1</v>
      </c>
      <c r="AZ7" s="13">
        <f t="shared" ref="AZ7" si="120">AY7</f>
        <v>1</v>
      </c>
      <c r="BE7" s="9" t="s">
        <v>32</v>
      </c>
      <c r="BF7" s="13">
        <v>1</v>
      </c>
      <c r="BG7" s="13">
        <f>BF7</f>
        <v>1</v>
      </c>
      <c r="BH7" s="13">
        <f t="shared" ref="BH7" si="121">BG7</f>
        <v>1</v>
      </c>
      <c r="BI7" s="13">
        <f t="shared" ref="BI7" si="122">BH7</f>
        <v>1</v>
      </c>
      <c r="BJ7" s="13">
        <f t="shared" ref="BJ7" si="123">BI7</f>
        <v>1</v>
      </c>
      <c r="BK7" s="13">
        <f t="shared" ref="BK7" si="124">BJ7</f>
        <v>1</v>
      </c>
      <c r="BL7" s="13">
        <f t="shared" ref="BL7" si="125">BK7</f>
        <v>1</v>
      </c>
      <c r="BM7" s="13">
        <f t="shared" ref="BM7" si="126">BL7</f>
        <v>1</v>
      </c>
      <c r="BN7" s="13">
        <f t="shared" ref="BN7" si="127">BM7</f>
        <v>1</v>
      </c>
      <c r="BS7" s="9" t="s">
        <v>1697</v>
      </c>
      <c r="BT7" s="13">
        <v>1</v>
      </c>
      <c r="BU7" s="13">
        <f>BT7</f>
        <v>1</v>
      </c>
      <c r="BV7" s="13">
        <f t="shared" ref="BV7" si="128">BU7</f>
        <v>1</v>
      </c>
      <c r="BW7" s="13">
        <f t="shared" ref="BW7" si="129">BV7</f>
        <v>1</v>
      </c>
      <c r="BX7" s="13">
        <f t="shared" ref="BX7" si="130">BW7</f>
        <v>1</v>
      </c>
      <c r="BY7" s="13">
        <f t="shared" ref="BY7" si="131">BX7</f>
        <v>1</v>
      </c>
      <c r="BZ7" s="13">
        <f t="shared" ref="BZ7" si="132">BY7</f>
        <v>1</v>
      </c>
      <c r="CA7" s="13">
        <f t="shared" ref="CA7" si="133">BZ7</f>
        <v>1</v>
      </c>
      <c r="CB7" s="13">
        <f t="shared" ref="CB7" si="134">CA7</f>
        <v>1</v>
      </c>
      <c r="CG7" s="9" t="s">
        <v>1703</v>
      </c>
      <c r="CH7" s="13">
        <v>1</v>
      </c>
      <c r="CI7" s="13">
        <f>CH7</f>
        <v>1</v>
      </c>
      <c r="CJ7" s="13">
        <f t="shared" ref="CJ7:CJ8" si="135">CI7</f>
        <v>1</v>
      </c>
      <c r="CK7" s="13">
        <f t="shared" ref="CK7:CK8" si="136">CJ7</f>
        <v>1</v>
      </c>
      <c r="CL7" s="13">
        <f t="shared" ref="CL7:CL8" si="137">CK7</f>
        <v>1</v>
      </c>
      <c r="CM7" s="13">
        <f t="shared" ref="CM7:CM8" si="138">CL7</f>
        <v>1</v>
      </c>
      <c r="CN7" s="13">
        <f t="shared" ref="CN7:CN8" si="139">CM7</f>
        <v>1</v>
      </c>
      <c r="CO7" s="13">
        <f t="shared" ref="CO7:CO8" si="140">CN7</f>
        <v>1</v>
      </c>
      <c r="CP7" s="13">
        <f t="shared" ref="CP7:CP8" si="141">CO7</f>
        <v>1</v>
      </c>
      <c r="CU7" s="9" t="s">
        <v>1709</v>
      </c>
      <c r="CV7" s="13">
        <v>1</v>
      </c>
      <c r="CW7" s="13">
        <f>CV7</f>
        <v>1</v>
      </c>
      <c r="CX7" s="13">
        <f t="shared" ref="CX7:CX8" si="142">CW7</f>
        <v>1</v>
      </c>
      <c r="CY7" s="13">
        <f t="shared" ref="CY7:CY8" si="143">CX7</f>
        <v>1</v>
      </c>
      <c r="CZ7" s="13">
        <f t="shared" ref="CZ7:CZ8" si="144">CY7</f>
        <v>1</v>
      </c>
      <c r="DA7" s="13">
        <f t="shared" ref="DA7:DA8" si="145">CZ7</f>
        <v>1</v>
      </c>
      <c r="DB7" s="13">
        <f t="shared" ref="DB7:DB8" si="146">DA7</f>
        <v>1</v>
      </c>
      <c r="DC7" s="13">
        <f t="shared" ref="DC7:DC8" si="147">DB7</f>
        <v>1</v>
      </c>
      <c r="DD7" s="13">
        <f t="shared" ref="DD7:DD8" si="148">DC7</f>
        <v>1</v>
      </c>
      <c r="DI7" s="9" t="s">
        <v>1715</v>
      </c>
      <c r="DJ7" s="13">
        <v>1</v>
      </c>
      <c r="DK7" s="13">
        <f>DJ7</f>
        <v>1</v>
      </c>
      <c r="DL7" s="13">
        <f t="shared" ref="DL7:DL8" si="149">DK7</f>
        <v>1</v>
      </c>
      <c r="DM7" s="13">
        <f t="shared" ref="DM7:DM8" si="150">DL7</f>
        <v>1</v>
      </c>
      <c r="DN7" s="13">
        <f t="shared" ref="DN7:DN8" si="151">DM7</f>
        <v>1</v>
      </c>
      <c r="DO7" s="13">
        <f t="shared" ref="DO7:DO8" si="152">DN7</f>
        <v>1</v>
      </c>
      <c r="DP7" s="13">
        <f t="shared" ref="DP7:DP8" si="153">DO7</f>
        <v>1</v>
      </c>
      <c r="DQ7" s="13">
        <f t="shared" ref="DQ7:DQ8" si="154">DP7</f>
        <v>1</v>
      </c>
      <c r="DR7" s="13">
        <f t="shared" ref="DR7:DR8" si="155">DQ7</f>
        <v>1</v>
      </c>
      <c r="DW7" s="9"/>
      <c r="DX7" s="13"/>
      <c r="DY7" s="13"/>
      <c r="DZ7" s="13"/>
      <c r="EA7" s="13"/>
      <c r="EB7" s="13"/>
      <c r="EC7" s="13"/>
      <c r="ED7" s="13"/>
      <c r="EE7" s="13"/>
      <c r="EF7" s="13"/>
    </row>
    <row r="8" spans="1:140" x14ac:dyDescent="0.2">
      <c r="A8" s="9" t="s">
        <v>33</v>
      </c>
      <c r="B8" s="13"/>
      <c r="J8" s="13"/>
      <c r="K8" s="13"/>
      <c r="L8" s="13"/>
      <c r="M8" s="9"/>
      <c r="N8" s="9"/>
      <c r="O8" s="9" t="s">
        <v>34</v>
      </c>
      <c r="P8" s="13">
        <f>IF(('Economy Ministry'!P6+'Economy Ministry'!AH6)*EcEnabled+('Environment Ministry'!P6+'Environment Ministry'!AH6)*EnvEnabled+('Defence Ministry'!P6+'Defence Ministry'!AH6)*DefEnabled+('Education Ministry'!P6+'Education Ministry'!AH6)*EduEnabled&gt;=(EcEnabled + EnvEnabled + DefEnabled + EduEnabled)*20000000,1,0)</f>
        <v>0</v>
      </c>
      <c r="Q8" s="13">
        <f>IF(('Economy Ministry'!Q6+'Economy Ministry'!AI6)*EcEnabled+('Environment Ministry'!Q6+'Environment Ministry'!AI6)*EnvEnabled+('Defence Ministry'!Q6+'Defence Ministry'!AI6)*DefEnabled+('Education Ministry'!Q6+'Education Ministry'!AI6)*EduEnabled&gt;=(EcEnabled + EnvEnabled + DefEnabled + EduEnabled)*20000000,1,0)</f>
        <v>0</v>
      </c>
      <c r="R8" s="13">
        <f>IF(('Economy Ministry'!R6+'Economy Ministry'!AJ6)*EcEnabled+('Environment Ministry'!R6+'Environment Ministry'!AJ6)*EnvEnabled+('Defence Ministry'!R6+'Defence Ministry'!AJ6)*DefEnabled+('Education Ministry'!R6+'Education Ministry'!AJ6)*EduEnabled&gt;=(EcEnabled + EnvEnabled + DefEnabled + EduEnabled)*20000000,1,0)</f>
        <v>0</v>
      </c>
      <c r="S8" s="13">
        <f>IF(('Economy Ministry'!S6+'Economy Ministry'!AK6)*EcEnabled+('Environment Ministry'!S6+'Environment Ministry'!AK6)*EnvEnabled+('Defence Ministry'!S6+'Defence Ministry'!AK6)*DefEnabled+('Education Ministry'!S6+'Education Ministry'!AK6)*EduEnabled&gt;=(EcEnabled + EnvEnabled + DefEnabled + EduEnabled)*20000000,1,0)</f>
        <v>0</v>
      </c>
      <c r="T8" s="13">
        <f>IF(('Economy Ministry'!T6+'Economy Ministry'!AL6)*EcEnabled+('Environment Ministry'!T6+'Environment Ministry'!AL6)*EnvEnabled+('Defence Ministry'!T6+'Defence Ministry'!AL6)*DefEnabled+('Education Ministry'!T6+'Education Ministry'!AL6)*EduEnabled&gt;=(EcEnabled + EnvEnabled + DefEnabled + EduEnabled)*20000000,1,0)</f>
        <v>0</v>
      </c>
      <c r="U8" s="13">
        <f>IF(('Economy Ministry'!U6+'Economy Ministry'!AM6)*EcEnabled+('Environment Ministry'!U6+'Environment Ministry'!AM6)*EnvEnabled+('Defence Ministry'!U6+'Defence Ministry'!AM6)*DefEnabled+('Education Ministry'!U6+'Education Ministry'!AM6)*EduEnabled&gt;=(EcEnabled + EnvEnabled + DefEnabled + EduEnabled)*20000000,1,0)</f>
        <v>0</v>
      </c>
      <c r="V8" s="13">
        <f>IF(('Economy Ministry'!V6+'Economy Ministry'!AN6)*EcEnabled+('Environment Ministry'!V6+'Environment Ministry'!AN6)*EnvEnabled+('Defence Ministry'!V6+'Defence Ministry'!AN6)*DefEnabled+('Education Ministry'!V6+'Education Ministry'!AN6)*EduEnabled&gt;=(EcEnabled + EnvEnabled + DefEnabled + EduEnabled)*20000000,1,0)</f>
        <v>0</v>
      </c>
      <c r="W8" s="13">
        <f>IF(('Economy Ministry'!W6+'Economy Ministry'!AO6)*EcEnabled+('Environment Ministry'!W6+'Environment Ministry'!AO6)*EnvEnabled+('Defence Ministry'!W6+'Defence Ministry'!AO6)*DefEnabled+('Education Ministry'!W6+'Education Ministry'!AO6)*EduEnabled&gt;=(EcEnabled + EnvEnabled + DefEnabled + EduEnabled)*20000000,1,0)</f>
        <v>0</v>
      </c>
      <c r="X8" s="13">
        <f>IF(('Economy Ministry'!X6+'Economy Ministry'!AP6)*EcEnabled+('Environment Ministry'!X6+'Environment Ministry'!AP6)*EnvEnabled+('Defence Ministry'!X6+'Defence Ministry'!AP6)*DefEnabled+('Education Ministry'!X6+'Education Ministry'!AP6)*EduEnabled&gt;=(EcEnabled + EnvEnabled + DefEnabled + EduEnabled)*20000000,1,0)</f>
        <v>0</v>
      </c>
      <c r="AC8" s="9" t="s">
        <v>35</v>
      </c>
      <c r="AD8" s="13">
        <f>IF('Environment Ministry'!CV4+'Environment Ministry'!CF4=2,1,0)</f>
        <v>0</v>
      </c>
      <c r="AE8" s="13">
        <f>IF('Environment Ministry'!CW4+'Environment Ministry'!CG4=2,1,0)</f>
        <v>0</v>
      </c>
      <c r="AF8" s="13">
        <f>IF('Environment Ministry'!CX4+'Environment Ministry'!CH4=2,1,0)</f>
        <v>0</v>
      </c>
      <c r="AG8" s="13">
        <f>IF('Environment Ministry'!CY4+'Environment Ministry'!CI4=2,1,0)</f>
        <v>0</v>
      </c>
      <c r="AH8" s="13">
        <f>IF('Environment Ministry'!CZ4+'Environment Ministry'!CJ4=2,1,0)</f>
        <v>0</v>
      </c>
      <c r="AI8" s="13">
        <f>IF('Environment Ministry'!DA4+'Environment Ministry'!CK4=2,1,0)</f>
        <v>0</v>
      </c>
      <c r="AJ8" s="13">
        <f>IF('Environment Ministry'!DB4+'Environment Ministry'!CL4=2,1,0)</f>
        <v>0</v>
      </c>
      <c r="AK8" s="13">
        <f>IF('Environment Ministry'!DC4+'Environment Ministry'!CM4=2,1,0)</f>
        <v>0</v>
      </c>
      <c r="AL8" s="13">
        <f>IF('Environment Ministry'!DD4+'Environment Ministry'!CN4=2,1,0)</f>
        <v>0</v>
      </c>
      <c r="AQ8" s="9" t="s">
        <v>36</v>
      </c>
      <c r="AR8" s="13">
        <f>IF(Results!B76&lt;Results!B75*2,1,0)</f>
        <v>0</v>
      </c>
      <c r="AS8" s="13">
        <f>IF(Results!C76&lt;Results!C75*2,1,0)</f>
        <v>0</v>
      </c>
      <c r="AT8" s="13">
        <f>IF(Results!D76&lt;Results!D75*2,1,0)</f>
        <v>0</v>
      </c>
      <c r="AU8" s="13">
        <f>IF(Results!E76&lt;Results!E75*2,1,0)</f>
        <v>0</v>
      </c>
      <c r="AV8" s="13">
        <f>IF(Results!F76&lt;Results!F75*2,1,0)</f>
        <v>0</v>
      </c>
      <c r="AW8" s="13">
        <f>IF(Results!G76&lt;Results!G75*2,1,0)</f>
        <v>0</v>
      </c>
      <c r="AX8" s="13">
        <f>IF(Results!H76&lt;Results!H75*2,1,0)</f>
        <v>0</v>
      </c>
      <c r="AY8" s="13">
        <f>IF(Results!I76&lt;Results!I75*2,1,0)</f>
        <v>0</v>
      </c>
      <c r="AZ8" s="13">
        <f>IF(Results!J76&lt;Results!J75*2,1,0)</f>
        <v>0</v>
      </c>
      <c r="BE8" s="9" t="s">
        <v>37</v>
      </c>
      <c r="BF8" s="13">
        <f>IF('Defence Ministry'!AZ4=1,1,0)</f>
        <v>0</v>
      </c>
      <c r="BG8" s="13">
        <f>IF('Defence Ministry'!BA4=1,1,0)</f>
        <v>0</v>
      </c>
      <c r="BH8" s="13">
        <f>IF('Defence Ministry'!BB4=1,1,0)</f>
        <v>0</v>
      </c>
      <c r="BI8" s="13">
        <f>IF('Defence Ministry'!BC4=1,1,0)</f>
        <v>0</v>
      </c>
      <c r="BJ8" s="13">
        <f>IF('Defence Ministry'!BD4=1,1,0)</f>
        <v>0</v>
      </c>
      <c r="BK8" s="13">
        <f>IF('Defence Ministry'!BE4=1,1,0)</f>
        <v>0</v>
      </c>
      <c r="BL8" s="13">
        <f>IF('Defence Ministry'!BF4=1,1,0)</f>
        <v>0</v>
      </c>
      <c r="BM8" s="13">
        <f>IF('Defence Ministry'!BG4=1,1,0)</f>
        <v>0</v>
      </c>
      <c r="BN8" s="13">
        <f>IF('Defence Ministry'!BH4=1,1,0)</f>
        <v>0</v>
      </c>
      <c r="BS8" s="9" t="s">
        <v>1698</v>
      </c>
      <c r="BT8" s="13">
        <f>IF('Education Ministry'!DL4=1,1,0)</f>
        <v>0</v>
      </c>
      <c r="BU8" s="13">
        <f>IF('Education Ministry'!DM4=1,1,0)</f>
        <v>0</v>
      </c>
      <c r="BV8" s="13">
        <f>IF('Education Ministry'!DN4=1,1,0)</f>
        <v>0</v>
      </c>
      <c r="BW8" s="13">
        <f>IF('Education Ministry'!DO4=1,1,0)</f>
        <v>0</v>
      </c>
      <c r="BX8" s="13">
        <f>IF('Education Ministry'!DP4=1,1,0)</f>
        <v>0</v>
      </c>
      <c r="BY8" s="13">
        <f>IF('Education Ministry'!DQ4=1,1,0)</f>
        <v>0</v>
      </c>
      <c r="BZ8" s="13">
        <f>IF('Education Ministry'!DR4=1,1,0)</f>
        <v>0</v>
      </c>
      <c r="CA8" s="13">
        <f>IF('Education Ministry'!DS4=1,1,0)</f>
        <v>0</v>
      </c>
      <c r="CB8" s="13">
        <f>IF('Education Ministry'!DT4=1,1,0)</f>
        <v>0</v>
      </c>
      <c r="CG8" s="9" t="s">
        <v>1704</v>
      </c>
      <c r="CH8" s="13">
        <v>0</v>
      </c>
      <c r="CI8" s="13">
        <f>CH8</f>
        <v>0</v>
      </c>
      <c r="CJ8" s="13">
        <f t="shared" si="135"/>
        <v>0</v>
      </c>
      <c r="CK8" s="13">
        <f t="shared" si="136"/>
        <v>0</v>
      </c>
      <c r="CL8" s="13">
        <f t="shared" si="137"/>
        <v>0</v>
      </c>
      <c r="CM8" s="13">
        <f t="shared" si="138"/>
        <v>0</v>
      </c>
      <c r="CN8" s="13">
        <f t="shared" si="139"/>
        <v>0</v>
      </c>
      <c r="CO8" s="13">
        <f t="shared" si="140"/>
        <v>0</v>
      </c>
      <c r="CP8" s="13">
        <f t="shared" si="141"/>
        <v>0</v>
      </c>
      <c r="CU8" s="9" t="s">
        <v>1710</v>
      </c>
      <c r="CV8" s="13">
        <v>0</v>
      </c>
      <c r="CW8" s="13">
        <f>CV8</f>
        <v>0</v>
      </c>
      <c r="CX8" s="13">
        <f t="shared" si="142"/>
        <v>0</v>
      </c>
      <c r="CY8" s="13">
        <f t="shared" si="143"/>
        <v>0</v>
      </c>
      <c r="CZ8" s="13">
        <f t="shared" si="144"/>
        <v>0</v>
      </c>
      <c r="DA8" s="13">
        <f t="shared" si="145"/>
        <v>0</v>
      </c>
      <c r="DB8" s="13">
        <f t="shared" si="146"/>
        <v>0</v>
      </c>
      <c r="DC8" s="13">
        <f t="shared" si="147"/>
        <v>0</v>
      </c>
      <c r="DD8" s="13">
        <f t="shared" si="148"/>
        <v>0</v>
      </c>
      <c r="DI8" s="9" t="s">
        <v>1716</v>
      </c>
      <c r="DJ8" s="13">
        <v>0</v>
      </c>
      <c r="DK8" s="13">
        <f>DJ8</f>
        <v>0</v>
      </c>
      <c r="DL8" s="13">
        <f t="shared" si="149"/>
        <v>0</v>
      </c>
      <c r="DM8" s="13">
        <f t="shared" si="150"/>
        <v>0</v>
      </c>
      <c r="DN8" s="13">
        <f t="shared" si="151"/>
        <v>0</v>
      </c>
      <c r="DO8" s="13">
        <f t="shared" si="152"/>
        <v>0</v>
      </c>
      <c r="DP8" s="13">
        <f t="shared" si="153"/>
        <v>0</v>
      </c>
      <c r="DQ8" s="13">
        <f t="shared" si="154"/>
        <v>0</v>
      </c>
      <c r="DR8" s="13">
        <f t="shared" si="155"/>
        <v>0</v>
      </c>
      <c r="DW8" s="9"/>
      <c r="DX8" s="13"/>
      <c r="DY8" s="13"/>
      <c r="DZ8" s="13"/>
      <c r="EA8" s="13"/>
      <c r="EB8" s="13"/>
      <c r="EC8" s="13"/>
      <c r="ED8" s="13"/>
      <c r="EE8" s="13"/>
      <c r="EF8" s="13"/>
    </row>
    <row r="9" spans="1:140" x14ac:dyDescent="0.2">
      <c r="A9" s="9"/>
      <c r="M9" s="9"/>
      <c r="O9" s="9" t="s">
        <v>38</v>
      </c>
      <c r="P9" s="12">
        <f>P6</f>
        <v>0</v>
      </c>
      <c r="Q9" s="12">
        <f t="shared" ref="Q9:R9" si="156">Q6</f>
        <v>1</v>
      </c>
      <c r="R9" s="12">
        <f t="shared" si="156"/>
        <v>0</v>
      </c>
      <c r="S9" s="12">
        <f>S6</f>
        <v>0</v>
      </c>
      <c r="T9" s="12">
        <f t="shared" ref="T9:X9" si="157">T6</f>
        <v>0</v>
      </c>
      <c r="U9" s="12">
        <f t="shared" si="157"/>
        <v>0</v>
      </c>
      <c r="V9" s="12">
        <f t="shared" si="157"/>
        <v>0</v>
      </c>
      <c r="W9" s="12">
        <f t="shared" si="157"/>
        <v>0</v>
      </c>
      <c r="X9" s="12">
        <f t="shared" si="157"/>
        <v>0</v>
      </c>
      <c r="AC9" s="9" t="s">
        <v>39</v>
      </c>
      <c r="AD9" s="12">
        <f>AD6</f>
        <v>0</v>
      </c>
      <c r="AE9" s="12">
        <f t="shared" ref="AE9:AL9" si="158">AE6</f>
        <v>0</v>
      </c>
      <c r="AF9" s="12">
        <f t="shared" si="158"/>
        <v>1</v>
      </c>
      <c r="AG9" s="12">
        <f>AG6</f>
        <v>0</v>
      </c>
      <c r="AH9" s="12">
        <f t="shared" si="158"/>
        <v>0</v>
      </c>
      <c r="AI9" s="12">
        <f t="shared" si="158"/>
        <v>0</v>
      </c>
      <c r="AJ9" s="12">
        <f t="shared" si="158"/>
        <v>0</v>
      </c>
      <c r="AK9" s="12">
        <f t="shared" si="158"/>
        <v>0</v>
      </c>
      <c r="AL9" s="12">
        <f t="shared" si="158"/>
        <v>0</v>
      </c>
      <c r="AQ9" s="9" t="s">
        <v>40</v>
      </c>
      <c r="AR9" s="12">
        <f>AR6</f>
        <v>0</v>
      </c>
      <c r="AS9" s="12">
        <f t="shared" ref="AS9:AT9" si="159">AS6</f>
        <v>0</v>
      </c>
      <c r="AT9" s="12">
        <f t="shared" si="159"/>
        <v>0</v>
      </c>
      <c r="AU9" s="12">
        <f>AU6</f>
        <v>1</v>
      </c>
      <c r="AV9" s="12">
        <f t="shared" ref="AV9:AZ9" si="160">AV6</f>
        <v>0</v>
      </c>
      <c r="AW9" s="12">
        <f t="shared" si="160"/>
        <v>0</v>
      </c>
      <c r="AX9" s="12">
        <f t="shared" si="160"/>
        <v>0</v>
      </c>
      <c r="AY9" s="12">
        <f t="shared" si="160"/>
        <v>0</v>
      </c>
      <c r="AZ9" s="12">
        <f t="shared" si="160"/>
        <v>0</v>
      </c>
      <c r="BE9" s="9" t="s">
        <v>41</v>
      </c>
      <c r="BF9" s="12">
        <f>BF6</f>
        <v>0</v>
      </c>
      <c r="BG9" s="12">
        <f t="shared" ref="BG9:BH9" si="161">BG6</f>
        <v>0</v>
      </c>
      <c r="BH9" s="12">
        <f t="shared" si="161"/>
        <v>0</v>
      </c>
      <c r="BI9" s="12">
        <f>BI6</f>
        <v>0</v>
      </c>
      <c r="BJ9" s="12">
        <f t="shared" ref="BJ9:BN9" si="162">BJ6</f>
        <v>1</v>
      </c>
      <c r="BK9" s="12">
        <f t="shared" si="162"/>
        <v>0</v>
      </c>
      <c r="BL9" s="12">
        <f t="shared" si="162"/>
        <v>0</v>
      </c>
      <c r="BM9" s="12">
        <f t="shared" si="162"/>
        <v>0</v>
      </c>
      <c r="BN9" s="12">
        <f t="shared" si="162"/>
        <v>0</v>
      </c>
      <c r="BS9" s="9" t="s">
        <v>1699</v>
      </c>
      <c r="BT9" s="12">
        <f>BT6</f>
        <v>0</v>
      </c>
      <c r="BU9" s="12">
        <f t="shared" ref="BU9:BV9" si="163">BU6</f>
        <v>0</v>
      </c>
      <c r="BV9" s="12">
        <f t="shared" si="163"/>
        <v>0</v>
      </c>
      <c r="BW9" s="12">
        <f>BW6</f>
        <v>0</v>
      </c>
      <c r="BX9" s="12">
        <f t="shared" ref="BX9:CB9" si="164">BX6</f>
        <v>0</v>
      </c>
      <c r="BY9" s="12">
        <f t="shared" si="164"/>
        <v>1</v>
      </c>
      <c r="BZ9" s="12">
        <f t="shared" si="164"/>
        <v>0</v>
      </c>
      <c r="CA9" s="12">
        <f t="shared" si="164"/>
        <v>0</v>
      </c>
      <c r="CB9" s="12">
        <f t="shared" si="164"/>
        <v>0</v>
      </c>
      <c r="CG9" s="9" t="s">
        <v>1705</v>
      </c>
      <c r="CH9" s="12">
        <f>CH6</f>
        <v>0</v>
      </c>
      <c r="CI9" s="12">
        <f t="shared" ref="CI9:CJ9" si="165">CI6</f>
        <v>0</v>
      </c>
      <c r="CJ9" s="12">
        <f t="shared" si="165"/>
        <v>0</v>
      </c>
      <c r="CK9" s="12">
        <f>CK6</f>
        <v>0</v>
      </c>
      <c r="CL9" s="12">
        <f t="shared" ref="CL9:CP9" si="166">CL6</f>
        <v>0</v>
      </c>
      <c r="CM9" s="12">
        <f t="shared" si="166"/>
        <v>0</v>
      </c>
      <c r="CN9" s="12">
        <f t="shared" si="166"/>
        <v>1</v>
      </c>
      <c r="CO9" s="12">
        <f t="shared" si="166"/>
        <v>0</v>
      </c>
      <c r="CP9" s="12">
        <f t="shared" si="166"/>
        <v>0</v>
      </c>
      <c r="CU9" s="9" t="s">
        <v>1711</v>
      </c>
      <c r="CV9" s="12">
        <f>CV6</f>
        <v>0</v>
      </c>
      <c r="CW9" s="12">
        <f t="shared" ref="CW9:CX9" si="167">CW6</f>
        <v>0</v>
      </c>
      <c r="CX9" s="12">
        <f t="shared" si="167"/>
        <v>0</v>
      </c>
      <c r="CY9" s="12">
        <f>CY6</f>
        <v>0</v>
      </c>
      <c r="CZ9" s="12">
        <f t="shared" ref="CZ9:DD9" si="168">CZ6</f>
        <v>0</v>
      </c>
      <c r="DA9" s="12">
        <f t="shared" si="168"/>
        <v>0</v>
      </c>
      <c r="DB9" s="12">
        <f t="shared" si="168"/>
        <v>0</v>
      </c>
      <c r="DC9" s="12">
        <f t="shared" si="168"/>
        <v>1</v>
      </c>
      <c r="DD9" s="12">
        <f t="shared" si="168"/>
        <v>0</v>
      </c>
      <c r="DI9" s="9" t="s">
        <v>1717</v>
      </c>
      <c r="DJ9" s="12">
        <f>DJ6</f>
        <v>0</v>
      </c>
      <c r="DK9" s="12">
        <f t="shared" ref="DK9:DL9" si="169">DK6</f>
        <v>0</v>
      </c>
      <c r="DL9" s="12">
        <f t="shared" si="169"/>
        <v>0</v>
      </c>
      <c r="DM9" s="12">
        <f>DM6</f>
        <v>0</v>
      </c>
      <c r="DN9" s="12">
        <f t="shared" ref="DN9:DR9" si="170">DN6</f>
        <v>0</v>
      </c>
      <c r="DO9" s="12">
        <f t="shared" si="170"/>
        <v>0</v>
      </c>
      <c r="DP9" s="12">
        <f t="shared" si="170"/>
        <v>0</v>
      </c>
      <c r="DQ9" s="12">
        <f t="shared" si="170"/>
        <v>0</v>
      </c>
      <c r="DR9" s="12">
        <f t="shared" si="170"/>
        <v>1</v>
      </c>
      <c r="DW9" s="9"/>
      <c r="DX9" s="12"/>
      <c r="DY9" s="12"/>
      <c r="DZ9" s="12"/>
      <c r="EA9" s="12"/>
      <c r="EB9" s="12"/>
      <c r="EC9" s="12"/>
      <c r="ED9" s="12"/>
      <c r="EE9" s="12"/>
      <c r="EF9" s="12"/>
    </row>
    <row r="10" spans="1:140" x14ac:dyDescent="0.2">
      <c r="M10" s="9"/>
      <c r="AQ10" s="9"/>
      <c r="BE10" s="9"/>
      <c r="BS10" s="9"/>
      <c r="CG10" s="9"/>
      <c r="CU10" s="9"/>
      <c r="DI10" s="9"/>
      <c r="DW10" s="9"/>
    </row>
    <row r="15" spans="1:140" x14ac:dyDescent="0.2">
      <c r="P15" s="13"/>
    </row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36" hidden="1" x14ac:dyDescent="0.2"/>
    <row r="50" spans="1:136" hidden="1" x14ac:dyDescent="0.2"/>
    <row r="51" spans="1:136" hidden="1" x14ac:dyDescent="0.2"/>
    <row r="52" spans="1:136" hidden="1" x14ac:dyDescent="0.2"/>
    <row r="53" spans="1:136" hidden="1" x14ac:dyDescent="0.2"/>
    <row r="54" spans="1:136" hidden="1" x14ac:dyDescent="0.2"/>
    <row r="55" spans="1:136" hidden="1" x14ac:dyDescent="0.2"/>
    <row r="56" spans="1:136" hidden="1" x14ac:dyDescent="0.2"/>
    <row r="57" spans="1:136" hidden="1" x14ac:dyDescent="0.2"/>
    <row r="58" spans="1:136" hidden="1" x14ac:dyDescent="0.2"/>
    <row r="59" spans="1:136" hidden="1" x14ac:dyDescent="0.2"/>
    <row r="60" spans="1:136" hidden="1" x14ac:dyDescent="0.2"/>
    <row r="61" spans="1:136" hidden="1" x14ac:dyDescent="0.2"/>
    <row r="63" spans="1:136" x14ac:dyDescent="0.2">
      <c r="A63" s="5" t="s">
        <v>45</v>
      </c>
    </row>
    <row r="64" spans="1:136" x14ac:dyDescent="0.2">
      <c r="A64" t="s">
        <v>1292</v>
      </c>
      <c r="B64" s="12">
        <f t="shared" ref="B64:B69" si="171">P64+AD64+AR64+BF64+BT64+CH64+CV64+DJ64</f>
        <v>0</v>
      </c>
      <c r="C64" s="12">
        <f t="shared" ref="C64:J64" si="172">Q64+AE64+AS64+BG64+BU64+CI64+CW64+DK64</f>
        <v>0</v>
      </c>
      <c r="D64" s="12">
        <f t="shared" si="172"/>
        <v>-1.6</v>
      </c>
      <c r="E64" s="12">
        <f t="shared" si="172"/>
        <v>-1.6</v>
      </c>
      <c r="F64" s="12">
        <f t="shared" si="172"/>
        <v>-1.6</v>
      </c>
      <c r="G64" s="12">
        <f t="shared" si="172"/>
        <v>-1.6</v>
      </c>
      <c r="H64" s="12">
        <f t="shared" si="172"/>
        <v>-1.6</v>
      </c>
      <c r="I64" s="12">
        <f t="shared" si="172"/>
        <v>-1.6</v>
      </c>
      <c r="J64" s="12">
        <f t="shared" si="172"/>
        <v>-1.6</v>
      </c>
      <c r="P64" s="12">
        <f>P$5*AA64</f>
        <v>0</v>
      </c>
      <c r="Q64" s="12">
        <f>Q$5*AA64</f>
        <v>0</v>
      </c>
      <c r="R64" s="12">
        <f>R$5*AA64</f>
        <v>0</v>
      </c>
      <c r="S64" s="12">
        <f>S$5*AA64</f>
        <v>0</v>
      </c>
      <c r="T64" s="12">
        <f>T$5*AA64</f>
        <v>0</v>
      </c>
      <c r="U64" s="12">
        <f>U$5*AA64</f>
        <v>0</v>
      </c>
      <c r="V64" s="12">
        <f>V$5*AA64</f>
        <v>0</v>
      </c>
      <c r="W64" s="12">
        <f>W$5*AA64</f>
        <v>0</v>
      </c>
      <c r="X64" s="12">
        <f>X$5*AA64</f>
        <v>0</v>
      </c>
      <c r="Z64" s="16" t="s">
        <v>1304</v>
      </c>
      <c r="AA64">
        <f>_xlfn.XLOOKUP(Z64,'KPI Impacts'!$B$2:$H$2,'KPI Impacts'!$B64:$H64)</f>
        <v>0</v>
      </c>
      <c r="AD64" s="12">
        <f>AD$5*AO64</f>
        <v>0</v>
      </c>
      <c r="AE64" s="12">
        <f>AE$5*AO64</f>
        <v>0</v>
      </c>
      <c r="AF64" s="12">
        <f>AF$5*AO64</f>
        <v>-1.6</v>
      </c>
      <c r="AG64" s="12">
        <f>AG$5*AO64</f>
        <v>-1.6</v>
      </c>
      <c r="AH64" s="12">
        <f>AH$5*AO64</f>
        <v>-1.6</v>
      </c>
      <c r="AI64" s="12">
        <f>AI$5*AO64</f>
        <v>-1.6</v>
      </c>
      <c r="AJ64" s="12">
        <f>AJ$5*AO64</f>
        <v>-1.6</v>
      </c>
      <c r="AK64" s="12">
        <f>AK$5*AO64</f>
        <v>-1.6</v>
      </c>
      <c r="AL64" s="12">
        <f>AL$5*AO64</f>
        <v>-1.6</v>
      </c>
      <c r="AN64" s="29" t="s">
        <v>1307</v>
      </c>
      <c r="AO64">
        <f>_xlfn.XLOOKUP(AN64,'KPI Impacts'!$B$2:$H$2,'KPI Impacts'!$B64:$H64)</f>
        <v>-1.6</v>
      </c>
      <c r="AR64" s="12">
        <f>AR$5*BC64</f>
        <v>0</v>
      </c>
      <c r="AS64" s="12">
        <f>AS$5*BC64</f>
        <v>0</v>
      </c>
      <c r="AT64" s="12">
        <f>AT$5*BC64</f>
        <v>0</v>
      </c>
      <c r="AU64" s="12">
        <f>AU$5*BC64</f>
        <v>0</v>
      </c>
      <c r="AV64" s="12">
        <f>AV$5*BC64</f>
        <v>0</v>
      </c>
      <c r="AW64" s="12">
        <f>AW$5*BC64</f>
        <v>0</v>
      </c>
      <c r="AX64" s="12">
        <f>AX$5*BC64</f>
        <v>0</v>
      </c>
      <c r="AY64" s="12">
        <f>AY$5*BC64</f>
        <v>0</v>
      </c>
      <c r="AZ64" s="12">
        <f>AZ$5*BC64</f>
        <v>0</v>
      </c>
      <c r="BB64" s="16" t="s">
        <v>1304</v>
      </c>
      <c r="BC64">
        <f>_xlfn.XLOOKUP(BB64,'KPI Impacts'!$B$2:$H$2,'KPI Impacts'!$B64:$H64)</f>
        <v>0</v>
      </c>
      <c r="BF64" s="12">
        <f>BF$5*BQ64</f>
        <v>0</v>
      </c>
      <c r="BG64" s="12">
        <f>BG$5*BQ64</f>
        <v>0</v>
      </c>
      <c r="BH64" s="12">
        <f>BH$5*BQ64</f>
        <v>0</v>
      </c>
      <c r="BI64" s="12">
        <f>BI$5*BQ64</f>
        <v>0</v>
      </c>
      <c r="BJ64" s="12">
        <f>BJ$5*BQ64</f>
        <v>0</v>
      </c>
      <c r="BK64" s="12">
        <f>BK$5*BQ64</f>
        <v>0</v>
      </c>
      <c r="BL64" s="12">
        <f>BL$5*BQ64</f>
        <v>0</v>
      </c>
      <c r="BM64" s="12">
        <f>BM$5*BQ64</f>
        <v>0</v>
      </c>
      <c r="BN64" s="12">
        <f>BN$5*BQ64</f>
        <v>0</v>
      </c>
      <c r="BP64" s="16" t="s">
        <v>1304</v>
      </c>
      <c r="BQ64">
        <f>_xlfn.XLOOKUP(BP64,'KPI Impacts'!$B$2:$H$2,'KPI Impacts'!$B64:$H64)</f>
        <v>0</v>
      </c>
      <c r="BT64" s="12">
        <f>BT$5*CE64</f>
        <v>0</v>
      </c>
      <c r="BU64" s="12">
        <f>BU$5*CE64</f>
        <v>0</v>
      </c>
      <c r="BV64" s="12">
        <f>BV$5*CE64</f>
        <v>0</v>
      </c>
      <c r="BW64" s="12">
        <f>BW$5*CE64</f>
        <v>0</v>
      </c>
      <c r="BX64" s="12">
        <f>BX$5*CE64</f>
        <v>0</v>
      </c>
      <c r="BY64" s="12">
        <f>BY$5*CE64</f>
        <v>0</v>
      </c>
      <c r="BZ64" s="12">
        <f>BZ$5*CE64</f>
        <v>0</v>
      </c>
      <c r="CA64" s="12">
        <f>CA$5*CE64</f>
        <v>0</v>
      </c>
      <c r="CB64" s="12">
        <f>CB$5*CE64</f>
        <v>0</v>
      </c>
      <c r="CD64" s="16" t="s">
        <v>1304</v>
      </c>
      <c r="CE64">
        <f>_xlfn.XLOOKUP(CD64,'KPI Impacts'!$B$2:$H$2,'KPI Impacts'!$B64:$H64)</f>
        <v>0</v>
      </c>
      <c r="CH64" s="12">
        <f>CH$5*CS64</f>
        <v>0</v>
      </c>
      <c r="CI64" s="12">
        <f>CI$5*CS64</f>
        <v>0</v>
      </c>
      <c r="CJ64" s="12">
        <f>CJ$5*CS64</f>
        <v>0</v>
      </c>
      <c r="CK64" s="12">
        <f>CK$5*CS64</f>
        <v>0</v>
      </c>
      <c r="CL64" s="12">
        <f>CL$5*CS64</f>
        <v>0</v>
      </c>
      <c r="CM64" s="12">
        <f>CM$5*CS64</f>
        <v>0</v>
      </c>
      <c r="CN64" s="12">
        <f>CN$5*CS64</f>
        <v>0</v>
      </c>
      <c r="CO64" s="12">
        <f>CO$5*CS64</f>
        <v>0</v>
      </c>
      <c r="CP64" s="12">
        <f>CP$5*CS64</f>
        <v>0</v>
      </c>
      <c r="CR64" s="16" t="s">
        <v>1304</v>
      </c>
      <c r="CS64">
        <f>_xlfn.XLOOKUP(CR64,'KPI Impacts'!$B$2:$H$2,'KPI Impacts'!$B64:$H64)</f>
        <v>0</v>
      </c>
      <c r="CV64" s="12">
        <f>CV$5*DG64</f>
        <v>0</v>
      </c>
      <c r="CW64" s="12">
        <f>CW$5*DG64</f>
        <v>0</v>
      </c>
      <c r="CX64" s="12">
        <f>CX$5*DG64</f>
        <v>0</v>
      </c>
      <c r="CY64" s="12">
        <f>CY$5*DG64</f>
        <v>0</v>
      </c>
      <c r="CZ64" s="12">
        <f>CZ$5*DG64</f>
        <v>0</v>
      </c>
      <c r="DA64" s="12">
        <f>DA$5*DG64</f>
        <v>0</v>
      </c>
      <c r="DB64" s="12">
        <f>DB$5*DG64</f>
        <v>0</v>
      </c>
      <c r="DC64" s="12">
        <f>DC$5*DG64</f>
        <v>0</v>
      </c>
      <c r="DD64" s="12">
        <f>DD$5*DG64</f>
        <v>0</v>
      </c>
      <c r="DF64" s="16" t="s">
        <v>1304</v>
      </c>
      <c r="DG64">
        <f>_xlfn.XLOOKUP(DF64,'KPI Impacts'!$B$2:$H$2,'KPI Impacts'!$B64:$H64)</f>
        <v>0</v>
      </c>
      <c r="DJ64" s="12">
        <f>DJ$5*DU64</f>
        <v>0</v>
      </c>
      <c r="DK64" s="12">
        <f>DK$5*DU64</f>
        <v>0</v>
      </c>
      <c r="DL64" s="12">
        <f>DL$5*DU64</f>
        <v>0</v>
      </c>
      <c r="DM64" s="12">
        <f>DM$5*DU64</f>
        <v>0</v>
      </c>
      <c r="DN64" s="12">
        <f>DN$5*DU64</f>
        <v>0</v>
      </c>
      <c r="DO64" s="12">
        <f>DO$5*DU64</f>
        <v>0</v>
      </c>
      <c r="DP64" s="12">
        <f>DP$5*DU64</f>
        <v>0</v>
      </c>
      <c r="DQ64" s="12">
        <f>DQ$5*DU64</f>
        <v>0</v>
      </c>
      <c r="DR64" s="12">
        <f>DR$5*DU64</f>
        <v>0</v>
      </c>
      <c r="DT64" s="16" t="s">
        <v>1304</v>
      </c>
      <c r="DU64">
        <f>_xlfn.XLOOKUP(DT64,'KPI Impacts'!$B$2:$H$2,'KPI Impacts'!$B64:$H64)</f>
        <v>0</v>
      </c>
      <c r="DX64" s="12"/>
      <c r="DY64" s="12"/>
      <c r="DZ64" s="12"/>
      <c r="EA64" s="12"/>
      <c r="EB64" s="12"/>
      <c r="EC64" s="12"/>
      <c r="ED64" s="12"/>
      <c r="EE64" s="12"/>
      <c r="EF64" s="12"/>
    </row>
    <row r="65" spans="1:136" x14ac:dyDescent="0.2">
      <c r="A65" t="s">
        <v>47</v>
      </c>
      <c r="B65" s="12">
        <f t="shared" si="171"/>
        <v>0</v>
      </c>
      <c r="C65" s="12">
        <f t="shared" ref="C65:C69" si="173">Q65+AE65+AS65+BG65+BU65+CI65+CW65+DK65</f>
        <v>0</v>
      </c>
      <c r="D65" s="12">
        <f t="shared" ref="D65:D69" si="174">R65+AF65+AT65+BH65+BV65+CJ65+CX65+DL65</f>
        <v>0</v>
      </c>
      <c r="E65" s="12">
        <f t="shared" ref="E65:E69" si="175">S65+AG65+AU65+BI65+BW65+CK65+CY65+DM65</f>
        <v>-2.4000000000000004</v>
      </c>
      <c r="F65" s="12">
        <f t="shared" ref="F65:F69" si="176">T65+AH65+AV65+BJ65+BX65+CL65+CZ65+DN65</f>
        <v>-2.4000000000000004</v>
      </c>
      <c r="G65" s="12">
        <f t="shared" ref="G65:G69" si="177">U65+AI65+AW65+BK65+BY65+CM65+DA65+DO65</f>
        <v>-2.4000000000000004</v>
      </c>
      <c r="H65" s="12">
        <f t="shared" ref="H65:H69" si="178">V65+AJ65+AX65+BL65+BZ65+CN65+DB65+DP65</f>
        <v>-2.4000000000000004</v>
      </c>
      <c r="I65" s="12">
        <f t="shared" ref="I65:I69" si="179">W65+AK65+AY65+BM65+CA65+CO65+DC65+DQ65</f>
        <v>-2.4000000000000004</v>
      </c>
      <c r="J65" s="12">
        <f t="shared" ref="J65:J69" si="180">X65+AL65+AZ65+BN65+CB65+CP65+DD65+DR65</f>
        <v>-2.4000000000000004</v>
      </c>
      <c r="P65" s="12">
        <f t="shared" ref="P65:P69" si="181">P$5*AA65</f>
        <v>0</v>
      </c>
      <c r="Q65" s="12">
        <f t="shared" ref="Q65:Q69" si="182">Q$5*AA65</f>
        <v>0</v>
      </c>
      <c r="R65" s="12">
        <f t="shared" ref="R65:R69" si="183">R$5*AA65</f>
        <v>0</v>
      </c>
      <c r="S65" s="12">
        <f t="shared" ref="S65:S69" si="184">S$5*AA65</f>
        <v>0</v>
      </c>
      <c r="T65" s="12">
        <f t="shared" ref="T65:T69" si="185">T$5*AA65</f>
        <v>0</v>
      </c>
      <c r="U65" s="12">
        <f t="shared" ref="U65:U69" si="186">U$5*AA65</f>
        <v>0</v>
      </c>
      <c r="V65" s="12">
        <f t="shared" ref="V65:V69" si="187">V$5*AA65</f>
        <v>0</v>
      </c>
      <c r="W65" s="12">
        <f t="shared" ref="W65:W69" si="188">W$5*AA65</f>
        <v>0</v>
      </c>
      <c r="X65" s="12">
        <f t="shared" ref="X65:X69" si="189">X$5*AA65</f>
        <v>0</v>
      </c>
      <c r="Z65" s="16" t="s">
        <v>1304</v>
      </c>
      <c r="AA65">
        <f>_xlfn.XLOOKUP(Z65,'KPI Impacts'!$B$2:$H$2,'KPI Impacts'!$B65:$H65)</f>
        <v>0</v>
      </c>
      <c r="AD65" s="12">
        <f t="shared" ref="AD65:AD69" si="190">AD$5*AO65</f>
        <v>0</v>
      </c>
      <c r="AE65" s="12">
        <f t="shared" ref="AE65:AE69" si="191">AE$5*AO65</f>
        <v>0</v>
      </c>
      <c r="AF65" s="12">
        <f t="shared" ref="AF65:AF69" si="192">AF$5*AO65</f>
        <v>0</v>
      </c>
      <c r="AG65" s="12">
        <f t="shared" ref="AG65:AG69" si="193">AG$5*AO65</f>
        <v>0</v>
      </c>
      <c r="AH65" s="12">
        <f t="shared" ref="AH65:AH69" si="194">AH$5*AO65</f>
        <v>0</v>
      </c>
      <c r="AI65" s="12">
        <f t="shared" ref="AI65:AI69" si="195">AI$5*AO65</f>
        <v>0</v>
      </c>
      <c r="AJ65" s="12">
        <f t="shared" ref="AJ65:AJ69" si="196">AJ$5*AO65</f>
        <v>0</v>
      </c>
      <c r="AK65" s="12">
        <f t="shared" ref="AK65:AK69" si="197">AK$5*AO65</f>
        <v>0</v>
      </c>
      <c r="AL65" s="12">
        <f t="shared" ref="AL65:AL69" si="198">AL$5*AO65</f>
        <v>0</v>
      </c>
      <c r="AN65" s="16" t="s">
        <v>1304</v>
      </c>
      <c r="AO65">
        <f>_xlfn.XLOOKUP(AN65,'KPI Impacts'!$B$2:$H$2,'KPI Impacts'!$B65:$H65)</f>
        <v>0</v>
      </c>
      <c r="AR65" s="12">
        <f t="shared" ref="AR65:AR69" si="199">AR$5*BC65</f>
        <v>0</v>
      </c>
      <c r="AS65" s="12">
        <f t="shared" ref="AS65:AS69" si="200">AS$5*BC65</f>
        <v>0</v>
      </c>
      <c r="AT65" s="12">
        <f t="shared" ref="AT65:AT69" si="201">AT$5*BC65</f>
        <v>0</v>
      </c>
      <c r="AU65" s="12">
        <f t="shared" ref="AU65:AU69" si="202">AU$5*BC65</f>
        <v>-2.4000000000000004</v>
      </c>
      <c r="AV65" s="12">
        <f t="shared" ref="AV65:AV69" si="203">AV$5*BC65</f>
        <v>-2.4000000000000004</v>
      </c>
      <c r="AW65" s="12">
        <f t="shared" ref="AW65:AW69" si="204">AW$5*BC65</f>
        <v>-2.4000000000000004</v>
      </c>
      <c r="AX65" s="12">
        <f t="shared" ref="AX65:AX69" si="205">AX$5*BC65</f>
        <v>-2.4000000000000004</v>
      </c>
      <c r="AY65" s="12">
        <f t="shared" ref="AY65:AY69" si="206">AY$5*BC65</f>
        <v>-2.4000000000000004</v>
      </c>
      <c r="AZ65" s="12">
        <f t="shared" ref="AZ65:AZ69" si="207">AZ$5*BC65</f>
        <v>-2.4000000000000004</v>
      </c>
      <c r="BB65" s="29" t="s">
        <v>1306</v>
      </c>
      <c r="BC65">
        <f>_xlfn.XLOOKUP(BB65,'KPI Impacts'!$B$2:$H$2,'KPI Impacts'!$B65:$H65)</f>
        <v>-2.4000000000000004</v>
      </c>
      <c r="BF65" s="12">
        <f t="shared" ref="BF65:BF69" si="208">BF$5*BQ65</f>
        <v>0</v>
      </c>
      <c r="BG65" s="12">
        <f t="shared" ref="BG65:BG69" si="209">BG$5*BQ65</f>
        <v>0</v>
      </c>
      <c r="BH65" s="12">
        <f t="shared" ref="BH65:BH69" si="210">BH$5*BQ65</f>
        <v>0</v>
      </c>
      <c r="BI65" s="12">
        <f t="shared" ref="BI65:BI69" si="211">BI$5*BQ65</f>
        <v>0</v>
      </c>
      <c r="BJ65" s="12">
        <f t="shared" ref="BJ65:BJ69" si="212">BJ$5*BQ65</f>
        <v>0</v>
      </c>
      <c r="BK65" s="12">
        <f t="shared" ref="BK65:BK69" si="213">BK$5*BQ65</f>
        <v>0</v>
      </c>
      <c r="BL65" s="12">
        <f t="shared" ref="BL65:BL69" si="214">BL$5*BQ65</f>
        <v>0</v>
      </c>
      <c r="BM65" s="12">
        <f t="shared" ref="BM65:BM69" si="215">BM$5*BQ65</f>
        <v>0</v>
      </c>
      <c r="BN65" s="12">
        <f t="shared" ref="BN65:BN69" si="216">BN$5*BQ65</f>
        <v>0</v>
      </c>
      <c r="BP65" s="16" t="s">
        <v>1304</v>
      </c>
      <c r="BQ65">
        <f>_xlfn.XLOOKUP(BP65,'KPI Impacts'!$B$2:$H$2,'KPI Impacts'!$B65:$H65)</f>
        <v>0</v>
      </c>
      <c r="BT65" s="12">
        <f t="shared" ref="BT65:BT69" si="217">BT$5*CE65</f>
        <v>0</v>
      </c>
      <c r="BU65" s="12">
        <f t="shared" ref="BU65:BU69" si="218">BU$5*CE65</f>
        <v>0</v>
      </c>
      <c r="BV65" s="12">
        <f t="shared" ref="BV65:BV69" si="219">BV$5*CE65</f>
        <v>0</v>
      </c>
      <c r="BW65" s="12">
        <f t="shared" ref="BW65:BW69" si="220">BW$5*CE65</f>
        <v>0</v>
      </c>
      <c r="BX65" s="12">
        <f t="shared" ref="BX65:BX69" si="221">BX$5*CE65</f>
        <v>0</v>
      </c>
      <c r="BY65" s="12">
        <f t="shared" ref="BY65:BY69" si="222">BY$5*CE65</f>
        <v>0</v>
      </c>
      <c r="BZ65" s="12">
        <f t="shared" ref="BZ65:BZ69" si="223">BZ$5*CE65</f>
        <v>0</v>
      </c>
      <c r="CA65" s="12">
        <f t="shared" ref="CA65:CA69" si="224">CA$5*CE65</f>
        <v>0</v>
      </c>
      <c r="CB65" s="12">
        <f t="shared" ref="CB65:CB69" si="225">CB$5*CE65</f>
        <v>0</v>
      </c>
      <c r="CD65" s="16" t="s">
        <v>1304</v>
      </c>
      <c r="CE65">
        <f>_xlfn.XLOOKUP(CD65,'KPI Impacts'!$B$2:$H$2,'KPI Impacts'!$B65:$H65)</f>
        <v>0</v>
      </c>
      <c r="CH65" s="12">
        <f t="shared" ref="CH65:CH69" si="226">CH$5*CS65</f>
        <v>0</v>
      </c>
      <c r="CI65" s="12">
        <f t="shared" ref="CI65:CI69" si="227">CI$5*CS65</f>
        <v>0</v>
      </c>
      <c r="CJ65" s="12">
        <f t="shared" ref="CJ65:CJ69" si="228">CJ$5*CS65</f>
        <v>0</v>
      </c>
      <c r="CK65" s="12">
        <f t="shared" ref="CK65:CK69" si="229">CK$5*CS65</f>
        <v>0</v>
      </c>
      <c r="CL65" s="12">
        <f t="shared" ref="CL65:CL69" si="230">CL$5*CS65</f>
        <v>0</v>
      </c>
      <c r="CM65" s="12">
        <f t="shared" ref="CM65:CM69" si="231">CM$5*CS65</f>
        <v>0</v>
      </c>
      <c r="CN65" s="12">
        <f t="shared" ref="CN65:CN69" si="232">CN$5*CS65</f>
        <v>0</v>
      </c>
      <c r="CO65" s="12">
        <f t="shared" ref="CO65:CO69" si="233">CO$5*CS65</f>
        <v>0</v>
      </c>
      <c r="CP65" s="12">
        <f t="shared" ref="CP65:CP69" si="234">CP$5*CS65</f>
        <v>0</v>
      </c>
      <c r="CR65" s="16" t="s">
        <v>1304</v>
      </c>
      <c r="CS65">
        <f>_xlfn.XLOOKUP(CR65,'KPI Impacts'!$B$2:$H$2,'KPI Impacts'!$B65:$H65)</f>
        <v>0</v>
      </c>
      <c r="CV65" s="12">
        <f t="shared" ref="CV65:CV69" si="235">CV$5*DG65</f>
        <v>0</v>
      </c>
      <c r="CW65" s="12">
        <f t="shared" ref="CW65:CW69" si="236">CW$5*DG65</f>
        <v>0</v>
      </c>
      <c r="CX65" s="12">
        <f t="shared" ref="CX65:CX69" si="237">CX$5*DG65</f>
        <v>0</v>
      </c>
      <c r="CY65" s="12">
        <f t="shared" ref="CY65:CY69" si="238">CY$5*DG65</f>
        <v>0</v>
      </c>
      <c r="CZ65" s="12">
        <f t="shared" ref="CZ65:CZ69" si="239">CZ$5*DG65</f>
        <v>0</v>
      </c>
      <c r="DA65" s="12">
        <f t="shared" ref="DA65:DA69" si="240">DA$5*DG65</f>
        <v>0</v>
      </c>
      <c r="DB65" s="12">
        <f t="shared" ref="DB65:DB69" si="241">DB$5*DG65</f>
        <v>0</v>
      </c>
      <c r="DC65" s="12">
        <f t="shared" ref="DC65:DC69" si="242">DC$5*DG65</f>
        <v>0</v>
      </c>
      <c r="DD65" s="12">
        <f t="shared" ref="DD65:DD69" si="243">DD$5*DG65</f>
        <v>0</v>
      </c>
      <c r="DF65" s="16" t="s">
        <v>1304</v>
      </c>
      <c r="DG65">
        <f>_xlfn.XLOOKUP(DF65,'KPI Impacts'!$B$2:$H$2,'KPI Impacts'!$B65:$H65)</f>
        <v>0</v>
      </c>
      <c r="DJ65" s="12">
        <f t="shared" ref="DJ65:DJ69" si="244">DJ$5*DU65</f>
        <v>0</v>
      </c>
      <c r="DK65" s="12">
        <f t="shared" ref="DK65:DK69" si="245">DK$5*DU65</f>
        <v>0</v>
      </c>
      <c r="DL65" s="12">
        <f t="shared" ref="DL65:DL69" si="246">DL$5*DU65</f>
        <v>0</v>
      </c>
      <c r="DM65" s="12">
        <f t="shared" ref="DM65:DM69" si="247">DM$5*DU65</f>
        <v>0</v>
      </c>
      <c r="DN65" s="12">
        <f t="shared" ref="DN65:DN69" si="248">DN$5*DU65</f>
        <v>0</v>
      </c>
      <c r="DO65" s="12">
        <f t="shared" ref="DO65:DO69" si="249">DO$5*DU65</f>
        <v>0</v>
      </c>
      <c r="DP65" s="12">
        <f t="shared" ref="DP65:DP69" si="250">DP$5*DU65</f>
        <v>0</v>
      </c>
      <c r="DQ65" s="12">
        <f t="shared" ref="DQ65:DQ69" si="251">DQ$5*DU65</f>
        <v>0</v>
      </c>
      <c r="DR65" s="12">
        <f t="shared" ref="DR65:DR69" si="252">DR$5*DU65</f>
        <v>0</v>
      </c>
      <c r="DT65" s="16" t="s">
        <v>1304</v>
      </c>
      <c r="DU65">
        <f>_xlfn.XLOOKUP(DT65,'KPI Impacts'!$B$2:$H$2,'KPI Impacts'!$B65:$H65)</f>
        <v>0</v>
      </c>
      <c r="DX65" s="12"/>
      <c r="DY65" s="12"/>
      <c r="DZ65" s="12"/>
      <c r="EA65" s="12"/>
      <c r="EB65" s="12"/>
      <c r="EC65" s="12"/>
      <c r="ED65" s="12"/>
      <c r="EE65" s="12"/>
      <c r="EF65" s="12"/>
    </row>
    <row r="66" spans="1:136" x14ac:dyDescent="0.2">
      <c r="A66" t="s">
        <v>1293</v>
      </c>
      <c r="B66" s="12">
        <f t="shared" si="171"/>
        <v>0</v>
      </c>
      <c r="C66" s="12">
        <f t="shared" si="173"/>
        <v>0</v>
      </c>
      <c r="D66" s="12">
        <f t="shared" si="174"/>
        <v>0</v>
      </c>
      <c r="E66" s="12">
        <f t="shared" si="175"/>
        <v>-3.2</v>
      </c>
      <c r="F66" s="12">
        <f t="shared" si="176"/>
        <v>-6.4</v>
      </c>
      <c r="G66" s="12">
        <f t="shared" si="177"/>
        <v>-9.6000000000000014</v>
      </c>
      <c r="H66" s="12">
        <f t="shared" si="178"/>
        <v>-9.6000000000000014</v>
      </c>
      <c r="I66" s="12">
        <f t="shared" si="179"/>
        <v>-9.6000000000000014</v>
      </c>
      <c r="J66" s="12">
        <f t="shared" si="180"/>
        <v>-9.6000000000000014</v>
      </c>
      <c r="P66" s="12">
        <f t="shared" si="181"/>
        <v>0</v>
      </c>
      <c r="Q66" s="12">
        <f t="shared" si="182"/>
        <v>0</v>
      </c>
      <c r="R66" s="12">
        <f t="shared" si="183"/>
        <v>0</v>
      </c>
      <c r="S66" s="12">
        <f t="shared" si="184"/>
        <v>0</v>
      </c>
      <c r="T66" s="12">
        <f t="shared" si="185"/>
        <v>0</v>
      </c>
      <c r="U66" s="12">
        <f t="shared" si="186"/>
        <v>0</v>
      </c>
      <c r="V66" s="12">
        <f t="shared" si="187"/>
        <v>0</v>
      </c>
      <c r="W66" s="12">
        <f t="shared" si="188"/>
        <v>0</v>
      </c>
      <c r="X66" s="12">
        <f t="shared" si="189"/>
        <v>0</v>
      </c>
      <c r="Z66" s="16" t="s">
        <v>1304</v>
      </c>
      <c r="AA66">
        <f>_xlfn.XLOOKUP(Z66,'KPI Impacts'!$B$2:$H$2,'KPI Impacts'!$B66:$H66)</f>
        <v>0</v>
      </c>
      <c r="AD66" s="12">
        <f t="shared" si="190"/>
        <v>0</v>
      </c>
      <c r="AE66" s="12">
        <f t="shared" si="191"/>
        <v>0</v>
      </c>
      <c r="AF66" s="12">
        <f t="shared" si="192"/>
        <v>0</v>
      </c>
      <c r="AG66" s="12">
        <f t="shared" si="193"/>
        <v>0</v>
      </c>
      <c r="AH66" s="12">
        <f t="shared" si="194"/>
        <v>0</v>
      </c>
      <c r="AI66" s="12">
        <f t="shared" si="195"/>
        <v>0</v>
      </c>
      <c r="AJ66" s="12">
        <f t="shared" si="196"/>
        <v>0</v>
      </c>
      <c r="AK66" s="12">
        <f t="shared" si="197"/>
        <v>0</v>
      </c>
      <c r="AL66" s="12">
        <f t="shared" si="198"/>
        <v>0</v>
      </c>
      <c r="AN66" s="16" t="s">
        <v>1304</v>
      </c>
      <c r="AO66">
        <f>_xlfn.XLOOKUP(AN66,'KPI Impacts'!$B$2:$H$2,'KPI Impacts'!$B66:$H66)</f>
        <v>0</v>
      </c>
      <c r="AR66" s="12">
        <f t="shared" si="199"/>
        <v>0</v>
      </c>
      <c r="AS66" s="12">
        <f t="shared" si="200"/>
        <v>0</v>
      </c>
      <c r="AT66" s="12">
        <f t="shared" si="201"/>
        <v>0</v>
      </c>
      <c r="AU66" s="12">
        <f t="shared" si="202"/>
        <v>-3.2</v>
      </c>
      <c r="AV66" s="12">
        <f t="shared" si="203"/>
        <v>-3.2</v>
      </c>
      <c r="AW66" s="12">
        <f t="shared" si="204"/>
        <v>-3.2</v>
      </c>
      <c r="AX66" s="12">
        <f t="shared" si="205"/>
        <v>-3.2</v>
      </c>
      <c r="AY66" s="12">
        <f t="shared" si="206"/>
        <v>-3.2</v>
      </c>
      <c r="AZ66" s="12">
        <f t="shared" si="207"/>
        <v>-3.2</v>
      </c>
      <c r="BB66" s="29" t="s">
        <v>1307</v>
      </c>
      <c r="BC66">
        <f>_xlfn.XLOOKUP(BB66,'KPI Impacts'!$B$2:$H$2,'KPI Impacts'!$B66:$H66)</f>
        <v>-3.2</v>
      </c>
      <c r="BF66" s="12">
        <f t="shared" si="208"/>
        <v>0</v>
      </c>
      <c r="BG66" s="12">
        <f t="shared" si="209"/>
        <v>0</v>
      </c>
      <c r="BH66" s="12">
        <f t="shared" si="210"/>
        <v>0</v>
      </c>
      <c r="BI66" s="12">
        <f t="shared" si="211"/>
        <v>0</v>
      </c>
      <c r="BJ66" s="12">
        <f t="shared" si="212"/>
        <v>-3.2</v>
      </c>
      <c r="BK66" s="12">
        <f t="shared" si="213"/>
        <v>-3.2</v>
      </c>
      <c r="BL66" s="12">
        <f t="shared" si="214"/>
        <v>-3.2</v>
      </c>
      <c r="BM66" s="12">
        <f t="shared" si="215"/>
        <v>-3.2</v>
      </c>
      <c r="BN66" s="12">
        <f t="shared" si="216"/>
        <v>-3.2</v>
      </c>
      <c r="BP66" s="29" t="s">
        <v>1307</v>
      </c>
      <c r="BQ66">
        <f>_xlfn.XLOOKUP(BP66,'KPI Impacts'!$B$2:$H$2,'KPI Impacts'!$B66:$H66)</f>
        <v>-3.2</v>
      </c>
      <c r="BT66" s="12">
        <f t="shared" si="217"/>
        <v>0</v>
      </c>
      <c r="BU66" s="12">
        <f t="shared" si="218"/>
        <v>0</v>
      </c>
      <c r="BV66" s="12">
        <f t="shared" si="219"/>
        <v>0</v>
      </c>
      <c r="BW66" s="12">
        <f t="shared" si="220"/>
        <v>0</v>
      </c>
      <c r="BX66" s="12">
        <f t="shared" si="221"/>
        <v>0</v>
      </c>
      <c r="BY66" s="12">
        <f t="shared" si="222"/>
        <v>-3.2</v>
      </c>
      <c r="BZ66" s="12">
        <f t="shared" si="223"/>
        <v>-3.2</v>
      </c>
      <c r="CA66" s="12">
        <f t="shared" si="224"/>
        <v>-3.2</v>
      </c>
      <c r="CB66" s="12">
        <f t="shared" si="225"/>
        <v>-3.2</v>
      </c>
      <c r="CD66" s="29" t="s">
        <v>1307</v>
      </c>
      <c r="CE66">
        <f>_xlfn.XLOOKUP(CD66,'KPI Impacts'!$B$2:$H$2,'KPI Impacts'!$B66:$H66)</f>
        <v>-3.2</v>
      </c>
      <c r="CH66" s="12">
        <f t="shared" si="226"/>
        <v>0</v>
      </c>
      <c r="CI66" s="12">
        <f t="shared" si="227"/>
        <v>0</v>
      </c>
      <c r="CJ66" s="12">
        <f t="shared" si="228"/>
        <v>0</v>
      </c>
      <c r="CK66" s="12">
        <f t="shared" si="229"/>
        <v>0</v>
      </c>
      <c r="CL66" s="12">
        <f t="shared" si="230"/>
        <v>0</v>
      </c>
      <c r="CM66" s="12">
        <f t="shared" si="231"/>
        <v>0</v>
      </c>
      <c r="CN66" s="12">
        <f t="shared" si="232"/>
        <v>0</v>
      </c>
      <c r="CO66" s="12">
        <f t="shared" si="233"/>
        <v>0</v>
      </c>
      <c r="CP66" s="12">
        <f t="shared" si="234"/>
        <v>0</v>
      </c>
      <c r="CR66" s="16" t="s">
        <v>1304</v>
      </c>
      <c r="CS66">
        <f>_xlfn.XLOOKUP(CR66,'KPI Impacts'!$B$2:$H$2,'KPI Impacts'!$B66:$H66)</f>
        <v>0</v>
      </c>
      <c r="CV66" s="12">
        <f t="shared" si="235"/>
        <v>0</v>
      </c>
      <c r="CW66" s="12">
        <f t="shared" si="236"/>
        <v>0</v>
      </c>
      <c r="CX66" s="12">
        <f t="shared" si="237"/>
        <v>0</v>
      </c>
      <c r="CY66" s="12">
        <f t="shared" si="238"/>
        <v>0</v>
      </c>
      <c r="CZ66" s="12">
        <f t="shared" si="239"/>
        <v>0</v>
      </c>
      <c r="DA66" s="12">
        <f t="shared" si="240"/>
        <v>0</v>
      </c>
      <c r="DB66" s="12">
        <f t="shared" si="241"/>
        <v>0</v>
      </c>
      <c r="DC66" s="12">
        <f t="shared" si="242"/>
        <v>0</v>
      </c>
      <c r="DD66" s="12">
        <f t="shared" si="243"/>
        <v>0</v>
      </c>
      <c r="DF66" s="16" t="s">
        <v>1304</v>
      </c>
      <c r="DG66">
        <f>_xlfn.XLOOKUP(DF66,'KPI Impacts'!$B$2:$H$2,'KPI Impacts'!$B66:$H66)</f>
        <v>0</v>
      </c>
      <c r="DJ66" s="12">
        <f t="shared" si="244"/>
        <v>0</v>
      </c>
      <c r="DK66" s="12">
        <f t="shared" si="245"/>
        <v>0</v>
      </c>
      <c r="DL66" s="12">
        <f t="shared" si="246"/>
        <v>0</v>
      </c>
      <c r="DM66" s="12">
        <f t="shared" si="247"/>
        <v>0</v>
      </c>
      <c r="DN66" s="12">
        <f t="shared" si="248"/>
        <v>0</v>
      </c>
      <c r="DO66" s="12">
        <f t="shared" si="249"/>
        <v>0</v>
      </c>
      <c r="DP66" s="12">
        <f t="shared" si="250"/>
        <v>0</v>
      </c>
      <c r="DQ66" s="12">
        <f t="shared" si="251"/>
        <v>0</v>
      </c>
      <c r="DR66" s="12">
        <f t="shared" si="252"/>
        <v>0</v>
      </c>
      <c r="DT66" s="16" t="s">
        <v>1304</v>
      </c>
      <c r="DU66">
        <f>_xlfn.XLOOKUP(DT66,'KPI Impacts'!$B$2:$H$2,'KPI Impacts'!$B66:$H66)</f>
        <v>0</v>
      </c>
      <c r="DX66" s="12"/>
      <c r="DY66" s="12"/>
      <c r="DZ66" s="12"/>
      <c r="EA66" s="12"/>
      <c r="EB66" s="12"/>
      <c r="EC66" s="12"/>
      <c r="ED66" s="12"/>
      <c r="EE66" s="12"/>
      <c r="EF66" s="12"/>
    </row>
    <row r="67" spans="1:136" x14ac:dyDescent="0.2">
      <c r="A67" t="s">
        <v>48</v>
      </c>
      <c r="B67" s="12">
        <f t="shared" si="171"/>
        <v>0</v>
      </c>
      <c r="C67" s="12">
        <f t="shared" si="173"/>
        <v>0</v>
      </c>
      <c r="D67" s="12">
        <f t="shared" si="174"/>
        <v>0</v>
      </c>
      <c r="E67" s="12">
        <f t="shared" si="175"/>
        <v>0</v>
      </c>
      <c r="F67" s="12">
        <f t="shared" si="176"/>
        <v>0</v>
      </c>
      <c r="G67" s="12">
        <f t="shared" si="177"/>
        <v>-3.2</v>
      </c>
      <c r="H67" s="12">
        <f t="shared" si="178"/>
        <v>-3.2</v>
      </c>
      <c r="I67" s="12">
        <f t="shared" si="179"/>
        <v>-3.2</v>
      </c>
      <c r="J67" s="12">
        <f t="shared" si="180"/>
        <v>-3.2</v>
      </c>
      <c r="P67" s="12">
        <f t="shared" si="181"/>
        <v>0</v>
      </c>
      <c r="Q67" s="12">
        <f t="shared" si="182"/>
        <v>0</v>
      </c>
      <c r="R67" s="12">
        <f t="shared" si="183"/>
        <v>0</v>
      </c>
      <c r="S67" s="12">
        <f t="shared" si="184"/>
        <v>0</v>
      </c>
      <c r="T67" s="12">
        <f t="shared" si="185"/>
        <v>0</v>
      </c>
      <c r="U67" s="12">
        <f t="shared" si="186"/>
        <v>0</v>
      </c>
      <c r="V67" s="12">
        <f t="shared" si="187"/>
        <v>0</v>
      </c>
      <c r="W67" s="12">
        <f t="shared" si="188"/>
        <v>0</v>
      </c>
      <c r="X67" s="12">
        <f t="shared" si="189"/>
        <v>0</v>
      </c>
      <c r="Z67" s="16" t="s">
        <v>1304</v>
      </c>
      <c r="AA67">
        <f>_xlfn.XLOOKUP(Z67,'KPI Impacts'!$B$2:$H$2,'KPI Impacts'!$B67:$H67)</f>
        <v>0</v>
      </c>
      <c r="AD67" s="12">
        <f t="shared" si="190"/>
        <v>0</v>
      </c>
      <c r="AE67" s="12">
        <f t="shared" si="191"/>
        <v>0</v>
      </c>
      <c r="AF67" s="12">
        <f t="shared" si="192"/>
        <v>0</v>
      </c>
      <c r="AG67" s="12">
        <f t="shared" si="193"/>
        <v>0</v>
      </c>
      <c r="AH67" s="12">
        <f t="shared" si="194"/>
        <v>0</v>
      </c>
      <c r="AI67" s="12">
        <f t="shared" si="195"/>
        <v>0</v>
      </c>
      <c r="AJ67" s="12">
        <f t="shared" si="196"/>
        <v>0</v>
      </c>
      <c r="AK67" s="12">
        <f t="shared" si="197"/>
        <v>0</v>
      </c>
      <c r="AL67" s="12">
        <f t="shared" si="198"/>
        <v>0</v>
      </c>
      <c r="AN67" s="16" t="s">
        <v>1304</v>
      </c>
      <c r="AO67">
        <f>_xlfn.XLOOKUP(AN67,'KPI Impacts'!$B$2:$H$2,'KPI Impacts'!$B67:$H67)</f>
        <v>0</v>
      </c>
      <c r="AR67" s="12">
        <f t="shared" si="199"/>
        <v>0</v>
      </c>
      <c r="AS67" s="12">
        <f t="shared" si="200"/>
        <v>0</v>
      </c>
      <c r="AT67" s="12">
        <f t="shared" si="201"/>
        <v>0</v>
      </c>
      <c r="AU67" s="12">
        <f t="shared" si="202"/>
        <v>0</v>
      </c>
      <c r="AV67" s="12">
        <f t="shared" si="203"/>
        <v>0</v>
      </c>
      <c r="AW67" s="12">
        <f t="shared" si="204"/>
        <v>0</v>
      </c>
      <c r="AX67" s="12">
        <f t="shared" si="205"/>
        <v>0</v>
      </c>
      <c r="AY67" s="12">
        <f t="shared" si="206"/>
        <v>0</v>
      </c>
      <c r="AZ67" s="12">
        <f t="shared" si="207"/>
        <v>0</v>
      </c>
      <c r="BB67" s="16" t="s">
        <v>1304</v>
      </c>
      <c r="BC67">
        <f>_xlfn.XLOOKUP(BB67,'KPI Impacts'!$B$2:$H$2,'KPI Impacts'!$B67:$H67)</f>
        <v>0</v>
      </c>
      <c r="BF67" s="12">
        <f t="shared" si="208"/>
        <v>0</v>
      </c>
      <c r="BG67" s="12">
        <f t="shared" si="209"/>
        <v>0</v>
      </c>
      <c r="BH67" s="12">
        <f t="shared" si="210"/>
        <v>0</v>
      </c>
      <c r="BI67" s="12">
        <f t="shared" si="211"/>
        <v>0</v>
      </c>
      <c r="BJ67" s="12">
        <f t="shared" si="212"/>
        <v>0</v>
      </c>
      <c r="BK67" s="12">
        <f t="shared" si="213"/>
        <v>0</v>
      </c>
      <c r="BL67" s="12">
        <f t="shared" si="214"/>
        <v>0</v>
      </c>
      <c r="BM67" s="12">
        <f t="shared" si="215"/>
        <v>0</v>
      </c>
      <c r="BN67" s="12">
        <f t="shared" si="216"/>
        <v>0</v>
      </c>
      <c r="BP67" s="16" t="s">
        <v>1304</v>
      </c>
      <c r="BQ67">
        <f>_xlfn.XLOOKUP(BP67,'KPI Impacts'!$B$2:$H$2,'KPI Impacts'!$B67:$H67)</f>
        <v>0</v>
      </c>
      <c r="BT67" s="12">
        <f t="shared" si="217"/>
        <v>0</v>
      </c>
      <c r="BU67" s="12">
        <f t="shared" si="218"/>
        <v>0</v>
      </c>
      <c r="BV67" s="12">
        <f t="shared" si="219"/>
        <v>0</v>
      </c>
      <c r="BW67" s="12">
        <f t="shared" si="220"/>
        <v>0</v>
      </c>
      <c r="BX67" s="12">
        <f t="shared" si="221"/>
        <v>0</v>
      </c>
      <c r="BY67" s="12">
        <f t="shared" si="222"/>
        <v>-3.2</v>
      </c>
      <c r="BZ67" s="12">
        <f t="shared" si="223"/>
        <v>-3.2</v>
      </c>
      <c r="CA67" s="12">
        <f t="shared" si="224"/>
        <v>-3.2</v>
      </c>
      <c r="CB67" s="12">
        <f t="shared" si="225"/>
        <v>-3.2</v>
      </c>
      <c r="CD67" s="29" t="s">
        <v>1307</v>
      </c>
      <c r="CE67">
        <f>_xlfn.XLOOKUP(CD67,'KPI Impacts'!$B$2:$H$2,'KPI Impacts'!$B67:$H67)</f>
        <v>-3.2</v>
      </c>
      <c r="CH67" s="12">
        <f t="shared" si="226"/>
        <v>0</v>
      </c>
      <c r="CI67" s="12">
        <f t="shared" si="227"/>
        <v>0</v>
      </c>
      <c r="CJ67" s="12">
        <f t="shared" si="228"/>
        <v>0</v>
      </c>
      <c r="CK67" s="12">
        <f t="shared" si="229"/>
        <v>0</v>
      </c>
      <c r="CL67" s="12">
        <f t="shared" si="230"/>
        <v>0</v>
      </c>
      <c r="CM67" s="12">
        <f t="shared" si="231"/>
        <v>0</v>
      </c>
      <c r="CN67" s="12">
        <f t="shared" si="232"/>
        <v>0</v>
      </c>
      <c r="CO67" s="12">
        <f t="shared" si="233"/>
        <v>0</v>
      </c>
      <c r="CP67" s="12">
        <f t="shared" si="234"/>
        <v>0</v>
      </c>
      <c r="CR67" s="16" t="s">
        <v>1304</v>
      </c>
      <c r="CS67">
        <f>_xlfn.XLOOKUP(CR67,'KPI Impacts'!$B$2:$H$2,'KPI Impacts'!$B67:$H67)</f>
        <v>0</v>
      </c>
      <c r="CV67" s="12">
        <f t="shared" si="235"/>
        <v>0</v>
      </c>
      <c r="CW67" s="12">
        <f t="shared" si="236"/>
        <v>0</v>
      </c>
      <c r="CX67" s="12">
        <f t="shared" si="237"/>
        <v>0</v>
      </c>
      <c r="CY67" s="12">
        <f t="shared" si="238"/>
        <v>0</v>
      </c>
      <c r="CZ67" s="12">
        <f t="shared" si="239"/>
        <v>0</v>
      </c>
      <c r="DA67" s="12">
        <f t="shared" si="240"/>
        <v>0</v>
      </c>
      <c r="DB67" s="12">
        <f t="shared" si="241"/>
        <v>0</v>
      </c>
      <c r="DC67" s="12">
        <f t="shared" si="242"/>
        <v>0</v>
      </c>
      <c r="DD67" s="12">
        <f t="shared" si="243"/>
        <v>0</v>
      </c>
      <c r="DF67" s="16" t="s">
        <v>1304</v>
      </c>
      <c r="DG67">
        <f>_xlfn.XLOOKUP(DF67,'KPI Impacts'!$B$2:$H$2,'KPI Impacts'!$B67:$H67)</f>
        <v>0</v>
      </c>
      <c r="DJ67" s="12">
        <f t="shared" si="244"/>
        <v>0</v>
      </c>
      <c r="DK67" s="12">
        <f t="shared" si="245"/>
        <v>0</v>
      </c>
      <c r="DL67" s="12">
        <f t="shared" si="246"/>
        <v>0</v>
      </c>
      <c r="DM67" s="12">
        <f t="shared" si="247"/>
        <v>0</v>
      </c>
      <c r="DN67" s="12">
        <f t="shared" si="248"/>
        <v>0</v>
      </c>
      <c r="DO67" s="12">
        <f t="shared" si="249"/>
        <v>0</v>
      </c>
      <c r="DP67" s="12">
        <f t="shared" si="250"/>
        <v>0</v>
      </c>
      <c r="DQ67" s="12">
        <f t="shared" si="251"/>
        <v>0</v>
      </c>
      <c r="DR67" s="12">
        <f t="shared" si="252"/>
        <v>0</v>
      </c>
      <c r="DT67" s="16" t="s">
        <v>1304</v>
      </c>
      <c r="DU67">
        <f>_xlfn.XLOOKUP(DT67,'KPI Impacts'!$B$2:$H$2,'KPI Impacts'!$B67:$H67)</f>
        <v>0</v>
      </c>
      <c r="DX67" s="12"/>
      <c r="DY67" s="12"/>
      <c r="DZ67" s="12"/>
      <c r="EA67" s="12"/>
      <c r="EB67" s="12"/>
      <c r="EC67" s="12"/>
      <c r="ED67" s="12"/>
      <c r="EE67" s="12"/>
      <c r="EF67" s="12"/>
    </row>
    <row r="68" spans="1:136" x14ac:dyDescent="0.2">
      <c r="A68" t="s">
        <v>49</v>
      </c>
      <c r="B68" s="12">
        <f t="shared" si="171"/>
        <v>0</v>
      </c>
      <c r="C68" s="12">
        <f t="shared" si="173"/>
        <v>0</v>
      </c>
      <c r="D68" s="12">
        <f t="shared" si="174"/>
        <v>-1.6</v>
      </c>
      <c r="E68" s="12">
        <f t="shared" si="175"/>
        <v>-3.2</v>
      </c>
      <c r="F68" s="12">
        <f t="shared" si="176"/>
        <v>-6.4</v>
      </c>
      <c r="G68" s="12">
        <f t="shared" si="177"/>
        <v>-6.4</v>
      </c>
      <c r="H68" s="12">
        <f t="shared" si="178"/>
        <v>-6.4</v>
      </c>
      <c r="I68" s="12">
        <f t="shared" si="179"/>
        <v>-6.4</v>
      </c>
      <c r="J68" s="12">
        <f t="shared" si="180"/>
        <v>-6.4</v>
      </c>
      <c r="P68" s="12">
        <f t="shared" si="181"/>
        <v>0</v>
      </c>
      <c r="Q68" s="12">
        <f t="shared" si="182"/>
        <v>0</v>
      </c>
      <c r="R68" s="12">
        <f t="shared" si="183"/>
        <v>0</v>
      </c>
      <c r="S68" s="12">
        <f t="shared" si="184"/>
        <v>0</v>
      </c>
      <c r="T68" s="12">
        <f t="shared" si="185"/>
        <v>0</v>
      </c>
      <c r="U68" s="12">
        <f t="shared" si="186"/>
        <v>0</v>
      </c>
      <c r="V68" s="12">
        <f t="shared" si="187"/>
        <v>0</v>
      </c>
      <c r="W68" s="12">
        <f t="shared" si="188"/>
        <v>0</v>
      </c>
      <c r="X68" s="12">
        <f t="shared" si="189"/>
        <v>0</v>
      </c>
      <c r="Z68" s="16" t="s">
        <v>1304</v>
      </c>
      <c r="AA68">
        <f>_xlfn.XLOOKUP(Z68,'KPI Impacts'!$B$2:$H$2,'KPI Impacts'!$B68:$H68)</f>
        <v>0</v>
      </c>
      <c r="AD68" s="12">
        <f t="shared" si="190"/>
        <v>0</v>
      </c>
      <c r="AE68" s="12">
        <f t="shared" si="191"/>
        <v>0</v>
      </c>
      <c r="AF68" s="12">
        <f t="shared" si="192"/>
        <v>-1.6</v>
      </c>
      <c r="AG68" s="12">
        <f t="shared" si="193"/>
        <v>-1.6</v>
      </c>
      <c r="AH68" s="12">
        <f t="shared" si="194"/>
        <v>-1.6</v>
      </c>
      <c r="AI68" s="12">
        <f t="shared" si="195"/>
        <v>-1.6</v>
      </c>
      <c r="AJ68" s="12">
        <f t="shared" si="196"/>
        <v>-1.6</v>
      </c>
      <c r="AK68" s="12">
        <f t="shared" si="197"/>
        <v>-1.6</v>
      </c>
      <c r="AL68" s="12">
        <f t="shared" si="198"/>
        <v>-1.6</v>
      </c>
      <c r="AN68" s="29" t="s">
        <v>1305</v>
      </c>
      <c r="AO68">
        <f>_xlfn.XLOOKUP(AN68,'KPI Impacts'!$B$2:$H$2,'KPI Impacts'!$B68:$H68)</f>
        <v>-1.6</v>
      </c>
      <c r="AR68" s="12">
        <f t="shared" si="199"/>
        <v>0</v>
      </c>
      <c r="AS68" s="12">
        <f t="shared" si="200"/>
        <v>0</v>
      </c>
      <c r="AT68" s="12">
        <f t="shared" si="201"/>
        <v>0</v>
      </c>
      <c r="AU68" s="12">
        <f t="shared" si="202"/>
        <v>-1.6</v>
      </c>
      <c r="AV68" s="12">
        <f t="shared" si="203"/>
        <v>-1.6</v>
      </c>
      <c r="AW68" s="12">
        <f t="shared" si="204"/>
        <v>-1.6</v>
      </c>
      <c r="AX68" s="12">
        <f t="shared" si="205"/>
        <v>-1.6</v>
      </c>
      <c r="AY68" s="12">
        <f t="shared" si="206"/>
        <v>-1.6</v>
      </c>
      <c r="AZ68" s="12">
        <f t="shared" si="207"/>
        <v>-1.6</v>
      </c>
      <c r="BB68" s="29" t="s">
        <v>1305</v>
      </c>
      <c r="BC68">
        <f>_xlfn.XLOOKUP(BB68,'KPI Impacts'!$B$2:$H$2,'KPI Impacts'!$B68:$H68)</f>
        <v>-1.6</v>
      </c>
      <c r="BF68" s="12">
        <f t="shared" si="208"/>
        <v>0</v>
      </c>
      <c r="BG68" s="12">
        <f t="shared" si="209"/>
        <v>0</v>
      </c>
      <c r="BH68" s="12">
        <f t="shared" si="210"/>
        <v>0</v>
      </c>
      <c r="BI68" s="12">
        <f t="shared" si="211"/>
        <v>0</v>
      </c>
      <c r="BJ68" s="12">
        <f t="shared" si="212"/>
        <v>-3.2</v>
      </c>
      <c r="BK68" s="12">
        <f t="shared" si="213"/>
        <v>-3.2</v>
      </c>
      <c r="BL68" s="12">
        <f t="shared" si="214"/>
        <v>-3.2</v>
      </c>
      <c r="BM68" s="12">
        <f t="shared" si="215"/>
        <v>-3.2</v>
      </c>
      <c r="BN68" s="12">
        <f t="shared" si="216"/>
        <v>-3.2</v>
      </c>
      <c r="BP68" s="29" t="s">
        <v>1307</v>
      </c>
      <c r="BQ68">
        <f>_xlfn.XLOOKUP(BP68,'KPI Impacts'!$B$2:$H$2,'KPI Impacts'!$B68:$H68)</f>
        <v>-3.2</v>
      </c>
      <c r="BT68" s="12">
        <f t="shared" si="217"/>
        <v>0</v>
      </c>
      <c r="BU68" s="12">
        <f t="shared" si="218"/>
        <v>0</v>
      </c>
      <c r="BV68" s="12">
        <f t="shared" si="219"/>
        <v>0</v>
      </c>
      <c r="BW68" s="12">
        <f t="shared" si="220"/>
        <v>0</v>
      </c>
      <c r="BX68" s="12">
        <f t="shared" si="221"/>
        <v>0</v>
      </c>
      <c r="BY68" s="12">
        <f t="shared" si="222"/>
        <v>0</v>
      </c>
      <c r="BZ68" s="12">
        <f t="shared" si="223"/>
        <v>0</v>
      </c>
      <c r="CA68" s="12">
        <f t="shared" si="224"/>
        <v>0</v>
      </c>
      <c r="CB68" s="12">
        <f t="shared" si="225"/>
        <v>0</v>
      </c>
      <c r="CD68" s="16" t="s">
        <v>1304</v>
      </c>
      <c r="CE68">
        <f>_xlfn.XLOOKUP(CD68,'KPI Impacts'!$B$2:$H$2,'KPI Impacts'!$B68:$H68)</f>
        <v>0</v>
      </c>
      <c r="CH68" s="12">
        <f t="shared" si="226"/>
        <v>0</v>
      </c>
      <c r="CI68" s="12">
        <f t="shared" si="227"/>
        <v>0</v>
      </c>
      <c r="CJ68" s="12">
        <f t="shared" si="228"/>
        <v>0</v>
      </c>
      <c r="CK68" s="12">
        <f t="shared" si="229"/>
        <v>0</v>
      </c>
      <c r="CL68" s="12">
        <f t="shared" si="230"/>
        <v>0</v>
      </c>
      <c r="CM68" s="12">
        <f t="shared" si="231"/>
        <v>0</v>
      </c>
      <c r="CN68" s="12">
        <f t="shared" si="232"/>
        <v>0</v>
      </c>
      <c r="CO68" s="12">
        <f t="shared" si="233"/>
        <v>0</v>
      </c>
      <c r="CP68" s="12">
        <f t="shared" si="234"/>
        <v>0</v>
      </c>
      <c r="CR68" s="16" t="s">
        <v>1304</v>
      </c>
      <c r="CS68">
        <f>_xlfn.XLOOKUP(CR68,'KPI Impacts'!$B$2:$H$2,'KPI Impacts'!$B68:$H68)</f>
        <v>0</v>
      </c>
      <c r="CV68" s="12">
        <f t="shared" si="235"/>
        <v>0</v>
      </c>
      <c r="CW68" s="12">
        <f t="shared" si="236"/>
        <v>0</v>
      </c>
      <c r="CX68" s="12">
        <f t="shared" si="237"/>
        <v>0</v>
      </c>
      <c r="CY68" s="12">
        <f t="shared" si="238"/>
        <v>0</v>
      </c>
      <c r="CZ68" s="12">
        <f t="shared" si="239"/>
        <v>0</v>
      </c>
      <c r="DA68" s="12">
        <f t="shared" si="240"/>
        <v>0</v>
      </c>
      <c r="DB68" s="12">
        <f t="shared" si="241"/>
        <v>0</v>
      </c>
      <c r="DC68" s="12">
        <f t="shared" si="242"/>
        <v>0</v>
      </c>
      <c r="DD68" s="12">
        <f t="shared" si="243"/>
        <v>0</v>
      </c>
      <c r="DF68" s="16" t="s">
        <v>1304</v>
      </c>
      <c r="DG68">
        <f>_xlfn.XLOOKUP(DF68,'KPI Impacts'!$B$2:$H$2,'KPI Impacts'!$B68:$H68)</f>
        <v>0</v>
      </c>
      <c r="DJ68" s="12">
        <f t="shared" si="244"/>
        <v>0</v>
      </c>
      <c r="DK68" s="12">
        <f t="shared" si="245"/>
        <v>0</v>
      </c>
      <c r="DL68" s="12">
        <f t="shared" si="246"/>
        <v>0</v>
      </c>
      <c r="DM68" s="12">
        <f t="shared" si="247"/>
        <v>0</v>
      </c>
      <c r="DN68" s="12">
        <f t="shared" si="248"/>
        <v>0</v>
      </c>
      <c r="DO68" s="12">
        <f t="shared" si="249"/>
        <v>0</v>
      </c>
      <c r="DP68" s="12">
        <f t="shared" si="250"/>
        <v>0</v>
      </c>
      <c r="DQ68" s="12">
        <f t="shared" si="251"/>
        <v>0</v>
      </c>
      <c r="DR68" s="12">
        <f t="shared" si="252"/>
        <v>0</v>
      </c>
      <c r="DT68" s="16" t="s">
        <v>1304</v>
      </c>
      <c r="DU68">
        <f>_xlfn.XLOOKUP(DT68,'KPI Impacts'!$B$2:$H$2,'KPI Impacts'!$B68:$H68)</f>
        <v>0</v>
      </c>
      <c r="DX68" s="12"/>
      <c r="DY68" s="12"/>
      <c r="DZ68" s="12"/>
      <c r="EA68" s="12"/>
      <c r="EB68" s="12"/>
      <c r="EC68" s="12"/>
      <c r="ED68" s="12"/>
      <c r="EE68" s="12"/>
      <c r="EF68" s="12"/>
    </row>
    <row r="69" spans="1:136" x14ac:dyDescent="0.2">
      <c r="A69" t="s">
        <v>50</v>
      </c>
      <c r="B69" s="12">
        <f t="shared" si="171"/>
        <v>0</v>
      </c>
      <c r="C69" s="12">
        <f t="shared" si="173"/>
        <v>0</v>
      </c>
      <c r="D69" s="12">
        <f t="shared" si="174"/>
        <v>0</v>
      </c>
      <c r="E69" s="12">
        <f t="shared" si="175"/>
        <v>0</v>
      </c>
      <c r="F69" s="12">
        <f t="shared" si="176"/>
        <v>0</v>
      </c>
      <c r="G69" s="12">
        <f t="shared" si="177"/>
        <v>-3.2</v>
      </c>
      <c r="H69" s="12">
        <f t="shared" si="178"/>
        <v>-3.2</v>
      </c>
      <c r="I69" s="12">
        <f t="shared" si="179"/>
        <v>-3.2</v>
      </c>
      <c r="J69" s="12">
        <f t="shared" si="180"/>
        <v>-3.2</v>
      </c>
      <c r="P69" s="12">
        <f t="shared" si="181"/>
        <v>0</v>
      </c>
      <c r="Q69" s="12">
        <f t="shared" si="182"/>
        <v>0</v>
      </c>
      <c r="R69" s="12">
        <f t="shared" si="183"/>
        <v>0</v>
      </c>
      <c r="S69" s="12">
        <f t="shared" si="184"/>
        <v>0</v>
      </c>
      <c r="T69" s="12">
        <f t="shared" si="185"/>
        <v>0</v>
      </c>
      <c r="U69" s="12">
        <f t="shared" si="186"/>
        <v>0</v>
      </c>
      <c r="V69" s="12">
        <f t="shared" si="187"/>
        <v>0</v>
      </c>
      <c r="W69" s="12">
        <f t="shared" si="188"/>
        <v>0</v>
      </c>
      <c r="X69" s="12">
        <f t="shared" si="189"/>
        <v>0</v>
      </c>
      <c r="Z69" s="16" t="s">
        <v>1304</v>
      </c>
      <c r="AA69">
        <f>_xlfn.XLOOKUP(Z69,'KPI Impacts'!$B$2:$H$2,'KPI Impacts'!$B69:$H69)</f>
        <v>0</v>
      </c>
      <c r="AD69" s="12">
        <f t="shared" si="190"/>
        <v>0</v>
      </c>
      <c r="AE69" s="12">
        <f t="shared" si="191"/>
        <v>0</v>
      </c>
      <c r="AF69" s="12">
        <f t="shared" si="192"/>
        <v>0</v>
      </c>
      <c r="AG69" s="12">
        <f t="shared" si="193"/>
        <v>0</v>
      </c>
      <c r="AH69" s="12">
        <f t="shared" si="194"/>
        <v>0</v>
      </c>
      <c r="AI69" s="12">
        <f t="shared" si="195"/>
        <v>0</v>
      </c>
      <c r="AJ69" s="12">
        <f t="shared" si="196"/>
        <v>0</v>
      </c>
      <c r="AK69" s="12">
        <f t="shared" si="197"/>
        <v>0</v>
      </c>
      <c r="AL69" s="12">
        <f t="shared" si="198"/>
        <v>0</v>
      </c>
      <c r="AN69" s="16" t="s">
        <v>1304</v>
      </c>
      <c r="AO69">
        <f>_xlfn.XLOOKUP(AN69,'KPI Impacts'!$B$2:$H$2,'KPI Impacts'!$B69:$H69)</f>
        <v>0</v>
      </c>
      <c r="AR69" s="12">
        <f t="shared" si="199"/>
        <v>0</v>
      </c>
      <c r="AS69" s="12">
        <f t="shared" si="200"/>
        <v>0</v>
      </c>
      <c r="AT69" s="12">
        <f t="shared" si="201"/>
        <v>0</v>
      </c>
      <c r="AU69" s="12">
        <f t="shared" si="202"/>
        <v>0</v>
      </c>
      <c r="AV69" s="12">
        <f t="shared" si="203"/>
        <v>0</v>
      </c>
      <c r="AW69" s="12">
        <f t="shared" si="204"/>
        <v>0</v>
      </c>
      <c r="AX69" s="12">
        <f t="shared" si="205"/>
        <v>0</v>
      </c>
      <c r="AY69" s="12">
        <f t="shared" si="206"/>
        <v>0</v>
      </c>
      <c r="AZ69" s="12">
        <f t="shared" si="207"/>
        <v>0</v>
      </c>
      <c r="BB69" s="16" t="s">
        <v>1304</v>
      </c>
      <c r="BC69">
        <f>_xlfn.XLOOKUP(BB69,'KPI Impacts'!$B$2:$H$2,'KPI Impacts'!$B69:$H69)</f>
        <v>0</v>
      </c>
      <c r="BF69" s="12">
        <f t="shared" si="208"/>
        <v>0</v>
      </c>
      <c r="BG69" s="12">
        <f t="shared" si="209"/>
        <v>0</v>
      </c>
      <c r="BH69" s="12">
        <f t="shared" si="210"/>
        <v>0</v>
      </c>
      <c r="BI69" s="12">
        <f t="shared" si="211"/>
        <v>0</v>
      </c>
      <c r="BJ69" s="12">
        <f t="shared" si="212"/>
        <v>0</v>
      </c>
      <c r="BK69" s="12">
        <f t="shared" si="213"/>
        <v>0</v>
      </c>
      <c r="BL69" s="12">
        <f t="shared" si="214"/>
        <v>0</v>
      </c>
      <c r="BM69" s="12">
        <f t="shared" si="215"/>
        <v>0</v>
      </c>
      <c r="BN69" s="12">
        <f t="shared" si="216"/>
        <v>0</v>
      </c>
      <c r="BP69" s="16" t="s">
        <v>1304</v>
      </c>
      <c r="BQ69">
        <f>_xlfn.XLOOKUP(BP69,'KPI Impacts'!$B$2:$H$2,'KPI Impacts'!$B69:$H69)</f>
        <v>0</v>
      </c>
      <c r="BT69" s="12">
        <f t="shared" si="217"/>
        <v>0</v>
      </c>
      <c r="BU69" s="12">
        <f t="shared" si="218"/>
        <v>0</v>
      </c>
      <c r="BV69" s="12">
        <f t="shared" si="219"/>
        <v>0</v>
      </c>
      <c r="BW69" s="12">
        <f t="shared" si="220"/>
        <v>0</v>
      </c>
      <c r="BX69" s="12">
        <f t="shared" si="221"/>
        <v>0</v>
      </c>
      <c r="BY69" s="12">
        <f t="shared" si="222"/>
        <v>-3.2</v>
      </c>
      <c r="BZ69" s="12">
        <f t="shared" si="223"/>
        <v>-3.2</v>
      </c>
      <c r="CA69" s="12">
        <f t="shared" si="224"/>
        <v>-3.2</v>
      </c>
      <c r="CB69" s="12">
        <f t="shared" si="225"/>
        <v>-3.2</v>
      </c>
      <c r="CD69" s="29" t="s">
        <v>1307</v>
      </c>
      <c r="CE69">
        <f>_xlfn.XLOOKUP(CD69,'KPI Impacts'!$B$2:$H$2,'KPI Impacts'!$B69:$H69)</f>
        <v>-3.2</v>
      </c>
      <c r="CH69" s="12">
        <f t="shared" si="226"/>
        <v>0</v>
      </c>
      <c r="CI69" s="12">
        <f t="shared" si="227"/>
        <v>0</v>
      </c>
      <c r="CJ69" s="12">
        <f t="shared" si="228"/>
        <v>0</v>
      </c>
      <c r="CK69" s="12">
        <f t="shared" si="229"/>
        <v>0</v>
      </c>
      <c r="CL69" s="12">
        <f t="shared" si="230"/>
        <v>0</v>
      </c>
      <c r="CM69" s="12">
        <f t="shared" si="231"/>
        <v>0</v>
      </c>
      <c r="CN69" s="12">
        <f t="shared" si="232"/>
        <v>0</v>
      </c>
      <c r="CO69" s="12">
        <f t="shared" si="233"/>
        <v>0</v>
      </c>
      <c r="CP69" s="12">
        <f t="shared" si="234"/>
        <v>0</v>
      </c>
      <c r="CR69" s="16" t="s">
        <v>1304</v>
      </c>
      <c r="CS69">
        <f>_xlfn.XLOOKUP(CR69,'KPI Impacts'!$B$2:$H$2,'KPI Impacts'!$B69:$H69)</f>
        <v>0</v>
      </c>
      <c r="CV69" s="12">
        <f t="shared" si="235"/>
        <v>0</v>
      </c>
      <c r="CW69" s="12">
        <f t="shared" si="236"/>
        <v>0</v>
      </c>
      <c r="CX69" s="12">
        <f t="shared" si="237"/>
        <v>0</v>
      </c>
      <c r="CY69" s="12">
        <f t="shared" si="238"/>
        <v>0</v>
      </c>
      <c r="CZ69" s="12">
        <f t="shared" si="239"/>
        <v>0</v>
      </c>
      <c r="DA69" s="12">
        <f t="shared" si="240"/>
        <v>0</v>
      </c>
      <c r="DB69" s="12">
        <f t="shared" si="241"/>
        <v>0</v>
      </c>
      <c r="DC69" s="12">
        <f t="shared" si="242"/>
        <v>0</v>
      </c>
      <c r="DD69" s="12">
        <f t="shared" si="243"/>
        <v>0</v>
      </c>
      <c r="DF69" s="16" t="s">
        <v>1304</v>
      </c>
      <c r="DG69">
        <f>_xlfn.XLOOKUP(DF69,'KPI Impacts'!$B$2:$H$2,'KPI Impacts'!$B69:$H69)</f>
        <v>0</v>
      </c>
      <c r="DJ69" s="12">
        <f t="shared" si="244"/>
        <v>0</v>
      </c>
      <c r="DK69" s="12">
        <f t="shared" si="245"/>
        <v>0</v>
      </c>
      <c r="DL69" s="12">
        <f t="shared" si="246"/>
        <v>0</v>
      </c>
      <c r="DM69" s="12">
        <f t="shared" si="247"/>
        <v>0</v>
      </c>
      <c r="DN69" s="12">
        <f t="shared" si="248"/>
        <v>0</v>
      </c>
      <c r="DO69" s="12">
        <f t="shared" si="249"/>
        <v>0</v>
      </c>
      <c r="DP69" s="12">
        <f t="shared" si="250"/>
        <v>0</v>
      </c>
      <c r="DQ69" s="12">
        <f t="shared" si="251"/>
        <v>0</v>
      </c>
      <c r="DR69" s="12">
        <f t="shared" si="252"/>
        <v>0</v>
      </c>
      <c r="DT69" s="16" t="s">
        <v>1304</v>
      </c>
      <c r="DU69">
        <f>_xlfn.XLOOKUP(DT69,'KPI Impacts'!$B$2:$H$2,'KPI Impacts'!$B69:$H69)</f>
        <v>0</v>
      </c>
      <c r="DX69" s="12"/>
      <c r="DY69" s="12"/>
      <c r="DZ69" s="12"/>
      <c r="EA69" s="12"/>
      <c r="EB69" s="12"/>
      <c r="EC69" s="12"/>
      <c r="ED69" s="12"/>
      <c r="EE69" s="12"/>
      <c r="EF69" s="12"/>
    </row>
    <row r="70" spans="1:136" x14ac:dyDescent="0.2">
      <c r="Z70" s="16"/>
      <c r="AN70" s="16"/>
      <c r="BB70" s="16"/>
      <c r="BP70" s="16"/>
      <c r="CD70" s="16"/>
      <c r="CR70" s="16"/>
      <c r="DF70" s="16"/>
      <c r="DT70" s="16"/>
      <c r="EA70" s="12"/>
      <c r="EB70" s="12"/>
    </row>
    <row r="71" spans="1:136" x14ac:dyDescent="0.2">
      <c r="Z71" s="16"/>
      <c r="AN71" s="16"/>
      <c r="BB71" s="16"/>
      <c r="BP71" s="16"/>
      <c r="CD71" s="16"/>
      <c r="CR71" s="16"/>
      <c r="DF71" s="16"/>
      <c r="DT71" s="16"/>
      <c r="EA71" s="12"/>
      <c r="EB71" s="12"/>
    </row>
    <row r="72" spans="1:136" x14ac:dyDescent="0.2">
      <c r="A72" s="5" t="s">
        <v>44</v>
      </c>
      <c r="Z72" s="16"/>
      <c r="AN72" s="16"/>
      <c r="BB72" s="16"/>
      <c r="BP72" s="16"/>
      <c r="CD72" s="16"/>
      <c r="CR72" s="16"/>
      <c r="DF72" s="16"/>
      <c r="DT72" s="16"/>
      <c r="EA72" s="12"/>
      <c r="EB72" s="12"/>
    </row>
    <row r="73" spans="1:136" x14ac:dyDescent="0.2">
      <c r="A73" t="s">
        <v>55</v>
      </c>
      <c r="B73" s="12">
        <f>P73+AD73+AR73+BF73+BT73+CH73+CV73+DJ73</f>
        <v>0</v>
      </c>
      <c r="C73" s="12">
        <f t="shared" ref="C73:C74" si="253">Q73+AE73+AS73+BG73+BU73+CI73+CW73+DK73</f>
        <v>-0.32000000000000006</v>
      </c>
      <c r="D73" s="12">
        <f t="shared" ref="D73:D74" si="254">R73+AF73+AT73+BH73+BV73+CJ73+CX73+DL73</f>
        <v>-0.32000000000000006</v>
      </c>
      <c r="E73" s="12">
        <f t="shared" ref="E73:E74" si="255">S73+AG73+AU73+BI73+BW73+CK73+CY73+DM73</f>
        <v>-0.32000000000000006</v>
      </c>
      <c r="F73" s="12">
        <f t="shared" ref="F73:F74" si="256">T73+AH73+AV73+BJ73+BX73+CL73+CZ73+DN73</f>
        <v>-0.32000000000000006</v>
      </c>
      <c r="G73" s="12">
        <f t="shared" ref="G73:G74" si="257">U73+AI73+AW73+BK73+BY73+CM73+DA73+DO73</f>
        <v>-0.32000000000000006</v>
      </c>
      <c r="H73" s="12">
        <f t="shared" ref="H73:H74" si="258">V73+AJ73+AX73+BL73+BZ73+CN73+DB73+DP73</f>
        <v>-0.32000000000000006</v>
      </c>
      <c r="I73" s="12">
        <f t="shared" ref="I73:I74" si="259">W73+AK73+AY73+BM73+CA73+CO73+DC73+DQ73</f>
        <v>-0.32000000000000006</v>
      </c>
      <c r="J73" s="12">
        <f t="shared" ref="J73:J74" si="260">X73+AL73+AZ73+BN73+CB73+CP73+DD73+DR73</f>
        <v>-0.32000000000000006</v>
      </c>
      <c r="P73" s="12">
        <f>P$5*AA73</f>
        <v>0</v>
      </c>
      <c r="Q73" s="12">
        <f>Q$5*AA73</f>
        <v>-0.32000000000000006</v>
      </c>
      <c r="R73" s="12">
        <f>R$5*AA73</f>
        <v>-0.32000000000000006</v>
      </c>
      <c r="S73" s="12">
        <f>S$5*AA73</f>
        <v>-0.32000000000000006</v>
      </c>
      <c r="T73" s="12">
        <f>T$5*AA73</f>
        <v>-0.32000000000000006</v>
      </c>
      <c r="U73" s="12">
        <f>U$5*AA73</f>
        <v>-0.32000000000000006</v>
      </c>
      <c r="V73" s="12">
        <f>V$5*AA73</f>
        <v>-0.32000000000000006</v>
      </c>
      <c r="W73" s="12">
        <f>W$5*AA73</f>
        <v>-0.32000000000000006</v>
      </c>
      <c r="X73" s="12">
        <f>X$5*AA73</f>
        <v>-0.32000000000000006</v>
      </c>
      <c r="Z73" s="29" t="s">
        <v>1305</v>
      </c>
      <c r="AA73">
        <f>_xlfn.XLOOKUP(Z73,'KPI Impacts'!$B$2:$H$2,'KPI Impacts'!$B73:$H73)</f>
        <v>-0.32000000000000006</v>
      </c>
      <c r="AD73" s="12">
        <f>AD$5*AO73</f>
        <v>0</v>
      </c>
      <c r="AE73" s="12">
        <f>AE$5*AO73</f>
        <v>0</v>
      </c>
      <c r="AF73" s="12">
        <f>AF$5*AO73</f>
        <v>0</v>
      </c>
      <c r="AG73" s="12">
        <f>AG$5*AO73</f>
        <v>0</v>
      </c>
      <c r="AH73" s="12">
        <f>AH$5*AO73</f>
        <v>0</v>
      </c>
      <c r="AI73" s="12">
        <f>AI$5*AO73</f>
        <v>0</v>
      </c>
      <c r="AJ73" s="12">
        <f>AJ$5*AO73</f>
        <v>0</v>
      </c>
      <c r="AK73" s="12">
        <f>AK$5*AO73</f>
        <v>0</v>
      </c>
      <c r="AL73" s="12">
        <f>AL$5*AO73</f>
        <v>0</v>
      </c>
      <c r="AN73" s="16" t="s">
        <v>1304</v>
      </c>
      <c r="AO73">
        <f>_xlfn.XLOOKUP(AN73,'KPI Impacts'!$B$2:$H$2,'KPI Impacts'!$B73:$H73)</f>
        <v>0</v>
      </c>
      <c r="AR73" s="12">
        <f>AR$5*BC73</f>
        <v>0</v>
      </c>
      <c r="AS73" s="12">
        <f>AS$5*BC73</f>
        <v>0</v>
      </c>
      <c r="AT73" s="12">
        <f>AT$5*BC73</f>
        <v>0</v>
      </c>
      <c r="AU73" s="12">
        <f>AU$5*BC73</f>
        <v>0</v>
      </c>
      <c r="AV73" s="12">
        <f>AV$5*BC73</f>
        <v>0</v>
      </c>
      <c r="AW73" s="12">
        <f>AW$5*BC73</f>
        <v>0</v>
      </c>
      <c r="AX73" s="12">
        <f>AX$5*BC73</f>
        <v>0</v>
      </c>
      <c r="AY73" s="12">
        <f>AY$5*BC73</f>
        <v>0</v>
      </c>
      <c r="AZ73" s="12">
        <f>AZ$5*BC73</f>
        <v>0</v>
      </c>
      <c r="BB73" s="16" t="s">
        <v>1304</v>
      </c>
      <c r="BC73">
        <f>_xlfn.XLOOKUP(BB73,'KPI Impacts'!$B$2:$H$2,'KPI Impacts'!$B73:$H73)</f>
        <v>0</v>
      </c>
      <c r="BF73" s="12">
        <f>BF$5*BQ73</f>
        <v>0</v>
      </c>
      <c r="BG73" s="12">
        <f>BG$5*BQ73</f>
        <v>0</v>
      </c>
      <c r="BH73" s="12">
        <f>BH$5*BQ73</f>
        <v>0</v>
      </c>
      <c r="BI73" s="12">
        <f>BI$5*BQ73</f>
        <v>0</v>
      </c>
      <c r="BJ73" s="12">
        <f>BJ$5*BQ73</f>
        <v>0</v>
      </c>
      <c r="BK73" s="12">
        <f>BK$5*BQ73</f>
        <v>0</v>
      </c>
      <c r="BL73" s="12">
        <f>BL$5*BQ73</f>
        <v>0</v>
      </c>
      <c r="BM73" s="12">
        <f>BM$5*BQ73</f>
        <v>0</v>
      </c>
      <c r="BN73" s="12">
        <f>BN$5*BQ73</f>
        <v>0</v>
      </c>
      <c r="BP73" s="16" t="s">
        <v>1304</v>
      </c>
      <c r="BQ73">
        <f>_xlfn.XLOOKUP(BP73,'KPI Impacts'!$B$2:$H$2,'KPI Impacts'!$B73:$H73)</f>
        <v>0</v>
      </c>
      <c r="BT73" s="12">
        <f>BT$5*CE73</f>
        <v>0</v>
      </c>
      <c r="BU73" s="12">
        <f>BU$5*CE73</f>
        <v>0</v>
      </c>
      <c r="BV73" s="12">
        <f>BV$5*CE73</f>
        <v>0</v>
      </c>
      <c r="BW73" s="12">
        <f>BW$5*CE73</f>
        <v>0</v>
      </c>
      <c r="BX73" s="12">
        <f>BX$5*CE73</f>
        <v>0</v>
      </c>
      <c r="BY73" s="12">
        <f>BY$5*CE73</f>
        <v>0</v>
      </c>
      <c r="BZ73" s="12">
        <f>BZ$5*CE73</f>
        <v>0</v>
      </c>
      <c r="CA73" s="12">
        <f>CA$5*CE73</f>
        <v>0</v>
      </c>
      <c r="CB73" s="12">
        <f>CB$5*CE73</f>
        <v>0</v>
      </c>
      <c r="CD73" s="16" t="s">
        <v>1304</v>
      </c>
      <c r="CE73">
        <f>_xlfn.XLOOKUP(CD73,'KPI Impacts'!$B$2:$H$2,'KPI Impacts'!$B73:$H73)</f>
        <v>0</v>
      </c>
      <c r="CH73" s="12">
        <f>CH$5*CS73</f>
        <v>0</v>
      </c>
      <c r="CI73" s="12">
        <f>CI$5*CS73</f>
        <v>0</v>
      </c>
      <c r="CJ73" s="12">
        <f>CJ$5*CS73</f>
        <v>0</v>
      </c>
      <c r="CK73" s="12">
        <f>CK$5*CS73</f>
        <v>0</v>
      </c>
      <c r="CL73" s="12">
        <f>CL$5*CS73</f>
        <v>0</v>
      </c>
      <c r="CM73" s="12">
        <f>CM$5*CS73</f>
        <v>0</v>
      </c>
      <c r="CN73" s="12">
        <f>CN$5*CS73</f>
        <v>0</v>
      </c>
      <c r="CO73" s="12">
        <f>CO$5*CS73</f>
        <v>0</v>
      </c>
      <c r="CP73" s="12">
        <f>CP$5*CS73</f>
        <v>0</v>
      </c>
      <c r="CR73" s="16" t="s">
        <v>1304</v>
      </c>
      <c r="CS73">
        <f>_xlfn.XLOOKUP(CR73,'KPI Impacts'!$B$2:$H$2,'KPI Impacts'!$B73:$H73)</f>
        <v>0</v>
      </c>
      <c r="CV73" s="12">
        <f>CV$5*DG73</f>
        <v>0</v>
      </c>
      <c r="CW73" s="12">
        <f>CW$5*DG73</f>
        <v>0</v>
      </c>
      <c r="CX73" s="12">
        <f>CX$5*DG73</f>
        <v>0</v>
      </c>
      <c r="CY73" s="12">
        <f>CY$5*DG73</f>
        <v>0</v>
      </c>
      <c r="CZ73" s="12">
        <f>CZ$5*DG73</f>
        <v>0</v>
      </c>
      <c r="DA73" s="12">
        <f>DA$5*DG73</f>
        <v>0</v>
      </c>
      <c r="DB73" s="12">
        <f>DB$5*DG73</f>
        <v>0</v>
      </c>
      <c r="DC73" s="12">
        <f>DC$5*DG73</f>
        <v>0</v>
      </c>
      <c r="DD73" s="12">
        <f>DD$5*DG73</f>
        <v>0</v>
      </c>
      <c r="DF73" s="16" t="s">
        <v>1304</v>
      </c>
      <c r="DG73">
        <f>_xlfn.XLOOKUP(DF73,'KPI Impacts'!$B$2:$H$2,'KPI Impacts'!$B73:$H73)</f>
        <v>0</v>
      </c>
      <c r="DJ73" s="12">
        <f>DJ$5*DU73</f>
        <v>0</v>
      </c>
      <c r="DK73" s="12">
        <f>DK$5*DU73</f>
        <v>0</v>
      </c>
      <c r="DL73" s="12">
        <f>DL$5*DU73</f>
        <v>0</v>
      </c>
      <c r="DM73" s="12">
        <f>DM$5*DU73</f>
        <v>0</v>
      </c>
      <c r="DN73" s="12">
        <f>DN$5*DU73</f>
        <v>0</v>
      </c>
      <c r="DO73" s="12">
        <f>DO$5*DU73</f>
        <v>0</v>
      </c>
      <c r="DP73" s="12">
        <f>DP$5*DU73</f>
        <v>0</v>
      </c>
      <c r="DQ73" s="12">
        <f>DQ$5*DU73</f>
        <v>0</v>
      </c>
      <c r="DR73" s="12">
        <f>DR$5*DU73</f>
        <v>0</v>
      </c>
      <c r="DT73" s="16" t="s">
        <v>1304</v>
      </c>
      <c r="DU73">
        <f>_xlfn.XLOOKUP(DT73,'KPI Impacts'!$B$2:$H$2,'KPI Impacts'!$B73:$H73)</f>
        <v>0</v>
      </c>
      <c r="DX73" s="12"/>
      <c r="DY73" s="12"/>
      <c r="DZ73" s="12"/>
      <c r="EA73" s="12"/>
      <c r="EB73" s="12"/>
      <c r="EC73" s="12"/>
      <c r="ED73" s="12"/>
      <c r="EE73" s="12"/>
      <c r="EF73" s="12"/>
    </row>
    <row r="74" spans="1:136" x14ac:dyDescent="0.2">
      <c r="A74" s="9" t="s">
        <v>1964</v>
      </c>
      <c r="B74" s="12">
        <f>P74+AD74+AR74+BF74+BT74+CH74+CV74+DJ74</f>
        <v>0</v>
      </c>
      <c r="C74" s="12">
        <f t="shared" si="253"/>
        <v>-1600000000</v>
      </c>
      <c r="D74" s="12">
        <f t="shared" si="254"/>
        <v>-1600000000</v>
      </c>
      <c r="E74" s="12">
        <f t="shared" si="255"/>
        <v>-1600000000</v>
      </c>
      <c r="F74" s="12">
        <f t="shared" si="256"/>
        <v>-1600000000</v>
      </c>
      <c r="G74" s="12">
        <f t="shared" si="257"/>
        <v>-1600000000</v>
      </c>
      <c r="H74" s="12">
        <f t="shared" si="258"/>
        <v>-1600000000</v>
      </c>
      <c r="I74" s="12">
        <f t="shared" si="259"/>
        <v>-1600000000</v>
      </c>
      <c r="J74" s="12">
        <f t="shared" si="260"/>
        <v>-1600000000</v>
      </c>
      <c r="P74" s="12">
        <f>P$5*AA74</f>
        <v>0</v>
      </c>
      <c r="Q74" s="12">
        <f>Q$5*AA74</f>
        <v>-1600000000</v>
      </c>
      <c r="R74" s="12">
        <f>R$5*AA74</f>
        <v>-1600000000</v>
      </c>
      <c r="S74" s="12">
        <f>S$5*AA74</f>
        <v>-1600000000</v>
      </c>
      <c r="T74" s="12">
        <f>T$5*AA74</f>
        <v>-1600000000</v>
      </c>
      <c r="U74" s="12">
        <f>U$5*AA74</f>
        <v>-1600000000</v>
      </c>
      <c r="V74" s="12">
        <f>V$5*AA74</f>
        <v>-1600000000</v>
      </c>
      <c r="W74" s="12">
        <f>W$5*AA74</f>
        <v>-1600000000</v>
      </c>
      <c r="X74" s="12">
        <f>X$5*AA74</f>
        <v>-1600000000</v>
      </c>
      <c r="Z74" s="29" t="s">
        <v>1305</v>
      </c>
      <c r="AA74">
        <f>_xlfn.XLOOKUP(Z74,'KPI Impacts'!$B$2:$H$2,'KPI Impacts'!$B74:$H74)</f>
        <v>-1600000000</v>
      </c>
      <c r="AD74" s="12">
        <f>AD$5*AO74</f>
        <v>0</v>
      </c>
      <c r="AE74" s="12">
        <f>AE$5*AO74</f>
        <v>0</v>
      </c>
      <c r="AF74" s="12">
        <f>AF$5*AO74</f>
        <v>0</v>
      </c>
      <c r="AG74" s="12">
        <f>AG$5*AO74</f>
        <v>0</v>
      </c>
      <c r="AH74" s="12">
        <f>AH$5*AO74</f>
        <v>0</v>
      </c>
      <c r="AI74" s="12">
        <f>AI$5*AO74</f>
        <v>0</v>
      </c>
      <c r="AJ74" s="12">
        <f>AJ$5*AO74</f>
        <v>0</v>
      </c>
      <c r="AK74" s="12">
        <f>AK$5*AO74</f>
        <v>0</v>
      </c>
      <c r="AL74" s="12">
        <f>AL$5*AO74</f>
        <v>0</v>
      </c>
      <c r="AN74" s="16" t="s">
        <v>1304</v>
      </c>
      <c r="AO74">
        <f>_xlfn.XLOOKUP(AN74,'KPI Impacts'!$B$2:$H$2,'KPI Impacts'!$B74:$H74)</f>
        <v>0</v>
      </c>
      <c r="AR74" s="12">
        <f>AR$5*BC74</f>
        <v>0</v>
      </c>
      <c r="AS74" s="12">
        <f>AS$5*BC74</f>
        <v>0</v>
      </c>
      <c r="AT74" s="12">
        <f>AT$5*BC74</f>
        <v>0</v>
      </c>
      <c r="AU74" s="12">
        <f>AU$5*BC74</f>
        <v>0</v>
      </c>
      <c r="AV74" s="12">
        <f>AV$5*BC74</f>
        <v>0</v>
      </c>
      <c r="AW74" s="12">
        <f>AW$5*BC74</f>
        <v>0</v>
      </c>
      <c r="AX74" s="12">
        <f>AX$5*BC74</f>
        <v>0</v>
      </c>
      <c r="AY74" s="12">
        <f>AY$5*BC74</f>
        <v>0</v>
      </c>
      <c r="AZ74" s="12">
        <f>AZ$5*BC74</f>
        <v>0</v>
      </c>
      <c r="BB74" s="16" t="s">
        <v>1304</v>
      </c>
      <c r="BC74">
        <f>_xlfn.XLOOKUP(BB74,'KPI Impacts'!$B$2:$H$2,'KPI Impacts'!$B74:$H74)</f>
        <v>0</v>
      </c>
      <c r="BF74" s="12">
        <f>BF$5*BQ74</f>
        <v>0</v>
      </c>
      <c r="BG74" s="12">
        <f>BG$5*BQ74</f>
        <v>0</v>
      </c>
      <c r="BH74" s="12">
        <f>BH$5*BQ74</f>
        <v>0</v>
      </c>
      <c r="BI74" s="12">
        <f>BI$5*BQ74</f>
        <v>0</v>
      </c>
      <c r="BJ74" s="12">
        <f>BJ$5*BQ74</f>
        <v>0</v>
      </c>
      <c r="BK74" s="12">
        <f>BK$5*BQ74</f>
        <v>0</v>
      </c>
      <c r="BL74" s="12">
        <f>BL$5*BQ74</f>
        <v>0</v>
      </c>
      <c r="BM74" s="12">
        <f>BM$5*BQ74</f>
        <v>0</v>
      </c>
      <c r="BN74" s="12">
        <f>BN$5*BQ74</f>
        <v>0</v>
      </c>
      <c r="BP74" s="16" t="s">
        <v>1304</v>
      </c>
      <c r="BQ74">
        <f>_xlfn.XLOOKUP(BP74,'KPI Impacts'!$B$2:$H$2,'KPI Impacts'!$B74:$H74)</f>
        <v>0</v>
      </c>
      <c r="BT74" s="12">
        <f>BT$5*CE74</f>
        <v>0</v>
      </c>
      <c r="BU74" s="12">
        <f>BU$5*CE74</f>
        <v>0</v>
      </c>
      <c r="BV74" s="12">
        <f>BV$5*CE74</f>
        <v>0</v>
      </c>
      <c r="BW74" s="12">
        <f>BW$5*CE74</f>
        <v>0</v>
      </c>
      <c r="BX74" s="12">
        <f>BX$5*CE74</f>
        <v>0</v>
      </c>
      <c r="BY74" s="12">
        <f>BY$5*CE74</f>
        <v>0</v>
      </c>
      <c r="BZ74" s="12">
        <f>BZ$5*CE74</f>
        <v>0</v>
      </c>
      <c r="CA74" s="12">
        <f>CA$5*CE74</f>
        <v>0</v>
      </c>
      <c r="CB74" s="12">
        <f>CB$5*CE74</f>
        <v>0</v>
      </c>
      <c r="CD74" s="16" t="s">
        <v>1304</v>
      </c>
      <c r="CE74">
        <f>_xlfn.XLOOKUP(CD74,'KPI Impacts'!$B$2:$H$2,'KPI Impacts'!$B74:$H74)</f>
        <v>0</v>
      </c>
      <c r="CH74" s="12">
        <f>CH$5*CS74</f>
        <v>0</v>
      </c>
      <c r="CI74" s="12">
        <f>CI$5*CS74</f>
        <v>0</v>
      </c>
      <c r="CJ74" s="12">
        <f>CJ$5*CS74</f>
        <v>0</v>
      </c>
      <c r="CK74" s="12">
        <f>CK$5*CS74</f>
        <v>0</v>
      </c>
      <c r="CL74" s="12">
        <f>CL$5*CS74</f>
        <v>0</v>
      </c>
      <c r="CM74" s="12">
        <f>CM$5*CS74</f>
        <v>0</v>
      </c>
      <c r="CN74" s="12">
        <f>CN$5*CS74</f>
        <v>0</v>
      </c>
      <c r="CO74" s="12">
        <f>CO$5*CS74</f>
        <v>0</v>
      </c>
      <c r="CP74" s="12">
        <f>CP$5*CS74</f>
        <v>0</v>
      </c>
      <c r="CR74" s="16" t="s">
        <v>1304</v>
      </c>
      <c r="CS74">
        <f>_xlfn.XLOOKUP(CR74,'KPI Impacts'!$B$2:$H$2,'KPI Impacts'!$B74:$H74)</f>
        <v>0</v>
      </c>
      <c r="CV74" s="12">
        <f>CV$5*DG74</f>
        <v>0</v>
      </c>
      <c r="CW74" s="12">
        <f>CW$5*DG74</f>
        <v>0</v>
      </c>
      <c r="CX74" s="12">
        <f>CX$5*DG74</f>
        <v>0</v>
      </c>
      <c r="CY74" s="12">
        <f>CY$5*DG74</f>
        <v>0</v>
      </c>
      <c r="CZ74" s="12">
        <f>CZ$5*DG74</f>
        <v>0</v>
      </c>
      <c r="DA74" s="12">
        <f>DA$5*DG74</f>
        <v>0</v>
      </c>
      <c r="DB74" s="12">
        <f>DB$5*DG74</f>
        <v>0</v>
      </c>
      <c r="DC74" s="12">
        <f>DC$5*DG74</f>
        <v>0</v>
      </c>
      <c r="DD74" s="12">
        <f>DD$5*DG74</f>
        <v>0</v>
      </c>
      <c r="DF74" s="16" t="s">
        <v>1304</v>
      </c>
      <c r="DG74">
        <f>_xlfn.XLOOKUP(DF74,'KPI Impacts'!$B$2:$H$2,'KPI Impacts'!$B74:$H74)</f>
        <v>0</v>
      </c>
      <c r="DJ74" s="12">
        <f>DJ$5*DU74</f>
        <v>0</v>
      </c>
      <c r="DK74" s="12">
        <f>DK$5*DU74</f>
        <v>0</v>
      </c>
      <c r="DL74" s="12">
        <f>DL$5*DU74</f>
        <v>0</v>
      </c>
      <c r="DM74" s="12">
        <f>DM$5*DU74</f>
        <v>0</v>
      </c>
      <c r="DN74" s="12">
        <f>DN$5*DU74</f>
        <v>0</v>
      </c>
      <c r="DO74" s="12">
        <f>DO$5*DU74</f>
        <v>0</v>
      </c>
      <c r="DP74" s="12">
        <f>DP$5*DU74</f>
        <v>0</v>
      </c>
      <c r="DQ74" s="12">
        <f>DQ$5*DU74</f>
        <v>0</v>
      </c>
      <c r="DR74" s="12">
        <f>DR$5*DU74</f>
        <v>0</v>
      </c>
      <c r="DT74" s="16" t="s">
        <v>1304</v>
      </c>
      <c r="DU74">
        <f>_xlfn.XLOOKUP(DT74,'KPI Impacts'!$B$2:$H$2,'KPI Impacts'!$B74:$H74)</f>
        <v>0</v>
      </c>
      <c r="DX74" s="12"/>
      <c r="DY74" s="12"/>
      <c r="DZ74" s="12"/>
      <c r="EA74" s="12"/>
      <c r="EB74" s="12"/>
      <c r="EC74" s="12"/>
      <c r="ED74" s="12"/>
      <c r="EE74" s="12"/>
      <c r="EF74" s="12"/>
    </row>
    <row r="75" spans="1:136" x14ac:dyDescent="0.2">
      <c r="A75" t="s">
        <v>1311</v>
      </c>
      <c r="B75" s="12">
        <f>P75+AD75+BF75+BT75+CH75+CV75+DJ75</f>
        <v>0</v>
      </c>
      <c r="C75" s="12">
        <f t="shared" ref="C75:J75" si="261">Q75+AE75+BG75+BU75+CI75+CW75+DK75</f>
        <v>0</v>
      </c>
      <c r="D75" s="12">
        <f t="shared" si="261"/>
        <v>0</v>
      </c>
      <c r="E75" s="12">
        <f t="shared" si="261"/>
        <v>0</v>
      </c>
      <c r="F75" s="12">
        <f t="shared" si="261"/>
        <v>0</v>
      </c>
      <c r="G75" s="12">
        <f t="shared" si="261"/>
        <v>0</v>
      </c>
      <c r="H75" s="12">
        <f t="shared" si="261"/>
        <v>0</v>
      </c>
      <c r="I75" s="12">
        <f t="shared" si="261"/>
        <v>0</v>
      </c>
      <c r="J75" s="12">
        <f t="shared" si="261"/>
        <v>0</v>
      </c>
      <c r="P75" s="12">
        <f>P$5*AA75</f>
        <v>0</v>
      </c>
      <c r="Q75" s="12">
        <f>Q$5*AA75</f>
        <v>0</v>
      </c>
      <c r="R75" s="12">
        <f>R$5*AA75</f>
        <v>0</v>
      </c>
      <c r="S75" s="12">
        <f>S$5*AA75</f>
        <v>0</v>
      </c>
      <c r="T75" s="12">
        <f>T$5*AA75</f>
        <v>0</v>
      </c>
      <c r="U75" s="12">
        <f>U$5*AA75</f>
        <v>0</v>
      </c>
      <c r="V75" s="12">
        <f>V$5*AA75</f>
        <v>0</v>
      </c>
      <c r="W75" s="12">
        <f>W$5*AA75</f>
        <v>0</v>
      </c>
      <c r="X75" s="12">
        <f>X$5*AA75</f>
        <v>0</v>
      </c>
      <c r="Z75" s="16" t="s">
        <v>1304</v>
      </c>
      <c r="AA75">
        <f>_xlfn.XLOOKUP(Z75,'KPI Impacts'!$B$2:$H$2,'KPI Impacts'!$B75:$H75)</f>
        <v>0</v>
      </c>
      <c r="AD75" s="12">
        <f>AD$5*AO75</f>
        <v>0</v>
      </c>
      <c r="AE75" s="12">
        <f>AE$5*AO75</f>
        <v>0</v>
      </c>
      <c r="AF75" s="12">
        <f>AF$5*AO75</f>
        <v>0</v>
      </c>
      <c r="AG75" s="12">
        <f>AG$5*AO75</f>
        <v>0</v>
      </c>
      <c r="AH75" s="12">
        <f>AH$5*AO75</f>
        <v>0</v>
      </c>
      <c r="AI75" s="12">
        <f>AI$5*AO75</f>
        <v>0</v>
      </c>
      <c r="AJ75" s="12">
        <f>AJ$5*AO75</f>
        <v>0</v>
      </c>
      <c r="AK75" s="12">
        <f>AK$5*AO75</f>
        <v>0</v>
      </c>
      <c r="AL75" s="12">
        <f>AL$5*AO75</f>
        <v>0</v>
      </c>
      <c r="AN75" s="16" t="s">
        <v>1304</v>
      </c>
      <c r="AO75">
        <f>_xlfn.XLOOKUP(AN75,'KPI Impacts'!$B$2:$H$2,'KPI Impacts'!$B75:$H75)</f>
        <v>0</v>
      </c>
      <c r="AR75" s="19" t="s">
        <v>1319</v>
      </c>
      <c r="AS75" s="19" t="s">
        <v>1319</v>
      </c>
      <c r="AT75" s="19" t="s">
        <v>1319</v>
      </c>
      <c r="AU75" s="19" t="s">
        <v>1319</v>
      </c>
      <c r="AV75" s="19" t="s">
        <v>1319</v>
      </c>
      <c r="AW75" s="19" t="s">
        <v>1319</v>
      </c>
      <c r="AX75" s="19" t="s">
        <v>1319</v>
      </c>
      <c r="AY75" s="19" t="s">
        <v>1319</v>
      </c>
      <c r="AZ75" s="19" t="s">
        <v>1319</v>
      </c>
      <c r="BA75" s="19" t="s">
        <v>1319</v>
      </c>
      <c r="BB75" s="19" t="s">
        <v>1319</v>
      </c>
      <c r="BC75" s="19" t="s">
        <v>1319</v>
      </c>
      <c r="BF75" s="12">
        <f>BF$5*BQ75</f>
        <v>0</v>
      </c>
      <c r="BG75" s="12">
        <f>BG$5*BQ75</f>
        <v>0</v>
      </c>
      <c r="BH75" s="12">
        <f>BH$5*BQ75</f>
        <v>0</v>
      </c>
      <c r="BI75" s="12">
        <f>BI$5*BQ75</f>
        <v>0</v>
      </c>
      <c r="BJ75" s="12">
        <f>BJ$5*BQ75</f>
        <v>0</v>
      </c>
      <c r="BK75" s="12">
        <f>BK$5*BQ75</f>
        <v>0</v>
      </c>
      <c r="BL75" s="12">
        <f>BL$5*BQ75</f>
        <v>0</v>
      </c>
      <c r="BM75" s="12">
        <f>BM$5*BQ75</f>
        <v>0</v>
      </c>
      <c r="BN75" s="12">
        <f>BN$5*BQ75</f>
        <v>0</v>
      </c>
      <c r="BP75" s="16" t="s">
        <v>1304</v>
      </c>
      <c r="BQ75">
        <f>_xlfn.XLOOKUP(BP75,'KPI Impacts'!$B$2:$H$2,'KPI Impacts'!$B75:$H75)</f>
        <v>0</v>
      </c>
      <c r="BT75" s="12">
        <f>BT$5*CE75</f>
        <v>0</v>
      </c>
      <c r="BU75" s="12">
        <f>BU$5*CE75</f>
        <v>0</v>
      </c>
      <c r="BV75" s="12">
        <f>BV$5*CE75</f>
        <v>0</v>
      </c>
      <c r="BW75" s="12">
        <f>BW$5*CE75</f>
        <v>0</v>
      </c>
      <c r="BX75" s="12">
        <f>BX$5*CE75</f>
        <v>0</v>
      </c>
      <c r="BY75" s="12">
        <f>BY$5*CE75</f>
        <v>0</v>
      </c>
      <c r="BZ75" s="12">
        <f>BZ$5*CE75</f>
        <v>0</v>
      </c>
      <c r="CA75" s="12">
        <f>CA$5*CE75</f>
        <v>0</v>
      </c>
      <c r="CB75" s="12">
        <f>CB$5*CE75</f>
        <v>0</v>
      </c>
      <c r="CD75" s="16" t="s">
        <v>1304</v>
      </c>
      <c r="CE75">
        <f>_xlfn.XLOOKUP(CD75,'KPI Impacts'!$B$2:$H$2,'KPI Impacts'!$B75:$H75)</f>
        <v>0</v>
      </c>
      <c r="CH75" s="12">
        <f>CH$5*CS75</f>
        <v>0</v>
      </c>
      <c r="CI75" s="12">
        <f>CI$5*CS75</f>
        <v>0</v>
      </c>
      <c r="CJ75" s="12">
        <f>CJ$5*CS75</f>
        <v>0</v>
      </c>
      <c r="CK75" s="12">
        <f>CK$5*CS75</f>
        <v>0</v>
      </c>
      <c r="CL75" s="12">
        <f>CL$5*CS75</f>
        <v>0</v>
      </c>
      <c r="CM75" s="12">
        <f>CM$5*CS75</f>
        <v>0</v>
      </c>
      <c r="CN75" s="12">
        <f>CN$5*CS75</f>
        <v>0</v>
      </c>
      <c r="CO75" s="12">
        <f>CO$5*CS75</f>
        <v>0</v>
      </c>
      <c r="CP75" s="12">
        <f>CP$5*CS75</f>
        <v>0</v>
      </c>
      <c r="CR75" s="16" t="s">
        <v>1304</v>
      </c>
      <c r="CS75">
        <f>_xlfn.XLOOKUP(CR75,'KPI Impacts'!$B$2:$H$2,'KPI Impacts'!$B75:$H75)</f>
        <v>0</v>
      </c>
      <c r="CV75" s="12">
        <f>CV$5*DG75</f>
        <v>0</v>
      </c>
      <c r="CW75" s="12">
        <f>CW$5*DG75</f>
        <v>0</v>
      </c>
      <c r="CX75" s="12">
        <f>CX$5*DG75</f>
        <v>0</v>
      </c>
      <c r="CY75" s="12">
        <f>CY$5*DG75</f>
        <v>0</v>
      </c>
      <c r="CZ75" s="12">
        <f>CZ$5*DG75</f>
        <v>0</v>
      </c>
      <c r="DA75" s="12">
        <f>DA$5*DG75</f>
        <v>0</v>
      </c>
      <c r="DB75" s="12">
        <f>DB$5*DG75</f>
        <v>0</v>
      </c>
      <c r="DC75" s="12">
        <f>DC$5*DG75</f>
        <v>0</v>
      </c>
      <c r="DD75" s="12">
        <f>DD$5*DG75</f>
        <v>0</v>
      </c>
      <c r="DF75" s="16" t="s">
        <v>1304</v>
      </c>
      <c r="DG75">
        <f>_xlfn.XLOOKUP(DF75,'KPI Impacts'!$B$2:$H$2,'KPI Impacts'!$B75:$H75)</f>
        <v>0</v>
      </c>
      <c r="DJ75" s="12">
        <f>DJ$5*DU75</f>
        <v>0</v>
      </c>
      <c r="DK75" s="12">
        <f>DK$5*DU75</f>
        <v>0</v>
      </c>
      <c r="DL75" s="12">
        <f>DL$5*DU75</f>
        <v>0</v>
      </c>
      <c r="DM75" s="12">
        <f>DM$5*DU75</f>
        <v>0</v>
      </c>
      <c r="DN75" s="12">
        <f>DN$5*DU75</f>
        <v>0</v>
      </c>
      <c r="DO75" s="12">
        <f>DO$5*DU75</f>
        <v>0</v>
      </c>
      <c r="DP75" s="12">
        <f>DP$5*DU75</f>
        <v>0</v>
      </c>
      <c r="DQ75" s="12">
        <f>DQ$5*DU75</f>
        <v>0</v>
      </c>
      <c r="DR75" s="12">
        <f>DR$5*DU75</f>
        <v>0</v>
      </c>
      <c r="DT75" s="16" t="s">
        <v>1304</v>
      </c>
      <c r="DU75">
        <f>_xlfn.XLOOKUP(DT75,'KPI Impacts'!$B$2:$H$2,'KPI Impacts'!$B75:$H75)</f>
        <v>0</v>
      </c>
      <c r="DX75" s="12"/>
      <c r="DY75" s="12"/>
      <c r="DZ75" s="12"/>
      <c r="EA75" s="12"/>
      <c r="EB75" s="12"/>
      <c r="EC75" s="12"/>
      <c r="ED75" s="12"/>
      <c r="EE75" s="12"/>
      <c r="EF75" s="12"/>
    </row>
    <row r="76" spans="1:136" x14ac:dyDescent="0.2">
      <c r="A76" t="s">
        <v>1312</v>
      </c>
      <c r="B76" s="12">
        <f>P76+AD76+BF76+BT76+CH76+CV76+DJ76</f>
        <v>0</v>
      </c>
      <c r="C76" s="12">
        <f t="shared" ref="C76" si="262">Q76+AE76+BG76+BU76+CI76+CW76+DK76</f>
        <v>0</v>
      </c>
      <c r="D76" s="12">
        <f t="shared" ref="D76" si="263">R76+AF76+BH76+BV76+CJ76+CX76+DL76</f>
        <v>0</v>
      </c>
      <c r="E76" s="12">
        <f t="shared" ref="E76" si="264">S76+AG76+BI76+BW76+CK76+CY76+DM76</f>
        <v>0</v>
      </c>
      <c r="F76" s="12">
        <f t="shared" ref="F76" si="265">T76+AH76+BJ76+BX76+CL76+CZ76+DN76</f>
        <v>0</v>
      </c>
      <c r="G76" s="12">
        <f t="shared" ref="G76" si="266">U76+AI76+BK76+BY76+CM76+DA76+DO76</f>
        <v>0</v>
      </c>
      <c r="H76" s="12">
        <f t="shared" ref="H76" si="267">V76+AJ76+BL76+BZ76+CN76+DB76+DP76</f>
        <v>0</v>
      </c>
      <c r="I76" s="12">
        <f t="shared" ref="I76" si="268">W76+AK76+BM76+CA76+CO76+DC76+DQ76</f>
        <v>0</v>
      </c>
      <c r="J76" s="12">
        <f t="shared" ref="J76" si="269">X76+AL76+BN76+CB76+CP76+DD76+DR76</f>
        <v>0</v>
      </c>
      <c r="P76" s="12">
        <f>P$5*AA76</f>
        <v>0</v>
      </c>
      <c r="Q76" s="12">
        <f>Q$5*AA76</f>
        <v>0</v>
      </c>
      <c r="R76" s="12">
        <f>R$5*AA76</f>
        <v>0</v>
      </c>
      <c r="S76" s="12">
        <f>S$5*AA76</f>
        <v>0</v>
      </c>
      <c r="T76" s="12">
        <f>T$5*AA76</f>
        <v>0</v>
      </c>
      <c r="U76" s="12">
        <f>U$5*AA76</f>
        <v>0</v>
      </c>
      <c r="V76" s="12">
        <f>V$5*AA76</f>
        <v>0</v>
      </c>
      <c r="W76" s="12">
        <f>W$5*AA76</f>
        <v>0</v>
      </c>
      <c r="X76" s="12">
        <f>X$5*AA76</f>
        <v>0</v>
      </c>
      <c r="Z76" s="16" t="s">
        <v>1304</v>
      </c>
      <c r="AA76">
        <f>_xlfn.XLOOKUP(Z76,'KPI Impacts'!$B$2:$H$2,'KPI Impacts'!$B76:$H76)</f>
        <v>0</v>
      </c>
      <c r="AD76" s="12">
        <f>AD$5*AO76</f>
        <v>0</v>
      </c>
      <c r="AE76" s="12">
        <f>AE$5*AO76</f>
        <v>0</v>
      </c>
      <c r="AF76" s="12">
        <f>AF$5*AO76</f>
        <v>0</v>
      </c>
      <c r="AG76" s="12">
        <f>AG$5*AO76</f>
        <v>0</v>
      </c>
      <c r="AH76" s="12">
        <f>AH$5*AO76</f>
        <v>0</v>
      </c>
      <c r="AI76" s="12">
        <f>AI$5*AO76</f>
        <v>0</v>
      </c>
      <c r="AJ76" s="12">
        <f>AJ$5*AO76</f>
        <v>0</v>
      </c>
      <c r="AK76" s="12">
        <f>AK$5*AO76</f>
        <v>0</v>
      </c>
      <c r="AL76" s="12">
        <f>AL$5*AO76</f>
        <v>0</v>
      </c>
      <c r="AN76" s="16" t="s">
        <v>1304</v>
      </c>
      <c r="AO76">
        <f>_xlfn.XLOOKUP(AN76,'KPI Impacts'!$B$2:$H$2,'KPI Impacts'!$B76:$H76)</f>
        <v>0</v>
      </c>
      <c r="AR76" s="19" t="s">
        <v>1319</v>
      </c>
      <c r="AS76" s="19" t="s">
        <v>1319</v>
      </c>
      <c r="AT76" s="19" t="s">
        <v>1319</v>
      </c>
      <c r="AU76" s="19" t="s">
        <v>1319</v>
      </c>
      <c r="AV76" s="19" t="s">
        <v>1319</v>
      </c>
      <c r="AW76" s="19" t="s">
        <v>1319</v>
      </c>
      <c r="AX76" s="19" t="s">
        <v>1319</v>
      </c>
      <c r="AY76" s="19" t="s">
        <v>1319</v>
      </c>
      <c r="AZ76" s="19" t="s">
        <v>1319</v>
      </c>
      <c r="BA76" s="19" t="s">
        <v>1319</v>
      </c>
      <c r="BB76" s="19" t="s">
        <v>1319</v>
      </c>
      <c r="BC76" s="19" t="s">
        <v>1319</v>
      </c>
      <c r="BF76" s="12">
        <f>BF$5*BQ76</f>
        <v>0</v>
      </c>
      <c r="BG76" s="12">
        <f>BG$5*BQ76</f>
        <v>0</v>
      </c>
      <c r="BH76" s="12">
        <f>BH$5*BQ76</f>
        <v>0</v>
      </c>
      <c r="BI76" s="12">
        <f>BI$5*BQ76</f>
        <v>0</v>
      </c>
      <c r="BJ76" s="12">
        <f>BJ$5*BQ76</f>
        <v>0</v>
      </c>
      <c r="BK76" s="12">
        <f>BK$5*BQ76</f>
        <v>0</v>
      </c>
      <c r="BL76" s="12">
        <f>BL$5*BQ76</f>
        <v>0</v>
      </c>
      <c r="BM76" s="12">
        <f>BM$5*BQ76</f>
        <v>0</v>
      </c>
      <c r="BN76" s="12">
        <f>BN$5*BQ76</f>
        <v>0</v>
      </c>
      <c r="BP76" s="16" t="s">
        <v>1304</v>
      </c>
      <c r="BQ76">
        <f>_xlfn.XLOOKUP(BP76,'KPI Impacts'!$B$2:$H$2,'KPI Impacts'!$B76:$H76)</f>
        <v>0</v>
      </c>
      <c r="BT76" s="12">
        <f>BT$5*CE76</f>
        <v>0</v>
      </c>
      <c r="BU76" s="12">
        <f>BU$5*CE76</f>
        <v>0</v>
      </c>
      <c r="BV76" s="12">
        <f>BV$5*CE76</f>
        <v>0</v>
      </c>
      <c r="BW76" s="12">
        <f>BW$5*CE76</f>
        <v>0</v>
      </c>
      <c r="BX76" s="12">
        <f>BX$5*CE76</f>
        <v>0</v>
      </c>
      <c r="BY76" s="12">
        <f>BY$5*CE76</f>
        <v>0</v>
      </c>
      <c r="BZ76" s="12">
        <f>BZ$5*CE76</f>
        <v>0</v>
      </c>
      <c r="CA76" s="12">
        <f>CA$5*CE76</f>
        <v>0</v>
      </c>
      <c r="CB76" s="12">
        <f>CB$5*CE76</f>
        <v>0</v>
      </c>
      <c r="CD76" s="16" t="s">
        <v>1304</v>
      </c>
      <c r="CE76">
        <f>_xlfn.XLOOKUP(CD76,'KPI Impacts'!$B$2:$H$2,'KPI Impacts'!$B76:$H76)</f>
        <v>0</v>
      </c>
      <c r="CH76" s="12">
        <f>CH$5*CS76</f>
        <v>0</v>
      </c>
      <c r="CI76" s="12">
        <f>CI$5*CS76</f>
        <v>0</v>
      </c>
      <c r="CJ76" s="12">
        <f>CJ$5*CS76</f>
        <v>0</v>
      </c>
      <c r="CK76" s="12">
        <f>CK$5*CS76</f>
        <v>0</v>
      </c>
      <c r="CL76" s="12">
        <f>CL$5*CS76</f>
        <v>0</v>
      </c>
      <c r="CM76" s="12">
        <f>CM$5*CS76</f>
        <v>0</v>
      </c>
      <c r="CN76" s="12">
        <f>CN$5*CS76</f>
        <v>0</v>
      </c>
      <c r="CO76" s="12">
        <f>CO$5*CS76</f>
        <v>0</v>
      </c>
      <c r="CP76" s="12">
        <f>CP$5*CS76</f>
        <v>0</v>
      </c>
      <c r="CR76" s="16" t="s">
        <v>1304</v>
      </c>
      <c r="CS76">
        <f>_xlfn.XLOOKUP(CR76,'KPI Impacts'!$B$2:$H$2,'KPI Impacts'!$B76:$H76)</f>
        <v>0</v>
      </c>
      <c r="CV76" s="12">
        <f>CV$5*DG76</f>
        <v>0</v>
      </c>
      <c r="CW76" s="12">
        <f>CW$5*DG76</f>
        <v>0</v>
      </c>
      <c r="CX76" s="12">
        <f>CX$5*DG76</f>
        <v>0</v>
      </c>
      <c r="CY76" s="12">
        <f>CY$5*DG76</f>
        <v>0</v>
      </c>
      <c r="CZ76" s="12">
        <f>CZ$5*DG76</f>
        <v>0</v>
      </c>
      <c r="DA76" s="12">
        <f>DA$5*DG76</f>
        <v>0</v>
      </c>
      <c r="DB76" s="12">
        <f>DB$5*DG76</f>
        <v>0</v>
      </c>
      <c r="DC76" s="12">
        <f>DC$5*DG76</f>
        <v>0</v>
      </c>
      <c r="DD76" s="12">
        <f>DD$5*DG76</f>
        <v>0</v>
      </c>
      <c r="DF76" s="16" t="s">
        <v>1304</v>
      </c>
      <c r="DG76">
        <f>_xlfn.XLOOKUP(DF76,'KPI Impacts'!$B$2:$H$2,'KPI Impacts'!$B76:$H76)</f>
        <v>0</v>
      </c>
      <c r="DJ76" s="12">
        <f>DJ$5*DU76</f>
        <v>0</v>
      </c>
      <c r="DK76" s="12">
        <f>DK$5*DU76</f>
        <v>0</v>
      </c>
      <c r="DL76" s="12">
        <f>DL$5*DU76</f>
        <v>0</v>
      </c>
      <c r="DM76" s="12">
        <f>DM$5*DU76</f>
        <v>0</v>
      </c>
      <c r="DN76" s="12">
        <f>DN$5*DU76</f>
        <v>0</v>
      </c>
      <c r="DO76" s="12">
        <f>DO$5*DU76</f>
        <v>0</v>
      </c>
      <c r="DP76" s="12">
        <f>DP$5*DU76</f>
        <v>0</v>
      </c>
      <c r="DQ76" s="12">
        <f>DQ$5*DU76</f>
        <v>0</v>
      </c>
      <c r="DR76" s="12">
        <f>DR$5*DU76</f>
        <v>0</v>
      </c>
      <c r="DT76" s="16" t="s">
        <v>1304</v>
      </c>
      <c r="DU76">
        <f>_xlfn.XLOOKUP(DT76,'KPI Impacts'!$B$2:$H$2,'KPI Impacts'!$B76:$H76)</f>
        <v>0</v>
      </c>
      <c r="DX76" s="12"/>
      <c r="DY76" s="12"/>
      <c r="DZ76" s="12"/>
      <c r="EA76" s="12"/>
      <c r="EB76" s="12"/>
      <c r="EC76" s="12"/>
      <c r="ED76" s="12"/>
      <c r="EE76" s="12"/>
      <c r="EF76" s="12"/>
    </row>
    <row r="77" spans="1:136" x14ac:dyDescent="0.2">
      <c r="A77" t="s">
        <v>54</v>
      </c>
      <c r="B77" s="19" t="s">
        <v>1319</v>
      </c>
      <c r="C77" s="19" t="s">
        <v>1319</v>
      </c>
      <c r="D77" s="19" t="s">
        <v>1319</v>
      </c>
      <c r="E77" s="19" t="s">
        <v>1319</v>
      </c>
      <c r="F77" s="19" t="s">
        <v>1319</v>
      </c>
      <c r="G77" s="19" t="s">
        <v>1319</v>
      </c>
      <c r="H77" s="19" t="s">
        <v>1319</v>
      </c>
      <c r="I77" s="19" t="s">
        <v>1319</v>
      </c>
      <c r="J77" s="19" t="s">
        <v>1319</v>
      </c>
      <c r="Z77" s="16"/>
      <c r="AN77" s="16"/>
      <c r="BB77" s="16"/>
      <c r="BP77" s="16"/>
      <c r="CD77" s="16"/>
      <c r="CR77" s="16"/>
      <c r="DF77" s="16"/>
      <c r="DT77" s="16"/>
      <c r="EA77" s="12"/>
      <c r="EB77" s="12"/>
    </row>
    <row r="78" spans="1:136" hidden="1" x14ac:dyDescent="0.2">
      <c r="Z78" s="16"/>
      <c r="AN78" s="16"/>
      <c r="BB78" s="16"/>
      <c r="BP78" s="16"/>
      <c r="CD78" s="16"/>
      <c r="CR78" s="16"/>
      <c r="DF78" s="16"/>
      <c r="DT78" s="16"/>
      <c r="EA78" s="12"/>
      <c r="EB78" s="12"/>
    </row>
    <row r="79" spans="1:136" hidden="1" x14ac:dyDescent="0.2">
      <c r="Z79" s="16"/>
      <c r="AN79" s="16"/>
      <c r="BB79" s="16"/>
      <c r="BP79" s="16"/>
      <c r="CD79" s="16"/>
      <c r="CR79" s="16"/>
      <c r="DF79" s="16"/>
      <c r="DT79" s="16"/>
      <c r="EA79" s="12"/>
      <c r="EB79" s="12"/>
    </row>
    <row r="80" spans="1:136" x14ac:dyDescent="0.2">
      <c r="Z80" s="16"/>
      <c r="AN80" s="16"/>
      <c r="BB80" s="16"/>
      <c r="BP80" s="16"/>
      <c r="CD80" s="16"/>
      <c r="CR80" s="16"/>
      <c r="DF80" s="16"/>
      <c r="DT80" s="16"/>
      <c r="EA80" s="12"/>
      <c r="EB80" s="12"/>
    </row>
    <row r="81" spans="1:136" x14ac:dyDescent="0.2">
      <c r="A81" s="5" t="s">
        <v>51</v>
      </c>
      <c r="Z81" s="16"/>
      <c r="AN81" s="16"/>
      <c r="BB81" s="16"/>
      <c r="BP81" s="16"/>
      <c r="CD81" s="16"/>
      <c r="CR81" s="16"/>
      <c r="DF81" s="16"/>
      <c r="DT81" s="16"/>
      <c r="EA81" s="12"/>
      <c r="EB81" s="12"/>
    </row>
    <row r="82" spans="1:136" x14ac:dyDescent="0.2">
      <c r="A82" s="17" t="s">
        <v>1313</v>
      </c>
      <c r="B82" s="19" t="s">
        <v>1319</v>
      </c>
      <c r="C82" s="19" t="s">
        <v>1319</v>
      </c>
      <c r="D82" s="19" t="s">
        <v>1319</v>
      </c>
      <c r="E82" s="19" t="s">
        <v>1319</v>
      </c>
      <c r="F82" s="19" t="s">
        <v>1319</v>
      </c>
      <c r="G82" s="19" t="s">
        <v>1319</v>
      </c>
      <c r="H82" s="19" t="s">
        <v>1319</v>
      </c>
      <c r="I82" s="19" t="s">
        <v>1319</v>
      </c>
      <c r="J82" s="19" t="s">
        <v>1319</v>
      </c>
      <c r="P82" s="12"/>
      <c r="Q82" s="12"/>
      <c r="R82" s="12"/>
      <c r="S82" s="12"/>
      <c r="T82" s="12"/>
      <c r="U82" s="12"/>
      <c r="V82" s="12"/>
      <c r="W82" s="12"/>
      <c r="X82" s="12"/>
      <c r="Z82" s="16"/>
      <c r="AD82" s="12"/>
      <c r="AE82" s="12"/>
      <c r="AF82" s="12"/>
      <c r="AG82" s="12"/>
      <c r="AH82" s="12"/>
      <c r="AI82" s="12"/>
      <c r="AJ82" s="12"/>
      <c r="AK82" s="12"/>
      <c r="AL82" s="12"/>
      <c r="AN82" s="16"/>
      <c r="AR82" s="12"/>
      <c r="AS82" s="12"/>
      <c r="AT82" s="12"/>
      <c r="AU82" s="12"/>
      <c r="AV82" s="12"/>
      <c r="AW82" s="12"/>
      <c r="AX82" s="12"/>
      <c r="AY82" s="12"/>
      <c r="AZ82" s="12"/>
      <c r="BB82" s="16"/>
      <c r="BF82" s="12"/>
      <c r="BG82" s="12"/>
      <c r="BH82" s="12"/>
      <c r="BI82" s="12"/>
      <c r="BJ82" s="12"/>
      <c r="BK82" s="12"/>
      <c r="BL82" s="12"/>
      <c r="BM82" s="12"/>
      <c r="BN82" s="12"/>
      <c r="BP82" s="16"/>
      <c r="BT82" s="12"/>
      <c r="BU82" s="12"/>
      <c r="BV82" s="12"/>
      <c r="BW82" s="12"/>
      <c r="BX82" s="12"/>
      <c r="BY82" s="12"/>
      <c r="BZ82" s="12"/>
      <c r="CA82" s="12"/>
      <c r="CB82" s="12"/>
      <c r="CD82" s="16"/>
      <c r="CH82" s="12"/>
      <c r="CI82" s="12"/>
      <c r="CJ82" s="12"/>
      <c r="CK82" s="12"/>
      <c r="CL82" s="12"/>
      <c r="CM82" s="12"/>
      <c r="CN82" s="12"/>
      <c r="CO82" s="12"/>
      <c r="CP82" s="12"/>
      <c r="CR82" s="16"/>
      <c r="CV82" s="12"/>
      <c r="CW82" s="12"/>
      <c r="CX82" s="12"/>
      <c r="CY82" s="12"/>
      <c r="CZ82" s="12"/>
      <c r="DA82" s="12"/>
      <c r="DB82" s="12"/>
      <c r="DC82" s="12"/>
      <c r="DD82" s="12"/>
      <c r="DF82" s="16"/>
      <c r="DJ82" s="12"/>
      <c r="DK82" s="12"/>
      <c r="DL82" s="12"/>
      <c r="DM82" s="12"/>
      <c r="DN82" s="12"/>
      <c r="DO82" s="12"/>
      <c r="DP82" s="12"/>
      <c r="DQ82" s="12"/>
      <c r="DR82" s="12"/>
      <c r="DT82" s="16"/>
      <c r="DX82" s="12"/>
      <c r="DY82" s="12"/>
      <c r="DZ82" s="12"/>
      <c r="EA82" s="12"/>
      <c r="EB82" s="12"/>
      <c r="EC82" s="12"/>
      <c r="ED82" s="12"/>
      <c r="EE82" s="12"/>
      <c r="EF82" s="12"/>
    </row>
    <row r="83" spans="1:136" x14ac:dyDescent="0.2">
      <c r="A83" s="17" t="s">
        <v>1314</v>
      </c>
      <c r="B83" s="19" t="s">
        <v>1319</v>
      </c>
      <c r="C83" s="19" t="s">
        <v>1319</v>
      </c>
      <c r="D83" s="19" t="s">
        <v>1319</v>
      </c>
      <c r="E83" s="19" t="s">
        <v>1319</v>
      </c>
      <c r="F83" s="19" t="s">
        <v>1319</v>
      </c>
      <c r="G83" s="19" t="s">
        <v>1319</v>
      </c>
      <c r="H83" s="19" t="s">
        <v>1319</v>
      </c>
      <c r="I83" s="19" t="s">
        <v>1319</v>
      </c>
      <c r="J83" s="19" t="s">
        <v>1319</v>
      </c>
      <c r="P83" s="12"/>
      <c r="Q83" s="12"/>
      <c r="R83" s="12"/>
      <c r="S83" s="12"/>
      <c r="T83" s="12"/>
      <c r="U83" s="12"/>
      <c r="V83" s="12"/>
      <c r="W83" s="12"/>
      <c r="X83" s="12"/>
      <c r="Z83" s="16"/>
      <c r="AD83" s="12"/>
      <c r="AE83" s="12"/>
      <c r="AF83" s="12"/>
      <c r="AG83" s="12"/>
      <c r="AH83" s="12"/>
      <c r="AI83" s="12"/>
      <c r="AJ83" s="12"/>
      <c r="AK83" s="12"/>
      <c r="AL83" s="12"/>
      <c r="AN83" s="16"/>
      <c r="AR83" s="12"/>
      <c r="AS83" s="12"/>
      <c r="AT83" s="12"/>
      <c r="AU83" s="12"/>
      <c r="AV83" s="12"/>
      <c r="AW83" s="12"/>
      <c r="AX83" s="12"/>
      <c r="AY83" s="12"/>
      <c r="AZ83" s="12"/>
      <c r="BB83" s="16"/>
      <c r="BF83" s="12"/>
      <c r="BG83" s="12"/>
      <c r="BH83" s="12"/>
      <c r="BI83" s="12"/>
      <c r="BJ83" s="12"/>
      <c r="BK83" s="12"/>
      <c r="BL83" s="12"/>
      <c r="BM83" s="12"/>
      <c r="BN83" s="12"/>
      <c r="BP83" s="16"/>
      <c r="BT83" s="12"/>
      <c r="BU83" s="12"/>
      <c r="BV83" s="12"/>
      <c r="BW83" s="12"/>
      <c r="BX83" s="12"/>
      <c r="BY83" s="12"/>
      <c r="BZ83" s="12"/>
      <c r="CA83" s="12"/>
      <c r="CB83" s="12"/>
      <c r="CD83" s="16"/>
      <c r="CH83" s="12"/>
      <c r="CI83" s="12"/>
      <c r="CJ83" s="12"/>
      <c r="CK83" s="12"/>
      <c r="CL83" s="12"/>
      <c r="CM83" s="12"/>
      <c r="CN83" s="12"/>
      <c r="CO83" s="12"/>
      <c r="CP83" s="12"/>
      <c r="CR83" s="16"/>
      <c r="CV83" s="12"/>
      <c r="CW83" s="12"/>
      <c r="CX83" s="12"/>
      <c r="CY83" s="12"/>
      <c r="CZ83" s="12"/>
      <c r="DA83" s="12"/>
      <c r="DB83" s="12"/>
      <c r="DC83" s="12"/>
      <c r="DD83" s="12"/>
      <c r="DF83" s="16"/>
      <c r="DJ83" s="12"/>
      <c r="DK83" s="12"/>
      <c r="DL83" s="12"/>
      <c r="DM83" s="12"/>
      <c r="DN83" s="12"/>
      <c r="DO83" s="12"/>
      <c r="DP83" s="12"/>
      <c r="DQ83" s="12"/>
      <c r="DR83" s="12"/>
      <c r="DT83" s="16"/>
      <c r="DX83" s="12"/>
      <c r="DY83" s="12"/>
      <c r="DZ83" s="12"/>
      <c r="EA83" s="12"/>
      <c r="EB83" s="12"/>
      <c r="EC83" s="12"/>
      <c r="ED83" s="12"/>
      <c r="EE83" s="12"/>
      <c r="EF83" s="12"/>
    </row>
    <row r="84" spans="1:136" x14ac:dyDescent="0.2">
      <c r="A84" s="17" t="s">
        <v>1725</v>
      </c>
      <c r="B84" s="12">
        <f>P84+AD84+AR84+BF84+BT84+CH84+CV84+DJ84</f>
        <v>0</v>
      </c>
      <c r="C84" s="12">
        <f t="shared" ref="C84" si="270">Q84+AE84+AS84+BG84+BU84+CI84+CW84+DK84</f>
        <v>0</v>
      </c>
      <c r="D84" s="12">
        <f t="shared" ref="D84" si="271">R84+AF84+AT84+BH84+BV84+CJ84+CX84+DL84</f>
        <v>0</v>
      </c>
      <c r="E84" s="12">
        <f t="shared" ref="E84" si="272">S84+AG84+AU84+BI84+BW84+CK84+CY84+DM84</f>
        <v>0</v>
      </c>
      <c r="F84" s="12">
        <f t="shared" ref="F84" si="273">T84+AH84+AV84+BJ84+BX84+CL84+CZ84+DN84</f>
        <v>0</v>
      </c>
      <c r="G84" s="12">
        <f t="shared" ref="G84" si="274">U84+AI84+AW84+BK84+BY84+CM84+DA84+DO84</f>
        <v>0</v>
      </c>
      <c r="H84" s="12">
        <f t="shared" ref="H84" si="275">V84+AJ84+AX84+BL84+BZ84+CN84+DB84+DP84</f>
        <v>0</v>
      </c>
      <c r="I84" s="12">
        <f t="shared" ref="I84" si="276">W84+AK84+AY84+BM84+CA84+CO84+DC84+DQ84</f>
        <v>0</v>
      </c>
      <c r="J84" s="12">
        <f t="shared" ref="J84" si="277">X84+AL84+AZ84+BN84+CB84+CP84+DD84+DR84</f>
        <v>0</v>
      </c>
      <c r="P84" s="12">
        <f>P$5*AA84</f>
        <v>0</v>
      </c>
      <c r="Q84" s="12">
        <f>Q$5*AA84</f>
        <v>0</v>
      </c>
      <c r="R84" s="12">
        <f>R$5*AA84</f>
        <v>0</v>
      </c>
      <c r="S84" s="12">
        <f>S$5*AA84</f>
        <v>0</v>
      </c>
      <c r="T84" s="12">
        <f>T$5*AA84</f>
        <v>0</v>
      </c>
      <c r="U84" s="12">
        <f>U$5*AA84</f>
        <v>0</v>
      </c>
      <c r="V84" s="12">
        <f>V$5*AA84</f>
        <v>0</v>
      </c>
      <c r="W84" s="12">
        <f>W$5*AA84</f>
        <v>0</v>
      </c>
      <c r="X84" s="12">
        <f>X$5*AA84</f>
        <v>0</v>
      </c>
      <c r="Z84" s="16" t="s">
        <v>1304</v>
      </c>
      <c r="AA84">
        <f>_xlfn.XLOOKUP(Z84,'KPI Impacts'!$B$2:$H$2,'KPI Impacts'!$B84:$H84)</f>
        <v>0</v>
      </c>
      <c r="AD84" s="12">
        <f>AD$5*AO84</f>
        <v>0</v>
      </c>
      <c r="AE84" s="12">
        <f>AE$5*AO84</f>
        <v>0</v>
      </c>
      <c r="AF84" s="12">
        <f>AF$5*AO84</f>
        <v>0</v>
      </c>
      <c r="AG84" s="12">
        <f>AG$5*AO84</f>
        <v>0</v>
      </c>
      <c r="AH84" s="12">
        <f>AH$5*AO84</f>
        <v>0</v>
      </c>
      <c r="AI84" s="12">
        <f>AI$5*AO84</f>
        <v>0</v>
      </c>
      <c r="AJ84" s="12">
        <f>AJ$5*AO84</f>
        <v>0</v>
      </c>
      <c r="AK84" s="12">
        <f>AK$5*AO84</f>
        <v>0</v>
      </c>
      <c r="AL84" s="12">
        <f>AL$5*AO84</f>
        <v>0</v>
      </c>
      <c r="AN84" s="16" t="s">
        <v>1304</v>
      </c>
      <c r="AO84">
        <f>_xlfn.XLOOKUP(AN84,'KPI Impacts'!$B$2:$H$2,'KPI Impacts'!$B84:$H84)</f>
        <v>0</v>
      </c>
      <c r="AR84" s="12">
        <f>AR$5*BC84</f>
        <v>0</v>
      </c>
      <c r="AS84" s="12">
        <f>AS$5*BC84</f>
        <v>0</v>
      </c>
      <c r="AT84" s="12">
        <f>AT$5*BC84</f>
        <v>0</v>
      </c>
      <c r="AU84" s="12">
        <f>AU$5*BC84</f>
        <v>0</v>
      </c>
      <c r="AV84" s="12">
        <f>AV$5*BC84</f>
        <v>0</v>
      </c>
      <c r="AW84" s="12">
        <f>AW$5*BC84</f>
        <v>0</v>
      </c>
      <c r="AX84" s="12">
        <f>AX$5*BC84</f>
        <v>0</v>
      </c>
      <c r="AY84" s="12">
        <f>AY$5*BC84</f>
        <v>0</v>
      </c>
      <c r="AZ84" s="12">
        <f>AZ$5*BC84</f>
        <v>0</v>
      </c>
      <c r="BB84" s="16" t="s">
        <v>1304</v>
      </c>
      <c r="BC84">
        <f>_xlfn.XLOOKUP(BB84,'KPI Impacts'!$B$2:$H$2,'KPI Impacts'!$B84:$H84)</f>
        <v>0</v>
      </c>
      <c r="BF84" s="12">
        <f>BF$5*BQ84</f>
        <v>0</v>
      </c>
      <c r="BG84" s="12">
        <f>BG$5*BQ84</f>
        <v>0</v>
      </c>
      <c r="BH84" s="12">
        <f>BH$5*BQ84</f>
        <v>0</v>
      </c>
      <c r="BI84" s="12">
        <f>BI$5*BQ84</f>
        <v>0</v>
      </c>
      <c r="BJ84" s="12">
        <f>BJ$5*BQ84</f>
        <v>0</v>
      </c>
      <c r="BK84" s="12">
        <f>BK$5*BQ84</f>
        <v>0</v>
      </c>
      <c r="BL84" s="12">
        <f>BL$5*BQ84</f>
        <v>0</v>
      </c>
      <c r="BM84" s="12">
        <f>BM$5*BQ84</f>
        <v>0</v>
      </c>
      <c r="BN84" s="12">
        <f>BN$5*BQ84</f>
        <v>0</v>
      </c>
      <c r="BP84" s="16" t="s">
        <v>1304</v>
      </c>
      <c r="BQ84">
        <f>_xlfn.XLOOKUP(BP84,'KPI Impacts'!$B$2:$H$2,'KPI Impacts'!$B84:$H84)</f>
        <v>0</v>
      </c>
      <c r="BT84" s="12">
        <f>BT$5*CE84</f>
        <v>0</v>
      </c>
      <c r="BU84" s="12">
        <f>BU$5*CE84</f>
        <v>0</v>
      </c>
      <c r="BV84" s="12">
        <f>BV$5*CE84</f>
        <v>0</v>
      </c>
      <c r="BW84" s="12">
        <f>BW$5*CE84</f>
        <v>0</v>
      </c>
      <c r="BX84" s="12">
        <f>BX$5*CE84</f>
        <v>0</v>
      </c>
      <c r="BY84" s="12">
        <f>BY$5*CE84</f>
        <v>0</v>
      </c>
      <c r="BZ84" s="12">
        <f>BZ$5*CE84</f>
        <v>0</v>
      </c>
      <c r="CA84" s="12">
        <f>CA$5*CE84</f>
        <v>0</v>
      </c>
      <c r="CB84" s="12">
        <f>CB$5*CE84</f>
        <v>0</v>
      </c>
      <c r="CD84" s="16" t="s">
        <v>1304</v>
      </c>
      <c r="CE84">
        <f>_xlfn.XLOOKUP(CD84,'KPI Impacts'!$B$2:$H$2,'KPI Impacts'!$B84:$H84)</f>
        <v>0</v>
      </c>
      <c r="CH84" s="12">
        <f>CH$5*CS84</f>
        <v>0</v>
      </c>
      <c r="CI84" s="12">
        <f>CI$5*CS84</f>
        <v>0</v>
      </c>
      <c r="CJ84" s="12">
        <f>CJ$5*CS84</f>
        <v>0</v>
      </c>
      <c r="CK84" s="12">
        <f>CK$5*CS84</f>
        <v>0</v>
      </c>
      <c r="CL84" s="12">
        <f>CL$5*CS84</f>
        <v>0</v>
      </c>
      <c r="CM84" s="12">
        <f>CM$5*CS84</f>
        <v>0</v>
      </c>
      <c r="CN84" s="12">
        <f>CN$5*CS84</f>
        <v>0</v>
      </c>
      <c r="CO84" s="12">
        <f>CO$5*CS84</f>
        <v>0</v>
      </c>
      <c r="CP84" s="12">
        <f>CP$5*CS84</f>
        <v>0</v>
      </c>
      <c r="CR84" s="16" t="s">
        <v>1304</v>
      </c>
      <c r="CS84">
        <f>_xlfn.XLOOKUP(CR84,'KPI Impacts'!$B$2:$H$2,'KPI Impacts'!$B84:$H84)</f>
        <v>0</v>
      </c>
      <c r="CV84" s="12">
        <f>CV$5*DG84</f>
        <v>0</v>
      </c>
      <c r="CW84" s="12">
        <f>CW$5*DG84</f>
        <v>0</v>
      </c>
      <c r="CX84" s="12">
        <f>CX$5*DG84</f>
        <v>0</v>
      </c>
      <c r="CY84" s="12">
        <f>CY$5*DG84</f>
        <v>0</v>
      </c>
      <c r="CZ84" s="12">
        <f>CZ$5*DG84</f>
        <v>0</v>
      </c>
      <c r="DA84" s="12">
        <f>DA$5*DG84</f>
        <v>0</v>
      </c>
      <c r="DB84" s="12">
        <f>DB$5*DG84</f>
        <v>0</v>
      </c>
      <c r="DC84" s="12">
        <f>DC$5*DG84</f>
        <v>0</v>
      </c>
      <c r="DD84" s="12">
        <f>DD$5*DG84</f>
        <v>0</v>
      </c>
      <c r="DF84" s="16" t="s">
        <v>1304</v>
      </c>
      <c r="DG84">
        <f>_xlfn.XLOOKUP(DF84,'KPI Impacts'!$B$2:$H$2,'KPI Impacts'!$B84:$H84)</f>
        <v>0</v>
      </c>
      <c r="DJ84" s="12">
        <f>DJ$5*DU84</f>
        <v>0</v>
      </c>
      <c r="DK84" s="12">
        <f>DK$5*DU84</f>
        <v>0</v>
      </c>
      <c r="DL84" s="12">
        <f>DL$5*DU84</f>
        <v>0</v>
      </c>
      <c r="DM84" s="12">
        <f>DM$5*DU84</f>
        <v>0</v>
      </c>
      <c r="DN84" s="12">
        <f>DN$5*DU84</f>
        <v>0</v>
      </c>
      <c r="DO84" s="12">
        <f>DO$5*DU84</f>
        <v>0</v>
      </c>
      <c r="DP84" s="12">
        <f>DP$5*DU84</f>
        <v>0</v>
      </c>
      <c r="DQ84" s="12">
        <f>DQ$5*DU84</f>
        <v>0</v>
      </c>
      <c r="DR84" s="12">
        <f>DR$5*DU84</f>
        <v>0</v>
      </c>
      <c r="DT84" s="16" t="s">
        <v>1304</v>
      </c>
      <c r="DU84">
        <f>_xlfn.XLOOKUP(DT84,'KPI Impacts'!$B$2:$H$2,'KPI Impacts'!$B84:$H84)</f>
        <v>0</v>
      </c>
      <c r="EA84" s="12"/>
      <c r="EB84" s="12"/>
    </row>
    <row r="85" spans="1:136" x14ac:dyDescent="0.2">
      <c r="A85" s="9" t="s">
        <v>1315</v>
      </c>
      <c r="B85" s="12">
        <f>P85+AD85+AR85+BF85+BT85+CH85+CV85+DJ85</f>
        <v>0</v>
      </c>
      <c r="C85" s="12">
        <f t="shared" ref="C85:C86" si="278">Q85+AE85+AS85+BG85+BU85+CI85+CW85+DK85</f>
        <v>0</v>
      </c>
      <c r="D85" s="12">
        <f t="shared" ref="D85:D86" si="279">R85+AF85+AT85+BH85+BV85+CJ85+CX85+DL85</f>
        <v>-1.6</v>
      </c>
      <c r="E85" s="12">
        <f t="shared" ref="E85:E86" si="280">S85+AG85+AU85+BI85+BW85+CK85+CY85+DM85</f>
        <v>-1.6</v>
      </c>
      <c r="F85" s="12">
        <f t="shared" ref="F85:F86" si="281">T85+AH85+AV85+BJ85+BX85+CL85+CZ85+DN85</f>
        <v>-1.6</v>
      </c>
      <c r="G85" s="12">
        <f t="shared" ref="G85:G86" si="282">U85+AI85+AW85+BK85+BY85+CM85+DA85+DO85</f>
        <v>-1.6</v>
      </c>
      <c r="H85" s="12">
        <f t="shared" ref="H85:H86" si="283">V85+AJ85+AX85+BL85+BZ85+CN85+DB85+DP85</f>
        <v>-1.6</v>
      </c>
      <c r="I85" s="12">
        <f t="shared" ref="I85:I86" si="284">W85+AK85+AY85+BM85+CA85+CO85+DC85+DQ85</f>
        <v>-1.6</v>
      </c>
      <c r="J85" s="12">
        <f t="shared" ref="J85:J86" si="285">X85+AL85+AZ85+BN85+CB85+CP85+DD85+DR85</f>
        <v>-1.6</v>
      </c>
      <c r="P85" s="12">
        <f>P$5*AA85</f>
        <v>0</v>
      </c>
      <c r="Q85" s="12">
        <f>Q$5*AA85</f>
        <v>0</v>
      </c>
      <c r="R85" s="12">
        <f>R$5*AA85</f>
        <v>0</v>
      </c>
      <c r="S85" s="12">
        <f>S$5*AA85</f>
        <v>0</v>
      </c>
      <c r="T85" s="12">
        <f>T$5*AA85</f>
        <v>0</v>
      </c>
      <c r="U85" s="12">
        <f>U$5*AA85</f>
        <v>0</v>
      </c>
      <c r="V85" s="12">
        <f>V$5*AA85</f>
        <v>0</v>
      </c>
      <c r="W85" s="12">
        <f>W$5*AA85</f>
        <v>0</v>
      </c>
      <c r="X85" s="12">
        <f>X$5*AA85</f>
        <v>0</v>
      </c>
      <c r="Z85" s="16" t="s">
        <v>1304</v>
      </c>
      <c r="AA85">
        <f>_xlfn.XLOOKUP(Z85,'KPI Impacts'!$B$2:$H$2,'KPI Impacts'!$B85:$H85)</f>
        <v>0</v>
      </c>
      <c r="AD85" s="12">
        <f>AD$5*AO85</f>
        <v>0</v>
      </c>
      <c r="AE85" s="12">
        <f>AE$5*AO85</f>
        <v>0</v>
      </c>
      <c r="AF85" s="12">
        <f>AF$5*AO85</f>
        <v>-1.6</v>
      </c>
      <c r="AG85" s="12">
        <f>AG$5*AO85</f>
        <v>-1.6</v>
      </c>
      <c r="AH85" s="12">
        <f>AH$5*AO85</f>
        <v>-1.6</v>
      </c>
      <c r="AI85" s="12">
        <f>AI$5*AO85</f>
        <v>-1.6</v>
      </c>
      <c r="AJ85" s="12">
        <f>AJ$5*AO85</f>
        <v>-1.6</v>
      </c>
      <c r="AK85" s="12">
        <f>AK$5*AO85</f>
        <v>-1.6</v>
      </c>
      <c r="AL85" s="12">
        <f>AL$5*AO85</f>
        <v>-1.6</v>
      </c>
      <c r="AN85" s="29" t="s">
        <v>1305</v>
      </c>
      <c r="AO85">
        <f>_xlfn.XLOOKUP(AN85,'KPI Impacts'!$B$2:$H$2,'KPI Impacts'!$B85:$H85)</f>
        <v>-1.6</v>
      </c>
      <c r="AR85" s="12">
        <f>AR$5*BC85</f>
        <v>0</v>
      </c>
      <c r="AS85" s="12">
        <f>AS$5*BC85</f>
        <v>0</v>
      </c>
      <c r="AT85" s="12">
        <f>AT$5*BC85</f>
        <v>0</v>
      </c>
      <c r="AU85" s="12">
        <f>AU$5*BC85</f>
        <v>0</v>
      </c>
      <c r="AV85" s="12">
        <f>AV$5*BC85</f>
        <v>0</v>
      </c>
      <c r="AW85" s="12">
        <f>AW$5*BC85</f>
        <v>0</v>
      </c>
      <c r="AX85" s="12">
        <f>AX$5*BC85</f>
        <v>0</v>
      </c>
      <c r="AY85" s="12">
        <f>AY$5*BC85</f>
        <v>0</v>
      </c>
      <c r="AZ85" s="12">
        <f>AZ$5*BC85</f>
        <v>0</v>
      </c>
      <c r="BB85" s="16" t="s">
        <v>1304</v>
      </c>
      <c r="BC85">
        <f>_xlfn.XLOOKUP(BB85,'KPI Impacts'!$B$2:$H$2,'KPI Impacts'!$B85:$H85)</f>
        <v>0</v>
      </c>
      <c r="BF85" s="12">
        <f>BF$5*BQ85</f>
        <v>0</v>
      </c>
      <c r="BG85" s="12">
        <f>BG$5*BQ85</f>
        <v>0</v>
      </c>
      <c r="BH85" s="12">
        <f>BH$5*BQ85</f>
        <v>0</v>
      </c>
      <c r="BI85" s="12">
        <f>BI$5*BQ85</f>
        <v>0</v>
      </c>
      <c r="BJ85" s="12">
        <f>BJ$5*BQ85</f>
        <v>0</v>
      </c>
      <c r="BK85" s="12">
        <f>BK$5*BQ85</f>
        <v>0</v>
      </c>
      <c r="BL85" s="12">
        <f>BL$5*BQ85</f>
        <v>0</v>
      </c>
      <c r="BM85" s="12">
        <f>BM$5*BQ85</f>
        <v>0</v>
      </c>
      <c r="BN85" s="12">
        <f>BN$5*BQ85</f>
        <v>0</v>
      </c>
      <c r="BP85" s="16" t="s">
        <v>1304</v>
      </c>
      <c r="BQ85">
        <f>_xlfn.XLOOKUP(BP85,'KPI Impacts'!$B$2:$H$2,'KPI Impacts'!$B85:$H85)</f>
        <v>0</v>
      </c>
      <c r="BT85" s="12">
        <f>BT$5*CE85</f>
        <v>0</v>
      </c>
      <c r="BU85" s="12">
        <f>BU$5*CE85</f>
        <v>0</v>
      </c>
      <c r="BV85" s="12">
        <f>BV$5*CE85</f>
        <v>0</v>
      </c>
      <c r="BW85" s="12">
        <f>BW$5*CE85</f>
        <v>0</v>
      </c>
      <c r="BX85" s="12">
        <f>BX$5*CE85</f>
        <v>0</v>
      </c>
      <c r="BY85" s="12">
        <f>BY$5*CE85</f>
        <v>0</v>
      </c>
      <c r="BZ85" s="12">
        <f>BZ$5*CE85</f>
        <v>0</v>
      </c>
      <c r="CA85" s="12">
        <f>CA$5*CE85</f>
        <v>0</v>
      </c>
      <c r="CB85" s="12">
        <f>CB$5*CE85</f>
        <v>0</v>
      </c>
      <c r="CD85" s="16" t="s">
        <v>1304</v>
      </c>
      <c r="CE85">
        <f>_xlfn.XLOOKUP(CD85,'KPI Impacts'!$B$2:$H$2,'KPI Impacts'!$B85:$H85)</f>
        <v>0</v>
      </c>
      <c r="CH85" s="12">
        <f>CH$5*CS85</f>
        <v>0</v>
      </c>
      <c r="CI85" s="12">
        <f>CI$5*CS85</f>
        <v>0</v>
      </c>
      <c r="CJ85" s="12">
        <f>CJ$5*CS85</f>
        <v>0</v>
      </c>
      <c r="CK85" s="12">
        <f>CK$5*CS85</f>
        <v>0</v>
      </c>
      <c r="CL85" s="12">
        <f>CL$5*CS85</f>
        <v>0</v>
      </c>
      <c r="CM85" s="12">
        <f>CM$5*CS85</f>
        <v>0</v>
      </c>
      <c r="CN85" s="12">
        <f>CN$5*CS85</f>
        <v>0</v>
      </c>
      <c r="CO85" s="12">
        <f>CO$5*CS85</f>
        <v>0</v>
      </c>
      <c r="CP85" s="12">
        <f>CP$5*CS85</f>
        <v>0</v>
      </c>
      <c r="CR85" s="16" t="s">
        <v>1304</v>
      </c>
      <c r="CS85">
        <f>_xlfn.XLOOKUP(CR85,'KPI Impacts'!$B$2:$H$2,'KPI Impacts'!$B85:$H85)</f>
        <v>0</v>
      </c>
      <c r="CV85" s="12">
        <f>CV$5*DG85</f>
        <v>0</v>
      </c>
      <c r="CW85" s="12">
        <f>CW$5*DG85</f>
        <v>0</v>
      </c>
      <c r="CX85" s="12">
        <f>CX$5*DG85</f>
        <v>0</v>
      </c>
      <c r="CY85" s="12">
        <f>CY$5*DG85</f>
        <v>0</v>
      </c>
      <c r="CZ85" s="12">
        <f>CZ$5*DG85</f>
        <v>0</v>
      </c>
      <c r="DA85" s="12">
        <f>DA$5*DG85</f>
        <v>0</v>
      </c>
      <c r="DB85" s="12">
        <f>DB$5*DG85</f>
        <v>0</v>
      </c>
      <c r="DC85" s="12">
        <f>DC$5*DG85</f>
        <v>0</v>
      </c>
      <c r="DD85" s="12">
        <f>DD$5*DG85</f>
        <v>0</v>
      </c>
      <c r="DF85" s="16" t="s">
        <v>1304</v>
      </c>
      <c r="DG85">
        <f>_xlfn.XLOOKUP(DF85,'KPI Impacts'!$B$2:$H$2,'KPI Impacts'!$B85:$H85)</f>
        <v>0</v>
      </c>
      <c r="DJ85" s="12">
        <f>DJ$5*DU85</f>
        <v>0</v>
      </c>
      <c r="DK85" s="12">
        <f>DK$5*DU85</f>
        <v>0</v>
      </c>
      <c r="DL85" s="12">
        <f>DL$5*DU85</f>
        <v>0</v>
      </c>
      <c r="DM85" s="12">
        <f>DM$5*DU85</f>
        <v>0</v>
      </c>
      <c r="DN85" s="12">
        <f>DN$5*DU85</f>
        <v>0</v>
      </c>
      <c r="DO85" s="12">
        <f>DO$5*DU85</f>
        <v>0</v>
      </c>
      <c r="DP85" s="12">
        <f>DP$5*DU85</f>
        <v>0</v>
      </c>
      <c r="DQ85" s="12">
        <f>DQ$5*DU85</f>
        <v>0</v>
      </c>
      <c r="DR85" s="12">
        <f>DR$5*DU85</f>
        <v>0</v>
      </c>
      <c r="DT85" s="16" t="s">
        <v>1304</v>
      </c>
      <c r="DU85">
        <f>_xlfn.XLOOKUP(DT85,'KPI Impacts'!$B$2:$H$2,'KPI Impacts'!$B85:$H85)</f>
        <v>0</v>
      </c>
      <c r="DX85" s="12"/>
      <c r="DY85" s="12"/>
      <c r="DZ85" s="12"/>
      <c r="EA85" s="12"/>
      <c r="EB85" s="12"/>
      <c r="EC85" s="12"/>
      <c r="ED85" s="12"/>
      <c r="EE85" s="12"/>
      <c r="EF85" s="12"/>
    </row>
    <row r="86" spans="1:136" x14ac:dyDescent="0.2">
      <c r="A86" s="9" t="s">
        <v>1316</v>
      </c>
      <c r="B86" s="12">
        <f>P86+AD86+AR86+BF86+BT86+CH86+CV86+DJ86</f>
        <v>0</v>
      </c>
      <c r="C86" s="12">
        <f t="shared" si="278"/>
        <v>0</v>
      </c>
      <c r="D86" s="12">
        <f t="shared" si="279"/>
        <v>0</v>
      </c>
      <c r="E86" s="12">
        <f t="shared" si="280"/>
        <v>0</v>
      </c>
      <c r="F86" s="12">
        <f t="shared" si="281"/>
        <v>0</v>
      </c>
      <c r="G86" s="12">
        <f t="shared" si="282"/>
        <v>0</v>
      </c>
      <c r="H86" s="12">
        <f t="shared" si="283"/>
        <v>0</v>
      </c>
      <c r="I86" s="12">
        <f t="shared" si="284"/>
        <v>0</v>
      </c>
      <c r="J86" s="12">
        <f t="shared" si="285"/>
        <v>0</v>
      </c>
      <c r="P86" s="12">
        <f>P$5*AA86</f>
        <v>0</v>
      </c>
      <c r="Q86" s="12">
        <f>Q$5*AA86</f>
        <v>0</v>
      </c>
      <c r="R86" s="12">
        <f>R$5*AA86</f>
        <v>0</v>
      </c>
      <c r="S86" s="12">
        <f>S$5*AA86</f>
        <v>0</v>
      </c>
      <c r="T86" s="12">
        <f>T$5*AA86</f>
        <v>0</v>
      </c>
      <c r="U86" s="12">
        <f>U$5*AA86</f>
        <v>0</v>
      </c>
      <c r="V86" s="12">
        <f>V$5*AA86</f>
        <v>0</v>
      </c>
      <c r="W86" s="12">
        <f>W$5*AA86</f>
        <v>0</v>
      </c>
      <c r="X86" s="12">
        <f>X$5*AA86</f>
        <v>0</v>
      </c>
      <c r="Z86" s="16" t="s">
        <v>1304</v>
      </c>
      <c r="AA86">
        <f>_xlfn.XLOOKUP(Z86,'KPI Impacts'!$B$2:$H$2,'KPI Impacts'!$B86:$H86)</f>
        <v>0</v>
      </c>
      <c r="AD86" s="12">
        <f>AD$5*AO86</f>
        <v>0</v>
      </c>
      <c r="AE86" s="12">
        <f>AE$5*AO86</f>
        <v>0</v>
      </c>
      <c r="AF86" s="12">
        <f>AF$5*AO86</f>
        <v>0</v>
      </c>
      <c r="AG86" s="12">
        <f>AG$5*AO86</f>
        <v>0</v>
      </c>
      <c r="AH86" s="12">
        <f>AH$5*AO86</f>
        <v>0</v>
      </c>
      <c r="AI86" s="12">
        <f>AI$5*AO86</f>
        <v>0</v>
      </c>
      <c r="AJ86" s="12">
        <f>AJ$5*AO86</f>
        <v>0</v>
      </c>
      <c r="AK86" s="12">
        <f>AK$5*AO86</f>
        <v>0</v>
      </c>
      <c r="AL86" s="12">
        <f>AL$5*AO86</f>
        <v>0</v>
      </c>
      <c r="AN86" s="16" t="s">
        <v>1304</v>
      </c>
      <c r="AO86">
        <f>_xlfn.XLOOKUP(AN86,'KPI Impacts'!$B$2:$H$2,'KPI Impacts'!$B86:$H86)</f>
        <v>0</v>
      </c>
      <c r="AR86" s="12">
        <f>AR$5*BC86</f>
        <v>0</v>
      </c>
      <c r="AS86" s="12">
        <f>AS$5*BC86</f>
        <v>0</v>
      </c>
      <c r="AT86" s="12">
        <f>AT$5*BC86</f>
        <v>0</v>
      </c>
      <c r="AU86" s="12">
        <f>AU$5*BC86</f>
        <v>0</v>
      </c>
      <c r="AV86" s="12">
        <f>AV$5*BC86</f>
        <v>0</v>
      </c>
      <c r="AW86" s="12">
        <f>AW$5*BC86</f>
        <v>0</v>
      </c>
      <c r="AX86" s="12">
        <f>AX$5*BC86</f>
        <v>0</v>
      </c>
      <c r="AY86" s="12">
        <f>AY$5*BC86</f>
        <v>0</v>
      </c>
      <c r="AZ86" s="12">
        <f>AZ$5*BC86</f>
        <v>0</v>
      </c>
      <c r="BB86" s="16" t="s">
        <v>1304</v>
      </c>
      <c r="BC86">
        <f>_xlfn.XLOOKUP(BB86,'KPI Impacts'!$B$2:$H$2,'KPI Impacts'!$B86:$H86)</f>
        <v>0</v>
      </c>
      <c r="BF86" s="12">
        <f>BF$5*BQ86</f>
        <v>0</v>
      </c>
      <c r="BG86" s="12">
        <f>BG$5*BQ86</f>
        <v>0</v>
      </c>
      <c r="BH86" s="12">
        <f>BH$5*BQ86</f>
        <v>0</v>
      </c>
      <c r="BI86" s="12">
        <f>BI$5*BQ86</f>
        <v>0</v>
      </c>
      <c r="BJ86" s="12">
        <f>BJ$5*BQ86</f>
        <v>0</v>
      </c>
      <c r="BK86" s="12">
        <f>BK$5*BQ86</f>
        <v>0</v>
      </c>
      <c r="BL86" s="12">
        <f>BL$5*BQ86</f>
        <v>0</v>
      </c>
      <c r="BM86" s="12">
        <f>BM$5*BQ86</f>
        <v>0</v>
      </c>
      <c r="BN86" s="12">
        <f>BN$5*BQ86</f>
        <v>0</v>
      </c>
      <c r="BP86" s="16" t="s">
        <v>1304</v>
      </c>
      <c r="BQ86">
        <f>_xlfn.XLOOKUP(BP86,'KPI Impacts'!$B$2:$H$2,'KPI Impacts'!$B86:$H86)</f>
        <v>0</v>
      </c>
      <c r="BT86" s="12">
        <f>BT$5*CE86</f>
        <v>0</v>
      </c>
      <c r="BU86" s="12">
        <f>BU$5*CE86</f>
        <v>0</v>
      </c>
      <c r="BV86" s="12">
        <f>BV$5*CE86</f>
        <v>0</v>
      </c>
      <c r="BW86" s="12">
        <f>BW$5*CE86</f>
        <v>0</v>
      </c>
      <c r="BX86" s="12">
        <f>BX$5*CE86</f>
        <v>0</v>
      </c>
      <c r="BY86" s="12">
        <f>BY$5*CE86</f>
        <v>0</v>
      </c>
      <c r="BZ86" s="12">
        <f>BZ$5*CE86</f>
        <v>0</v>
      </c>
      <c r="CA86" s="12">
        <f>CA$5*CE86</f>
        <v>0</v>
      </c>
      <c r="CB86" s="12">
        <f>CB$5*CE86</f>
        <v>0</v>
      </c>
      <c r="CD86" s="16" t="s">
        <v>1304</v>
      </c>
      <c r="CE86">
        <f>_xlfn.XLOOKUP(CD86,'KPI Impacts'!$B$2:$H$2,'KPI Impacts'!$B86:$H86)</f>
        <v>0</v>
      </c>
      <c r="CH86" s="12">
        <f>CH$5*CS86</f>
        <v>0</v>
      </c>
      <c r="CI86" s="12">
        <f>CI$5*CS86</f>
        <v>0</v>
      </c>
      <c r="CJ86" s="12">
        <f>CJ$5*CS86</f>
        <v>0</v>
      </c>
      <c r="CK86" s="12">
        <f>CK$5*CS86</f>
        <v>0</v>
      </c>
      <c r="CL86" s="12">
        <f>CL$5*CS86</f>
        <v>0</v>
      </c>
      <c r="CM86" s="12">
        <f>CM$5*CS86</f>
        <v>0</v>
      </c>
      <c r="CN86" s="12">
        <f>CN$5*CS86</f>
        <v>0</v>
      </c>
      <c r="CO86" s="12">
        <f>CO$5*CS86</f>
        <v>0</v>
      </c>
      <c r="CP86" s="12">
        <f>CP$5*CS86</f>
        <v>0</v>
      </c>
      <c r="CR86" s="16" t="s">
        <v>1304</v>
      </c>
      <c r="CS86">
        <f>_xlfn.XLOOKUP(CR86,'KPI Impacts'!$B$2:$H$2,'KPI Impacts'!$B86:$H86)</f>
        <v>0</v>
      </c>
      <c r="CV86" s="12">
        <f>CV$5*DG86</f>
        <v>0</v>
      </c>
      <c r="CW86" s="12">
        <f>CW$5*DG86</f>
        <v>0</v>
      </c>
      <c r="CX86" s="12">
        <f>CX$5*DG86</f>
        <v>0</v>
      </c>
      <c r="CY86" s="12">
        <f>CY$5*DG86</f>
        <v>0</v>
      </c>
      <c r="CZ86" s="12">
        <f>CZ$5*DG86</f>
        <v>0</v>
      </c>
      <c r="DA86" s="12">
        <f>DA$5*DG86</f>
        <v>0</v>
      </c>
      <c r="DB86" s="12">
        <f>DB$5*DG86</f>
        <v>0</v>
      </c>
      <c r="DC86" s="12">
        <f>DC$5*DG86</f>
        <v>0</v>
      </c>
      <c r="DD86" s="12">
        <f>DD$5*DG86</f>
        <v>0</v>
      </c>
      <c r="DF86" s="16" t="s">
        <v>1304</v>
      </c>
      <c r="DG86">
        <f>_xlfn.XLOOKUP(DF86,'KPI Impacts'!$B$2:$H$2,'KPI Impacts'!$B86:$H86)</f>
        <v>0</v>
      </c>
      <c r="DJ86" s="12">
        <f>DJ$5*DU86</f>
        <v>0</v>
      </c>
      <c r="DK86" s="12">
        <f>DK$5*DU86</f>
        <v>0</v>
      </c>
      <c r="DL86" s="12">
        <f>DL$5*DU86</f>
        <v>0</v>
      </c>
      <c r="DM86" s="12">
        <f>DM$5*DU86</f>
        <v>0</v>
      </c>
      <c r="DN86" s="12">
        <f>DN$5*DU86</f>
        <v>0</v>
      </c>
      <c r="DO86" s="12">
        <f>DO$5*DU86</f>
        <v>0</v>
      </c>
      <c r="DP86" s="12">
        <f>DP$5*DU86</f>
        <v>0</v>
      </c>
      <c r="DQ86" s="12">
        <f>DQ$5*DU86</f>
        <v>0</v>
      </c>
      <c r="DR86" s="12">
        <f>DR$5*DU86</f>
        <v>0</v>
      </c>
      <c r="DT86" s="16" t="s">
        <v>1304</v>
      </c>
      <c r="DU86">
        <f>_xlfn.XLOOKUP(DT86,'KPI Impacts'!$B$2:$H$2,'KPI Impacts'!$B86:$H86)</f>
        <v>0</v>
      </c>
      <c r="DX86" s="12"/>
      <c r="DY86" s="12"/>
      <c r="DZ86" s="12"/>
      <c r="EA86" s="12"/>
      <c r="EB86" s="12"/>
      <c r="EC86" s="12"/>
      <c r="ED86" s="12"/>
      <c r="EE86" s="12"/>
      <c r="EF86" s="12"/>
    </row>
    <row r="87" spans="1:136" x14ac:dyDescent="0.2">
      <c r="A87" s="9" t="s">
        <v>1294</v>
      </c>
      <c r="B87" s="19" t="s">
        <v>1319</v>
      </c>
      <c r="C87" s="19" t="s">
        <v>1319</v>
      </c>
      <c r="D87" s="19" t="s">
        <v>1319</v>
      </c>
      <c r="E87" s="19" t="s">
        <v>1319</v>
      </c>
      <c r="F87" s="19" t="s">
        <v>1319</v>
      </c>
      <c r="G87" s="19" t="s">
        <v>1319</v>
      </c>
      <c r="H87" s="19" t="s">
        <v>1319</v>
      </c>
      <c r="I87" s="19" t="s">
        <v>1319</v>
      </c>
      <c r="J87" s="19" t="s">
        <v>1319</v>
      </c>
      <c r="Z87" s="16"/>
      <c r="AN87" s="16"/>
      <c r="BB87" s="16"/>
      <c r="BP87" s="16"/>
      <c r="CD87" s="16"/>
      <c r="CR87" s="16"/>
      <c r="DF87" s="16"/>
      <c r="DT87" s="16"/>
      <c r="EA87" s="12"/>
      <c r="EB87" s="12"/>
    </row>
    <row r="88" spans="1:136" x14ac:dyDescent="0.2">
      <c r="A88" s="9" t="s">
        <v>1291</v>
      </c>
      <c r="B88" s="12">
        <f>P88+AD88+AR88+BF88+BT88+CH88+CV88+DJ88</f>
        <v>0</v>
      </c>
      <c r="C88" s="12">
        <f t="shared" ref="C88" si="286">Q88+AE88+AS88+BG88+BU88+CI88+CW88+DK88</f>
        <v>0</v>
      </c>
      <c r="D88" s="12">
        <f t="shared" ref="D88" si="287">R88+AF88+AT88+BH88+BV88+CJ88+CX88+DL88</f>
        <v>0</v>
      </c>
      <c r="E88" s="12">
        <f t="shared" ref="E88" si="288">S88+AG88+AU88+BI88+BW88+CK88+CY88+DM88</f>
        <v>0</v>
      </c>
      <c r="F88" s="12">
        <f t="shared" ref="F88" si="289">T88+AH88+AV88+BJ88+BX88+CL88+CZ88+DN88</f>
        <v>0</v>
      </c>
      <c r="G88" s="12">
        <f t="shared" ref="G88" si="290">U88+AI88+AW88+BK88+BY88+CM88+DA88+DO88</f>
        <v>0</v>
      </c>
      <c r="H88" s="12">
        <f t="shared" ref="H88" si="291">V88+AJ88+AX88+BL88+BZ88+CN88+DB88+DP88</f>
        <v>0</v>
      </c>
      <c r="I88" s="12">
        <f t="shared" ref="I88" si="292">W88+AK88+AY88+BM88+CA88+CO88+DC88+DQ88</f>
        <v>0</v>
      </c>
      <c r="J88" s="12">
        <f t="shared" ref="J88" si="293">X88+AL88+AZ88+BN88+CB88+CP88+DD88+DR88</f>
        <v>0</v>
      </c>
      <c r="P88" s="12">
        <f>P$5*AA88</f>
        <v>0</v>
      </c>
      <c r="Q88" s="12">
        <f>Q$5*AA88</f>
        <v>0</v>
      </c>
      <c r="R88" s="12">
        <f>R$5*AA88</f>
        <v>0</v>
      </c>
      <c r="S88" s="12">
        <f>S$5*AA88</f>
        <v>0</v>
      </c>
      <c r="T88" s="12">
        <f>T$5*AA88</f>
        <v>0</v>
      </c>
      <c r="U88" s="12">
        <f>U$5*AA88</f>
        <v>0</v>
      </c>
      <c r="V88" s="12">
        <f>V$5*AA88</f>
        <v>0</v>
      </c>
      <c r="W88" s="12">
        <f>W$5*AA88</f>
        <v>0</v>
      </c>
      <c r="X88" s="12">
        <f>X$5*AA88</f>
        <v>0</v>
      </c>
      <c r="Z88" s="16" t="s">
        <v>1304</v>
      </c>
      <c r="AA88">
        <f>_xlfn.XLOOKUP(Z88,'KPI Impacts'!$B$2:$H$2,'KPI Impacts'!$B88:$H88)</f>
        <v>0</v>
      </c>
      <c r="AD88" s="12">
        <f>AD$5*AO88</f>
        <v>0</v>
      </c>
      <c r="AE88" s="12">
        <f>AE$5*AO88</f>
        <v>0</v>
      </c>
      <c r="AF88" s="12">
        <f>AF$5*AO88</f>
        <v>0</v>
      </c>
      <c r="AG88" s="12">
        <f>AG$5*AO88</f>
        <v>0</v>
      </c>
      <c r="AH88" s="12">
        <f>AH$5*AO88</f>
        <v>0</v>
      </c>
      <c r="AI88" s="12">
        <f>AI$5*AO88</f>
        <v>0</v>
      </c>
      <c r="AJ88" s="12">
        <f>AJ$5*AO88</f>
        <v>0</v>
      </c>
      <c r="AK88" s="12">
        <f>AK$5*AO88</f>
        <v>0</v>
      </c>
      <c r="AL88" s="12">
        <f>AL$5*AO88</f>
        <v>0</v>
      </c>
      <c r="AN88" s="16" t="s">
        <v>1304</v>
      </c>
      <c r="AO88">
        <f>_xlfn.XLOOKUP(AN88,'KPI Impacts'!$B$2:$H$2,'KPI Impacts'!$B88:$H88)</f>
        <v>0</v>
      </c>
      <c r="AR88" s="12">
        <f>AR$5*BC88</f>
        <v>0</v>
      </c>
      <c r="AS88" s="12">
        <f>AS$5*BC88</f>
        <v>0</v>
      </c>
      <c r="AT88" s="12">
        <f>AT$5*BC88</f>
        <v>0</v>
      </c>
      <c r="AU88" s="12">
        <f>AU$5*BC88</f>
        <v>0</v>
      </c>
      <c r="AV88" s="12">
        <f>AV$5*BC88</f>
        <v>0</v>
      </c>
      <c r="AW88" s="12">
        <f>AW$5*BC88</f>
        <v>0</v>
      </c>
      <c r="AX88" s="12">
        <f>AX$5*BC88</f>
        <v>0</v>
      </c>
      <c r="AY88" s="12">
        <f>AY$5*BC88</f>
        <v>0</v>
      </c>
      <c r="AZ88" s="12">
        <f>AZ$5*BC88</f>
        <v>0</v>
      </c>
      <c r="BB88" s="16" t="s">
        <v>1304</v>
      </c>
      <c r="BC88">
        <f>_xlfn.XLOOKUP(BB88,'KPI Impacts'!$B$2:$H$2,'KPI Impacts'!$B88:$H88)</f>
        <v>0</v>
      </c>
      <c r="BF88" s="12">
        <f>BF$5*BQ88</f>
        <v>0</v>
      </c>
      <c r="BG88" s="12">
        <f>BG$5*BQ88</f>
        <v>0</v>
      </c>
      <c r="BH88" s="12">
        <f>BH$5*BQ88</f>
        <v>0</v>
      </c>
      <c r="BI88" s="12">
        <f>BI$5*BQ88</f>
        <v>0</v>
      </c>
      <c r="BJ88" s="12">
        <f>BJ$5*BQ88</f>
        <v>0</v>
      </c>
      <c r="BK88" s="12">
        <f>BK$5*BQ88</f>
        <v>0</v>
      </c>
      <c r="BL88" s="12">
        <f>BL$5*BQ88</f>
        <v>0</v>
      </c>
      <c r="BM88" s="12">
        <f>BM$5*BQ88</f>
        <v>0</v>
      </c>
      <c r="BN88" s="12">
        <f>BN$5*BQ88</f>
        <v>0</v>
      </c>
      <c r="BP88" s="16" t="s">
        <v>1304</v>
      </c>
      <c r="BQ88">
        <f>_xlfn.XLOOKUP(BP88,'KPI Impacts'!$B$2:$H$2,'KPI Impacts'!$B88:$H88)</f>
        <v>0</v>
      </c>
      <c r="BT88" s="12">
        <f>BT$5*CE88</f>
        <v>0</v>
      </c>
      <c r="BU88" s="12">
        <f>BU$5*CE88</f>
        <v>0</v>
      </c>
      <c r="BV88" s="12">
        <f>BV$5*CE88</f>
        <v>0</v>
      </c>
      <c r="BW88" s="12">
        <f>BW$5*CE88</f>
        <v>0</v>
      </c>
      <c r="BX88" s="12">
        <f>BX$5*CE88</f>
        <v>0</v>
      </c>
      <c r="BY88" s="12">
        <f>BY$5*CE88</f>
        <v>0</v>
      </c>
      <c r="BZ88" s="12">
        <f>BZ$5*CE88</f>
        <v>0</v>
      </c>
      <c r="CA88" s="12">
        <f>CA$5*CE88</f>
        <v>0</v>
      </c>
      <c r="CB88" s="12">
        <f>CB$5*CE88</f>
        <v>0</v>
      </c>
      <c r="CD88" s="16" t="s">
        <v>1304</v>
      </c>
      <c r="CE88">
        <f>_xlfn.XLOOKUP(CD88,'KPI Impacts'!$B$2:$H$2,'KPI Impacts'!$B88:$H88)</f>
        <v>0</v>
      </c>
      <c r="CH88" s="12">
        <f>CH$5*CS88</f>
        <v>0</v>
      </c>
      <c r="CI88" s="12">
        <f>CI$5*CS88</f>
        <v>0</v>
      </c>
      <c r="CJ88" s="12">
        <f>CJ$5*CS88</f>
        <v>0</v>
      </c>
      <c r="CK88" s="12">
        <f>CK$5*CS88</f>
        <v>0</v>
      </c>
      <c r="CL88" s="12">
        <f>CL$5*CS88</f>
        <v>0</v>
      </c>
      <c r="CM88" s="12">
        <f>CM$5*CS88</f>
        <v>0</v>
      </c>
      <c r="CN88" s="12">
        <f>CN$5*CS88</f>
        <v>0</v>
      </c>
      <c r="CO88" s="12">
        <f>CO$5*CS88</f>
        <v>0</v>
      </c>
      <c r="CP88" s="12">
        <f>CP$5*CS88</f>
        <v>0</v>
      </c>
      <c r="CR88" s="16" t="s">
        <v>1304</v>
      </c>
      <c r="CS88">
        <f>_xlfn.XLOOKUP(CR88,'KPI Impacts'!$B$2:$H$2,'KPI Impacts'!$B88:$H88)</f>
        <v>0</v>
      </c>
      <c r="CV88" s="12">
        <f>CV$5*DG88</f>
        <v>0</v>
      </c>
      <c r="CW88" s="12">
        <f>CW$5*DG88</f>
        <v>0</v>
      </c>
      <c r="CX88" s="12">
        <f>CX$5*DG88</f>
        <v>0</v>
      </c>
      <c r="CY88" s="12">
        <f>CY$5*DG88</f>
        <v>0</v>
      </c>
      <c r="CZ88" s="12">
        <f>CZ$5*DG88</f>
        <v>0</v>
      </c>
      <c r="DA88" s="12">
        <f>DA$5*DG88</f>
        <v>0</v>
      </c>
      <c r="DB88" s="12">
        <f>DB$5*DG88</f>
        <v>0</v>
      </c>
      <c r="DC88" s="12">
        <f>DC$5*DG88</f>
        <v>0</v>
      </c>
      <c r="DD88" s="12">
        <f>DD$5*DG88</f>
        <v>0</v>
      </c>
      <c r="DF88" s="16" t="s">
        <v>1304</v>
      </c>
      <c r="DG88">
        <f>_xlfn.XLOOKUP(DF88,'KPI Impacts'!$B$2:$H$2,'KPI Impacts'!$B88:$H88)</f>
        <v>0</v>
      </c>
      <c r="DJ88" s="12">
        <f>DJ$5*DU88</f>
        <v>0</v>
      </c>
      <c r="DK88" s="12">
        <f>DK$5*DU88</f>
        <v>0</v>
      </c>
      <c r="DL88" s="12">
        <f>DL$5*DU88</f>
        <v>0</v>
      </c>
      <c r="DM88" s="12">
        <f>DM$5*DU88</f>
        <v>0</v>
      </c>
      <c r="DN88" s="12">
        <f>DN$5*DU88</f>
        <v>0</v>
      </c>
      <c r="DO88" s="12">
        <f>DO$5*DU88</f>
        <v>0</v>
      </c>
      <c r="DP88" s="12">
        <f>DP$5*DU88</f>
        <v>0</v>
      </c>
      <c r="DQ88" s="12">
        <f>DQ$5*DU88</f>
        <v>0</v>
      </c>
      <c r="DR88" s="12">
        <f>DR$5*DU88</f>
        <v>0</v>
      </c>
      <c r="DT88" s="16" t="s">
        <v>1304</v>
      </c>
      <c r="DU88">
        <f>_xlfn.XLOOKUP(DT88,'KPI Impacts'!$B$2:$H$2,'KPI Impacts'!$B88:$H88)</f>
        <v>0</v>
      </c>
      <c r="DX88" s="12"/>
      <c r="DY88" s="12"/>
      <c r="DZ88" s="12"/>
      <c r="EA88" s="12"/>
      <c r="EB88" s="12"/>
      <c r="EC88" s="12"/>
      <c r="ED88" s="12"/>
      <c r="EE88" s="12"/>
      <c r="EF88" s="12"/>
    </row>
    <row r="89" spans="1:136" hidden="1" x14ac:dyDescent="0.2">
      <c r="Z89" s="16"/>
      <c r="AA89">
        <v>1</v>
      </c>
      <c r="AN89" s="16"/>
      <c r="AO89">
        <v>1</v>
      </c>
      <c r="BB89" s="16"/>
      <c r="BC89">
        <v>1</v>
      </c>
      <c r="BP89" s="16"/>
      <c r="BQ89">
        <v>1</v>
      </c>
      <c r="CD89" s="16"/>
      <c r="CE89">
        <v>1</v>
      </c>
      <c r="CR89" s="16"/>
      <c r="CS89">
        <v>1</v>
      </c>
      <c r="DF89" s="16"/>
      <c r="DG89">
        <v>1</v>
      </c>
      <c r="DT89" s="16"/>
      <c r="DU89">
        <v>1</v>
      </c>
      <c r="EA89" s="12"/>
      <c r="EB89" s="12"/>
    </row>
    <row r="90" spans="1:136" hidden="1" x14ac:dyDescent="0.2">
      <c r="Z90" s="16"/>
      <c r="AA90">
        <v>1</v>
      </c>
      <c r="AN90" s="16"/>
      <c r="AO90">
        <v>1</v>
      </c>
      <c r="BB90" s="16"/>
      <c r="BC90">
        <v>1</v>
      </c>
      <c r="BP90" s="16"/>
      <c r="BQ90">
        <v>1</v>
      </c>
      <c r="CD90" s="16"/>
      <c r="CE90">
        <v>1</v>
      </c>
      <c r="CR90" s="16"/>
      <c r="CS90">
        <v>1</v>
      </c>
      <c r="DF90" s="16"/>
      <c r="DG90">
        <v>1</v>
      </c>
      <c r="DT90" s="16"/>
      <c r="DU90">
        <v>1</v>
      </c>
      <c r="EA90" s="12"/>
      <c r="EB90" s="12"/>
    </row>
    <row r="91" spans="1:136" x14ac:dyDescent="0.2">
      <c r="Z91" s="16"/>
      <c r="AN91" s="16"/>
      <c r="BB91" s="16"/>
      <c r="BP91" s="16"/>
      <c r="CD91" s="16"/>
      <c r="CR91" s="16"/>
      <c r="DF91" s="16"/>
      <c r="DT91" s="16"/>
      <c r="EA91" s="12"/>
      <c r="EB91" s="12"/>
    </row>
    <row r="92" spans="1:136" x14ac:dyDescent="0.2">
      <c r="A92" s="5" t="s">
        <v>52</v>
      </c>
      <c r="Z92" s="16"/>
      <c r="AN92" s="16"/>
      <c r="BB92" s="16"/>
      <c r="BP92" s="16"/>
      <c r="CD92" s="16"/>
      <c r="CR92" s="16"/>
      <c r="DF92" s="16"/>
      <c r="DT92" s="16"/>
      <c r="EA92" s="12"/>
      <c r="EB92" s="12"/>
    </row>
    <row r="93" spans="1:136" x14ac:dyDescent="0.2">
      <c r="A93" t="s">
        <v>56</v>
      </c>
      <c r="B93" s="12">
        <f>P93+AD93+AR93+BF93+BT93+CH93+CV93+DJ93</f>
        <v>0</v>
      </c>
      <c r="C93" s="12">
        <f t="shared" ref="C93:C96" si="294">Q93+AE93+AS93+BG93+BU93+CI93+CW93+DK93</f>
        <v>0</v>
      </c>
      <c r="D93" s="12">
        <f t="shared" ref="D93:D96" si="295">R93+AF93+AT93+BH93+BV93+CJ93+CX93+DL93</f>
        <v>0</v>
      </c>
      <c r="E93" s="12">
        <f t="shared" ref="E93:E96" si="296">S93+AG93+AU93+BI93+BW93+CK93+CY93+DM93</f>
        <v>0</v>
      </c>
      <c r="F93" s="12">
        <f t="shared" ref="F93:F96" si="297">T93+AH93+AV93+BJ93+BX93+CL93+CZ93+DN93</f>
        <v>-2</v>
      </c>
      <c r="G93" s="12">
        <f t="shared" ref="G93:G96" si="298">U93+AI93+AW93+BK93+BY93+CM93+DA93+DO93</f>
        <v>-2</v>
      </c>
      <c r="H93" s="12">
        <f t="shared" ref="H93:H96" si="299">V93+AJ93+AX93+BL93+BZ93+CN93+DB93+DP93</f>
        <v>-2</v>
      </c>
      <c r="I93" s="12">
        <f t="shared" ref="I93:I96" si="300">W93+AK93+AY93+BM93+CA93+CO93+DC93+DQ93</f>
        <v>-2</v>
      </c>
      <c r="J93" s="12">
        <f t="shared" ref="J93:J96" si="301">X93+AL93+AZ93+BN93+CB93+CP93+DD93+DR93</f>
        <v>-2</v>
      </c>
      <c r="P93" s="12">
        <f>P$5*AA93</f>
        <v>0</v>
      </c>
      <c r="Q93" s="12">
        <f>Q$5*AA93</f>
        <v>0</v>
      </c>
      <c r="R93" s="12">
        <f>R$5*AA93</f>
        <v>0</v>
      </c>
      <c r="S93" s="12">
        <f>S$5*AA93</f>
        <v>0</v>
      </c>
      <c r="T93" s="12">
        <f>T$5*AA93</f>
        <v>0</v>
      </c>
      <c r="U93" s="12">
        <f>U$5*AA93</f>
        <v>0</v>
      </c>
      <c r="V93" s="12">
        <f>V$5*AA93</f>
        <v>0</v>
      </c>
      <c r="W93" s="12">
        <f>W$5*AA93</f>
        <v>0</v>
      </c>
      <c r="X93" s="12">
        <f>X$5*AA93</f>
        <v>0</v>
      </c>
      <c r="Z93" s="16" t="s">
        <v>1304</v>
      </c>
      <c r="AA93">
        <f>_xlfn.XLOOKUP(Z93,'KPI Impacts'!$B$2:$H$2,'KPI Impacts'!$B93:$H93)</f>
        <v>0</v>
      </c>
      <c r="AD93" s="12">
        <f>AD$5*AO93</f>
        <v>0</v>
      </c>
      <c r="AE93" s="12">
        <f>AE$5*AO93</f>
        <v>0</v>
      </c>
      <c r="AF93" s="12">
        <f>AF$5*AO93</f>
        <v>0</v>
      </c>
      <c r="AG93" s="12">
        <f>AG$5*AO93</f>
        <v>0</v>
      </c>
      <c r="AH93" s="12">
        <f>AH$5*AO93</f>
        <v>0</v>
      </c>
      <c r="AI93" s="12">
        <f>AI$5*AO93</f>
        <v>0</v>
      </c>
      <c r="AJ93" s="12">
        <f>AJ$5*AO93</f>
        <v>0</v>
      </c>
      <c r="AK93" s="12">
        <f>AK$5*AO93</f>
        <v>0</v>
      </c>
      <c r="AL93" s="12">
        <f>AL$5*AO93</f>
        <v>0</v>
      </c>
      <c r="AN93" s="16" t="s">
        <v>1304</v>
      </c>
      <c r="AO93">
        <f>_xlfn.XLOOKUP(AN93,'KPI Impacts'!$B$2:$H$2,'KPI Impacts'!$B93:$H93)</f>
        <v>0</v>
      </c>
      <c r="AR93" s="12">
        <f>AR$5*BC93</f>
        <v>0</v>
      </c>
      <c r="AS93" s="12">
        <f>AS$5*BC93</f>
        <v>0</v>
      </c>
      <c r="AT93" s="12">
        <f>AT$5*BC93</f>
        <v>0</v>
      </c>
      <c r="AU93" s="12">
        <f>AU$5*BC93</f>
        <v>0</v>
      </c>
      <c r="AV93" s="12">
        <f>AV$5*BC93</f>
        <v>0</v>
      </c>
      <c r="AW93" s="12">
        <f>AW$5*BC93</f>
        <v>0</v>
      </c>
      <c r="AX93" s="12">
        <f>AX$5*BC93</f>
        <v>0</v>
      </c>
      <c r="AY93" s="12">
        <f>AY$5*BC93</f>
        <v>0</v>
      </c>
      <c r="AZ93" s="12">
        <f>AZ$5*BC93</f>
        <v>0</v>
      </c>
      <c r="BB93" s="16" t="s">
        <v>1304</v>
      </c>
      <c r="BC93">
        <f>_xlfn.XLOOKUP(BB93,'KPI Impacts'!$B$2:$H$2,'KPI Impacts'!$B93:$H93)</f>
        <v>0</v>
      </c>
      <c r="BF93" s="12">
        <f>BF$5*BQ93</f>
        <v>0</v>
      </c>
      <c r="BG93" s="12">
        <f>BG$5*BQ93</f>
        <v>0</v>
      </c>
      <c r="BH93" s="12">
        <f>BH$5*BQ93</f>
        <v>0</v>
      </c>
      <c r="BI93" s="12">
        <f>BI$5*BQ93</f>
        <v>0</v>
      </c>
      <c r="BJ93" s="12">
        <f>BJ$5*BQ93</f>
        <v>-2</v>
      </c>
      <c r="BK93" s="12">
        <f>BK$5*BQ93</f>
        <v>-2</v>
      </c>
      <c r="BL93" s="12">
        <f>BL$5*BQ93</f>
        <v>-2</v>
      </c>
      <c r="BM93" s="12">
        <f>BM$5*BQ93</f>
        <v>-2</v>
      </c>
      <c r="BN93" s="12">
        <f>BN$5*BQ93</f>
        <v>-2</v>
      </c>
      <c r="BP93" s="29" t="s">
        <v>1306</v>
      </c>
      <c r="BQ93">
        <f>_xlfn.XLOOKUP(BP93,'KPI Impacts'!$B$2:$H$2,'KPI Impacts'!$B93:$H93)</f>
        <v>-2</v>
      </c>
      <c r="BT93" s="12">
        <f>BT$5*CE93</f>
        <v>0</v>
      </c>
      <c r="BU93" s="12">
        <f>BU$5*CE93</f>
        <v>0</v>
      </c>
      <c r="BV93" s="12">
        <f>BV$5*CE93</f>
        <v>0</v>
      </c>
      <c r="BW93" s="12">
        <f>BW$5*CE93</f>
        <v>0</v>
      </c>
      <c r="BX93" s="12">
        <f>BX$5*CE93</f>
        <v>0</v>
      </c>
      <c r="BY93" s="12">
        <f>BY$5*CE93</f>
        <v>0</v>
      </c>
      <c r="BZ93" s="12">
        <f>BZ$5*CE93</f>
        <v>0</v>
      </c>
      <c r="CA93" s="12">
        <f>CA$5*CE93</f>
        <v>0</v>
      </c>
      <c r="CB93" s="12">
        <f>CB$5*CE93</f>
        <v>0</v>
      </c>
      <c r="CD93" s="16" t="s">
        <v>1304</v>
      </c>
      <c r="CE93">
        <f>_xlfn.XLOOKUP(CD93,'KPI Impacts'!$B$2:$H$2,'KPI Impacts'!$B93:$H93)</f>
        <v>0</v>
      </c>
      <c r="CH93" s="12">
        <f>CH$5*CS93</f>
        <v>0</v>
      </c>
      <c r="CI93" s="12">
        <f>CI$5*CS93</f>
        <v>0</v>
      </c>
      <c r="CJ93" s="12">
        <f>CJ$5*CS93</f>
        <v>0</v>
      </c>
      <c r="CK93" s="12">
        <f>CK$5*CS93</f>
        <v>0</v>
      </c>
      <c r="CL93" s="12">
        <f>CL$5*CS93</f>
        <v>0</v>
      </c>
      <c r="CM93" s="12">
        <f>CM$5*CS93</f>
        <v>0</v>
      </c>
      <c r="CN93" s="12">
        <f>CN$5*CS93</f>
        <v>0</v>
      </c>
      <c r="CO93" s="12">
        <f>CO$5*CS93</f>
        <v>0</v>
      </c>
      <c r="CP93" s="12">
        <f>CP$5*CS93</f>
        <v>0</v>
      </c>
      <c r="CR93" s="16" t="s">
        <v>1304</v>
      </c>
      <c r="CS93">
        <f>_xlfn.XLOOKUP(CR93,'KPI Impacts'!$B$2:$H$2,'KPI Impacts'!$B93:$H93)</f>
        <v>0</v>
      </c>
      <c r="CV93" s="12">
        <f>CV$5*DG93</f>
        <v>0</v>
      </c>
      <c r="CW93" s="12">
        <f>CW$5*DG93</f>
        <v>0</v>
      </c>
      <c r="CX93" s="12">
        <f>CX$5*DG93</f>
        <v>0</v>
      </c>
      <c r="CY93" s="12">
        <f>CY$5*DG93</f>
        <v>0</v>
      </c>
      <c r="CZ93" s="12">
        <f>CZ$5*DG93</f>
        <v>0</v>
      </c>
      <c r="DA93" s="12">
        <f>DA$5*DG93</f>
        <v>0</v>
      </c>
      <c r="DB93" s="12">
        <f>DB$5*DG93</f>
        <v>0</v>
      </c>
      <c r="DC93" s="12">
        <f>DC$5*DG93</f>
        <v>0</v>
      </c>
      <c r="DD93" s="12">
        <f>DD$5*DG93</f>
        <v>0</v>
      </c>
      <c r="DF93" s="16" t="s">
        <v>1304</v>
      </c>
      <c r="DG93">
        <f>_xlfn.XLOOKUP(DF93,'KPI Impacts'!$B$2:$H$2,'KPI Impacts'!$B93:$H93)</f>
        <v>0</v>
      </c>
      <c r="DJ93" s="12">
        <f>DJ$5*DU93</f>
        <v>0</v>
      </c>
      <c r="DK93" s="12">
        <f>DK$5*DU93</f>
        <v>0</v>
      </c>
      <c r="DL93" s="12">
        <f>DL$5*DU93</f>
        <v>0</v>
      </c>
      <c r="DM93" s="12">
        <f>DM$5*DU93</f>
        <v>0</v>
      </c>
      <c r="DN93" s="12">
        <f>DN$5*DU93</f>
        <v>0</v>
      </c>
      <c r="DO93" s="12">
        <f>DO$5*DU93</f>
        <v>0</v>
      </c>
      <c r="DP93" s="12">
        <f>DP$5*DU93</f>
        <v>0</v>
      </c>
      <c r="DQ93" s="12">
        <f>DQ$5*DU93</f>
        <v>0</v>
      </c>
      <c r="DR93" s="12">
        <f>DR$5*DU93</f>
        <v>0</v>
      </c>
      <c r="DT93" s="16" t="s">
        <v>1304</v>
      </c>
      <c r="DU93">
        <f>_xlfn.XLOOKUP(DT93,'KPI Impacts'!$B$2:$H$2,'KPI Impacts'!$B93:$H93)</f>
        <v>0</v>
      </c>
      <c r="DX93" s="12"/>
      <c r="DY93" s="12"/>
      <c r="DZ93" s="12"/>
      <c r="EA93" s="12"/>
      <c r="EB93" s="12"/>
      <c r="EC93" s="12"/>
      <c r="ED93" s="12"/>
      <c r="EE93" s="12"/>
      <c r="EF93" s="12"/>
    </row>
    <row r="94" spans="1:136" x14ac:dyDescent="0.2">
      <c r="A94" s="9" t="s">
        <v>1727</v>
      </c>
      <c r="B94" s="12">
        <f>P94+AD94+AR94+BF94+BT94+CH94+CV94+DJ94</f>
        <v>0</v>
      </c>
      <c r="C94" s="12">
        <f t="shared" si="294"/>
        <v>0</v>
      </c>
      <c r="D94" s="12">
        <f t="shared" si="295"/>
        <v>0</v>
      </c>
      <c r="E94" s="12">
        <f t="shared" si="296"/>
        <v>0</v>
      </c>
      <c r="F94" s="12">
        <f t="shared" si="297"/>
        <v>0</v>
      </c>
      <c r="G94" s="12">
        <f t="shared" si="298"/>
        <v>0</v>
      </c>
      <c r="H94" s="12">
        <f t="shared" si="299"/>
        <v>0</v>
      </c>
      <c r="I94" s="12">
        <f t="shared" si="300"/>
        <v>0</v>
      </c>
      <c r="J94" s="12">
        <f t="shared" si="301"/>
        <v>0</v>
      </c>
      <c r="P94" s="12">
        <f>P$5*AA94</f>
        <v>0</v>
      </c>
      <c r="Q94" s="12">
        <f>Q$5*AA94</f>
        <v>0</v>
      </c>
      <c r="R94" s="12">
        <f>R$5*AA94</f>
        <v>0</v>
      </c>
      <c r="S94" s="12">
        <f>S$5*AA94</f>
        <v>0</v>
      </c>
      <c r="T94" s="12">
        <f>T$5*AA94</f>
        <v>0</v>
      </c>
      <c r="U94" s="12">
        <f>U$5*AA94</f>
        <v>0</v>
      </c>
      <c r="V94" s="12">
        <f>V$5*AA94</f>
        <v>0</v>
      </c>
      <c r="W94" s="12">
        <f>W$5*AA94</f>
        <v>0</v>
      </c>
      <c r="X94" s="12">
        <f>X$5*AA94</f>
        <v>0</v>
      </c>
      <c r="Z94" s="16" t="s">
        <v>1304</v>
      </c>
      <c r="AA94">
        <f>_xlfn.XLOOKUP(Z94,'KPI Impacts'!$B$2:$H$2,'KPI Impacts'!$B94:$H94)</f>
        <v>0</v>
      </c>
      <c r="AD94" s="12">
        <f>AD$5*AO94</f>
        <v>0</v>
      </c>
      <c r="AE94" s="12">
        <f>AE$5*AO94</f>
        <v>0</v>
      </c>
      <c r="AF94" s="12">
        <f>AF$5*AO94</f>
        <v>0</v>
      </c>
      <c r="AG94" s="12">
        <f>AG$5*AO94</f>
        <v>0</v>
      </c>
      <c r="AH94" s="12">
        <f>AH$5*AO94</f>
        <v>0</v>
      </c>
      <c r="AI94" s="12">
        <f>AI$5*AO94</f>
        <v>0</v>
      </c>
      <c r="AJ94" s="12">
        <f>AJ$5*AO94</f>
        <v>0</v>
      </c>
      <c r="AK94" s="12">
        <f>AK$5*AO94</f>
        <v>0</v>
      </c>
      <c r="AL94" s="12">
        <f>AL$5*AO94</f>
        <v>0</v>
      </c>
      <c r="AN94" s="16" t="s">
        <v>1304</v>
      </c>
      <c r="AO94">
        <f>_xlfn.XLOOKUP(AN94,'KPI Impacts'!$B$2:$H$2,'KPI Impacts'!$B94:$H94)</f>
        <v>0</v>
      </c>
      <c r="AR94" s="12">
        <f>AR$5*BC94</f>
        <v>0</v>
      </c>
      <c r="AS94" s="12">
        <f>AS$5*BC94</f>
        <v>0</v>
      </c>
      <c r="AT94" s="12">
        <f>AT$5*BC94</f>
        <v>0</v>
      </c>
      <c r="AU94" s="12">
        <f>AU$5*BC94</f>
        <v>0</v>
      </c>
      <c r="AV94" s="12">
        <f>AV$5*BC94</f>
        <v>0</v>
      </c>
      <c r="AW94" s="12">
        <f>AW$5*BC94</f>
        <v>0</v>
      </c>
      <c r="AX94" s="12">
        <f>AX$5*BC94</f>
        <v>0</v>
      </c>
      <c r="AY94" s="12">
        <f>AY$5*BC94</f>
        <v>0</v>
      </c>
      <c r="AZ94" s="12">
        <f>AZ$5*BC94</f>
        <v>0</v>
      </c>
      <c r="BB94" s="16" t="s">
        <v>1304</v>
      </c>
      <c r="BC94">
        <f>_xlfn.XLOOKUP(BB94,'KPI Impacts'!$B$2:$H$2,'KPI Impacts'!$B94:$H94)</f>
        <v>0</v>
      </c>
      <c r="BF94" s="12">
        <f>BF$5*BQ94</f>
        <v>0</v>
      </c>
      <c r="BG94" s="12">
        <f>BG$5*BQ94</f>
        <v>0</v>
      </c>
      <c r="BH94" s="12">
        <f>BH$5*BQ94</f>
        <v>0</v>
      </c>
      <c r="BI94" s="12">
        <f>BI$5*BQ94</f>
        <v>0</v>
      </c>
      <c r="BJ94" s="12">
        <f>BJ$5*BQ94</f>
        <v>0</v>
      </c>
      <c r="BK94" s="12">
        <f>BK$5*BQ94</f>
        <v>0</v>
      </c>
      <c r="BL94" s="12">
        <f>BL$5*BQ94</f>
        <v>0</v>
      </c>
      <c r="BM94" s="12">
        <f>BM$5*BQ94</f>
        <v>0</v>
      </c>
      <c r="BN94" s="12">
        <f>BN$5*BQ94</f>
        <v>0</v>
      </c>
      <c r="BP94" s="16" t="s">
        <v>1304</v>
      </c>
      <c r="BQ94">
        <f>_xlfn.XLOOKUP(BP94,'KPI Impacts'!$B$2:$H$2,'KPI Impacts'!$B94:$H94)</f>
        <v>0</v>
      </c>
      <c r="BT94" s="12">
        <f>BT$5*CE94</f>
        <v>0</v>
      </c>
      <c r="BU94" s="12">
        <f>BU$5*CE94</f>
        <v>0</v>
      </c>
      <c r="BV94" s="12">
        <f>BV$5*CE94</f>
        <v>0</v>
      </c>
      <c r="BW94" s="12">
        <f>BW$5*CE94</f>
        <v>0</v>
      </c>
      <c r="BX94" s="12">
        <f>BX$5*CE94</f>
        <v>0</v>
      </c>
      <c r="BY94" s="12">
        <f>BY$5*CE94</f>
        <v>0</v>
      </c>
      <c r="BZ94" s="12">
        <f>BZ$5*CE94</f>
        <v>0</v>
      </c>
      <c r="CA94" s="12">
        <f>CA$5*CE94</f>
        <v>0</v>
      </c>
      <c r="CB94" s="12">
        <f>CB$5*CE94</f>
        <v>0</v>
      </c>
      <c r="CD94" s="16" t="s">
        <v>1304</v>
      </c>
      <c r="CE94">
        <f>_xlfn.XLOOKUP(CD94,'KPI Impacts'!$B$2:$H$2,'KPI Impacts'!$B94:$H94)</f>
        <v>0</v>
      </c>
      <c r="CH94" s="12">
        <f>CH$5*CS94</f>
        <v>0</v>
      </c>
      <c r="CI94" s="12">
        <f>CI$5*CS94</f>
        <v>0</v>
      </c>
      <c r="CJ94" s="12">
        <f>CJ$5*CS94</f>
        <v>0</v>
      </c>
      <c r="CK94" s="12">
        <f>CK$5*CS94</f>
        <v>0</v>
      </c>
      <c r="CL94" s="12">
        <f>CL$5*CS94</f>
        <v>0</v>
      </c>
      <c r="CM94" s="12">
        <f>CM$5*CS94</f>
        <v>0</v>
      </c>
      <c r="CN94" s="12">
        <f>CN$5*CS94</f>
        <v>0</v>
      </c>
      <c r="CO94" s="12">
        <f>CO$5*CS94</f>
        <v>0</v>
      </c>
      <c r="CP94" s="12">
        <f>CP$5*CS94</f>
        <v>0</v>
      </c>
      <c r="CR94" s="16" t="s">
        <v>1304</v>
      </c>
      <c r="CS94">
        <f>_xlfn.XLOOKUP(CR94,'KPI Impacts'!$B$2:$H$2,'KPI Impacts'!$B94:$H94)</f>
        <v>0</v>
      </c>
      <c r="CV94" s="12">
        <f>CV$5*DG94</f>
        <v>0</v>
      </c>
      <c r="CW94" s="12">
        <f>CW$5*DG94</f>
        <v>0</v>
      </c>
      <c r="CX94" s="12">
        <f>CX$5*DG94</f>
        <v>0</v>
      </c>
      <c r="CY94" s="12">
        <f>CY$5*DG94</f>
        <v>0</v>
      </c>
      <c r="CZ94" s="12">
        <f>CZ$5*DG94</f>
        <v>0</v>
      </c>
      <c r="DA94" s="12">
        <f>DA$5*DG94</f>
        <v>0</v>
      </c>
      <c r="DB94" s="12">
        <f>DB$5*DG94</f>
        <v>0</v>
      </c>
      <c r="DC94" s="12">
        <f>DC$5*DG94</f>
        <v>0</v>
      </c>
      <c r="DD94" s="12">
        <f>DD$5*DG94</f>
        <v>0</v>
      </c>
      <c r="DF94" s="16" t="s">
        <v>1304</v>
      </c>
      <c r="DG94">
        <f>_xlfn.XLOOKUP(DF94,'KPI Impacts'!$B$2:$H$2,'KPI Impacts'!$B94:$H94)</f>
        <v>0</v>
      </c>
      <c r="DJ94" s="12">
        <f>DJ$5*DU94</f>
        <v>0</v>
      </c>
      <c r="DK94" s="12">
        <f>DK$5*DU94</f>
        <v>0</v>
      </c>
      <c r="DL94" s="12">
        <f>DL$5*DU94</f>
        <v>0</v>
      </c>
      <c r="DM94" s="12">
        <f>DM$5*DU94</f>
        <v>0</v>
      </c>
      <c r="DN94" s="12">
        <f>DN$5*DU94</f>
        <v>0</v>
      </c>
      <c r="DO94" s="12">
        <f>DO$5*DU94</f>
        <v>0</v>
      </c>
      <c r="DP94" s="12">
        <f>DP$5*DU94</f>
        <v>0</v>
      </c>
      <c r="DQ94" s="12">
        <f>DQ$5*DU94</f>
        <v>0</v>
      </c>
      <c r="DR94" s="12">
        <f>DR$5*DU94</f>
        <v>0</v>
      </c>
      <c r="DT94" s="16" t="s">
        <v>1304</v>
      </c>
      <c r="DU94">
        <f>_xlfn.XLOOKUP(DT94,'KPI Impacts'!$B$2:$H$2,'KPI Impacts'!$B94:$H94)</f>
        <v>0</v>
      </c>
      <c r="DX94" s="12"/>
      <c r="DY94" s="12"/>
      <c r="DZ94" s="12"/>
      <c r="EA94" s="12"/>
      <c r="EB94" s="12"/>
      <c r="EC94" s="12"/>
      <c r="ED94" s="12"/>
      <c r="EE94" s="12"/>
      <c r="EF94" s="12"/>
    </row>
    <row r="95" spans="1:136" x14ac:dyDescent="0.2">
      <c r="A95" t="s">
        <v>1317</v>
      </c>
      <c r="B95" s="12">
        <f>P95+AD95+AR95+BF95+BT95+CH95+CV95+DJ95</f>
        <v>0</v>
      </c>
      <c r="C95" s="12">
        <f t="shared" si="294"/>
        <v>0</v>
      </c>
      <c r="D95" s="12">
        <f t="shared" si="295"/>
        <v>0</v>
      </c>
      <c r="E95" s="12">
        <f t="shared" si="296"/>
        <v>0</v>
      </c>
      <c r="F95" s="12">
        <f t="shared" si="297"/>
        <v>0</v>
      </c>
      <c r="G95" s="12">
        <f t="shared" si="298"/>
        <v>0</v>
      </c>
      <c r="H95" s="12">
        <f t="shared" si="299"/>
        <v>0</v>
      </c>
      <c r="I95" s="12">
        <f t="shared" si="300"/>
        <v>0</v>
      </c>
      <c r="J95" s="12">
        <f t="shared" si="301"/>
        <v>0</v>
      </c>
      <c r="P95" s="12">
        <f>P$5*AA95</f>
        <v>0</v>
      </c>
      <c r="Q95" s="12">
        <f>Q$5*AA95</f>
        <v>0</v>
      </c>
      <c r="R95" s="12">
        <f>R$5*AA95</f>
        <v>0</v>
      </c>
      <c r="S95" s="12">
        <f>S$5*AA95</f>
        <v>0</v>
      </c>
      <c r="T95" s="12">
        <f>T$5*AA95</f>
        <v>0</v>
      </c>
      <c r="U95" s="12">
        <f>U$5*AA95</f>
        <v>0</v>
      </c>
      <c r="V95" s="12">
        <f>V$5*AA95</f>
        <v>0</v>
      </c>
      <c r="W95" s="12">
        <f>W$5*AA95</f>
        <v>0</v>
      </c>
      <c r="X95" s="12">
        <f>X$5*AA95</f>
        <v>0</v>
      </c>
      <c r="Z95" s="16" t="s">
        <v>1304</v>
      </c>
      <c r="AA95">
        <f>_xlfn.XLOOKUP(Z95,'KPI Impacts'!$B$2:$H$2,'KPI Impacts'!$B95:$H95)</f>
        <v>0</v>
      </c>
      <c r="AD95" s="12">
        <f>AD$5*AO95</f>
        <v>0</v>
      </c>
      <c r="AE95" s="12">
        <f>AE$5*AO95</f>
        <v>0</v>
      </c>
      <c r="AF95" s="12">
        <f>AF$5*AO95</f>
        <v>0</v>
      </c>
      <c r="AG95" s="12">
        <f>AG$5*AO95</f>
        <v>0</v>
      </c>
      <c r="AH95" s="12">
        <f>AH$5*AO95</f>
        <v>0</v>
      </c>
      <c r="AI95" s="12">
        <f>AI$5*AO95</f>
        <v>0</v>
      </c>
      <c r="AJ95" s="12">
        <f>AJ$5*AO95</f>
        <v>0</v>
      </c>
      <c r="AK95" s="12">
        <f>AK$5*AO95</f>
        <v>0</v>
      </c>
      <c r="AL95" s="12">
        <f>AL$5*AO95</f>
        <v>0</v>
      </c>
      <c r="AN95" s="16" t="s">
        <v>1304</v>
      </c>
      <c r="AO95">
        <f>_xlfn.XLOOKUP(AN95,'KPI Impacts'!$B$2:$H$2,'KPI Impacts'!$B95:$H95)</f>
        <v>0</v>
      </c>
      <c r="AR95" s="12">
        <f>AR$5*BC95</f>
        <v>0</v>
      </c>
      <c r="AS95" s="12">
        <f>AS$5*BC95</f>
        <v>0</v>
      </c>
      <c r="AT95" s="12">
        <f>AT$5*BC95</f>
        <v>0</v>
      </c>
      <c r="AU95" s="12">
        <f>AU$5*BC95</f>
        <v>0</v>
      </c>
      <c r="AV95" s="12">
        <f>AV$5*BC95</f>
        <v>0</v>
      </c>
      <c r="AW95" s="12">
        <f>AW$5*BC95</f>
        <v>0</v>
      </c>
      <c r="AX95" s="12">
        <f>AX$5*BC95</f>
        <v>0</v>
      </c>
      <c r="AY95" s="12">
        <f>AY$5*BC95</f>
        <v>0</v>
      </c>
      <c r="AZ95" s="12">
        <f>AZ$5*BC95</f>
        <v>0</v>
      </c>
      <c r="BB95" s="16" t="s">
        <v>1304</v>
      </c>
      <c r="BC95">
        <f>_xlfn.XLOOKUP(BB95,'KPI Impacts'!$B$2:$H$2,'KPI Impacts'!$B95:$H95)</f>
        <v>0</v>
      </c>
      <c r="BF95" s="12">
        <f>BF$5*BQ95</f>
        <v>0</v>
      </c>
      <c r="BG95" s="12">
        <f>BG$5*BQ95</f>
        <v>0</v>
      </c>
      <c r="BH95" s="12">
        <f>BH$5*BQ95</f>
        <v>0</v>
      </c>
      <c r="BI95" s="12">
        <f>BI$5*BQ95</f>
        <v>0</v>
      </c>
      <c r="BJ95" s="12">
        <f>BJ$5*BQ95</f>
        <v>0</v>
      </c>
      <c r="BK95" s="12">
        <f>BK$5*BQ95</f>
        <v>0</v>
      </c>
      <c r="BL95" s="12">
        <f>BL$5*BQ95</f>
        <v>0</v>
      </c>
      <c r="BM95" s="12">
        <f>BM$5*BQ95</f>
        <v>0</v>
      </c>
      <c r="BN95" s="12">
        <f>BN$5*BQ95</f>
        <v>0</v>
      </c>
      <c r="BP95" s="16" t="s">
        <v>1304</v>
      </c>
      <c r="BQ95">
        <f>_xlfn.XLOOKUP(BP95,'KPI Impacts'!$B$2:$H$2,'KPI Impacts'!$B95:$H95)</f>
        <v>0</v>
      </c>
      <c r="BT95" s="12">
        <f>BT$5*CE95</f>
        <v>0</v>
      </c>
      <c r="BU95" s="12">
        <f>BU$5*CE95</f>
        <v>0</v>
      </c>
      <c r="BV95" s="12">
        <f>BV$5*CE95</f>
        <v>0</v>
      </c>
      <c r="BW95" s="12">
        <f>BW$5*CE95</f>
        <v>0</v>
      </c>
      <c r="BX95" s="12">
        <f>BX$5*CE95</f>
        <v>0</v>
      </c>
      <c r="BY95" s="12">
        <f>BY$5*CE95</f>
        <v>0</v>
      </c>
      <c r="BZ95" s="12">
        <f>BZ$5*CE95</f>
        <v>0</v>
      </c>
      <c r="CA95" s="12">
        <f>CA$5*CE95</f>
        <v>0</v>
      </c>
      <c r="CB95" s="12">
        <f>CB$5*CE95</f>
        <v>0</v>
      </c>
      <c r="CD95" s="16" t="s">
        <v>1304</v>
      </c>
      <c r="CE95">
        <f>_xlfn.XLOOKUP(CD95,'KPI Impacts'!$B$2:$H$2,'KPI Impacts'!$B95:$H95)</f>
        <v>0</v>
      </c>
      <c r="CH95" s="12">
        <f>CH$5*CS95</f>
        <v>0</v>
      </c>
      <c r="CI95" s="12">
        <f>CI$5*CS95</f>
        <v>0</v>
      </c>
      <c r="CJ95" s="12">
        <f>CJ$5*CS95</f>
        <v>0</v>
      </c>
      <c r="CK95" s="12">
        <f>CK$5*CS95</f>
        <v>0</v>
      </c>
      <c r="CL95" s="12">
        <f>CL$5*CS95</f>
        <v>0</v>
      </c>
      <c r="CM95" s="12">
        <f>CM$5*CS95</f>
        <v>0</v>
      </c>
      <c r="CN95" s="12">
        <f>CN$5*CS95</f>
        <v>0</v>
      </c>
      <c r="CO95" s="12">
        <f>CO$5*CS95</f>
        <v>0</v>
      </c>
      <c r="CP95" s="12">
        <f>CP$5*CS95</f>
        <v>0</v>
      </c>
      <c r="CR95" s="16" t="s">
        <v>1304</v>
      </c>
      <c r="CS95">
        <f>_xlfn.XLOOKUP(CR95,'KPI Impacts'!$B$2:$H$2,'KPI Impacts'!$B95:$H95)</f>
        <v>0</v>
      </c>
      <c r="CV95" s="12">
        <f>CV$5*DG95</f>
        <v>0</v>
      </c>
      <c r="CW95" s="12">
        <f>CW$5*DG95</f>
        <v>0</v>
      </c>
      <c r="CX95" s="12">
        <f>CX$5*DG95</f>
        <v>0</v>
      </c>
      <c r="CY95" s="12">
        <f>CY$5*DG95</f>
        <v>0</v>
      </c>
      <c r="CZ95" s="12">
        <f>CZ$5*DG95</f>
        <v>0</v>
      </c>
      <c r="DA95" s="12">
        <f>DA$5*DG95</f>
        <v>0</v>
      </c>
      <c r="DB95" s="12">
        <f>DB$5*DG95</f>
        <v>0</v>
      </c>
      <c r="DC95" s="12">
        <f>DC$5*DG95</f>
        <v>0</v>
      </c>
      <c r="DD95" s="12">
        <f>DD$5*DG95</f>
        <v>0</v>
      </c>
      <c r="DF95" s="16" t="s">
        <v>1304</v>
      </c>
      <c r="DG95">
        <f>_xlfn.XLOOKUP(DF95,'KPI Impacts'!$B$2:$H$2,'KPI Impacts'!$B95:$H95)</f>
        <v>0</v>
      </c>
      <c r="DJ95" s="12">
        <f>DJ$5*DU95</f>
        <v>0</v>
      </c>
      <c r="DK95" s="12">
        <f>DK$5*DU95</f>
        <v>0</v>
      </c>
      <c r="DL95" s="12">
        <f>DL$5*DU95</f>
        <v>0</v>
      </c>
      <c r="DM95" s="12">
        <f>DM$5*DU95</f>
        <v>0</v>
      </c>
      <c r="DN95" s="12">
        <f>DN$5*DU95</f>
        <v>0</v>
      </c>
      <c r="DO95" s="12">
        <f>DO$5*DU95</f>
        <v>0</v>
      </c>
      <c r="DP95" s="12">
        <f>DP$5*DU95</f>
        <v>0</v>
      </c>
      <c r="DQ95" s="12">
        <f>DQ$5*DU95</f>
        <v>0</v>
      </c>
      <c r="DR95" s="12">
        <f>DR$5*DU95</f>
        <v>0</v>
      </c>
      <c r="DT95" s="16" t="s">
        <v>1304</v>
      </c>
      <c r="DU95">
        <f>_xlfn.XLOOKUP(DT95,'KPI Impacts'!$B$2:$H$2,'KPI Impacts'!$B95:$H95)</f>
        <v>0</v>
      </c>
      <c r="DX95" s="12"/>
      <c r="DY95" s="12"/>
      <c r="DZ95" s="12"/>
      <c r="EA95" s="12"/>
      <c r="EB95" s="12"/>
      <c r="EC95" s="12"/>
      <c r="ED95" s="12"/>
      <c r="EE95" s="12"/>
      <c r="EF95" s="12"/>
    </row>
    <row r="96" spans="1:136" x14ac:dyDescent="0.2">
      <c r="A96" t="s">
        <v>1318</v>
      </c>
      <c r="B96" s="12">
        <f>P96+AD96+AR96+BF96+BT96+CH96+CV96+DJ96</f>
        <v>0</v>
      </c>
      <c r="C96" s="12">
        <f t="shared" si="294"/>
        <v>0</v>
      </c>
      <c r="D96" s="12">
        <f t="shared" si="295"/>
        <v>0</v>
      </c>
      <c r="E96" s="12">
        <f t="shared" si="296"/>
        <v>0</v>
      </c>
      <c r="F96" s="12">
        <f t="shared" si="297"/>
        <v>0</v>
      </c>
      <c r="G96" s="12">
        <f t="shared" si="298"/>
        <v>0</v>
      </c>
      <c r="H96" s="12">
        <f t="shared" si="299"/>
        <v>0</v>
      </c>
      <c r="I96" s="12">
        <f t="shared" si="300"/>
        <v>0</v>
      </c>
      <c r="J96" s="12">
        <f t="shared" si="301"/>
        <v>0</v>
      </c>
      <c r="P96" s="12">
        <f>P$5*AA96</f>
        <v>0</v>
      </c>
      <c r="Q96" s="12">
        <f>Q$5*AA96</f>
        <v>0</v>
      </c>
      <c r="R96" s="12">
        <f>R$5*AA96</f>
        <v>0</v>
      </c>
      <c r="S96" s="12">
        <f>S$5*AA96</f>
        <v>0</v>
      </c>
      <c r="T96" s="12">
        <f>T$5*AA96</f>
        <v>0</v>
      </c>
      <c r="U96" s="12">
        <f>U$5*AA96</f>
        <v>0</v>
      </c>
      <c r="V96" s="12">
        <f>V$5*AA96</f>
        <v>0</v>
      </c>
      <c r="W96" s="12">
        <f>W$5*AA96</f>
        <v>0</v>
      </c>
      <c r="X96" s="12">
        <f>X$5*AA96</f>
        <v>0</v>
      </c>
      <c r="Z96" s="16" t="s">
        <v>1304</v>
      </c>
      <c r="AA96">
        <f>_xlfn.XLOOKUP(Z96,'KPI Impacts'!$B$2:$H$2,'KPI Impacts'!$B96:$H96)</f>
        <v>0</v>
      </c>
      <c r="AD96" s="12">
        <f>AD$5*AO96</f>
        <v>0</v>
      </c>
      <c r="AE96" s="12">
        <f>AE$5*AO96</f>
        <v>0</v>
      </c>
      <c r="AF96" s="12">
        <f>AF$5*AO96</f>
        <v>0</v>
      </c>
      <c r="AG96" s="12">
        <f>AG$5*AO96</f>
        <v>0</v>
      </c>
      <c r="AH96" s="12">
        <f>AH$5*AO96</f>
        <v>0</v>
      </c>
      <c r="AI96" s="12">
        <f>AI$5*AO96</f>
        <v>0</v>
      </c>
      <c r="AJ96" s="12">
        <f>AJ$5*AO96</f>
        <v>0</v>
      </c>
      <c r="AK96" s="12">
        <f>AK$5*AO96</f>
        <v>0</v>
      </c>
      <c r="AL96" s="12">
        <f>AL$5*AO96</f>
        <v>0</v>
      </c>
      <c r="AN96" s="16" t="s">
        <v>1304</v>
      </c>
      <c r="AO96">
        <f>_xlfn.XLOOKUP(AN96,'KPI Impacts'!$B$2:$H$2,'KPI Impacts'!$B96:$H96)</f>
        <v>0</v>
      </c>
      <c r="AR96" s="12">
        <f>AR$5*BC96</f>
        <v>0</v>
      </c>
      <c r="AS96" s="12">
        <f>AS$5*BC96</f>
        <v>0</v>
      </c>
      <c r="AT96" s="12">
        <f>AT$5*BC96</f>
        <v>0</v>
      </c>
      <c r="AU96" s="12">
        <f>AU$5*BC96</f>
        <v>0</v>
      </c>
      <c r="AV96" s="12">
        <f>AV$5*BC96</f>
        <v>0</v>
      </c>
      <c r="AW96" s="12">
        <f>AW$5*BC96</f>
        <v>0</v>
      </c>
      <c r="AX96" s="12">
        <f>AX$5*BC96</f>
        <v>0</v>
      </c>
      <c r="AY96" s="12">
        <f>AY$5*BC96</f>
        <v>0</v>
      </c>
      <c r="AZ96" s="12">
        <f>AZ$5*BC96</f>
        <v>0</v>
      </c>
      <c r="BB96" s="16" t="s">
        <v>1304</v>
      </c>
      <c r="BC96">
        <f>_xlfn.XLOOKUP(BB96,'KPI Impacts'!$B$2:$H$2,'KPI Impacts'!$B96:$H96)</f>
        <v>0</v>
      </c>
      <c r="BF96" s="12">
        <f>BF$5*BQ96</f>
        <v>0</v>
      </c>
      <c r="BG96" s="12">
        <f>BG$5*BQ96</f>
        <v>0</v>
      </c>
      <c r="BH96" s="12">
        <f>BH$5*BQ96</f>
        <v>0</v>
      </c>
      <c r="BI96" s="12">
        <f>BI$5*BQ96</f>
        <v>0</v>
      </c>
      <c r="BJ96" s="12">
        <f>BJ$5*BQ96</f>
        <v>0</v>
      </c>
      <c r="BK96" s="12">
        <f>BK$5*BQ96</f>
        <v>0</v>
      </c>
      <c r="BL96" s="12">
        <f>BL$5*BQ96</f>
        <v>0</v>
      </c>
      <c r="BM96" s="12">
        <f>BM$5*BQ96</f>
        <v>0</v>
      </c>
      <c r="BN96" s="12">
        <f>BN$5*BQ96</f>
        <v>0</v>
      </c>
      <c r="BP96" s="16" t="s">
        <v>1304</v>
      </c>
      <c r="BQ96">
        <f>_xlfn.XLOOKUP(BP96,'KPI Impacts'!$B$2:$H$2,'KPI Impacts'!$B96:$H96)</f>
        <v>0</v>
      </c>
      <c r="BT96" s="12">
        <f>BT$5*CE96</f>
        <v>0</v>
      </c>
      <c r="BU96" s="12">
        <f>BU$5*CE96</f>
        <v>0</v>
      </c>
      <c r="BV96" s="12">
        <f>BV$5*CE96</f>
        <v>0</v>
      </c>
      <c r="BW96" s="12">
        <f>BW$5*CE96</f>
        <v>0</v>
      </c>
      <c r="BX96" s="12">
        <f>BX$5*CE96</f>
        <v>0</v>
      </c>
      <c r="BY96" s="12">
        <f>BY$5*CE96</f>
        <v>0</v>
      </c>
      <c r="BZ96" s="12">
        <f>BZ$5*CE96</f>
        <v>0</v>
      </c>
      <c r="CA96" s="12">
        <f>CA$5*CE96</f>
        <v>0</v>
      </c>
      <c r="CB96" s="12">
        <f>CB$5*CE96</f>
        <v>0</v>
      </c>
      <c r="CD96" s="16" t="s">
        <v>1304</v>
      </c>
      <c r="CE96">
        <f>_xlfn.XLOOKUP(CD96,'KPI Impacts'!$B$2:$H$2,'KPI Impacts'!$B96:$H96)</f>
        <v>0</v>
      </c>
      <c r="CH96" s="12">
        <f>CH$5*CS96</f>
        <v>0</v>
      </c>
      <c r="CI96" s="12">
        <f>CI$5*CS96</f>
        <v>0</v>
      </c>
      <c r="CJ96" s="12">
        <f>CJ$5*CS96</f>
        <v>0</v>
      </c>
      <c r="CK96" s="12">
        <f>CK$5*CS96</f>
        <v>0</v>
      </c>
      <c r="CL96" s="12">
        <f>CL$5*CS96</f>
        <v>0</v>
      </c>
      <c r="CM96" s="12">
        <f>CM$5*CS96</f>
        <v>0</v>
      </c>
      <c r="CN96" s="12">
        <f>CN$5*CS96</f>
        <v>0</v>
      </c>
      <c r="CO96" s="12">
        <f>CO$5*CS96</f>
        <v>0</v>
      </c>
      <c r="CP96" s="12">
        <f>CP$5*CS96</f>
        <v>0</v>
      </c>
      <c r="CR96" s="16" t="s">
        <v>1304</v>
      </c>
      <c r="CS96">
        <f>_xlfn.XLOOKUP(CR96,'KPI Impacts'!$B$2:$H$2,'KPI Impacts'!$B96:$H96)</f>
        <v>0</v>
      </c>
      <c r="CV96" s="12">
        <f>CV$5*DG96</f>
        <v>0</v>
      </c>
      <c r="CW96" s="12">
        <f>CW$5*DG96</f>
        <v>0</v>
      </c>
      <c r="CX96" s="12">
        <f>CX$5*DG96</f>
        <v>0</v>
      </c>
      <c r="CY96" s="12">
        <f>CY$5*DG96</f>
        <v>0</v>
      </c>
      <c r="CZ96" s="12">
        <f>CZ$5*DG96</f>
        <v>0</v>
      </c>
      <c r="DA96" s="12">
        <f>DA$5*DG96</f>
        <v>0</v>
      </c>
      <c r="DB96" s="12">
        <f>DB$5*DG96</f>
        <v>0</v>
      </c>
      <c r="DC96" s="12">
        <f>DC$5*DG96</f>
        <v>0</v>
      </c>
      <c r="DD96" s="12">
        <f>DD$5*DG96</f>
        <v>0</v>
      </c>
      <c r="DF96" s="16" t="s">
        <v>1304</v>
      </c>
      <c r="DG96">
        <f>_xlfn.XLOOKUP(DF96,'KPI Impacts'!$B$2:$H$2,'KPI Impacts'!$B96:$H96)</f>
        <v>0</v>
      </c>
      <c r="DJ96" s="12">
        <f>DJ$5*DU96</f>
        <v>0</v>
      </c>
      <c r="DK96" s="12">
        <f>DK$5*DU96</f>
        <v>0</v>
      </c>
      <c r="DL96" s="12">
        <f>DL$5*DU96</f>
        <v>0</v>
      </c>
      <c r="DM96" s="12">
        <f>DM$5*DU96</f>
        <v>0</v>
      </c>
      <c r="DN96" s="12">
        <f>DN$5*DU96</f>
        <v>0</v>
      </c>
      <c r="DO96" s="12">
        <f>DO$5*DU96</f>
        <v>0</v>
      </c>
      <c r="DP96" s="12">
        <f>DP$5*DU96</f>
        <v>0</v>
      </c>
      <c r="DQ96" s="12">
        <f>DQ$5*DU96</f>
        <v>0</v>
      </c>
      <c r="DR96" s="12">
        <f>DR$5*DU96</f>
        <v>0</v>
      </c>
      <c r="DT96" s="16" t="s">
        <v>1304</v>
      </c>
      <c r="DU96">
        <f>_xlfn.XLOOKUP(DT96,'KPI Impacts'!$B$2:$H$2,'KPI Impacts'!$B96:$H96)</f>
        <v>0</v>
      </c>
      <c r="DX96" s="12"/>
      <c r="DY96" s="12"/>
      <c r="DZ96" s="12"/>
      <c r="EA96" s="12"/>
      <c r="EB96" s="12"/>
      <c r="EC96" s="12"/>
      <c r="ED96" s="12"/>
      <c r="EE96" s="12"/>
      <c r="EF96" s="12"/>
    </row>
    <row r="97" spans="1:136" x14ac:dyDescent="0.2">
      <c r="A97" t="s">
        <v>1295</v>
      </c>
      <c r="B97" s="19" t="s">
        <v>1319</v>
      </c>
      <c r="C97" s="19" t="s">
        <v>1319</v>
      </c>
      <c r="D97" s="19" t="s">
        <v>1319</v>
      </c>
      <c r="E97" s="19" t="s">
        <v>1319</v>
      </c>
      <c r="F97" s="19" t="s">
        <v>1319</v>
      </c>
      <c r="G97" s="19" t="s">
        <v>1319</v>
      </c>
      <c r="H97" s="19" t="s">
        <v>1319</v>
      </c>
      <c r="I97" s="19" t="s">
        <v>1319</v>
      </c>
      <c r="J97" s="19" t="s">
        <v>1319</v>
      </c>
      <c r="Z97" s="16"/>
      <c r="AN97" s="16"/>
      <c r="BB97" s="16"/>
      <c r="BP97" s="16"/>
      <c r="CD97" s="16"/>
      <c r="CR97" s="16"/>
      <c r="DF97" s="16"/>
      <c r="DT97" s="16"/>
      <c r="EA97" s="12"/>
      <c r="EB97" s="12"/>
    </row>
    <row r="98" spans="1:136" hidden="1" x14ac:dyDescent="0.2">
      <c r="Z98" s="16"/>
      <c r="AN98" s="16"/>
      <c r="BB98" s="16"/>
      <c r="BP98" s="16"/>
      <c r="CD98" s="16"/>
      <c r="CR98" s="16"/>
      <c r="DF98" s="16"/>
      <c r="DT98" s="16"/>
      <c r="EA98" s="12"/>
      <c r="EB98" s="12"/>
    </row>
    <row r="99" spans="1:136" hidden="1" x14ac:dyDescent="0.2">
      <c r="Z99" s="16"/>
      <c r="AN99" s="16"/>
      <c r="BB99" s="16"/>
      <c r="BP99" s="16"/>
      <c r="CD99" s="16"/>
      <c r="CR99" s="16"/>
      <c r="DF99" s="16"/>
      <c r="DT99" s="16"/>
      <c r="EA99" s="12"/>
      <c r="EB99" s="12"/>
    </row>
    <row r="100" spans="1:136" x14ac:dyDescent="0.2">
      <c r="Z100" s="16"/>
      <c r="AN100" s="16"/>
      <c r="BB100" s="16"/>
      <c r="BP100" s="16"/>
      <c r="CD100" s="16"/>
      <c r="CR100" s="16"/>
      <c r="DF100" s="16"/>
      <c r="DT100" s="16"/>
      <c r="EA100" s="12"/>
      <c r="EB100" s="12"/>
    </row>
    <row r="101" spans="1:136" x14ac:dyDescent="0.2">
      <c r="A101" s="5" t="s">
        <v>53</v>
      </c>
      <c r="Z101" s="16"/>
      <c r="AN101" s="16"/>
      <c r="BB101" s="16"/>
      <c r="BP101" s="16"/>
      <c r="CD101" s="16"/>
      <c r="CR101" s="16"/>
      <c r="DF101" s="16"/>
      <c r="DT101" s="16"/>
      <c r="EA101" s="12"/>
      <c r="EB101" s="12"/>
    </row>
    <row r="102" spans="1:136" x14ac:dyDescent="0.2">
      <c r="A102" t="s">
        <v>57</v>
      </c>
      <c r="B102" s="12">
        <f>P102+AD102+AR102+BF102+BT102+CH102+CV102+DJ102</f>
        <v>0</v>
      </c>
      <c r="C102" s="12">
        <f t="shared" ref="C102:C104" si="302">Q102+AE102+AS102+BG102+BU102+CI102+CW102+DK102</f>
        <v>-0.8</v>
      </c>
      <c r="D102" s="12">
        <f t="shared" ref="D102:D104" si="303">R102+AF102+AT102+BH102+BV102+CJ102+CX102+DL102</f>
        <v>-0.8</v>
      </c>
      <c r="E102" s="12">
        <f t="shared" ref="E102:E104" si="304">S102+AG102+AU102+BI102+BW102+CK102+CY102+DM102</f>
        <v>-0.8</v>
      </c>
      <c r="F102" s="12">
        <f t="shared" ref="F102:F104" si="305">T102+AH102+AV102+BJ102+BX102+CL102+CZ102+DN102</f>
        <v>-0.8</v>
      </c>
      <c r="G102" s="12">
        <f t="shared" ref="G102:G104" si="306">U102+AI102+AW102+BK102+BY102+CM102+DA102+DO102</f>
        <v>-0.8</v>
      </c>
      <c r="H102" s="12">
        <f t="shared" ref="H102:H104" si="307">V102+AJ102+AX102+BL102+BZ102+CN102+DB102+DP102</f>
        <v>-0.8</v>
      </c>
      <c r="I102" s="12">
        <f t="shared" ref="I102:I104" si="308">W102+AK102+AY102+BM102+CA102+CO102+DC102+DQ102</f>
        <v>-0.8</v>
      </c>
      <c r="J102" s="12">
        <f t="shared" ref="J102:J104" si="309">X102+AL102+AZ102+BN102+CB102+CP102+DD102+DR102</f>
        <v>-0.8</v>
      </c>
      <c r="P102" s="12">
        <f>P$5*AA102</f>
        <v>0</v>
      </c>
      <c r="Q102" s="12">
        <f>Q$5*AA102</f>
        <v>-0.8</v>
      </c>
      <c r="R102" s="12">
        <f>R$5*AA102</f>
        <v>-0.8</v>
      </c>
      <c r="S102" s="12">
        <f>S$5*AA102</f>
        <v>-0.8</v>
      </c>
      <c r="T102" s="12">
        <f>T$5*AA102</f>
        <v>-0.8</v>
      </c>
      <c r="U102" s="12">
        <f>U$5*AA102</f>
        <v>-0.8</v>
      </c>
      <c r="V102" s="12">
        <f>V$5*AA102</f>
        <v>-0.8</v>
      </c>
      <c r="W102" s="12">
        <f>W$5*AA102</f>
        <v>-0.8</v>
      </c>
      <c r="X102" s="12">
        <f>X$5*AA102</f>
        <v>-0.8</v>
      </c>
      <c r="Z102" s="29" t="s">
        <v>1305</v>
      </c>
      <c r="AA102">
        <f>_xlfn.XLOOKUP(Z102,'KPI Impacts'!$B$2:$H$2,'KPI Impacts'!$B102:$H102)</f>
        <v>-0.8</v>
      </c>
      <c r="AD102" s="12">
        <f>AD$5*AO102</f>
        <v>0</v>
      </c>
      <c r="AE102" s="12">
        <f>AE$5*AO102</f>
        <v>0</v>
      </c>
      <c r="AF102" s="12">
        <f>AF$5*AO102</f>
        <v>0</v>
      </c>
      <c r="AG102" s="12">
        <f>AG$5*AO102</f>
        <v>0</v>
      </c>
      <c r="AH102" s="12">
        <f>AH$5*AO102</f>
        <v>0</v>
      </c>
      <c r="AI102" s="12">
        <f>AI$5*AO102</f>
        <v>0</v>
      </c>
      <c r="AJ102" s="12">
        <f>AJ$5*AO102</f>
        <v>0</v>
      </c>
      <c r="AK102" s="12">
        <f>AK$5*AO102</f>
        <v>0</v>
      </c>
      <c r="AL102" s="12">
        <f>AL$5*AO102</f>
        <v>0</v>
      </c>
      <c r="AN102" s="16" t="s">
        <v>1304</v>
      </c>
      <c r="AO102">
        <f>_xlfn.XLOOKUP(AN102,'KPI Impacts'!$B$2:$H$2,'KPI Impacts'!$B102:$H102)</f>
        <v>0</v>
      </c>
      <c r="AR102" s="12">
        <f>AR$5*BC102</f>
        <v>0</v>
      </c>
      <c r="AS102" s="12">
        <f>AS$5*BC102</f>
        <v>0</v>
      </c>
      <c r="AT102" s="12">
        <f>AT$5*BC102</f>
        <v>0</v>
      </c>
      <c r="AU102" s="12">
        <f>AU$5*BC102</f>
        <v>0</v>
      </c>
      <c r="AV102" s="12">
        <f>AV$5*BC102</f>
        <v>0</v>
      </c>
      <c r="AW102" s="12">
        <f>AW$5*BC102</f>
        <v>0</v>
      </c>
      <c r="AX102" s="12">
        <f>AX$5*BC102</f>
        <v>0</v>
      </c>
      <c r="AY102" s="12">
        <f>AY$5*BC102</f>
        <v>0</v>
      </c>
      <c r="AZ102" s="12">
        <f>AZ$5*BC102</f>
        <v>0</v>
      </c>
      <c r="BB102" s="16" t="s">
        <v>1304</v>
      </c>
      <c r="BC102">
        <f>_xlfn.XLOOKUP(BB102,'KPI Impacts'!$B$2:$H$2,'KPI Impacts'!$B102:$H102)</f>
        <v>0</v>
      </c>
      <c r="BF102" s="12">
        <f>BF$5*BQ102</f>
        <v>0</v>
      </c>
      <c r="BG102" s="12">
        <f>BG$5*BQ102</f>
        <v>0</v>
      </c>
      <c r="BH102" s="12">
        <f>BH$5*BQ102</f>
        <v>0</v>
      </c>
      <c r="BI102" s="12">
        <f>BI$5*BQ102</f>
        <v>0</v>
      </c>
      <c r="BJ102" s="12">
        <f>BJ$5*BQ102</f>
        <v>0</v>
      </c>
      <c r="BK102" s="12">
        <f>BK$5*BQ102</f>
        <v>0</v>
      </c>
      <c r="BL102" s="12">
        <f>BL$5*BQ102</f>
        <v>0</v>
      </c>
      <c r="BM102" s="12">
        <f>BM$5*BQ102</f>
        <v>0</v>
      </c>
      <c r="BN102" s="12">
        <f>BN$5*BQ102</f>
        <v>0</v>
      </c>
      <c r="BP102" s="16" t="s">
        <v>1304</v>
      </c>
      <c r="BQ102">
        <f>_xlfn.XLOOKUP(BP102,'KPI Impacts'!$B$2:$H$2,'KPI Impacts'!$B102:$H102)</f>
        <v>0</v>
      </c>
      <c r="BT102" s="12">
        <f>BT$5*CE102</f>
        <v>0</v>
      </c>
      <c r="BU102" s="12">
        <f>BU$5*CE102</f>
        <v>0</v>
      </c>
      <c r="BV102" s="12">
        <f>BV$5*CE102</f>
        <v>0</v>
      </c>
      <c r="BW102" s="12">
        <f>BW$5*CE102</f>
        <v>0</v>
      </c>
      <c r="BX102" s="12">
        <f>BX$5*CE102</f>
        <v>0</v>
      </c>
      <c r="BY102" s="12">
        <f>BY$5*CE102</f>
        <v>0</v>
      </c>
      <c r="BZ102" s="12">
        <f>BZ$5*CE102</f>
        <v>0</v>
      </c>
      <c r="CA102" s="12">
        <f>CA$5*CE102</f>
        <v>0</v>
      </c>
      <c r="CB102" s="12">
        <f>CB$5*CE102</f>
        <v>0</v>
      </c>
      <c r="CD102" s="16" t="s">
        <v>1304</v>
      </c>
      <c r="CE102">
        <f>_xlfn.XLOOKUP(CD102,'KPI Impacts'!$B$2:$H$2,'KPI Impacts'!$B102:$H102)</f>
        <v>0</v>
      </c>
      <c r="CH102" s="12">
        <f>CH$5*CS102</f>
        <v>0</v>
      </c>
      <c r="CI102" s="12">
        <f>CI$5*CS102</f>
        <v>0</v>
      </c>
      <c r="CJ102" s="12">
        <f>CJ$5*CS102</f>
        <v>0</v>
      </c>
      <c r="CK102" s="12">
        <f>CK$5*CS102</f>
        <v>0</v>
      </c>
      <c r="CL102" s="12">
        <f>CL$5*CS102</f>
        <v>0</v>
      </c>
      <c r="CM102" s="12">
        <f>CM$5*CS102</f>
        <v>0</v>
      </c>
      <c r="CN102" s="12">
        <f>CN$5*CS102</f>
        <v>0</v>
      </c>
      <c r="CO102" s="12">
        <f>CO$5*CS102</f>
        <v>0</v>
      </c>
      <c r="CP102" s="12">
        <f>CP$5*CS102</f>
        <v>0</v>
      </c>
      <c r="CR102" s="16" t="s">
        <v>1304</v>
      </c>
      <c r="CS102">
        <f>_xlfn.XLOOKUP(CR102,'KPI Impacts'!$B$2:$H$2,'KPI Impacts'!$B102:$H102)</f>
        <v>0</v>
      </c>
      <c r="CV102" s="12">
        <f>CV$5*DG102</f>
        <v>0</v>
      </c>
      <c r="CW102" s="12">
        <f>CW$5*DG102</f>
        <v>0</v>
      </c>
      <c r="CX102" s="12">
        <f>CX$5*DG102</f>
        <v>0</v>
      </c>
      <c r="CY102" s="12">
        <f>CY$5*DG102</f>
        <v>0</v>
      </c>
      <c r="CZ102" s="12">
        <f>CZ$5*DG102</f>
        <v>0</v>
      </c>
      <c r="DA102" s="12">
        <f>DA$5*DG102</f>
        <v>0</v>
      </c>
      <c r="DB102" s="12">
        <f>DB$5*DG102</f>
        <v>0</v>
      </c>
      <c r="DC102" s="12">
        <f>DC$5*DG102</f>
        <v>0</v>
      </c>
      <c r="DD102" s="12">
        <f>DD$5*DG102</f>
        <v>0</v>
      </c>
      <c r="DF102" s="16" t="s">
        <v>1304</v>
      </c>
      <c r="DG102">
        <f>_xlfn.XLOOKUP(DF102,'KPI Impacts'!$B$2:$H$2,'KPI Impacts'!$B102:$H102)</f>
        <v>0</v>
      </c>
      <c r="DJ102" s="12">
        <f>DJ$5*DU102</f>
        <v>0</v>
      </c>
      <c r="DK102" s="12">
        <f>DK$5*DU102</f>
        <v>0</v>
      </c>
      <c r="DL102" s="12">
        <f>DL$5*DU102</f>
        <v>0</v>
      </c>
      <c r="DM102" s="12">
        <f>DM$5*DU102</f>
        <v>0</v>
      </c>
      <c r="DN102" s="12">
        <f>DN$5*DU102</f>
        <v>0</v>
      </c>
      <c r="DO102" s="12">
        <f>DO$5*DU102</f>
        <v>0</v>
      </c>
      <c r="DP102" s="12">
        <f>DP$5*DU102</f>
        <v>0</v>
      </c>
      <c r="DQ102" s="12">
        <f>DQ$5*DU102</f>
        <v>0</v>
      </c>
      <c r="DR102" s="12">
        <f>DR$5*DU102</f>
        <v>0</v>
      </c>
      <c r="DT102" s="16" t="s">
        <v>1304</v>
      </c>
      <c r="DU102">
        <f>_xlfn.XLOOKUP(DT102,'KPI Impacts'!$B$2:$H$2,'KPI Impacts'!$B102:$H102)</f>
        <v>0</v>
      </c>
      <c r="DX102" s="12"/>
      <c r="DY102" s="12"/>
      <c r="DZ102" s="12"/>
      <c r="EA102" s="12"/>
      <c r="EB102" s="12"/>
      <c r="EC102" s="12"/>
      <c r="ED102" s="12"/>
      <c r="EE102" s="12"/>
      <c r="EF102" s="12"/>
    </row>
    <row r="103" spans="1:136" x14ac:dyDescent="0.2">
      <c r="A103" t="s">
        <v>58</v>
      </c>
      <c r="B103" s="12">
        <f>P103+AD103+AR103+BF103+BT103+CH103+CV103+DJ103</f>
        <v>0</v>
      </c>
      <c r="C103" s="12">
        <f t="shared" si="302"/>
        <v>-0.8</v>
      </c>
      <c r="D103" s="12">
        <f t="shared" si="303"/>
        <v>-0.8</v>
      </c>
      <c r="E103" s="12">
        <f t="shared" si="304"/>
        <v>-0.8</v>
      </c>
      <c r="F103" s="12">
        <f t="shared" si="305"/>
        <v>-0.8</v>
      </c>
      <c r="G103" s="12">
        <f t="shared" si="306"/>
        <v>-0.8</v>
      </c>
      <c r="H103" s="12">
        <f t="shared" si="307"/>
        <v>-0.8</v>
      </c>
      <c r="I103" s="12">
        <f t="shared" si="308"/>
        <v>-0.8</v>
      </c>
      <c r="J103" s="12">
        <f t="shared" si="309"/>
        <v>-0.8</v>
      </c>
      <c r="P103" s="12">
        <f>P$5*AA103</f>
        <v>0</v>
      </c>
      <c r="Q103" s="12">
        <f>Q$5*AA103</f>
        <v>-0.8</v>
      </c>
      <c r="R103" s="12">
        <f>R$5*AA103</f>
        <v>-0.8</v>
      </c>
      <c r="S103" s="12">
        <f>S$5*AA103</f>
        <v>-0.8</v>
      </c>
      <c r="T103" s="12">
        <f>T$5*AA103</f>
        <v>-0.8</v>
      </c>
      <c r="U103" s="12">
        <f>U$5*AA103</f>
        <v>-0.8</v>
      </c>
      <c r="V103" s="12">
        <f>V$5*AA103</f>
        <v>-0.8</v>
      </c>
      <c r="W103" s="12">
        <f>W$5*AA103</f>
        <v>-0.8</v>
      </c>
      <c r="X103" s="12">
        <f>X$5*AA103</f>
        <v>-0.8</v>
      </c>
      <c r="Z103" s="29" t="s">
        <v>1307</v>
      </c>
      <c r="AA103">
        <f>_xlfn.XLOOKUP(Z103,'KPI Impacts'!$B$2:$H$2,'KPI Impacts'!$B103:$H103)</f>
        <v>-0.8</v>
      </c>
      <c r="AD103" s="12">
        <f>AD$5*AO103</f>
        <v>0</v>
      </c>
      <c r="AE103" s="12">
        <f>AE$5*AO103</f>
        <v>0</v>
      </c>
      <c r="AF103" s="12">
        <f>AF$5*AO103</f>
        <v>0</v>
      </c>
      <c r="AG103" s="12">
        <f>AG$5*AO103</f>
        <v>0</v>
      </c>
      <c r="AH103" s="12">
        <f>AH$5*AO103</f>
        <v>0</v>
      </c>
      <c r="AI103" s="12">
        <f>AI$5*AO103</f>
        <v>0</v>
      </c>
      <c r="AJ103" s="12">
        <f>AJ$5*AO103</f>
        <v>0</v>
      </c>
      <c r="AK103" s="12">
        <f>AK$5*AO103</f>
        <v>0</v>
      </c>
      <c r="AL103" s="12">
        <f>AL$5*AO103</f>
        <v>0</v>
      </c>
      <c r="AN103" s="16" t="s">
        <v>1304</v>
      </c>
      <c r="AO103">
        <f>_xlfn.XLOOKUP(AN103,'KPI Impacts'!$B$2:$H$2,'KPI Impacts'!$B103:$H103)</f>
        <v>0</v>
      </c>
      <c r="AR103" s="12">
        <f>AR$5*BC103</f>
        <v>0</v>
      </c>
      <c r="AS103" s="12">
        <f>AS$5*BC103</f>
        <v>0</v>
      </c>
      <c r="AT103" s="12">
        <f>AT$5*BC103</f>
        <v>0</v>
      </c>
      <c r="AU103" s="12">
        <f>AU$5*BC103</f>
        <v>0</v>
      </c>
      <c r="AV103" s="12">
        <f>AV$5*BC103</f>
        <v>0</v>
      </c>
      <c r="AW103" s="12">
        <f>AW$5*BC103</f>
        <v>0</v>
      </c>
      <c r="AX103" s="12">
        <f>AX$5*BC103</f>
        <v>0</v>
      </c>
      <c r="AY103" s="12">
        <f>AY$5*BC103</f>
        <v>0</v>
      </c>
      <c r="AZ103" s="12">
        <f>AZ$5*BC103</f>
        <v>0</v>
      </c>
      <c r="BB103" s="16" t="s">
        <v>1304</v>
      </c>
      <c r="BC103">
        <f>_xlfn.XLOOKUP(BB103,'KPI Impacts'!$B$2:$H$2,'KPI Impacts'!$B103:$H103)</f>
        <v>0</v>
      </c>
      <c r="BF103" s="12">
        <f>BF$5*BQ103</f>
        <v>0</v>
      </c>
      <c r="BG103" s="12">
        <f>BG$5*BQ103</f>
        <v>0</v>
      </c>
      <c r="BH103" s="12">
        <f>BH$5*BQ103</f>
        <v>0</v>
      </c>
      <c r="BI103" s="12">
        <f>BI$5*BQ103</f>
        <v>0</v>
      </c>
      <c r="BJ103" s="12">
        <f>BJ$5*BQ103</f>
        <v>0</v>
      </c>
      <c r="BK103" s="12">
        <f>BK$5*BQ103</f>
        <v>0</v>
      </c>
      <c r="BL103" s="12">
        <f>BL$5*BQ103</f>
        <v>0</v>
      </c>
      <c r="BM103" s="12">
        <f>BM$5*BQ103</f>
        <v>0</v>
      </c>
      <c r="BN103" s="12">
        <f>BN$5*BQ103</f>
        <v>0</v>
      </c>
      <c r="BP103" s="16" t="s">
        <v>1304</v>
      </c>
      <c r="BQ103">
        <f>_xlfn.XLOOKUP(BP103,'KPI Impacts'!$B$2:$H$2,'KPI Impacts'!$B103:$H103)</f>
        <v>0</v>
      </c>
      <c r="BT103" s="12">
        <f>BT$5*CE103</f>
        <v>0</v>
      </c>
      <c r="BU103" s="12">
        <f>BU$5*CE103</f>
        <v>0</v>
      </c>
      <c r="BV103" s="12">
        <f>BV$5*CE103</f>
        <v>0</v>
      </c>
      <c r="BW103" s="12">
        <f>BW$5*CE103</f>
        <v>0</v>
      </c>
      <c r="BX103" s="12">
        <f>BX$5*CE103</f>
        <v>0</v>
      </c>
      <c r="BY103" s="12">
        <f>BY$5*CE103</f>
        <v>0</v>
      </c>
      <c r="BZ103" s="12">
        <f>BZ$5*CE103</f>
        <v>0</v>
      </c>
      <c r="CA103" s="12">
        <f>CA$5*CE103</f>
        <v>0</v>
      </c>
      <c r="CB103" s="12">
        <f>CB$5*CE103</f>
        <v>0</v>
      </c>
      <c r="CD103" s="16" t="s">
        <v>1304</v>
      </c>
      <c r="CE103">
        <f>_xlfn.XLOOKUP(CD103,'KPI Impacts'!$B$2:$H$2,'KPI Impacts'!$B103:$H103)</f>
        <v>0</v>
      </c>
      <c r="CH103" s="12">
        <f>CH$5*CS103</f>
        <v>0</v>
      </c>
      <c r="CI103" s="12">
        <f>CI$5*CS103</f>
        <v>0</v>
      </c>
      <c r="CJ103" s="12">
        <f>CJ$5*CS103</f>
        <v>0</v>
      </c>
      <c r="CK103" s="12">
        <f>CK$5*CS103</f>
        <v>0</v>
      </c>
      <c r="CL103" s="12">
        <f>CL$5*CS103</f>
        <v>0</v>
      </c>
      <c r="CM103" s="12">
        <f>CM$5*CS103</f>
        <v>0</v>
      </c>
      <c r="CN103" s="12">
        <f>CN$5*CS103</f>
        <v>0</v>
      </c>
      <c r="CO103" s="12">
        <f>CO$5*CS103</f>
        <v>0</v>
      </c>
      <c r="CP103" s="12">
        <f>CP$5*CS103</f>
        <v>0</v>
      </c>
      <c r="CR103" s="16" t="s">
        <v>1304</v>
      </c>
      <c r="CS103">
        <f>_xlfn.XLOOKUP(CR103,'KPI Impacts'!$B$2:$H$2,'KPI Impacts'!$B103:$H103)</f>
        <v>0</v>
      </c>
      <c r="CV103" s="12">
        <f>CV$5*DG103</f>
        <v>0</v>
      </c>
      <c r="CW103" s="12">
        <f>CW$5*DG103</f>
        <v>0</v>
      </c>
      <c r="CX103" s="12">
        <f>CX$5*DG103</f>
        <v>0</v>
      </c>
      <c r="CY103" s="12">
        <f>CY$5*DG103</f>
        <v>0</v>
      </c>
      <c r="CZ103" s="12">
        <f>CZ$5*DG103</f>
        <v>0</v>
      </c>
      <c r="DA103" s="12">
        <f>DA$5*DG103</f>
        <v>0</v>
      </c>
      <c r="DB103" s="12">
        <f>DB$5*DG103</f>
        <v>0</v>
      </c>
      <c r="DC103" s="12">
        <f>DC$5*DG103</f>
        <v>0</v>
      </c>
      <c r="DD103" s="12">
        <f>DD$5*DG103</f>
        <v>0</v>
      </c>
      <c r="DF103" s="16" t="s">
        <v>1304</v>
      </c>
      <c r="DG103">
        <f>_xlfn.XLOOKUP(DF103,'KPI Impacts'!$B$2:$H$2,'KPI Impacts'!$B103:$H103)</f>
        <v>0</v>
      </c>
      <c r="DJ103" s="12">
        <f>DJ$5*DU103</f>
        <v>0</v>
      </c>
      <c r="DK103" s="12">
        <f>DK$5*DU103</f>
        <v>0</v>
      </c>
      <c r="DL103" s="12">
        <f>DL$5*DU103</f>
        <v>0</v>
      </c>
      <c r="DM103" s="12">
        <f>DM$5*DU103</f>
        <v>0</v>
      </c>
      <c r="DN103" s="12">
        <f>DN$5*DU103</f>
        <v>0</v>
      </c>
      <c r="DO103" s="12">
        <f>DO$5*DU103</f>
        <v>0</v>
      </c>
      <c r="DP103" s="12">
        <f>DP$5*DU103</f>
        <v>0</v>
      </c>
      <c r="DQ103" s="12">
        <f>DQ$5*DU103</f>
        <v>0</v>
      </c>
      <c r="DR103" s="12">
        <f>DR$5*DU103</f>
        <v>0</v>
      </c>
      <c r="DT103" s="16" t="s">
        <v>1304</v>
      </c>
      <c r="DU103">
        <f>_xlfn.XLOOKUP(DT103,'KPI Impacts'!$B$2:$H$2,'KPI Impacts'!$B103:$H103)</f>
        <v>0</v>
      </c>
      <c r="DX103" s="12"/>
      <c r="DY103" s="12"/>
      <c r="DZ103" s="12"/>
      <c r="EA103" s="12"/>
      <c r="EB103" s="12"/>
      <c r="EC103" s="12"/>
      <c r="ED103" s="12"/>
      <c r="EE103" s="12"/>
      <c r="EF103" s="12"/>
    </row>
    <row r="104" spans="1:136" x14ac:dyDescent="0.2">
      <c r="A104" t="s">
        <v>1296</v>
      </c>
      <c r="B104" s="12">
        <f>P104+AD104+AR104+BF104+BT104+CH104+CV104+DJ104</f>
        <v>0</v>
      </c>
      <c r="C104" s="12">
        <f t="shared" si="302"/>
        <v>0</v>
      </c>
      <c r="D104" s="12">
        <f t="shared" si="303"/>
        <v>0</v>
      </c>
      <c r="E104" s="12">
        <f t="shared" si="304"/>
        <v>0</v>
      </c>
      <c r="F104" s="12">
        <f t="shared" si="305"/>
        <v>0</v>
      </c>
      <c r="G104" s="12">
        <f t="shared" si="306"/>
        <v>-1.6</v>
      </c>
      <c r="H104" s="12">
        <f t="shared" si="307"/>
        <v>-1.6</v>
      </c>
      <c r="I104" s="12">
        <f t="shared" si="308"/>
        <v>-1.6</v>
      </c>
      <c r="J104" s="12">
        <f t="shared" si="309"/>
        <v>-1.6</v>
      </c>
      <c r="P104" s="12">
        <f>P$5*AA104</f>
        <v>0</v>
      </c>
      <c r="Q104" s="12">
        <f>Q$5*AA104</f>
        <v>0</v>
      </c>
      <c r="R104" s="12">
        <f>R$5*AA104</f>
        <v>0</v>
      </c>
      <c r="S104" s="12">
        <f>S$5*AA104</f>
        <v>0</v>
      </c>
      <c r="T104" s="12">
        <f>T$5*AA104</f>
        <v>0</v>
      </c>
      <c r="U104" s="12">
        <f>U$5*AA104</f>
        <v>0</v>
      </c>
      <c r="V104" s="12">
        <f>V$5*AA104</f>
        <v>0</v>
      </c>
      <c r="W104" s="12">
        <f>W$5*AA104</f>
        <v>0</v>
      </c>
      <c r="X104" s="12">
        <f>X$5*AA104</f>
        <v>0</v>
      </c>
      <c r="Z104" s="16" t="s">
        <v>1304</v>
      </c>
      <c r="AA104">
        <f>_xlfn.XLOOKUP(Z104,'KPI Impacts'!$B$2:$H$2,'KPI Impacts'!$B104:$H104)</f>
        <v>0</v>
      </c>
      <c r="AD104" s="12">
        <f>AD$5*AO104</f>
        <v>0</v>
      </c>
      <c r="AE104" s="12">
        <f>AE$5*AO104</f>
        <v>0</v>
      </c>
      <c r="AF104" s="12">
        <f>AF$5*AO104</f>
        <v>0</v>
      </c>
      <c r="AG104" s="12">
        <f>AG$5*AO104</f>
        <v>0</v>
      </c>
      <c r="AH104" s="12">
        <f>AH$5*AO104</f>
        <v>0</v>
      </c>
      <c r="AI104" s="12">
        <f>AI$5*AO104</f>
        <v>0</v>
      </c>
      <c r="AJ104" s="12">
        <f>AJ$5*AO104</f>
        <v>0</v>
      </c>
      <c r="AK104" s="12">
        <f>AK$5*AO104</f>
        <v>0</v>
      </c>
      <c r="AL104" s="12">
        <f>AL$5*AO104</f>
        <v>0</v>
      </c>
      <c r="AN104" s="16" t="s">
        <v>1304</v>
      </c>
      <c r="AO104">
        <f>_xlfn.XLOOKUP(AN104,'KPI Impacts'!$B$2:$H$2,'KPI Impacts'!$B104:$H104)</f>
        <v>0</v>
      </c>
      <c r="AR104" s="12">
        <f>AR$5*BC104</f>
        <v>0</v>
      </c>
      <c r="AS104" s="12">
        <f>AS$5*BC104</f>
        <v>0</v>
      </c>
      <c r="AT104" s="12">
        <f>AT$5*BC104</f>
        <v>0</v>
      </c>
      <c r="AU104" s="12">
        <f>AU$5*BC104</f>
        <v>0</v>
      </c>
      <c r="AV104" s="12">
        <f>AV$5*BC104</f>
        <v>0</v>
      </c>
      <c r="AW104" s="12">
        <f>AW$5*BC104</f>
        <v>0</v>
      </c>
      <c r="AX104" s="12">
        <f>AX$5*BC104</f>
        <v>0</v>
      </c>
      <c r="AY104" s="12">
        <f>AY$5*BC104</f>
        <v>0</v>
      </c>
      <c r="AZ104" s="12">
        <f>AZ$5*BC104</f>
        <v>0</v>
      </c>
      <c r="BB104" s="16" t="s">
        <v>1304</v>
      </c>
      <c r="BC104">
        <f>_xlfn.XLOOKUP(BB104,'KPI Impacts'!$B$2:$H$2,'KPI Impacts'!$B104:$H104)</f>
        <v>0</v>
      </c>
      <c r="BF104" s="12">
        <f>BF$5*BQ104</f>
        <v>0</v>
      </c>
      <c r="BG104" s="12">
        <f>BG$5*BQ104</f>
        <v>0</v>
      </c>
      <c r="BH104" s="12">
        <f>BH$5*BQ104</f>
        <v>0</v>
      </c>
      <c r="BI104" s="12">
        <f>BI$5*BQ104</f>
        <v>0</v>
      </c>
      <c r="BJ104" s="12">
        <f>BJ$5*BQ104</f>
        <v>0</v>
      </c>
      <c r="BK104" s="12">
        <f>BK$5*BQ104</f>
        <v>0</v>
      </c>
      <c r="BL104" s="12">
        <f>BL$5*BQ104</f>
        <v>0</v>
      </c>
      <c r="BM104" s="12">
        <f>BM$5*BQ104</f>
        <v>0</v>
      </c>
      <c r="BN104" s="12">
        <f>BN$5*BQ104</f>
        <v>0</v>
      </c>
      <c r="BP104" s="16" t="s">
        <v>1304</v>
      </c>
      <c r="BQ104">
        <f>_xlfn.XLOOKUP(BP104,'KPI Impacts'!$B$2:$H$2,'KPI Impacts'!$B104:$H104)</f>
        <v>0</v>
      </c>
      <c r="BT104" s="12">
        <f>BT$5*CE104</f>
        <v>0</v>
      </c>
      <c r="BU104" s="12">
        <f>BU$5*CE104</f>
        <v>0</v>
      </c>
      <c r="BV104" s="12">
        <f>BV$5*CE104</f>
        <v>0</v>
      </c>
      <c r="BW104" s="12">
        <f>BW$5*CE104</f>
        <v>0</v>
      </c>
      <c r="BX104" s="12">
        <f>BX$5*CE104</f>
        <v>0</v>
      </c>
      <c r="BY104" s="12">
        <f>BY$5*CE104</f>
        <v>-1.6</v>
      </c>
      <c r="BZ104" s="12">
        <f>BZ$5*CE104</f>
        <v>-1.6</v>
      </c>
      <c r="CA104" s="12">
        <f>CA$5*CE104</f>
        <v>-1.6</v>
      </c>
      <c r="CB104" s="12">
        <f>CB$5*CE104</f>
        <v>-1.6</v>
      </c>
      <c r="CD104" s="29" t="s">
        <v>1305</v>
      </c>
      <c r="CE104">
        <f>_xlfn.XLOOKUP(CD104,'KPI Impacts'!$B$2:$H$2,'KPI Impacts'!$B104:$H104)</f>
        <v>-1.6</v>
      </c>
      <c r="CH104" s="12">
        <f>CH$5*CS104</f>
        <v>0</v>
      </c>
      <c r="CI104" s="12">
        <f>CI$5*CS104</f>
        <v>0</v>
      </c>
      <c r="CJ104" s="12">
        <f>CJ$5*CS104</f>
        <v>0</v>
      </c>
      <c r="CK104" s="12">
        <f>CK$5*CS104</f>
        <v>0</v>
      </c>
      <c r="CL104" s="12">
        <f>CL$5*CS104</f>
        <v>0</v>
      </c>
      <c r="CM104" s="12">
        <f>CM$5*CS104</f>
        <v>0</v>
      </c>
      <c r="CN104" s="12">
        <f>CN$5*CS104</f>
        <v>0</v>
      </c>
      <c r="CO104" s="12">
        <f>CO$5*CS104</f>
        <v>0</v>
      </c>
      <c r="CP104" s="12">
        <f>CP$5*CS104</f>
        <v>0</v>
      </c>
      <c r="CR104" s="16" t="s">
        <v>1304</v>
      </c>
      <c r="CS104">
        <f>_xlfn.XLOOKUP(CR104,'KPI Impacts'!$B$2:$H$2,'KPI Impacts'!$B104:$H104)</f>
        <v>0</v>
      </c>
      <c r="CV104" s="12">
        <f>CV$5*DG104</f>
        <v>0</v>
      </c>
      <c r="CW104" s="12">
        <f>CW$5*DG104</f>
        <v>0</v>
      </c>
      <c r="CX104" s="12">
        <f>CX$5*DG104</f>
        <v>0</v>
      </c>
      <c r="CY104" s="12">
        <f>CY$5*DG104</f>
        <v>0</v>
      </c>
      <c r="CZ104" s="12">
        <f>CZ$5*DG104</f>
        <v>0</v>
      </c>
      <c r="DA104" s="12">
        <f>DA$5*DG104</f>
        <v>0</v>
      </c>
      <c r="DB104" s="12">
        <f>DB$5*DG104</f>
        <v>0</v>
      </c>
      <c r="DC104" s="12">
        <f>DC$5*DG104</f>
        <v>0</v>
      </c>
      <c r="DD104" s="12">
        <f>DD$5*DG104</f>
        <v>0</v>
      </c>
      <c r="DF104" s="16" t="s">
        <v>1304</v>
      </c>
      <c r="DG104">
        <f>_xlfn.XLOOKUP(DF104,'KPI Impacts'!$B$2:$H$2,'KPI Impacts'!$B104:$H104)</f>
        <v>0</v>
      </c>
      <c r="DJ104" s="12">
        <f>DJ$5*DU104</f>
        <v>0</v>
      </c>
      <c r="DK104" s="12">
        <f>DK$5*DU104</f>
        <v>0</v>
      </c>
      <c r="DL104" s="12">
        <f>DL$5*DU104</f>
        <v>0</v>
      </c>
      <c r="DM104" s="12">
        <f>DM$5*DU104</f>
        <v>0</v>
      </c>
      <c r="DN104" s="12">
        <f>DN$5*DU104</f>
        <v>0</v>
      </c>
      <c r="DO104" s="12">
        <f>DO$5*DU104</f>
        <v>0</v>
      </c>
      <c r="DP104" s="12">
        <f>DP$5*DU104</f>
        <v>0</v>
      </c>
      <c r="DQ104" s="12">
        <f>DQ$5*DU104</f>
        <v>0</v>
      </c>
      <c r="DR104" s="12">
        <f>DR$5*DU104</f>
        <v>0</v>
      </c>
      <c r="DT104" s="16" t="s">
        <v>1304</v>
      </c>
      <c r="DU104">
        <f>_xlfn.XLOOKUP(DT104,'KPI Impacts'!$B$2:$H$2,'KPI Impacts'!$B104:$H104)</f>
        <v>0</v>
      </c>
      <c r="DX104" s="12"/>
      <c r="DY104" s="12"/>
      <c r="DZ104" s="12"/>
      <c r="EA104" s="12"/>
      <c r="EB104" s="12"/>
      <c r="EC104" s="12"/>
      <c r="ED104" s="12"/>
      <c r="EE104" s="12"/>
      <c r="EF104" s="12"/>
    </row>
    <row r="105" spans="1:136" x14ac:dyDescent="0.2">
      <c r="EA105" s="12"/>
      <c r="EB105" s="12"/>
    </row>
    <row r="106" spans="1:136" x14ac:dyDescent="0.2">
      <c r="EA106" s="12"/>
      <c r="EB106" s="12"/>
    </row>
    <row r="107" spans="1:136" x14ac:dyDescent="0.2">
      <c r="EA107" s="12"/>
      <c r="EB107" s="12"/>
    </row>
    <row r="108" spans="1:136" x14ac:dyDescent="0.2">
      <c r="A108" s="5"/>
      <c r="EA108" s="12"/>
      <c r="EB108" s="12"/>
    </row>
    <row r="109" spans="1:136" x14ac:dyDescent="0.2">
      <c r="EA109" s="12"/>
      <c r="EB109" s="12"/>
    </row>
    <row r="110" spans="1:136" x14ac:dyDescent="0.2">
      <c r="EA110" s="12"/>
      <c r="EB110" s="12"/>
    </row>
    <row r="111" spans="1:136" x14ac:dyDescent="0.2">
      <c r="EA111" s="12"/>
      <c r="EB111" s="12"/>
    </row>
    <row r="112" spans="1:136" x14ac:dyDescent="0.2">
      <c r="EA112" s="12"/>
      <c r="EB112" s="12"/>
    </row>
    <row r="113" spans="131:132" x14ac:dyDescent="0.2">
      <c r="EA113" s="12"/>
      <c r="EB113" s="12"/>
    </row>
    <row r="114" spans="131:132" x14ac:dyDescent="0.2">
      <c r="EA114" s="12"/>
      <c r="EB114" s="12"/>
    </row>
    <row r="115" spans="131:132" x14ac:dyDescent="0.2">
      <c r="EA115" s="12"/>
      <c r="EB115" s="12"/>
    </row>
    <row r="116" spans="131:132" x14ac:dyDescent="0.2">
      <c r="EA116" s="12"/>
      <c r="EB116" s="12"/>
    </row>
    <row r="117" spans="131:132" x14ac:dyDescent="0.2">
      <c r="EA117" s="12"/>
      <c r="EB117" s="12"/>
    </row>
    <row r="118" spans="131:132" x14ac:dyDescent="0.2">
      <c r="EA118" s="12"/>
      <c r="EB118" s="12"/>
    </row>
    <row r="119" spans="131:132" x14ac:dyDescent="0.2">
      <c r="EA119" s="12"/>
      <c r="EB119" s="12"/>
    </row>
    <row r="120" spans="131:132" x14ac:dyDescent="0.2">
      <c r="EA120" s="12"/>
      <c r="EB120" s="12"/>
    </row>
    <row r="121" spans="131:132" x14ac:dyDescent="0.2">
      <c r="EA121" s="12"/>
      <c r="EB121" s="12"/>
    </row>
    <row r="122" spans="131:132" x14ac:dyDescent="0.2">
      <c r="EA122" s="12"/>
      <c r="EB122" s="12"/>
    </row>
    <row r="123" spans="131:132" x14ac:dyDescent="0.2">
      <c r="EA123" s="12"/>
      <c r="EB123" s="12"/>
    </row>
    <row r="124" spans="131:132" x14ac:dyDescent="0.2">
      <c r="EA124" s="12"/>
      <c r="EB124" s="12"/>
    </row>
    <row r="125" spans="131:132" x14ac:dyDescent="0.2">
      <c r="EA125" s="12"/>
      <c r="EB125" s="12"/>
    </row>
    <row r="126" spans="131:132" x14ac:dyDescent="0.2">
      <c r="EA126" s="12"/>
      <c r="EB126" s="12"/>
    </row>
    <row r="127" spans="131:132" x14ac:dyDescent="0.2">
      <c r="EA127" s="12"/>
      <c r="EB127" s="12"/>
    </row>
    <row r="128" spans="131:132" x14ac:dyDescent="0.2">
      <c r="EA128" s="12"/>
      <c r="EB128" s="12"/>
    </row>
    <row r="129" spans="131:132" x14ac:dyDescent="0.2">
      <c r="EA129" s="12"/>
      <c r="EB129" s="12"/>
    </row>
    <row r="130" spans="131:132" x14ac:dyDescent="0.2">
      <c r="EA130" s="12"/>
      <c r="EB130" s="12"/>
    </row>
    <row r="131" spans="131:132" x14ac:dyDescent="0.2">
      <c r="EA131" s="12"/>
      <c r="EB131" s="12"/>
    </row>
    <row r="132" spans="131:132" x14ac:dyDescent="0.2">
      <c r="EA132" s="12"/>
      <c r="EB132" s="12"/>
    </row>
    <row r="133" spans="131:132" x14ac:dyDescent="0.2">
      <c r="EA133" s="12"/>
      <c r="EB133" s="12"/>
    </row>
    <row r="134" spans="131:132" x14ac:dyDescent="0.2">
      <c r="EA134" s="12"/>
      <c r="EB134" s="12"/>
    </row>
    <row r="135" spans="131:132" x14ac:dyDescent="0.2">
      <c r="EA135" s="12"/>
      <c r="EB135" s="12"/>
    </row>
    <row r="136" spans="131:132" x14ac:dyDescent="0.2">
      <c r="EA136" s="12"/>
      <c r="EB136" s="12"/>
    </row>
    <row r="137" spans="131:132" x14ac:dyDescent="0.2">
      <c r="EA137" s="12"/>
      <c r="EB137" s="12"/>
    </row>
    <row r="138" spans="131:132" x14ac:dyDescent="0.2">
      <c r="EA138" s="12"/>
      <c r="EB138" s="12"/>
    </row>
    <row r="139" spans="131:132" x14ac:dyDescent="0.2">
      <c r="EA139" s="12"/>
      <c r="EB139" s="12"/>
    </row>
    <row r="140" spans="131:132" x14ac:dyDescent="0.2">
      <c r="EA140" s="12"/>
      <c r="EB140" s="12"/>
    </row>
    <row r="141" spans="131:132" x14ac:dyDescent="0.2">
      <c r="EA141" s="12"/>
      <c r="EB141" s="12"/>
    </row>
    <row r="142" spans="131:132" x14ac:dyDescent="0.2">
      <c r="EA142" s="12"/>
      <c r="EB142" s="12"/>
    </row>
    <row r="143" spans="131:132" x14ac:dyDescent="0.2">
      <c r="EA143" s="12"/>
      <c r="EB143" s="12"/>
    </row>
    <row r="144" spans="131:132" x14ac:dyDescent="0.2">
      <c r="EA144" s="12"/>
      <c r="EB144" s="12"/>
    </row>
    <row r="145" spans="131:132" x14ac:dyDescent="0.2">
      <c r="EA145" s="12"/>
      <c r="EB145" s="12"/>
    </row>
    <row r="146" spans="131:132" x14ac:dyDescent="0.2">
      <c r="EA146" s="12"/>
      <c r="EB146" s="12"/>
    </row>
    <row r="147" spans="131:132" x14ac:dyDescent="0.2">
      <c r="EA147" s="12"/>
      <c r="EB147" s="12"/>
    </row>
    <row r="148" spans="131:132" x14ac:dyDescent="0.2">
      <c r="EA148" s="12"/>
      <c r="EB148" s="12"/>
    </row>
    <row r="149" spans="131:132" x14ac:dyDescent="0.2">
      <c r="EA149" s="12"/>
      <c r="EB149" s="12"/>
    </row>
    <row r="150" spans="131:132" x14ac:dyDescent="0.2">
      <c r="EA150" s="12"/>
      <c r="EB150" s="12"/>
    </row>
    <row r="151" spans="131:132" x14ac:dyDescent="0.2">
      <c r="EA151" s="12"/>
      <c r="EB151" s="12"/>
    </row>
    <row r="152" spans="131:132" x14ac:dyDescent="0.2">
      <c r="EA152" s="12"/>
      <c r="EB152" s="12"/>
    </row>
    <row r="153" spans="131:132" x14ac:dyDescent="0.2">
      <c r="EA153" s="12"/>
      <c r="EB153" s="12"/>
    </row>
    <row r="154" spans="131:132" x14ac:dyDescent="0.2">
      <c r="EA154" s="12"/>
      <c r="EB154" s="12"/>
    </row>
    <row r="155" spans="131:132" x14ac:dyDescent="0.2">
      <c r="EA155" s="12"/>
      <c r="EB155" s="12"/>
    </row>
    <row r="156" spans="131:132" x14ac:dyDescent="0.2">
      <c r="EA156" s="12"/>
      <c r="EB156" s="12"/>
    </row>
    <row r="157" spans="131:132" x14ac:dyDescent="0.2">
      <c r="EA157" s="12"/>
      <c r="EB157" s="12"/>
    </row>
    <row r="158" spans="131:132" x14ac:dyDescent="0.2">
      <c r="EA158" s="12"/>
      <c r="EB158" s="12"/>
    </row>
    <row r="159" spans="131:132" x14ac:dyDescent="0.2">
      <c r="EA159" s="12"/>
      <c r="EB159" s="12"/>
    </row>
    <row r="160" spans="131:132" x14ac:dyDescent="0.2">
      <c r="EA160" s="12"/>
      <c r="EB160" s="12"/>
    </row>
    <row r="161" spans="131:132" x14ac:dyDescent="0.2">
      <c r="EA161" s="12"/>
      <c r="EB161" s="12"/>
    </row>
    <row r="162" spans="131:132" x14ac:dyDescent="0.2">
      <c r="EA162" s="12"/>
      <c r="EB162" s="12"/>
    </row>
    <row r="163" spans="131:132" x14ac:dyDescent="0.2">
      <c r="EA163" s="12"/>
      <c r="EB163" s="12"/>
    </row>
    <row r="164" spans="131:132" x14ac:dyDescent="0.2">
      <c r="EA164" s="12"/>
      <c r="EB164" s="12"/>
    </row>
    <row r="165" spans="131:132" x14ac:dyDescent="0.2">
      <c r="EA165" s="12"/>
      <c r="EB165" s="12"/>
    </row>
    <row r="166" spans="131:132" x14ac:dyDescent="0.2">
      <c r="EA166" s="12"/>
      <c r="EB166" s="12"/>
    </row>
    <row r="167" spans="131:132" x14ac:dyDescent="0.2">
      <c r="EA167" s="12"/>
      <c r="EB167" s="12"/>
    </row>
    <row r="168" spans="131:132" x14ac:dyDescent="0.2">
      <c r="EA168" s="12"/>
      <c r="EB168" s="12"/>
    </row>
    <row r="169" spans="131:132" x14ac:dyDescent="0.2">
      <c r="EA169" s="12"/>
      <c r="EB169" s="12"/>
    </row>
    <row r="170" spans="131:132" x14ac:dyDescent="0.2">
      <c r="EA170" s="12"/>
      <c r="EB170" s="12"/>
    </row>
    <row r="171" spans="131:132" x14ac:dyDescent="0.2">
      <c r="EA171" s="12"/>
      <c r="EB171" s="12"/>
    </row>
    <row r="172" spans="131:132" x14ac:dyDescent="0.2">
      <c r="EA172" s="12"/>
      <c r="EB172" s="12"/>
    </row>
    <row r="173" spans="131:132" x14ac:dyDescent="0.2">
      <c r="EA173" s="12"/>
      <c r="EB173" s="12"/>
    </row>
    <row r="174" spans="131:132" x14ac:dyDescent="0.2">
      <c r="EA174" s="12"/>
      <c r="EB174" s="12"/>
    </row>
    <row r="175" spans="131:132" x14ac:dyDescent="0.2">
      <c r="EA175" s="12"/>
      <c r="EB175" s="12"/>
    </row>
    <row r="176" spans="131:132" x14ac:dyDescent="0.2">
      <c r="EA176" s="12"/>
      <c r="EB176" s="12"/>
    </row>
    <row r="177" spans="131:132" x14ac:dyDescent="0.2">
      <c r="EA177" s="12"/>
      <c r="EB177" s="12"/>
    </row>
    <row r="178" spans="131:132" x14ac:dyDescent="0.2">
      <c r="EA178" s="12"/>
      <c r="EB178" s="12"/>
    </row>
    <row r="179" spans="131:132" x14ac:dyDescent="0.2">
      <c r="EA179" s="12"/>
      <c r="EB179" s="12"/>
    </row>
    <row r="180" spans="131:132" x14ac:dyDescent="0.2">
      <c r="EA180" s="12"/>
      <c r="EB180" s="12"/>
    </row>
    <row r="181" spans="131:132" x14ac:dyDescent="0.2">
      <c r="EA181" s="12"/>
      <c r="EB181" s="12"/>
    </row>
    <row r="182" spans="131:132" x14ac:dyDescent="0.2">
      <c r="EA182" s="12"/>
      <c r="EB182" s="12"/>
    </row>
    <row r="183" spans="131:132" x14ac:dyDescent="0.2">
      <c r="EA183" s="12"/>
      <c r="EB183" s="12"/>
    </row>
    <row r="184" spans="131:132" x14ac:dyDescent="0.2">
      <c r="EA184" s="12"/>
      <c r="EB184" s="12"/>
    </row>
    <row r="185" spans="131:132" x14ac:dyDescent="0.2">
      <c r="EA185" s="12"/>
      <c r="EB185" s="12"/>
    </row>
    <row r="186" spans="131:132" x14ac:dyDescent="0.2">
      <c r="EA186" s="12"/>
      <c r="EB186" s="12"/>
    </row>
    <row r="187" spans="131:132" x14ac:dyDescent="0.2">
      <c r="EA187" s="12"/>
      <c r="EB187" s="12"/>
    </row>
    <row r="188" spans="131:132" x14ac:dyDescent="0.2">
      <c r="EA188" s="12"/>
      <c r="EB188" s="12"/>
    </row>
    <row r="189" spans="131:132" x14ac:dyDescent="0.2">
      <c r="EA189" s="12"/>
      <c r="EB189" s="12"/>
    </row>
    <row r="190" spans="131:132" x14ac:dyDescent="0.2">
      <c r="EA190" s="12"/>
      <c r="EB190" s="12"/>
    </row>
    <row r="191" spans="131:132" x14ac:dyDescent="0.2">
      <c r="EA191" s="12"/>
      <c r="EB191" s="12"/>
    </row>
    <row r="192" spans="131:132" x14ac:dyDescent="0.2">
      <c r="EA192" s="12"/>
      <c r="EB192" s="12"/>
    </row>
    <row r="193" spans="131:132" x14ac:dyDescent="0.2">
      <c r="EA193" s="12"/>
      <c r="EB193" s="12"/>
    </row>
    <row r="194" spans="131:132" x14ac:dyDescent="0.2">
      <c r="EA194" s="12"/>
      <c r="EB194" s="12"/>
    </row>
    <row r="195" spans="131:132" x14ac:dyDescent="0.2">
      <c r="EA195" s="12"/>
      <c r="EB195" s="12"/>
    </row>
    <row r="196" spans="131:132" x14ac:dyDescent="0.2">
      <c r="EA196" s="12"/>
      <c r="EB196" s="12"/>
    </row>
    <row r="197" spans="131:132" x14ac:dyDescent="0.2">
      <c r="EA197" s="12"/>
      <c r="EB197" s="12"/>
    </row>
    <row r="198" spans="131:132" x14ac:dyDescent="0.2">
      <c r="EA198" s="12"/>
      <c r="EB198" s="12"/>
    </row>
    <row r="199" spans="131:132" x14ac:dyDescent="0.2">
      <c r="EA199" s="12"/>
      <c r="EB199" s="12"/>
    </row>
    <row r="200" spans="131:132" x14ac:dyDescent="0.2">
      <c r="EA200" s="12"/>
      <c r="EB200" s="12"/>
    </row>
    <row r="201" spans="131:132" x14ac:dyDescent="0.2">
      <c r="EA201" s="12"/>
      <c r="EB201" s="12"/>
    </row>
    <row r="202" spans="131:132" x14ac:dyDescent="0.2">
      <c r="EA202" s="12"/>
      <c r="EB202" s="12"/>
    </row>
    <row r="203" spans="131:132" x14ac:dyDescent="0.2">
      <c r="EA203" s="12"/>
      <c r="EB203" s="12"/>
    </row>
    <row r="204" spans="131:132" x14ac:dyDescent="0.2">
      <c r="EA204" s="12"/>
      <c r="EB204" s="12"/>
    </row>
    <row r="205" spans="131:132" x14ac:dyDescent="0.2">
      <c r="EA205" s="12"/>
      <c r="EB205" s="12"/>
    </row>
    <row r="206" spans="131:132" x14ac:dyDescent="0.2">
      <c r="EA206" s="12"/>
      <c r="EB206" s="12"/>
    </row>
    <row r="207" spans="131:132" x14ac:dyDescent="0.2">
      <c r="EA207" s="12"/>
      <c r="EB207" s="12"/>
    </row>
    <row r="208" spans="131:132" x14ac:dyDescent="0.2">
      <c r="EA208" s="12"/>
      <c r="EB208" s="12"/>
    </row>
    <row r="209" spans="131:132" x14ac:dyDescent="0.2">
      <c r="EA209" s="12"/>
      <c r="EB209" s="12"/>
    </row>
    <row r="210" spans="131:132" x14ac:dyDescent="0.2">
      <c r="EA210" s="12"/>
      <c r="EB210" s="12"/>
    </row>
    <row r="211" spans="131:132" x14ac:dyDescent="0.2">
      <c r="EA211" s="12"/>
      <c r="EB211" s="12"/>
    </row>
    <row r="212" spans="131:132" x14ac:dyDescent="0.2">
      <c r="EA212" s="12"/>
      <c r="EB212" s="12"/>
    </row>
    <row r="213" spans="131:132" x14ac:dyDescent="0.2">
      <c r="EA213" s="12"/>
      <c r="EB213" s="12"/>
    </row>
    <row r="214" spans="131:132" x14ac:dyDescent="0.2">
      <c r="EA214" s="12"/>
      <c r="EB214" s="12"/>
    </row>
    <row r="215" spans="131:132" x14ac:dyDescent="0.2">
      <c r="EA215" s="12"/>
      <c r="EB215" s="12"/>
    </row>
    <row r="216" spans="131:132" x14ac:dyDescent="0.2">
      <c r="EA216" s="12"/>
      <c r="EB216" s="12"/>
    </row>
    <row r="217" spans="131:132" x14ac:dyDescent="0.2">
      <c r="EA217" s="12"/>
      <c r="EB217" s="12"/>
    </row>
    <row r="218" spans="131:132" x14ac:dyDescent="0.2">
      <c r="EA218" s="12"/>
      <c r="EB218" s="12"/>
    </row>
    <row r="219" spans="131:132" x14ac:dyDescent="0.2">
      <c r="EA219" s="12"/>
      <c r="EB219" s="12"/>
    </row>
    <row r="220" spans="131:132" x14ac:dyDescent="0.2">
      <c r="EA220" s="12"/>
      <c r="EB220" s="12"/>
    </row>
    <row r="221" spans="131:132" x14ac:dyDescent="0.2">
      <c r="EA221" s="12"/>
      <c r="EB221" s="12"/>
    </row>
    <row r="222" spans="131:132" x14ac:dyDescent="0.2">
      <c r="EA222" s="12"/>
      <c r="EB222" s="12"/>
    </row>
    <row r="223" spans="131:132" x14ac:dyDescent="0.2">
      <c r="EA223" s="12"/>
      <c r="EB223" s="12"/>
    </row>
    <row r="224" spans="131:132" x14ac:dyDescent="0.2">
      <c r="EA224" s="12"/>
      <c r="EB224" s="12"/>
    </row>
    <row r="225" spans="131:132" x14ac:dyDescent="0.2">
      <c r="EA225" s="12"/>
      <c r="EB225" s="12"/>
    </row>
    <row r="226" spans="131:132" x14ac:dyDescent="0.2">
      <c r="EA226" s="12"/>
      <c r="EB226" s="12"/>
    </row>
    <row r="227" spans="131:132" x14ac:dyDescent="0.2">
      <c r="EA227" s="12"/>
      <c r="EB227" s="12"/>
    </row>
    <row r="228" spans="131:132" x14ac:dyDescent="0.2">
      <c r="EA228" s="12"/>
      <c r="EB228" s="12"/>
    </row>
    <row r="229" spans="131:132" x14ac:dyDescent="0.2">
      <c r="EA229" s="12"/>
      <c r="EB229" s="12"/>
    </row>
    <row r="230" spans="131:132" x14ac:dyDescent="0.2">
      <c r="EA230" s="12"/>
      <c r="EB230" s="12"/>
    </row>
    <row r="231" spans="131:132" x14ac:dyDescent="0.2">
      <c r="EA231" s="12"/>
      <c r="EB231" s="12"/>
    </row>
    <row r="232" spans="131:132" x14ac:dyDescent="0.2">
      <c r="EA232" s="12"/>
      <c r="EB232" s="12"/>
    </row>
    <row r="233" spans="131:132" x14ac:dyDescent="0.2">
      <c r="EA233" s="12"/>
      <c r="EB233" s="12"/>
    </row>
    <row r="234" spans="131:132" x14ac:dyDescent="0.2">
      <c r="EA234" s="12"/>
      <c r="EB234" s="12"/>
    </row>
    <row r="235" spans="131:132" x14ac:dyDescent="0.2">
      <c r="EA235" s="12"/>
      <c r="EB235" s="12"/>
    </row>
    <row r="236" spans="131:132" x14ac:dyDescent="0.2">
      <c r="EA236" s="12"/>
      <c r="EB236" s="12"/>
    </row>
    <row r="237" spans="131:132" x14ac:dyDescent="0.2">
      <c r="EA237" s="12"/>
      <c r="EB237" s="12"/>
    </row>
    <row r="238" spans="131:132" x14ac:dyDescent="0.2">
      <c r="EA238" s="12"/>
      <c r="EB238" s="12"/>
    </row>
    <row r="239" spans="131:132" x14ac:dyDescent="0.2">
      <c r="EA239" s="12"/>
      <c r="EB239" s="12"/>
    </row>
    <row r="240" spans="131:132" x14ac:dyDescent="0.2">
      <c r="EA240" s="12"/>
      <c r="EB240" s="12"/>
    </row>
    <row r="241" spans="131:132" x14ac:dyDescent="0.2">
      <c r="EA241" s="12"/>
      <c r="EB241" s="12"/>
    </row>
    <row r="242" spans="131:132" x14ac:dyDescent="0.2">
      <c r="EA242" s="12"/>
      <c r="EB242" s="12"/>
    </row>
    <row r="243" spans="131:132" x14ac:dyDescent="0.2">
      <c r="EA243" s="12"/>
      <c r="EB243" s="12"/>
    </row>
    <row r="244" spans="131:132" x14ac:dyDescent="0.2">
      <c r="EA244" s="12"/>
      <c r="EB244" s="12"/>
    </row>
    <row r="245" spans="131:132" x14ac:dyDescent="0.2">
      <c r="EA245" s="12"/>
      <c r="EB245" s="12"/>
    </row>
    <row r="246" spans="131:132" x14ac:dyDescent="0.2">
      <c r="EA246" s="12"/>
      <c r="EB246" s="12"/>
    </row>
    <row r="247" spans="131:132" x14ac:dyDescent="0.2">
      <c r="EA247" s="12"/>
      <c r="EB247" s="12"/>
    </row>
    <row r="248" spans="131:132" x14ac:dyDescent="0.2">
      <c r="EA248" s="12"/>
      <c r="EB248" s="12"/>
    </row>
    <row r="249" spans="131:132" x14ac:dyDescent="0.2">
      <c r="EA249" s="12"/>
      <c r="EB249" s="12"/>
    </row>
    <row r="250" spans="131:132" x14ac:dyDescent="0.2">
      <c r="EA250" s="12"/>
      <c r="EB250" s="12"/>
    </row>
    <row r="251" spans="131:132" x14ac:dyDescent="0.2">
      <c r="EA251" s="12"/>
      <c r="EB251" s="12"/>
    </row>
    <row r="252" spans="131:132" x14ac:dyDescent="0.2">
      <c r="EA252" s="12"/>
      <c r="EB252" s="12"/>
    </row>
    <row r="253" spans="131:132" x14ac:dyDescent="0.2">
      <c r="EA253" s="12"/>
      <c r="EB253" s="12"/>
    </row>
    <row r="254" spans="131:132" x14ac:dyDescent="0.2">
      <c r="EA254" s="12"/>
      <c r="EB254" s="12"/>
    </row>
    <row r="255" spans="131:132" x14ac:dyDescent="0.2">
      <c r="EA255" s="12"/>
      <c r="EB255" s="12"/>
    </row>
    <row r="256" spans="131:132" x14ac:dyDescent="0.2">
      <c r="EA256" s="12"/>
      <c r="EB256" s="12"/>
    </row>
    <row r="257" spans="131:132" x14ac:dyDescent="0.2">
      <c r="EA257" s="12"/>
      <c r="EB257" s="12"/>
    </row>
    <row r="258" spans="131:132" x14ac:dyDescent="0.2">
      <c r="EA258" s="12"/>
      <c r="EB258" s="12"/>
    </row>
    <row r="259" spans="131:132" x14ac:dyDescent="0.2">
      <c r="EA259" s="12"/>
      <c r="EB259" s="12"/>
    </row>
    <row r="260" spans="131:132" x14ac:dyDescent="0.2">
      <c r="EA260" s="12"/>
      <c r="EB260" s="12"/>
    </row>
    <row r="261" spans="131:132" x14ac:dyDescent="0.2">
      <c r="EA261" s="12"/>
      <c r="EB261" s="12"/>
    </row>
    <row r="262" spans="131:132" x14ac:dyDescent="0.2">
      <c r="EA262" s="12"/>
      <c r="EB262" s="12"/>
    </row>
    <row r="263" spans="131:132" x14ac:dyDescent="0.2">
      <c r="EA263" s="12"/>
      <c r="EB263" s="12"/>
    </row>
    <row r="264" spans="131:132" x14ac:dyDescent="0.2">
      <c r="EA264" s="12"/>
      <c r="EB264" s="12"/>
    </row>
    <row r="265" spans="131:132" x14ac:dyDescent="0.2">
      <c r="EA265" s="12"/>
      <c r="EB265" s="12"/>
    </row>
    <row r="266" spans="131:132" x14ac:dyDescent="0.2">
      <c r="EA266" s="12"/>
      <c r="EB266" s="12"/>
    </row>
    <row r="267" spans="131:132" x14ac:dyDescent="0.2">
      <c r="EA267" s="12"/>
      <c r="EB267" s="12"/>
    </row>
    <row r="268" spans="131:132" x14ac:dyDescent="0.2">
      <c r="EA268" s="12"/>
      <c r="EB268" s="12"/>
    </row>
    <row r="269" spans="131:132" x14ac:dyDescent="0.2">
      <c r="EA269" s="12"/>
      <c r="EB269" s="12"/>
    </row>
    <row r="270" spans="131:132" x14ac:dyDescent="0.2">
      <c r="EA270" s="12"/>
      <c r="EB270" s="12"/>
    </row>
    <row r="271" spans="131:132" x14ac:dyDescent="0.2">
      <c r="EA271" s="12"/>
      <c r="EB271" s="12"/>
    </row>
    <row r="272" spans="131:132" x14ac:dyDescent="0.2">
      <c r="EA272" s="12"/>
      <c r="EB272" s="12"/>
    </row>
    <row r="273" spans="131:132" x14ac:dyDescent="0.2">
      <c r="EA273" s="12"/>
      <c r="EB273" s="12"/>
    </row>
    <row r="274" spans="131:132" x14ac:dyDescent="0.2">
      <c r="EA274" s="12"/>
      <c r="EB274" s="12"/>
    </row>
    <row r="275" spans="131:132" x14ac:dyDescent="0.2">
      <c r="EA275" s="12"/>
      <c r="EB275" s="12"/>
    </row>
    <row r="276" spans="131:132" x14ac:dyDescent="0.2">
      <c r="EA276" s="12"/>
      <c r="EB276" s="12"/>
    </row>
    <row r="277" spans="131:132" x14ac:dyDescent="0.2">
      <c r="EA277" s="12"/>
      <c r="EB277" s="12"/>
    </row>
    <row r="278" spans="131:132" x14ac:dyDescent="0.2">
      <c r="EA278" s="12"/>
      <c r="EB278" s="12"/>
    </row>
    <row r="279" spans="131:132" x14ac:dyDescent="0.2">
      <c r="EA279" s="12"/>
      <c r="EB279" s="12"/>
    </row>
    <row r="280" spans="131:132" x14ac:dyDescent="0.2">
      <c r="EA280" s="12"/>
      <c r="EB280" s="12"/>
    </row>
    <row r="281" spans="131:132" x14ac:dyDescent="0.2">
      <c r="EA281" s="12"/>
      <c r="EB281" s="12"/>
    </row>
    <row r="282" spans="131:132" x14ac:dyDescent="0.2">
      <c r="EA282" s="12"/>
      <c r="EB282" s="12"/>
    </row>
    <row r="283" spans="131:132" x14ac:dyDescent="0.2">
      <c r="EA283" s="12"/>
      <c r="EB283" s="12"/>
    </row>
    <row r="284" spans="131:132" x14ac:dyDescent="0.2">
      <c r="EA284" s="12"/>
      <c r="EB284" s="12"/>
    </row>
    <row r="285" spans="131:132" x14ac:dyDescent="0.2">
      <c r="EA285" s="12"/>
      <c r="EB285" s="12"/>
    </row>
    <row r="286" spans="131:132" x14ac:dyDescent="0.2">
      <c r="EA286" s="12"/>
      <c r="EB286" s="12"/>
    </row>
    <row r="287" spans="131:132" x14ac:dyDescent="0.2">
      <c r="EA287" s="12"/>
      <c r="EB287" s="12"/>
    </row>
    <row r="288" spans="131:132" x14ac:dyDescent="0.2">
      <c r="EA288" s="12"/>
      <c r="EB288" s="12"/>
    </row>
    <row r="289" spans="131:132" x14ac:dyDescent="0.2">
      <c r="EA289" s="12"/>
      <c r="EB289" s="12"/>
    </row>
    <row r="290" spans="131:132" x14ac:dyDescent="0.2">
      <c r="EA290" s="12"/>
      <c r="EB290" s="12"/>
    </row>
    <row r="291" spans="131:132" x14ac:dyDescent="0.2">
      <c r="EA291" s="12"/>
      <c r="EB291" s="12"/>
    </row>
    <row r="292" spans="131:132" x14ac:dyDescent="0.2">
      <c r="EA292" s="12"/>
      <c r="EB292" s="12"/>
    </row>
    <row r="293" spans="131:132" x14ac:dyDescent="0.2">
      <c r="EA293" s="12"/>
      <c r="EB293" s="12"/>
    </row>
    <row r="294" spans="131:132" x14ac:dyDescent="0.2">
      <c r="EA294" s="12"/>
      <c r="EB294" s="12"/>
    </row>
    <row r="295" spans="131:132" x14ac:dyDescent="0.2">
      <c r="EA295" s="12"/>
      <c r="EB295" s="12"/>
    </row>
    <row r="296" spans="131:132" x14ac:dyDescent="0.2">
      <c r="EA296" s="12"/>
      <c r="EB296" s="12"/>
    </row>
    <row r="297" spans="131:132" x14ac:dyDescent="0.2">
      <c r="EA297" s="12"/>
      <c r="EB297" s="12"/>
    </row>
    <row r="298" spans="131:132" x14ac:dyDescent="0.2">
      <c r="EA298" s="12"/>
      <c r="EB298" s="12"/>
    </row>
    <row r="299" spans="131:132" x14ac:dyDescent="0.2">
      <c r="EA299" s="12"/>
      <c r="EB299" s="12"/>
    </row>
    <row r="300" spans="131:132" x14ac:dyDescent="0.2">
      <c r="EA300" s="12"/>
      <c r="EB300" s="12"/>
    </row>
    <row r="301" spans="131:132" x14ac:dyDescent="0.2">
      <c r="EA301" s="12"/>
      <c r="EB301" s="12"/>
    </row>
    <row r="302" spans="131:132" x14ac:dyDescent="0.2">
      <c r="EA302" s="12"/>
      <c r="EB302" s="12"/>
    </row>
    <row r="303" spans="131:132" x14ac:dyDescent="0.2">
      <c r="EA303" s="12"/>
      <c r="EB303" s="12"/>
    </row>
    <row r="304" spans="131:132" x14ac:dyDescent="0.2">
      <c r="EA304" s="12"/>
      <c r="EB304" s="12"/>
    </row>
    <row r="305" spans="131:132" x14ac:dyDescent="0.2">
      <c r="EA305" s="12"/>
      <c r="EB305" s="12"/>
    </row>
    <row r="306" spans="131:132" x14ac:dyDescent="0.2">
      <c r="EA306" s="12"/>
      <c r="EB306" s="12"/>
    </row>
    <row r="307" spans="131:132" x14ac:dyDescent="0.2">
      <c r="EA307" s="12"/>
      <c r="EB307" s="12"/>
    </row>
    <row r="308" spans="131:132" x14ac:dyDescent="0.2">
      <c r="EA308" s="12"/>
      <c r="EB308" s="12"/>
    </row>
    <row r="309" spans="131:132" x14ac:dyDescent="0.2">
      <c r="EA309" s="12"/>
      <c r="EB309" s="12"/>
    </row>
    <row r="310" spans="131:132" x14ac:dyDescent="0.2">
      <c r="EA310" s="12"/>
      <c r="EB310" s="12"/>
    </row>
    <row r="311" spans="131:132" x14ac:dyDescent="0.2">
      <c r="EA311" s="12"/>
      <c r="EB311" s="12"/>
    </row>
    <row r="312" spans="131:132" x14ac:dyDescent="0.2">
      <c r="EA312" s="12"/>
      <c r="EB312" s="12"/>
    </row>
    <row r="313" spans="131:132" x14ac:dyDescent="0.2">
      <c r="EA313" s="12"/>
      <c r="EB313" s="12"/>
    </row>
    <row r="314" spans="131:132" x14ac:dyDescent="0.2">
      <c r="EA314" s="12"/>
      <c r="EB314" s="12"/>
    </row>
    <row r="315" spans="131:132" x14ac:dyDescent="0.2">
      <c r="EA315" s="12"/>
      <c r="EB315" s="12"/>
    </row>
    <row r="316" spans="131:132" x14ac:dyDescent="0.2">
      <c r="EA316" s="12"/>
      <c r="EB316" s="12"/>
    </row>
    <row r="317" spans="131:132" x14ac:dyDescent="0.2">
      <c r="EA317" s="12"/>
      <c r="EB317" s="12"/>
    </row>
    <row r="318" spans="131:132" x14ac:dyDescent="0.2">
      <c r="EA318" s="12"/>
      <c r="EB318" s="12"/>
    </row>
    <row r="319" spans="131:132" x14ac:dyDescent="0.2">
      <c r="EA319" s="12"/>
      <c r="EB319" s="12"/>
    </row>
    <row r="320" spans="131:132" x14ac:dyDescent="0.2">
      <c r="EA320" s="12"/>
      <c r="EB320" s="12"/>
    </row>
    <row r="321" spans="131:132" x14ac:dyDescent="0.2">
      <c r="EA321" s="12"/>
      <c r="EB321" s="12"/>
    </row>
    <row r="322" spans="131:132" x14ac:dyDescent="0.2">
      <c r="EA322" s="12"/>
      <c r="EB322" s="12"/>
    </row>
    <row r="323" spans="131:132" x14ac:dyDescent="0.2">
      <c r="EA323" s="12"/>
      <c r="EB323" s="12"/>
    </row>
    <row r="324" spans="131:132" x14ac:dyDescent="0.2">
      <c r="EA324" s="12"/>
      <c r="EB324" s="12"/>
    </row>
    <row r="325" spans="131:132" x14ac:dyDescent="0.2">
      <c r="EA325" s="12"/>
      <c r="EB325" s="12"/>
    </row>
    <row r="326" spans="131:132" x14ac:dyDescent="0.2">
      <c r="EA326" s="12"/>
      <c r="EB326" s="12"/>
    </row>
    <row r="327" spans="131:132" x14ac:dyDescent="0.2">
      <c r="EA327" s="12"/>
      <c r="EB327" s="12"/>
    </row>
    <row r="328" spans="131:132" x14ac:dyDescent="0.2">
      <c r="EA328" s="12"/>
      <c r="EB328" s="12"/>
    </row>
    <row r="329" spans="131:132" x14ac:dyDescent="0.2">
      <c r="EA329" s="12"/>
      <c r="EB329" s="12"/>
    </row>
    <row r="330" spans="131:132" x14ac:dyDescent="0.2">
      <c r="EA330" s="12"/>
      <c r="EB330" s="12"/>
    </row>
    <row r="331" spans="131:132" x14ac:dyDescent="0.2">
      <c r="EA331" s="12"/>
      <c r="EB331" s="12"/>
    </row>
    <row r="332" spans="131:132" x14ac:dyDescent="0.2">
      <c r="EA332" s="12"/>
      <c r="EB332" s="12"/>
    </row>
    <row r="333" spans="131:132" x14ac:dyDescent="0.2">
      <c r="EA333" s="12"/>
      <c r="EB333" s="12"/>
    </row>
    <row r="334" spans="131:132" x14ac:dyDescent="0.2">
      <c r="EA334" s="12"/>
      <c r="EB334" s="12"/>
    </row>
    <row r="335" spans="131:132" x14ac:dyDescent="0.2">
      <c r="EA335" s="12"/>
      <c r="EB335" s="12"/>
    </row>
    <row r="336" spans="131:132" x14ac:dyDescent="0.2">
      <c r="EA336" s="12"/>
      <c r="EB336" s="12"/>
    </row>
    <row r="337" spans="131:132" x14ac:dyDescent="0.2">
      <c r="EA337" s="12"/>
      <c r="EB337" s="12"/>
    </row>
    <row r="338" spans="131:132" x14ac:dyDescent="0.2">
      <c r="EA338" s="12"/>
      <c r="EB338" s="12"/>
    </row>
    <row r="339" spans="131:132" x14ac:dyDescent="0.2">
      <c r="EA339" s="12"/>
      <c r="EB339" s="12"/>
    </row>
    <row r="340" spans="131:132" x14ac:dyDescent="0.2">
      <c r="EA340" s="12"/>
      <c r="EB340" s="12"/>
    </row>
    <row r="341" spans="131:132" x14ac:dyDescent="0.2">
      <c r="EA341" s="12"/>
      <c r="EB341" s="12"/>
    </row>
    <row r="342" spans="131:132" x14ac:dyDescent="0.2">
      <c r="EA342" s="12"/>
      <c r="EB342" s="12"/>
    </row>
    <row r="343" spans="131:132" x14ac:dyDescent="0.2">
      <c r="EA343" s="12"/>
      <c r="EB343" s="12"/>
    </row>
    <row r="344" spans="131:132" x14ac:dyDescent="0.2">
      <c r="EA344" s="12"/>
      <c r="EB344" s="12"/>
    </row>
    <row r="345" spans="131:132" x14ac:dyDescent="0.2">
      <c r="EA345" s="12"/>
      <c r="EB345" s="12"/>
    </row>
    <row r="346" spans="131:132" x14ac:dyDescent="0.2">
      <c r="EA346" s="12"/>
      <c r="EB346" s="12"/>
    </row>
    <row r="347" spans="131:132" x14ac:dyDescent="0.2">
      <c r="EA347" s="12"/>
      <c r="EB347" s="12"/>
    </row>
    <row r="348" spans="131:132" x14ac:dyDescent="0.2">
      <c r="EA348" s="12"/>
      <c r="EB348" s="12"/>
    </row>
    <row r="349" spans="131:132" x14ac:dyDescent="0.2">
      <c r="EA349" s="12"/>
      <c r="EB349" s="12"/>
    </row>
    <row r="350" spans="131:132" x14ac:dyDescent="0.2">
      <c r="EA350" s="12"/>
      <c r="EB350" s="12"/>
    </row>
    <row r="351" spans="131:132" x14ac:dyDescent="0.2">
      <c r="EA351" s="12"/>
      <c r="EB351" s="12"/>
    </row>
    <row r="352" spans="131:132" x14ac:dyDescent="0.2">
      <c r="EA352" s="12"/>
      <c r="EB352" s="12"/>
    </row>
    <row r="353" spans="131:132" x14ac:dyDescent="0.2">
      <c r="EA353" s="12"/>
      <c r="EB353" s="12"/>
    </row>
    <row r="354" spans="131:132" x14ac:dyDescent="0.2">
      <c r="EA354" s="12"/>
      <c r="EB354" s="12"/>
    </row>
    <row r="355" spans="131:132" x14ac:dyDescent="0.2">
      <c r="EA355" s="12"/>
      <c r="EB355" s="12"/>
    </row>
    <row r="356" spans="131:132" x14ac:dyDescent="0.2">
      <c r="EA356" s="12"/>
      <c r="EB356" s="12"/>
    </row>
    <row r="357" spans="131:132" x14ac:dyDescent="0.2">
      <c r="EA357" s="12"/>
      <c r="EB357" s="12"/>
    </row>
    <row r="358" spans="131:132" x14ac:dyDescent="0.2">
      <c r="EA358" s="12"/>
      <c r="EB358" s="12"/>
    </row>
    <row r="359" spans="131:132" x14ac:dyDescent="0.2">
      <c r="EA359" s="12"/>
      <c r="EB359" s="12"/>
    </row>
    <row r="360" spans="131:132" x14ac:dyDescent="0.2">
      <c r="EA360" s="12"/>
      <c r="EB360" s="12"/>
    </row>
    <row r="361" spans="131:132" x14ac:dyDescent="0.2">
      <c r="EA361" s="12"/>
      <c r="EB361" s="12"/>
    </row>
    <row r="362" spans="131:132" x14ac:dyDescent="0.2">
      <c r="EA362" s="12"/>
      <c r="EB362" s="12"/>
    </row>
    <row r="363" spans="131:132" x14ac:dyDescent="0.2">
      <c r="EA363" s="12"/>
      <c r="EB363" s="12"/>
    </row>
    <row r="364" spans="131:132" x14ac:dyDescent="0.2">
      <c r="EA364" s="12"/>
      <c r="EB364" s="12"/>
    </row>
    <row r="365" spans="131:132" x14ac:dyDescent="0.2">
      <c r="EA365" s="12"/>
      <c r="EB365" s="12"/>
    </row>
    <row r="366" spans="131:132" x14ac:dyDescent="0.2">
      <c r="EA366" s="12"/>
      <c r="EB366" s="12"/>
    </row>
    <row r="367" spans="131:132" x14ac:dyDescent="0.2">
      <c r="EA367" s="12"/>
      <c r="EB367" s="12"/>
    </row>
    <row r="368" spans="131:132" x14ac:dyDescent="0.2">
      <c r="EA368" s="12"/>
      <c r="EB368" s="12"/>
    </row>
    <row r="369" spans="131:132" x14ac:dyDescent="0.2">
      <c r="EA369" s="12"/>
      <c r="EB369" s="12"/>
    </row>
    <row r="370" spans="131:132" x14ac:dyDescent="0.2">
      <c r="EA370" s="12"/>
      <c r="EB370" s="12"/>
    </row>
    <row r="371" spans="131:132" x14ac:dyDescent="0.2">
      <c r="EA371" s="12"/>
      <c r="EB371" s="12"/>
    </row>
    <row r="372" spans="131:132" x14ac:dyDescent="0.2">
      <c r="EA372" s="12"/>
      <c r="EB372" s="12"/>
    </row>
    <row r="373" spans="131:132" x14ac:dyDescent="0.2">
      <c r="EA373" s="12"/>
      <c r="EB373" s="12"/>
    </row>
    <row r="374" spans="131:132" x14ac:dyDescent="0.2">
      <c r="EA374" s="12"/>
      <c r="EB374" s="12"/>
    </row>
    <row r="375" spans="131:132" x14ac:dyDescent="0.2">
      <c r="EA375" s="12"/>
      <c r="EB375" s="12"/>
    </row>
    <row r="376" spans="131:132" x14ac:dyDescent="0.2">
      <c r="EA376" s="12"/>
      <c r="EB376" s="12"/>
    </row>
    <row r="377" spans="131:132" x14ac:dyDescent="0.2">
      <c r="EA377" s="12"/>
      <c r="EB377" s="12"/>
    </row>
    <row r="378" spans="131:132" x14ac:dyDescent="0.2">
      <c r="EA378" s="12"/>
      <c r="EB378" s="12"/>
    </row>
    <row r="379" spans="131:132" x14ac:dyDescent="0.2">
      <c r="EA379" s="12"/>
      <c r="EB379" s="12"/>
    </row>
    <row r="380" spans="131:132" x14ac:dyDescent="0.2">
      <c r="EA380" s="12"/>
      <c r="EB380" s="12"/>
    </row>
    <row r="381" spans="131:132" x14ac:dyDescent="0.2">
      <c r="EA381" s="12"/>
      <c r="EB381" s="12"/>
    </row>
    <row r="382" spans="131:132" x14ac:dyDescent="0.2">
      <c r="EA382" s="12"/>
      <c r="EB382" s="12"/>
    </row>
    <row r="383" spans="131:132" x14ac:dyDescent="0.2">
      <c r="EA383" s="12"/>
      <c r="EB383" s="12"/>
    </row>
    <row r="384" spans="131:132" x14ac:dyDescent="0.2">
      <c r="EA384" s="12"/>
      <c r="EB384" s="12"/>
    </row>
    <row r="385" spans="131:132" x14ac:dyDescent="0.2">
      <c r="EA385" s="12"/>
      <c r="EB385" s="12"/>
    </row>
    <row r="386" spans="131:132" x14ac:dyDescent="0.2">
      <c r="EA386" s="12"/>
      <c r="EB386" s="12"/>
    </row>
    <row r="387" spans="131:132" x14ac:dyDescent="0.2">
      <c r="EA387" s="12"/>
      <c r="EB387" s="12"/>
    </row>
    <row r="388" spans="131:132" x14ac:dyDescent="0.2">
      <c r="EA388" s="12"/>
      <c r="EB388" s="12"/>
    </row>
    <row r="389" spans="131:132" x14ac:dyDescent="0.2">
      <c r="EA389" s="12"/>
      <c r="EB389" s="12"/>
    </row>
    <row r="390" spans="131:132" x14ac:dyDescent="0.2">
      <c r="EA390" s="12"/>
      <c r="EB390" s="12"/>
    </row>
    <row r="391" spans="131:132" x14ac:dyDescent="0.2">
      <c r="EA391" s="12"/>
      <c r="EB391" s="12"/>
    </row>
    <row r="392" spans="131:132" x14ac:dyDescent="0.2">
      <c r="EA392" s="12"/>
      <c r="EB392" s="12"/>
    </row>
    <row r="393" spans="131:132" x14ac:dyDescent="0.2">
      <c r="EA393" s="12"/>
      <c r="EB393" s="12"/>
    </row>
    <row r="394" spans="131:132" x14ac:dyDescent="0.2">
      <c r="EA394" s="12"/>
      <c r="EB394" s="12"/>
    </row>
    <row r="395" spans="131:132" x14ac:dyDescent="0.2">
      <c r="EA395" s="12"/>
      <c r="EB395" s="12"/>
    </row>
    <row r="396" spans="131:132" x14ac:dyDescent="0.2">
      <c r="EA396" s="12"/>
      <c r="EB396" s="12"/>
    </row>
    <row r="397" spans="131:132" x14ac:dyDescent="0.2">
      <c r="EA397" s="12"/>
      <c r="EB397" s="12"/>
    </row>
    <row r="398" spans="131:132" x14ac:dyDescent="0.2">
      <c r="EA398" s="12"/>
      <c r="EB398" s="12"/>
    </row>
    <row r="399" spans="131:132" x14ac:dyDescent="0.2">
      <c r="EA399" s="12"/>
      <c r="EB399" s="12"/>
    </row>
    <row r="400" spans="131:132" x14ac:dyDescent="0.2">
      <c r="EA400" s="12"/>
      <c r="EB400" s="12"/>
    </row>
    <row r="401" spans="131:132" x14ac:dyDescent="0.2">
      <c r="EA401" s="12"/>
      <c r="EB401" s="12"/>
    </row>
    <row r="402" spans="131:132" x14ac:dyDescent="0.2">
      <c r="EA402" s="12"/>
      <c r="EB402" s="12"/>
    </row>
    <row r="403" spans="131:132" x14ac:dyDescent="0.2">
      <c r="EA403" s="12"/>
      <c r="EB403" s="12"/>
    </row>
    <row r="404" spans="131:132" x14ac:dyDescent="0.2">
      <c r="EA404" s="12"/>
      <c r="EB404" s="12"/>
    </row>
    <row r="405" spans="131:132" x14ac:dyDescent="0.2">
      <c r="EA405" s="12"/>
      <c r="EB405" s="12"/>
    </row>
    <row r="406" spans="131:132" x14ac:dyDescent="0.2">
      <c r="EA406" s="12"/>
      <c r="EB406" s="12"/>
    </row>
    <row r="407" spans="131:132" x14ac:dyDescent="0.2">
      <c r="EA407" s="12"/>
      <c r="EB407" s="12"/>
    </row>
    <row r="408" spans="131:132" x14ac:dyDescent="0.2">
      <c r="EA408" s="12"/>
      <c r="EB408" s="12"/>
    </row>
    <row r="409" spans="131:132" x14ac:dyDescent="0.2">
      <c r="EA409" s="12"/>
      <c r="EB409" s="12"/>
    </row>
    <row r="410" spans="131:132" x14ac:dyDescent="0.2">
      <c r="EA410" s="12"/>
      <c r="EB410" s="12"/>
    </row>
    <row r="411" spans="131:132" x14ac:dyDescent="0.2">
      <c r="EA411" s="12"/>
      <c r="EB411" s="12"/>
    </row>
    <row r="412" spans="131:132" x14ac:dyDescent="0.2">
      <c r="EA412" s="12"/>
      <c r="EB412" s="12"/>
    </row>
    <row r="413" spans="131:132" x14ac:dyDescent="0.2">
      <c r="EA413" s="12"/>
      <c r="EB413" s="12"/>
    </row>
    <row r="414" spans="131:132" x14ac:dyDescent="0.2">
      <c r="EA414" s="12"/>
      <c r="EB414" s="12"/>
    </row>
    <row r="415" spans="131:132" x14ac:dyDescent="0.2">
      <c r="EA415" s="12"/>
      <c r="EB415" s="12"/>
    </row>
    <row r="416" spans="131:132" x14ac:dyDescent="0.2">
      <c r="EA416" s="12"/>
      <c r="EB416" s="12"/>
    </row>
    <row r="417" spans="131:132" x14ac:dyDescent="0.2">
      <c r="EA417" s="12"/>
      <c r="EB417" s="12"/>
    </row>
    <row r="418" spans="131:132" x14ac:dyDescent="0.2">
      <c r="EA418" s="12"/>
      <c r="EB418" s="12"/>
    </row>
    <row r="419" spans="131:132" x14ac:dyDescent="0.2">
      <c r="EA419" s="12"/>
      <c r="EB419" s="12"/>
    </row>
    <row r="420" spans="131:132" x14ac:dyDescent="0.2">
      <c r="EA420" s="12"/>
      <c r="EB420" s="12"/>
    </row>
    <row r="421" spans="131:132" x14ac:dyDescent="0.2">
      <c r="EA421" s="12"/>
      <c r="EB421" s="12"/>
    </row>
    <row r="422" spans="131:132" x14ac:dyDescent="0.2">
      <c r="EA422" s="12"/>
      <c r="EB422" s="12"/>
    </row>
    <row r="423" spans="131:132" x14ac:dyDescent="0.2">
      <c r="EA423" s="12"/>
      <c r="EB423" s="12"/>
    </row>
    <row r="424" spans="131:132" x14ac:dyDescent="0.2">
      <c r="EA424" s="12"/>
      <c r="EB424" s="12"/>
    </row>
    <row r="425" spans="131:132" x14ac:dyDescent="0.2">
      <c r="EA425" s="12"/>
      <c r="EB425" s="12"/>
    </row>
    <row r="426" spans="131:132" x14ac:dyDescent="0.2">
      <c r="EA426" s="12"/>
      <c r="EB426" s="12"/>
    </row>
    <row r="427" spans="131:132" x14ac:dyDescent="0.2">
      <c r="EA427" s="12"/>
      <c r="EB427" s="12"/>
    </row>
    <row r="428" spans="131:132" x14ac:dyDescent="0.2">
      <c r="EA428" s="12"/>
      <c r="EB428" s="12"/>
    </row>
    <row r="429" spans="131:132" x14ac:dyDescent="0.2">
      <c r="EA429" s="12"/>
      <c r="EB429" s="12"/>
    </row>
    <row r="430" spans="131:132" x14ac:dyDescent="0.2">
      <c r="EA430" s="12"/>
      <c r="EB430" s="12"/>
    </row>
    <row r="431" spans="131:132" x14ac:dyDescent="0.2">
      <c r="EA431" s="12"/>
      <c r="EB431" s="12"/>
    </row>
    <row r="432" spans="131:132" x14ac:dyDescent="0.2">
      <c r="EA432" s="12"/>
      <c r="EB432" s="12"/>
    </row>
    <row r="433" spans="131:132" x14ac:dyDescent="0.2">
      <c r="EA433" s="12"/>
      <c r="EB433" s="12"/>
    </row>
    <row r="434" spans="131:132" x14ac:dyDescent="0.2">
      <c r="EA434" s="12"/>
      <c r="EB434" s="12"/>
    </row>
    <row r="435" spans="131:132" x14ac:dyDescent="0.2">
      <c r="EA435" s="12"/>
      <c r="EB435" s="12"/>
    </row>
    <row r="436" spans="131:132" x14ac:dyDescent="0.2">
      <c r="EA436" s="12"/>
      <c r="EB436" s="12"/>
    </row>
    <row r="437" spans="131:132" x14ac:dyDescent="0.2">
      <c r="EA437" s="12"/>
      <c r="EB437" s="12"/>
    </row>
    <row r="438" spans="131:132" x14ac:dyDescent="0.2">
      <c r="EA438" s="12"/>
      <c r="EB438" s="12"/>
    </row>
    <row r="439" spans="131:132" x14ac:dyDescent="0.2">
      <c r="EA439" s="12"/>
      <c r="EB439" s="12"/>
    </row>
    <row r="440" spans="131:132" x14ac:dyDescent="0.2">
      <c r="EA440" s="12"/>
      <c r="EB440" s="12"/>
    </row>
    <row r="441" spans="131:132" x14ac:dyDescent="0.2">
      <c r="EA441" s="12"/>
      <c r="EB441" s="12"/>
    </row>
    <row r="442" spans="131:132" x14ac:dyDescent="0.2">
      <c r="EA442" s="12"/>
      <c r="EB442" s="12"/>
    </row>
    <row r="443" spans="131:132" x14ac:dyDescent="0.2">
      <c r="EA443" s="12"/>
      <c r="EB443" s="12"/>
    </row>
    <row r="444" spans="131:132" x14ac:dyDescent="0.2">
      <c r="EA444" s="12"/>
      <c r="EB444" s="12"/>
    </row>
    <row r="445" spans="131:132" x14ac:dyDescent="0.2">
      <c r="EA445" s="12"/>
      <c r="EB445" s="12"/>
    </row>
    <row r="446" spans="131:132" x14ac:dyDescent="0.2">
      <c r="EA446" s="12"/>
      <c r="EB446" s="12"/>
    </row>
    <row r="447" spans="131:132" x14ac:dyDescent="0.2">
      <c r="EA447" s="12"/>
      <c r="EB447" s="12"/>
    </row>
    <row r="448" spans="131:132" x14ac:dyDescent="0.2">
      <c r="EA448" s="12"/>
      <c r="EB448" s="12"/>
    </row>
    <row r="449" spans="131:132" x14ac:dyDescent="0.2">
      <c r="EA449" s="12"/>
      <c r="EB449" s="12"/>
    </row>
    <row r="450" spans="131:132" x14ac:dyDescent="0.2">
      <c r="EA450" s="12"/>
      <c r="EB450" s="12"/>
    </row>
    <row r="451" spans="131:132" x14ac:dyDescent="0.2">
      <c r="EA451" s="12"/>
      <c r="EB451" s="12"/>
    </row>
    <row r="452" spans="131:132" x14ac:dyDescent="0.2">
      <c r="EA452" s="12"/>
      <c r="EB452" s="12"/>
    </row>
    <row r="453" spans="131:132" x14ac:dyDescent="0.2">
      <c r="EA453" s="12"/>
      <c r="EB453" s="12"/>
    </row>
    <row r="454" spans="131:132" x14ac:dyDescent="0.2">
      <c r="EA454" s="12"/>
      <c r="EB454" s="12"/>
    </row>
    <row r="455" spans="131:132" x14ac:dyDescent="0.2">
      <c r="EA455" s="12"/>
      <c r="EB455" s="12"/>
    </row>
    <row r="456" spans="131:132" x14ac:dyDescent="0.2">
      <c r="EA456" s="12"/>
      <c r="EB456" s="12"/>
    </row>
    <row r="457" spans="131:132" x14ac:dyDescent="0.2">
      <c r="EA457" s="12"/>
      <c r="EB457" s="12"/>
    </row>
    <row r="458" spans="131:132" x14ac:dyDescent="0.2">
      <c r="EA458" s="12"/>
      <c r="EB458" s="12"/>
    </row>
    <row r="459" spans="131:132" x14ac:dyDescent="0.2">
      <c r="EA459" s="12"/>
      <c r="EB459" s="12"/>
    </row>
    <row r="460" spans="131:132" x14ac:dyDescent="0.2">
      <c r="EA460" s="12"/>
      <c r="EB460" s="12"/>
    </row>
    <row r="461" spans="131:132" x14ac:dyDescent="0.2">
      <c r="EA461" s="12"/>
      <c r="EB461" s="12"/>
    </row>
    <row r="462" spans="131:132" x14ac:dyDescent="0.2">
      <c r="EA462" s="12"/>
      <c r="EB462" s="12"/>
    </row>
    <row r="463" spans="131:132" x14ac:dyDescent="0.2">
      <c r="EA463" s="12"/>
      <c r="EB463" s="12"/>
    </row>
    <row r="464" spans="131:132" x14ac:dyDescent="0.2">
      <c r="EA464" s="12"/>
      <c r="EB464" s="12"/>
    </row>
    <row r="465" spans="131:132" x14ac:dyDescent="0.2">
      <c r="EA465" s="12"/>
      <c r="EB465" s="12"/>
    </row>
    <row r="466" spans="131:132" x14ac:dyDescent="0.2">
      <c r="EA466" s="12"/>
      <c r="EB466" s="12"/>
    </row>
    <row r="467" spans="131:132" x14ac:dyDescent="0.2">
      <c r="EA467" s="12"/>
      <c r="EB467" s="12"/>
    </row>
    <row r="468" spans="131:132" x14ac:dyDescent="0.2">
      <c r="EA468" s="12"/>
      <c r="EB468" s="12"/>
    </row>
    <row r="469" spans="131:132" x14ac:dyDescent="0.2">
      <c r="EA469" s="12"/>
      <c r="EB469" s="12"/>
    </row>
    <row r="470" spans="131:132" x14ac:dyDescent="0.2">
      <c r="EA470" s="12"/>
      <c r="EB470" s="12"/>
    </row>
    <row r="471" spans="131:132" x14ac:dyDescent="0.2">
      <c r="EA471" s="12"/>
      <c r="EB471" s="12"/>
    </row>
    <row r="472" spans="131:132" x14ac:dyDescent="0.2">
      <c r="EA472" s="12"/>
      <c r="EB472" s="12"/>
    </row>
    <row r="473" spans="131:132" x14ac:dyDescent="0.2">
      <c r="EA473" s="12"/>
      <c r="EB473" s="12"/>
    </row>
    <row r="474" spans="131:132" x14ac:dyDescent="0.2">
      <c r="EA474" s="12"/>
      <c r="EB474" s="12"/>
    </row>
    <row r="475" spans="131:132" x14ac:dyDescent="0.2">
      <c r="EA475" s="12"/>
      <c r="EB475" s="12"/>
    </row>
    <row r="476" spans="131:132" x14ac:dyDescent="0.2">
      <c r="EA476" s="12"/>
      <c r="EB476" s="12"/>
    </row>
    <row r="477" spans="131:132" x14ac:dyDescent="0.2">
      <c r="EA477" s="12"/>
      <c r="EB477" s="12"/>
    </row>
    <row r="478" spans="131:132" x14ac:dyDescent="0.2">
      <c r="EA478" s="12"/>
      <c r="EB478" s="12"/>
    </row>
    <row r="479" spans="131:132" x14ac:dyDescent="0.2">
      <c r="EA479" s="12"/>
      <c r="EB479" s="12"/>
    </row>
    <row r="480" spans="131:132" x14ac:dyDescent="0.2">
      <c r="EA480" s="12"/>
      <c r="EB480" s="12"/>
    </row>
    <row r="481" spans="131:132" x14ac:dyDescent="0.2">
      <c r="EA481" s="12"/>
      <c r="EB481" s="12"/>
    </row>
    <row r="482" spans="131:132" x14ac:dyDescent="0.2">
      <c r="EA482" s="12"/>
      <c r="EB482" s="12"/>
    </row>
    <row r="483" spans="131:132" x14ac:dyDescent="0.2">
      <c r="EA483" s="12"/>
      <c r="EB483" s="12"/>
    </row>
    <row r="484" spans="131:132" x14ac:dyDescent="0.2">
      <c r="EA484" s="12"/>
      <c r="EB484" s="12"/>
    </row>
    <row r="485" spans="131:132" x14ac:dyDescent="0.2">
      <c r="EA485" s="12"/>
      <c r="EB485" s="12"/>
    </row>
    <row r="486" spans="131:132" x14ac:dyDescent="0.2">
      <c r="EA486" s="12"/>
      <c r="EB486" s="12"/>
    </row>
    <row r="487" spans="131:132" x14ac:dyDescent="0.2">
      <c r="EA487" s="12"/>
      <c r="EB487" s="12"/>
    </row>
    <row r="488" spans="131:132" x14ac:dyDescent="0.2">
      <c r="EA488" s="12"/>
      <c r="EB488" s="12"/>
    </row>
    <row r="489" spans="131:132" x14ac:dyDescent="0.2">
      <c r="EA489" s="12"/>
      <c r="EB489" s="12"/>
    </row>
    <row r="490" spans="131:132" x14ac:dyDescent="0.2">
      <c r="EA490" s="12"/>
      <c r="EB490" s="12"/>
    </row>
    <row r="491" spans="131:132" x14ac:dyDescent="0.2">
      <c r="EA491" s="12"/>
      <c r="EB491" s="12"/>
    </row>
    <row r="492" spans="131:132" x14ac:dyDescent="0.2">
      <c r="EA492" s="12"/>
      <c r="EB492" s="12"/>
    </row>
    <row r="493" spans="131:132" x14ac:dyDescent="0.2">
      <c r="EA493" s="12"/>
      <c r="EB493" s="12"/>
    </row>
    <row r="494" spans="131:132" x14ac:dyDescent="0.2">
      <c r="EA494" s="12"/>
      <c r="EB494" s="12"/>
    </row>
    <row r="495" spans="131:132" x14ac:dyDescent="0.2">
      <c r="EA495" s="12"/>
      <c r="EB495" s="12"/>
    </row>
    <row r="496" spans="131:132" x14ac:dyDescent="0.2">
      <c r="EA496" s="12"/>
      <c r="EB496" s="12"/>
    </row>
    <row r="497" spans="131:132" x14ac:dyDescent="0.2">
      <c r="EA497" s="12"/>
      <c r="EB497" s="12"/>
    </row>
    <row r="498" spans="131:132" x14ac:dyDescent="0.2">
      <c r="EA498" s="12"/>
      <c r="EB498" s="12"/>
    </row>
    <row r="499" spans="131:132" x14ac:dyDescent="0.2">
      <c r="EA499" s="12"/>
      <c r="EB499" s="12"/>
    </row>
    <row r="500" spans="131:132" x14ac:dyDescent="0.2">
      <c r="EA500" s="12"/>
      <c r="EB500" s="12"/>
    </row>
    <row r="501" spans="131:132" x14ac:dyDescent="0.2">
      <c r="EA501" s="12"/>
      <c r="EB501" s="12"/>
    </row>
    <row r="502" spans="131:132" x14ac:dyDescent="0.2">
      <c r="EA502" s="12"/>
      <c r="EB502" s="12"/>
    </row>
    <row r="503" spans="131:132" x14ac:dyDescent="0.2">
      <c r="EA503" s="12"/>
      <c r="EB503" s="12"/>
    </row>
    <row r="504" spans="131:132" x14ac:dyDescent="0.2">
      <c r="EA504" s="12"/>
      <c r="EB504" s="12"/>
    </row>
    <row r="505" spans="131:132" x14ac:dyDescent="0.2">
      <c r="EA505" s="12"/>
      <c r="EB505" s="12"/>
    </row>
    <row r="506" spans="131:132" x14ac:dyDescent="0.2">
      <c r="EA506" s="12"/>
      <c r="EB506" s="12"/>
    </row>
    <row r="507" spans="131:132" x14ac:dyDescent="0.2">
      <c r="EA507" s="12"/>
      <c r="EB507" s="12"/>
    </row>
    <row r="508" spans="131:132" x14ac:dyDescent="0.2">
      <c r="EA508" s="12"/>
      <c r="EB508" s="12"/>
    </row>
    <row r="509" spans="131:132" x14ac:dyDescent="0.2">
      <c r="EA509" s="12"/>
      <c r="EB509" s="12"/>
    </row>
    <row r="510" spans="131:132" x14ac:dyDescent="0.2">
      <c r="EA510" s="12"/>
      <c r="EB510" s="12"/>
    </row>
    <row r="511" spans="131:132" x14ac:dyDescent="0.2">
      <c r="EA511" s="12"/>
      <c r="EB511" s="12"/>
    </row>
    <row r="512" spans="131:132" x14ac:dyDescent="0.2">
      <c r="EA512" s="12"/>
      <c r="EB512" s="12"/>
    </row>
    <row r="513" spans="131:132" x14ac:dyDescent="0.2">
      <c r="EA513" s="12"/>
      <c r="EB513" s="12"/>
    </row>
    <row r="514" spans="131:132" x14ac:dyDescent="0.2">
      <c r="EA514" s="12"/>
      <c r="EB514" s="12"/>
    </row>
    <row r="515" spans="131:132" x14ac:dyDescent="0.2">
      <c r="EA515" s="12"/>
      <c r="EB515" s="12"/>
    </row>
    <row r="516" spans="131:132" x14ac:dyDescent="0.2">
      <c r="EA516" s="12"/>
      <c r="EB516" s="12"/>
    </row>
    <row r="517" spans="131:132" x14ac:dyDescent="0.2">
      <c r="EA517" s="12"/>
      <c r="EB517" s="12"/>
    </row>
    <row r="518" spans="131:132" x14ac:dyDescent="0.2">
      <c r="EA518" s="12"/>
      <c r="EB518" s="12"/>
    </row>
    <row r="519" spans="131:132" x14ac:dyDescent="0.2">
      <c r="EA519" s="12"/>
      <c r="EB519" s="12"/>
    </row>
    <row r="520" spans="131:132" x14ac:dyDescent="0.2">
      <c r="EA520" s="12"/>
      <c r="EB520" s="12"/>
    </row>
    <row r="521" spans="131:132" x14ac:dyDescent="0.2">
      <c r="EA521" s="12"/>
      <c r="EB521" s="12"/>
    </row>
    <row r="522" spans="131:132" x14ac:dyDescent="0.2">
      <c r="EA522" s="12"/>
      <c r="EB522" s="12"/>
    </row>
    <row r="523" spans="131:132" x14ac:dyDescent="0.2">
      <c r="EA523" s="12"/>
      <c r="EB523" s="12"/>
    </row>
    <row r="524" spans="131:132" x14ac:dyDescent="0.2">
      <c r="EA524" s="12"/>
      <c r="EB524" s="12"/>
    </row>
    <row r="525" spans="131:132" x14ac:dyDescent="0.2">
      <c r="EA525" s="12"/>
      <c r="EB525" s="12"/>
    </row>
    <row r="526" spans="131:132" x14ac:dyDescent="0.2">
      <c r="EA526" s="12"/>
      <c r="EB526" s="12"/>
    </row>
    <row r="527" spans="131:132" x14ac:dyDescent="0.2">
      <c r="EA527" s="12"/>
      <c r="EB527" s="12"/>
    </row>
    <row r="528" spans="131:132" x14ac:dyDescent="0.2">
      <c r="EA528" s="12"/>
      <c r="EB528" s="12"/>
    </row>
    <row r="529" spans="131:132" x14ac:dyDescent="0.2">
      <c r="EA529" s="12"/>
      <c r="EB529" s="12"/>
    </row>
    <row r="530" spans="131:132" x14ac:dyDescent="0.2">
      <c r="EA530" s="12"/>
      <c r="EB530" s="12"/>
    </row>
    <row r="531" spans="131:132" x14ac:dyDescent="0.2">
      <c r="EA531" s="12"/>
      <c r="EB531" s="12"/>
    </row>
    <row r="532" spans="131:132" x14ac:dyDescent="0.2">
      <c r="EA532" s="12"/>
      <c r="EB532" s="12"/>
    </row>
    <row r="533" spans="131:132" x14ac:dyDescent="0.2">
      <c r="EA533" s="12"/>
      <c r="EB533" s="12"/>
    </row>
    <row r="534" spans="131:132" x14ac:dyDescent="0.2">
      <c r="EA534" s="12"/>
      <c r="EB534" s="12"/>
    </row>
    <row r="535" spans="131:132" x14ac:dyDescent="0.2">
      <c r="EA535" s="12"/>
      <c r="EB535" s="12"/>
    </row>
    <row r="536" spans="131:132" x14ac:dyDescent="0.2">
      <c r="EA536" s="12"/>
      <c r="EB536" s="12"/>
    </row>
    <row r="537" spans="131:132" x14ac:dyDescent="0.2">
      <c r="EA537" s="12"/>
      <c r="EB537" s="12"/>
    </row>
    <row r="538" spans="131:132" x14ac:dyDescent="0.2">
      <c r="EA538" s="12"/>
      <c r="EB538" s="12"/>
    </row>
    <row r="539" spans="131:132" x14ac:dyDescent="0.2">
      <c r="EA539" s="12"/>
      <c r="EB539" s="12"/>
    </row>
    <row r="540" spans="131:132" x14ac:dyDescent="0.2">
      <c r="EA540" s="12"/>
      <c r="EB540" s="12"/>
    </row>
    <row r="541" spans="131:132" x14ac:dyDescent="0.2">
      <c r="EA541" s="12"/>
      <c r="EB541" s="12"/>
    </row>
    <row r="542" spans="131:132" x14ac:dyDescent="0.2">
      <c r="EA542" s="12"/>
      <c r="EB542" s="12"/>
    </row>
    <row r="543" spans="131:132" x14ac:dyDescent="0.2">
      <c r="EA543" s="12"/>
      <c r="EB543" s="12"/>
    </row>
    <row r="544" spans="131:132" x14ac:dyDescent="0.2">
      <c r="EA544" s="12"/>
      <c r="EB544" s="12"/>
    </row>
    <row r="545" spans="131:132" x14ac:dyDescent="0.2">
      <c r="EA545" s="12"/>
      <c r="EB545" s="12"/>
    </row>
    <row r="546" spans="131:132" x14ac:dyDescent="0.2">
      <c r="EA546" s="12"/>
      <c r="EB546" s="12"/>
    </row>
    <row r="547" spans="131:132" x14ac:dyDescent="0.2">
      <c r="EA547" s="12"/>
      <c r="EB547" s="12"/>
    </row>
    <row r="548" spans="131:132" x14ac:dyDescent="0.2">
      <c r="EA548" s="12"/>
      <c r="EB548" s="12"/>
    </row>
    <row r="549" spans="131:132" x14ac:dyDescent="0.2">
      <c r="EA549" s="12"/>
      <c r="EB549" s="12"/>
    </row>
    <row r="550" spans="131:132" x14ac:dyDescent="0.2">
      <c r="EA550" s="12"/>
      <c r="EB550" s="12"/>
    </row>
    <row r="551" spans="131:132" x14ac:dyDescent="0.2">
      <c r="EA551" s="12"/>
      <c r="EB551" s="12"/>
    </row>
    <row r="552" spans="131:132" x14ac:dyDescent="0.2">
      <c r="EA552" s="12"/>
      <c r="EB552" s="12"/>
    </row>
    <row r="553" spans="131:132" x14ac:dyDescent="0.2">
      <c r="EA553" s="12"/>
      <c r="EB553" s="12"/>
    </row>
    <row r="554" spans="131:132" x14ac:dyDescent="0.2">
      <c r="EA554" s="12"/>
      <c r="EB554" s="12"/>
    </row>
    <row r="555" spans="131:132" x14ac:dyDescent="0.2">
      <c r="EA555" s="12"/>
      <c r="EB555" s="12"/>
    </row>
    <row r="556" spans="131:132" x14ac:dyDescent="0.2">
      <c r="EA556" s="12"/>
      <c r="EB556" s="12"/>
    </row>
    <row r="557" spans="131:132" x14ac:dyDescent="0.2">
      <c r="EA557" s="12"/>
      <c r="EB557" s="12"/>
    </row>
    <row r="558" spans="131:132" x14ac:dyDescent="0.2">
      <c r="EA558" s="12"/>
      <c r="EB558" s="12"/>
    </row>
    <row r="559" spans="131:132" x14ac:dyDescent="0.2">
      <c r="EA559" s="12"/>
      <c r="EB559" s="12"/>
    </row>
    <row r="560" spans="131:132" x14ac:dyDescent="0.2">
      <c r="EA560" s="12"/>
      <c r="EB560" s="12"/>
    </row>
    <row r="561" spans="131:132" x14ac:dyDescent="0.2">
      <c r="EA561" s="12"/>
      <c r="EB561" s="12"/>
    </row>
    <row r="562" spans="131:132" x14ac:dyDescent="0.2">
      <c r="EA562" s="12"/>
      <c r="EB562" s="12"/>
    </row>
    <row r="563" spans="131:132" x14ac:dyDescent="0.2">
      <c r="EA563" s="12"/>
      <c r="EB563" s="12"/>
    </row>
    <row r="564" spans="131:132" x14ac:dyDescent="0.2">
      <c r="EA564" s="12"/>
      <c r="EB564" s="12"/>
    </row>
    <row r="565" spans="131:132" x14ac:dyDescent="0.2">
      <c r="EA565" s="12"/>
      <c r="EB565" s="12"/>
    </row>
    <row r="566" spans="131:132" x14ac:dyDescent="0.2">
      <c r="EA566" s="12"/>
      <c r="EB566" s="12"/>
    </row>
    <row r="567" spans="131:132" x14ac:dyDescent="0.2">
      <c r="EA567" s="12"/>
      <c r="EB567" s="12"/>
    </row>
    <row r="568" spans="131:132" x14ac:dyDescent="0.2">
      <c r="EA568" s="12"/>
      <c r="EB568" s="12"/>
    </row>
    <row r="569" spans="131:132" x14ac:dyDescent="0.2">
      <c r="EA569" s="12"/>
      <c r="EB569" s="12"/>
    </row>
    <row r="570" spans="131:132" x14ac:dyDescent="0.2">
      <c r="EA570" s="12"/>
      <c r="EB570" s="12"/>
    </row>
    <row r="571" spans="131:132" x14ac:dyDescent="0.2">
      <c r="EA571" s="12"/>
      <c r="EB571" s="12"/>
    </row>
    <row r="572" spans="131:132" x14ac:dyDescent="0.2">
      <c r="EA572" s="12"/>
      <c r="EB572" s="12"/>
    </row>
    <row r="573" spans="131:132" x14ac:dyDescent="0.2">
      <c r="EA573" s="12"/>
      <c r="EB573" s="12"/>
    </row>
    <row r="574" spans="131:132" x14ac:dyDescent="0.2">
      <c r="EA574" s="12"/>
      <c r="EB574" s="12"/>
    </row>
    <row r="575" spans="131:132" x14ac:dyDescent="0.2">
      <c r="EA575" s="12"/>
      <c r="EB575" s="12"/>
    </row>
    <row r="576" spans="131:132" x14ac:dyDescent="0.2">
      <c r="EA576" s="12"/>
      <c r="EB576" s="12"/>
    </row>
    <row r="577" spans="131:132" x14ac:dyDescent="0.2">
      <c r="EA577" s="12"/>
      <c r="EB577" s="12"/>
    </row>
    <row r="578" spans="131:132" x14ac:dyDescent="0.2">
      <c r="EA578" s="12"/>
      <c r="EB578" s="12"/>
    </row>
    <row r="579" spans="131:132" x14ac:dyDescent="0.2">
      <c r="EA579" s="12"/>
      <c r="EB579" s="12"/>
    </row>
    <row r="580" spans="131:132" x14ac:dyDescent="0.2">
      <c r="EA580" s="12"/>
      <c r="EB580" s="12"/>
    </row>
    <row r="581" spans="131:132" x14ac:dyDescent="0.2">
      <c r="EA581" s="12"/>
      <c r="EB581" s="12"/>
    </row>
    <row r="582" spans="131:132" x14ac:dyDescent="0.2">
      <c r="EA582" s="12"/>
      <c r="EB582" s="12"/>
    </row>
    <row r="583" spans="131:132" x14ac:dyDescent="0.2">
      <c r="EA583" s="12"/>
      <c r="EB583" s="12"/>
    </row>
    <row r="584" spans="131:132" x14ac:dyDescent="0.2">
      <c r="EA584" s="12"/>
      <c r="EB584" s="12"/>
    </row>
    <row r="585" spans="131:132" x14ac:dyDescent="0.2">
      <c r="EA585" s="12"/>
      <c r="EB585" s="12"/>
    </row>
    <row r="586" spans="131:132" x14ac:dyDescent="0.2">
      <c r="EA586" s="12"/>
      <c r="EB586" s="12"/>
    </row>
    <row r="587" spans="131:132" x14ac:dyDescent="0.2">
      <c r="EA587" s="12"/>
      <c r="EB587" s="12"/>
    </row>
    <row r="588" spans="131:132" x14ac:dyDescent="0.2">
      <c r="EA588" s="12"/>
      <c r="EB588" s="12"/>
    </row>
    <row r="589" spans="131:132" x14ac:dyDescent="0.2">
      <c r="EA589" s="12"/>
      <c r="EB589" s="12"/>
    </row>
    <row r="590" spans="131:132" x14ac:dyDescent="0.2">
      <c r="EA590" s="12"/>
      <c r="EB590" s="12"/>
    </row>
    <row r="591" spans="131:132" x14ac:dyDescent="0.2">
      <c r="EA591" s="12"/>
      <c r="EB591" s="12"/>
    </row>
    <row r="592" spans="131:132" x14ac:dyDescent="0.2">
      <c r="EA592" s="12"/>
      <c r="EB592" s="12"/>
    </row>
    <row r="593" spans="131:132" x14ac:dyDescent="0.2">
      <c r="EA593" s="12"/>
      <c r="EB593" s="12"/>
    </row>
    <row r="594" spans="131:132" x14ac:dyDescent="0.2">
      <c r="EA594" s="12"/>
      <c r="EB594" s="12"/>
    </row>
    <row r="595" spans="131:132" x14ac:dyDescent="0.2">
      <c r="EA595" s="12"/>
      <c r="EB595" s="12"/>
    </row>
    <row r="596" spans="131:132" x14ac:dyDescent="0.2">
      <c r="EA596" s="12"/>
      <c r="EB596" s="12"/>
    </row>
    <row r="597" spans="131:132" x14ac:dyDescent="0.2">
      <c r="EA597" s="12"/>
      <c r="EB597" s="12"/>
    </row>
    <row r="598" spans="131:132" x14ac:dyDescent="0.2">
      <c r="EA598" s="12"/>
      <c r="EB598" s="12"/>
    </row>
    <row r="599" spans="131:132" x14ac:dyDescent="0.2">
      <c r="EA599" s="12"/>
      <c r="EB599" s="12"/>
    </row>
    <row r="600" spans="131:132" x14ac:dyDescent="0.2">
      <c r="EA600" s="12"/>
      <c r="EB600" s="12"/>
    </row>
    <row r="601" spans="131:132" x14ac:dyDescent="0.2">
      <c r="EA601" s="12"/>
      <c r="EB601" s="12"/>
    </row>
    <row r="602" spans="131:132" x14ac:dyDescent="0.2">
      <c r="EA602" s="12"/>
      <c r="EB602" s="12"/>
    </row>
    <row r="603" spans="131:132" x14ac:dyDescent="0.2">
      <c r="EA603" s="12"/>
      <c r="EB603" s="12"/>
    </row>
    <row r="604" spans="131:132" x14ac:dyDescent="0.2">
      <c r="EA604" s="12"/>
      <c r="EB604" s="12"/>
    </row>
    <row r="605" spans="131:132" x14ac:dyDescent="0.2">
      <c r="EA605" s="12"/>
      <c r="EB605" s="12"/>
    </row>
    <row r="606" spans="131:132" x14ac:dyDescent="0.2">
      <c r="EA606" s="12"/>
      <c r="EB606" s="12"/>
    </row>
    <row r="607" spans="131:132" x14ac:dyDescent="0.2">
      <c r="EA607" s="12"/>
      <c r="EB607" s="12"/>
    </row>
    <row r="608" spans="131:132" x14ac:dyDescent="0.2">
      <c r="EA608" s="12"/>
      <c r="EB608" s="12"/>
    </row>
    <row r="609" spans="131:132" x14ac:dyDescent="0.2">
      <c r="EA609" s="12"/>
      <c r="EB609" s="12"/>
    </row>
    <row r="610" spans="131:132" x14ac:dyDescent="0.2">
      <c r="EA610" s="12"/>
      <c r="EB610" s="12"/>
    </row>
    <row r="611" spans="131:132" x14ac:dyDescent="0.2">
      <c r="EA611" s="12"/>
      <c r="EB611" s="12"/>
    </row>
    <row r="612" spans="131:132" x14ac:dyDescent="0.2">
      <c r="EA612" s="12"/>
      <c r="EB612" s="12"/>
    </row>
    <row r="613" spans="131:132" x14ac:dyDescent="0.2">
      <c r="EA613" s="12"/>
      <c r="EB613" s="12"/>
    </row>
    <row r="614" spans="131:132" x14ac:dyDescent="0.2">
      <c r="EA614" s="12"/>
      <c r="EB614" s="12"/>
    </row>
    <row r="615" spans="131:132" x14ac:dyDescent="0.2">
      <c r="EA615" s="12"/>
      <c r="EB615" s="12"/>
    </row>
    <row r="616" spans="131:132" x14ac:dyDescent="0.2">
      <c r="EA616" s="12"/>
      <c r="EB616" s="12"/>
    </row>
    <row r="617" spans="131:132" x14ac:dyDescent="0.2">
      <c r="EA617" s="12"/>
      <c r="EB617" s="12"/>
    </row>
    <row r="618" spans="131:132" x14ac:dyDescent="0.2">
      <c r="EA618" s="12"/>
      <c r="EB618" s="12"/>
    </row>
    <row r="619" spans="131:132" x14ac:dyDescent="0.2">
      <c r="EA619" s="12"/>
      <c r="EB619" s="12"/>
    </row>
    <row r="620" spans="131:132" x14ac:dyDescent="0.2">
      <c r="EA620" s="12"/>
      <c r="EB620" s="12"/>
    </row>
    <row r="621" spans="131:132" x14ac:dyDescent="0.2">
      <c r="EA621" s="12"/>
      <c r="EB621" s="12"/>
    </row>
    <row r="622" spans="131:132" x14ac:dyDescent="0.2">
      <c r="EA622" s="12"/>
      <c r="EB622" s="12"/>
    </row>
    <row r="623" spans="131:132" x14ac:dyDescent="0.2">
      <c r="EA623" s="12"/>
      <c r="EB623" s="12"/>
    </row>
    <row r="624" spans="131:132" x14ac:dyDescent="0.2">
      <c r="EA624" s="12"/>
      <c r="EB624" s="12"/>
    </row>
    <row r="625" spans="131:132" x14ac:dyDescent="0.2">
      <c r="EA625" s="12"/>
      <c r="EB625" s="12"/>
    </row>
    <row r="626" spans="131:132" x14ac:dyDescent="0.2">
      <c r="EA626" s="12"/>
      <c r="EB626" s="12"/>
    </row>
    <row r="627" spans="131:132" x14ac:dyDescent="0.2">
      <c r="EA627" s="12"/>
      <c r="EB627" s="12"/>
    </row>
    <row r="628" spans="131:132" x14ac:dyDescent="0.2">
      <c r="EA628" s="12"/>
      <c r="EB628" s="12"/>
    </row>
    <row r="629" spans="131:132" x14ac:dyDescent="0.2">
      <c r="EA629" s="12"/>
      <c r="EB629" s="12"/>
    </row>
    <row r="630" spans="131:132" x14ac:dyDescent="0.2">
      <c r="EA630" s="12"/>
      <c r="EB630" s="12"/>
    </row>
    <row r="631" spans="131:132" x14ac:dyDescent="0.2">
      <c r="EA631" s="12"/>
      <c r="EB631" s="12"/>
    </row>
    <row r="632" spans="131:132" x14ac:dyDescent="0.2">
      <c r="EA632" s="12"/>
      <c r="EB632" s="12"/>
    </row>
    <row r="633" spans="131:132" x14ac:dyDescent="0.2">
      <c r="EA633" s="12"/>
      <c r="EB633" s="12"/>
    </row>
    <row r="634" spans="131:132" x14ac:dyDescent="0.2">
      <c r="EA634" s="12"/>
      <c r="EB634" s="12"/>
    </row>
    <row r="635" spans="131:132" x14ac:dyDescent="0.2">
      <c r="EA635" s="12"/>
      <c r="EB635" s="12"/>
    </row>
    <row r="636" spans="131:132" x14ac:dyDescent="0.2">
      <c r="EA636" s="12"/>
      <c r="EB636" s="12"/>
    </row>
    <row r="637" spans="131:132" x14ac:dyDescent="0.2">
      <c r="EA637" s="12"/>
      <c r="EB637" s="12"/>
    </row>
    <row r="638" spans="131:132" x14ac:dyDescent="0.2">
      <c r="EA638" s="12"/>
      <c r="EB638" s="12"/>
    </row>
    <row r="639" spans="131:132" x14ac:dyDescent="0.2">
      <c r="EA639" s="12"/>
      <c r="EB639" s="12"/>
    </row>
    <row r="640" spans="131:132" x14ac:dyDescent="0.2">
      <c r="EA640" s="12"/>
      <c r="EB640" s="12"/>
    </row>
    <row r="641" spans="131:132" x14ac:dyDescent="0.2">
      <c r="EA641" s="12"/>
      <c r="EB641" s="12"/>
    </row>
    <row r="642" spans="131:132" x14ac:dyDescent="0.2">
      <c r="EA642" s="12"/>
      <c r="EB642" s="12"/>
    </row>
    <row r="643" spans="131:132" x14ac:dyDescent="0.2">
      <c r="EA643" s="12"/>
      <c r="EB643" s="12"/>
    </row>
    <row r="644" spans="131:132" x14ac:dyDescent="0.2">
      <c r="EA644" s="12"/>
      <c r="EB644" s="12"/>
    </row>
    <row r="645" spans="131:132" x14ac:dyDescent="0.2">
      <c r="EA645" s="12"/>
      <c r="EB645" s="12"/>
    </row>
    <row r="646" spans="131:132" x14ac:dyDescent="0.2">
      <c r="EA646" s="12"/>
      <c r="EB646" s="12"/>
    </row>
    <row r="647" spans="131:132" x14ac:dyDescent="0.2">
      <c r="EA647" s="12"/>
      <c r="EB647" s="12"/>
    </row>
    <row r="648" spans="131:132" x14ac:dyDescent="0.2">
      <c r="EA648" s="12"/>
      <c r="EB648" s="12"/>
    </row>
    <row r="649" spans="131:132" x14ac:dyDescent="0.2">
      <c r="EA649" s="12"/>
      <c r="EB649" s="12"/>
    </row>
    <row r="650" spans="131:132" x14ac:dyDescent="0.2">
      <c r="EA650" s="12"/>
      <c r="EB650" s="12"/>
    </row>
    <row r="651" spans="131:132" x14ac:dyDescent="0.2">
      <c r="EA651" s="12"/>
      <c r="EB651" s="12"/>
    </row>
    <row r="652" spans="131:132" x14ac:dyDescent="0.2">
      <c r="EA652" s="12"/>
      <c r="EB652" s="12"/>
    </row>
    <row r="653" spans="131:132" x14ac:dyDescent="0.2">
      <c r="EA653" s="12"/>
      <c r="EB653" s="12"/>
    </row>
    <row r="654" spans="131:132" x14ac:dyDescent="0.2">
      <c r="EA654" s="12"/>
      <c r="EB654" s="12"/>
    </row>
    <row r="655" spans="131:132" x14ac:dyDescent="0.2">
      <c r="EA655" s="12"/>
      <c r="EB655" s="12"/>
    </row>
    <row r="656" spans="131:132" x14ac:dyDescent="0.2">
      <c r="EA656" s="12"/>
      <c r="EB656" s="12"/>
    </row>
    <row r="657" spans="131:132" x14ac:dyDescent="0.2">
      <c r="EA657" s="12"/>
      <c r="EB657" s="12"/>
    </row>
    <row r="658" spans="131:132" x14ac:dyDescent="0.2">
      <c r="EA658" s="12"/>
      <c r="EB658" s="12"/>
    </row>
    <row r="659" spans="131:132" x14ac:dyDescent="0.2">
      <c r="EA659" s="12"/>
      <c r="EB659" s="12"/>
    </row>
    <row r="660" spans="131:132" x14ac:dyDescent="0.2">
      <c r="EA660" s="12"/>
      <c r="EB660" s="12"/>
    </row>
    <row r="661" spans="131:132" x14ac:dyDescent="0.2">
      <c r="EA661" s="12"/>
      <c r="EB661" s="12"/>
    </row>
    <row r="662" spans="131:132" x14ac:dyDescent="0.2">
      <c r="EA662" s="12"/>
      <c r="EB662" s="12"/>
    </row>
    <row r="663" spans="131:132" x14ac:dyDescent="0.2">
      <c r="EA663" s="12"/>
      <c r="EB663" s="12"/>
    </row>
    <row r="664" spans="131:132" x14ac:dyDescent="0.2">
      <c r="EA664" s="12"/>
      <c r="EB664" s="12"/>
    </row>
    <row r="665" spans="131:132" x14ac:dyDescent="0.2">
      <c r="EA665" s="12"/>
      <c r="EB665" s="12"/>
    </row>
    <row r="666" spans="131:132" x14ac:dyDescent="0.2">
      <c r="EA666" s="12"/>
      <c r="EB666" s="12"/>
    </row>
    <row r="667" spans="131:132" x14ac:dyDescent="0.2">
      <c r="EA667" s="12"/>
      <c r="EB667" s="12"/>
    </row>
    <row r="668" spans="131:132" x14ac:dyDescent="0.2">
      <c r="EA668" s="12"/>
      <c r="EB668" s="12"/>
    </row>
    <row r="669" spans="131:132" x14ac:dyDescent="0.2">
      <c r="EA669" s="12"/>
      <c r="EB669" s="12"/>
    </row>
    <row r="670" spans="131:132" x14ac:dyDescent="0.2">
      <c r="EA670" s="12"/>
      <c r="EB670" s="12"/>
    </row>
    <row r="671" spans="131:132" x14ac:dyDescent="0.2">
      <c r="EA671" s="12"/>
      <c r="EB671" s="12"/>
    </row>
    <row r="672" spans="131:132" x14ac:dyDescent="0.2">
      <c r="EA672" s="12"/>
      <c r="EB672" s="12"/>
    </row>
    <row r="673" spans="131:132" x14ac:dyDescent="0.2">
      <c r="EA673" s="12"/>
      <c r="EB673" s="12"/>
    </row>
    <row r="674" spans="131:132" x14ac:dyDescent="0.2">
      <c r="EA674" s="12"/>
      <c r="EB674" s="12"/>
    </row>
    <row r="675" spans="131:132" x14ac:dyDescent="0.2">
      <c r="EA675" s="12"/>
      <c r="EB675" s="12"/>
    </row>
    <row r="676" spans="131:132" x14ac:dyDescent="0.2">
      <c r="EA676" s="12"/>
      <c r="EB676" s="12"/>
    </row>
    <row r="677" spans="131:132" x14ac:dyDescent="0.2">
      <c r="EA677" s="12"/>
      <c r="EB677" s="12"/>
    </row>
    <row r="678" spans="131:132" x14ac:dyDescent="0.2">
      <c r="EA678" s="12"/>
      <c r="EB678" s="12"/>
    </row>
    <row r="679" spans="131:132" x14ac:dyDescent="0.2">
      <c r="EA679" s="12"/>
      <c r="EB679" s="12"/>
    </row>
    <row r="680" spans="131:132" x14ac:dyDescent="0.2">
      <c r="EA680" s="12"/>
      <c r="EB680" s="12"/>
    </row>
    <row r="681" spans="131:132" x14ac:dyDescent="0.2">
      <c r="EA681" s="12"/>
      <c r="EB681" s="12"/>
    </row>
    <row r="682" spans="131:132" x14ac:dyDescent="0.2">
      <c r="EA682" s="12"/>
      <c r="EB682" s="12"/>
    </row>
    <row r="683" spans="131:132" x14ac:dyDescent="0.2">
      <c r="EA683" s="12"/>
      <c r="EB683" s="12"/>
    </row>
    <row r="684" spans="131:132" x14ac:dyDescent="0.2">
      <c r="EA684" s="12"/>
      <c r="EB684" s="12"/>
    </row>
    <row r="685" spans="131:132" x14ac:dyDescent="0.2">
      <c r="EA685" s="12"/>
      <c r="EB685" s="12"/>
    </row>
    <row r="686" spans="131:132" x14ac:dyDescent="0.2">
      <c r="EA686" s="12"/>
      <c r="EB686" s="12"/>
    </row>
    <row r="687" spans="131:132" x14ac:dyDescent="0.2">
      <c r="EA687" s="12"/>
      <c r="EB687" s="12"/>
    </row>
    <row r="688" spans="131:132" x14ac:dyDescent="0.2">
      <c r="EA688" s="12"/>
      <c r="EB688" s="12"/>
    </row>
    <row r="689" spans="131:132" x14ac:dyDescent="0.2">
      <c r="EA689" s="12"/>
      <c r="EB689" s="12"/>
    </row>
    <row r="690" spans="131:132" x14ac:dyDescent="0.2">
      <c r="EA690" s="12"/>
      <c r="EB690" s="12"/>
    </row>
    <row r="691" spans="131:132" x14ac:dyDescent="0.2">
      <c r="EA691" s="12"/>
      <c r="EB691" s="12"/>
    </row>
    <row r="692" spans="131:132" x14ac:dyDescent="0.2">
      <c r="EA692" s="12"/>
      <c r="EB692" s="12"/>
    </row>
    <row r="693" spans="131:132" x14ac:dyDescent="0.2">
      <c r="EA693" s="12"/>
      <c r="EB693" s="12"/>
    </row>
    <row r="694" spans="131:132" x14ac:dyDescent="0.2">
      <c r="EA694" s="12"/>
      <c r="EB694" s="12"/>
    </row>
    <row r="695" spans="131:132" x14ac:dyDescent="0.2">
      <c r="EA695" s="12"/>
      <c r="EB695" s="12"/>
    </row>
    <row r="696" spans="131:132" x14ac:dyDescent="0.2">
      <c r="EA696" s="12"/>
      <c r="EB696" s="12"/>
    </row>
    <row r="697" spans="131:132" x14ac:dyDescent="0.2">
      <c r="EA697" s="12"/>
      <c r="EB697" s="12"/>
    </row>
    <row r="698" spans="131:132" x14ac:dyDescent="0.2">
      <c r="EA698" s="12"/>
      <c r="EB698" s="12"/>
    </row>
    <row r="699" spans="131:132" x14ac:dyDescent="0.2">
      <c r="EA699" s="12"/>
      <c r="EB699" s="12"/>
    </row>
    <row r="700" spans="131:132" x14ac:dyDescent="0.2">
      <c r="EA700" s="12"/>
      <c r="EB700" s="12"/>
    </row>
    <row r="701" spans="131:132" x14ac:dyDescent="0.2">
      <c r="EA701" s="12"/>
      <c r="EB701" s="12"/>
    </row>
    <row r="702" spans="131:132" x14ac:dyDescent="0.2">
      <c r="EA702" s="12"/>
      <c r="EB702" s="12"/>
    </row>
    <row r="703" spans="131:132" x14ac:dyDescent="0.2">
      <c r="EA703" s="12"/>
      <c r="EB703" s="12"/>
    </row>
    <row r="704" spans="131:132" x14ac:dyDescent="0.2">
      <c r="EA704" s="12"/>
      <c r="EB704" s="12"/>
    </row>
    <row r="705" spans="131:132" x14ac:dyDescent="0.2">
      <c r="EA705" s="12"/>
      <c r="EB705" s="12"/>
    </row>
    <row r="706" spans="131:132" x14ac:dyDescent="0.2">
      <c r="EA706" s="12"/>
      <c r="EB706" s="12"/>
    </row>
    <row r="707" spans="131:132" x14ac:dyDescent="0.2">
      <c r="EA707" s="12"/>
      <c r="EB707" s="12"/>
    </row>
    <row r="708" spans="131:132" x14ac:dyDescent="0.2">
      <c r="EA708" s="12"/>
      <c r="EB708" s="12"/>
    </row>
    <row r="709" spans="131:132" x14ac:dyDescent="0.2">
      <c r="EA709" s="12"/>
      <c r="EB709" s="12"/>
    </row>
    <row r="710" spans="131:132" x14ac:dyDescent="0.2">
      <c r="EA710" s="12"/>
      <c r="EB710" s="12"/>
    </row>
    <row r="711" spans="131:132" x14ac:dyDescent="0.2">
      <c r="EA711" s="12"/>
      <c r="EB711" s="12"/>
    </row>
    <row r="712" spans="131:132" x14ac:dyDescent="0.2">
      <c r="EA712" s="12"/>
      <c r="EB712" s="12"/>
    </row>
    <row r="713" spans="131:132" x14ac:dyDescent="0.2">
      <c r="EA713" s="12"/>
      <c r="EB713" s="12"/>
    </row>
    <row r="714" spans="131:132" x14ac:dyDescent="0.2">
      <c r="EA714" s="12"/>
      <c r="EB714" s="12"/>
    </row>
    <row r="715" spans="131:132" x14ac:dyDescent="0.2">
      <c r="EA715" s="12"/>
      <c r="EB715" s="12"/>
    </row>
    <row r="716" spans="131:132" x14ac:dyDescent="0.2">
      <c r="EA716" s="12"/>
      <c r="EB716" s="12"/>
    </row>
    <row r="717" spans="131:132" x14ac:dyDescent="0.2">
      <c r="EA717" s="12"/>
      <c r="EB717" s="12"/>
    </row>
    <row r="718" spans="131:132" x14ac:dyDescent="0.2">
      <c r="EA718" s="12"/>
      <c r="EB718" s="12"/>
    </row>
    <row r="719" spans="131:132" x14ac:dyDescent="0.2">
      <c r="EA719" s="12"/>
      <c r="EB719" s="12"/>
    </row>
    <row r="720" spans="131:132" x14ac:dyDescent="0.2">
      <c r="EA720" s="12"/>
      <c r="EB720" s="12"/>
    </row>
    <row r="721" spans="131:132" x14ac:dyDescent="0.2">
      <c r="EA721" s="12"/>
      <c r="EB721" s="12"/>
    </row>
    <row r="722" spans="131:132" x14ac:dyDescent="0.2">
      <c r="EA722" s="12"/>
      <c r="EB722" s="12"/>
    </row>
    <row r="723" spans="131:132" x14ac:dyDescent="0.2">
      <c r="EA723" s="12"/>
      <c r="EB723" s="12"/>
    </row>
    <row r="724" spans="131:132" x14ac:dyDescent="0.2">
      <c r="EA724" s="12"/>
      <c r="EB724" s="12"/>
    </row>
    <row r="725" spans="131:132" x14ac:dyDescent="0.2">
      <c r="EA725" s="12"/>
      <c r="EB725" s="12"/>
    </row>
    <row r="726" spans="131:132" x14ac:dyDescent="0.2">
      <c r="EA726" s="12"/>
      <c r="EB726" s="12"/>
    </row>
    <row r="727" spans="131:132" x14ac:dyDescent="0.2">
      <c r="EA727" s="12"/>
      <c r="EB727" s="12"/>
    </row>
    <row r="728" spans="131:132" x14ac:dyDescent="0.2">
      <c r="EA728" s="12"/>
      <c r="EB728" s="12"/>
    </row>
    <row r="729" spans="131:132" x14ac:dyDescent="0.2">
      <c r="EA729" s="12"/>
      <c r="EB729" s="12"/>
    </row>
    <row r="730" spans="131:132" x14ac:dyDescent="0.2">
      <c r="EA730" s="12"/>
      <c r="EB730" s="12"/>
    </row>
    <row r="731" spans="131:132" x14ac:dyDescent="0.2">
      <c r="EA731" s="12"/>
      <c r="EB731" s="12"/>
    </row>
    <row r="732" spans="131:132" x14ac:dyDescent="0.2">
      <c r="EA732" s="12"/>
      <c r="EB732" s="12"/>
    </row>
    <row r="733" spans="131:132" x14ac:dyDescent="0.2">
      <c r="EA733" s="12"/>
      <c r="EB733" s="12"/>
    </row>
    <row r="734" spans="131:132" x14ac:dyDescent="0.2">
      <c r="EA734" s="12"/>
      <c r="EB734" s="12"/>
    </row>
    <row r="735" spans="131:132" x14ac:dyDescent="0.2">
      <c r="EA735" s="12"/>
      <c r="EB735" s="12"/>
    </row>
    <row r="736" spans="131:132" x14ac:dyDescent="0.2">
      <c r="EA736" s="12"/>
      <c r="EB736" s="12"/>
    </row>
    <row r="737" spans="131:132" x14ac:dyDescent="0.2">
      <c r="EA737" s="12"/>
      <c r="EB737" s="12"/>
    </row>
    <row r="738" spans="131:132" x14ac:dyDescent="0.2">
      <c r="EA738" s="12"/>
      <c r="EB738" s="12"/>
    </row>
    <row r="739" spans="131:132" x14ac:dyDescent="0.2">
      <c r="EA739" s="12"/>
      <c r="EB739" s="12"/>
    </row>
    <row r="740" spans="131:132" x14ac:dyDescent="0.2">
      <c r="EA740" s="12"/>
      <c r="EB740" s="12"/>
    </row>
    <row r="741" spans="131:132" x14ac:dyDescent="0.2">
      <c r="EA741" s="12"/>
      <c r="EB741" s="12"/>
    </row>
    <row r="742" spans="131:132" x14ac:dyDescent="0.2">
      <c r="EA742" s="12"/>
      <c r="EB742" s="12"/>
    </row>
    <row r="743" spans="131:132" x14ac:dyDescent="0.2">
      <c r="EA743" s="12"/>
      <c r="EB743" s="12"/>
    </row>
    <row r="744" spans="131:132" x14ac:dyDescent="0.2">
      <c r="EA744" s="12"/>
      <c r="EB744" s="12"/>
    </row>
    <row r="745" spans="131:132" x14ac:dyDescent="0.2">
      <c r="EA745" s="12"/>
      <c r="EB745" s="12"/>
    </row>
    <row r="746" spans="131:132" x14ac:dyDescent="0.2">
      <c r="EA746" s="12"/>
      <c r="EB746" s="12"/>
    </row>
    <row r="747" spans="131:132" x14ac:dyDescent="0.2">
      <c r="EA747" s="12"/>
      <c r="EB747" s="12"/>
    </row>
    <row r="748" spans="131:132" x14ac:dyDescent="0.2">
      <c r="EA748" s="12"/>
      <c r="EB748" s="12"/>
    </row>
    <row r="749" spans="131:132" x14ac:dyDescent="0.2">
      <c r="EA749" s="12"/>
      <c r="EB749" s="12"/>
    </row>
    <row r="750" spans="131:132" x14ac:dyDescent="0.2">
      <c r="EA750" s="12"/>
      <c r="EB750" s="12"/>
    </row>
    <row r="751" spans="131:132" x14ac:dyDescent="0.2">
      <c r="EA751" s="12"/>
      <c r="EB751" s="12"/>
    </row>
    <row r="752" spans="131:132" x14ac:dyDescent="0.2">
      <c r="EA752" s="12"/>
      <c r="EB752" s="12"/>
    </row>
    <row r="753" spans="131:132" x14ac:dyDescent="0.2">
      <c r="EA753" s="12"/>
      <c r="EB753" s="12"/>
    </row>
    <row r="754" spans="131:132" x14ac:dyDescent="0.2">
      <c r="EA754" s="12"/>
      <c r="EB754" s="12"/>
    </row>
    <row r="755" spans="131:132" x14ac:dyDescent="0.2">
      <c r="EA755" s="12"/>
      <c r="EB755" s="12"/>
    </row>
    <row r="756" spans="131:132" x14ac:dyDescent="0.2">
      <c r="EA756" s="12"/>
      <c r="EB756" s="12"/>
    </row>
    <row r="757" spans="131:132" x14ac:dyDescent="0.2">
      <c r="EA757" s="12"/>
      <c r="EB757" s="12"/>
    </row>
    <row r="758" spans="131:132" x14ac:dyDescent="0.2">
      <c r="EA758" s="12"/>
      <c r="EB758" s="12"/>
    </row>
    <row r="759" spans="131:132" x14ac:dyDescent="0.2">
      <c r="EA759" s="12"/>
      <c r="EB759" s="12"/>
    </row>
    <row r="760" spans="131:132" x14ac:dyDescent="0.2">
      <c r="EA760" s="12"/>
      <c r="EB760" s="12"/>
    </row>
    <row r="761" spans="131:132" x14ac:dyDescent="0.2">
      <c r="EA761" s="12"/>
      <c r="EB761" s="12"/>
    </row>
    <row r="762" spans="131:132" x14ac:dyDescent="0.2">
      <c r="EA762" s="12"/>
      <c r="EB762" s="12"/>
    </row>
    <row r="763" spans="131:132" x14ac:dyDescent="0.2">
      <c r="EA763" s="12"/>
      <c r="EB763" s="12"/>
    </row>
    <row r="764" spans="131:132" x14ac:dyDescent="0.2">
      <c r="EA764" s="12"/>
      <c r="EB764" s="12"/>
    </row>
    <row r="765" spans="131:132" x14ac:dyDescent="0.2">
      <c r="EA765" s="12"/>
      <c r="EB765" s="12"/>
    </row>
    <row r="766" spans="131:132" x14ac:dyDescent="0.2">
      <c r="EA766" s="12"/>
      <c r="EB766" s="12"/>
    </row>
    <row r="767" spans="131:132" x14ac:dyDescent="0.2">
      <c r="EA767" s="12"/>
      <c r="EB767" s="12"/>
    </row>
    <row r="768" spans="131:132" x14ac:dyDescent="0.2">
      <c r="EA768" s="12"/>
      <c r="EB768" s="12"/>
    </row>
    <row r="769" spans="131:132" x14ac:dyDescent="0.2">
      <c r="EA769" s="12"/>
      <c r="EB769" s="12"/>
    </row>
    <row r="770" spans="131:132" x14ac:dyDescent="0.2">
      <c r="EA770" s="12"/>
      <c r="EB770" s="12"/>
    </row>
    <row r="771" spans="131:132" x14ac:dyDescent="0.2">
      <c r="EA771" s="12"/>
      <c r="EB771" s="12"/>
    </row>
    <row r="772" spans="131:132" x14ac:dyDescent="0.2">
      <c r="EA772" s="12"/>
      <c r="EB772" s="12"/>
    </row>
    <row r="773" spans="131:132" x14ac:dyDescent="0.2">
      <c r="EA773" s="12"/>
      <c r="EB773" s="12"/>
    </row>
    <row r="774" spans="131:132" x14ac:dyDescent="0.2">
      <c r="EA774" s="12"/>
      <c r="EB774" s="12"/>
    </row>
    <row r="775" spans="131:132" x14ac:dyDescent="0.2">
      <c r="EA775" s="12"/>
      <c r="EB775" s="12"/>
    </row>
    <row r="776" spans="131:132" x14ac:dyDescent="0.2">
      <c r="EA776" s="12"/>
      <c r="EB776" s="12"/>
    </row>
    <row r="777" spans="131:132" x14ac:dyDescent="0.2">
      <c r="EA777" s="12"/>
      <c r="EB777" s="12"/>
    </row>
    <row r="778" spans="131:132" x14ac:dyDescent="0.2">
      <c r="EA778" s="12"/>
      <c r="EB778" s="12"/>
    </row>
    <row r="779" spans="131:132" x14ac:dyDescent="0.2">
      <c r="EA779" s="12"/>
      <c r="EB779" s="12"/>
    </row>
    <row r="780" spans="131:132" x14ac:dyDescent="0.2">
      <c r="EA780" s="12"/>
      <c r="EB780" s="12"/>
    </row>
    <row r="781" spans="131:132" x14ac:dyDescent="0.2">
      <c r="EA781" s="12"/>
      <c r="EB781" s="12"/>
    </row>
    <row r="782" spans="131:132" x14ac:dyDescent="0.2">
      <c r="EA782" s="12"/>
      <c r="EB782" s="12"/>
    </row>
    <row r="783" spans="131:132" x14ac:dyDescent="0.2">
      <c r="EA783" s="12"/>
      <c r="EB783" s="12"/>
    </row>
    <row r="784" spans="131:132" x14ac:dyDescent="0.2">
      <c r="EA784" s="12"/>
      <c r="EB784" s="12"/>
    </row>
    <row r="785" spans="131:132" x14ac:dyDescent="0.2">
      <c r="EA785" s="12"/>
      <c r="EB785" s="12"/>
    </row>
    <row r="786" spans="131:132" x14ac:dyDescent="0.2">
      <c r="EA786" s="12"/>
      <c r="EB786" s="12"/>
    </row>
    <row r="787" spans="131:132" x14ac:dyDescent="0.2">
      <c r="EA787" s="12"/>
      <c r="EB787" s="12"/>
    </row>
    <row r="788" spans="131:132" x14ac:dyDescent="0.2">
      <c r="EA788" s="12"/>
      <c r="EB788" s="12"/>
    </row>
    <row r="789" spans="131:132" x14ac:dyDescent="0.2">
      <c r="EA789" s="12"/>
      <c r="EB789" s="12"/>
    </row>
    <row r="790" spans="131:132" x14ac:dyDescent="0.2">
      <c r="EA790" s="12"/>
      <c r="EB790" s="12"/>
    </row>
    <row r="791" spans="131:132" x14ac:dyDescent="0.2">
      <c r="EA791" s="12"/>
      <c r="EB791" s="12"/>
    </row>
    <row r="792" spans="131:132" x14ac:dyDescent="0.2">
      <c r="EA792" s="12"/>
      <c r="EB792" s="12"/>
    </row>
    <row r="793" spans="131:132" x14ac:dyDescent="0.2">
      <c r="EA793" s="12"/>
      <c r="EB793" s="12"/>
    </row>
    <row r="794" spans="131:132" x14ac:dyDescent="0.2">
      <c r="EA794" s="12"/>
      <c r="EB794" s="12"/>
    </row>
    <row r="795" spans="131:132" x14ac:dyDescent="0.2">
      <c r="EA795" s="12"/>
      <c r="EB795" s="12"/>
    </row>
    <row r="796" spans="131:132" x14ac:dyDescent="0.2">
      <c r="EA796" s="12"/>
      <c r="EB796" s="12"/>
    </row>
    <row r="797" spans="131:132" x14ac:dyDescent="0.2">
      <c r="EA797" s="12"/>
      <c r="EB797" s="12"/>
    </row>
    <row r="798" spans="131:132" x14ac:dyDescent="0.2">
      <c r="EA798" s="12"/>
      <c r="EB798" s="12"/>
    </row>
    <row r="799" spans="131:132" x14ac:dyDescent="0.2">
      <c r="EA799" s="12"/>
      <c r="EB799" s="12"/>
    </row>
    <row r="800" spans="131:132" x14ac:dyDescent="0.2">
      <c r="EA800" s="12"/>
      <c r="EB800" s="12"/>
    </row>
    <row r="801" spans="131:132" x14ac:dyDescent="0.2">
      <c r="EA801" s="12"/>
      <c r="EB801" s="12"/>
    </row>
    <row r="802" spans="131:132" x14ac:dyDescent="0.2">
      <c r="EA802" s="12"/>
      <c r="EB802" s="12"/>
    </row>
    <row r="803" spans="131:132" x14ac:dyDescent="0.2">
      <c r="EA803" s="12"/>
      <c r="EB803" s="12"/>
    </row>
    <row r="804" spans="131:132" x14ac:dyDescent="0.2">
      <c r="EA804" s="12"/>
      <c r="EB804" s="12"/>
    </row>
    <row r="805" spans="131:132" x14ac:dyDescent="0.2">
      <c r="EA805" s="12"/>
      <c r="EB805" s="12"/>
    </row>
    <row r="806" spans="131:132" x14ac:dyDescent="0.2">
      <c r="EA806" s="12"/>
      <c r="EB806" s="12"/>
    </row>
    <row r="807" spans="131:132" x14ac:dyDescent="0.2">
      <c r="EA807" s="12"/>
      <c r="EB807" s="12"/>
    </row>
    <row r="808" spans="131:132" x14ac:dyDescent="0.2">
      <c r="EA808" s="12"/>
      <c r="EB808" s="12"/>
    </row>
    <row r="809" spans="131:132" x14ac:dyDescent="0.2">
      <c r="EA809" s="12"/>
      <c r="EB809" s="12"/>
    </row>
    <row r="810" spans="131:132" x14ac:dyDescent="0.2">
      <c r="EA810" s="12"/>
      <c r="EB810" s="12"/>
    </row>
    <row r="811" spans="131:132" x14ac:dyDescent="0.2">
      <c r="EA811" s="12"/>
      <c r="EB811" s="12"/>
    </row>
    <row r="812" spans="131:132" x14ac:dyDescent="0.2">
      <c r="EA812" s="12"/>
      <c r="EB812" s="12"/>
    </row>
    <row r="813" spans="131:132" x14ac:dyDescent="0.2">
      <c r="EA813" s="12"/>
      <c r="EB813" s="12"/>
    </row>
    <row r="814" spans="131:132" x14ac:dyDescent="0.2">
      <c r="EA814" s="12"/>
      <c r="EB814" s="12"/>
    </row>
    <row r="815" spans="131:132" x14ac:dyDescent="0.2">
      <c r="EA815" s="12"/>
      <c r="EB815" s="12"/>
    </row>
    <row r="816" spans="131:132" x14ac:dyDescent="0.2">
      <c r="EA816" s="12"/>
      <c r="EB816" s="12"/>
    </row>
    <row r="817" spans="131:132" x14ac:dyDescent="0.2">
      <c r="EA817" s="12"/>
      <c r="EB817" s="12"/>
    </row>
    <row r="818" spans="131:132" x14ac:dyDescent="0.2">
      <c r="EA818" s="12"/>
      <c r="EB818" s="12"/>
    </row>
    <row r="819" spans="131:132" x14ac:dyDescent="0.2">
      <c r="EA819" s="12"/>
      <c r="EB819" s="12"/>
    </row>
    <row r="820" spans="131:132" x14ac:dyDescent="0.2">
      <c r="EA820" s="12"/>
      <c r="EB820" s="12"/>
    </row>
    <row r="821" spans="131:132" x14ac:dyDescent="0.2">
      <c r="EA821" s="12"/>
      <c r="EB821" s="12"/>
    </row>
    <row r="822" spans="131:132" x14ac:dyDescent="0.2">
      <c r="EA822" s="12"/>
      <c r="EB822" s="12"/>
    </row>
    <row r="823" spans="131:132" x14ac:dyDescent="0.2">
      <c r="EA823" s="12"/>
      <c r="EB823" s="12"/>
    </row>
    <row r="824" spans="131:132" x14ac:dyDescent="0.2">
      <c r="EA824" s="12"/>
      <c r="EB824" s="12"/>
    </row>
    <row r="825" spans="131:132" x14ac:dyDescent="0.2">
      <c r="EA825" s="12"/>
      <c r="EB825" s="12"/>
    </row>
    <row r="826" spans="131:132" x14ac:dyDescent="0.2">
      <c r="EA826" s="12"/>
      <c r="EB826" s="12"/>
    </row>
    <row r="827" spans="131:132" x14ac:dyDescent="0.2">
      <c r="EA827" s="12"/>
      <c r="EB827" s="12"/>
    </row>
    <row r="828" spans="131:132" x14ac:dyDescent="0.2">
      <c r="EA828" s="12"/>
      <c r="EB828" s="12"/>
    </row>
    <row r="829" spans="131:132" x14ac:dyDescent="0.2">
      <c r="EA829" s="12"/>
      <c r="EB829" s="12"/>
    </row>
    <row r="830" spans="131:132" x14ac:dyDescent="0.2">
      <c r="EA830" s="12"/>
      <c r="EB830" s="12"/>
    </row>
    <row r="831" spans="131:132" x14ac:dyDescent="0.2">
      <c r="EA831" s="12"/>
      <c r="EB831" s="12"/>
    </row>
    <row r="832" spans="131:132" x14ac:dyDescent="0.2">
      <c r="EA832" s="12"/>
      <c r="EB832" s="12"/>
    </row>
    <row r="833" spans="131:132" x14ac:dyDescent="0.2">
      <c r="EA833" s="12"/>
      <c r="EB833" s="12"/>
    </row>
    <row r="834" spans="131:132" x14ac:dyDescent="0.2">
      <c r="EA834" s="12"/>
      <c r="EB834" s="12"/>
    </row>
    <row r="835" spans="131:132" x14ac:dyDescent="0.2">
      <c r="EA835" s="12"/>
      <c r="EB835" s="12"/>
    </row>
    <row r="836" spans="131:132" x14ac:dyDescent="0.2">
      <c r="EA836" s="12"/>
      <c r="EB836" s="12"/>
    </row>
    <row r="837" spans="131:132" x14ac:dyDescent="0.2">
      <c r="EA837" s="12"/>
      <c r="EB837" s="12"/>
    </row>
    <row r="838" spans="131:132" x14ac:dyDescent="0.2">
      <c r="EA838" s="12"/>
      <c r="EB838" s="12"/>
    </row>
    <row r="839" spans="131:132" x14ac:dyDescent="0.2">
      <c r="EA839" s="12"/>
      <c r="EB839" s="12"/>
    </row>
    <row r="840" spans="131:132" x14ac:dyDescent="0.2">
      <c r="EA840" s="12"/>
      <c r="EB840" s="12"/>
    </row>
    <row r="841" spans="131:132" x14ac:dyDescent="0.2">
      <c r="EA841" s="12"/>
      <c r="EB841" s="12"/>
    </row>
    <row r="842" spans="131:132" x14ac:dyDescent="0.2">
      <c r="EA842" s="12"/>
      <c r="EB842" s="12"/>
    </row>
    <row r="843" spans="131:132" x14ac:dyDescent="0.2">
      <c r="EA843" s="12"/>
      <c r="EB843" s="12"/>
    </row>
    <row r="844" spans="131:132" x14ac:dyDescent="0.2">
      <c r="EA844" s="12"/>
      <c r="EB844" s="12"/>
    </row>
    <row r="845" spans="131:132" x14ac:dyDescent="0.2">
      <c r="EA845" s="12"/>
      <c r="EB845" s="12"/>
    </row>
    <row r="846" spans="131:132" x14ac:dyDescent="0.2">
      <c r="EA846" s="12"/>
      <c r="EB846" s="12"/>
    </row>
    <row r="847" spans="131:132" x14ac:dyDescent="0.2">
      <c r="EA847" s="12"/>
      <c r="EB847" s="12"/>
    </row>
    <row r="848" spans="131:132" x14ac:dyDescent="0.2">
      <c r="EA848" s="12"/>
      <c r="EB848" s="12"/>
    </row>
    <row r="849" spans="131:132" x14ac:dyDescent="0.2">
      <c r="EA849" s="12"/>
      <c r="EB849" s="12"/>
    </row>
    <row r="850" spans="131:132" x14ac:dyDescent="0.2">
      <c r="EA850" s="12"/>
      <c r="EB850" s="12"/>
    </row>
    <row r="851" spans="131:132" x14ac:dyDescent="0.2">
      <c r="EA851" s="12"/>
      <c r="EB851" s="12"/>
    </row>
    <row r="852" spans="131:132" x14ac:dyDescent="0.2">
      <c r="EA852" s="12"/>
      <c r="EB852" s="12"/>
    </row>
    <row r="853" spans="131:132" x14ac:dyDescent="0.2">
      <c r="EA853" s="12"/>
      <c r="EB853" s="12"/>
    </row>
    <row r="854" spans="131:132" x14ac:dyDescent="0.2">
      <c r="EA854" s="12"/>
      <c r="EB854" s="12"/>
    </row>
    <row r="855" spans="131:132" x14ac:dyDescent="0.2">
      <c r="EA855" s="12"/>
      <c r="EB855" s="12"/>
    </row>
    <row r="856" spans="131:132" x14ac:dyDescent="0.2">
      <c r="EA856" s="12"/>
      <c r="EB856" s="12"/>
    </row>
    <row r="857" spans="131:132" x14ac:dyDescent="0.2">
      <c r="EA857" s="12"/>
      <c r="EB857" s="12"/>
    </row>
    <row r="858" spans="131:132" x14ac:dyDescent="0.2">
      <c r="EA858" s="12"/>
      <c r="EB858" s="12"/>
    </row>
    <row r="859" spans="131:132" x14ac:dyDescent="0.2">
      <c r="EA859" s="12"/>
      <c r="EB859" s="12"/>
    </row>
    <row r="860" spans="131:132" x14ac:dyDescent="0.2">
      <c r="EA860" s="12"/>
      <c r="EB860" s="12"/>
    </row>
    <row r="861" spans="131:132" x14ac:dyDescent="0.2">
      <c r="EA861" s="12"/>
      <c r="EB861" s="12"/>
    </row>
    <row r="862" spans="131:132" x14ac:dyDescent="0.2">
      <c r="EA862" s="12"/>
      <c r="EB862" s="12"/>
    </row>
    <row r="863" spans="131:132" x14ac:dyDescent="0.2">
      <c r="EA863" s="12"/>
      <c r="EB863" s="12"/>
    </row>
    <row r="864" spans="131:132" x14ac:dyDescent="0.2">
      <c r="EA864" s="12"/>
      <c r="EB864" s="12"/>
    </row>
    <row r="865" spans="131:132" x14ac:dyDescent="0.2">
      <c r="EA865" s="12"/>
      <c r="EB865" s="12"/>
    </row>
    <row r="866" spans="131:132" x14ac:dyDescent="0.2">
      <c r="EA866" s="12"/>
      <c r="EB866" s="12"/>
    </row>
    <row r="867" spans="131:132" x14ac:dyDescent="0.2">
      <c r="EA867" s="12"/>
      <c r="EB867" s="12"/>
    </row>
    <row r="868" spans="131:132" x14ac:dyDescent="0.2">
      <c r="EA868" s="12"/>
      <c r="EB868" s="12"/>
    </row>
    <row r="869" spans="131:132" x14ac:dyDescent="0.2">
      <c r="EA869" s="12"/>
      <c r="EB869" s="12"/>
    </row>
    <row r="870" spans="131:132" x14ac:dyDescent="0.2">
      <c r="EA870" s="12"/>
      <c r="EB870" s="12"/>
    </row>
    <row r="871" spans="131:132" x14ac:dyDescent="0.2">
      <c r="EA871" s="12"/>
      <c r="EB871" s="12"/>
    </row>
    <row r="872" spans="131:132" x14ac:dyDescent="0.2">
      <c r="EA872" s="12"/>
      <c r="EB872" s="12"/>
    </row>
    <row r="873" spans="131:132" x14ac:dyDescent="0.2">
      <c r="EA873" s="12"/>
      <c r="EB873" s="12"/>
    </row>
    <row r="874" spans="131:132" x14ac:dyDescent="0.2">
      <c r="EA874" s="12"/>
      <c r="EB874" s="12"/>
    </row>
    <row r="875" spans="131:132" x14ac:dyDescent="0.2">
      <c r="EA875" s="12"/>
      <c r="EB875" s="12"/>
    </row>
    <row r="876" spans="131:132" x14ac:dyDescent="0.2">
      <c r="EA876" s="12"/>
      <c r="EB876" s="12"/>
    </row>
    <row r="877" spans="131:132" x14ac:dyDescent="0.2">
      <c r="EA877" s="12"/>
      <c r="EB877" s="12"/>
    </row>
    <row r="878" spans="131:132" x14ac:dyDescent="0.2">
      <c r="EA878" s="12"/>
      <c r="EB878" s="12"/>
    </row>
    <row r="879" spans="131:132" x14ac:dyDescent="0.2">
      <c r="EA879" s="12"/>
      <c r="EB879" s="12"/>
    </row>
    <row r="880" spans="131:132" x14ac:dyDescent="0.2">
      <c r="EA880" s="12"/>
      <c r="EB880" s="12"/>
    </row>
    <row r="881" spans="131:132" x14ac:dyDescent="0.2">
      <c r="EA881" s="12"/>
      <c r="EB881" s="12"/>
    </row>
    <row r="882" spans="131:132" x14ac:dyDescent="0.2">
      <c r="EA882" s="12"/>
      <c r="EB882" s="12"/>
    </row>
    <row r="883" spans="131:132" x14ac:dyDescent="0.2">
      <c r="EA883" s="12"/>
      <c r="EB883" s="12"/>
    </row>
    <row r="884" spans="131:132" x14ac:dyDescent="0.2">
      <c r="EA884" s="12"/>
      <c r="EB884" s="12"/>
    </row>
    <row r="885" spans="131:132" x14ac:dyDescent="0.2">
      <c r="EA885" s="12"/>
      <c r="EB885" s="12"/>
    </row>
    <row r="886" spans="131:132" x14ac:dyDescent="0.2">
      <c r="EA886" s="12"/>
      <c r="EB886" s="12"/>
    </row>
    <row r="887" spans="131:132" x14ac:dyDescent="0.2">
      <c r="EA887" s="12"/>
      <c r="EB887" s="12"/>
    </row>
    <row r="888" spans="131:132" x14ac:dyDescent="0.2">
      <c r="EA888" s="12"/>
      <c r="EB888" s="12"/>
    </row>
    <row r="889" spans="131:132" x14ac:dyDescent="0.2">
      <c r="EA889" s="12"/>
      <c r="EB889" s="12"/>
    </row>
    <row r="890" spans="131:132" x14ac:dyDescent="0.2">
      <c r="EA890" s="12"/>
      <c r="EB890" s="12"/>
    </row>
    <row r="891" spans="131:132" x14ac:dyDescent="0.2">
      <c r="EA891" s="12"/>
      <c r="EB891" s="12"/>
    </row>
    <row r="892" spans="131:132" x14ac:dyDescent="0.2">
      <c r="EA892" s="12"/>
      <c r="EB892" s="12"/>
    </row>
    <row r="893" spans="131:132" x14ac:dyDescent="0.2">
      <c r="EA893" s="12"/>
      <c r="EB893" s="12"/>
    </row>
    <row r="894" spans="131:132" x14ac:dyDescent="0.2">
      <c r="EA894" s="12"/>
      <c r="EB894" s="12"/>
    </row>
    <row r="895" spans="131:132" x14ac:dyDescent="0.2">
      <c r="EA895" s="12"/>
      <c r="EB895" s="12"/>
    </row>
    <row r="896" spans="131:132" x14ac:dyDescent="0.2">
      <c r="EA896" s="12"/>
      <c r="EB896" s="12"/>
    </row>
    <row r="897" spans="131:132" x14ac:dyDescent="0.2">
      <c r="EA897" s="12"/>
      <c r="EB897" s="12"/>
    </row>
    <row r="898" spans="131:132" x14ac:dyDescent="0.2">
      <c r="EA898" s="12"/>
      <c r="EB898" s="12"/>
    </row>
    <row r="899" spans="131:132" x14ac:dyDescent="0.2">
      <c r="EA899" s="12"/>
      <c r="EB899" s="12"/>
    </row>
    <row r="900" spans="131:132" x14ac:dyDescent="0.2">
      <c r="EA900" s="12"/>
      <c r="EB900" s="12"/>
    </row>
    <row r="901" spans="131:132" x14ac:dyDescent="0.2">
      <c r="EA901" s="12"/>
      <c r="EB901" s="12"/>
    </row>
    <row r="902" spans="131:132" x14ac:dyDescent="0.2">
      <c r="EA902" s="12"/>
      <c r="EB902" s="12"/>
    </row>
    <row r="903" spans="131:132" x14ac:dyDescent="0.2">
      <c r="EA903" s="12"/>
      <c r="EB903" s="12"/>
    </row>
    <row r="904" spans="131:132" x14ac:dyDescent="0.2">
      <c r="EA904" s="12"/>
      <c r="EB904" s="12"/>
    </row>
    <row r="905" spans="131:132" x14ac:dyDescent="0.2">
      <c r="EA905" s="12"/>
      <c r="EB905" s="12"/>
    </row>
    <row r="906" spans="131:132" x14ac:dyDescent="0.2">
      <c r="EA906" s="12"/>
      <c r="EB906" s="12"/>
    </row>
    <row r="907" spans="131:132" x14ac:dyDescent="0.2">
      <c r="EA907" s="12"/>
      <c r="EB907" s="12"/>
    </row>
    <row r="908" spans="131:132" x14ac:dyDescent="0.2">
      <c r="EA908" s="12"/>
      <c r="EB908" s="12"/>
    </row>
    <row r="909" spans="131:132" x14ac:dyDescent="0.2">
      <c r="EA909" s="12"/>
      <c r="EB909" s="12"/>
    </row>
    <row r="910" spans="131:132" x14ac:dyDescent="0.2">
      <c r="EA910" s="12"/>
      <c r="EB910" s="12"/>
    </row>
    <row r="911" spans="131:132" x14ac:dyDescent="0.2">
      <c r="EA911" s="12"/>
      <c r="EB911" s="12"/>
    </row>
    <row r="912" spans="131:132" x14ac:dyDescent="0.2">
      <c r="EA912" s="12"/>
      <c r="EB912" s="12"/>
    </row>
    <row r="913" spans="131:132" x14ac:dyDescent="0.2">
      <c r="EA913" s="12"/>
      <c r="EB913" s="12"/>
    </row>
    <row r="914" spans="131:132" x14ac:dyDescent="0.2">
      <c r="EA914" s="12"/>
      <c r="EB914" s="12"/>
    </row>
    <row r="915" spans="131:132" x14ac:dyDescent="0.2">
      <c r="EA915" s="12"/>
      <c r="EB915" s="12"/>
    </row>
    <row r="916" spans="131:132" x14ac:dyDescent="0.2">
      <c r="EA916" s="12"/>
      <c r="EB916" s="12"/>
    </row>
    <row r="917" spans="131:132" x14ac:dyDescent="0.2">
      <c r="EA917" s="12"/>
      <c r="EB917" s="12"/>
    </row>
    <row r="918" spans="131:132" x14ac:dyDescent="0.2">
      <c r="EA918" s="12"/>
      <c r="EB918" s="12"/>
    </row>
    <row r="919" spans="131:132" x14ac:dyDescent="0.2">
      <c r="EA919" s="12"/>
      <c r="EB919" s="12"/>
    </row>
    <row r="920" spans="131:132" x14ac:dyDescent="0.2">
      <c r="EA920" s="12"/>
      <c r="EB920" s="12"/>
    </row>
    <row r="921" spans="131:132" x14ac:dyDescent="0.2">
      <c r="EA921" s="12"/>
      <c r="EB921" s="12"/>
    </row>
    <row r="922" spans="131:132" x14ac:dyDescent="0.2">
      <c r="EA922" s="12"/>
      <c r="EB922" s="12"/>
    </row>
    <row r="923" spans="131:132" x14ac:dyDescent="0.2">
      <c r="EA923" s="12"/>
      <c r="EB923" s="12"/>
    </row>
    <row r="924" spans="131:132" x14ac:dyDescent="0.2">
      <c r="EA924" s="12"/>
      <c r="EB924" s="12"/>
    </row>
    <row r="925" spans="131:132" x14ac:dyDescent="0.2">
      <c r="EA925" s="12"/>
      <c r="EB925" s="12"/>
    </row>
    <row r="926" spans="131:132" x14ac:dyDescent="0.2">
      <c r="EA926" s="12"/>
      <c r="EB926" s="12"/>
    </row>
    <row r="927" spans="131:132" x14ac:dyDescent="0.2">
      <c r="EA927" s="12"/>
      <c r="EB927" s="12"/>
    </row>
    <row r="928" spans="131:132" x14ac:dyDescent="0.2">
      <c r="EA928" s="12"/>
      <c r="EB928" s="12"/>
    </row>
    <row r="929" spans="131:132" x14ac:dyDescent="0.2">
      <c r="EA929" s="12"/>
      <c r="EB929" s="12"/>
    </row>
    <row r="930" spans="131:132" x14ac:dyDescent="0.2">
      <c r="EA930" s="12"/>
      <c r="EB930" s="12"/>
    </row>
    <row r="931" spans="131:132" x14ac:dyDescent="0.2">
      <c r="EA931" s="12"/>
      <c r="EB931" s="12"/>
    </row>
    <row r="932" spans="131:132" x14ac:dyDescent="0.2">
      <c r="EA932" s="12"/>
      <c r="EB932" s="12"/>
    </row>
    <row r="933" spans="131:132" x14ac:dyDescent="0.2">
      <c r="EA933" s="12"/>
      <c r="EB933" s="12"/>
    </row>
    <row r="934" spans="131:132" x14ac:dyDescent="0.2">
      <c r="EA934" s="12"/>
      <c r="EB934" s="12"/>
    </row>
    <row r="935" spans="131:132" x14ac:dyDescent="0.2">
      <c r="EA935" s="12"/>
      <c r="EB935" s="12"/>
    </row>
    <row r="936" spans="131:132" x14ac:dyDescent="0.2">
      <c r="EA936" s="12"/>
      <c r="EB936" s="12"/>
    </row>
    <row r="937" spans="131:132" x14ac:dyDescent="0.2">
      <c r="EA937" s="12"/>
      <c r="EB937" s="12"/>
    </row>
    <row r="938" spans="131:132" x14ac:dyDescent="0.2">
      <c r="EA938" s="12"/>
      <c r="EB938" s="12"/>
    </row>
    <row r="939" spans="131:132" x14ac:dyDescent="0.2">
      <c r="EA939" s="12"/>
      <c r="EB939" s="12"/>
    </row>
    <row r="940" spans="131:132" x14ac:dyDescent="0.2">
      <c r="EA940" s="12"/>
      <c r="EB940" s="12"/>
    </row>
    <row r="941" spans="131:132" x14ac:dyDescent="0.2">
      <c r="EA941" s="12"/>
      <c r="EB941" s="12"/>
    </row>
    <row r="942" spans="131:132" x14ac:dyDescent="0.2">
      <c r="EA942" s="12"/>
      <c r="EB942" s="12"/>
    </row>
    <row r="943" spans="131:132" x14ac:dyDescent="0.2">
      <c r="EA943" s="12"/>
      <c r="EB943" s="12"/>
    </row>
    <row r="944" spans="131:132" x14ac:dyDescent="0.2">
      <c r="EA944" s="12"/>
      <c r="EB944" s="12"/>
    </row>
    <row r="945" spans="131:132" x14ac:dyDescent="0.2">
      <c r="EA945" s="12"/>
      <c r="EB945" s="12"/>
    </row>
    <row r="946" spans="131:132" x14ac:dyDescent="0.2">
      <c r="EA946" s="12"/>
      <c r="EB946" s="12"/>
    </row>
    <row r="947" spans="131:132" x14ac:dyDescent="0.2">
      <c r="EA947" s="12"/>
      <c r="EB947" s="12"/>
    </row>
    <row r="948" spans="131:132" x14ac:dyDescent="0.2">
      <c r="EA948" s="12"/>
      <c r="EB948" s="12"/>
    </row>
    <row r="949" spans="131:132" x14ac:dyDescent="0.2">
      <c r="EA949" s="12"/>
      <c r="EB949" s="12"/>
    </row>
    <row r="950" spans="131:132" x14ac:dyDescent="0.2">
      <c r="EA950" s="12"/>
      <c r="EB950" s="12"/>
    </row>
    <row r="951" spans="131:132" x14ac:dyDescent="0.2">
      <c r="EA951" s="12"/>
      <c r="EB951" s="12"/>
    </row>
    <row r="952" spans="131:132" x14ac:dyDescent="0.2">
      <c r="EA952" s="12"/>
      <c r="EB952" s="12"/>
    </row>
    <row r="953" spans="131:132" x14ac:dyDescent="0.2">
      <c r="EA953" s="12"/>
      <c r="EB953" s="12"/>
    </row>
    <row r="954" spans="131:132" x14ac:dyDescent="0.2">
      <c r="EA954" s="12"/>
      <c r="EB954" s="12"/>
    </row>
    <row r="955" spans="131:132" x14ac:dyDescent="0.2">
      <c r="EA955" s="12"/>
      <c r="EB955" s="12"/>
    </row>
    <row r="956" spans="131:132" x14ac:dyDescent="0.2">
      <c r="EA956" s="12"/>
      <c r="EB956" s="12"/>
    </row>
    <row r="957" spans="131:132" x14ac:dyDescent="0.2">
      <c r="EA957" s="12"/>
      <c r="EB957" s="12"/>
    </row>
    <row r="958" spans="131:132" x14ac:dyDescent="0.2">
      <c r="EA958" s="12"/>
      <c r="EB958" s="12"/>
    </row>
    <row r="959" spans="131:132" x14ac:dyDescent="0.2">
      <c r="EA959" s="12"/>
      <c r="EB959" s="12"/>
    </row>
    <row r="960" spans="131:132" x14ac:dyDescent="0.2">
      <c r="EA960" s="12"/>
      <c r="EB960" s="12"/>
    </row>
    <row r="961" spans="131:132" x14ac:dyDescent="0.2">
      <c r="EA961" s="12"/>
      <c r="EB961" s="12"/>
    </row>
    <row r="962" spans="131:132" x14ac:dyDescent="0.2">
      <c r="EA962" s="12"/>
      <c r="EB962" s="12"/>
    </row>
    <row r="963" spans="131:132" x14ac:dyDescent="0.2">
      <c r="EA963" s="12"/>
      <c r="EB963" s="12"/>
    </row>
    <row r="964" spans="131:132" x14ac:dyDescent="0.2">
      <c r="EA964" s="12"/>
      <c r="EB964" s="12"/>
    </row>
    <row r="965" spans="131:132" x14ac:dyDescent="0.2">
      <c r="EA965" s="12"/>
      <c r="EB965" s="12"/>
    </row>
    <row r="966" spans="131:132" x14ac:dyDescent="0.2">
      <c r="EA966" s="12"/>
      <c r="EB966" s="12"/>
    </row>
    <row r="967" spans="131:132" x14ac:dyDescent="0.2">
      <c r="EA967" s="12"/>
      <c r="EB967" s="12"/>
    </row>
    <row r="968" spans="131:132" x14ac:dyDescent="0.2">
      <c r="EA968" s="12"/>
      <c r="EB968" s="12"/>
    </row>
    <row r="969" spans="131:132" x14ac:dyDescent="0.2">
      <c r="EA969" s="12"/>
      <c r="EB969" s="12"/>
    </row>
    <row r="970" spans="131:132" x14ac:dyDescent="0.2">
      <c r="EA970" s="12"/>
      <c r="EB970" s="12"/>
    </row>
    <row r="971" spans="131:132" x14ac:dyDescent="0.2">
      <c r="EA971" s="12"/>
      <c r="EB971" s="12"/>
    </row>
    <row r="972" spans="131:132" x14ac:dyDescent="0.2">
      <c r="EA972" s="12"/>
      <c r="EB972" s="12"/>
    </row>
    <row r="973" spans="131:132" x14ac:dyDescent="0.2">
      <c r="EA973" s="12"/>
      <c r="EB973" s="12"/>
    </row>
    <row r="974" spans="131:132" x14ac:dyDescent="0.2">
      <c r="EA974" s="12"/>
      <c r="EB974" s="12"/>
    </row>
    <row r="975" spans="131:132" x14ac:dyDescent="0.2">
      <c r="EA975" s="12"/>
      <c r="EB975" s="12"/>
    </row>
    <row r="976" spans="131:132" x14ac:dyDescent="0.2">
      <c r="EA976" s="12"/>
      <c r="EB976" s="12"/>
    </row>
    <row r="977" spans="131:132" x14ac:dyDescent="0.2">
      <c r="EA977" s="12"/>
      <c r="EB977" s="12"/>
    </row>
    <row r="978" spans="131:132" x14ac:dyDescent="0.2">
      <c r="EA978" s="12"/>
      <c r="EB978" s="12"/>
    </row>
    <row r="979" spans="131:132" x14ac:dyDescent="0.2">
      <c r="EA979" s="12"/>
      <c r="EB979" s="12"/>
    </row>
    <row r="980" spans="131:132" x14ac:dyDescent="0.2">
      <c r="EA980" s="12"/>
      <c r="EB980" s="12"/>
    </row>
    <row r="981" spans="131:132" x14ac:dyDescent="0.2">
      <c r="EA981" s="12"/>
      <c r="EB981" s="12"/>
    </row>
    <row r="982" spans="131:132" x14ac:dyDescent="0.2">
      <c r="EA982" s="12"/>
      <c r="EB982" s="12"/>
    </row>
    <row r="983" spans="131:132" x14ac:dyDescent="0.2">
      <c r="EA983" s="12"/>
      <c r="EB983" s="12"/>
    </row>
    <row r="984" spans="131:132" x14ac:dyDescent="0.2">
      <c r="EA984" s="12"/>
      <c r="EB984" s="12"/>
    </row>
    <row r="985" spans="131:132" x14ac:dyDescent="0.2">
      <c r="EA985" s="12"/>
      <c r="EB985" s="12"/>
    </row>
    <row r="986" spans="131:132" x14ac:dyDescent="0.2">
      <c r="EA986" s="12"/>
      <c r="EB986" s="12"/>
    </row>
    <row r="987" spans="131:132" x14ac:dyDescent="0.2">
      <c r="EA987" s="12"/>
      <c r="EB987" s="12"/>
    </row>
    <row r="988" spans="131:132" x14ac:dyDescent="0.2">
      <c r="EA988" s="12"/>
      <c r="EB988" s="12"/>
    </row>
    <row r="989" spans="131:132" x14ac:dyDescent="0.2">
      <c r="EA989" s="12"/>
      <c r="EB989" s="12"/>
    </row>
    <row r="990" spans="131:132" x14ac:dyDescent="0.2">
      <c r="EA990" s="12"/>
      <c r="EB990" s="12"/>
    </row>
    <row r="991" spans="131:132" x14ac:dyDescent="0.2">
      <c r="EA991" s="12"/>
      <c r="EB991" s="12"/>
    </row>
    <row r="992" spans="131:132" x14ac:dyDescent="0.2">
      <c r="EA992" s="12"/>
      <c r="EB992" s="12"/>
    </row>
    <row r="993" spans="131:132" x14ac:dyDescent="0.2">
      <c r="EA993" s="12"/>
      <c r="EB993" s="12"/>
    </row>
    <row r="994" spans="131:132" x14ac:dyDescent="0.2">
      <c r="EA994" s="12"/>
      <c r="EB994" s="12"/>
    </row>
    <row r="995" spans="131:132" x14ac:dyDescent="0.2">
      <c r="EA995" s="12"/>
      <c r="EB995" s="12"/>
    </row>
    <row r="996" spans="131:132" x14ac:dyDescent="0.2">
      <c r="EA996" s="12"/>
      <c r="EB996" s="12"/>
    </row>
    <row r="997" spans="131:132" x14ac:dyDescent="0.2">
      <c r="EA997" s="12"/>
      <c r="EB997" s="12"/>
    </row>
    <row r="998" spans="131:132" x14ac:dyDescent="0.2">
      <c r="EA998" s="12"/>
      <c r="EB998" s="12"/>
    </row>
    <row r="999" spans="131:132" x14ac:dyDescent="0.2">
      <c r="EA999" s="12"/>
      <c r="EB999" s="12"/>
    </row>
    <row r="1000" spans="131:132" x14ac:dyDescent="0.2">
      <c r="EA1000" s="12"/>
      <c r="EB1000" s="12"/>
    </row>
    <row r="1001" spans="131:132" x14ac:dyDescent="0.2">
      <c r="EA1001" s="12"/>
      <c r="EB1001" s="12"/>
    </row>
    <row r="1002" spans="131:132" x14ac:dyDescent="0.2">
      <c r="EA1002" s="12"/>
      <c r="EB1002" s="12"/>
    </row>
    <row r="1003" spans="131:132" x14ac:dyDescent="0.2">
      <c r="EA1003" s="12"/>
      <c r="EB1003" s="12"/>
    </row>
    <row r="1004" spans="131:132" x14ac:dyDescent="0.2">
      <c r="EA1004" s="12"/>
      <c r="EB1004" s="12"/>
    </row>
    <row r="1005" spans="131:132" x14ac:dyDescent="0.2">
      <c r="EA1005" s="12"/>
      <c r="EB1005" s="12"/>
    </row>
    <row r="1006" spans="131:132" x14ac:dyDescent="0.2">
      <c r="EA1006" s="12"/>
      <c r="EB1006" s="12"/>
    </row>
    <row r="1007" spans="131:132" x14ac:dyDescent="0.2">
      <c r="EA1007" s="12"/>
      <c r="EB1007" s="12"/>
    </row>
    <row r="1008" spans="131:132" x14ac:dyDescent="0.2">
      <c r="EA1008" s="12"/>
      <c r="EB1008" s="12"/>
    </row>
    <row r="1009" spans="131:132" x14ac:dyDescent="0.2">
      <c r="EA1009" s="12"/>
      <c r="EB1009" s="12"/>
    </row>
    <row r="1010" spans="131:132" x14ac:dyDescent="0.2">
      <c r="EA1010" s="12"/>
      <c r="EB1010" s="12"/>
    </row>
    <row r="1011" spans="131:132" x14ac:dyDescent="0.2">
      <c r="EA1011" s="12"/>
      <c r="EB1011" s="12"/>
    </row>
    <row r="1012" spans="131:132" x14ac:dyDescent="0.2">
      <c r="EA1012" s="12"/>
      <c r="EB1012" s="12"/>
    </row>
    <row r="1013" spans="131:132" x14ac:dyDescent="0.2">
      <c r="EA1013" s="12"/>
      <c r="EB1013" s="12"/>
    </row>
    <row r="1014" spans="131:132" x14ac:dyDescent="0.2">
      <c r="EA1014" s="12"/>
      <c r="EB1014" s="12"/>
    </row>
    <row r="1015" spans="131:132" x14ac:dyDescent="0.2">
      <c r="EA1015" s="12"/>
      <c r="EB1015" s="12"/>
    </row>
    <row r="1016" spans="131:132" x14ac:dyDescent="0.2">
      <c r="EA1016" s="12"/>
      <c r="EB1016" s="12"/>
    </row>
    <row r="1017" spans="131:132" x14ac:dyDescent="0.2">
      <c r="EA1017" s="12"/>
      <c r="EB1017" s="12"/>
    </row>
    <row r="1018" spans="131:132" x14ac:dyDescent="0.2">
      <c r="EA1018" s="12"/>
      <c r="EB1018" s="12"/>
    </row>
    <row r="1019" spans="131:132" x14ac:dyDescent="0.2">
      <c r="EA1019" s="12"/>
      <c r="EB1019" s="12"/>
    </row>
    <row r="1020" spans="131:132" x14ac:dyDescent="0.2">
      <c r="EA1020" s="12"/>
      <c r="EB1020" s="12"/>
    </row>
    <row r="1021" spans="131:132" x14ac:dyDescent="0.2">
      <c r="EA1021" s="12"/>
      <c r="EB1021" s="12"/>
    </row>
    <row r="1022" spans="131:132" x14ac:dyDescent="0.2">
      <c r="EA1022" s="12"/>
      <c r="EB1022" s="12"/>
    </row>
    <row r="1023" spans="131:132" x14ac:dyDescent="0.2">
      <c r="EA1023" s="12"/>
      <c r="EB1023" s="12"/>
    </row>
    <row r="1024" spans="131:132" x14ac:dyDescent="0.2">
      <c r="EA1024" s="12"/>
      <c r="EB1024" s="12"/>
    </row>
    <row r="1025" spans="131:132" x14ac:dyDescent="0.2">
      <c r="EA1025" s="12"/>
      <c r="EB1025" s="12"/>
    </row>
    <row r="1026" spans="131:132" x14ac:dyDescent="0.2">
      <c r="EA1026" s="12"/>
      <c r="EB1026" s="12"/>
    </row>
    <row r="1027" spans="131:132" x14ac:dyDescent="0.2">
      <c r="EA1027" s="12"/>
      <c r="EB1027" s="12"/>
    </row>
    <row r="1028" spans="131:132" x14ac:dyDescent="0.2">
      <c r="EA1028" s="12"/>
      <c r="EB1028" s="12"/>
    </row>
    <row r="1029" spans="131:132" x14ac:dyDescent="0.2">
      <c r="EA1029" s="12"/>
      <c r="EB1029" s="12"/>
    </row>
    <row r="1030" spans="131:132" x14ac:dyDescent="0.2">
      <c r="EA1030" s="12"/>
      <c r="EB1030" s="12"/>
    </row>
    <row r="1031" spans="131:132" x14ac:dyDescent="0.2">
      <c r="EA1031" s="12"/>
      <c r="EB1031" s="12"/>
    </row>
    <row r="1032" spans="131:132" x14ac:dyDescent="0.2">
      <c r="EA1032" s="12"/>
      <c r="EB1032" s="12"/>
    </row>
    <row r="1033" spans="131:132" x14ac:dyDescent="0.2">
      <c r="EA1033" s="12"/>
      <c r="EB1033" s="12"/>
    </row>
    <row r="1034" spans="131:132" x14ac:dyDescent="0.2">
      <c r="EA1034" s="12"/>
      <c r="EB1034" s="12"/>
    </row>
    <row r="1035" spans="131:132" x14ac:dyDescent="0.2">
      <c r="EA1035" s="12"/>
      <c r="EB1035" s="12"/>
    </row>
    <row r="1036" spans="131:132" x14ac:dyDescent="0.2">
      <c r="EA1036" s="12"/>
      <c r="EB1036" s="12"/>
    </row>
    <row r="1037" spans="131:132" x14ac:dyDescent="0.2">
      <c r="EA1037" s="12"/>
      <c r="EB1037" s="12"/>
    </row>
    <row r="1038" spans="131:132" x14ac:dyDescent="0.2">
      <c r="EA1038" s="12"/>
      <c r="EB1038" s="12"/>
    </row>
    <row r="1039" spans="131:132" x14ac:dyDescent="0.2">
      <c r="EA1039" s="12"/>
      <c r="EB1039" s="12"/>
    </row>
    <row r="1040" spans="131:132" x14ac:dyDescent="0.2">
      <c r="EA1040" s="12"/>
      <c r="EB1040" s="12"/>
    </row>
    <row r="1041" spans="131:132" x14ac:dyDescent="0.2">
      <c r="EA1041" s="12"/>
      <c r="EB1041" s="12"/>
    </row>
    <row r="1042" spans="131:132" x14ac:dyDescent="0.2">
      <c r="EA1042" s="12"/>
      <c r="EB1042" s="12"/>
    </row>
    <row r="1043" spans="131:132" x14ac:dyDescent="0.2">
      <c r="EA1043" s="12"/>
      <c r="EB1043" s="12"/>
    </row>
    <row r="1044" spans="131:132" x14ac:dyDescent="0.2">
      <c r="EA1044" s="12"/>
      <c r="EB1044" s="12"/>
    </row>
    <row r="1045" spans="131:132" x14ac:dyDescent="0.2">
      <c r="EA1045" s="12"/>
      <c r="EB1045" s="12"/>
    </row>
    <row r="1046" spans="131:132" x14ac:dyDescent="0.2">
      <c r="EA1046" s="12"/>
      <c r="EB1046" s="12"/>
    </row>
    <row r="1047" spans="131:132" x14ac:dyDescent="0.2">
      <c r="EA1047" s="12"/>
      <c r="EB1047" s="12"/>
    </row>
    <row r="1048" spans="131:132" x14ac:dyDescent="0.2">
      <c r="EA1048" s="12"/>
      <c r="EB1048" s="12"/>
    </row>
    <row r="1049" spans="131:132" x14ac:dyDescent="0.2">
      <c r="EA1049" s="12"/>
      <c r="EB1049" s="12"/>
    </row>
    <row r="1050" spans="131:132" x14ac:dyDescent="0.2">
      <c r="EA1050" s="12"/>
      <c r="EB1050" s="12"/>
    </row>
    <row r="1051" spans="131:132" x14ac:dyDescent="0.2">
      <c r="EA1051" s="12"/>
      <c r="EB1051" s="12"/>
    </row>
    <row r="1052" spans="131:132" x14ac:dyDescent="0.2">
      <c r="EA1052" s="12"/>
      <c r="EB1052" s="12"/>
    </row>
    <row r="1053" spans="131:132" x14ac:dyDescent="0.2">
      <c r="EA1053" s="12"/>
      <c r="EB1053" s="12"/>
    </row>
    <row r="1054" spans="131:132" x14ac:dyDescent="0.2">
      <c r="EA1054" s="12"/>
      <c r="EB1054" s="12"/>
    </row>
    <row r="1055" spans="131:132" x14ac:dyDescent="0.2">
      <c r="EA1055" s="12"/>
      <c r="EB1055" s="12"/>
    </row>
    <row r="1056" spans="131:132" x14ac:dyDescent="0.2">
      <c r="EA1056" s="12"/>
      <c r="EB1056" s="12"/>
    </row>
    <row r="1057" spans="131:132" x14ac:dyDescent="0.2">
      <c r="EA1057" s="12"/>
      <c r="EB1057" s="12"/>
    </row>
    <row r="1058" spans="131:132" x14ac:dyDescent="0.2">
      <c r="EA1058" s="12"/>
      <c r="EB1058" s="12"/>
    </row>
    <row r="1059" spans="131:132" x14ac:dyDescent="0.2">
      <c r="EA1059" s="12"/>
      <c r="EB1059" s="12"/>
    </row>
    <row r="1060" spans="131:132" x14ac:dyDescent="0.2">
      <c r="EA1060" s="12"/>
      <c r="EB1060" s="12"/>
    </row>
    <row r="1061" spans="131:132" x14ac:dyDescent="0.2">
      <c r="EA1061" s="12"/>
      <c r="EB1061" s="12"/>
    </row>
    <row r="1062" spans="131:132" x14ac:dyDescent="0.2">
      <c r="EA1062" s="12"/>
      <c r="EB1062" s="12"/>
    </row>
    <row r="1063" spans="131:132" x14ac:dyDescent="0.2">
      <c r="EA1063" s="12"/>
      <c r="EB1063" s="12"/>
    </row>
    <row r="1064" spans="131:132" x14ac:dyDescent="0.2">
      <c r="EA1064" s="12"/>
      <c r="EB1064" s="12"/>
    </row>
    <row r="1065" spans="131:132" x14ac:dyDescent="0.2">
      <c r="EA1065" s="12"/>
      <c r="EB1065" s="12"/>
    </row>
    <row r="1066" spans="131:132" x14ac:dyDescent="0.2">
      <c r="EA1066" s="12"/>
      <c r="EB1066" s="12"/>
    </row>
    <row r="1067" spans="131:132" x14ac:dyDescent="0.2">
      <c r="EA1067" s="12"/>
      <c r="EB1067" s="12"/>
    </row>
    <row r="1068" spans="131:132" x14ac:dyDescent="0.2">
      <c r="EA1068" s="12"/>
      <c r="EB1068" s="12"/>
    </row>
    <row r="1069" spans="131:132" x14ac:dyDescent="0.2">
      <c r="EA1069" s="12"/>
      <c r="EB1069" s="12"/>
    </row>
    <row r="1070" spans="131:132" x14ac:dyDescent="0.2">
      <c r="EA1070" s="12"/>
      <c r="EB1070" s="12"/>
    </row>
    <row r="1071" spans="131:132" x14ac:dyDescent="0.2">
      <c r="EA1071" s="12"/>
      <c r="EB1071" s="12"/>
    </row>
    <row r="1072" spans="131:132" x14ac:dyDescent="0.2">
      <c r="EA1072" s="12"/>
      <c r="EB1072" s="12"/>
    </row>
    <row r="1073" spans="131:132" x14ac:dyDescent="0.2">
      <c r="EA1073" s="12"/>
      <c r="EB1073" s="12"/>
    </row>
    <row r="1074" spans="131:132" x14ac:dyDescent="0.2">
      <c r="EA1074" s="12"/>
      <c r="EB1074" s="12"/>
    </row>
    <row r="1075" spans="131:132" x14ac:dyDescent="0.2">
      <c r="EA1075" s="12"/>
      <c r="EB1075" s="12"/>
    </row>
    <row r="1076" spans="131:132" x14ac:dyDescent="0.2">
      <c r="EA1076" s="12"/>
      <c r="EB1076" s="12"/>
    </row>
    <row r="1077" spans="131:132" x14ac:dyDescent="0.2">
      <c r="EA1077" s="12"/>
      <c r="EB1077" s="12"/>
    </row>
    <row r="1078" spans="131:132" x14ac:dyDescent="0.2">
      <c r="EA1078" s="12"/>
      <c r="EB1078" s="12"/>
    </row>
    <row r="1079" spans="131:132" x14ac:dyDescent="0.2">
      <c r="EA1079" s="12"/>
      <c r="EB1079" s="12"/>
    </row>
    <row r="1080" spans="131:132" x14ac:dyDescent="0.2">
      <c r="EA1080" s="12"/>
      <c r="EB1080" s="12"/>
    </row>
    <row r="1081" spans="131:132" x14ac:dyDescent="0.2">
      <c r="EA1081" s="12"/>
      <c r="EB1081" s="12"/>
    </row>
    <row r="1082" spans="131:132" x14ac:dyDescent="0.2">
      <c r="EA1082" s="12"/>
      <c r="EB1082" s="12"/>
    </row>
    <row r="1083" spans="131:132" x14ac:dyDescent="0.2">
      <c r="EA1083" s="12"/>
      <c r="EB1083" s="12"/>
    </row>
    <row r="1084" spans="131:132" x14ac:dyDescent="0.2">
      <c r="EA1084" s="12"/>
      <c r="EB1084" s="12"/>
    </row>
    <row r="1085" spans="131:132" x14ac:dyDescent="0.2">
      <c r="EA1085" s="12"/>
      <c r="EB1085" s="12"/>
    </row>
    <row r="1086" spans="131:132" x14ac:dyDescent="0.2">
      <c r="EA1086" s="12"/>
      <c r="EB1086" s="12"/>
    </row>
    <row r="1087" spans="131:132" x14ac:dyDescent="0.2">
      <c r="EA1087" s="12"/>
      <c r="EB1087" s="12"/>
    </row>
    <row r="1088" spans="131:132" x14ac:dyDescent="0.2">
      <c r="EA1088" s="12"/>
      <c r="EB1088" s="12"/>
    </row>
    <row r="1089" spans="131:132" x14ac:dyDescent="0.2">
      <c r="EA1089" s="12"/>
      <c r="EB1089" s="12"/>
    </row>
    <row r="1090" spans="131:132" x14ac:dyDescent="0.2">
      <c r="EA1090" s="12"/>
      <c r="EB1090" s="12"/>
    </row>
    <row r="1091" spans="131:132" x14ac:dyDescent="0.2">
      <c r="EA1091" s="12"/>
      <c r="EB1091" s="12"/>
    </row>
    <row r="1092" spans="131:132" x14ac:dyDescent="0.2">
      <c r="EA1092" s="12"/>
      <c r="EB1092" s="12"/>
    </row>
    <row r="1093" spans="131:132" x14ac:dyDescent="0.2">
      <c r="EA1093" s="12"/>
      <c r="EB1093" s="12"/>
    </row>
    <row r="1094" spans="131:132" x14ac:dyDescent="0.2">
      <c r="EA1094" s="12"/>
      <c r="EB1094" s="12"/>
    </row>
    <row r="1095" spans="131:132" x14ac:dyDescent="0.2">
      <c r="EA1095" s="12"/>
      <c r="EB1095" s="12"/>
    </row>
    <row r="1096" spans="131:132" x14ac:dyDescent="0.2">
      <c r="EA1096" s="12"/>
      <c r="EB1096" s="12"/>
    </row>
    <row r="1097" spans="131:132" x14ac:dyDescent="0.2">
      <c r="EA1097" s="12"/>
      <c r="EB1097" s="12"/>
    </row>
    <row r="1098" spans="131:132" x14ac:dyDescent="0.2">
      <c r="EA1098" s="12"/>
      <c r="EB1098" s="12"/>
    </row>
    <row r="1099" spans="131:132" x14ac:dyDescent="0.2">
      <c r="EA1099" s="12"/>
      <c r="EB1099" s="12"/>
    </row>
    <row r="1100" spans="131:132" x14ac:dyDescent="0.2">
      <c r="EA1100" s="12"/>
      <c r="EB1100" s="12"/>
    </row>
    <row r="1101" spans="131:132" x14ac:dyDescent="0.2">
      <c r="EA1101" s="12"/>
      <c r="EB1101" s="12"/>
    </row>
    <row r="1102" spans="131:132" x14ac:dyDescent="0.2">
      <c r="EA1102" s="12"/>
      <c r="EB1102" s="12"/>
    </row>
    <row r="1103" spans="131:132" x14ac:dyDescent="0.2">
      <c r="EA1103" s="12"/>
      <c r="EB1103" s="12"/>
    </row>
    <row r="1104" spans="131:132" x14ac:dyDescent="0.2">
      <c r="EA1104" s="12"/>
      <c r="EB1104" s="12"/>
    </row>
    <row r="1105" spans="131:132" x14ac:dyDescent="0.2">
      <c r="EA1105" s="12"/>
      <c r="EB1105" s="12"/>
    </row>
    <row r="1106" spans="131:132" x14ac:dyDescent="0.2">
      <c r="EA1106" s="12"/>
      <c r="EB1106" s="12"/>
    </row>
    <row r="1107" spans="131:132" x14ac:dyDescent="0.2">
      <c r="EA1107" s="12"/>
      <c r="EB1107" s="12"/>
    </row>
    <row r="1108" spans="131:132" x14ac:dyDescent="0.2">
      <c r="EA1108" s="12"/>
      <c r="EB1108" s="12"/>
    </row>
    <row r="1109" spans="131:132" x14ac:dyDescent="0.2">
      <c r="EA1109" s="12"/>
      <c r="EB1109" s="12"/>
    </row>
    <row r="1110" spans="131:132" x14ac:dyDescent="0.2">
      <c r="EA1110" s="12"/>
      <c r="EB1110" s="12"/>
    </row>
    <row r="1111" spans="131:132" x14ac:dyDescent="0.2">
      <c r="EA1111" s="12"/>
      <c r="EB1111" s="12"/>
    </row>
    <row r="1112" spans="131:132" x14ac:dyDescent="0.2">
      <c r="EA1112" s="12"/>
      <c r="EB1112" s="12"/>
    </row>
    <row r="1113" spans="131:132" x14ac:dyDescent="0.2">
      <c r="EA1113" s="12"/>
      <c r="EB1113" s="12"/>
    </row>
    <row r="1114" spans="131:132" x14ac:dyDescent="0.2">
      <c r="EA1114" s="12"/>
      <c r="EB1114" s="12"/>
    </row>
    <row r="1115" spans="131:132" x14ac:dyDescent="0.2">
      <c r="EA1115" s="12"/>
      <c r="EB1115" s="12"/>
    </row>
    <row r="1116" spans="131:132" x14ac:dyDescent="0.2">
      <c r="EA1116" s="12"/>
      <c r="EB1116" s="12"/>
    </row>
    <row r="1117" spans="131:132" x14ac:dyDescent="0.2">
      <c r="EA1117" s="12"/>
      <c r="EB1117" s="12"/>
    </row>
    <row r="1118" spans="131:132" x14ac:dyDescent="0.2">
      <c r="EA1118" s="12"/>
      <c r="EB1118" s="12"/>
    </row>
    <row r="1119" spans="131:132" x14ac:dyDescent="0.2">
      <c r="EA1119" s="12"/>
      <c r="EB1119" s="12"/>
    </row>
    <row r="1120" spans="131:132" x14ac:dyDescent="0.2">
      <c r="EA1120" s="12"/>
      <c r="EB1120" s="12"/>
    </row>
    <row r="1121" spans="131:132" x14ac:dyDescent="0.2">
      <c r="EA1121" s="12"/>
      <c r="EB1121" s="12"/>
    </row>
    <row r="1122" spans="131:132" x14ac:dyDescent="0.2">
      <c r="EA1122" s="12"/>
      <c r="EB1122" s="12"/>
    </row>
    <row r="1123" spans="131:132" x14ac:dyDescent="0.2">
      <c r="EA1123" s="12"/>
      <c r="EB1123" s="12"/>
    </row>
    <row r="1124" spans="131:132" x14ac:dyDescent="0.2">
      <c r="EA1124" s="12"/>
      <c r="EB1124" s="12"/>
    </row>
    <row r="1125" spans="131:132" x14ac:dyDescent="0.2">
      <c r="EA1125" s="12"/>
      <c r="EB1125" s="12"/>
    </row>
    <row r="1126" spans="131:132" x14ac:dyDescent="0.2">
      <c r="EA1126" s="12"/>
      <c r="EB1126" s="12"/>
    </row>
    <row r="1127" spans="131:132" x14ac:dyDescent="0.2">
      <c r="EA1127" s="12"/>
      <c r="EB1127" s="12"/>
    </row>
    <row r="1128" spans="131:132" x14ac:dyDescent="0.2">
      <c r="EA1128" s="12"/>
      <c r="EB1128" s="12"/>
    </row>
    <row r="1129" spans="131:132" x14ac:dyDescent="0.2">
      <c r="EA1129" s="12"/>
      <c r="EB1129" s="12"/>
    </row>
    <row r="1130" spans="131:132" x14ac:dyDescent="0.2">
      <c r="EA1130" s="12"/>
      <c r="EB1130" s="12"/>
    </row>
    <row r="1131" spans="131:132" x14ac:dyDescent="0.2">
      <c r="EA1131" s="12"/>
      <c r="EB1131" s="12"/>
    </row>
    <row r="1132" spans="131:132" x14ac:dyDescent="0.2">
      <c r="EA1132" s="12"/>
      <c r="EB1132" s="12"/>
    </row>
    <row r="1133" spans="131:132" x14ac:dyDescent="0.2">
      <c r="EA1133" s="12"/>
      <c r="EB1133" s="12"/>
    </row>
    <row r="1134" spans="131:132" x14ac:dyDescent="0.2">
      <c r="EA1134" s="12"/>
      <c r="EB1134" s="12"/>
    </row>
    <row r="1135" spans="131:132" x14ac:dyDescent="0.2">
      <c r="EA1135" s="12"/>
      <c r="EB1135" s="12"/>
    </row>
    <row r="1136" spans="131:132" x14ac:dyDescent="0.2">
      <c r="EA1136" s="12"/>
      <c r="EB1136" s="12"/>
    </row>
    <row r="1137" spans="131:132" x14ac:dyDescent="0.2">
      <c r="EA1137" s="12"/>
      <c r="EB1137" s="12"/>
    </row>
    <row r="1138" spans="131:132" x14ac:dyDescent="0.2">
      <c r="EA1138" s="12"/>
      <c r="EB1138" s="12"/>
    </row>
    <row r="1139" spans="131:132" x14ac:dyDescent="0.2">
      <c r="EA1139" s="12"/>
      <c r="EB1139" s="12"/>
    </row>
    <row r="1140" spans="131:132" x14ac:dyDescent="0.2">
      <c r="EA1140" s="12"/>
      <c r="EB1140" s="12"/>
    </row>
    <row r="1141" spans="131:132" x14ac:dyDescent="0.2">
      <c r="EA1141" s="12"/>
      <c r="EB1141" s="12"/>
    </row>
    <row r="1142" spans="131:132" x14ac:dyDescent="0.2">
      <c r="EA1142" s="12"/>
      <c r="EB1142" s="12"/>
    </row>
    <row r="1143" spans="131:132" x14ac:dyDescent="0.2">
      <c r="EA1143" s="12"/>
      <c r="EB1143" s="12"/>
    </row>
    <row r="1144" spans="131:132" x14ac:dyDescent="0.2">
      <c r="EA1144" s="12"/>
      <c r="EB1144" s="12"/>
    </row>
    <row r="1145" spans="131:132" x14ac:dyDescent="0.2">
      <c r="EA1145" s="12"/>
      <c r="EB1145" s="12"/>
    </row>
    <row r="1146" spans="131:132" x14ac:dyDescent="0.2">
      <c r="EA1146" s="12"/>
      <c r="EB1146" s="12"/>
    </row>
    <row r="1147" spans="131:132" x14ac:dyDescent="0.2">
      <c r="EA1147" s="12"/>
      <c r="EB1147" s="12"/>
    </row>
    <row r="1148" spans="131:132" x14ac:dyDescent="0.2">
      <c r="EA1148" s="12"/>
      <c r="EB1148" s="12"/>
    </row>
    <row r="1149" spans="131:132" x14ac:dyDescent="0.2">
      <c r="EA1149" s="12"/>
      <c r="EB1149" s="12"/>
    </row>
    <row r="1150" spans="131:132" x14ac:dyDescent="0.2">
      <c r="EA1150" s="12"/>
      <c r="EB1150" s="12"/>
    </row>
    <row r="1151" spans="131:132" x14ac:dyDescent="0.2">
      <c r="EA1151" s="12"/>
      <c r="EB1151" s="12"/>
    </row>
    <row r="1152" spans="131:132" x14ac:dyDescent="0.2">
      <c r="EA1152" s="12"/>
      <c r="EB1152" s="12"/>
    </row>
    <row r="1153" spans="131:132" x14ac:dyDescent="0.2">
      <c r="EA1153" s="12"/>
      <c r="EB1153" s="12"/>
    </row>
    <row r="1154" spans="131:132" x14ac:dyDescent="0.2">
      <c r="EA1154" s="12"/>
      <c r="EB1154" s="12"/>
    </row>
    <row r="1155" spans="131:132" x14ac:dyDescent="0.2">
      <c r="EA1155" s="12"/>
      <c r="EB1155" s="12"/>
    </row>
    <row r="1156" spans="131:132" x14ac:dyDescent="0.2">
      <c r="EA1156" s="12"/>
      <c r="EB1156" s="12"/>
    </row>
    <row r="1157" spans="131:132" x14ac:dyDescent="0.2">
      <c r="EA1157" s="12"/>
      <c r="EB1157" s="12"/>
    </row>
    <row r="1158" spans="131:132" x14ac:dyDescent="0.2">
      <c r="EA1158" s="12"/>
      <c r="EB1158" s="12"/>
    </row>
    <row r="1159" spans="131:132" x14ac:dyDescent="0.2">
      <c r="EA1159" s="12"/>
      <c r="EB1159" s="12"/>
    </row>
    <row r="1160" spans="131:132" x14ac:dyDescent="0.2">
      <c r="EA1160" s="12"/>
      <c r="EB1160" s="12"/>
    </row>
    <row r="1161" spans="131:132" x14ac:dyDescent="0.2">
      <c r="EA1161" s="12"/>
      <c r="EB1161" s="12"/>
    </row>
    <row r="1162" spans="131:132" x14ac:dyDescent="0.2">
      <c r="EA1162" s="12"/>
      <c r="EB1162" s="12"/>
    </row>
    <row r="1163" spans="131:132" x14ac:dyDescent="0.2">
      <c r="EA1163" s="12"/>
      <c r="EB1163" s="12"/>
    </row>
    <row r="1164" spans="131:132" x14ac:dyDescent="0.2">
      <c r="EA1164" s="12"/>
      <c r="EB1164" s="12"/>
    </row>
    <row r="1165" spans="131:132" x14ac:dyDescent="0.2">
      <c r="EA1165" s="12"/>
      <c r="EB1165" s="12"/>
    </row>
    <row r="1166" spans="131:132" x14ac:dyDescent="0.2">
      <c r="EA1166" s="12"/>
      <c r="EB1166" s="12"/>
    </row>
    <row r="1167" spans="131:132" x14ac:dyDescent="0.2">
      <c r="EA1167" s="12"/>
      <c r="EB1167" s="12"/>
    </row>
    <row r="1168" spans="131:132" x14ac:dyDescent="0.2">
      <c r="EA1168" s="12"/>
      <c r="EB1168" s="12"/>
    </row>
    <row r="1169" spans="131:132" x14ac:dyDescent="0.2">
      <c r="EA1169" s="12"/>
      <c r="EB1169" s="12"/>
    </row>
    <row r="1170" spans="131:132" x14ac:dyDescent="0.2">
      <c r="EA1170" s="12"/>
      <c r="EB1170" s="12"/>
    </row>
    <row r="1171" spans="131:132" x14ac:dyDescent="0.2">
      <c r="EA1171" s="12"/>
      <c r="EB1171" s="12"/>
    </row>
    <row r="1172" spans="131:132" x14ac:dyDescent="0.2">
      <c r="EA1172" s="12"/>
      <c r="EB1172" s="12"/>
    </row>
    <row r="1173" spans="131:132" x14ac:dyDescent="0.2">
      <c r="EA1173" s="12"/>
      <c r="EB1173" s="12"/>
    </row>
    <row r="1174" spans="131:132" x14ac:dyDescent="0.2">
      <c r="EA1174" s="12"/>
      <c r="EB1174" s="12"/>
    </row>
    <row r="1175" spans="131:132" x14ac:dyDescent="0.2">
      <c r="EA1175" s="12"/>
      <c r="EB1175" s="12"/>
    </row>
    <row r="1176" spans="131:132" x14ac:dyDescent="0.2">
      <c r="EA1176" s="12"/>
      <c r="EB1176" s="12"/>
    </row>
    <row r="1177" spans="131:132" x14ac:dyDescent="0.2">
      <c r="EA1177" s="12"/>
      <c r="EB1177" s="12"/>
    </row>
    <row r="1178" spans="131:132" x14ac:dyDescent="0.2">
      <c r="EA1178" s="12"/>
      <c r="EB1178" s="12"/>
    </row>
    <row r="1179" spans="131:132" x14ac:dyDescent="0.2">
      <c r="EA1179" s="12"/>
      <c r="EB1179" s="12"/>
    </row>
    <row r="1180" spans="131:132" x14ac:dyDescent="0.2">
      <c r="EA1180" s="12"/>
      <c r="EB1180" s="12"/>
    </row>
    <row r="1181" spans="131:132" x14ac:dyDescent="0.2">
      <c r="EA1181" s="12"/>
      <c r="EB1181" s="12"/>
    </row>
    <row r="1182" spans="131:132" x14ac:dyDescent="0.2">
      <c r="EA1182" s="12"/>
      <c r="EB1182" s="12"/>
    </row>
    <row r="1183" spans="131:132" x14ac:dyDescent="0.2">
      <c r="EA1183" s="12"/>
      <c r="EB1183" s="12"/>
    </row>
    <row r="1184" spans="131:132" x14ac:dyDescent="0.2">
      <c r="EA1184" s="12"/>
      <c r="EB1184" s="12"/>
    </row>
    <row r="1185" spans="131:132" x14ac:dyDescent="0.2">
      <c r="EA1185" s="12"/>
      <c r="EB1185" s="12"/>
    </row>
    <row r="1186" spans="131:132" x14ac:dyDescent="0.2">
      <c r="EA1186" s="12"/>
      <c r="EB1186" s="12"/>
    </row>
    <row r="1187" spans="131:132" x14ac:dyDescent="0.2">
      <c r="EA1187" s="12"/>
      <c r="EB1187" s="12"/>
    </row>
    <row r="1188" spans="131:132" x14ac:dyDescent="0.2">
      <c r="EA1188" s="12"/>
      <c r="EB1188" s="12"/>
    </row>
    <row r="1189" spans="131:132" x14ac:dyDescent="0.2">
      <c r="EA1189" s="12"/>
      <c r="EB1189" s="12"/>
    </row>
    <row r="1190" spans="131:132" x14ac:dyDescent="0.2">
      <c r="EA1190" s="12"/>
      <c r="EB1190" s="12"/>
    </row>
    <row r="1191" spans="131:132" x14ac:dyDescent="0.2">
      <c r="EA1191" s="12"/>
      <c r="EB1191" s="12"/>
    </row>
    <row r="1192" spans="131:132" x14ac:dyDescent="0.2">
      <c r="EA1192" s="12"/>
      <c r="EB1192" s="12"/>
    </row>
    <row r="1193" spans="131:132" x14ac:dyDescent="0.2">
      <c r="EA1193" s="12"/>
      <c r="EB1193" s="12"/>
    </row>
    <row r="1194" spans="131:132" x14ac:dyDescent="0.2">
      <c r="EA1194" s="12"/>
      <c r="EB1194" s="12"/>
    </row>
    <row r="1195" spans="131:132" x14ac:dyDescent="0.2">
      <c r="EA1195" s="12"/>
      <c r="EB1195" s="12"/>
    </row>
    <row r="1196" spans="131:132" x14ac:dyDescent="0.2">
      <c r="EA1196" s="12"/>
      <c r="EB1196" s="12"/>
    </row>
    <row r="1197" spans="131:132" x14ac:dyDescent="0.2">
      <c r="EA1197" s="12"/>
      <c r="EB1197" s="12"/>
    </row>
    <row r="1198" spans="131:132" x14ac:dyDescent="0.2">
      <c r="EA1198" s="12"/>
      <c r="EB1198" s="12"/>
    </row>
    <row r="1199" spans="131:132" x14ac:dyDescent="0.2">
      <c r="EA1199" s="12"/>
      <c r="EB1199" s="12"/>
    </row>
    <row r="1200" spans="131:132" x14ac:dyDescent="0.2">
      <c r="EA1200" s="12"/>
      <c r="EB1200" s="12"/>
    </row>
    <row r="1201" spans="131:132" x14ac:dyDescent="0.2">
      <c r="EA1201" s="12"/>
      <c r="EB1201" s="12"/>
    </row>
    <row r="1202" spans="131:132" x14ac:dyDescent="0.2">
      <c r="EA1202" s="12"/>
      <c r="EB1202" s="12"/>
    </row>
    <row r="1203" spans="131:132" x14ac:dyDescent="0.2">
      <c r="EA1203" s="12"/>
      <c r="EB1203" s="12"/>
    </row>
    <row r="1204" spans="131:132" x14ac:dyDescent="0.2">
      <c r="EA1204" s="12"/>
      <c r="EB1204" s="12"/>
    </row>
    <row r="1205" spans="131:132" x14ac:dyDescent="0.2">
      <c r="EA1205" s="12"/>
      <c r="EB1205" s="12"/>
    </row>
    <row r="1206" spans="131:132" x14ac:dyDescent="0.2">
      <c r="EA1206" s="12"/>
      <c r="EB1206" s="12"/>
    </row>
    <row r="1207" spans="131:132" x14ac:dyDescent="0.2">
      <c r="EA1207" s="12"/>
      <c r="EB1207" s="12"/>
    </row>
    <row r="1208" spans="131:132" x14ac:dyDescent="0.2">
      <c r="EA1208" s="12"/>
      <c r="EB1208" s="12"/>
    </row>
    <row r="1209" spans="131:132" x14ac:dyDescent="0.2">
      <c r="EA1209" s="12"/>
      <c r="EB1209" s="12"/>
    </row>
    <row r="1210" spans="131:132" x14ac:dyDescent="0.2">
      <c r="EA1210" s="12"/>
      <c r="EB1210" s="12"/>
    </row>
    <row r="1211" spans="131:132" x14ac:dyDescent="0.2">
      <c r="EA1211" s="12"/>
      <c r="EB1211" s="12"/>
    </row>
    <row r="1212" spans="131:132" x14ac:dyDescent="0.2">
      <c r="EA1212" s="12"/>
      <c r="EB1212" s="12"/>
    </row>
    <row r="1213" spans="131:132" x14ac:dyDescent="0.2">
      <c r="EA1213" s="12"/>
      <c r="EB1213" s="12"/>
    </row>
    <row r="1214" spans="131:132" x14ac:dyDescent="0.2">
      <c r="EA1214" s="12"/>
      <c r="EB1214" s="12"/>
    </row>
    <row r="1215" spans="131:132" x14ac:dyDescent="0.2">
      <c r="EA1215" s="12"/>
      <c r="EB1215" s="12"/>
    </row>
    <row r="1216" spans="131:132" x14ac:dyDescent="0.2">
      <c r="EA1216" s="12"/>
      <c r="EB1216" s="12"/>
    </row>
    <row r="1217" spans="131:132" x14ac:dyDescent="0.2">
      <c r="EA1217" s="12"/>
      <c r="EB1217" s="12"/>
    </row>
    <row r="1218" spans="131:132" x14ac:dyDescent="0.2">
      <c r="EA1218" s="12"/>
      <c r="EB1218" s="12"/>
    </row>
    <row r="1219" spans="131:132" x14ac:dyDescent="0.2">
      <c r="EA1219" s="12"/>
      <c r="EB1219" s="12"/>
    </row>
    <row r="1220" spans="131:132" x14ac:dyDescent="0.2">
      <c r="EA1220" s="12"/>
      <c r="EB1220" s="12"/>
    </row>
    <row r="1221" spans="131:132" x14ac:dyDescent="0.2">
      <c r="EA1221" s="12"/>
      <c r="EB1221" s="12"/>
    </row>
    <row r="1222" spans="131:132" x14ac:dyDescent="0.2">
      <c r="EA1222" s="12"/>
      <c r="EB1222" s="12"/>
    </row>
    <row r="1223" spans="131:132" x14ac:dyDescent="0.2">
      <c r="EA1223" s="12"/>
      <c r="EB1223" s="12"/>
    </row>
    <row r="1224" spans="131:132" x14ac:dyDescent="0.2">
      <c r="EA1224" s="12"/>
      <c r="EB1224" s="12"/>
    </row>
    <row r="1225" spans="131:132" x14ac:dyDescent="0.2">
      <c r="EA1225" s="12"/>
      <c r="EB1225" s="12"/>
    </row>
    <row r="1226" spans="131:132" x14ac:dyDescent="0.2">
      <c r="EA1226" s="12"/>
      <c r="EB1226" s="12"/>
    </row>
    <row r="1227" spans="131:132" x14ac:dyDescent="0.2">
      <c r="EA1227" s="12"/>
      <c r="EB1227" s="12"/>
    </row>
    <row r="1228" spans="131:132" x14ac:dyDescent="0.2">
      <c r="EA1228" s="12"/>
      <c r="EB1228" s="12"/>
    </row>
    <row r="1229" spans="131:132" x14ac:dyDescent="0.2">
      <c r="EA1229" s="12"/>
      <c r="EB1229" s="12"/>
    </row>
    <row r="1230" spans="131:132" x14ac:dyDescent="0.2">
      <c r="EA1230" s="12"/>
      <c r="EB1230" s="12"/>
    </row>
    <row r="1231" spans="131:132" x14ac:dyDescent="0.2">
      <c r="EA1231" s="12"/>
      <c r="EB1231" s="12"/>
    </row>
    <row r="1232" spans="131:132" x14ac:dyDescent="0.2">
      <c r="EA1232" s="12"/>
      <c r="EB1232" s="12"/>
    </row>
    <row r="1233" spans="131:132" x14ac:dyDescent="0.2">
      <c r="EA1233" s="12"/>
      <c r="EB1233" s="12"/>
    </row>
    <row r="1234" spans="131:132" x14ac:dyDescent="0.2">
      <c r="EA1234" s="12"/>
      <c r="EB1234" s="12"/>
    </row>
    <row r="1235" spans="131:132" x14ac:dyDescent="0.2">
      <c r="EA1235" s="12"/>
      <c r="EB1235" s="12"/>
    </row>
    <row r="1236" spans="131:132" x14ac:dyDescent="0.2">
      <c r="EA1236" s="12"/>
      <c r="EB1236" s="12"/>
    </row>
    <row r="1237" spans="131:132" x14ac:dyDescent="0.2">
      <c r="EA1237" s="12"/>
      <c r="EB1237" s="12"/>
    </row>
    <row r="1238" spans="131:132" x14ac:dyDescent="0.2">
      <c r="EA1238" s="12"/>
      <c r="EB1238" s="12"/>
    </row>
    <row r="1239" spans="131:132" x14ac:dyDescent="0.2">
      <c r="EA1239" s="12"/>
      <c r="EB1239" s="12"/>
    </row>
    <row r="1240" spans="131:132" x14ac:dyDescent="0.2">
      <c r="EA1240" s="12"/>
      <c r="EB1240" s="12"/>
    </row>
    <row r="1241" spans="131:132" x14ac:dyDescent="0.2">
      <c r="EA1241" s="12"/>
      <c r="EB1241" s="12"/>
    </row>
    <row r="1242" spans="131:132" x14ac:dyDescent="0.2">
      <c r="EA1242" s="12"/>
      <c r="EB1242" s="12"/>
    </row>
    <row r="1243" spans="131:132" x14ac:dyDescent="0.2">
      <c r="EA1243" s="12"/>
      <c r="EB1243" s="12"/>
    </row>
    <row r="1244" spans="131:132" x14ac:dyDescent="0.2">
      <c r="EA1244" s="12"/>
      <c r="EB1244" s="12"/>
    </row>
    <row r="1245" spans="131:132" x14ac:dyDescent="0.2">
      <c r="EA1245" s="12"/>
      <c r="EB1245" s="12"/>
    </row>
    <row r="1246" spans="131:132" x14ac:dyDescent="0.2">
      <c r="EA1246" s="12"/>
      <c r="EB1246" s="12"/>
    </row>
    <row r="1247" spans="131:132" x14ac:dyDescent="0.2">
      <c r="EA1247" s="12"/>
      <c r="EB1247" s="12"/>
    </row>
    <row r="1248" spans="131:132" x14ac:dyDescent="0.2">
      <c r="EA1248" s="12"/>
      <c r="EB1248" s="12"/>
    </row>
    <row r="1249" spans="131:132" x14ac:dyDescent="0.2">
      <c r="EA1249" s="12"/>
      <c r="EB1249" s="12"/>
    </row>
    <row r="1250" spans="131:132" x14ac:dyDescent="0.2">
      <c r="EA1250" s="12"/>
      <c r="EB1250" s="12"/>
    </row>
    <row r="1251" spans="131:132" x14ac:dyDescent="0.2">
      <c r="EA1251" s="12"/>
      <c r="EB1251" s="12"/>
    </row>
    <row r="1252" spans="131:132" x14ac:dyDescent="0.2">
      <c r="EA1252" s="12"/>
      <c r="EB1252" s="12"/>
    </row>
    <row r="1253" spans="131:132" x14ac:dyDescent="0.2">
      <c r="EA1253" s="12"/>
      <c r="EB1253" s="12"/>
    </row>
    <row r="1254" spans="131:132" x14ac:dyDescent="0.2">
      <c r="EA1254" s="12"/>
      <c r="EB1254" s="12"/>
    </row>
    <row r="1255" spans="131:132" x14ac:dyDescent="0.2">
      <c r="EA1255" s="12"/>
      <c r="EB1255" s="12"/>
    </row>
    <row r="1256" spans="131:132" x14ac:dyDescent="0.2">
      <c r="EA1256" s="12"/>
      <c r="EB1256" s="12"/>
    </row>
    <row r="1257" spans="131:132" x14ac:dyDescent="0.2">
      <c r="EA1257" s="12"/>
      <c r="EB1257" s="12"/>
    </row>
    <row r="1258" spans="131:132" x14ac:dyDescent="0.2">
      <c r="EA1258" s="12"/>
      <c r="EB1258" s="12"/>
    </row>
    <row r="1259" spans="131:132" x14ac:dyDescent="0.2">
      <c r="EA1259" s="12"/>
      <c r="EB1259" s="12"/>
    </row>
    <row r="1260" spans="131:132" x14ac:dyDescent="0.2">
      <c r="EA1260" s="12"/>
      <c r="EB1260" s="12"/>
    </row>
    <row r="1261" spans="131:132" x14ac:dyDescent="0.2">
      <c r="EA1261" s="12"/>
      <c r="EB1261" s="12"/>
    </row>
    <row r="1262" spans="131:132" x14ac:dyDescent="0.2">
      <c r="EA1262" s="12"/>
      <c r="EB1262" s="12"/>
    </row>
    <row r="1263" spans="131:132" x14ac:dyDescent="0.2">
      <c r="EA1263" s="12"/>
      <c r="EB1263" s="12"/>
    </row>
    <row r="1264" spans="131:132" x14ac:dyDescent="0.2">
      <c r="EA1264" s="12"/>
      <c r="EB1264" s="12"/>
    </row>
    <row r="1265" spans="131:132" x14ac:dyDescent="0.2">
      <c r="EA1265" s="12"/>
      <c r="EB1265" s="12"/>
    </row>
    <row r="1266" spans="131:132" x14ac:dyDescent="0.2">
      <c r="EA1266" s="12"/>
      <c r="EB1266" s="12"/>
    </row>
    <row r="1267" spans="131:132" x14ac:dyDescent="0.2">
      <c r="EA1267" s="12"/>
      <c r="EB1267" s="12"/>
    </row>
    <row r="1268" spans="131:132" x14ac:dyDescent="0.2">
      <c r="EA1268" s="12"/>
      <c r="EB1268" s="12"/>
    </row>
    <row r="1269" spans="131:132" x14ac:dyDescent="0.2">
      <c r="EA1269" s="12"/>
      <c r="EB1269" s="12"/>
    </row>
    <row r="1270" spans="131:132" x14ac:dyDescent="0.2">
      <c r="EA1270" s="12"/>
      <c r="EB1270" s="12"/>
    </row>
    <row r="1271" spans="131:132" x14ac:dyDescent="0.2">
      <c r="EA1271" s="12"/>
      <c r="EB1271" s="12"/>
    </row>
    <row r="1272" spans="131:132" x14ac:dyDescent="0.2">
      <c r="EA1272" s="12"/>
      <c r="EB1272" s="12"/>
    </row>
    <row r="1273" spans="131:132" x14ac:dyDescent="0.2">
      <c r="EA1273" s="12"/>
      <c r="EB1273" s="12"/>
    </row>
    <row r="1274" spans="131:132" x14ac:dyDescent="0.2">
      <c r="EA1274" s="12"/>
      <c r="EB1274" s="12"/>
    </row>
    <row r="1275" spans="131:132" x14ac:dyDescent="0.2">
      <c r="EA1275" s="12"/>
      <c r="EB1275" s="12"/>
    </row>
    <row r="1276" spans="131:132" x14ac:dyDescent="0.2">
      <c r="EA1276" s="12"/>
      <c r="EB1276" s="12"/>
    </row>
    <row r="1277" spans="131:132" x14ac:dyDescent="0.2">
      <c r="EA1277" s="12"/>
      <c r="EB1277" s="12"/>
    </row>
    <row r="1278" spans="131:132" x14ac:dyDescent="0.2">
      <c r="EA1278" s="12"/>
      <c r="EB1278" s="12"/>
    </row>
    <row r="1279" spans="131:132" x14ac:dyDescent="0.2">
      <c r="EA1279" s="12"/>
      <c r="EB1279" s="12"/>
    </row>
    <row r="1280" spans="131:132" x14ac:dyDescent="0.2">
      <c r="EA1280" s="12"/>
      <c r="EB1280" s="12"/>
    </row>
    <row r="1281" spans="131:132" x14ac:dyDescent="0.2">
      <c r="EA1281" s="12"/>
      <c r="EB1281" s="12"/>
    </row>
    <row r="1282" spans="131:132" x14ac:dyDescent="0.2">
      <c r="EA1282" s="12"/>
      <c r="EB1282" s="12"/>
    </row>
    <row r="1283" spans="131:132" x14ac:dyDescent="0.2">
      <c r="EA1283" s="12"/>
      <c r="EB1283" s="12"/>
    </row>
    <row r="1284" spans="131:132" x14ac:dyDescent="0.2">
      <c r="EA1284" s="12"/>
      <c r="EB1284" s="12"/>
    </row>
    <row r="1285" spans="131:132" x14ac:dyDescent="0.2">
      <c r="EA1285" s="12"/>
      <c r="EB1285" s="12"/>
    </row>
    <row r="1286" spans="131:132" x14ac:dyDescent="0.2">
      <c r="EA1286" s="12"/>
      <c r="EB1286" s="12"/>
    </row>
    <row r="1287" spans="131:132" x14ac:dyDescent="0.2">
      <c r="EA1287" s="12"/>
      <c r="EB1287" s="12"/>
    </row>
    <row r="1288" spans="131:132" x14ac:dyDescent="0.2">
      <c r="EA1288" s="12"/>
      <c r="EB1288" s="12"/>
    </row>
    <row r="1289" spans="131:132" x14ac:dyDescent="0.2">
      <c r="EA1289" s="12"/>
      <c r="EB1289" s="12"/>
    </row>
    <row r="1290" spans="131:132" x14ac:dyDescent="0.2">
      <c r="EA1290" s="12"/>
      <c r="EB1290" s="12"/>
    </row>
    <row r="1291" spans="131:132" x14ac:dyDescent="0.2">
      <c r="EA1291" s="12"/>
      <c r="EB1291" s="12"/>
    </row>
    <row r="1292" spans="131:132" x14ac:dyDescent="0.2">
      <c r="EA1292" s="12"/>
      <c r="EB1292" s="12"/>
    </row>
    <row r="1293" spans="131:132" x14ac:dyDescent="0.2">
      <c r="EA1293" s="12"/>
      <c r="EB1293" s="12"/>
    </row>
    <row r="1294" spans="131:132" x14ac:dyDescent="0.2">
      <c r="EA1294" s="12"/>
      <c r="EB1294" s="12"/>
    </row>
    <row r="1295" spans="131:132" x14ac:dyDescent="0.2">
      <c r="EA1295" s="12"/>
      <c r="EB1295" s="12"/>
    </row>
    <row r="1296" spans="131:132" x14ac:dyDescent="0.2">
      <c r="EA1296" s="12"/>
      <c r="EB1296" s="12"/>
    </row>
    <row r="1297" spans="131:132" x14ac:dyDescent="0.2">
      <c r="EA1297" s="12"/>
      <c r="EB1297" s="12"/>
    </row>
    <row r="1298" spans="131:132" x14ac:dyDescent="0.2">
      <c r="EA1298" s="12"/>
      <c r="EB1298" s="12"/>
    </row>
    <row r="1299" spans="131:132" x14ac:dyDescent="0.2">
      <c r="EA1299" s="12"/>
      <c r="EB1299" s="12"/>
    </row>
    <row r="1300" spans="131:132" x14ac:dyDescent="0.2">
      <c r="EA1300" s="12"/>
      <c r="EB1300" s="12"/>
    </row>
    <row r="1301" spans="131:132" x14ac:dyDescent="0.2">
      <c r="EA1301" s="12"/>
      <c r="EB1301" s="12"/>
    </row>
    <row r="1302" spans="131:132" x14ac:dyDescent="0.2">
      <c r="EA1302" s="12"/>
      <c r="EB1302" s="12"/>
    </row>
    <row r="1303" spans="131:132" x14ac:dyDescent="0.2">
      <c r="EA1303" s="12"/>
      <c r="EB1303" s="12"/>
    </row>
    <row r="1304" spans="131:132" x14ac:dyDescent="0.2">
      <c r="EA1304" s="12"/>
      <c r="EB1304" s="12"/>
    </row>
    <row r="1305" spans="131:132" x14ac:dyDescent="0.2">
      <c r="EA1305" s="12"/>
      <c r="EB1305" s="12"/>
    </row>
    <row r="1306" spans="131:132" x14ac:dyDescent="0.2">
      <c r="EA1306" s="12"/>
      <c r="EB1306" s="12"/>
    </row>
    <row r="1307" spans="131:132" x14ac:dyDescent="0.2">
      <c r="EA1307" s="12"/>
      <c r="EB1307" s="12"/>
    </row>
    <row r="1308" spans="131:132" x14ac:dyDescent="0.2">
      <c r="EA1308" s="12"/>
      <c r="EB1308" s="12"/>
    </row>
    <row r="1309" spans="131:132" x14ac:dyDescent="0.2">
      <c r="EA1309" s="12"/>
      <c r="EB1309" s="12"/>
    </row>
    <row r="1310" spans="131:132" x14ac:dyDescent="0.2">
      <c r="EA1310" s="12"/>
      <c r="EB1310" s="12"/>
    </row>
    <row r="1311" spans="131:132" x14ac:dyDescent="0.2">
      <c r="EA1311" s="12"/>
      <c r="EB1311" s="12"/>
    </row>
    <row r="1312" spans="131:132" x14ac:dyDescent="0.2">
      <c r="EA1312" s="12"/>
      <c r="EB1312" s="12"/>
    </row>
    <row r="1313" spans="131:132" x14ac:dyDescent="0.2">
      <c r="EA1313" s="12"/>
      <c r="EB1313" s="12"/>
    </row>
    <row r="1314" spans="131:132" x14ac:dyDescent="0.2">
      <c r="EA1314" s="12"/>
      <c r="EB1314" s="12"/>
    </row>
    <row r="1315" spans="131:132" x14ac:dyDescent="0.2">
      <c r="EA1315" s="12"/>
      <c r="EB1315" s="12"/>
    </row>
    <row r="1316" spans="131:132" x14ac:dyDescent="0.2">
      <c r="EA1316" s="12"/>
      <c r="EB1316" s="12"/>
    </row>
    <row r="1317" spans="131:132" x14ac:dyDescent="0.2">
      <c r="EA1317" s="12"/>
      <c r="EB1317" s="12"/>
    </row>
    <row r="1318" spans="131:132" x14ac:dyDescent="0.2">
      <c r="EA1318" s="12"/>
      <c r="EB1318" s="12"/>
    </row>
    <row r="1319" spans="131:132" x14ac:dyDescent="0.2">
      <c r="EA1319" s="12"/>
      <c r="EB1319" s="12"/>
    </row>
    <row r="1320" spans="131:132" x14ac:dyDescent="0.2">
      <c r="EA1320" s="12"/>
      <c r="EB1320" s="12"/>
    </row>
    <row r="1321" spans="131:132" x14ac:dyDescent="0.2">
      <c r="EA1321" s="12"/>
      <c r="EB1321" s="12"/>
    </row>
    <row r="1322" spans="131:132" x14ac:dyDescent="0.2">
      <c r="EA1322" s="12"/>
      <c r="EB1322" s="12"/>
    </row>
    <row r="1323" spans="131:132" x14ac:dyDescent="0.2">
      <c r="EA1323" s="12"/>
      <c r="EB1323" s="12"/>
    </row>
    <row r="1324" spans="131:132" x14ac:dyDescent="0.2">
      <c r="EA1324" s="12"/>
      <c r="EB1324" s="12"/>
    </row>
    <row r="1325" spans="131:132" x14ac:dyDescent="0.2">
      <c r="EA1325" s="12"/>
      <c r="EB1325" s="12"/>
    </row>
    <row r="1326" spans="131:132" x14ac:dyDescent="0.2">
      <c r="EA1326" s="12"/>
      <c r="EB1326" s="12"/>
    </row>
    <row r="1327" spans="131:132" x14ac:dyDescent="0.2">
      <c r="EA1327" s="12"/>
      <c r="EB1327" s="12"/>
    </row>
    <row r="1328" spans="131:132" x14ac:dyDescent="0.2">
      <c r="EA1328" s="12"/>
      <c r="EB1328" s="12"/>
    </row>
    <row r="1329" spans="131:132" x14ac:dyDescent="0.2">
      <c r="EA1329" s="12"/>
      <c r="EB1329" s="12"/>
    </row>
    <row r="1330" spans="131:132" x14ac:dyDescent="0.2">
      <c r="EA1330" s="12"/>
      <c r="EB1330" s="12"/>
    </row>
    <row r="1331" spans="131:132" x14ac:dyDescent="0.2">
      <c r="EA1331" s="12"/>
      <c r="EB1331" s="12"/>
    </row>
    <row r="1332" spans="131:132" x14ac:dyDescent="0.2">
      <c r="EA1332" s="12"/>
      <c r="EB1332" s="12"/>
    </row>
    <row r="1333" spans="131:132" x14ac:dyDescent="0.2">
      <c r="EA1333" s="12"/>
      <c r="EB1333" s="12"/>
    </row>
    <row r="1334" spans="131:132" x14ac:dyDescent="0.2">
      <c r="EA1334" s="12"/>
      <c r="EB1334" s="12"/>
    </row>
    <row r="1335" spans="131:132" x14ac:dyDescent="0.2">
      <c r="EA1335" s="12"/>
      <c r="EB1335" s="12"/>
    </row>
    <row r="1336" spans="131:132" x14ac:dyDescent="0.2">
      <c r="EA1336" s="12"/>
      <c r="EB1336" s="12"/>
    </row>
    <row r="1337" spans="131:132" x14ac:dyDescent="0.2">
      <c r="EA1337" s="12"/>
      <c r="EB1337" s="12"/>
    </row>
    <row r="1338" spans="131:132" x14ac:dyDescent="0.2">
      <c r="EA1338" s="12"/>
      <c r="EB1338" s="12"/>
    </row>
    <row r="1339" spans="131:132" x14ac:dyDescent="0.2">
      <c r="EA1339" s="12"/>
      <c r="EB1339" s="12"/>
    </row>
    <row r="1340" spans="131:132" x14ac:dyDescent="0.2">
      <c r="EA1340" s="12"/>
      <c r="EB1340" s="12"/>
    </row>
    <row r="1341" spans="131:132" x14ac:dyDescent="0.2">
      <c r="EA1341" s="12"/>
      <c r="EB1341" s="12"/>
    </row>
    <row r="1342" spans="131:132" x14ac:dyDescent="0.2">
      <c r="EA1342" s="12"/>
      <c r="EB1342" s="12"/>
    </row>
    <row r="1343" spans="131:132" x14ac:dyDescent="0.2">
      <c r="EA1343" s="12"/>
      <c r="EB1343" s="12"/>
    </row>
    <row r="1344" spans="131:132" x14ac:dyDescent="0.2">
      <c r="EA1344" s="12"/>
      <c r="EB1344" s="12"/>
    </row>
    <row r="1345" spans="131:132" x14ac:dyDescent="0.2">
      <c r="EA1345" s="12"/>
      <c r="EB1345" s="12"/>
    </row>
    <row r="1346" spans="131:132" x14ac:dyDescent="0.2">
      <c r="EA1346" s="12"/>
      <c r="EB1346" s="12"/>
    </row>
    <row r="1347" spans="131:132" x14ac:dyDescent="0.2">
      <c r="EA1347" s="12"/>
      <c r="EB1347" s="12"/>
    </row>
    <row r="1348" spans="131:132" x14ac:dyDescent="0.2">
      <c r="EA1348" s="12"/>
      <c r="EB1348" s="12"/>
    </row>
    <row r="1349" spans="131:132" x14ac:dyDescent="0.2">
      <c r="EA1349" s="12"/>
      <c r="EB1349" s="12"/>
    </row>
    <row r="1350" spans="131:132" x14ac:dyDescent="0.2">
      <c r="EA1350" s="12"/>
      <c r="EB1350" s="12"/>
    </row>
    <row r="1351" spans="131:132" x14ac:dyDescent="0.2">
      <c r="EA1351" s="12"/>
      <c r="EB1351" s="12"/>
    </row>
    <row r="1352" spans="131:132" x14ac:dyDescent="0.2">
      <c r="EA1352" s="12"/>
      <c r="EB1352" s="12"/>
    </row>
    <row r="1353" spans="131:132" x14ac:dyDescent="0.2">
      <c r="EA1353" s="12"/>
      <c r="EB1353" s="12"/>
    </row>
    <row r="1354" spans="131:132" x14ac:dyDescent="0.2">
      <c r="EA1354" s="12"/>
      <c r="EB1354" s="12"/>
    </row>
    <row r="1355" spans="131:132" x14ac:dyDescent="0.2">
      <c r="EA1355" s="12"/>
      <c r="EB1355" s="12"/>
    </row>
    <row r="1356" spans="131:132" x14ac:dyDescent="0.2">
      <c r="EA1356" s="12"/>
      <c r="EB1356" s="12"/>
    </row>
    <row r="1357" spans="131:132" x14ac:dyDescent="0.2">
      <c r="EA1357" s="12"/>
      <c r="EB1357" s="12"/>
    </row>
    <row r="1358" spans="131:132" x14ac:dyDescent="0.2">
      <c r="EA1358" s="12"/>
      <c r="EB1358" s="12"/>
    </row>
    <row r="1359" spans="131:132" x14ac:dyDescent="0.2">
      <c r="EA1359" s="12"/>
      <c r="EB1359" s="12"/>
    </row>
    <row r="1360" spans="131:132" x14ac:dyDescent="0.2">
      <c r="EA1360" s="12"/>
      <c r="EB1360" s="12"/>
    </row>
    <row r="1361" spans="131:132" x14ac:dyDescent="0.2">
      <c r="EA1361" s="12"/>
      <c r="EB1361" s="12"/>
    </row>
    <row r="1362" spans="131:132" x14ac:dyDescent="0.2">
      <c r="EA1362" s="12"/>
      <c r="EB1362" s="12"/>
    </row>
    <row r="1363" spans="131:132" x14ac:dyDescent="0.2">
      <c r="EA1363" s="12"/>
      <c r="EB1363" s="12"/>
    </row>
    <row r="1364" spans="131:132" x14ac:dyDescent="0.2">
      <c r="EA1364" s="12"/>
      <c r="EB1364" s="12"/>
    </row>
    <row r="1365" spans="131:132" x14ac:dyDescent="0.2">
      <c r="EA1365" s="12"/>
      <c r="EB1365" s="12"/>
    </row>
    <row r="1366" spans="131:132" x14ac:dyDescent="0.2">
      <c r="EA1366" s="12"/>
      <c r="EB1366" s="12"/>
    </row>
    <row r="1367" spans="131:132" x14ac:dyDescent="0.2">
      <c r="EA1367" s="12"/>
      <c r="EB1367" s="12"/>
    </row>
    <row r="1368" spans="131:132" x14ac:dyDescent="0.2">
      <c r="EA1368" s="12"/>
      <c r="EB1368" s="12"/>
    </row>
    <row r="1369" spans="131:132" x14ac:dyDescent="0.2">
      <c r="EA1369" s="12"/>
      <c r="EB1369" s="12"/>
    </row>
    <row r="1370" spans="131:132" x14ac:dyDescent="0.2">
      <c r="EA1370" s="12"/>
      <c r="EB1370" s="12"/>
    </row>
    <row r="1371" spans="131:132" x14ac:dyDescent="0.2">
      <c r="EA1371" s="12"/>
      <c r="EB1371" s="12"/>
    </row>
    <row r="1372" spans="131:132" x14ac:dyDescent="0.2">
      <c r="EA1372" s="12"/>
      <c r="EB1372" s="12"/>
    </row>
    <row r="1373" spans="131:132" x14ac:dyDescent="0.2">
      <c r="EA1373" s="12"/>
      <c r="EB1373" s="12"/>
    </row>
    <row r="1374" spans="131:132" x14ac:dyDescent="0.2">
      <c r="EA1374" s="12"/>
      <c r="EB1374" s="12"/>
    </row>
    <row r="1375" spans="131:132" x14ac:dyDescent="0.2">
      <c r="EA1375" s="12"/>
      <c r="EB1375" s="12"/>
    </row>
    <row r="1376" spans="131:132" x14ac:dyDescent="0.2">
      <c r="EA1376" s="12"/>
      <c r="EB1376" s="12"/>
    </row>
    <row r="1377" spans="131:132" x14ac:dyDescent="0.2">
      <c r="EA1377" s="12"/>
      <c r="EB1377" s="12"/>
    </row>
    <row r="1378" spans="131:132" x14ac:dyDescent="0.2">
      <c r="EA1378" s="12"/>
      <c r="EB1378" s="12"/>
    </row>
    <row r="1379" spans="131:132" x14ac:dyDescent="0.2">
      <c r="EA1379" s="12"/>
      <c r="EB1379" s="12"/>
    </row>
    <row r="1380" spans="131:132" x14ac:dyDescent="0.2">
      <c r="EA1380" s="12"/>
      <c r="EB1380" s="12"/>
    </row>
    <row r="1381" spans="131:132" x14ac:dyDescent="0.2">
      <c r="EA1381" s="12"/>
      <c r="EB1381" s="12"/>
    </row>
    <row r="1382" spans="131:132" x14ac:dyDescent="0.2">
      <c r="EA1382" s="12"/>
      <c r="EB1382" s="12"/>
    </row>
    <row r="1383" spans="131:132" x14ac:dyDescent="0.2">
      <c r="EA1383" s="12"/>
      <c r="EB1383" s="12"/>
    </row>
    <row r="1384" spans="131:132" x14ac:dyDescent="0.2">
      <c r="EA1384" s="12"/>
      <c r="EB1384" s="12"/>
    </row>
    <row r="1385" spans="131:132" x14ac:dyDescent="0.2">
      <c r="EA1385" s="12"/>
      <c r="EB1385" s="12"/>
    </row>
    <row r="1386" spans="131:132" x14ac:dyDescent="0.2">
      <c r="EA1386" s="12"/>
      <c r="EB1386" s="12"/>
    </row>
    <row r="1387" spans="131:132" x14ac:dyDescent="0.2">
      <c r="EA1387" s="12"/>
      <c r="EB1387" s="12"/>
    </row>
    <row r="1388" spans="131:132" x14ac:dyDescent="0.2">
      <c r="EA1388" s="12"/>
      <c r="EB1388" s="12"/>
    </row>
    <row r="1389" spans="131:132" x14ac:dyDescent="0.2">
      <c r="EA1389" s="12"/>
      <c r="EB1389" s="12"/>
    </row>
    <row r="1390" spans="131:132" x14ac:dyDescent="0.2">
      <c r="EA1390" s="12"/>
      <c r="EB1390" s="12"/>
    </row>
    <row r="1391" spans="131:132" x14ac:dyDescent="0.2">
      <c r="EA1391" s="12"/>
      <c r="EB1391" s="12"/>
    </row>
    <row r="1392" spans="131:132" x14ac:dyDescent="0.2">
      <c r="EA1392" s="12"/>
      <c r="EB1392" s="12"/>
    </row>
    <row r="1393" spans="131:132" x14ac:dyDescent="0.2">
      <c r="EA1393" s="12"/>
      <c r="EB1393" s="12"/>
    </row>
    <row r="1394" spans="131:132" x14ac:dyDescent="0.2">
      <c r="EA1394" s="12"/>
      <c r="EB1394" s="12"/>
    </row>
    <row r="1395" spans="131:132" x14ac:dyDescent="0.2">
      <c r="EA1395" s="12"/>
      <c r="EB1395" s="12"/>
    </row>
    <row r="1396" spans="131:132" x14ac:dyDescent="0.2">
      <c r="EA1396" s="12"/>
      <c r="EB1396" s="12"/>
    </row>
    <row r="1397" spans="131:132" x14ac:dyDescent="0.2">
      <c r="EA1397" s="12"/>
      <c r="EB1397" s="12"/>
    </row>
    <row r="1398" spans="131:132" x14ac:dyDescent="0.2">
      <c r="EA1398" s="12"/>
      <c r="EB1398" s="12"/>
    </row>
    <row r="1399" spans="131:132" x14ac:dyDescent="0.2">
      <c r="EA1399" s="12"/>
      <c r="EB1399" s="12"/>
    </row>
    <row r="1400" spans="131:132" x14ac:dyDescent="0.2">
      <c r="EA1400" s="12"/>
      <c r="EB1400" s="12"/>
    </row>
    <row r="1401" spans="131:132" x14ac:dyDescent="0.2">
      <c r="EA1401" s="12"/>
      <c r="EB1401" s="12"/>
    </row>
    <row r="1402" spans="131:132" x14ac:dyDescent="0.2">
      <c r="EA1402" s="12"/>
      <c r="EB1402" s="12"/>
    </row>
    <row r="1403" spans="131:132" x14ac:dyDescent="0.2">
      <c r="EA1403" s="12"/>
      <c r="EB1403" s="12"/>
    </row>
    <row r="1404" spans="131:132" x14ac:dyDescent="0.2">
      <c r="EA1404" s="12"/>
      <c r="EB1404" s="12"/>
    </row>
    <row r="1405" spans="131:132" x14ac:dyDescent="0.2">
      <c r="EA1405" s="12"/>
      <c r="EB1405" s="12"/>
    </row>
    <row r="1406" spans="131:132" x14ac:dyDescent="0.2">
      <c r="EA1406" s="12"/>
      <c r="EB1406" s="12"/>
    </row>
    <row r="1407" spans="131:132" x14ac:dyDescent="0.2">
      <c r="EA1407" s="12"/>
      <c r="EB1407" s="12"/>
    </row>
    <row r="1408" spans="131:132" x14ac:dyDescent="0.2">
      <c r="EA1408" s="12"/>
      <c r="EB1408" s="12"/>
    </row>
    <row r="1409" spans="131:132" x14ac:dyDescent="0.2">
      <c r="EA1409" s="12"/>
      <c r="EB1409" s="12"/>
    </row>
    <row r="1410" spans="131:132" x14ac:dyDescent="0.2">
      <c r="EA1410" s="12"/>
      <c r="EB1410" s="12"/>
    </row>
    <row r="1411" spans="131:132" x14ac:dyDescent="0.2">
      <c r="EA1411" s="12"/>
      <c r="EB1411" s="12"/>
    </row>
    <row r="1412" spans="131:132" x14ac:dyDescent="0.2">
      <c r="EA1412" s="12"/>
      <c r="EB1412" s="12"/>
    </row>
    <row r="1413" spans="131:132" x14ac:dyDescent="0.2">
      <c r="EA1413" s="12"/>
      <c r="EB1413" s="12"/>
    </row>
    <row r="1414" spans="131:132" x14ac:dyDescent="0.2">
      <c r="EA1414" s="12"/>
      <c r="EB1414" s="12"/>
    </row>
    <row r="1415" spans="131:132" x14ac:dyDescent="0.2">
      <c r="EA1415" s="12"/>
      <c r="EB1415" s="12"/>
    </row>
    <row r="1416" spans="131:132" x14ac:dyDescent="0.2">
      <c r="EA1416" s="12"/>
      <c r="EB1416" s="12"/>
    </row>
    <row r="1417" spans="131:132" x14ac:dyDescent="0.2">
      <c r="EA1417" s="12"/>
      <c r="EB1417" s="12"/>
    </row>
    <row r="1418" spans="131:132" x14ac:dyDescent="0.2">
      <c r="EA1418" s="12"/>
      <c r="EB1418" s="12"/>
    </row>
    <row r="1419" spans="131:132" x14ac:dyDescent="0.2">
      <c r="EA1419" s="12"/>
      <c r="EB1419" s="12"/>
    </row>
    <row r="1420" spans="131:132" x14ac:dyDescent="0.2">
      <c r="EA1420" s="12"/>
      <c r="EB1420" s="12"/>
    </row>
    <row r="1421" spans="131:132" x14ac:dyDescent="0.2">
      <c r="EA1421" s="12"/>
      <c r="EB1421" s="1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7C09-7E6D-154A-B8B4-CB75DCE8649A}">
  <dimension ref="A1:EJ1421"/>
  <sheetViews>
    <sheetView workbookViewId="0">
      <pane xSplit="1" ySplit="7" topLeftCell="AH8" activePane="bottomRight" state="frozen"/>
      <selection pane="topRight" activeCell="B1" sqref="B1"/>
      <selection pane="bottomLeft" activeCell="A8" sqref="A8"/>
      <selection pane="bottomRight" activeCell="A74" sqref="A74"/>
    </sheetView>
  </sheetViews>
  <sheetFormatPr baseColWidth="10" defaultColWidth="8.83203125" defaultRowHeight="15" x14ac:dyDescent="0.2"/>
  <cols>
    <col min="1" max="1" width="30" customWidth="1"/>
    <col min="2" max="10" width="13.33203125" customWidth="1"/>
    <col min="11" max="14" width="12.33203125" customWidth="1"/>
    <col min="15" max="15" width="19.5" customWidth="1"/>
    <col min="16" max="24" width="11.1640625" customWidth="1"/>
    <col min="25" max="28" width="11.83203125" customWidth="1"/>
    <col min="29" max="29" width="19.5" customWidth="1"/>
    <col min="30" max="38" width="11.1640625" customWidth="1"/>
    <col min="39" max="41" width="11.83203125" customWidth="1"/>
    <col min="42" max="42" width="11.5" customWidth="1"/>
    <col min="43" max="43" width="19.5" customWidth="1"/>
    <col min="44" max="52" width="11.1640625" customWidth="1"/>
    <col min="53" max="56" width="11.83203125" customWidth="1"/>
    <col min="57" max="57" width="19.5" customWidth="1"/>
    <col min="58" max="66" width="11.1640625" customWidth="1"/>
    <col min="67" max="70" width="11.83203125" customWidth="1"/>
    <col min="71" max="71" width="19.5" customWidth="1"/>
    <col min="72" max="80" width="11.1640625" customWidth="1"/>
    <col min="81" max="84" width="11.83203125" customWidth="1"/>
    <col min="85" max="85" width="19.5" customWidth="1"/>
    <col min="86" max="94" width="11.1640625" customWidth="1"/>
    <col min="95" max="98" width="11.83203125" customWidth="1"/>
    <col min="99" max="99" width="19.5" customWidth="1"/>
    <col min="100" max="108" width="11.1640625" customWidth="1"/>
    <col min="109" max="112" width="11.83203125" customWidth="1"/>
    <col min="113" max="113" width="19.5" customWidth="1"/>
    <col min="114" max="122" width="11.1640625" customWidth="1"/>
    <col min="123" max="126" width="11.83203125" customWidth="1"/>
    <col min="127" max="127" width="17" customWidth="1"/>
    <col min="128" max="140" width="11.83203125" customWidth="1"/>
  </cols>
  <sheetData>
    <row r="1" spans="1:140" x14ac:dyDescent="0.2">
      <c r="A1" s="9"/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20"/>
      <c r="M1" s="11"/>
      <c r="N1" s="11"/>
      <c r="O1" s="9"/>
      <c r="P1" s="9">
        <v>0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Z1" s="15" t="s">
        <v>1750</v>
      </c>
      <c r="AC1" s="9"/>
      <c r="AD1" s="9">
        <v>0</v>
      </c>
      <c r="AE1" s="9">
        <v>1</v>
      </c>
      <c r="AF1" s="9">
        <v>2</v>
      </c>
      <c r="AG1" s="9">
        <v>3</v>
      </c>
      <c r="AH1" s="9">
        <v>4</v>
      </c>
      <c r="AI1" s="9">
        <v>5</v>
      </c>
      <c r="AJ1" s="9">
        <v>6</v>
      </c>
      <c r="AK1" s="9">
        <v>7</v>
      </c>
      <c r="AL1" s="9">
        <v>8</v>
      </c>
      <c r="AN1" s="15" t="s">
        <v>1750</v>
      </c>
      <c r="AQ1" s="9"/>
      <c r="AR1" s="9">
        <v>0</v>
      </c>
      <c r="AS1" s="9">
        <v>1</v>
      </c>
      <c r="AT1" s="9">
        <v>2</v>
      </c>
      <c r="AU1" s="9">
        <v>3</v>
      </c>
      <c r="AV1" s="9">
        <v>4</v>
      </c>
      <c r="AW1" s="9">
        <v>5</v>
      </c>
      <c r="AX1" s="9">
        <v>6</v>
      </c>
      <c r="AY1" s="9">
        <v>7</v>
      </c>
      <c r="AZ1" s="9">
        <v>8</v>
      </c>
      <c r="BB1" s="15" t="s">
        <v>1750</v>
      </c>
      <c r="BE1" s="9"/>
      <c r="BF1" s="9">
        <v>0</v>
      </c>
      <c r="BG1" s="9">
        <v>1</v>
      </c>
      <c r="BH1" s="9">
        <v>2</v>
      </c>
      <c r="BI1" s="9">
        <v>3</v>
      </c>
      <c r="BJ1" s="9">
        <v>4</v>
      </c>
      <c r="BK1" s="9">
        <v>5</v>
      </c>
      <c r="BL1" s="9">
        <v>6</v>
      </c>
      <c r="BM1" s="9">
        <v>7</v>
      </c>
      <c r="BN1" s="9">
        <v>8</v>
      </c>
      <c r="BP1" s="15" t="s">
        <v>1750</v>
      </c>
      <c r="BS1" s="9"/>
      <c r="BT1" s="9">
        <v>0</v>
      </c>
      <c r="BU1" s="9">
        <v>1</v>
      </c>
      <c r="BV1" s="9">
        <v>2</v>
      </c>
      <c r="BW1" s="9">
        <v>3</v>
      </c>
      <c r="BX1" s="9">
        <v>4</v>
      </c>
      <c r="BY1" s="9">
        <v>5</v>
      </c>
      <c r="BZ1" s="9">
        <v>6</v>
      </c>
      <c r="CA1" s="9">
        <v>7</v>
      </c>
      <c r="CB1" s="9">
        <v>8</v>
      </c>
      <c r="CD1" s="15" t="s">
        <v>1750</v>
      </c>
      <c r="CG1" s="9"/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R1" s="15" t="s">
        <v>1750</v>
      </c>
      <c r="CU1" s="9"/>
      <c r="CV1" s="9">
        <v>0</v>
      </c>
      <c r="CW1" s="9">
        <v>1</v>
      </c>
      <c r="CX1" s="9">
        <v>2</v>
      </c>
      <c r="CY1" s="9">
        <v>3</v>
      </c>
      <c r="CZ1" s="9">
        <v>4</v>
      </c>
      <c r="DA1" s="9">
        <v>5</v>
      </c>
      <c r="DB1" s="9">
        <v>6</v>
      </c>
      <c r="DC1" s="9">
        <v>7</v>
      </c>
      <c r="DD1" s="9">
        <v>8</v>
      </c>
      <c r="DF1" s="15" t="s">
        <v>1750</v>
      </c>
      <c r="DI1" s="9"/>
      <c r="DJ1" s="9">
        <v>0</v>
      </c>
      <c r="DK1" s="9">
        <v>1</v>
      </c>
      <c r="DL1" s="9">
        <v>2</v>
      </c>
      <c r="DM1" s="9">
        <v>3</v>
      </c>
      <c r="DN1" s="9">
        <v>4</v>
      </c>
      <c r="DO1" s="9">
        <v>5</v>
      </c>
      <c r="DP1" s="9">
        <v>6</v>
      </c>
      <c r="DQ1" s="9">
        <v>7</v>
      </c>
      <c r="DR1" s="9">
        <v>8</v>
      </c>
      <c r="DT1" s="15" t="s">
        <v>1750</v>
      </c>
      <c r="DW1" s="9"/>
      <c r="DX1" s="9"/>
      <c r="DY1" s="9"/>
      <c r="DZ1" s="9"/>
      <c r="EA1" s="9"/>
      <c r="EB1" s="9"/>
      <c r="EC1" s="9"/>
      <c r="ED1" s="9"/>
      <c r="EE1" s="9"/>
      <c r="EF1" s="9"/>
      <c r="EH1" s="15"/>
    </row>
    <row r="2" spans="1:140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" t="s">
        <v>1774</v>
      </c>
      <c r="P2" s="9"/>
      <c r="Q2" s="9"/>
      <c r="R2" s="9"/>
      <c r="S2" s="9"/>
      <c r="T2" s="9"/>
      <c r="U2" s="9"/>
      <c r="Z2" s="17" t="s">
        <v>1321</v>
      </c>
      <c r="AA2" s="17" t="s">
        <v>1320</v>
      </c>
      <c r="AC2" s="20"/>
      <c r="AD2" s="9"/>
      <c r="AE2" s="9"/>
      <c r="AF2" s="9"/>
      <c r="AG2" s="9"/>
      <c r="AH2" s="9"/>
      <c r="AI2" s="9"/>
      <c r="AN2" s="17" t="s">
        <v>1321</v>
      </c>
      <c r="AO2" s="17" t="s">
        <v>1320</v>
      </c>
      <c r="AQ2" s="20"/>
      <c r="AR2" s="9"/>
      <c r="AS2" s="9"/>
      <c r="AT2" s="9"/>
      <c r="AU2" s="9"/>
      <c r="AV2" s="9"/>
      <c r="AW2" s="9"/>
      <c r="BB2" s="17" t="s">
        <v>1321</v>
      </c>
      <c r="BC2" s="17" t="s">
        <v>1320</v>
      </c>
      <c r="BE2" s="20"/>
      <c r="BF2" s="9"/>
      <c r="BG2" s="9"/>
      <c r="BH2" s="9"/>
      <c r="BI2" s="9"/>
      <c r="BJ2" s="9"/>
      <c r="BK2" s="9"/>
      <c r="BP2" s="17" t="s">
        <v>1321</v>
      </c>
      <c r="BQ2" s="17" t="s">
        <v>1320</v>
      </c>
      <c r="BT2" s="9"/>
      <c r="BU2" s="9"/>
      <c r="BV2" s="9"/>
      <c r="BW2" s="9"/>
      <c r="BX2" s="9"/>
      <c r="BY2" s="9"/>
      <c r="CD2" s="17" t="s">
        <v>1321</v>
      </c>
      <c r="CE2" s="17" t="s">
        <v>1320</v>
      </c>
      <c r="CG2" s="20"/>
      <c r="CH2" s="9"/>
      <c r="CI2" s="9"/>
      <c r="CJ2" s="9"/>
      <c r="CK2" s="9"/>
      <c r="CL2" s="9"/>
      <c r="CM2" s="9"/>
      <c r="CR2" s="17" t="s">
        <v>1321</v>
      </c>
      <c r="CS2" s="17" t="s">
        <v>1320</v>
      </c>
      <c r="CU2" s="20"/>
      <c r="CV2" s="9"/>
      <c r="CW2" s="9"/>
      <c r="CX2" s="9"/>
      <c r="CY2" s="9"/>
      <c r="CZ2" s="9"/>
      <c r="DA2" s="9"/>
      <c r="DF2" s="17" t="s">
        <v>1321</v>
      </c>
      <c r="DG2" s="17" t="s">
        <v>1320</v>
      </c>
      <c r="DI2" s="20"/>
      <c r="DJ2" s="9"/>
      <c r="DK2" s="9"/>
      <c r="DL2" s="9"/>
      <c r="DM2" s="9"/>
      <c r="DN2" s="9"/>
      <c r="DO2" s="9"/>
      <c r="DT2" s="17" t="s">
        <v>1321</v>
      </c>
      <c r="DU2" s="17" t="s">
        <v>1320</v>
      </c>
      <c r="DW2" s="9"/>
      <c r="DX2" s="9"/>
      <c r="DY2" s="9"/>
      <c r="DZ2" s="9"/>
      <c r="EA2" s="9"/>
      <c r="EB2" s="9"/>
      <c r="EC2" s="9"/>
    </row>
    <row r="3" spans="1:140" x14ac:dyDescent="0.2">
      <c r="A3" s="11" t="s">
        <v>1742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" t="s">
        <v>1746</v>
      </c>
      <c r="P3" s="9"/>
      <c r="Q3" s="9"/>
      <c r="R3" s="9"/>
      <c r="S3" s="9"/>
      <c r="T3" s="9"/>
      <c r="U3" s="9"/>
      <c r="Z3" s="6"/>
      <c r="AA3" s="6"/>
      <c r="AC3" s="20" t="s">
        <v>1784</v>
      </c>
      <c r="AD3" s="9"/>
      <c r="AE3" s="9"/>
      <c r="AF3" s="9"/>
      <c r="AG3" s="9"/>
      <c r="AH3" s="9"/>
      <c r="AI3" s="9"/>
      <c r="AN3" s="6"/>
      <c r="AO3" s="6"/>
      <c r="AQ3" s="20" t="s">
        <v>1785</v>
      </c>
      <c r="AR3" s="9"/>
      <c r="AS3" s="9"/>
      <c r="AT3" s="9"/>
      <c r="AU3" s="9"/>
      <c r="AV3" s="9"/>
      <c r="AW3" s="9"/>
      <c r="BB3" s="6"/>
      <c r="BC3" s="6"/>
      <c r="BE3" s="20" t="s">
        <v>1787</v>
      </c>
      <c r="BF3" s="9"/>
      <c r="BG3" s="9"/>
      <c r="BH3" s="9"/>
      <c r="BI3" s="9"/>
      <c r="BJ3" s="9"/>
      <c r="BK3" s="9"/>
      <c r="BP3" s="6"/>
      <c r="BQ3" s="6"/>
      <c r="BS3" s="20" t="s">
        <v>1786</v>
      </c>
      <c r="BT3" s="9"/>
      <c r="BU3" s="9"/>
      <c r="BV3" s="9"/>
      <c r="BW3" s="9"/>
      <c r="BX3" s="9"/>
      <c r="BY3" s="9"/>
      <c r="CD3" s="6"/>
      <c r="CE3" s="6"/>
      <c r="CG3" s="20" t="s">
        <v>1820</v>
      </c>
      <c r="CH3" s="9"/>
      <c r="CI3" s="9"/>
      <c r="CJ3" s="9"/>
      <c r="CK3" s="9"/>
      <c r="CL3" s="9"/>
      <c r="CM3" s="9"/>
      <c r="CR3" s="6"/>
      <c r="CS3" s="6"/>
      <c r="CU3" s="20" t="s">
        <v>1761</v>
      </c>
      <c r="CV3" s="9"/>
      <c r="CW3" s="9"/>
      <c r="CX3" s="9"/>
      <c r="CY3" s="9"/>
      <c r="CZ3" s="9"/>
      <c r="DA3" s="9"/>
      <c r="DF3" s="6"/>
      <c r="DG3" s="6"/>
      <c r="DI3" s="20" t="s">
        <v>1754</v>
      </c>
      <c r="DJ3" s="9"/>
      <c r="DK3" s="9"/>
      <c r="DL3" s="9"/>
      <c r="DM3" s="9"/>
      <c r="DN3" s="9"/>
      <c r="DO3" s="9"/>
      <c r="DT3" s="6"/>
      <c r="DU3" s="6"/>
      <c r="DW3" s="11"/>
      <c r="DX3" s="9"/>
      <c r="DY3" s="9"/>
      <c r="DZ3" s="9"/>
      <c r="EA3" s="9"/>
      <c r="EB3" s="9"/>
      <c r="EC3" s="9"/>
    </row>
    <row r="4" spans="1:140" x14ac:dyDescent="0.2">
      <c r="A4" s="9" t="s">
        <v>1745</v>
      </c>
      <c r="M4" s="9"/>
      <c r="N4" s="9"/>
      <c r="O4" s="9" t="s">
        <v>1749</v>
      </c>
      <c r="P4" s="13">
        <v>0</v>
      </c>
      <c r="Q4" s="13">
        <v>1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AC4" s="9" t="s">
        <v>1751</v>
      </c>
      <c r="AD4" s="13">
        <v>0</v>
      </c>
      <c r="AE4" s="13">
        <v>0</v>
      </c>
      <c r="AF4" s="13">
        <v>1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Q4" s="9" t="s">
        <v>1771</v>
      </c>
      <c r="AR4" s="13">
        <v>0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E4" s="9" t="s">
        <v>1770</v>
      </c>
      <c r="BF4" s="13">
        <v>0</v>
      </c>
      <c r="BG4" s="13">
        <v>0</v>
      </c>
      <c r="BH4" s="13">
        <v>0</v>
      </c>
      <c r="BI4" s="13">
        <v>0</v>
      </c>
      <c r="BJ4" s="13">
        <v>1</v>
      </c>
      <c r="BK4" s="13">
        <v>0</v>
      </c>
      <c r="BL4" s="13">
        <v>0</v>
      </c>
      <c r="BM4" s="13">
        <v>0</v>
      </c>
      <c r="BN4" s="13">
        <v>0</v>
      </c>
      <c r="BR4" s="11"/>
      <c r="BS4" s="9" t="s">
        <v>1765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1</v>
      </c>
      <c r="BZ4" s="13">
        <v>0</v>
      </c>
      <c r="CA4" s="13">
        <v>0</v>
      </c>
      <c r="CB4" s="13">
        <v>0</v>
      </c>
      <c r="CF4" s="11"/>
      <c r="CG4" s="9" t="s">
        <v>1763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1</v>
      </c>
      <c r="CO4" s="13">
        <v>0</v>
      </c>
      <c r="CP4" s="13">
        <v>0</v>
      </c>
      <c r="CT4" s="11"/>
      <c r="CU4" s="9" t="s">
        <v>1760</v>
      </c>
      <c r="CV4" s="13">
        <v>0</v>
      </c>
      <c r="CW4" s="13">
        <v>0</v>
      </c>
      <c r="CX4" s="13">
        <v>0</v>
      </c>
      <c r="CY4" s="13">
        <v>0</v>
      </c>
      <c r="CZ4" s="13">
        <v>0</v>
      </c>
      <c r="DA4" s="13">
        <v>0</v>
      </c>
      <c r="DB4" s="13">
        <v>0</v>
      </c>
      <c r="DC4" s="13">
        <v>1</v>
      </c>
      <c r="DD4" s="13">
        <v>0</v>
      </c>
      <c r="DH4" s="11"/>
      <c r="DI4" s="9" t="s">
        <v>1755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1</v>
      </c>
      <c r="DV4" s="11"/>
      <c r="DW4" s="9"/>
      <c r="EJ4" s="11"/>
    </row>
    <row r="5" spans="1:140" x14ac:dyDescent="0.2">
      <c r="A5" s="9" t="s">
        <v>1743</v>
      </c>
      <c r="B5" s="12"/>
      <c r="M5" s="9"/>
      <c r="N5" s="9"/>
      <c r="O5" s="9" t="s">
        <v>1747</v>
      </c>
      <c r="P5">
        <f>P6*P4</f>
        <v>0</v>
      </c>
      <c r="Q5">
        <f t="shared" ref="Q5:X5" si="0">IF(P5=1,1,Q6*Q4)</f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AC5" s="9" t="s">
        <v>1752</v>
      </c>
      <c r="AD5">
        <f>AD6*AD4</f>
        <v>0</v>
      </c>
      <c r="AE5">
        <f t="shared" ref="AE5:AL5" si="1">IF(AD5=1,1,AE6*AE4)</f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Q5" s="9" t="s">
        <v>1772</v>
      </c>
      <c r="AR5">
        <f>AR6*AR4</f>
        <v>0</v>
      </c>
      <c r="AS5">
        <f t="shared" ref="AS5:AZ5" si="2">IF(AR5=1,1,AS6*AS4)</f>
        <v>0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2"/>
        <v>0</v>
      </c>
      <c r="AY5">
        <f t="shared" si="2"/>
        <v>0</v>
      </c>
      <c r="AZ5">
        <f t="shared" si="2"/>
        <v>0</v>
      </c>
      <c r="BE5" s="9" t="s">
        <v>1768</v>
      </c>
      <c r="BF5">
        <f>BF6*BF4</f>
        <v>0</v>
      </c>
      <c r="BG5">
        <f t="shared" ref="BG5:BN5" si="3">IF(BF5=1,1,BG6*BG4)</f>
        <v>0</v>
      </c>
      <c r="BH5">
        <f t="shared" si="3"/>
        <v>0</v>
      </c>
      <c r="BI5">
        <f t="shared" si="3"/>
        <v>0</v>
      </c>
      <c r="BJ5">
        <f t="shared" si="3"/>
        <v>0</v>
      </c>
      <c r="BK5">
        <f t="shared" si="3"/>
        <v>0</v>
      </c>
      <c r="BL5">
        <f t="shared" si="3"/>
        <v>0</v>
      </c>
      <c r="BM5">
        <f t="shared" si="3"/>
        <v>0</v>
      </c>
      <c r="BN5">
        <f t="shared" si="3"/>
        <v>0</v>
      </c>
      <c r="BS5" s="9" t="s">
        <v>1766</v>
      </c>
      <c r="BT5">
        <f>BT6*BT4</f>
        <v>0</v>
      </c>
      <c r="BU5">
        <f t="shared" ref="BU5:CB5" si="4">IF(BT5=1,1,BU6*BU4)</f>
        <v>0</v>
      </c>
      <c r="BV5">
        <f t="shared" si="4"/>
        <v>0</v>
      </c>
      <c r="BW5">
        <f t="shared" si="4"/>
        <v>0</v>
      </c>
      <c r="BX5">
        <f t="shared" si="4"/>
        <v>0</v>
      </c>
      <c r="BY5">
        <f t="shared" si="4"/>
        <v>0</v>
      </c>
      <c r="BZ5">
        <f t="shared" si="4"/>
        <v>0</v>
      </c>
      <c r="CA5">
        <f t="shared" si="4"/>
        <v>0</v>
      </c>
      <c r="CB5">
        <f t="shared" si="4"/>
        <v>0</v>
      </c>
      <c r="CG5" s="9" t="s">
        <v>1762</v>
      </c>
      <c r="CH5">
        <f>CH6*CH4</f>
        <v>0</v>
      </c>
      <c r="CI5">
        <f t="shared" ref="CI5:CP5" si="5">IF(CH5=1,1,CI6*CI4)</f>
        <v>0</v>
      </c>
      <c r="CJ5">
        <f t="shared" si="5"/>
        <v>0</v>
      </c>
      <c r="CK5">
        <f t="shared" si="5"/>
        <v>0</v>
      </c>
      <c r="CL5">
        <f t="shared" si="5"/>
        <v>0</v>
      </c>
      <c r="CM5">
        <f t="shared" si="5"/>
        <v>0</v>
      </c>
      <c r="CN5">
        <f t="shared" si="5"/>
        <v>0</v>
      </c>
      <c r="CO5">
        <f t="shared" si="5"/>
        <v>0</v>
      </c>
      <c r="CP5">
        <f t="shared" si="5"/>
        <v>0</v>
      </c>
      <c r="CU5" s="9" t="s">
        <v>1758</v>
      </c>
      <c r="CV5">
        <f>CV6*CV4</f>
        <v>0</v>
      </c>
      <c r="CW5">
        <f t="shared" ref="CW5:DD5" si="6">IF(CV5=1,1,CW6*CW4)</f>
        <v>0</v>
      </c>
      <c r="CX5">
        <f t="shared" si="6"/>
        <v>0</v>
      </c>
      <c r="CY5">
        <f t="shared" si="6"/>
        <v>0</v>
      </c>
      <c r="CZ5">
        <f t="shared" si="6"/>
        <v>0</v>
      </c>
      <c r="DA5">
        <f t="shared" si="6"/>
        <v>0</v>
      </c>
      <c r="DB5">
        <f t="shared" si="6"/>
        <v>0</v>
      </c>
      <c r="DC5">
        <f t="shared" si="6"/>
        <v>0</v>
      </c>
      <c r="DD5">
        <f t="shared" si="6"/>
        <v>0</v>
      </c>
      <c r="DI5" s="9" t="s">
        <v>1756</v>
      </c>
      <c r="DJ5">
        <f>DJ6*DJ4</f>
        <v>0</v>
      </c>
      <c r="DK5">
        <f t="shared" ref="DK5:DR5" si="7">IF(DJ5=1,1,DK6*DK4)</f>
        <v>0</v>
      </c>
      <c r="DL5">
        <f t="shared" si="7"/>
        <v>0</v>
      </c>
      <c r="DM5">
        <f t="shared" si="7"/>
        <v>0</v>
      </c>
      <c r="DN5">
        <f t="shared" si="7"/>
        <v>0</v>
      </c>
      <c r="DO5">
        <f t="shared" si="7"/>
        <v>0</v>
      </c>
      <c r="DP5">
        <f t="shared" si="7"/>
        <v>0</v>
      </c>
      <c r="DQ5">
        <f t="shared" si="7"/>
        <v>0</v>
      </c>
      <c r="DR5">
        <f t="shared" si="7"/>
        <v>0</v>
      </c>
      <c r="DW5" s="9"/>
      <c r="DX5" s="12"/>
    </row>
    <row r="6" spans="1:140" x14ac:dyDescent="0.2">
      <c r="A6" s="9" t="s">
        <v>1744</v>
      </c>
      <c r="B6" s="13"/>
      <c r="J6" s="13"/>
      <c r="K6" s="13"/>
      <c r="L6" s="13"/>
      <c r="M6" s="9"/>
      <c r="N6" s="9"/>
      <c r="O6" s="9" t="s">
        <v>1748</v>
      </c>
      <c r="P6" s="12">
        <v>0</v>
      </c>
      <c r="Q6" s="12">
        <f>P6</f>
        <v>0</v>
      </c>
      <c r="R6" s="12">
        <f t="shared" ref="R6:X6" si="8">Q6</f>
        <v>0</v>
      </c>
      <c r="S6" s="12">
        <f t="shared" si="8"/>
        <v>0</v>
      </c>
      <c r="T6" s="12">
        <f t="shared" si="8"/>
        <v>0</v>
      </c>
      <c r="U6" s="12">
        <f t="shared" si="8"/>
        <v>0</v>
      </c>
      <c r="V6" s="12">
        <f t="shared" si="8"/>
        <v>0</v>
      </c>
      <c r="W6" s="12">
        <f t="shared" si="8"/>
        <v>0</v>
      </c>
      <c r="X6" s="12">
        <f t="shared" si="8"/>
        <v>0</v>
      </c>
      <c r="AC6" s="9" t="s">
        <v>1753</v>
      </c>
      <c r="AD6" s="12">
        <v>0</v>
      </c>
      <c r="AE6" s="12">
        <f>AD6</f>
        <v>0</v>
      </c>
      <c r="AF6" s="12">
        <f t="shared" ref="AF6:AL6" si="9">AE6</f>
        <v>0</v>
      </c>
      <c r="AG6" s="12">
        <f t="shared" si="9"/>
        <v>0</v>
      </c>
      <c r="AH6" s="12">
        <f t="shared" si="9"/>
        <v>0</v>
      </c>
      <c r="AI6" s="12">
        <f t="shared" si="9"/>
        <v>0</v>
      </c>
      <c r="AJ6" s="12">
        <f t="shared" si="9"/>
        <v>0</v>
      </c>
      <c r="AK6" s="12">
        <f t="shared" si="9"/>
        <v>0</v>
      </c>
      <c r="AL6" s="12">
        <f t="shared" si="9"/>
        <v>0</v>
      </c>
      <c r="AQ6" s="9" t="s">
        <v>1773</v>
      </c>
      <c r="AR6" s="12">
        <v>0</v>
      </c>
      <c r="AS6" s="12">
        <f>AR6</f>
        <v>0</v>
      </c>
      <c r="AT6" s="12">
        <f t="shared" ref="AT6:AZ6" si="10">AS6</f>
        <v>0</v>
      </c>
      <c r="AU6" s="12">
        <f t="shared" si="10"/>
        <v>0</v>
      </c>
      <c r="AV6" s="12">
        <f t="shared" si="10"/>
        <v>0</v>
      </c>
      <c r="AW6" s="12">
        <f t="shared" si="10"/>
        <v>0</v>
      </c>
      <c r="AX6" s="12">
        <f t="shared" si="10"/>
        <v>0</v>
      </c>
      <c r="AY6" s="12">
        <f t="shared" si="10"/>
        <v>0</v>
      </c>
      <c r="AZ6" s="12">
        <f t="shared" si="10"/>
        <v>0</v>
      </c>
      <c r="BE6" s="9" t="s">
        <v>1769</v>
      </c>
      <c r="BF6" s="12">
        <v>0</v>
      </c>
      <c r="BG6" s="12">
        <f>BF6</f>
        <v>0</v>
      </c>
      <c r="BH6" s="12">
        <f t="shared" ref="BH6:BN6" si="11">BG6</f>
        <v>0</v>
      </c>
      <c r="BI6" s="12">
        <f t="shared" si="11"/>
        <v>0</v>
      </c>
      <c r="BJ6" s="12">
        <f t="shared" si="11"/>
        <v>0</v>
      </c>
      <c r="BK6" s="12">
        <f t="shared" si="11"/>
        <v>0</v>
      </c>
      <c r="BL6" s="12">
        <f t="shared" si="11"/>
        <v>0</v>
      </c>
      <c r="BM6" s="12">
        <f t="shared" si="11"/>
        <v>0</v>
      </c>
      <c r="BN6" s="12">
        <f t="shared" si="11"/>
        <v>0</v>
      </c>
      <c r="BS6" s="9" t="s">
        <v>1767</v>
      </c>
      <c r="BT6" s="12">
        <v>0</v>
      </c>
      <c r="BU6" s="12">
        <f>BT6</f>
        <v>0</v>
      </c>
      <c r="BV6" s="12">
        <f t="shared" ref="BV6:CB6" si="12">BU6</f>
        <v>0</v>
      </c>
      <c r="BW6" s="12">
        <f t="shared" si="12"/>
        <v>0</v>
      </c>
      <c r="BX6" s="12">
        <f t="shared" si="12"/>
        <v>0</v>
      </c>
      <c r="BY6" s="12">
        <f t="shared" si="12"/>
        <v>0</v>
      </c>
      <c r="BZ6" s="12">
        <f t="shared" si="12"/>
        <v>0</v>
      </c>
      <c r="CA6" s="12">
        <f t="shared" si="12"/>
        <v>0</v>
      </c>
      <c r="CB6" s="12">
        <f t="shared" si="12"/>
        <v>0</v>
      </c>
      <c r="CG6" s="9" t="s">
        <v>1764</v>
      </c>
      <c r="CH6" s="12">
        <v>0</v>
      </c>
      <c r="CI6" s="12">
        <f>CH6</f>
        <v>0</v>
      </c>
      <c r="CJ6" s="12">
        <f t="shared" ref="CJ6:CP6" si="13">CI6</f>
        <v>0</v>
      </c>
      <c r="CK6" s="12">
        <f t="shared" si="13"/>
        <v>0</v>
      </c>
      <c r="CL6" s="12">
        <f t="shared" si="13"/>
        <v>0</v>
      </c>
      <c r="CM6" s="12">
        <f t="shared" si="13"/>
        <v>0</v>
      </c>
      <c r="CN6" s="12">
        <f t="shared" si="13"/>
        <v>0</v>
      </c>
      <c r="CO6" s="12">
        <f t="shared" si="13"/>
        <v>0</v>
      </c>
      <c r="CP6" s="12">
        <f t="shared" si="13"/>
        <v>0</v>
      </c>
      <c r="CU6" s="9" t="s">
        <v>1759</v>
      </c>
      <c r="CV6" s="12">
        <v>0</v>
      </c>
      <c r="CW6" s="12">
        <f>CV6</f>
        <v>0</v>
      </c>
      <c r="CX6" s="12">
        <f t="shared" ref="CX6:DD6" si="14">CW6</f>
        <v>0</v>
      </c>
      <c r="CY6" s="12">
        <f t="shared" si="14"/>
        <v>0</v>
      </c>
      <c r="CZ6" s="12">
        <f t="shared" si="14"/>
        <v>0</v>
      </c>
      <c r="DA6" s="12">
        <f t="shared" si="14"/>
        <v>0</v>
      </c>
      <c r="DB6" s="12">
        <f t="shared" si="14"/>
        <v>0</v>
      </c>
      <c r="DC6" s="12">
        <f t="shared" si="14"/>
        <v>0</v>
      </c>
      <c r="DD6" s="12">
        <f t="shared" si="14"/>
        <v>0</v>
      </c>
      <c r="DI6" s="9" t="s">
        <v>1757</v>
      </c>
      <c r="DJ6" s="12">
        <v>0</v>
      </c>
      <c r="DK6" s="12">
        <f>DJ6</f>
        <v>0</v>
      </c>
      <c r="DL6" s="12">
        <f t="shared" ref="DL6:DR6" si="15">DK6</f>
        <v>0</v>
      </c>
      <c r="DM6" s="12">
        <f t="shared" si="15"/>
        <v>0</v>
      </c>
      <c r="DN6" s="12">
        <f t="shared" si="15"/>
        <v>0</v>
      </c>
      <c r="DO6" s="12">
        <f t="shared" si="15"/>
        <v>0</v>
      </c>
      <c r="DP6" s="12">
        <f t="shared" si="15"/>
        <v>0</v>
      </c>
      <c r="DQ6" s="12">
        <f t="shared" si="15"/>
        <v>0</v>
      </c>
      <c r="DR6" s="12">
        <f t="shared" si="15"/>
        <v>0</v>
      </c>
      <c r="DW6" s="9"/>
      <c r="DX6" s="13"/>
      <c r="DY6" s="13"/>
      <c r="DZ6" s="13"/>
      <c r="EA6" s="13"/>
      <c r="EB6" s="13"/>
      <c r="EC6" s="13"/>
      <c r="ED6" s="13"/>
      <c r="EE6" s="13"/>
      <c r="EF6" s="13"/>
    </row>
    <row r="7" spans="1:140" x14ac:dyDescent="0.2">
      <c r="A7" s="9" t="s">
        <v>1775</v>
      </c>
      <c r="B7" s="13"/>
      <c r="J7" s="13"/>
      <c r="K7" s="13"/>
      <c r="L7" s="13"/>
      <c r="M7" s="9"/>
      <c r="N7" s="9"/>
      <c r="O7" s="9" t="s">
        <v>1776</v>
      </c>
      <c r="P7">
        <f>P4*P6</f>
        <v>0</v>
      </c>
      <c r="Q7">
        <f t="shared" ref="Q7:X7" si="16">Q4*Q6</f>
        <v>0</v>
      </c>
      <c r="R7">
        <f t="shared" si="16"/>
        <v>0</v>
      </c>
      <c r="S7">
        <f t="shared" si="16"/>
        <v>0</v>
      </c>
      <c r="T7">
        <f t="shared" si="16"/>
        <v>0</v>
      </c>
      <c r="U7">
        <f t="shared" si="16"/>
        <v>0</v>
      </c>
      <c r="V7">
        <f t="shared" si="16"/>
        <v>0</v>
      </c>
      <c r="W7">
        <f t="shared" si="16"/>
        <v>0</v>
      </c>
      <c r="X7">
        <f t="shared" si="16"/>
        <v>0</v>
      </c>
      <c r="AC7" s="9" t="s">
        <v>1777</v>
      </c>
      <c r="AD7">
        <f>AD4*AD6</f>
        <v>0</v>
      </c>
      <c r="AE7">
        <f t="shared" ref="AE7" si="17">AE4*AE6</f>
        <v>0</v>
      </c>
      <c r="AF7">
        <f t="shared" ref="AF7" si="18">AF4*AF6</f>
        <v>0</v>
      </c>
      <c r="AG7">
        <f t="shared" ref="AG7" si="19">AG4*AG6</f>
        <v>0</v>
      </c>
      <c r="AH7">
        <f t="shared" ref="AH7" si="20">AH4*AH6</f>
        <v>0</v>
      </c>
      <c r="AI7">
        <f t="shared" ref="AI7" si="21">AI4*AI6</f>
        <v>0</v>
      </c>
      <c r="AJ7">
        <f t="shared" ref="AJ7" si="22">AJ4*AJ6</f>
        <v>0</v>
      </c>
      <c r="AK7">
        <f t="shared" ref="AK7" si="23">AK4*AK6</f>
        <v>0</v>
      </c>
      <c r="AL7">
        <f t="shared" ref="AL7" si="24">AL4*AL6</f>
        <v>0</v>
      </c>
      <c r="AQ7" s="9" t="s">
        <v>1778</v>
      </c>
      <c r="AR7">
        <f>AR4*AR6</f>
        <v>0</v>
      </c>
      <c r="AS7">
        <f t="shared" ref="AS7" si="25">AS4*AS6</f>
        <v>0</v>
      </c>
      <c r="AT7">
        <f t="shared" ref="AT7" si="26">AT4*AT6</f>
        <v>0</v>
      </c>
      <c r="AU7">
        <f t="shared" ref="AU7" si="27">AU4*AU6</f>
        <v>0</v>
      </c>
      <c r="AV7">
        <f t="shared" ref="AV7" si="28">AV4*AV6</f>
        <v>0</v>
      </c>
      <c r="AW7">
        <f t="shared" ref="AW7" si="29">AW4*AW6</f>
        <v>0</v>
      </c>
      <c r="AX7">
        <f t="shared" ref="AX7" si="30">AX4*AX6</f>
        <v>0</v>
      </c>
      <c r="AY7">
        <f t="shared" ref="AY7" si="31">AY4*AY6</f>
        <v>0</v>
      </c>
      <c r="AZ7">
        <f t="shared" ref="AZ7" si="32">AZ4*AZ6</f>
        <v>0</v>
      </c>
      <c r="BE7" s="9" t="s">
        <v>1779</v>
      </c>
      <c r="BF7">
        <f>BF4*BF6</f>
        <v>0</v>
      </c>
      <c r="BG7">
        <f t="shared" ref="BG7" si="33">BG4*BG6</f>
        <v>0</v>
      </c>
      <c r="BH7">
        <f t="shared" ref="BH7" si="34">BH4*BH6</f>
        <v>0</v>
      </c>
      <c r="BI7">
        <f t="shared" ref="BI7" si="35">BI4*BI6</f>
        <v>0</v>
      </c>
      <c r="BJ7">
        <f t="shared" ref="BJ7" si="36">BJ4*BJ6</f>
        <v>0</v>
      </c>
      <c r="BK7">
        <f t="shared" ref="BK7" si="37">BK4*BK6</f>
        <v>0</v>
      </c>
      <c r="BL7">
        <f t="shared" ref="BL7" si="38">BL4*BL6</f>
        <v>0</v>
      </c>
      <c r="BM7">
        <f t="shared" ref="BM7" si="39">BM4*BM6</f>
        <v>0</v>
      </c>
      <c r="BN7">
        <f t="shared" ref="BN7" si="40">BN4*BN6</f>
        <v>0</v>
      </c>
      <c r="BS7" s="9" t="s">
        <v>1780</v>
      </c>
      <c r="BT7">
        <f>BT4*BT6</f>
        <v>0</v>
      </c>
      <c r="BU7">
        <f t="shared" ref="BU7" si="41">BU4*BU6</f>
        <v>0</v>
      </c>
      <c r="BV7">
        <f t="shared" ref="BV7" si="42">BV4*BV6</f>
        <v>0</v>
      </c>
      <c r="BW7">
        <f t="shared" ref="BW7" si="43">BW4*BW6</f>
        <v>0</v>
      </c>
      <c r="BX7">
        <f t="shared" ref="BX7" si="44">BX4*BX6</f>
        <v>0</v>
      </c>
      <c r="BY7">
        <f t="shared" ref="BY7" si="45">BY4*BY6</f>
        <v>0</v>
      </c>
      <c r="BZ7">
        <f t="shared" ref="BZ7" si="46">BZ4*BZ6</f>
        <v>0</v>
      </c>
      <c r="CA7">
        <f t="shared" ref="CA7" si="47">CA4*CA6</f>
        <v>0</v>
      </c>
      <c r="CB7">
        <f t="shared" ref="CB7" si="48">CB4*CB6</f>
        <v>0</v>
      </c>
      <c r="CG7" s="9" t="s">
        <v>1781</v>
      </c>
      <c r="CH7">
        <f>CH4*CH6</f>
        <v>0</v>
      </c>
      <c r="CI7">
        <f t="shared" ref="CI7" si="49">CI4*CI6</f>
        <v>0</v>
      </c>
      <c r="CJ7">
        <f t="shared" ref="CJ7" si="50">CJ4*CJ6</f>
        <v>0</v>
      </c>
      <c r="CK7">
        <f t="shared" ref="CK7" si="51">CK4*CK6</f>
        <v>0</v>
      </c>
      <c r="CL7">
        <f t="shared" ref="CL7" si="52">CL4*CL6</f>
        <v>0</v>
      </c>
      <c r="CM7">
        <f t="shared" ref="CM7" si="53">CM4*CM6</f>
        <v>0</v>
      </c>
      <c r="CN7">
        <f t="shared" ref="CN7" si="54">CN4*CN6</f>
        <v>0</v>
      </c>
      <c r="CO7">
        <f t="shared" ref="CO7" si="55">CO4*CO6</f>
        <v>0</v>
      </c>
      <c r="CP7">
        <f t="shared" ref="CP7" si="56">CP4*CP6</f>
        <v>0</v>
      </c>
      <c r="CU7" s="9" t="s">
        <v>1782</v>
      </c>
      <c r="CV7">
        <f>CV4*CV6</f>
        <v>0</v>
      </c>
      <c r="CW7">
        <f t="shared" ref="CW7" si="57">CW4*CW6</f>
        <v>0</v>
      </c>
      <c r="CX7">
        <f t="shared" ref="CX7" si="58">CX4*CX6</f>
        <v>0</v>
      </c>
      <c r="CY7">
        <f t="shared" ref="CY7" si="59">CY4*CY6</f>
        <v>0</v>
      </c>
      <c r="CZ7">
        <f t="shared" ref="CZ7" si="60">CZ4*CZ6</f>
        <v>0</v>
      </c>
      <c r="DA7">
        <f t="shared" ref="DA7" si="61">DA4*DA6</f>
        <v>0</v>
      </c>
      <c r="DB7">
        <f t="shared" ref="DB7" si="62">DB4*DB6</f>
        <v>0</v>
      </c>
      <c r="DC7">
        <f t="shared" ref="DC7" si="63">DC4*DC6</f>
        <v>0</v>
      </c>
      <c r="DD7">
        <f t="shared" ref="DD7" si="64">DD4*DD6</f>
        <v>0</v>
      </c>
      <c r="DI7" s="9" t="s">
        <v>1783</v>
      </c>
      <c r="DJ7">
        <f>DJ4*DJ6</f>
        <v>0</v>
      </c>
      <c r="DK7">
        <f t="shared" ref="DK7" si="65">DK4*DK6</f>
        <v>0</v>
      </c>
      <c r="DL7">
        <f t="shared" ref="DL7" si="66">DL4*DL6</f>
        <v>0</v>
      </c>
      <c r="DM7">
        <f t="shared" ref="DM7" si="67">DM4*DM6</f>
        <v>0</v>
      </c>
      <c r="DN7">
        <f t="shared" ref="DN7" si="68">DN4*DN6</f>
        <v>0</v>
      </c>
      <c r="DO7">
        <f t="shared" ref="DO7" si="69">DO4*DO6</f>
        <v>0</v>
      </c>
      <c r="DP7">
        <f t="shared" ref="DP7" si="70">DP4*DP6</f>
        <v>0</v>
      </c>
      <c r="DQ7">
        <f t="shared" ref="DQ7" si="71">DQ4*DQ6</f>
        <v>0</v>
      </c>
      <c r="DR7">
        <f t="shared" ref="DR7" si="72">DR4*DR6</f>
        <v>0</v>
      </c>
      <c r="DW7" s="9"/>
      <c r="DX7" s="13"/>
      <c r="DY7" s="13"/>
      <c r="DZ7" s="13"/>
      <c r="EA7" s="13"/>
      <c r="EB7" s="13"/>
      <c r="EC7" s="13"/>
      <c r="ED7" s="13"/>
      <c r="EE7" s="13"/>
      <c r="EF7" s="13"/>
    </row>
    <row r="8" spans="1:140" x14ac:dyDescent="0.2">
      <c r="A8" s="9"/>
      <c r="B8" s="13"/>
      <c r="J8" s="13"/>
      <c r="K8" s="13"/>
      <c r="L8" s="13"/>
      <c r="M8" s="9"/>
      <c r="N8" s="9"/>
      <c r="O8" s="9"/>
      <c r="P8" s="13"/>
      <c r="Q8" s="13"/>
      <c r="R8" s="13"/>
      <c r="S8" s="13"/>
      <c r="T8" s="13"/>
      <c r="U8" s="13"/>
      <c r="V8" s="13"/>
      <c r="W8" s="13"/>
      <c r="X8" s="13"/>
      <c r="AC8" s="9"/>
      <c r="AD8" s="13"/>
      <c r="AE8" s="13"/>
      <c r="AF8" s="13"/>
      <c r="AG8" s="13"/>
      <c r="AH8" s="13"/>
      <c r="AI8" s="13"/>
      <c r="AJ8" s="13"/>
      <c r="AK8" s="13"/>
      <c r="AL8" s="13"/>
      <c r="AQ8" s="9"/>
      <c r="AR8" s="13"/>
      <c r="AS8" s="13"/>
      <c r="AT8" s="13"/>
      <c r="AU8" s="13"/>
      <c r="AV8" s="13"/>
      <c r="AW8" s="13"/>
      <c r="AX8" s="13"/>
      <c r="AY8" s="13"/>
      <c r="AZ8" s="13"/>
      <c r="BE8" s="9"/>
      <c r="BF8" s="13"/>
      <c r="BG8" s="13"/>
      <c r="BH8" s="13"/>
      <c r="BI8" s="13"/>
      <c r="BJ8" s="13"/>
      <c r="BK8" s="13"/>
      <c r="BL8" s="13"/>
      <c r="BM8" s="13"/>
      <c r="BN8" s="13"/>
      <c r="BS8" s="9"/>
      <c r="BT8" s="13"/>
      <c r="BU8" s="13"/>
      <c r="BV8" s="13"/>
      <c r="BW8" s="13"/>
      <c r="BX8" s="13"/>
      <c r="BY8" s="13"/>
      <c r="BZ8" s="13"/>
      <c r="CA8" s="13"/>
      <c r="CB8" s="13"/>
      <c r="CG8" s="9"/>
      <c r="CH8" s="13"/>
      <c r="CI8" s="13"/>
      <c r="CJ8" s="13"/>
      <c r="CK8" s="13"/>
      <c r="CL8" s="13"/>
      <c r="CM8" s="13"/>
      <c r="CN8" s="13"/>
      <c r="CO8" s="13"/>
      <c r="CP8" s="13"/>
      <c r="CU8" s="9"/>
      <c r="CV8" s="13"/>
      <c r="CW8" s="13"/>
      <c r="CX8" s="13"/>
      <c r="CY8" s="13"/>
      <c r="CZ8" s="13"/>
      <c r="DA8" s="13"/>
      <c r="DB8" s="13"/>
      <c r="DC8" s="13"/>
      <c r="DD8" s="13"/>
      <c r="DI8" s="9"/>
      <c r="DJ8" s="13"/>
      <c r="DK8" s="13"/>
      <c r="DL8" s="13"/>
      <c r="DM8" s="13"/>
      <c r="DN8" s="13"/>
      <c r="DO8" s="13"/>
      <c r="DP8" s="13"/>
      <c r="DQ8" s="13"/>
      <c r="DR8" s="13"/>
      <c r="DW8" s="9"/>
      <c r="DX8" s="13"/>
      <c r="DY8" s="13"/>
      <c r="DZ8" s="13"/>
      <c r="EA8" s="13"/>
      <c r="EB8" s="13"/>
      <c r="EC8" s="13"/>
      <c r="ED8" s="13"/>
      <c r="EE8" s="13"/>
      <c r="EF8" s="13"/>
    </row>
    <row r="9" spans="1:140" hidden="1" x14ac:dyDescent="0.2">
      <c r="A9" s="9"/>
      <c r="M9" s="9"/>
      <c r="O9" s="9"/>
      <c r="P9" s="12"/>
      <c r="Q9" s="12"/>
      <c r="R9" s="12"/>
      <c r="S9" s="12"/>
      <c r="T9" s="12"/>
      <c r="U9" s="12"/>
      <c r="V9" s="12"/>
      <c r="W9" s="12"/>
      <c r="X9" s="12"/>
      <c r="AC9" s="9"/>
      <c r="AD9" s="12"/>
      <c r="AE9" s="12"/>
      <c r="AF9" s="12"/>
      <c r="AG9" s="12"/>
      <c r="AH9" s="12"/>
      <c r="AI9" s="12"/>
      <c r="AJ9" s="12"/>
      <c r="AK9" s="12"/>
      <c r="AL9" s="12"/>
      <c r="AQ9" s="9"/>
      <c r="AR9" s="12"/>
      <c r="AS9" s="12"/>
      <c r="AT9" s="12"/>
      <c r="AU9" s="12"/>
      <c r="AV9" s="12"/>
      <c r="AW9" s="12"/>
      <c r="AX9" s="12"/>
      <c r="AY9" s="12"/>
      <c r="AZ9" s="12"/>
      <c r="BE9" s="9"/>
      <c r="BF9" s="12"/>
      <c r="BG9" s="12"/>
      <c r="BH9" s="12"/>
      <c r="BI9" s="12"/>
      <c r="BJ9" s="12"/>
      <c r="BK9" s="12"/>
      <c r="BL9" s="12"/>
      <c r="BM9" s="12"/>
      <c r="BN9" s="12"/>
      <c r="BS9" s="9"/>
      <c r="BT9" s="12"/>
      <c r="BU9" s="12"/>
      <c r="BV9" s="12"/>
      <c r="BW9" s="12"/>
      <c r="BX9" s="12"/>
      <c r="BY9" s="12"/>
      <c r="BZ9" s="12"/>
      <c r="CA9" s="12"/>
      <c r="CB9" s="12"/>
      <c r="CG9" s="9"/>
      <c r="CH9" s="12"/>
      <c r="CI9" s="12"/>
      <c r="CJ9" s="12"/>
      <c r="CK9" s="12"/>
      <c r="CL9" s="12"/>
      <c r="CM9" s="12"/>
      <c r="CN9" s="12"/>
      <c r="CO9" s="12"/>
      <c r="CP9" s="12"/>
      <c r="CU9" s="9"/>
      <c r="CV9" s="12"/>
      <c r="CW9" s="12"/>
      <c r="CX9" s="12"/>
      <c r="CY9" s="12"/>
      <c r="CZ9" s="12"/>
      <c r="DA9" s="12"/>
      <c r="DB9" s="12"/>
      <c r="DC9" s="12"/>
      <c r="DD9" s="12"/>
      <c r="DI9" s="9"/>
      <c r="DJ9" s="12"/>
      <c r="DK9" s="12"/>
      <c r="DL9" s="12"/>
      <c r="DM9" s="12"/>
      <c r="DN9" s="12"/>
      <c r="DO9" s="12"/>
      <c r="DP9" s="12"/>
      <c r="DQ9" s="12"/>
      <c r="DR9" s="12"/>
      <c r="DW9" s="9"/>
      <c r="DX9" s="12"/>
      <c r="DY9" s="12"/>
      <c r="DZ9" s="12"/>
      <c r="EA9" s="12"/>
      <c r="EB9" s="12"/>
      <c r="EC9" s="12"/>
      <c r="ED9" s="12"/>
      <c r="EE9" s="12"/>
      <c r="EF9" s="12"/>
    </row>
    <row r="10" spans="1:140" hidden="1" x14ac:dyDescent="0.2">
      <c r="M10" s="9"/>
      <c r="DW10" s="9"/>
    </row>
    <row r="11" spans="1:140" hidden="1" x14ac:dyDescent="0.2"/>
    <row r="12" spans="1:140" hidden="1" x14ac:dyDescent="0.2"/>
    <row r="13" spans="1:140" hidden="1" x14ac:dyDescent="0.2"/>
    <row r="14" spans="1:140" hidden="1" x14ac:dyDescent="0.2"/>
    <row r="15" spans="1:140" hidden="1" x14ac:dyDescent="0.2">
      <c r="P15" s="13"/>
      <c r="AD15" s="13"/>
      <c r="AR15" s="13"/>
      <c r="BF15" s="13"/>
      <c r="BT15" s="13"/>
      <c r="CH15" s="13"/>
      <c r="CV15" s="13"/>
      <c r="DJ15" s="13"/>
    </row>
    <row r="16" spans="1:140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36" hidden="1" x14ac:dyDescent="0.2"/>
    <row r="50" spans="1:136" hidden="1" x14ac:dyDescent="0.2"/>
    <row r="51" spans="1:136" hidden="1" x14ac:dyDescent="0.2"/>
    <row r="52" spans="1:136" hidden="1" x14ac:dyDescent="0.2"/>
    <row r="53" spans="1:136" hidden="1" x14ac:dyDescent="0.2"/>
    <row r="54" spans="1:136" hidden="1" x14ac:dyDescent="0.2"/>
    <row r="55" spans="1:136" hidden="1" x14ac:dyDescent="0.2"/>
    <row r="56" spans="1:136" hidden="1" x14ac:dyDescent="0.2"/>
    <row r="57" spans="1:136" hidden="1" x14ac:dyDescent="0.2"/>
    <row r="58" spans="1:136" hidden="1" x14ac:dyDescent="0.2"/>
    <row r="59" spans="1:136" hidden="1" x14ac:dyDescent="0.2"/>
    <row r="60" spans="1:136" hidden="1" x14ac:dyDescent="0.2"/>
    <row r="61" spans="1:136" hidden="1" x14ac:dyDescent="0.2"/>
    <row r="63" spans="1:136" x14ac:dyDescent="0.2">
      <c r="A63" s="5" t="s">
        <v>45</v>
      </c>
    </row>
    <row r="64" spans="1:136" x14ac:dyDescent="0.2">
      <c r="A64" t="s">
        <v>1292</v>
      </c>
      <c r="B64" s="12">
        <f t="shared" ref="B64:J69" si="73">P64+AD64+AR64+BF64+BT64+CH64+CV64+DJ64</f>
        <v>0</v>
      </c>
      <c r="C64" s="12">
        <f t="shared" si="73"/>
        <v>0</v>
      </c>
      <c r="D64" s="12">
        <f t="shared" si="73"/>
        <v>0</v>
      </c>
      <c r="E64" s="12">
        <f t="shared" si="73"/>
        <v>0</v>
      </c>
      <c r="F64" s="12">
        <f t="shared" si="73"/>
        <v>0</v>
      </c>
      <c r="G64" s="12">
        <f t="shared" si="73"/>
        <v>0</v>
      </c>
      <c r="H64" s="12">
        <f t="shared" si="73"/>
        <v>0</v>
      </c>
      <c r="I64" s="12">
        <f t="shared" si="73"/>
        <v>0</v>
      </c>
      <c r="J64" s="12">
        <f t="shared" si="73"/>
        <v>0</v>
      </c>
      <c r="P64" s="12">
        <f t="shared" ref="P64:P69" si="74">P$5*AA64</f>
        <v>0</v>
      </c>
      <c r="Q64" s="12">
        <f t="shared" ref="Q64:Q69" si="75">Q$5*AA64</f>
        <v>0</v>
      </c>
      <c r="R64" s="12">
        <f t="shared" ref="R64:R69" si="76">R$5*AA64</f>
        <v>0</v>
      </c>
      <c r="S64" s="12">
        <f t="shared" ref="S64:S69" si="77">S$5*AA64</f>
        <v>0</v>
      </c>
      <c r="T64" s="12">
        <f t="shared" ref="T64:T69" si="78">T$5*AA64</f>
        <v>0</v>
      </c>
      <c r="U64" s="12">
        <f t="shared" ref="U64:U69" si="79">U$5*AA64</f>
        <v>0</v>
      </c>
      <c r="V64" s="12">
        <f t="shared" ref="V64:V69" si="80">V$5*AA64</f>
        <v>0</v>
      </c>
      <c r="W64" s="12">
        <f t="shared" ref="W64:W69" si="81">W$5*AA64</f>
        <v>0</v>
      </c>
      <c r="X64" s="12">
        <f t="shared" ref="X64:X69" si="82">X$5*AA64</f>
        <v>0</v>
      </c>
      <c r="Z64" t="s">
        <v>1304</v>
      </c>
      <c r="AA64">
        <f>_xlfn.XLOOKUP(Z64,'KPI Impacts'!$B$2:$H$2,'KPI Impacts'!$B64:$H64)</f>
        <v>0</v>
      </c>
      <c r="AD64" s="12">
        <f t="shared" ref="AD64:AD69" si="83">AD$5*AO64</f>
        <v>0</v>
      </c>
      <c r="AE64" s="12">
        <f t="shared" ref="AE64:AE69" si="84">AE$5*AO64</f>
        <v>0</v>
      </c>
      <c r="AF64" s="12">
        <f t="shared" ref="AF64:AF69" si="85">AF$5*AO64</f>
        <v>0</v>
      </c>
      <c r="AG64" s="12">
        <f t="shared" ref="AG64:AG69" si="86">AG$5*AO64</f>
        <v>0</v>
      </c>
      <c r="AH64" s="12">
        <f t="shared" ref="AH64:AH69" si="87">AH$5*AO64</f>
        <v>0</v>
      </c>
      <c r="AI64" s="12">
        <f t="shared" ref="AI64:AI69" si="88">AI$5*AO64</f>
        <v>0</v>
      </c>
      <c r="AJ64" s="12">
        <f t="shared" ref="AJ64:AJ69" si="89">AJ$5*AO64</f>
        <v>0</v>
      </c>
      <c r="AK64" s="12">
        <f t="shared" ref="AK64:AK69" si="90">AK$5*AO64</f>
        <v>0</v>
      </c>
      <c r="AL64" s="12">
        <f t="shared" ref="AL64:AL69" si="91">AL$5*AO64</f>
        <v>0</v>
      </c>
      <c r="AN64" t="s">
        <v>1306</v>
      </c>
      <c r="AO64">
        <f>_xlfn.XLOOKUP(AN64,'KPI Impacts'!$B$2:$H$2,'KPI Impacts'!$B64:$H64)</f>
        <v>-2.4000000000000004</v>
      </c>
      <c r="AR64" s="12">
        <f t="shared" ref="AR64:AR69" si="92">AR$5*BC64</f>
        <v>0</v>
      </c>
      <c r="AS64" s="12">
        <f t="shared" ref="AS64:AS69" si="93">AS$5*BC64</f>
        <v>0</v>
      </c>
      <c r="AT64" s="12">
        <f t="shared" ref="AT64:AT69" si="94">AT$5*BC64</f>
        <v>0</v>
      </c>
      <c r="AU64" s="12">
        <f t="shared" ref="AU64:AU69" si="95">AU$5*BC64</f>
        <v>0</v>
      </c>
      <c r="AV64" s="12">
        <f t="shared" ref="AV64:AV69" si="96">AV$5*BC64</f>
        <v>0</v>
      </c>
      <c r="AW64" s="12">
        <f t="shared" ref="AW64:AW69" si="97">AW$5*BC64</f>
        <v>0</v>
      </c>
      <c r="AX64" s="12">
        <f t="shared" ref="AX64:AX69" si="98">AX$5*BC64</f>
        <v>0</v>
      </c>
      <c r="AY64" s="12">
        <f t="shared" ref="AY64:AY69" si="99">AY$5*BC64</f>
        <v>0</v>
      </c>
      <c r="AZ64" s="12">
        <f t="shared" ref="AZ64:AZ69" si="100">AZ$5*BC64</f>
        <v>0</v>
      </c>
      <c r="BB64" t="s">
        <v>1305</v>
      </c>
      <c r="BC64">
        <f>_xlfn.XLOOKUP(BB64,'KPI Impacts'!$B$2:$H$2,'KPI Impacts'!$B64:$H64)</f>
        <v>-0.8</v>
      </c>
      <c r="BF64" s="12">
        <f t="shared" ref="BF64:BF69" si="101">BF$5*BQ64</f>
        <v>0</v>
      </c>
      <c r="BG64" s="12">
        <f t="shared" ref="BG64:BG69" si="102">BG$5*BQ64</f>
        <v>0</v>
      </c>
      <c r="BH64" s="12">
        <f t="shared" ref="BH64:BH69" si="103">BH$5*BQ64</f>
        <v>0</v>
      </c>
      <c r="BI64" s="12">
        <f t="shared" ref="BI64:BI69" si="104">BI$5*BQ64</f>
        <v>0</v>
      </c>
      <c r="BJ64" s="12">
        <f t="shared" ref="BJ64:BJ69" si="105">BJ$5*BQ64</f>
        <v>0</v>
      </c>
      <c r="BK64" s="12">
        <f t="shared" ref="BK64:BK69" si="106">BK$5*BQ64</f>
        <v>0</v>
      </c>
      <c r="BL64" s="12">
        <f t="shared" ref="BL64:BL69" si="107">BL$5*BQ64</f>
        <v>0</v>
      </c>
      <c r="BM64" s="12">
        <f t="shared" ref="BM64:BM69" si="108">BM$5*BQ64</f>
        <v>0</v>
      </c>
      <c r="BN64" s="12">
        <f t="shared" ref="BN64:BN69" si="109">BN$5*BQ64</f>
        <v>0</v>
      </c>
      <c r="BP64" t="s">
        <v>1305</v>
      </c>
      <c r="BQ64">
        <f>_xlfn.XLOOKUP(BP64,'KPI Impacts'!$B$2:$H$2,'KPI Impacts'!$B64:$H64)</f>
        <v>-0.8</v>
      </c>
      <c r="BT64" s="12">
        <f t="shared" ref="BT64:BT69" si="110">BT$5*CE64</f>
        <v>0</v>
      </c>
      <c r="BU64" s="12">
        <f t="shared" ref="BU64:BU69" si="111">BU$5*CE64</f>
        <v>0</v>
      </c>
      <c r="BV64" s="12">
        <f t="shared" ref="BV64:BV69" si="112">BV$5*CE64</f>
        <v>0</v>
      </c>
      <c r="BW64" s="12">
        <f t="shared" ref="BW64:BW69" si="113">BW$5*CE64</f>
        <v>0</v>
      </c>
      <c r="BX64" s="12">
        <f t="shared" ref="BX64:BX69" si="114">BX$5*CE64</f>
        <v>0</v>
      </c>
      <c r="BY64" s="12">
        <f t="shared" ref="BY64:BY69" si="115">BY$5*CE64</f>
        <v>0</v>
      </c>
      <c r="BZ64" s="12">
        <f t="shared" ref="BZ64:BZ69" si="116">BZ$5*CE64</f>
        <v>0</v>
      </c>
      <c r="CA64" s="12">
        <f t="shared" ref="CA64:CA69" si="117">CA$5*CE64</f>
        <v>0</v>
      </c>
      <c r="CB64" s="12">
        <f t="shared" ref="CB64:CB69" si="118">CB$5*CE64</f>
        <v>0</v>
      </c>
      <c r="CD64" t="s">
        <v>1305</v>
      </c>
      <c r="CE64">
        <f>_xlfn.XLOOKUP(CD64,'KPI Impacts'!$B$2:$H$2,'KPI Impacts'!$B64:$H64)</f>
        <v>-0.8</v>
      </c>
      <c r="CH64" s="12">
        <f t="shared" ref="CH64:CH69" si="119">CH$5*CS64</f>
        <v>0</v>
      </c>
      <c r="CI64" s="12">
        <f t="shared" ref="CI64:CI69" si="120">CI$5*CS64</f>
        <v>0</v>
      </c>
      <c r="CJ64" s="12">
        <f t="shared" ref="CJ64:CJ69" si="121">CJ$5*CS64</f>
        <v>0</v>
      </c>
      <c r="CK64" s="12">
        <f t="shared" ref="CK64:CK69" si="122">CK$5*CS64</f>
        <v>0</v>
      </c>
      <c r="CL64" s="12">
        <f t="shared" ref="CL64:CL69" si="123">CL$5*CS64</f>
        <v>0</v>
      </c>
      <c r="CM64" s="12">
        <f t="shared" ref="CM64:CM69" si="124">CM$5*CS64</f>
        <v>0</v>
      </c>
      <c r="CN64" s="12">
        <f t="shared" ref="CN64:CN69" si="125">CN$5*CS64</f>
        <v>0</v>
      </c>
      <c r="CO64" s="12">
        <f t="shared" ref="CO64:CO69" si="126">CO$5*CS64</f>
        <v>0</v>
      </c>
      <c r="CP64" s="12">
        <f t="shared" ref="CP64:CP69" si="127">CP$5*CS64</f>
        <v>0</v>
      </c>
      <c r="CR64" t="s">
        <v>1305</v>
      </c>
      <c r="CS64">
        <f>_xlfn.XLOOKUP(CR64,'KPI Impacts'!$B$2:$H$2,'KPI Impacts'!$B64:$H64)</f>
        <v>-0.8</v>
      </c>
      <c r="CV64" s="12">
        <f t="shared" ref="CV64:CV69" si="128">CV$5*DG64</f>
        <v>0</v>
      </c>
      <c r="CW64" s="12">
        <f t="shared" ref="CW64:CW69" si="129">CW$5*DG64</f>
        <v>0</v>
      </c>
      <c r="CX64" s="12">
        <f t="shared" ref="CX64:CX69" si="130">CX$5*DG64</f>
        <v>0</v>
      </c>
      <c r="CY64" s="12">
        <f t="shared" ref="CY64:CY69" si="131">CY$5*DG64</f>
        <v>0</v>
      </c>
      <c r="CZ64" s="12">
        <f t="shared" ref="CZ64:CZ69" si="132">CZ$5*DG64</f>
        <v>0</v>
      </c>
      <c r="DA64" s="12">
        <f t="shared" ref="DA64:DA69" si="133">DA$5*DG64</f>
        <v>0</v>
      </c>
      <c r="DB64" s="12">
        <f t="shared" ref="DB64:DB69" si="134">DB$5*DG64</f>
        <v>0</v>
      </c>
      <c r="DC64" s="12">
        <f t="shared" ref="DC64:DC69" si="135">DC$5*DG64</f>
        <v>0</v>
      </c>
      <c r="DD64" s="12">
        <f t="shared" ref="DD64:DD69" si="136">DD$5*DG64</f>
        <v>0</v>
      </c>
      <c r="DF64" t="s">
        <v>1304</v>
      </c>
      <c r="DG64">
        <f>_xlfn.XLOOKUP(DF64,'KPI Impacts'!$B$2:$H$2,'KPI Impacts'!$B64:$H64)</f>
        <v>0</v>
      </c>
      <c r="DJ64" s="12">
        <f t="shared" ref="DJ64:DJ69" si="137">DJ$5*DU64</f>
        <v>0</v>
      </c>
      <c r="DK64" s="12">
        <f t="shared" ref="DK64:DK69" si="138">DK$5*DU64</f>
        <v>0</v>
      </c>
      <c r="DL64" s="12">
        <f t="shared" ref="DL64:DL69" si="139">DL$5*DU64</f>
        <v>0</v>
      </c>
      <c r="DM64" s="12">
        <f t="shared" ref="DM64:DM69" si="140">DM$5*DU64</f>
        <v>0</v>
      </c>
      <c r="DN64" s="12">
        <f t="shared" ref="DN64:DN69" si="141">DN$5*DU64</f>
        <v>0</v>
      </c>
      <c r="DO64" s="12">
        <f t="shared" ref="DO64:DO69" si="142">DO$5*DU64</f>
        <v>0</v>
      </c>
      <c r="DP64" s="12">
        <f t="shared" ref="DP64:DP69" si="143">DP$5*DU64</f>
        <v>0</v>
      </c>
      <c r="DQ64" s="12">
        <f t="shared" ref="DQ64:DQ69" si="144">DQ$5*DU64</f>
        <v>0</v>
      </c>
      <c r="DR64" s="12">
        <f t="shared" ref="DR64:DR69" si="145">DR$5*DU64</f>
        <v>0</v>
      </c>
      <c r="DT64" t="s">
        <v>1304</v>
      </c>
      <c r="DU64">
        <f>_xlfn.XLOOKUP(DT64,'KPI Impacts'!$B$2:$H$2,'KPI Impacts'!$B64:$H64)</f>
        <v>0</v>
      </c>
      <c r="DX64" s="12"/>
      <c r="DY64" s="12"/>
      <c r="DZ64" s="12"/>
      <c r="EA64" s="12"/>
      <c r="EB64" s="12"/>
      <c r="EC64" s="12"/>
      <c r="ED64" s="12"/>
      <c r="EE64" s="12"/>
      <c r="EF64" s="12"/>
    </row>
    <row r="65" spans="1:136" x14ac:dyDescent="0.2">
      <c r="A65" t="s">
        <v>47</v>
      </c>
      <c r="B65" s="12">
        <f t="shared" si="73"/>
        <v>0</v>
      </c>
      <c r="C65" s="12">
        <f t="shared" si="73"/>
        <v>0</v>
      </c>
      <c r="D65" s="12">
        <f t="shared" si="73"/>
        <v>0</v>
      </c>
      <c r="E65" s="12">
        <f t="shared" si="73"/>
        <v>0</v>
      </c>
      <c r="F65" s="12">
        <f t="shared" si="73"/>
        <v>0</v>
      </c>
      <c r="G65" s="12">
        <f t="shared" si="73"/>
        <v>0</v>
      </c>
      <c r="H65" s="12">
        <f t="shared" si="73"/>
        <v>0</v>
      </c>
      <c r="I65" s="12">
        <f t="shared" si="73"/>
        <v>0</v>
      </c>
      <c r="J65" s="12">
        <f t="shared" si="73"/>
        <v>0</v>
      </c>
      <c r="P65" s="12">
        <f t="shared" si="74"/>
        <v>0</v>
      </c>
      <c r="Q65" s="12">
        <f t="shared" si="75"/>
        <v>0</v>
      </c>
      <c r="R65" s="12">
        <f t="shared" si="76"/>
        <v>0</v>
      </c>
      <c r="S65" s="12">
        <f t="shared" si="77"/>
        <v>0</v>
      </c>
      <c r="T65" s="12">
        <f t="shared" si="78"/>
        <v>0</v>
      </c>
      <c r="U65" s="12">
        <f t="shared" si="79"/>
        <v>0</v>
      </c>
      <c r="V65" s="12">
        <f t="shared" si="80"/>
        <v>0</v>
      </c>
      <c r="W65" s="12">
        <f t="shared" si="81"/>
        <v>0</v>
      </c>
      <c r="X65" s="12">
        <f t="shared" si="82"/>
        <v>0</v>
      </c>
      <c r="Z65" t="s">
        <v>1304</v>
      </c>
      <c r="AA65">
        <f>_xlfn.XLOOKUP(Z65,'KPI Impacts'!$B$2:$H$2,'KPI Impacts'!$B65:$H65)</f>
        <v>0</v>
      </c>
      <c r="AD65" s="12">
        <f t="shared" si="83"/>
        <v>0</v>
      </c>
      <c r="AE65" s="12">
        <f t="shared" si="84"/>
        <v>0</v>
      </c>
      <c r="AF65" s="12">
        <f t="shared" si="85"/>
        <v>0</v>
      </c>
      <c r="AG65" s="12">
        <f t="shared" si="86"/>
        <v>0</v>
      </c>
      <c r="AH65" s="12">
        <f t="shared" si="87"/>
        <v>0</v>
      </c>
      <c r="AI65" s="12">
        <f t="shared" si="88"/>
        <v>0</v>
      </c>
      <c r="AJ65" s="12">
        <f t="shared" si="89"/>
        <v>0</v>
      </c>
      <c r="AK65" s="12">
        <f t="shared" si="90"/>
        <v>0</v>
      </c>
      <c r="AL65" s="12">
        <f t="shared" si="91"/>
        <v>0</v>
      </c>
      <c r="AN65" t="s">
        <v>1307</v>
      </c>
      <c r="AO65">
        <f>_xlfn.XLOOKUP(AN65,'KPI Impacts'!$B$2:$H$2,'KPI Impacts'!$B65:$H65)</f>
        <v>-1.6</v>
      </c>
      <c r="AR65" s="12">
        <f t="shared" si="92"/>
        <v>0</v>
      </c>
      <c r="AS65" s="12">
        <f t="shared" si="93"/>
        <v>0</v>
      </c>
      <c r="AT65" s="12">
        <f t="shared" si="94"/>
        <v>0</v>
      </c>
      <c r="AU65" s="12">
        <f t="shared" si="95"/>
        <v>0</v>
      </c>
      <c r="AV65" s="12">
        <f t="shared" si="96"/>
        <v>0</v>
      </c>
      <c r="AW65" s="12">
        <f t="shared" si="97"/>
        <v>0</v>
      </c>
      <c r="AX65" s="12">
        <f t="shared" si="98"/>
        <v>0</v>
      </c>
      <c r="AY65" s="12">
        <f t="shared" si="99"/>
        <v>0</v>
      </c>
      <c r="AZ65" s="12">
        <f t="shared" si="100"/>
        <v>0</v>
      </c>
      <c r="BB65" t="s">
        <v>1306</v>
      </c>
      <c r="BC65">
        <f>_xlfn.XLOOKUP(BB65,'KPI Impacts'!$B$2:$H$2,'KPI Impacts'!$B65:$H65)</f>
        <v>-2.4000000000000004</v>
      </c>
      <c r="BF65" s="12">
        <f t="shared" si="101"/>
        <v>0</v>
      </c>
      <c r="BG65" s="12">
        <f t="shared" si="102"/>
        <v>0</v>
      </c>
      <c r="BH65" s="12">
        <f t="shared" si="103"/>
        <v>0</v>
      </c>
      <c r="BI65" s="12">
        <f t="shared" si="104"/>
        <v>0</v>
      </c>
      <c r="BJ65" s="12">
        <f t="shared" si="105"/>
        <v>0</v>
      </c>
      <c r="BK65" s="12">
        <f t="shared" si="106"/>
        <v>0</v>
      </c>
      <c r="BL65" s="12">
        <f t="shared" si="107"/>
        <v>0</v>
      </c>
      <c r="BM65" s="12">
        <f t="shared" si="108"/>
        <v>0</v>
      </c>
      <c r="BN65" s="12">
        <f t="shared" si="109"/>
        <v>0</v>
      </c>
      <c r="BP65" t="s">
        <v>1306</v>
      </c>
      <c r="BQ65">
        <f>_xlfn.XLOOKUP(BP65,'KPI Impacts'!$B$2:$H$2,'KPI Impacts'!$B65:$H65)</f>
        <v>-2.4000000000000004</v>
      </c>
      <c r="BT65" s="12">
        <f t="shared" si="110"/>
        <v>0</v>
      </c>
      <c r="BU65" s="12">
        <f t="shared" si="111"/>
        <v>0</v>
      </c>
      <c r="BV65" s="12">
        <f t="shared" si="112"/>
        <v>0</v>
      </c>
      <c r="BW65" s="12">
        <f t="shared" si="113"/>
        <v>0</v>
      </c>
      <c r="BX65" s="12">
        <f t="shared" si="114"/>
        <v>0</v>
      </c>
      <c r="BY65" s="12">
        <f t="shared" si="115"/>
        <v>0</v>
      </c>
      <c r="BZ65" s="12">
        <f t="shared" si="116"/>
        <v>0</v>
      </c>
      <c r="CA65" s="12">
        <f t="shared" si="117"/>
        <v>0</v>
      </c>
      <c r="CB65" s="12">
        <f t="shared" si="118"/>
        <v>0</v>
      </c>
      <c r="CD65" t="s">
        <v>1304</v>
      </c>
      <c r="CE65">
        <f>_xlfn.XLOOKUP(CD65,'KPI Impacts'!$B$2:$H$2,'KPI Impacts'!$B65:$H65)</f>
        <v>0</v>
      </c>
      <c r="CH65" s="12">
        <f t="shared" si="119"/>
        <v>0</v>
      </c>
      <c r="CI65" s="12">
        <f t="shared" si="120"/>
        <v>0</v>
      </c>
      <c r="CJ65" s="12">
        <f t="shared" si="121"/>
        <v>0</v>
      </c>
      <c r="CK65" s="12">
        <f t="shared" si="122"/>
        <v>0</v>
      </c>
      <c r="CL65" s="12">
        <f t="shared" si="123"/>
        <v>0</v>
      </c>
      <c r="CM65" s="12">
        <f t="shared" si="124"/>
        <v>0</v>
      </c>
      <c r="CN65" s="12">
        <f t="shared" si="125"/>
        <v>0</v>
      </c>
      <c r="CO65" s="12">
        <f t="shared" si="126"/>
        <v>0</v>
      </c>
      <c r="CP65" s="12">
        <f t="shared" si="127"/>
        <v>0</v>
      </c>
      <c r="CR65" t="s">
        <v>1307</v>
      </c>
      <c r="CS65">
        <f>_xlfn.XLOOKUP(CR65,'KPI Impacts'!$B$2:$H$2,'KPI Impacts'!$B65:$H65)</f>
        <v>-1.6</v>
      </c>
      <c r="CV65" s="12">
        <f t="shared" si="128"/>
        <v>0</v>
      </c>
      <c r="CW65" s="12">
        <f t="shared" si="129"/>
        <v>0</v>
      </c>
      <c r="CX65" s="12">
        <f t="shared" si="130"/>
        <v>0</v>
      </c>
      <c r="CY65" s="12">
        <f t="shared" si="131"/>
        <v>0</v>
      </c>
      <c r="CZ65" s="12">
        <f t="shared" si="132"/>
        <v>0</v>
      </c>
      <c r="DA65" s="12">
        <f t="shared" si="133"/>
        <v>0</v>
      </c>
      <c r="DB65" s="12">
        <f t="shared" si="134"/>
        <v>0</v>
      </c>
      <c r="DC65" s="12">
        <f t="shared" si="135"/>
        <v>0</v>
      </c>
      <c r="DD65" s="12">
        <f t="shared" si="136"/>
        <v>0</v>
      </c>
      <c r="DF65" t="s">
        <v>1304</v>
      </c>
      <c r="DG65">
        <f>_xlfn.XLOOKUP(DF65,'KPI Impacts'!$B$2:$H$2,'KPI Impacts'!$B65:$H65)</f>
        <v>0</v>
      </c>
      <c r="DJ65" s="12">
        <f t="shared" si="137"/>
        <v>0</v>
      </c>
      <c r="DK65" s="12">
        <f t="shared" si="138"/>
        <v>0</v>
      </c>
      <c r="DL65" s="12">
        <f t="shared" si="139"/>
        <v>0</v>
      </c>
      <c r="DM65" s="12">
        <f t="shared" si="140"/>
        <v>0</v>
      </c>
      <c r="DN65" s="12">
        <f t="shared" si="141"/>
        <v>0</v>
      </c>
      <c r="DO65" s="12">
        <f t="shared" si="142"/>
        <v>0</v>
      </c>
      <c r="DP65" s="12">
        <f t="shared" si="143"/>
        <v>0</v>
      </c>
      <c r="DQ65" s="12">
        <f t="shared" si="144"/>
        <v>0</v>
      </c>
      <c r="DR65" s="12">
        <f t="shared" si="145"/>
        <v>0</v>
      </c>
      <c r="DT65" t="s">
        <v>1304</v>
      </c>
      <c r="DU65">
        <f>_xlfn.XLOOKUP(DT65,'KPI Impacts'!$B$2:$H$2,'KPI Impacts'!$B65:$H65)</f>
        <v>0</v>
      </c>
      <c r="DX65" s="12"/>
      <c r="DY65" s="12"/>
      <c r="DZ65" s="12"/>
      <c r="EA65" s="12"/>
      <c r="EB65" s="12"/>
      <c r="EC65" s="12"/>
      <c r="ED65" s="12"/>
      <c r="EE65" s="12"/>
      <c r="EF65" s="12"/>
    </row>
    <row r="66" spans="1:136" x14ac:dyDescent="0.2">
      <c r="A66" t="s">
        <v>1293</v>
      </c>
      <c r="B66" s="12">
        <f t="shared" si="73"/>
        <v>0</v>
      </c>
      <c r="C66" s="12">
        <f t="shared" si="73"/>
        <v>0</v>
      </c>
      <c r="D66" s="12">
        <f t="shared" si="73"/>
        <v>0</v>
      </c>
      <c r="E66" s="12">
        <f t="shared" si="73"/>
        <v>0</v>
      </c>
      <c r="F66" s="12">
        <f t="shared" si="73"/>
        <v>0</v>
      </c>
      <c r="G66" s="12">
        <f t="shared" si="73"/>
        <v>0</v>
      </c>
      <c r="H66" s="12">
        <f t="shared" si="73"/>
        <v>0</v>
      </c>
      <c r="I66" s="12">
        <f t="shared" si="73"/>
        <v>0</v>
      </c>
      <c r="J66" s="12">
        <f t="shared" si="73"/>
        <v>0</v>
      </c>
      <c r="P66" s="12">
        <f t="shared" si="74"/>
        <v>0</v>
      </c>
      <c r="Q66" s="12">
        <f t="shared" si="75"/>
        <v>0</v>
      </c>
      <c r="R66" s="12">
        <f t="shared" si="76"/>
        <v>0</v>
      </c>
      <c r="S66" s="12">
        <f t="shared" si="77"/>
        <v>0</v>
      </c>
      <c r="T66" s="12">
        <f t="shared" si="78"/>
        <v>0</v>
      </c>
      <c r="U66" s="12">
        <f t="shared" si="79"/>
        <v>0</v>
      </c>
      <c r="V66" s="12">
        <f t="shared" si="80"/>
        <v>0</v>
      </c>
      <c r="W66" s="12">
        <f t="shared" si="81"/>
        <v>0</v>
      </c>
      <c r="X66" s="12">
        <f t="shared" si="82"/>
        <v>0</v>
      </c>
      <c r="Z66" t="s">
        <v>1304</v>
      </c>
      <c r="AA66">
        <f>_xlfn.XLOOKUP(Z66,'KPI Impacts'!$B$2:$H$2,'KPI Impacts'!$B66:$H66)</f>
        <v>0</v>
      </c>
      <c r="AD66" s="12">
        <f t="shared" si="83"/>
        <v>0</v>
      </c>
      <c r="AE66" s="12">
        <f t="shared" si="84"/>
        <v>0</v>
      </c>
      <c r="AF66" s="12">
        <f t="shared" si="85"/>
        <v>0</v>
      </c>
      <c r="AG66" s="12">
        <f t="shared" si="86"/>
        <v>0</v>
      </c>
      <c r="AH66" s="12">
        <f t="shared" si="87"/>
        <v>0</v>
      </c>
      <c r="AI66" s="12">
        <f t="shared" si="88"/>
        <v>0</v>
      </c>
      <c r="AJ66" s="12">
        <f t="shared" si="89"/>
        <v>0</v>
      </c>
      <c r="AK66" s="12">
        <f t="shared" si="90"/>
        <v>0</v>
      </c>
      <c r="AL66" s="12">
        <f t="shared" si="91"/>
        <v>0</v>
      </c>
      <c r="AN66" t="s">
        <v>1307</v>
      </c>
      <c r="AO66">
        <f>_xlfn.XLOOKUP(AN66,'KPI Impacts'!$B$2:$H$2,'KPI Impacts'!$B66:$H66)</f>
        <v>-3.2</v>
      </c>
      <c r="AR66" s="12">
        <f t="shared" si="92"/>
        <v>0</v>
      </c>
      <c r="AS66" s="12">
        <f t="shared" si="93"/>
        <v>0</v>
      </c>
      <c r="AT66" s="12">
        <f t="shared" si="94"/>
        <v>0</v>
      </c>
      <c r="AU66" s="12">
        <f t="shared" si="95"/>
        <v>0</v>
      </c>
      <c r="AV66" s="12">
        <f t="shared" si="96"/>
        <v>0</v>
      </c>
      <c r="AW66" s="12">
        <f t="shared" si="97"/>
        <v>0</v>
      </c>
      <c r="AX66" s="12">
        <f t="shared" si="98"/>
        <v>0</v>
      </c>
      <c r="AY66" s="12">
        <f t="shared" si="99"/>
        <v>0</v>
      </c>
      <c r="AZ66" s="12">
        <f t="shared" si="100"/>
        <v>0</v>
      </c>
      <c r="BB66" t="s">
        <v>1306</v>
      </c>
      <c r="BC66">
        <f>_xlfn.XLOOKUP(BB66,'KPI Impacts'!$B$2:$H$2,'KPI Impacts'!$B66:$H66)</f>
        <v>-4.8000000000000007</v>
      </c>
      <c r="BF66" s="12">
        <f t="shared" si="101"/>
        <v>0</v>
      </c>
      <c r="BG66" s="12">
        <f t="shared" si="102"/>
        <v>0</v>
      </c>
      <c r="BH66" s="12">
        <f t="shared" si="103"/>
        <v>0</v>
      </c>
      <c r="BI66" s="12">
        <f t="shared" si="104"/>
        <v>0</v>
      </c>
      <c r="BJ66" s="12">
        <f t="shared" si="105"/>
        <v>0</v>
      </c>
      <c r="BK66" s="12">
        <f t="shared" si="106"/>
        <v>0</v>
      </c>
      <c r="BL66" s="12">
        <f t="shared" si="107"/>
        <v>0</v>
      </c>
      <c r="BM66" s="12">
        <f t="shared" si="108"/>
        <v>0</v>
      </c>
      <c r="BN66" s="12">
        <f t="shared" si="109"/>
        <v>0</v>
      </c>
      <c r="BP66" t="s">
        <v>1306</v>
      </c>
      <c r="BQ66">
        <f>_xlfn.XLOOKUP(BP66,'KPI Impacts'!$B$2:$H$2,'KPI Impacts'!$B66:$H66)</f>
        <v>-4.8000000000000007</v>
      </c>
      <c r="BT66" s="12">
        <f t="shared" si="110"/>
        <v>0</v>
      </c>
      <c r="BU66" s="12">
        <f t="shared" si="111"/>
        <v>0</v>
      </c>
      <c r="BV66" s="12">
        <f t="shared" si="112"/>
        <v>0</v>
      </c>
      <c r="BW66" s="12">
        <f t="shared" si="113"/>
        <v>0</v>
      </c>
      <c r="BX66" s="12">
        <f t="shared" si="114"/>
        <v>0</v>
      </c>
      <c r="BY66" s="12">
        <f t="shared" si="115"/>
        <v>0</v>
      </c>
      <c r="BZ66" s="12">
        <f t="shared" si="116"/>
        <v>0</v>
      </c>
      <c r="CA66" s="12">
        <f t="shared" si="117"/>
        <v>0</v>
      </c>
      <c r="CB66" s="12">
        <f t="shared" si="118"/>
        <v>0</v>
      </c>
      <c r="CD66" t="s">
        <v>1304</v>
      </c>
      <c r="CE66">
        <f>_xlfn.XLOOKUP(CD66,'KPI Impacts'!$B$2:$H$2,'KPI Impacts'!$B66:$H66)</f>
        <v>0</v>
      </c>
      <c r="CH66" s="12">
        <f t="shared" si="119"/>
        <v>0</v>
      </c>
      <c r="CI66" s="12">
        <f t="shared" si="120"/>
        <v>0</v>
      </c>
      <c r="CJ66" s="12">
        <f t="shared" si="121"/>
        <v>0</v>
      </c>
      <c r="CK66" s="12">
        <f t="shared" si="122"/>
        <v>0</v>
      </c>
      <c r="CL66" s="12">
        <f t="shared" si="123"/>
        <v>0</v>
      </c>
      <c r="CM66" s="12">
        <f t="shared" si="124"/>
        <v>0</v>
      </c>
      <c r="CN66" s="12">
        <f t="shared" si="125"/>
        <v>0</v>
      </c>
      <c r="CO66" s="12">
        <f t="shared" si="126"/>
        <v>0</v>
      </c>
      <c r="CP66" s="12">
        <f t="shared" si="127"/>
        <v>0</v>
      </c>
      <c r="CR66" t="s">
        <v>1306</v>
      </c>
      <c r="CS66">
        <f>_xlfn.XLOOKUP(CR66,'KPI Impacts'!$B$2:$H$2,'KPI Impacts'!$B66:$H66)</f>
        <v>-4.8000000000000007</v>
      </c>
      <c r="CV66" s="12">
        <f t="shared" si="128"/>
        <v>0</v>
      </c>
      <c r="CW66" s="12">
        <f t="shared" si="129"/>
        <v>0</v>
      </c>
      <c r="CX66" s="12">
        <f t="shared" si="130"/>
        <v>0</v>
      </c>
      <c r="CY66" s="12">
        <f t="shared" si="131"/>
        <v>0</v>
      </c>
      <c r="CZ66" s="12">
        <f t="shared" si="132"/>
        <v>0</v>
      </c>
      <c r="DA66" s="12">
        <f t="shared" si="133"/>
        <v>0</v>
      </c>
      <c r="DB66" s="12">
        <f t="shared" si="134"/>
        <v>0</v>
      </c>
      <c r="DC66" s="12">
        <f t="shared" si="135"/>
        <v>0</v>
      </c>
      <c r="DD66" s="12">
        <f t="shared" si="136"/>
        <v>0</v>
      </c>
      <c r="DF66" t="s">
        <v>1304</v>
      </c>
      <c r="DG66">
        <f>_xlfn.XLOOKUP(DF66,'KPI Impacts'!$B$2:$H$2,'KPI Impacts'!$B66:$H66)</f>
        <v>0</v>
      </c>
      <c r="DJ66" s="12">
        <f t="shared" si="137"/>
        <v>0</v>
      </c>
      <c r="DK66" s="12">
        <f t="shared" si="138"/>
        <v>0</v>
      </c>
      <c r="DL66" s="12">
        <f t="shared" si="139"/>
        <v>0</v>
      </c>
      <c r="DM66" s="12">
        <f t="shared" si="140"/>
        <v>0</v>
      </c>
      <c r="DN66" s="12">
        <f t="shared" si="141"/>
        <v>0</v>
      </c>
      <c r="DO66" s="12">
        <f t="shared" si="142"/>
        <v>0</v>
      </c>
      <c r="DP66" s="12">
        <f t="shared" si="143"/>
        <v>0</v>
      </c>
      <c r="DQ66" s="12">
        <f t="shared" si="144"/>
        <v>0</v>
      </c>
      <c r="DR66" s="12">
        <f t="shared" si="145"/>
        <v>0</v>
      </c>
      <c r="DT66" t="s">
        <v>1304</v>
      </c>
      <c r="DU66">
        <f>_xlfn.XLOOKUP(DT66,'KPI Impacts'!$B$2:$H$2,'KPI Impacts'!$B66:$H66)</f>
        <v>0</v>
      </c>
      <c r="DX66" s="12"/>
      <c r="DY66" s="12"/>
      <c r="DZ66" s="12"/>
      <c r="EA66" s="12"/>
      <c r="EB66" s="12"/>
      <c r="EC66" s="12"/>
      <c r="ED66" s="12"/>
      <c r="EE66" s="12"/>
      <c r="EF66" s="12"/>
    </row>
    <row r="67" spans="1:136" x14ac:dyDescent="0.2">
      <c r="A67" t="s">
        <v>48</v>
      </c>
      <c r="B67" s="12">
        <f t="shared" si="73"/>
        <v>0</v>
      </c>
      <c r="C67" s="12">
        <f t="shared" si="73"/>
        <v>0</v>
      </c>
      <c r="D67" s="12">
        <f t="shared" si="73"/>
        <v>0</v>
      </c>
      <c r="E67" s="12">
        <f t="shared" si="73"/>
        <v>0</v>
      </c>
      <c r="F67" s="12">
        <f t="shared" si="73"/>
        <v>0</v>
      </c>
      <c r="G67" s="12">
        <f t="shared" si="73"/>
        <v>0</v>
      </c>
      <c r="H67" s="12">
        <f t="shared" si="73"/>
        <v>0</v>
      </c>
      <c r="I67" s="12">
        <f t="shared" si="73"/>
        <v>0</v>
      </c>
      <c r="J67" s="12">
        <f t="shared" si="73"/>
        <v>0</v>
      </c>
      <c r="P67" s="12">
        <f t="shared" si="74"/>
        <v>0</v>
      </c>
      <c r="Q67" s="12">
        <f t="shared" si="75"/>
        <v>0</v>
      </c>
      <c r="R67" s="12">
        <f t="shared" si="76"/>
        <v>0</v>
      </c>
      <c r="S67" s="12">
        <f t="shared" si="77"/>
        <v>0</v>
      </c>
      <c r="T67" s="12">
        <f t="shared" si="78"/>
        <v>0</v>
      </c>
      <c r="U67" s="12">
        <f t="shared" si="79"/>
        <v>0</v>
      </c>
      <c r="V67" s="12">
        <f t="shared" si="80"/>
        <v>0</v>
      </c>
      <c r="W67" s="12">
        <f t="shared" si="81"/>
        <v>0</v>
      </c>
      <c r="X67" s="12">
        <f t="shared" si="82"/>
        <v>0</v>
      </c>
      <c r="Z67" t="s">
        <v>1304</v>
      </c>
      <c r="AA67">
        <f>_xlfn.XLOOKUP(Z67,'KPI Impacts'!$B$2:$H$2,'KPI Impacts'!$B67:$H67)</f>
        <v>0</v>
      </c>
      <c r="AD67" s="12">
        <f t="shared" si="83"/>
        <v>0</v>
      </c>
      <c r="AE67" s="12">
        <f t="shared" si="84"/>
        <v>0</v>
      </c>
      <c r="AF67" s="12">
        <f t="shared" si="85"/>
        <v>0</v>
      </c>
      <c r="AG67" s="12">
        <f t="shared" si="86"/>
        <v>0</v>
      </c>
      <c r="AH67" s="12">
        <f t="shared" si="87"/>
        <v>0</v>
      </c>
      <c r="AI67" s="12">
        <f t="shared" si="88"/>
        <v>0</v>
      </c>
      <c r="AJ67" s="12">
        <f t="shared" si="89"/>
        <v>0</v>
      </c>
      <c r="AK67" s="12">
        <f t="shared" si="90"/>
        <v>0</v>
      </c>
      <c r="AL67" s="12">
        <f t="shared" si="91"/>
        <v>0</v>
      </c>
      <c r="AN67" t="s">
        <v>1307</v>
      </c>
      <c r="AO67">
        <f>_xlfn.XLOOKUP(AN67,'KPI Impacts'!$B$2:$H$2,'KPI Impacts'!$B67:$H67)</f>
        <v>-3.2</v>
      </c>
      <c r="AR67" s="12">
        <f t="shared" si="92"/>
        <v>0</v>
      </c>
      <c r="AS67" s="12">
        <f t="shared" si="93"/>
        <v>0</v>
      </c>
      <c r="AT67" s="12">
        <f t="shared" si="94"/>
        <v>0</v>
      </c>
      <c r="AU67" s="12">
        <f t="shared" si="95"/>
        <v>0</v>
      </c>
      <c r="AV67" s="12">
        <f t="shared" si="96"/>
        <v>0</v>
      </c>
      <c r="AW67" s="12">
        <f t="shared" si="97"/>
        <v>0</v>
      </c>
      <c r="AX67" s="12">
        <f t="shared" si="98"/>
        <v>0</v>
      </c>
      <c r="AY67" s="12">
        <f t="shared" si="99"/>
        <v>0</v>
      </c>
      <c r="AZ67" s="12">
        <f t="shared" si="100"/>
        <v>0</v>
      </c>
      <c r="BB67" t="s">
        <v>1307</v>
      </c>
      <c r="BC67">
        <f>_xlfn.XLOOKUP(BB67,'KPI Impacts'!$B$2:$H$2,'KPI Impacts'!$B67:$H67)</f>
        <v>-3.2</v>
      </c>
      <c r="BF67" s="12">
        <f t="shared" si="101"/>
        <v>0</v>
      </c>
      <c r="BG67" s="12">
        <f t="shared" si="102"/>
        <v>0</v>
      </c>
      <c r="BH67" s="12">
        <f t="shared" si="103"/>
        <v>0</v>
      </c>
      <c r="BI67" s="12">
        <f t="shared" si="104"/>
        <v>0</v>
      </c>
      <c r="BJ67" s="12">
        <f t="shared" si="105"/>
        <v>0</v>
      </c>
      <c r="BK67" s="12">
        <f t="shared" si="106"/>
        <v>0</v>
      </c>
      <c r="BL67" s="12">
        <f t="shared" si="107"/>
        <v>0</v>
      </c>
      <c r="BM67" s="12">
        <f t="shared" si="108"/>
        <v>0</v>
      </c>
      <c r="BN67" s="12">
        <f t="shared" si="109"/>
        <v>0</v>
      </c>
      <c r="BP67" t="s">
        <v>1306</v>
      </c>
      <c r="BQ67">
        <f>_xlfn.XLOOKUP(BP67,'KPI Impacts'!$B$2:$H$2,'KPI Impacts'!$B67:$H67)</f>
        <v>-4.8000000000000007</v>
      </c>
      <c r="BT67" s="12">
        <f t="shared" si="110"/>
        <v>0</v>
      </c>
      <c r="BU67" s="12">
        <f t="shared" si="111"/>
        <v>0</v>
      </c>
      <c r="BV67" s="12">
        <f t="shared" si="112"/>
        <v>0</v>
      </c>
      <c r="BW67" s="12">
        <f t="shared" si="113"/>
        <v>0</v>
      </c>
      <c r="BX67" s="12">
        <f t="shared" si="114"/>
        <v>0</v>
      </c>
      <c r="BY67" s="12">
        <f t="shared" si="115"/>
        <v>0</v>
      </c>
      <c r="BZ67" s="12">
        <f t="shared" si="116"/>
        <v>0</v>
      </c>
      <c r="CA67" s="12">
        <f t="shared" si="117"/>
        <v>0</v>
      </c>
      <c r="CB67" s="12">
        <f t="shared" si="118"/>
        <v>0</v>
      </c>
      <c r="CD67" t="s">
        <v>1307</v>
      </c>
      <c r="CE67">
        <f>_xlfn.XLOOKUP(CD67,'KPI Impacts'!$B$2:$H$2,'KPI Impacts'!$B67:$H67)</f>
        <v>-3.2</v>
      </c>
      <c r="CH67" s="12">
        <f t="shared" si="119"/>
        <v>0</v>
      </c>
      <c r="CI67" s="12">
        <f t="shared" si="120"/>
        <v>0</v>
      </c>
      <c r="CJ67" s="12">
        <f t="shared" si="121"/>
        <v>0</v>
      </c>
      <c r="CK67" s="12">
        <f t="shared" si="122"/>
        <v>0</v>
      </c>
      <c r="CL67" s="12">
        <f t="shared" si="123"/>
        <v>0</v>
      </c>
      <c r="CM67" s="12">
        <f t="shared" si="124"/>
        <v>0</v>
      </c>
      <c r="CN67" s="12">
        <f t="shared" si="125"/>
        <v>0</v>
      </c>
      <c r="CO67" s="12">
        <f t="shared" si="126"/>
        <v>0</v>
      </c>
      <c r="CP67" s="12">
        <f t="shared" si="127"/>
        <v>0</v>
      </c>
      <c r="CR67" t="s">
        <v>1307</v>
      </c>
      <c r="CS67">
        <f>_xlfn.XLOOKUP(CR67,'KPI Impacts'!$B$2:$H$2,'KPI Impacts'!$B67:$H67)</f>
        <v>-3.2</v>
      </c>
      <c r="CV67" s="12">
        <f t="shared" si="128"/>
        <v>0</v>
      </c>
      <c r="CW67" s="12">
        <f t="shared" si="129"/>
        <v>0</v>
      </c>
      <c r="CX67" s="12">
        <f t="shared" si="130"/>
        <v>0</v>
      </c>
      <c r="CY67" s="12">
        <f t="shared" si="131"/>
        <v>0</v>
      </c>
      <c r="CZ67" s="12">
        <f t="shared" si="132"/>
        <v>0</v>
      </c>
      <c r="DA67" s="12">
        <f t="shared" si="133"/>
        <v>0</v>
      </c>
      <c r="DB67" s="12">
        <f t="shared" si="134"/>
        <v>0</v>
      </c>
      <c r="DC67" s="12">
        <f t="shared" si="135"/>
        <v>0</v>
      </c>
      <c r="DD67" s="12">
        <f t="shared" si="136"/>
        <v>0</v>
      </c>
      <c r="DF67" t="s">
        <v>1304</v>
      </c>
      <c r="DG67">
        <f>_xlfn.XLOOKUP(DF67,'KPI Impacts'!$B$2:$H$2,'KPI Impacts'!$B67:$H67)</f>
        <v>0</v>
      </c>
      <c r="DJ67" s="12">
        <f t="shared" si="137"/>
        <v>0</v>
      </c>
      <c r="DK67" s="12">
        <f t="shared" si="138"/>
        <v>0</v>
      </c>
      <c r="DL67" s="12">
        <f t="shared" si="139"/>
        <v>0</v>
      </c>
      <c r="DM67" s="12">
        <f t="shared" si="140"/>
        <v>0</v>
      </c>
      <c r="DN67" s="12">
        <f t="shared" si="141"/>
        <v>0</v>
      </c>
      <c r="DO67" s="12">
        <f t="shared" si="142"/>
        <v>0</v>
      </c>
      <c r="DP67" s="12">
        <f t="shared" si="143"/>
        <v>0</v>
      </c>
      <c r="DQ67" s="12">
        <f t="shared" si="144"/>
        <v>0</v>
      </c>
      <c r="DR67" s="12">
        <f t="shared" si="145"/>
        <v>0</v>
      </c>
      <c r="DT67" t="s">
        <v>1304</v>
      </c>
      <c r="DU67">
        <f>_xlfn.XLOOKUP(DT67,'KPI Impacts'!$B$2:$H$2,'KPI Impacts'!$B67:$H67)</f>
        <v>0</v>
      </c>
      <c r="DX67" s="12"/>
      <c r="DY67" s="12"/>
      <c r="DZ67" s="12"/>
      <c r="EA67" s="12"/>
      <c r="EB67" s="12"/>
      <c r="EC67" s="12"/>
      <c r="ED67" s="12"/>
      <c r="EE67" s="12"/>
      <c r="EF67" s="12"/>
    </row>
    <row r="68" spans="1:136" x14ac:dyDescent="0.2">
      <c r="A68" t="s">
        <v>49</v>
      </c>
      <c r="B68" s="12">
        <f t="shared" si="73"/>
        <v>0</v>
      </c>
      <c r="C68" s="12">
        <f t="shared" si="73"/>
        <v>0</v>
      </c>
      <c r="D68" s="12">
        <f t="shared" si="73"/>
        <v>0</v>
      </c>
      <c r="E68" s="12">
        <f t="shared" si="73"/>
        <v>0</v>
      </c>
      <c r="F68" s="12">
        <f t="shared" si="73"/>
        <v>0</v>
      </c>
      <c r="G68" s="12">
        <f t="shared" si="73"/>
        <v>0</v>
      </c>
      <c r="H68" s="12">
        <f t="shared" si="73"/>
        <v>0</v>
      </c>
      <c r="I68" s="12">
        <f t="shared" si="73"/>
        <v>0</v>
      </c>
      <c r="J68" s="12">
        <f t="shared" si="73"/>
        <v>0</v>
      </c>
      <c r="P68" s="12">
        <f t="shared" si="74"/>
        <v>0</v>
      </c>
      <c r="Q68" s="12">
        <f t="shared" si="75"/>
        <v>0</v>
      </c>
      <c r="R68" s="12">
        <f t="shared" si="76"/>
        <v>0</v>
      </c>
      <c r="S68" s="12">
        <f t="shared" si="77"/>
        <v>0</v>
      </c>
      <c r="T68" s="12">
        <f t="shared" si="78"/>
        <v>0</v>
      </c>
      <c r="U68" s="12">
        <f t="shared" si="79"/>
        <v>0</v>
      </c>
      <c r="V68" s="12">
        <f t="shared" si="80"/>
        <v>0</v>
      </c>
      <c r="W68" s="12">
        <f t="shared" si="81"/>
        <v>0</v>
      </c>
      <c r="X68" s="12">
        <f t="shared" si="82"/>
        <v>0</v>
      </c>
      <c r="Z68" t="s">
        <v>1304</v>
      </c>
      <c r="AA68">
        <f>_xlfn.XLOOKUP(Z68,'KPI Impacts'!$B$2:$H$2,'KPI Impacts'!$B68:$H68)</f>
        <v>0</v>
      </c>
      <c r="AD68" s="12">
        <f t="shared" si="83"/>
        <v>0</v>
      </c>
      <c r="AE68" s="12">
        <f t="shared" si="84"/>
        <v>0</v>
      </c>
      <c r="AF68" s="12">
        <f t="shared" si="85"/>
        <v>0</v>
      </c>
      <c r="AG68" s="12">
        <f t="shared" si="86"/>
        <v>0</v>
      </c>
      <c r="AH68" s="12">
        <f t="shared" si="87"/>
        <v>0</v>
      </c>
      <c r="AI68" s="12">
        <f t="shared" si="88"/>
        <v>0</v>
      </c>
      <c r="AJ68" s="12">
        <f t="shared" si="89"/>
        <v>0</v>
      </c>
      <c r="AK68" s="12">
        <f t="shared" si="90"/>
        <v>0</v>
      </c>
      <c r="AL68" s="12">
        <f t="shared" si="91"/>
        <v>0</v>
      </c>
      <c r="AN68" t="s">
        <v>1304</v>
      </c>
      <c r="AO68">
        <f>_xlfn.XLOOKUP(AN68,'KPI Impacts'!$B$2:$H$2,'KPI Impacts'!$B68:$H68)</f>
        <v>0</v>
      </c>
      <c r="AR68" s="12">
        <f t="shared" si="92"/>
        <v>0</v>
      </c>
      <c r="AS68" s="12">
        <f t="shared" si="93"/>
        <v>0</v>
      </c>
      <c r="AT68" s="12">
        <f t="shared" si="94"/>
        <v>0</v>
      </c>
      <c r="AU68" s="12">
        <f t="shared" si="95"/>
        <v>0</v>
      </c>
      <c r="AV68" s="12">
        <f t="shared" si="96"/>
        <v>0</v>
      </c>
      <c r="AW68" s="12">
        <f t="shared" si="97"/>
        <v>0</v>
      </c>
      <c r="AX68" s="12">
        <f t="shared" si="98"/>
        <v>0</v>
      </c>
      <c r="AY68" s="12">
        <f t="shared" si="99"/>
        <v>0</v>
      </c>
      <c r="AZ68" s="12">
        <f t="shared" si="100"/>
        <v>0</v>
      </c>
      <c r="BB68" t="s">
        <v>1306</v>
      </c>
      <c r="BC68">
        <f>_xlfn.XLOOKUP(BB68,'KPI Impacts'!$B$2:$H$2,'KPI Impacts'!$B68:$H68)</f>
        <v>-4.8000000000000007</v>
      </c>
      <c r="BF68" s="12">
        <f t="shared" si="101"/>
        <v>0</v>
      </c>
      <c r="BG68" s="12">
        <f t="shared" si="102"/>
        <v>0</v>
      </c>
      <c r="BH68" s="12">
        <f t="shared" si="103"/>
        <v>0</v>
      </c>
      <c r="BI68" s="12">
        <f t="shared" si="104"/>
        <v>0</v>
      </c>
      <c r="BJ68" s="12">
        <f t="shared" si="105"/>
        <v>0</v>
      </c>
      <c r="BK68" s="12">
        <f t="shared" si="106"/>
        <v>0</v>
      </c>
      <c r="BL68" s="12">
        <f t="shared" si="107"/>
        <v>0</v>
      </c>
      <c r="BM68" s="12">
        <f t="shared" si="108"/>
        <v>0</v>
      </c>
      <c r="BN68" s="12">
        <f t="shared" si="109"/>
        <v>0</v>
      </c>
      <c r="BP68" t="s">
        <v>1306</v>
      </c>
      <c r="BQ68">
        <f>_xlfn.XLOOKUP(BP68,'KPI Impacts'!$B$2:$H$2,'KPI Impacts'!$B68:$H68)</f>
        <v>-4.8000000000000007</v>
      </c>
      <c r="BT68" s="12">
        <f t="shared" si="110"/>
        <v>0</v>
      </c>
      <c r="BU68" s="12">
        <f t="shared" si="111"/>
        <v>0</v>
      </c>
      <c r="BV68" s="12">
        <f t="shared" si="112"/>
        <v>0</v>
      </c>
      <c r="BW68" s="12">
        <f t="shared" si="113"/>
        <v>0</v>
      </c>
      <c r="BX68" s="12">
        <f t="shared" si="114"/>
        <v>0</v>
      </c>
      <c r="BY68" s="12">
        <f t="shared" si="115"/>
        <v>0</v>
      </c>
      <c r="BZ68" s="12">
        <f t="shared" si="116"/>
        <v>0</v>
      </c>
      <c r="CA68" s="12">
        <f t="shared" si="117"/>
        <v>0</v>
      </c>
      <c r="CB68" s="12">
        <f t="shared" si="118"/>
        <v>0</v>
      </c>
      <c r="CD68" t="s">
        <v>1305</v>
      </c>
      <c r="CE68">
        <f>_xlfn.XLOOKUP(CD68,'KPI Impacts'!$B$2:$H$2,'KPI Impacts'!$B68:$H68)</f>
        <v>-1.6</v>
      </c>
      <c r="CH68" s="12">
        <f t="shared" si="119"/>
        <v>0</v>
      </c>
      <c r="CI68" s="12">
        <f t="shared" si="120"/>
        <v>0</v>
      </c>
      <c r="CJ68" s="12">
        <f t="shared" si="121"/>
        <v>0</v>
      </c>
      <c r="CK68" s="12">
        <f t="shared" si="122"/>
        <v>0</v>
      </c>
      <c r="CL68" s="12">
        <f t="shared" si="123"/>
        <v>0</v>
      </c>
      <c r="CM68" s="12">
        <f t="shared" si="124"/>
        <v>0</v>
      </c>
      <c r="CN68" s="12">
        <f t="shared" si="125"/>
        <v>0</v>
      </c>
      <c r="CO68" s="12">
        <f t="shared" si="126"/>
        <v>0</v>
      </c>
      <c r="CP68" s="12">
        <f t="shared" si="127"/>
        <v>0</v>
      </c>
      <c r="CR68" t="s">
        <v>1307</v>
      </c>
      <c r="CS68">
        <f>_xlfn.XLOOKUP(CR68,'KPI Impacts'!$B$2:$H$2,'KPI Impacts'!$B68:$H68)</f>
        <v>-3.2</v>
      </c>
      <c r="CV68" s="12">
        <f t="shared" si="128"/>
        <v>0</v>
      </c>
      <c r="CW68" s="12">
        <f t="shared" si="129"/>
        <v>0</v>
      </c>
      <c r="CX68" s="12">
        <f t="shared" si="130"/>
        <v>0</v>
      </c>
      <c r="CY68" s="12">
        <f t="shared" si="131"/>
        <v>0</v>
      </c>
      <c r="CZ68" s="12">
        <f t="shared" si="132"/>
        <v>0</v>
      </c>
      <c r="DA68" s="12">
        <f t="shared" si="133"/>
        <v>0</v>
      </c>
      <c r="DB68" s="12">
        <f t="shared" si="134"/>
        <v>0</v>
      </c>
      <c r="DC68" s="12">
        <f t="shared" si="135"/>
        <v>0</v>
      </c>
      <c r="DD68" s="12">
        <f t="shared" si="136"/>
        <v>0</v>
      </c>
      <c r="DF68" t="s">
        <v>1304</v>
      </c>
      <c r="DG68">
        <f>_xlfn.XLOOKUP(DF68,'KPI Impacts'!$B$2:$H$2,'KPI Impacts'!$B68:$H68)</f>
        <v>0</v>
      </c>
      <c r="DJ68" s="12">
        <f t="shared" si="137"/>
        <v>0</v>
      </c>
      <c r="DK68" s="12">
        <f t="shared" si="138"/>
        <v>0</v>
      </c>
      <c r="DL68" s="12">
        <f t="shared" si="139"/>
        <v>0</v>
      </c>
      <c r="DM68" s="12">
        <f t="shared" si="140"/>
        <v>0</v>
      </c>
      <c r="DN68" s="12">
        <f t="shared" si="141"/>
        <v>0</v>
      </c>
      <c r="DO68" s="12">
        <f t="shared" si="142"/>
        <v>0</v>
      </c>
      <c r="DP68" s="12">
        <f t="shared" si="143"/>
        <v>0</v>
      </c>
      <c r="DQ68" s="12">
        <f t="shared" si="144"/>
        <v>0</v>
      </c>
      <c r="DR68" s="12">
        <f t="shared" si="145"/>
        <v>0</v>
      </c>
      <c r="DT68" t="s">
        <v>1304</v>
      </c>
      <c r="DU68">
        <f>_xlfn.XLOOKUP(DT68,'KPI Impacts'!$B$2:$H$2,'KPI Impacts'!$B68:$H68)</f>
        <v>0</v>
      </c>
      <c r="DX68" s="12"/>
      <c r="DY68" s="12"/>
      <c r="DZ68" s="12"/>
      <c r="EA68" s="12"/>
      <c r="EB68" s="12"/>
      <c r="EC68" s="12"/>
      <c r="ED68" s="12"/>
      <c r="EE68" s="12"/>
      <c r="EF68" s="12"/>
    </row>
    <row r="69" spans="1:136" x14ac:dyDescent="0.2">
      <c r="A69" t="s">
        <v>50</v>
      </c>
      <c r="B69" s="12">
        <f t="shared" si="73"/>
        <v>0</v>
      </c>
      <c r="C69" s="12">
        <f t="shared" si="73"/>
        <v>0</v>
      </c>
      <c r="D69" s="12">
        <f t="shared" si="73"/>
        <v>0</v>
      </c>
      <c r="E69" s="12">
        <f t="shared" si="73"/>
        <v>0</v>
      </c>
      <c r="F69" s="12">
        <f t="shared" si="73"/>
        <v>0</v>
      </c>
      <c r="G69" s="12">
        <f t="shared" si="73"/>
        <v>0</v>
      </c>
      <c r="H69" s="12">
        <f t="shared" si="73"/>
        <v>0</v>
      </c>
      <c r="I69" s="12">
        <f t="shared" si="73"/>
        <v>0</v>
      </c>
      <c r="J69" s="12">
        <f t="shared" si="73"/>
        <v>0</v>
      </c>
      <c r="P69" s="12">
        <f t="shared" si="74"/>
        <v>0</v>
      </c>
      <c r="Q69" s="12">
        <f t="shared" si="75"/>
        <v>0</v>
      </c>
      <c r="R69" s="12">
        <f t="shared" si="76"/>
        <v>0</v>
      </c>
      <c r="S69" s="12">
        <f t="shared" si="77"/>
        <v>0</v>
      </c>
      <c r="T69" s="12">
        <f t="shared" si="78"/>
        <v>0</v>
      </c>
      <c r="U69" s="12">
        <f t="shared" si="79"/>
        <v>0</v>
      </c>
      <c r="V69" s="12">
        <f t="shared" si="80"/>
        <v>0</v>
      </c>
      <c r="W69" s="12">
        <f t="shared" si="81"/>
        <v>0</v>
      </c>
      <c r="X69" s="12">
        <f t="shared" si="82"/>
        <v>0</v>
      </c>
      <c r="Z69" t="s">
        <v>1304</v>
      </c>
      <c r="AA69">
        <f>_xlfn.XLOOKUP(Z69,'KPI Impacts'!$B$2:$H$2,'KPI Impacts'!$B69:$H69)</f>
        <v>0</v>
      </c>
      <c r="AD69" s="12">
        <f t="shared" si="83"/>
        <v>0</v>
      </c>
      <c r="AE69" s="12">
        <f t="shared" si="84"/>
        <v>0</v>
      </c>
      <c r="AF69" s="12">
        <f t="shared" si="85"/>
        <v>0</v>
      </c>
      <c r="AG69" s="12">
        <f t="shared" si="86"/>
        <v>0</v>
      </c>
      <c r="AH69" s="12">
        <f t="shared" si="87"/>
        <v>0</v>
      </c>
      <c r="AI69" s="12">
        <f t="shared" si="88"/>
        <v>0</v>
      </c>
      <c r="AJ69" s="12">
        <f t="shared" si="89"/>
        <v>0</v>
      </c>
      <c r="AK69" s="12">
        <f t="shared" si="90"/>
        <v>0</v>
      </c>
      <c r="AL69" s="12">
        <f t="shared" si="91"/>
        <v>0</v>
      </c>
      <c r="AN69" t="s">
        <v>1305</v>
      </c>
      <c r="AO69">
        <f>_xlfn.XLOOKUP(AN69,'KPI Impacts'!$B$2:$H$2,'KPI Impacts'!$B69:$H69)</f>
        <v>-1.6</v>
      </c>
      <c r="AR69" s="12">
        <f t="shared" si="92"/>
        <v>0</v>
      </c>
      <c r="AS69" s="12">
        <f t="shared" si="93"/>
        <v>0</v>
      </c>
      <c r="AT69" s="12">
        <f t="shared" si="94"/>
        <v>0</v>
      </c>
      <c r="AU69" s="12">
        <f t="shared" si="95"/>
        <v>0</v>
      </c>
      <c r="AV69" s="12">
        <f t="shared" si="96"/>
        <v>0</v>
      </c>
      <c r="AW69" s="12">
        <f t="shared" si="97"/>
        <v>0</v>
      </c>
      <c r="AX69" s="12">
        <f t="shared" si="98"/>
        <v>0</v>
      </c>
      <c r="AY69" s="12">
        <f t="shared" si="99"/>
        <v>0</v>
      </c>
      <c r="AZ69" s="12">
        <f t="shared" si="100"/>
        <v>0</v>
      </c>
      <c r="BB69" t="s">
        <v>1307</v>
      </c>
      <c r="BC69">
        <f>_xlfn.XLOOKUP(BB69,'KPI Impacts'!$B$2:$H$2,'KPI Impacts'!$B69:$H69)</f>
        <v>-3.2</v>
      </c>
      <c r="BF69" s="12">
        <f t="shared" si="101"/>
        <v>0</v>
      </c>
      <c r="BG69" s="12">
        <f t="shared" si="102"/>
        <v>0</v>
      </c>
      <c r="BH69" s="12">
        <f t="shared" si="103"/>
        <v>0</v>
      </c>
      <c r="BI69" s="12">
        <f t="shared" si="104"/>
        <v>0</v>
      </c>
      <c r="BJ69" s="12">
        <f t="shared" si="105"/>
        <v>0</v>
      </c>
      <c r="BK69" s="12">
        <f t="shared" si="106"/>
        <v>0</v>
      </c>
      <c r="BL69" s="12">
        <f t="shared" si="107"/>
        <v>0</v>
      </c>
      <c r="BM69" s="12">
        <f t="shared" si="108"/>
        <v>0</v>
      </c>
      <c r="BN69" s="12">
        <f t="shared" si="109"/>
        <v>0</v>
      </c>
      <c r="BP69" t="s">
        <v>1307</v>
      </c>
      <c r="BQ69">
        <f>_xlfn.XLOOKUP(BP69,'KPI Impacts'!$B$2:$H$2,'KPI Impacts'!$B69:$H69)</f>
        <v>-3.2</v>
      </c>
      <c r="BT69" s="12">
        <f t="shared" si="110"/>
        <v>0</v>
      </c>
      <c r="BU69" s="12">
        <f t="shared" si="111"/>
        <v>0</v>
      </c>
      <c r="BV69" s="12">
        <f t="shared" si="112"/>
        <v>0</v>
      </c>
      <c r="BW69" s="12">
        <f t="shared" si="113"/>
        <v>0</v>
      </c>
      <c r="BX69" s="12">
        <f t="shared" si="114"/>
        <v>0</v>
      </c>
      <c r="BY69" s="12">
        <f t="shared" si="115"/>
        <v>0</v>
      </c>
      <c r="BZ69" s="12">
        <f t="shared" si="116"/>
        <v>0</v>
      </c>
      <c r="CA69" s="12">
        <f t="shared" si="117"/>
        <v>0</v>
      </c>
      <c r="CB69" s="12">
        <f t="shared" si="118"/>
        <v>0</v>
      </c>
      <c r="CD69" t="s">
        <v>1305</v>
      </c>
      <c r="CE69">
        <f>_xlfn.XLOOKUP(CD69,'KPI Impacts'!$B$2:$H$2,'KPI Impacts'!$B69:$H69)</f>
        <v>-1.6</v>
      </c>
      <c r="CH69" s="12">
        <f t="shared" si="119"/>
        <v>0</v>
      </c>
      <c r="CI69" s="12">
        <f t="shared" si="120"/>
        <v>0</v>
      </c>
      <c r="CJ69" s="12">
        <f t="shared" si="121"/>
        <v>0</v>
      </c>
      <c r="CK69" s="12">
        <f t="shared" si="122"/>
        <v>0</v>
      </c>
      <c r="CL69" s="12">
        <f t="shared" si="123"/>
        <v>0</v>
      </c>
      <c r="CM69" s="12">
        <f t="shared" si="124"/>
        <v>0</v>
      </c>
      <c r="CN69" s="12">
        <f t="shared" si="125"/>
        <v>0</v>
      </c>
      <c r="CO69" s="12">
        <f t="shared" si="126"/>
        <v>0</v>
      </c>
      <c r="CP69" s="12">
        <f t="shared" si="127"/>
        <v>0</v>
      </c>
      <c r="CR69" t="s">
        <v>1307</v>
      </c>
      <c r="CS69">
        <f>_xlfn.XLOOKUP(CR69,'KPI Impacts'!$B$2:$H$2,'KPI Impacts'!$B69:$H69)</f>
        <v>-3.2</v>
      </c>
      <c r="CV69" s="12">
        <f t="shared" si="128"/>
        <v>0</v>
      </c>
      <c r="CW69" s="12">
        <f t="shared" si="129"/>
        <v>0</v>
      </c>
      <c r="CX69" s="12">
        <f t="shared" si="130"/>
        <v>0</v>
      </c>
      <c r="CY69" s="12">
        <f t="shared" si="131"/>
        <v>0</v>
      </c>
      <c r="CZ69" s="12">
        <f t="shared" si="132"/>
        <v>0</v>
      </c>
      <c r="DA69" s="12">
        <f t="shared" si="133"/>
        <v>0</v>
      </c>
      <c r="DB69" s="12">
        <f t="shared" si="134"/>
        <v>0</v>
      </c>
      <c r="DC69" s="12">
        <f t="shared" si="135"/>
        <v>0</v>
      </c>
      <c r="DD69" s="12">
        <f t="shared" si="136"/>
        <v>0</v>
      </c>
      <c r="DF69" t="s">
        <v>1304</v>
      </c>
      <c r="DG69">
        <f>_xlfn.XLOOKUP(DF69,'KPI Impacts'!$B$2:$H$2,'KPI Impacts'!$B69:$H69)</f>
        <v>0</v>
      </c>
      <c r="DJ69" s="12">
        <f t="shared" si="137"/>
        <v>0</v>
      </c>
      <c r="DK69" s="12">
        <f t="shared" si="138"/>
        <v>0</v>
      </c>
      <c r="DL69" s="12">
        <f t="shared" si="139"/>
        <v>0</v>
      </c>
      <c r="DM69" s="12">
        <f t="shared" si="140"/>
        <v>0</v>
      </c>
      <c r="DN69" s="12">
        <f t="shared" si="141"/>
        <v>0</v>
      </c>
      <c r="DO69" s="12">
        <f t="shared" si="142"/>
        <v>0</v>
      </c>
      <c r="DP69" s="12">
        <f t="shared" si="143"/>
        <v>0</v>
      </c>
      <c r="DQ69" s="12">
        <f t="shared" si="144"/>
        <v>0</v>
      </c>
      <c r="DR69" s="12">
        <f t="shared" si="145"/>
        <v>0</v>
      </c>
      <c r="DT69" t="s">
        <v>1304</v>
      </c>
      <c r="DU69">
        <f>_xlfn.XLOOKUP(DT69,'KPI Impacts'!$B$2:$H$2,'KPI Impacts'!$B69:$H69)</f>
        <v>0</v>
      </c>
      <c r="DX69" s="12"/>
      <c r="DY69" s="12"/>
      <c r="DZ69" s="12"/>
      <c r="EA69" s="12"/>
      <c r="EB69" s="12"/>
      <c r="EC69" s="12"/>
      <c r="ED69" s="12"/>
      <c r="EE69" s="12"/>
      <c r="EF69" s="12"/>
    </row>
    <row r="70" spans="1:136" x14ac:dyDescent="0.2">
      <c r="EA70" s="12"/>
      <c r="EB70" s="12"/>
    </row>
    <row r="71" spans="1:136" x14ac:dyDescent="0.2">
      <c r="EA71" s="12"/>
      <c r="EB71" s="12"/>
    </row>
    <row r="72" spans="1:136" x14ac:dyDescent="0.2">
      <c r="A72" s="5" t="s">
        <v>44</v>
      </c>
      <c r="EA72" s="12"/>
      <c r="EB72" s="12"/>
    </row>
    <row r="73" spans="1:136" x14ac:dyDescent="0.2">
      <c r="A73" t="s">
        <v>55</v>
      </c>
      <c r="B73" s="12">
        <f>P73+AD73+AR73+BF73+BT73+CH73+CV73+DJ73</f>
        <v>0</v>
      </c>
      <c r="C73" s="12">
        <f t="shared" ref="C73:J74" si="146">Q73+AE73+AS73+BG73+BU73+CI73+CW73+DK73</f>
        <v>0</v>
      </c>
      <c r="D73" s="12">
        <f t="shared" si="146"/>
        <v>0</v>
      </c>
      <c r="E73" s="12">
        <f t="shared" si="146"/>
        <v>0</v>
      </c>
      <c r="F73" s="12">
        <f t="shared" si="146"/>
        <v>0</v>
      </c>
      <c r="G73" s="12">
        <f t="shared" si="146"/>
        <v>0</v>
      </c>
      <c r="H73" s="12">
        <f t="shared" si="146"/>
        <v>0</v>
      </c>
      <c r="I73" s="12">
        <f t="shared" si="146"/>
        <v>0</v>
      </c>
      <c r="J73" s="12">
        <f t="shared" si="146"/>
        <v>0</v>
      </c>
      <c r="P73" s="12">
        <f>P$5*AA73</f>
        <v>0</v>
      </c>
      <c r="Q73" s="12">
        <f>Q$5*AA73</f>
        <v>0</v>
      </c>
      <c r="R73" s="12">
        <f>R$5*AA73</f>
        <v>0</v>
      </c>
      <c r="S73" s="12">
        <f>S$5*AA73</f>
        <v>0</v>
      </c>
      <c r="T73" s="12">
        <f>T$5*AA73</f>
        <v>0</v>
      </c>
      <c r="U73" s="12">
        <f>U$5*AA73</f>
        <v>0</v>
      </c>
      <c r="V73" s="12">
        <f>V$5*AA73</f>
        <v>0</v>
      </c>
      <c r="W73" s="12">
        <f>W$5*AA73</f>
        <v>0</v>
      </c>
      <c r="X73" s="12">
        <f>X$5*AA73</f>
        <v>0</v>
      </c>
      <c r="Z73" t="s">
        <v>1304</v>
      </c>
      <c r="AA73">
        <f>_xlfn.XLOOKUP(Z73,'KPI Impacts'!$B$2:$H$2,'KPI Impacts'!$B73:$H73)</f>
        <v>0</v>
      </c>
      <c r="AD73" s="12">
        <f>AD$5*AO73</f>
        <v>0</v>
      </c>
      <c r="AE73" s="12">
        <f>AE$5*AO73</f>
        <v>0</v>
      </c>
      <c r="AF73" s="12">
        <f>AF$5*AO73</f>
        <v>0</v>
      </c>
      <c r="AG73" s="12">
        <f>AG$5*AO73</f>
        <v>0</v>
      </c>
      <c r="AH73" s="12">
        <f>AH$5*AO73</f>
        <v>0</v>
      </c>
      <c r="AI73" s="12">
        <f>AI$5*AO73</f>
        <v>0</v>
      </c>
      <c r="AJ73" s="12">
        <f>AJ$5*AO73</f>
        <v>0</v>
      </c>
      <c r="AK73" s="12">
        <f>AK$5*AO73</f>
        <v>0</v>
      </c>
      <c r="AL73" s="12">
        <f>AL$5*AO73</f>
        <v>0</v>
      </c>
      <c r="AN73" t="s">
        <v>1307</v>
      </c>
      <c r="AO73">
        <f>_xlfn.XLOOKUP(AN73,'KPI Impacts'!$B$2:$H$2,'KPI Impacts'!$B73:$H73)</f>
        <v>-0.60000000000000009</v>
      </c>
      <c r="AR73" s="12">
        <f>AR$5*BC73</f>
        <v>0</v>
      </c>
      <c r="AS73" s="12">
        <f>AS$5*BC73</f>
        <v>0</v>
      </c>
      <c r="AT73" s="12">
        <f>AT$5*BC73</f>
        <v>0</v>
      </c>
      <c r="AU73" s="12">
        <f>AU$5*BC73</f>
        <v>0</v>
      </c>
      <c r="AV73" s="12">
        <f>AV$5*BC73</f>
        <v>0</v>
      </c>
      <c r="AW73" s="12">
        <f>AW$5*BC73</f>
        <v>0</v>
      </c>
      <c r="AX73" s="12">
        <f>AX$5*BC73</f>
        <v>0</v>
      </c>
      <c r="AY73" s="12">
        <f>AY$5*BC73</f>
        <v>0</v>
      </c>
      <c r="AZ73" s="12">
        <f>AZ$5*BC73</f>
        <v>0</v>
      </c>
      <c r="BB73" t="s">
        <v>1304</v>
      </c>
      <c r="BC73">
        <f>_xlfn.XLOOKUP(BB73,'KPI Impacts'!$B$2:$H$2,'KPI Impacts'!$B73:$H73)</f>
        <v>0</v>
      </c>
      <c r="BF73" s="12">
        <f>BF$5*BQ73</f>
        <v>0</v>
      </c>
      <c r="BG73" s="12">
        <f>BG$5*BQ73</f>
        <v>0</v>
      </c>
      <c r="BH73" s="12">
        <f>BH$5*BQ73</f>
        <v>0</v>
      </c>
      <c r="BI73" s="12">
        <f>BI$5*BQ73</f>
        <v>0</v>
      </c>
      <c r="BJ73" s="12">
        <f>BJ$5*BQ73</f>
        <v>0</v>
      </c>
      <c r="BK73" s="12">
        <f>BK$5*BQ73</f>
        <v>0</v>
      </c>
      <c r="BL73" s="12">
        <f>BL$5*BQ73</f>
        <v>0</v>
      </c>
      <c r="BM73" s="12">
        <f>BM$5*BQ73</f>
        <v>0</v>
      </c>
      <c r="BN73" s="12">
        <f>BN$5*BQ73</f>
        <v>0</v>
      </c>
      <c r="BP73" t="s">
        <v>1305</v>
      </c>
      <c r="BQ73">
        <f>_xlfn.XLOOKUP(BP73,'KPI Impacts'!$B$2:$H$2,'KPI Impacts'!$B73:$H73)</f>
        <v>-0.32000000000000006</v>
      </c>
      <c r="BT73" s="12">
        <f>BT$5*CE73</f>
        <v>0</v>
      </c>
      <c r="BU73" s="12">
        <f>BU$5*CE73</f>
        <v>0</v>
      </c>
      <c r="BV73" s="12">
        <f>BV$5*CE73</f>
        <v>0</v>
      </c>
      <c r="BW73" s="12">
        <f>BW$5*CE73</f>
        <v>0</v>
      </c>
      <c r="BX73" s="12">
        <f>BX$5*CE73</f>
        <v>0</v>
      </c>
      <c r="BY73" s="12">
        <f>BY$5*CE73</f>
        <v>0</v>
      </c>
      <c r="BZ73" s="12">
        <f>BZ$5*CE73</f>
        <v>0</v>
      </c>
      <c r="CA73" s="12">
        <f>CA$5*CE73</f>
        <v>0</v>
      </c>
      <c r="CB73" s="12">
        <f>CB$5*CE73</f>
        <v>0</v>
      </c>
      <c r="CD73" t="s">
        <v>1305</v>
      </c>
      <c r="CE73">
        <f>_xlfn.XLOOKUP(CD73,'KPI Impacts'!$B$2:$H$2,'KPI Impacts'!$B73:$H73)</f>
        <v>-0.32000000000000006</v>
      </c>
      <c r="CH73" s="12">
        <f>CH$5*CS73</f>
        <v>0</v>
      </c>
      <c r="CI73" s="12">
        <f>CI$5*CS73</f>
        <v>0</v>
      </c>
      <c r="CJ73" s="12">
        <f>CJ$5*CS73</f>
        <v>0</v>
      </c>
      <c r="CK73" s="12">
        <f>CK$5*CS73</f>
        <v>0</v>
      </c>
      <c r="CL73" s="12">
        <f>CL$5*CS73</f>
        <v>0</v>
      </c>
      <c r="CM73" s="12">
        <f>CM$5*CS73</f>
        <v>0</v>
      </c>
      <c r="CN73" s="12">
        <f>CN$5*CS73</f>
        <v>0</v>
      </c>
      <c r="CO73" s="12">
        <f>CO$5*CS73</f>
        <v>0</v>
      </c>
      <c r="CP73" s="12">
        <f>CP$5*CS73</f>
        <v>0</v>
      </c>
      <c r="CR73" t="s">
        <v>1304</v>
      </c>
      <c r="CS73">
        <f>_xlfn.XLOOKUP(CR73,'KPI Impacts'!$B$2:$H$2,'KPI Impacts'!$B73:$H73)</f>
        <v>0</v>
      </c>
      <c r="CV73" s="12">
        <f>CV$5*DG73</f>
        <v>0</v>
      </c>
      <c r="CW73" s="12">
        <f>CW$5*DG73</f>
        <v>0</v>
      </c>
      <c r="CX73" s="12">
        <f>CX$5*DG73</f>
        <v>0</v>
      </c>
      <c r="CY73" s="12">
        <f>CY$5*DG73</f>
        <v>0</v>
      </c>
      <c r="CZ73" s="12">
        <f>CZ$5*DG73</f>
        <v>0</v>
      </c>
      <c r="DA73" s="12">
        <f>DA$5*DG73</f>
        <v>0</v>
      </c>
      <c r="DB73" s="12">
        <f>DB$5*DG73</f>
        <v>0</v>
      </c>
      <c r="DC73" s="12">
        <f>DC$5*DG73</f>
        <v>0</v>
      </c>
      <c r="DD73" s="12">
        <f>DD$5*DG73</f>
        <v>0</v>
      </c>
      <c r="DF73" t="s">
        <v>1304</v>
      </c>
      <c r="DG73">
        <f>_xlfn.XLOOKUP(DF73,'KPI Impacts'!$B$2:$H$2,'KPI Impacts'!$B73:$H73)</f>
        <v>0</v>
      </c>
      <c r="DJ73" s="12">
        <f>DJ$5*DU73</f>
        <v>0</v>
      </c>
      <c r="DK73" s="12">
        <f>DK$5*DU73</f>
        <v>0</v>
      </c>
      <c r="DL73" s="12">
        <f>DL$5*DU73</f>
        <v>0</v>
      </c>
      <c r="DM73" s="12">
        <f>DM$5*DU73</f>
        <v>0</v>
      </c>
      <c r="DN73" s="12">
        <f>DN$5*DU73</f>
        <v>0</v>
      </c>
      <c r="DO73" s="12">
        <f>DO$5*DU73</f>
        <v>0</v>
      </c>
      <c r="DP73" s="12">
        <f>DP$5*DU73</f>
        <v>0</v>
      </c>
      <c r="DQ73" s="12">
        <f>DQ$5*DU73</f>
        <v>0</v>
      </c>
      <c r="DR73" s="12">
        <f>DR$5*DU73</f>
        <v>0</v>
      </c>
      <c r="DT73" t="s">
        <v>1304</v>
      </c>
      <c r="DU73">
        <f>_xlfn.XLOOKUP(DT73,'KPI Impacts'!$B$2:$H$2,'KPI Impacts'!$B73:$H73)</f>
        <v>0</v>
      </c>
      <c r="DX73" s="12"/>
      <c r="DY73" s="12"/>
      <c r="DZ73" s="12"/>
      <c r="EA73" s="12"/>
      <c r="EB73" s="12"/>
      <c r="EC73" s="12"/>
      <c r="ED73" s="12"/>
      <c r="EE73" s="12"/>
      <c r="EF73" s="12"/>
    </row>
    <row r="74" spans="1:136" x14ac:dyDescent="0.2">
      <c r="A74" s="9" t="s">
        <v>1964</v>
      </c>
      <c r="B74" s="12">
        <f>P74+AD74+AR74+BF74+BT74+CH74+CV74+DJ74</f>
        <v>0</v>
      </c>
      <c r="C74" s="12">
        <f t="shared" si="146"/>
        <v>0</v>
      </c>
      <c r="D74" s="12">
        <f t="shared" si="146"/>
        <v>0</v>
      </c>
      <c r="E74" s="12">
        <f t="shared" si="146"/>
        <v>0</v>
      </c>
      <c r="F74" s="12">
        <f t="shared" si="146"/>
        <v>0</v>
      </c>
      <c r="G74" s="12">
        <f t="shared" si="146"/>
        <v>0</v>
      </c>
      <c r="H74" s="12">
        <f t="shared" si="146"/>
        <v>0</v>
      </c>
      <c r="I74" s="12">
        <f t="shared" si="146"/>
        <v>0</v>
      </c>
      <c r="J74" s="12">
        <f t="shared" si="146"/>
        <v>0</v>
      </c>
      <c r="P74" s="12">
        <f>P$5*AA74</f>
        <v>0</v>
      </c>
      <c r="Q74" s="12">
        <f>Q$5*AA74</f>
        <v>0</v>
      </c>
      <c r="R74" s="12">
        <f>R$5*AA74</f>
        <v>0</v>
      </c>
      <c r="S74" s="12">
        <f>S$5*AA74</f>
        <v>0</v>
      </c>
      <c r="T74" s="12">
        <f>T$5*AA74</f>
        <v>0</v>
      </c>
      <c r="U74" s="12">
        <f>U$5*AA74</f>
        <v>0</v>
      </c>
      <c r="V74" s="12">
        <f>V$5*AA74</f>
        <v>0</v>
      </c>
      <c r="W74" s="12">
        <f>W$5*AA74</f>
        <v>0</v>
      </c>
      <c r="X74" s="12">
        <f>X$5*AA74</f>
        <v>0</v>
      </c>
      <c r="Z74" t="s">
        <v>1304</v>
      </c>
      <c r="AA74">
        <f>_xlfn.XLOOKUP(Z74,'KPI Impacts'!$B$2:$H$2,'KPI Impacts'!$B74:$H74)</f>
        <v>0</v>
      </c>
      <c r="AD74" s="12">
        <f>AD$5*AO74</f>
        <v>0</v>
      </c>
      <c r="AE74" s="12">
        <f>AE$5*AO74</f>
        <v>0</v>
      </c>
      <c r="AF74" s="12">
        <f>AF$5*AO74</f>
        <v>0</v>
      </c>
      <c r="AG74" s="12">
        <f>AG$5*AO74</f>
        <v>0</v>
      </c>
      <c r="AH74" s="12">
        <f>AH$5*AO74</f>
        <v>0</v>
      </c>
      <c r="AI74" s="12">
        <f>AI$5*AO74</f>
        <v>0</v>
      </c>
      <c r="AJ74" s="12">
        <f>AJ$5*AO74</f>
        <v>0</v>
      </c>
      <c r="AK74" s="12">
        <f>AK$5*AO74</f>
        <v>0</v>
      </c>
      <c r="AL74" s="12">
        <f>AL$5*AO74</f>
        <v>0</v>
      </c>
      <c r="AN74" t="s">
        <v>1304</v>
      </c>
      <c r="AO74">
        <f>_xlfn.XLOOKUP(AN74,'KPI Impacts'!$B$2:$H$2,'KPI Impacts'!$B74:$H74)</f>
        <v>0</v>
      </c>
      <c r="AR74" s="12">
        <f>AR$5*BC74</f>
        <v>0</v>
      </c>
      <c r="AS74" s="12">
        <f>AS$5*BC74</f>
        <v>0</v>
      </c>
      <c r="AT74" s="12">
        <f>AT$5*BC74</f>
        <v>0</v>
      </c>
      <c r="AU74" s="12">
        <f>AU$5*BC74</f>
        <v>0</v>
      </c>
      <c r="AV74" s="12">
        <f>AV$5*BC74</f>
        <v>0</v>
      </c>
      <c r="AW74" s="12">
        <f>AW$5*BC74</f>
        <v>0</v>
      </c>
      <c r="AX74" s="12">
        <f>AX$5*BC74</f>
        <v>0</v>
      </c>
      <c r="AY74" s="12">
        <f>AY$5*BC74</f>
        <v>0</v>
      </c>
      <c r="AZ74" s="12">
        <f>AZ$5*BC74</f>
        <v>0</v>
      </c>
      <c r="BB74" t="s">
        <v>1304</v>
      </c>
      <c r="BC74">
        <f>_xlfn.XLOOKUP(BB74,'KPI Impacts'!$B$2:$H$2,'KPI Impacts'!$B74:$H74)</f>
        <v>0</v>
      </c>
      <c r="BF74" s="12">
        <f>BF$5*BQ74</f>
        <v>0</v>
      </c>
      <c r="BG74" s="12">
        <f>BG$5*BQ74</f>
        <v>0</v>
      </c>
      <c r="BH74" s="12">
        <f>BH$5*BQ74</f>
        <v>0</v>
      </c>
      <c r="BI74" s="12">
        <f>BI$5*BQ74</f>
        <v>0</v>
      </c>
      <c r="BJ74" s="12">
        <f>BJ$5*BQ74</f>
        <v>0</v>
      </c>
      <c r="BK74" s="12">
        <f>BK$5*BQ74</f>
        <v>0</v>
      </c>
      <c r="BL74" s="12">
        <f>BL$5*BQ74</f>
        <v>0</v>
      </c>
      <c r="BM74" s="12">
        <f>BM$5*BQ74</f>
        <v>0</v>
      </c>
      <c r="BN74" s="12">
        <f>BN$5*BQ74</f>
        <v>0</v>
      </c>
      <c r="BP74" t="s">
        <v>1304</v>
      </c>
      <c r="BQ74">
        <f>_xlfn.XLOOKUP(BP74,'KPI Impacts'!$B$2:$H$2,'KPI Impacts'!$B74:$H74)</f>
        <v>0</v>
      </c>
      <c r="BT74" s="12">
        <f>BT$5*CE74</f>
        <v>0</v>
      </c>
      <c r="BU74" s="12">
        <f>BU$5*CE74</f>
        <v>0</v>
      </c>
      <c r="BV74" s="12">
        <f>BV$5*CE74</f>
        <v>0</v>
      </c>
      <c r="BW74" s="12">
        <f>BW$5*CE74</f>
        <v>0</v>
      </c>
      <c r="BX74" s="12">
        <f>BX$5*CE74</f>
        <v>0</v>
      </c>
      <c r="BY74" s="12">
        <f>BY$5*CE74</f>
        <v>0</v>
      </c>
      <c r="BZ74" s="12">
        <f>BZ$5*CE74</f>
        <v>0</v>
      </c>
      <c r="CA74" s="12">
        <f>CA$5*CE74</f>
        <v>0</v>
      </c>
      <c r="CB74" s="12">
        <f>CB$5*CE74</f>
        <v>0</v>
      </c>
      <c r="CD74" t="s">
        <v>1304</v>
      </c>
      <c r="CE74">
        <f>_xlfn.XLOOKUP(CD74,'KPI Impacts'!$B$2:$H$2,'KPI Impacts'!$B74:$H74)</f>
        <v>0</v>
      </c>
      <c r="CH74" s="12">
        <f>CH$5*CS74</f>
        <v>0</v>
      </c>
      <c r="CI74" s="12">
        <f>CI$5*CS74</f>
        <v>0</v>
      </c>
      <c r="CJ74" s="12">
        <f>CJ$5*CS74</f>
        <v>0</v>
      </c>
      <c r="CK74" s="12">
        <f>CK$5*CS74</f>
        <v>0</v>
      </c>
      <c r="CL74" s="12">
        <f>CL$5*CS74</f>
        <v>0</v>
      </c>
      <c r="CM74" s="12">
        <f>CM$5*CS74</f>
        <v>0</v>
      </c>
      <c r="CN74" s="12">
        <f>CN$5*CS74</f>
        <v>0</v>
      </c>
      <c r="CO74" s="12">
        <f>CO$5*CS74</f>
        <v>0</v>
      </c>
      <c r="CP74" s="12">
        <f>CP$5*CS74</f>
        <v>0</v>
      </c>
      <c r="CR74" t="s">
        <v>1307</v>
      </c>
      <c r="CS74">
        <f>_xlfn.XLOOKUP(CR74,'KPI Impacts'!$B$2:$H$2,'KPI Impacts'!$B74:$H74)</f>
        <v>-3200000000</v>
      </c>
      <c r="CV74" s="12">
        <f>CV$5*DG74</f>
        <v>0</v>
      </c>
      <c r="CW74" s="12">
        <f>CW$5*DG74</f>
        <v>0</v>
      </c>
      <c r="CX74" s="12">
        <f>CX$5*DG74</f>
        <v>0</v>
      </c>
      <c r="CY74" s="12">
        <f>CY$5*DG74</f>
        <v>0</v>
      </c>
      <c r="CZ74" s="12">
        <f>CZ$5*DG74</f>
        <v>0</v>
      </c>
      <c r="DA74" s="12">
        <f>DA$5*DG74</f>
        <v>0</v>
      </c>
      <c r="DB74" s="12">
        <f>DB$5*DG74</f>
        <v>0</v>
      </c>
      <c r="DC74" s="12">
        <f>DC$5*DG74</f>
        <v>0</v>
      </c>
      <c r="DD74" s="12">
        <f>DD$5*DG74</f>
        <v>0</v>
      </c>
      <c r="DF74" t="s">
        <v>1304</v>
      </c>
      <c r="DG74">
        <f>_xlfn.XLOOKUP(DF74,'KPI Impacts'!$B$2:$H$2,'KPI Impacts'!$B74:$H74)</f>
        <v>0</v>
      </c>
      <c r="DJ74" s="12">
        <f>DJ$5*DU74</f>
        <v>0</v>
      </c>
      <c r="DK74" s="12">
        <f>DK$5*DU74</f>
        <v>0</v>
      </c>
      <c r="DL74" s="12">
        <f>DL$5*DU74</f>
        <v>0</v>
      </c>
      <c r="DM74" s="12">
        <f>DM$5*DU74</f>
        <v>0</v>
      </c>
      <c r="DN74" s="12">
        <f>DN$5*DU74</f>
        <v>0</v>
      </c>
      <c r="DO74" s="12">
        <f>DO$5*DU74</f>
        <v>0</v>
      </c>
      <c r="DP74" s="12">
        <f>DP$5*DU74</f>
        <v>0</v>
      </c>
      <c r="DQ74" s="12">
        <f>DQ$5*DU74</f>
        <v>0</v>
      </c>
      <c r="DR74" s="12">
        <f>DR$5*DU74</f>
        <v>0</v>
      </c>
      <c r="DT74" t="s">
        <v>1304</v>
      </c>
      <c r="DU74">
        <f>_xlfn.XLOOKUP(DT74,'KPI Impacts'!$B$2:$H$2,'KPI Impacts'!$B74:$H74)</f>
        <v>0</v>
      </c>
      <c r="DX74" s="12"/>
      <c r="DY74" s="12"/>
      <c r="DZ74" s="12"/>
      <c r="EA74" s="12"/>
      <c r="EB74" s="12"/>
      <c r="EC74" s="12"/>
      <c r="ED74" s="12"/>
      <c r="EE74" s="12"/>
      <c r="EF74" s="12"/>
    </row>
    <row r="75" spans="1:136" x14ac:dyDescent="0.2">
      <c r="A75" t="s">
        <v>1311</v>
      </c>
      <c r="B75" s="12">
        <f>P75+AD75+BF75+BT75+CH75+CV75+DJ75</f>
        <v>0</v>
      </c>
      <c r="C75" s="12">
        <f t="shared" ref="C75:J76" si="147">Q75+AE75+BG75+BU75+CI75+CW75+DK75</f>
        <v>0</v>
      </c>
      <c r="D75" s="12">
        <f t="shared" si="147"/>
        <v>0</v>
      </c>
      <c r="E75" s="12">
        <f t="shared" si="147"/>
        <v>0</v>
      </c>
      <c r="F75" s="12">
        <f t="shared" si="147"/>
        <v>0</v>
      </c>
      <c r="G75" s="12">
        <f t="shared" si="147"/>
        <v>0</v>
      </c>
      <c r="H75" s="12">
        <f t="shared" si="147"/>
        <v>0</v>
      </c>
      <c r="I75" s="12">
        <f t="shared" si="147"/>
        <v>0</v>
      </c>
      <c r="J75" s="12">
        <f t="shared" si="147"/>
        <v>0</v>
      </c>
      <c r="P75" s="12">
        <f>P$5*AA75</f>
        <v>0</v>
      </c>
      <c r="Q75" s="12">
        <f>Q$5*AA75</f>
        <v>0</v>
      </c>
      <c r="R75" s="12">
        <f>R$5*AA75</f>
        <v>0</v>
      </c>
      <c r="S75" s="12">
        <f>S$5*AA75</f>
        <v>0</v>
      </c>
      <c r="T75" s="12">
        <f>T$5*AA75</f>
        <v>0</v>
      </c>
      <c r="U75" s="12">
        <f>U$5*AA75</f>
        <v>0</v>
      </c>
      <c r="V75" s="12">
        <f>V$5*AA75</f>
        <v>0</v>
      </c>
      <c r="W75" s="12">
        <f>W$5*AA75</f>
        <v>0</v>
      </c>
      <c r="X75" s="12">
        <f>X$5*AA75</f>
        <v>0</v>
      </c>
      <c r="Z75" t="s">
        <v>1304</v>
      </c>
      <c r="AA75">
        <f>_xlfn.XLOOKUP(Z75,'KPI Impacts'!$B$2:$H$2,'KPI Impacts'!$B75:$H75)</f>
        <v>0</v>
      </c>
      <c r="AD75" s="12">
        <f>AD$5*AO75</f>
        <v>0</v>
      </c>
      <c r="AE75" s="12">
        <f>AE$5*AO75</f>
        <v>0</v>
      </c>
      <c r="AF75" s="12">
        <f>AF$5*AO75</f>
        <v>0</v>
      </c>
      <c r="AG75" s="12">
        <f>AG$5*AO75</f>
        <v>0</v>
      </c>
      <c r="AH75" s="12">
        <f>AH$5*AO75</f>
        <v>0</v>
      </c>
      <c r="AI75" s="12">
        <f>AI$5*AO75</f>
        <v>0</v>
      </c>
      <c r="AJ75" s="12">
        <f>AJ$5*AO75</f>
        <v>0</v>
      </c>
      <c r="AK75" s="12">
        <f>AK$5*AO75</f>
        <v>0</v>
      </c>
      <c r="AL75" s="12">
        <f>AL$5*AO75</f>
        <v>0</v>
      </c>
      <c r="AN75" t="s">
        <v>1304</v>
      </c>
      <c r="AO75">
        <f>_xlfn.XLOOKUP(AN75,'KPI Impacts'!$B$2:$H$2,'KPI Impacts'!$B75:$H75)</f>
        <v>0</v>
      </c>
      <c r="AR75" s="12">
        <f>AR$5*BC75</f>
        <v>0</v>
      </c>
      <c r="AS75" s="12">
        <f>AS$5*BC75</f>
        <v>0</v>
      </c>
      <c r="AT75" s="12">
        <f>AT$5*BC75</f>
        <v>0</v>
      </c>
      <c r="AU75" s="12">
        <f>AU$5*BC75</f>
        <v>0</v>
      </c>
      <c r="AV75" s="12">
        <f>AV$5*BC75</f>
        <v>0</v>
      </c>
      <c r="AW75" s="12">
        <f>AW$5*BC75</f>
        <v>0</v>
      </c>
      <c r="AX75" s="12">
        <f>AX$5*BC75</f>
        <v>0</v>
      </c>
      <c r="AY75" s="12">
        <f>AY$5*BC75</f>
        <v>0</v>
      </c>
      <c r="AZ75" s="12">
        <f>AZ$5*BC75</f>
        <v>0</v>
      </c>
      <c r="BB75" t="s">
        <v>1304</v>
      </c>
      <c r="BC75">
        <f>_xlfn.XLOOKUP(BB75,'KPI Impacts'!$B$2:$H$2,'KPI Impacts'!$B75:$H75)</f>
        <v>0</v>
      </c>
      <c r="BF75" s="12">
        <f>BF$5*BQ75</f>
        <v>0</v>
      </c>
      <c r="BG75" s="12">
        <f>BG$5*BQ75</f>
        <v>0</v>
      </c>
      <c r="BH75" s="12">
        <f>BH$5*BQ75</f>
        <v>0</v>
      </c>
      <c r="BI75" s="12">
        <f>BI$5*BQ75</f>
        <v>0</v>
      </c>
      <c r="BJ75" s="12">
        <f>BJ$5*BQ75</f>
        <v>0</v>
      </c>
      <c r="BK75" s="12">
        <f>BK$5*BQ75</f>
        <v>0</v>
      </c>
      <c r="BL75" s="12">
        <f>BL$5*BQ75</f>
        <v>0</v>
      </c>
      <c r="BM75" s="12">
        <f>BM$5*BQ75</f>
        <v>0</v>
      </c>
      <c r="BN75" s="12">
        <f>BN$5*BQ75</f>
        <v>0</v>
      </c>
      <c r="BP75" t="s">
        <v>1304</v>
      </c>
      <c r="BQ75">
        <f>_xlfn.XLOOKUP(BP75,'KPI Impacts'!$B$2:$H$2,'KPI Impacts'!$B75:$H75)</f>
        <v>0</v>
      </c>
      <c r="BT75" s="12">
        <f>BT$5*CE75</f>
        <v>0</v>
      </c>
      <c r="BU75" s="12">
        <f>BU$5*CE75</f>
        <v>0</v>
      </c>
      <c r="BV75" s="12">
        <f>BV$5*CE75</f>
        <v>0</v>
      </c>
      <c r="BW75" s="12">
        <f>BW$5*CE75</f>
        <v>0</v>
      </c>
      <c r="BX75" s="12">
        <f>BX$5*CE75</f>
        <v>0</v>
      </c>
      <c r="BY75" s="12">
        <f>BY$5*CE75</f>
        <v>0</v>
      </c>
      <c r="BZ75" s="12">
        <f>BZ$5*CE75</f>
        <v>0</v>
      </c>
      <c r="CA75" s="12">
        <f>CA$5*CE75</f>
        <v>0</v>
      </c>
      <c r="CB75" s="12">
        <f>CB$5*CE75</f>
        <v>0</v>
      </c>
      <c r="CD75" t="s">
        <v>1304</v>
      </c>
      <c r="CE75">
        <f>_xlfn.XLOOKUP(CD75,'KPI Impacts'!$B$2:$H$2,'KPI Impacts'!$B75:$H75)</f>
        <v>0</v>
      </c>
      <c r="CH75" s="12">
        <f>CH$5*CS75</f>
        <v>0</v>
      </c>
      <c r="CI75" s="12">
        <f>CI$5*CS75</f>
        <v>0</v>
      </c>
      <c r="CJ75" s="12">
        <f>CJ$5*CS75</f>
        <v>0</v>
      </c>
      <c r="CK75" s="12">
        <f>CK$5*CS75</f>
        <v>0</v>
      </c>
      <c r="CL75" s="12">
        <f>CL$5*CS75</f>
        <v>0</v>
      </c>
      <c r="CM75" s="12">
        <f>CM$5*CS75</f>
        <v>0</v>
      </c>
      <c r="CN75" s="12">
        <f>CN$5*CS75</f>
        <v>0</v>
      </c>
      <c r="CO75" s="12">
        <f>CO$5*CS75</f>
        <v>0</v>
      </c>
      <c r="CP75" s="12">
        <f>CP$5*CS75</f>
        <v>0</v>
      </c>
      <c r="CR75" t="s">
        <v>1304</v>
      </c>
      <c r="CS75">
        <f>_xlfn.XLOOKUP(CR75,'KPI Impacts'!$B$2:$H$2,'KPI Impacts'!$B75:$H75)</f>
        <v>0</v>
      </c>
      <c r="CV75" s="12">
        <f>CV$5*DG75</f>
        <v>0</v>
      </c>
      <c r="CW75" s="12">
        <f>CW$5*DG75</f>
        <v>0</v>
      </c>
      <c r="CX75" s="12">
        <f>CX$5*DG75</f>
        <v>0</v>
      </c>
      <c r="CY75" s="12">
        <f>CY$5*DG75</f>
        <v>0</v>
      </c>
      <c r="CZ75" s="12">
        <f>CZ$5*DG75</f>
        <v>0</v>
      </c>
      <c r="DA75" s="12">
        <f>DA$5*DG75</f>
        <v>0</v>
      </c>
      <c r="DB75" s="12">
        <f>DB$5*DG75</f>
        <v>0</v>
      </c>
      <c r="DC75" s="12">
        <f>DC$5*DG75</f>
        <v>0</v>
      </c>
      <c r="DD75" s="12">
        <f>DD$5*DG75</f>
        <v>0</v>
      </c>
      <c r="DF75" t="s">
        <v>1304</v>
      </c>
      <c r="DG75">
        <f>_xlfn.XLOOKUP(DF75,'KPI Impacts'!$B$2:$H$2,'KPI Impacts'!$B75:$H75)</f>
        <v>0</v>
      </c>
      <c r="DJ75" s="12">
        <f>DJ$5*DU75</f>
        <v>0</v>
      </c>
      <c r="DK75" s="12">
        <f>DK$5*DU75</f>
        <v>0</v>
      </c>
      <c r="DL75" s="12">
        <f>DL$5*DU75</f>
        <v>0</v>
      </c>
      <c r="DM75" s="12">
        <f>DM$5*DU75</f>
        <v>0</v>
      </c>
      <c r="DN75" s="12">
        <f>DN$5*DU75</f>
        <v>0</v>
      </c>
      <c r="DO75" s="12">
        <f>DO$5*DU75</f>
        <v>0</v>
      </c>
      <c r="DP75" s="12">
        <f>DP$5*DU75</f>
        <v>0</v>
      </c>
      <c r="DQ75" s="12">
        <f>DQ$5*DU75</f>
        <v>0</v>
      </c>
      <c r="DR75" s="12">
        <f>DR$5*DU75</f>
        <v>0</v>
      </c>
      <c r="DT75" t="s">
        <v>1304</v>
      </c>
      <c r="DU75">
        <f>_xlfn.XLOOKUP(DT75,'KPI Impacts'!$B$2:$H$2,'KPI Impacts'!$B75:$H75)</f>
        <v>0</v>
      </c>
      <c r="DX75" s="12"/>
      <c r="DY75" s="12"/>
      <c r="DZ75" s="12"/>
      <c r="EA75" s="12"/>
      <c r="EB75" s="12"/>
      <c r="EC75" s="12"/>
      <c r="ED75" s="12"/>
      <c r="EE75" s="12"/>
      <c r="EF75" s="12"/>
    </row>
    <row r="76" spans="1:136" x14ac:dyDescent="0.2">
      <c r="A76" t="s">
        <v>1312</v>
      </c>
      <c r="B76" s="12">
        <f>P76+AD76+BF76+BT76+CH76+CV76+DJ76</f>
        <v>0</v>
      </c>
      <c r="C76" s="12">
        <f t="shared" si="147"/>
        <v>0</v>
      </c>
      <c r="D76" s="12">
        <f t="shared" si="147"/>
        <v>0</v>
      </c>
      <c r="E76" s="12">
        <f t="shared" si="147"/>
        <v>0</v>
      </c>
      <c r="F76" s="12">
        <f t="shared" si="147"/>
        <v>0</v>
      </c>
      <c r="G76" s="12">
        <f t="shared" si="147"/>
        <v>0</v>
      </c>
      <c r="H76" s="12">
        <f t="shared" si="147"/>
        <v>0</v>
      </c>
      <c r="I76" s="12">
        <f t="shared" si="147"/>
        <v>0</v>
      </c>
      <c r="J76" s="12">
        <f t="shared" si="147"/>
        <v>0</v>
      </c>
      <c r="P76" s="12">
        <f>P$5*AA76</f>
        <v>0</v>
      </c>
      <c r="Q76" s="12">
        <f>Q$5*AA76</f>
        <v>0</v>
      </c>
      <c r="R76" s="12">
        <f>R$5*AA76</f>
        <v>0</v>
      </c>
      <c r="S76" s="12">
        <f>S$5*AA76</f>
        <v>0</v>
      </c>
      <c r="T76" s="12">
        <f>T$5*AA76</f>
        <v>0</v>
      </c>
      <c r="U76" s="12">
        <f>U$5*AA76</f>
        <v>0</v>
      </c>
      <c r="V76" s="12">
        <f>V$5*AA76</f>
        <v>0</v>
      </c>
      <c r="W76" s="12">
        <f>W$5*AA76</f>
        <v>0</v>
      </c>
      <c r="X76" s="12">
        <f>X$5*AA76</f>
        <v>0</v>
      </c>
      <c r="Z76" t="s">
        <v>1304</v>
      </c>
      <c r="AA76">
        <f>_xlfn.XLOOKUP(Z76,'KPI Impacts'!$B$2:$H$2,'KPI Impacts'!$B76:$H76)</f>
        <v>0</v>
      </c>
      <c r="AD76" s="12">
        <f>AD$5*AO76</f>
        <v>0</v>
      </c>
      <c r="AE76" s="12">
        <f>AE$5*AO76</f>
        <v>0</v>
      </c>
      <c r="AF76" s="12">
        <f>AF$5*AO76</f>
        <v>0</v>
      </c>
      <c r="AG76" s="12">
        <f>AG$5*AO76</f>
        <v>0</v>
      </c>
      <c r="AH76" s="12">
        <f>AH$5*AO76</f>
        <v>0</v>
      </c>
      <c r="AI76" s="12">
        <f>AI$5*AO76</f>
        <v>0</v>
      </c>
      <c r="AJ76" s="12">
        <f>AJ$5*AO76</f>
        <v>0</v>
      </c>
      <c r="AK76" s="12">
        <f>AK$5*AO76</f>
        <v>0</v>
      </c>
      <c r="AL76" s="12">
        <f>AL$5*AO76</f>
        <v>0</v>
      </c>
      <c r="AN76" t="s">
        <v>1304</v>
      </c>
      <c r="AO76">
        <f>_xlfn.XLOOKUP(AN76,'KPI Impacts'!$B$2:$H$2,'KPI Impacts'!$B76:$H76)</f>
        <v>0</v>
      </c>
      <c r="AR76" s="12">
        <f>AR$5*BC76</f>
        <v>0</v>
      </c>
      <c r="AS76" s="12">
        <f>AS$5*BC76</f>
        <v>0</v>
      </c>
      <c r="AT76" s="12">
        <f>AT$5*BC76</f>
        <v>0</v>
      </c>
      <c r="AU76" s="12">
        <f>AU$5*BC76</f>
        <v>0</v>
      </c>
      <c r="AV76" s="12">
        <f>AV$5*BC76</f>
        <v>0</v>
      </c>
      <c r="AW76" s="12">
        <f>AW$5*BC76</f>
        <v>0</v>
      </c>
      <c r="AX76" s="12">
        <f>AX$5*BC76</f>
        <v>0</v>
      </c>
      <c r="AY76" s="12">
        <f>AY$5*BC76</f>
        <v>0</v>
      </c>
      <c r="AZ76" s="12">
        <f>AZ$5*BC76</f>
        <v>0</v>
      </c>
      <c r="BB76" t="s">
        <v>1304</v>
      </c>
      <c r="BC76">
        <f>_xlfn.XLOOKUP(BB76,'KPI Impacts'!$B$2:$H$2,'KPI Impacts'!$B76:$H76)</f>
        <v>0</v>
      </c>
      <c r="BF76" s="12">
        <f>BF$5*BQ76</f>
        <v>0</v>
      </c>
      <c r="BG76" s="12">
        <f>BG$5*BQ76</f>
        <v>0</v>
      </c>
      <c r="BH76" s="12">
        <f>BH$5*BQ76</f>
        <v>0</v>
      </c>
      <c r="BI76" s="12">
        <f>BI$5*BQ76</f>
        <v>0</v>
      </c>
      <c r="BJ76" s="12">
        <f>BJ$5*BQ76</f>
        <v>0</v>
      </c>
      <c r="BK76" s="12">
        <f>BK$5*BQ76</f>
        <v>0</v>
      </c>
      <c r="BL76" s="12">
        <f>BL$5*BQ76</f>
        <v>0</v>
      </c>
      <c r="BM76" s="12">
        <f>BM$5*BQ76</f>
        <v>0</v>
      </c>
      <c r="BN76" s="12">
        <f>BN$5*BQ76</f>
        <v>0</v>
      </c>
      <c r="BP76" t="s">
        <v>1304</v>
      </c>
      <c r="BQ76">
        <f>_xlfn.XLOOKUP(BP76,'KPI Impacts'!$B$2:$H$2,'KPI Impacts'!$B76:$H76)</f>
        <v>0</v>
      </c>
      <c r="BT76" s="12">
        <f>BT$5*CE76</f>
        <v>0</v>
      </c>
      <c r="BU76" s="12">
        <f>BU$5*CE76</f>
        <v>0</v>
      </c>
      <c r="BV76" s="12">
        <f>BV$5*CE76</f>
        <v>0</v>
      </c>
      <c r="BW76" s="12">
        <f>BW$5*CE76</f>
        <v>0</v>
      </c>
      <c r="BX76" s="12">
        <f>BX$5*CE76</f>
        <v>0</v>
      </c>
      <c r="BY76" s="12">
        <f>BY$5*CE76</f>
        <v>0</v>
      </c>
      <c r="BZ76" s="12">
        <f>BZ$5*CE76</f>
        <v>0</v>
      </c>
      <c r="CA76" s="12">
        <f>CA$5*CE76</f>
        <v>0</v>
      </c>
      <c r="CB76" s="12">
        <f>CB$5*CE76</f>
        <v>0</v>
      </c>
      <c r="CD76" t="s">
        <v>1304</v>
      </c>
      <c r="CE76">
        <f>_xlfn.XLOOKUP(CD76,'KPI Impacts'!$B$2:$H$2,'KPI Impacts'!$B76:$H76)</f>
        <v>0</v>
      </c>
      <c r="CH76" s="12">
        <f>CH$5*CS76</f>
        <v>0</v>
      </c>
      <c r="CI76" s="12">
        <f>CI$5*CS76</f>
        <v>0</v>
      </c>
      <c r="CJ76" s="12">
        <f>CJ$5*CS76</f>
        <v>0</v>
      </c>
      <c r="CK76" s="12">
        <f>CK$5*CS76</f>
        <v>0</v>
      </c>
      <c r="CL76" s="12">
        <f>CL$5*CS76</f>
        <v>0</v>
      </c>
      <c r="CM76" s="12">
        <f>CM$5*CS76</f>
        <v>0</v>
      </c>
      <c r="CN76" s="12">
        <f>CN$5*CS76</f>
        <v>0</v>
      </c>
      <c r="CO76" s="12">
        <f>CO$5*CS76</f>
        <v>0</v>
      </c>
      <c r="CP76" s="12">
        <f>CP$5*CS76</f>
        <v>0</v>
      </c>
      <c r="CR76" t="s">
        <v>1308</v>
      </c>
      <c r="CS76">
        <f>_xlfn.XLOOKUP(CR76,'KPI Impacts'!$B$2:$H$2,'KPI Impacts'!$B76:$H76)</f>
        <v>50000</v>
      </c>
      <c r="CV76" s="12">
        <f>CV$5*DG76</f>
        <v>0</v>
      </c>
      <c r="CW76" s="12">
        <f>CW$5*DG76</f>
        <v>0</v>
      </c>
      <c r="CX76" s="12">
        <f>CX$5*DG76</f>
        <v>0</v>
      </c>
      <c r="CY76" s="12">
        <f>CY$5*DG76</f>
        <v>0</v>
      </c>
      <c r="CZ76" s="12">
        <f>CZ$5*DG76</f>
        <v>0</v>
      </c>
      <c r="DA76" s="12">
        <f>DA$5*DG76</f>
        <v>0</v>
      </c>
      <c r="DB76" s="12">
        <f>DB$5*DG76</f>
        <v>0</v>
      </c>
      <c r="DC76" s="12">
        <f>DC$5*DG76</f>
        <v>0</v>
      </c>
      <c r="DD76" s="12">
        <f>DD$5*DG76</f>
        <v>0</v>
      </c>
      <c r="DF76" t="s">
        <v>1304</v>
      </c>
      <c r="DG76">
        <f>_xlfn.XLOOKUP(DF76,'KPI Impacts'!$B$2:$H$2,'KPI Impacts'!$B76:$H76)</f>
        <v>0</v>
      </c>
      <c r="DJ76" s="12">
        <f>DJ$5*DU76</f>
        <v>0</v>
      </c>
      <c r="DK76" s="12">
        <f>DK$5*DU76</f>
        <v>0</v>
      </c>
      <c r="DL76" s="12">
        <f>DL$5*DU76</f>
        <v>0</v>
      </c>
      <c r="DM76" s="12">
        <f>DM$5*DU76</f>
        <v>0</v>
      </c>
      <c r="DN76" s="12">
        <f>DN$5*DU76</f>
        <v>0</v>
      </c>
      <c r="DO76" s="12">
        <f>DO$5*DU76</f>
        <v>0</v>
      </c>
      <c r="DP76" s="12">
        <f>DP$5*DU76</f>
        <v>0</v>
      </c>
      <c r="DQ76" s="12">
        <f>DQ$5*DU76</f>
        <v>0</v>
      </c>
      <c r="DR76" s="12">
        <f>DR$5*DU76</f>
        <v>0</v>
      </c>
      <c r="DT76" t="s">
        <v>1304</v>
      </c>
      <c r="DU76">
        <f>_xlfn.XLOOKUP(DT76,'KPI Impacts'!$B$2:$H$2,'KPI Impacts'!$B76:$H76)</f>
        <v>0</v>
      </c>
      <c r="DX76" s="12"/>
      <c r="DY76" s="12"/>
      <c r="DZ76" s="12"/>
      <c r="EA76" s="12"/>
      <c r="EB76" s="12"/>
      <c r="EC76" s="12"/>
      <c r="ED76" s="12"/>
      <c r="EE76" s="12"/>
      <c r="EF76" s="12"/>
    </row>
    <row r="77" spans="1:136" x14ac:dyDescent="0.2">
      <c r="A77" t="s">
        <v>54</v>
      </c>
      <c r="B77" s="19" t="s">
        <v>1319</v>
      </c>
      <c r="C77" s="19" t="s">
        <v>1319</v>
      </c>
      <c r="D77" s="19" t="s">
        <v>1319</v>
      </c>
      <c r="E77" s="19" t="s">
        <v>1319</v>
      </c>
      <c r="F77" s="19" t="s">
        <v>1319</v>
      </c>
      <c r="G77" s="19" t="s">
        <v>1319</v>
      </c>
      <c r="H77" s="19" t="s">
        <v>1319</v>
      </c>
      <c r="I77" s="19" t="s">
        <v>1319</v>
      </c>
      <c r="J77" s="19" t="s">
        <v>1319</v>
      </c>
      <c r="EA77" s="12"/>
      <c r="EB77" s="12"/>
    </row>
    <row r="78" spans="1:136" hidden="1" x14ac:dyDescent="0.2">
      <c r="EA78" s="12"/>
      <c r="EB78" s="12"/>
    </row>
    <row r="79" spans="1:136" hidden="1" x14ac:dyDescent="0.2">
      <c r="EA79" s="12"/>
      <c r="EB79" s="12"/>
    </row>
    <row r="80" spans="1:136" x14ac:dyDescent="0.2">
      <c r="EA80" s="12"/>
      <c r="EB80" s="12"/>
    </row>
    <row r="81" spans="1:136" x14ac:dyDescent="0.2">
      <c r="A81" s="5" t="s">
        <v>51</v>
      </c>
      <c r="EA81" s="12"/>
      <c r="EB81" s="12"/>
    </row>
    <row r="82" spans="1:136" x14ac:dyDescent="0.2">
      <c r="A82" s="17" t="s">
        <v>1313</v>
      </c>
      <c r="B82" s="19" t="s">
        <v>1319</v>
      </c>
      <c r="C82" s="19" t="s">
        <v>1319</v>
      </c>
      <c r="D82" s="19" t="s">
        <v>1319</v>
      </c>
      <c r="E82" s="19" t="s">
        <v>1319</v>
      </c>
      <c r="F82" s="19" t="s">
        <v>1319</v>
      </c>
      <c r="G82" s="19" t="s">
        <v>1319</v>
      </c>
      <c r="H82" s="19" t="s">
        <v>1319</v>
      </c>
      <c r="I82" s="19" t="s">
        <v>1319</v>
      </c>
      <c r="J82" s="19" t="s">
        <v>1319</v>
      </c>
      <c r="P82" s="12"/>
      <c r="Q82" s="12"/>
      <c r="R82" s="12"/>
      <c r="S82" s="12"/>
      <c r="T82" s="12"/>
      <c r="U82" s="12"/>
      <c r="V82" s="12"/>
      <c r="W82" s="12"/>
      <c r="X82" s="12"/>
      <c r="AD82" s="12"/>
      <c r="AE82" s="12"/>
      <c r="AF82" s="12"/>
      <c r="AG82" s="12"/>
      <c r="AH82" s="12"/>
      <c r="AI82" s="12"/>
      <c r="AJ82" s="12"/>
      <c r="AK82" s="12"/>
      <c r="AL82" s="12"/>
      <c r="AR82" s="12"/>
      <c r="AS82" s="12"/>
      <c r="AT82" s="12"/>
      <c r="AU82" s="12"/>
      <c r="AV82" s="12"/>
      <c r="AW82" s="12"/>
      <c r="AX82" s="12"/>
      <c r="AY82" s="12"/>
      <c r="AZ82" s="12"/>
      <c r="BF82" s="12"/>
      <c r="BG82" s="12"/>
      <c r="BH82" s="12"/>
      <c r="BI82" s="12"/>
      <c r="BJ82" s="12"/>
      <c r="BK82" s="12"/>
      <c r="BL82" s="12"/>
      <c r="BM82" s="12"/>
      <c r="BN82" s="12"/>
      <c r="BT82" s="12"/>
      <c r="BU82" s="12"/>
      <c r="BV82" s="12"/>
      <c r="BW82" s="12"/>
      <c r="BX82" s="12"/>
      <c r="BY82" s="12"/>
      <c r="BZ82" s="12"/>
      <c r="CA82" s="12"/>
      <c r="CB82" s="12"/>
      <c r="CH82" s="12"/>
      <c r="CI82" s="12"/>
      <c r="CJ82" s="12"/>
      <c r="CK82" s="12"/>
      <c r="CL82" s="12"/>
      <c r="CM82" s="12"/>
      <c r="CN82" s="12"/>
      <c r="CO82" s="12"/>
      <c r="CP82" s="12"/>
      <c r="CV82" s="12"/>
      <c r="CW82" s="12"/>
      <c r="CX82" s="12"/>
      <c r="CY82" s="12"/>
      <c r="CZ82" s="12"/>
      <c r="DA82" s="12"/>
      <c r="DB82" s="12"/>
      <c r="DC82" s="12"/>
      <c r="DD82" s="12"/>
      <c r="DJ82" s="12"/>
      <c r="DK82" s="12"/>
      <c r="DL82" s="12"/>
      <c r="DM82" s="12"/>
      <c r="DN82" s="12"/>
      <c r="DO82" s="12"/>
      <c r="DP82" s="12"/>
      <c r="DQ82" s="12"/>
      <c r="DR82" s="12"/>
      <c r="DX82" s="12"/>
      <c r="DY82" s="12"/>
      <c r="DZ82" s="12"/>
      <c r="EA82" s="12"/>
      <c r="EB82" s="12"/>
      <c r="EC82" s="12"/>
      <c r="ED82" s="12"/>
      <c r="EE82" s="12"/>
      <c r="EF82" s="12"/>
    </row>
    <row r="83" spans="1:136" x14ac:dyDescent="0.2">
      <c r="A83" s="17" t="s">
        <v>1314</v>
      </c>
      <c r="B83" s="19" t="s">
        <v>1319</v>
      </c>
      <c r="C83" s="19" t="s">
        <v>1319</v>
      </c>
      <c r="D83" s="19" t="s">
        <v>1319</v>
      </c>
      <c r="E83" s="19" t="s">
        <v>1319</v>
      </c>
      <c r="F83" s="19" t="s">
        <v>1319</v>
      </c>
      <c r="G83" s="19" t="s">
        <v>1319</v>
      </c>
      <c r="H83" s="19" t="s">
        <v>1319</v>
      </c>
      <c r="I83" s="19" t="s">
        <v>1319</v>
      </c>
      <c r="J83" s="19" t="s">
        <v>1319</v>
      </c>
      <c r="P83" s="12"/>
      <c r="Q83" s="12"/>
      <c r="R83" s="12"/>
      <c r="S83" s="12"/>
      <c r="T83" s="12"/>
      <c r="U83" s="12"/>
      <c r="V83" s="12"/>
      <c r="W83" s="12"/>
      <c r="X83" s="12"/>
      <c r="AD83" s="12"/>
      <c r="AE83" s="12"/>
      <c r="AF83" s="12"/>
      <c r="AG83" s="12"/>
      <c r="AH83" s="12"/>
      <c r="AI83" s="12"/>
      <c r="AJ83" s="12"/>
      <c r="AK83" s="12"/>
      <c r="AL83" s="12"/>
      <c r="AR83" s="12"/>
      <c r="AS83" s="12"/>
      <c r="AT83" s="12"/>
      <c r="AU83" s="12"/>
      <c r="AV83" s="12"/>
      <c r="AW83" s="12"/>
      <c r="AX83" s="12"/>
      <c r="AY83" s="12"/>
      <c r="AZ83" s="12"/>
      <c r="BF83" s="12"/>
      <c r="BG83" s="12"/>
      <c r="BH83" s="12"/>
      <c r="BI83" s="12"/>
      <c r="BJ83" s="12"/>
      <c r="BK83" s="12"/>
      <c r="BL83" s="12"/>
      <c r="BM83" s="12"/>
      <c r="BN83" s="12"/>
      <c r="BT83" s="12"/>
      <c r="BU83" s="12"/>
      <c r="BV83" s="12"/>
      <c r="BW83" s="12"/>
      <c r="BX83" s="12"/>
      <c r="BY83" s="12"/>
      <c r="BZ83" s="12"/>
      <c r="CA83" s="12"/>
      <c r="CB83" s="12"/>
      <c r="CH83" s="12"/>
      <c r="CI83" s="12"/>
      <c r="CJ83" s="12"/>
      <c r="CK83" s="12"/>
      <c r="CL83" s="12"/>
      <c r="CM83" s="12"/>
      <c r="CN83" s="12"/>
      <c r="CO83" s="12"/>
      <c r="CP83" s="12"/>
      <c r="CV83" s="12"/>
      <c r="CW83" s="12"/>
      <c r="CX83" s="12"/>
      <c r="CY83" s="12"/>
      <c r="CZ83" s="12"/>
      <c r="DA83" s="12"/>
      <c r="DB83" s="12"/>
      <c r="DC83" s="12"/>
      <c r="DD83" s="12"/>
      <c r="DJ83" s="12"/>
      <c r="DK83" s="12"/>
      <c r="DL83" s="12"/>
      <c r="DM83" s="12"/>
      <c r="DN83" s="12"/>
      <c r="DO83" s="12"/>
      <c r="DP83" s="12"/>
      <c r="DQ83" s="12"/>
      <c r="DR83" s="12"/>
      <c r="DX83" s="12"/>
      <c r="DY83" s="12"/>
      <c r="DZ83" s="12"/>
      <c r="EA83" s="12"/>
      <c r="EB83" s="12"/>
      <c r="EC83" s="12"/>
      <c r="ED83" s="12"/>
      <c r="EE83" s="12"/>
      <c r="EF83" s="12"/>
    </row>
    <row r="84" spans="1:136" x14ac:dyDescent="0.2">
      <c r="A84" s="17" t="s">
        <v>1725</v>
      </c>
      <c r="B84" s="12">
        <f>P84+AD84+AR84+BF84+BT84+CH84+CV84+DJ84</f>
        <v>0</v>
      </c>
      <c r="C84" s="12">
        <f t="shared" ref="C84:J86" si="148">Q84+AE84+AS84+BG84+BU84+CI84+CW84+DK84</f>
        <v>0</v>
      </c>
      <c r="D84" s="12">
        <f t="shared" si="148"/>
        <v>0</v>
      </c>
      <c r="E84" s="12">
        <f t="shared" si="148"/>
        <v>0</v>
      </c>
      <c r="F84" s="12">
        <f t="shared" si="148"/>
        <v>0</v>
      </c>
      <c r="G84" s="12">
        <f t="shared" si="148"/>
        <v>0</v>
      </c>
      <c r="H84" s="12">
        <f>V84+AJ84+AX84+BL84+BZ84+CN84+DB84+DP84</f>
        <v>0</v>
      </c>
      <c r="I84" s="12">
        <f t="shared" si="148"/>
        <v>0</v>
      </c>
      <c r="J84" s="12">
        <f t="shared" si="148"/>
        <v>0</v>
      </c>
      <c r="P84" s="12">
        <f>P$5*AA84</f>
        <v>0</v>
      </c>
      <c r="Q84" s="12">
        <f>Q$5*AA84</f>
        <v>0</v>
      </c>
      <c r="R84" s="12">
        <f>R$5*AA84</f>
        <v>0</v>
      </c>
      <c r="S84" s="12">
        <f>S$5*AA84</f>
        <v>0</v>
      </c>
      <c r="T84" s="12">
        <f>T$5*AA84</f>
        <v>0</v>
      </c>
      <c r="U84" s="12">
        <f>U$5*AA84</f>
        <v>0</v>
      </c>
      <c r="V84" s="12">
        <f>V$5*AA84</f>
        <v>0</v>
      </c>
      <c r="W84" s="12">
        <f>W$5*AA84</f>
        <v>0</v>
      </c>
      <c r="X84" s="12">
        <f>X$5*AA84</f>
        <v>0</v>
      </c>
      <c r="Z84" t="s">
        <v>1304</v>
      </c>
      <c r="AA84">
        <f>_xlfn.XLOOKUP(Z84,'KPI Impacts'!$B$2:$H$2,'KPI Impacts'!$B84:$H84)</f>
        <v>0</v>
      </c>
      <c r="AD84" s="12">
        <f>AD$5*AO84</f>
        <v>0</v>
      </c>
      <c r="AE84" s="12">
        <f>AE$5*AO84</f>
        <v>0</v>
      </c>
      <c r="AF84" s="12">
        <f>AF$5*AO84</f>
        <v>0</v>
      </c>
      <c r="AG84" s="12">
        <f>AG$5*AO84</f>
        <v>0</v>
      </c>
      <c r="AH84" s="12">
        <f>AH$5*AO84</f>
        <v>0</v>
      </c>
      <c r="AI84" s="12">
        <f>AI$5*AO84</f>
        <v>0</v>
      </c>
      <c r="AJ84" s="12">
        <f>AJ$5*AO84</f>
        <v>0</v>
      </c>
      <c r="AK84" s="12">
        <f>AK$5*AO84</f>
        <v>0</v>
      </c>
      <c r="AL84" s="12">
        <f>AL$5*AO84</f>
        <v>0</v>
      </c>
      <c r="AN84" t="s">
        <v>1304</v>
      </c>
      <c r="AO84">
        <f>_xlfn.XLOOKUP(AN84,'KPI Impacts'!$B$2:$H$2,'KPI Impacts'!$B84:$H84)</f>
        <v>0</v>
      </c>
      <c r="AR84" s="12">
        <f>AR$5*BC84</f>
        <v>0</v>
      </c>
      <c r="AS84" s="12">
        <f>AS$5*BC84</f>
        <v>0</v>
      </c>
      <c r="AT84" s="12">
        <f>AT$5*BC84</f>
        <v>0</v>
      </c>
      <c r="AU84" s="12">
        <f>AU$5*BC84</f>
        <v>0</v>
      </c>
      <c r="AV84" s="12">
        <f>AV$5*BC84</f>
        <v>0</v>
      </c>
      <c r="AW84" s="12">
        <f>AW$5*BC84</f>
        <v>0</v>
      </c>
      <c r="AX84" s="12">
        <f>AX$5*BC84</f>
        <v>0</v>
      </c>
      <c r="AY84" s="12">
        <f>AY$5*BC84</f>
        <v>0</v>
      </c>
      <c r="AZ84" s="12">
        <f>AZ$5*BC84</f>
        <v>0</v>
      </c>
      <c r="BB84" t="s">
        <v>1304</v>
      </c>
      <c r="BC84">
        <f>_xlfn.XLOOKUP(BB84,'KPI Impacts'!$B$2:$H$2,'KPI Impacts'!$B84:$H84)</f>
        <v>0</v>
      </c>
      <c r="BF84" s="12">
        <f>BF$5*BQ84</f>
        <v>0</v>
      </c>
      <c r="BG84" s="12">
        <f>BG$5*BQ84</f>
        <v>0</v>
      </c>
      <c r="BH84" s="12">
        <f>BH$5*BQ84</f>
        <v>0</v>
      </c>
      <c r="BI84" s="12">
        <f>BI$5*BQ84</f>
        <v>0</v>
      </c>
      <c r="BJ84" s="12">
        <f>BJ$5*BQ84</f>
        <v>0</v>
      </c>
      <c r="BK84" s="12">
        <f>BK$5*BQ84</f>
        <v>0</v>
      </c>
      <c r="BL84" s="12">
        <f>BL$5*BQ84</f>
        <v>0</v>
      </c>
      <c r="BM84" s="12">
        <f>BM$5*BQ84</f>
        <v>0</v>
      </c>
      <c r="BN84" s="12">
        <f>BN$5*BQ84</f>
        <v>0</v>
      </c>
      <c r="BP84" t="s">
        <v>1304</v>
      </c>
      <c r="BQ84">
        <f>_xlfn.XLOOKUP(BP84,'KPI Impacts'!$B$2:$H$2,'KPI Impacts'!$B84:$H84)</f>
        <v>0</v>
      </c>
      <c r="BT84" s="12">
        <f>BT$5*CE84</f>
        <v>0</v>
      </c>
      <c r="BU84" s="12">
        <f>BU$5*CE84</f>
        <v>0</v>
      </c>
      <c r="BV84" s="12">
        <f>BV$5*CE84</f>
        <v>0</v>
      </c>
      <c r="BW84" s="12">
        <f>BW$5*CE84</f>
        <v>0</v>
      </c>
      <c r="BX84" s="12">
        <f>BX$5*CE84</f>
        <v>0</v>
      </c>
      <c r="BY84" s="12">
        <f>BY$5*CE84</f>
        <v>0</v>
      </c>
      <c r="BZ84" s="12">
        <f>BZ$5*CE84</f>
        <v>0</v>
      </c>
      <c r="CA84" s="12">
        <f>CA$5*CE84</f>
        <v>0</v>
      </c>
      <c r="CB84" s="12">
        <f>CB$5*CE84</f>
        <v>0</v>
      </c>
      <c r="CD84" t="s">
        <v>1304</v>
      </c>
      <c r="CE84">
        <f>_xlfn.XLOOKUP(CD84,'KPI Impacts'!$B$2:$H$2,'KPI Impacts'!$B84:$H84)</f>
        <v>0</v>
      </c>
      <c r="CH84" s="12">
        <f>CH$5*CS84</f>
        <v>0</v>
      </c>
      <c r="CI84" s="12">
        <f>CI$5*CS84</f>
        <v>0</v>
      </c>
      <c r="CJ84" s="12">
        <f>CJ$5*CS84</f>
        <v>0</v>
      </c>
      <c r="CK84" s="12">
        <f>CK$5*CS84</f>
        <v>0</v>
      </c>
      <c r="CL84" s="12">
        <f>CL$5*CS84</f>
        <v>0</v>
      </c>
      <c r="CM84" s="12">
        <f>CM$5*CS84</f>
        <v>0</v>
      </c>
      <c r="CN84" s="12">
        <f>CN$5*CS84</f>
        <v>0</v>
      </c>
      <c r="CO84" s="12">
        <f>CO$5*CS84</f>
        <v>0</v>
      </c>
      <c r="CP84" s="12">
        <f>CP$5*CS84</f>
        <v>0</v>
      </c>
      <c r="CR84" t="s">
        <v>1305</v>
      </c>
      <c r="CS84">
        <f>_xlfn.XLOOKUP(CR84,'KPI Impacts'!$B$2:$H$2,'KPI Impacts'!$B84:$H84)</f>
        <v>-0.8</v>
      </c>
      <c r="CV84" s="12">
        <f>CV$5*DG84</f>
        <v>0</v>
      </c>
      <c r="CW84" s="12">
        <f>CW$5*DG84</f>
        <v>0</v>
      </c>
      <c r="CX84" s="12">
        <f>CX$5*DG84</f>
        <v>0</v>
      </c>
      <c r="CY84" s="12">
        <f>CY$5*DG84</f>
        <v>0</v>
      </c>
      <c r="CZ84" s="12">
        <f>CZ$5*DG84</f>
        <v>0</v>
      </c>
      <c r="DA84" s="12">
        <f>DA$5*DG84</f>
        <v>0</v>
      </c>
      <c r="DB84" s="12">
        <f>DB$5*DG84</f>
        <v>0</v>
      </c>
      <c r="DC84" s="12">
        <f>DC$5*DG84</f>
        <v>0</v>
      </c>
      <c r="DD84" s="12">
        <f>DD$5*DG84</f>
        <v>0</v>
      </c>
      <c r="DF84" t="s">
        <v>1304</v>
      </c>
      <c r="DG84">
        <f>_xlfn.XLOOKUP(DF84,'KPI Impacts'!$B$2:$H$2,'KPI Impacts'!$B84:$H84)</f>
        <v>0</v>
      </c>
      <c r="DJ84" s="12">
        <f>DJ$5*DU84</f>
        <v>0</v>
      </c>
      <c r="DK84" s="12">
        <f>DK$5*DU84</f>
        <v>0</v>
      </c>
      <c r="DL84" s="12">
        <f>DL$5*DU84</f>
        <v>0</v>
      </c>
      <c r="DM84" s="12">
        <f>DM$5*DU84</f>
        <v>0</v>
      </c>
      <c r="DN84" s="12">
        <f>DN$5*DU84</f>
        <v>0</v>
      </c>
      <c r="DO84" s="12">
        <f>DO$5*DU84</f>
        <v>0</v>
      </c>
      <c r="DP84" s="12">
        <f>DP$5*DU84</f>
        <v>0</v>
      </c>
      <c r="DQ84" s="12">
        <f>DQ$5*DU84</f>
        <v>0</v>
      </c>
      <c r="DR84" s="12">
        <f>DR$5*DU84</f>
        <v>0</v>
      </c>
      <c r="DT84" t="s">
        <v>1304</v>
      </c>
      <c r="DU84">
        <f>_xlfn.XLOOKUP(DT84,'KPI Impacts'!$B$2:$H$2,'KPI Impacts'!$B84:$H84)</f>
        <v>0</v>
      </c>
      <c r="EA84" s="12"/>
      <c r="EB84" s="12"/>
    </row>
    <row r="85" spans="1:136" x14ac:dyDescent="0.2">
      <c r="A85" s="9" t="s">
        <v>1315</v>
      </c>
      <c r="B85" s="12">
        <f>P85+AD85+AR85+BF85+BT85+CH85+CV85+DJ85</f>
        <v>0</v>
      </c>
      <c r="C85" s="12">
        <f t="shared" si="148"/>
        <v>0</v>
      </c>
      <c r="D85" s="12">
        <f t="shared" si="148"/>
        <v>0</v>
      </c>
      <c r="E85" s="12">
        <f t="shared" si="148"/>
        <v>0</v>
      </c>
      <c r="F85" s="12">
        <f t="shared" si="148"/>
        <v>0</v>
      </c>
      <c r="G85" s="12">
        <f t="shared" si="148"/>
        <v>0</v>
      </c>
      <c r="H85" s="12">
        <f t="shared" si="148"/>
        <v>0</v>
      </c>
      <c r="I85" s="12">
        <f t="shared" si="148"/>
        <v>0</v>
      </c>
      <c r="J85" s="12">
        <f t="shared" si="148"/>
        <v>0</v>
      </c>
      <c r="P85" s="12">
        <f>P$5*AA85</f>
        <v>0</v>
      </c>
      <c r="Q85" s="12">
        <f>Q$5*AA85</f>
        <v>0</v>
      </c>
      <c r="R85" s="12">
        <f>R$5*AA85</f>
        <v>0</v>
      </c>
      <c r="S85" s="12">
        <f>S$5*AA85</f>
        <v>0</v>
      </c>
      <c r="T85" s="12">
        <f>T$5*AA85</f>
        <v>0</v>
      </c>
      <c r="U85" s="12">
        <f>U$5*AA85</f>
        <v>0</v>
      </c>
      <c r="V85" s="12">
        <f>V$5*AA85</f>
        <v>0</v>
      </c>
      <c r="W85" s="12">
        <f>W$5*AA85</f>
        <v>0</v>
      </c>
      <c r="X85" s="12">
        <f>X$5*AA85</f>
        <v>0</v>
      </c>
      <c r="Z85" t="s">
        <v>1304</v>
      </c>
      <c r="AA85">
        <f>_xlfn.XLOOKUP(Z85,'KPI Impacts'!$B$2:$H$2,'KPI Impacts'!$B85:$H85)</f>
        <v>0</v>
      </c>
      <c r="AD85" s="12">
        <f>AD$5*AO85</f>
        <v>0</v>
      </c>
      <c r="AE85" s="12">
        <f>AE$5*AO85</f>
        <v>0</v>
      </c>
      <c r="AF85" s="12">
        <f>AF$5*AO85</f>
        <v>0</v>
      </c>
      <c r="AG85" s="12">
        <f>AG$5*AO85</f>
        <v>0</v>
      </c>
      <c r="AH85" s="12">
        <f>AH$5*AO85</f>
        <v>0</v>
      </c>
      <c r="AI85" s="12">
        <f>AI$5*AO85</f>
        <v>0</v>
      </c>
      <c r="AJ85" s="12">
        <f>AJ$5*AO85</f>
        <v>0</v>
      </c>
      <c r="AK85" s="12">
        <f>AK$5*AO85</f>
        <v>0</v>
      </c>
      <c r="AL85" s="12">
        <f>AL$5*AO85</f>
        <v>0</v>
      </c>
      <c r="AN85" t="s">
        <v>1304</v>
      </c>
      <c r="AO85">
        <f>_xlfn.XLOOKUP(AN85,'KPI Impacts'!$B$2:$H$2,'KPI Impacts'!$B85:$H85)</f>
        <v>0</v>
      </c>
      <c r="AR85" s="12">
        <f>AR$5*BC85</f>
        <v>0</v>
      </c>
      <c r="AS85" s="12">
        <f>AS$5*BC85</f>
        <v>0</v>
      </c>
      <c r="AT85" s="12">
        <f>AT$5*BC85</f>
        <v>0</v>
      </c>
      <c r="AU85" s="12">
        <f>AU$5*BC85</f>
        <v>0</v>
      </c>
      <c r="AV85" s="12">
        <f>AV$5*BC85</f>
        <v>0</v>
      </c>
      <c r="AW85" s="12">
        <f>AW$5*BC85</f>
        <v>0</v>
      </c>
      <c r="AX85" s="12">
        <f>AX$5*BC85</f>
        <v>0</v>
      </c>
      <c r="AY85" s="12">
        <f>AY$5*BC85</f>
        <v>0</v>
      </c>
      <c r="AZ85" s="12">
        <f>AZ$5*BC85</f>
        <v>0</v>
      </c>
      <c r="BB85" t="s">
        <v>1304</v>
      </c>
      <c r="BC85">
        <f>_xlfn.XLOOKUP(BB85,'KPI Impacts'!$B$2:$H$2,'KPI Impacts'!$B85:$H85)</f>
        <v>0</v>
      </c>
      <c r="BF85" s="12">
        <f>BF$5*BQ85</f>
        <v>0</v>
      </c>
      <c r="BG85" s="12">
        <f>BG$5*BQ85</f>
        <v>0</v>
      </c>
      <c r="BH85" s="12">
        <f>BH$5*BQ85</f>
        <v>0</v>
      </c>
      <c r="BI85" s="12">
        <f>BI$5*BQ85</f>
        <v>0</v>
      </c>
      <c r="BJ85" s="12">
        <f>BJ$5*BQ85</f>
        <v>0</v>
      </c>
      <c r="BK85" s="12">
        <f>BK$5*BQ85</f>
        <v>0</v>
      </c>
      <c r="BL85" s="12">
        <f>BL$5*BQ85</f>
        <v>0</v>
      </c>
      <c r="BM85" s="12">
        <f>BM$5*BQ85</f>
        <v>0</v>
      </c>
      <c r="BN85" s="12">
        <f>BN$5*BQ85</f>
        <v>0</v>
      </c>
      <c r="BP85" t="s">
        <v>1304</v>
      </c>
      <c r="BQ85">
        <f>_xlfn.XLOOKUP(BP85,'KPI Impacts'!$B$2:$H$2,'KPI Impacts'!$B85:$H85)</f>
        <v>0</v>
      </c>
      <c r="BT85" s="12">
        <f>BT$5*CE85</f>
        <v>0</v>
      </c>
      <c r="BU85" s="12">
        <f>BU$5*CE85</f>
        <v>0</v>
      </c>
      <c r="BV85" s="12">
        <f>BV$5*CE85</f>
        <v>0</v>
      </c>
      <c r="BW85" s="12">
        <f>BW$5*CE85</f>
        <v>0</v>
      </c>
      <c r="BX85" s="12">
        <f>BX$5*CE85</f>
        <v>0</v>
      </c>
      <c r="BY85" s="12">
        <f>BY$5*CE85</f>
        <v>0</v>
      </c>
      <c r="BZ85" s="12">
        <f>BZ$5*CE85</f>
        <v>0</v>
      </c>
      <c r="CA85" s="12">
        <f>CA$5*CE85</f>
        <v>0</v>
      </c>
      <c r="CB85" s="12">
        <f>CB$5*CE85</f>
        <v>0</v>
      </c>
      <c r="CD85" t="s">
        <v>1304</v>
      </c>
      <c r="CE85">
        <f>_xlfn.XLOOKUP(CD85,'KPI Impacts'!$B$2:$H$2,'KPI Impacts'!$B85:$H85)</f>
        <v>0</v>
      </c>
      <c r="CH85" s="12">
        <f>CH$5*CS85</f>
        <v>0</v>
      </c>
      <c r="CI85" s="12">
        <f>CI$5*CS85</f>
        <v>0</v>
      </c>
      <c r="CJ85" s="12">
        <f>CJ$5*CS85</f>
        <v>0</v>
      </c>
      <c r="CK85" s="12">
        <f>CK$5*CS85</f>
        <v>0</v>
      </c>
      <c r="CL85" s="12">
        <f>CL$5*CS85</f>
        <v>0</v>
      </c>
      <c r="CM85" s="12">
        <f>CM$5*CS85</f>
        <v>0</v>
      </c>
      <c r="CN85" s="12">
        <f>CN$5*CS85</f>
        <v>0</v>
      </c>
      <c r="CO85" s="12">
        <f>CO$5*CS85</f>
        <v>0</v>
      </c>
      <c r="CP85" s="12">
        <f>CP$5*CS85</f>
        <v>0</v>
      </c>
      <c r="CR85" t="s">
        <v>1304</v>
      </c>
      <c r="CS85">
        <f>_xlfn.XLOOKUP(CR85,'KPI Impacts'!$B$2:$H$2,'KPI Impacts'!$B85:$H85)</f>
        <v>0</v>
      </c>
      <c r="CV85" s="12">
        <f>CV$5*DG85</f>
        <v>0</v>
      </c>
      <c r="CW85" s="12">
        <f>CW$5*DG85</f>
        <v>0</v>
      </c>
      <c r="CX85" s="12">
        <f>CX$5*DG85</f>
        <v>0</v>
      </c>
      <c r="CY85" s="12">
        <f>CY$5*DG85</f>
        <v>0</v>
      </c>
      <c r="CZ85" s="12">
        <f>CZ$5*DG85</f>
        <v>0</v>
      </c>
      <c r="DA85" s="12">
        <f>DA$5*DG85</f>
        <v>0</v>
      </c>
      <c r="DB85" s="12">
        <f>DB$5*DG85</f>
        <v>0</v>
      </c>
      <c r="DC85" s="12">
        <f>DC$5*DG85</f>
        <v>0</v>
      </c>
      <c r="DD85" s="12">
        <f>DD$5*DG85</f>
        <v>0</v>
      </c>
      <c r="DF85" t="s">
        <v>1304</v>
      </c>
      <c r="DG85">
        <f>_xlfn.XLOOKUP(DF85,'KPI Impacts'!$B$2:$H$2,'KPI Impacts'!$B85:$H85)</f>
        <v>0</v>
      </c>
      <c r="DJ85" s="12">
        <f>DJ$5*DU85</f>
        <v>0</v>
      </c>
      <c r="DK85" s="12">
        <f>DK$5*DU85</f>
        <v>0</v>
      </c>
      <c r="DL85" s="12">
        <f>DL$5*DU85</f>
        <v>0</v>
      </c>
      <c r="DM85" s="12">
        <f>DM$5*DU85</f>
        <v>0</v>
      </c>
      <c r="DN85" s="12">
        <f>DN$5*DU85</f>
        <v>0</v>
      </c>
      <c r="DO85" s="12">
        <f>DO$5*DU85</f>
        <v>0</v>
      </c>
      <c r="DP85" s="12">
        <f>DP$5*DU85</f>
        <v>0</v>
      </c>
      <c r="DQ85" s="12">
        <f>DQ$5*DU85</f>
        <v>0</v>
      </c>
      <c r="DR85" s="12">
        <f>DR$5*DU85</f>
        <v>0</v>
      </c>
      <c r="DT85" t="s">
        <v>1304</v>
      </c>
      <c r="DU85">
        <f>_xlfn.XLOOKUP(DT85,'KPI Impacts'!$B$2:$H$2,'KPI Impacts'!$B85:$H85)</f>
        <v>0</v>
      </c>
      <c r="DX85" s="12"/>
      <c r="DY85" s="12"/>
      <c r="DZ85" s="12"/>
      <c r="EA85" s="12"/>
      <c r="EB85" s="12"/>
      <c r="EC85" s="12"/>
      <c r="ED85" s="12"/>
      <c r="EE85" s="12"/>
      <c r="EF85" s="12"/>
    </row>
    <row r="86" spans="1:136" x14ac:dyDescent="0.2">
      <c r="A86" s="9" t="s">
        <v>1316</v>
      </c>
      <c r="B86" s="12">
        <f>P86+AD86+AR86+BF86+BT86+CH86+CV86+DJ86</f>
        <v>0</v>
      </c>
      <c r="C86" s="12">
        <f t="shared" si="148"/>
        <v>0</v>
      </c>
      <c r="D86" s="12">
        <f t="shared" si="148"/>
        <v>0</v>
      </c>
      <c r="E86" s="12">
        <f t="shared" si="148"/>
        <v>0</v>
      </c>
      <c r="F86" s="12">
        <f t="shared" si="148"/>
        <v>0</v>
      </c>
      <c r="G86" s="12">
        <f t="shared" si="148"/>
        <v>0</v>
      </c>
      <c r="H86" s="12">
        <f t="shared" si="148"/>
        <v>0</v>
      </c>
      <c r="I86" s="12">
        <f t="shared" si="148"/>
        <v>0</v>
      </c>
      <c r="J86" s="12">
        <f t="shared" si="148"/>
        <v>0</v>
      </c>
      <c r="P86" s="12">
        <f>P$5*AA86</f>
        <v>0</v>
      </c>
      <c r="Q86" s="12">
        <f>Q$5*AA86</f>
        <v>0</v>
      </c>
      <c r="R86" s="12">
        <f>R$5*AA86</f>
        <v>0</v>
      </c>
      <c r="S86" s="12">
        <f>S$5*AA86</f>
        <v>0</v>
      </c>
      <c r="T86" s="12">
        <f>T$5*AA86</f>
        <v>0</v>
      </c>
      <c r="U86" s="12">
        <f>U$5*AA86</f>
        <v>0</v>
      </c>
      <c r="V86" s="12">
        <f>V$5*AA86</f>
        <v>0</v>
      </c>
      <c r="W86" s="12">
        <f>W$5*AA86</f>
        <v>0</v>
      </c>
      <c r="X86" s="12">
        <f>X$5*AA86</f>
        <v>0</v>
      </c>
      <c r="Z86" t="s">
        <v>1304</v>
      </c>
      <c r="AA86">
        <f>_xlfn.XLOOKUP(Z86,'KPI Impacts'!$B$2:$H$2,'KPI Impacts'!$B86:$H86)</f>
        <v>0</v>
      </c>
      <c r="AD86" s="12">
        <f>AD$5*AO86</f>
        <v>0</v>
      </c>
      <c r="AE86" s="12">
        <f>AE$5*AO86</f>
        <v>0</v>
      </c>
      <c r="AF86" s="12">
        <f>AF$5*AO86</f>
        <v>0</v>
      </c>
      <c r="AG86" s="12">
        <f>AG$5*AO86</f>
        <v>0</v>
      </c>
      <c r="AH86" s="12">
        <f>AH$5*AO86</f>
        <v>0</v>
      </c>
      <c r="AI86" s="12">
        <f>AI$5*AO86</f>
        <v>0</v>
      </c>
      <c r="AJ86" s="12">
        <f>AJ$5*AO86</f>
        <v>0</v>
      </c>
      <c r="AK86" s="12">
        <f>AK$5*AO86</f>
        <v>0</v>
      </c>
      <c r="AL86" s="12">
        <f>AL$5*AO86</f>
        <v>0</v>
      </c>
      <c r="AN86" t="s">
        <v>1304</v>
      </c>
      <c r="AO86">
        <f>_xlfn.XLOOKUP(AN86,'KPI Impacts'!$B$2:$H$2,'KPI Impacts'!$B86:$H86)</f>
        <v>0</v>
      </c>
      <c r="AR86" s="12">
        <f>AR$5*BC86</f>
        <v>0</v>
      </c>
      <c r="AS86" s="12">
        <f>AS$5*BC86</f>
        <v>0</v>
      </c>
      <c r="AT86" s="12">
        <f>AT$5*BC86</f>
        <v>0</v>
      </c>
      <c r="AU86" s="12">
        <f>AU$5*BC86</f>
        <v>0</v>
      </c>
      <c r="AV86" s="12">
        <f>AV$5*BC86</f>
        <v>0</v>
      </c>
      <c r="AW86" s="12">
        <f>AW$5*BC86</f>
        <v>0</v>
      </c>
      <c r="AX86" s="12">
        <f>AX$5*BC86</f>
        <v>0</v>
      </c>
      <c r="AY86" s="12">
        <f>AY$5*BC86</f>
        <v>0</v>
      </c>
      <c r="AZ86" s="12">
        <f>AZ$5*BC86</f>
        <v>0</v>
      </c>
      <c r="BB86" t="s">
        <v>1304</v>
      </c>
      <c r="BC86">
        <f>_xlfn.XLOOKUP(BB86,'KPI Impacts'!$B$2:$H$2,'KPI Impacts'!$B86:$H86)</f>
        <v>0</v>
      </c>
      <c r="BF86" s="12">
        <f>BF$5*BQ86</f>
        <v>0</v>
      </c>
      <c r="BG86" s="12">
        <f>BG$5*BQ86</f>
        <v>0</v>
      </c>
      <c r="BH86" s="12">
        <f>BH$5*BQ86</f>
        <v>0</v>
      </c>
      <c r="BI86" s="12">
        <f>BI$5*BQ86</f>
        <v>0</v>
      </c>
      <c r="BJ86" s="12">
        <f>BJ$5*BQ86</f>
        <v>0</v>
      </c>
      <c r="BK86" s="12">
        <f>BK$5*BQ86</f>
        <v>0</v>
      </c>
      <c r="BL86" s="12">
        <f>BL$5*BQ86</f>
        <v>0</v>
      </c>
      <c r="BM86" s="12">
        <f>BM$5*BQ86</f>
        <v>0</v>
      </c>
      <c r="BN86" s="12">
        <f>BN$5*BQ86</f>
        <v>0</v>
      </c>
      <c r="BP86" t="s">
        <v>1304</v>
      </c>
      <c r="BQ86">
        <f>_xlfn.XLOOKUP(BP86,'KPI Impacts'!$B$2:$H$2,'KPI Impacts'!$B86:$H86)</f>
        <v>0</v>
      </c>
      <c r="BT86" s="12">
        <f>BT$5*CE86</f>
        <v>0</v>
      </c>
      <c r="BU86" s="12">
        <f>BU$5*CE86</f>
        <v>0</v>
      </c>
      <c r="BV86" s="12">
        <f>BV$5*CE86</f>
        <v>0</v>
      </c>
      <c r="BW86" s="12">
        <f>BW$5*CE86</f>
        <v>0</v>
      </c>
      <c r="BX86" s="12">
        <f>BX$5*CE86</f>
        <v>0</v>
      </c>
      <c r="BY86" s="12">
        <f>BY$5*CE86</f>
        <v>0</v>
      </c>
      <c r="BZ86" s="12">
        <f>BZ$5*CE86</f>
        <v>0</v>
      </c>
      <c r="CA86" s="12">
        <f>CA$5*CE86</f>
        <v>0</v>
      </c>
      <c r="CB86" s="12">
        <f>CB$5*CE86</f>
        <v>0</v>
      </c>
      <c r="CD86" t="s">
        <v>1304</v>
      </c>
      <c r="CE86">
        <f>_xlfn.XLOOKUP(CD86,'KPI Impacts'!$B$2:$H$2,'KPI Impacts'!$B86:$H86)</f>
        <v>0</v>
      </c>
      <c r="CH86" s="12">
        <f>CH$5*CS86</f>
        <v>0</v>
      </c>
      <c r="CI86" s="12">
        <f>CI$5*CS86</f>
        <v>0</v>
      </c>
      <c r="CJ86" s="12">
        <f>CJ$5*CS86</f>
        <v>0</v>
      </c>
      <c r="CK86" s="12">
        <f>CK$5*CS86</f>
        <v>0</v>
      </c>
      <c r="CL86" s="12">
        <f>CL$5*CS86</f>
        <v>0</v>
      </c>
      <c r="CM86" s="12">
        <f>CM$5*CS86</f>
        <v>0</v>
      </c>
      <c r="CN86" s="12">
        <f>CN$5*CS86</f>
        <v>0</v>
      </c>
      <c r="CO86" s="12">
        <f>CO$5*CS86</f>
        <v>0</v>
      </c>
      <c r="CP86" s="12">
        <f>CP$5*CS86</f>
        <v>0</v>
      </c>
      <c r="CR86" t="s">
        <v>1304</v>
      </c>
      <c r="CS86">
        <f>_xlfn.XLOOKUP(CR86,'KPI Impacts'!$B$2:$H$2,'KPI Impacts'!$B86:$H86)</f>
        <v>0</v>
      </c>
      <c r="CV86" s="12">
        <f>CV$5*DG86</f>
        <v>0</v>
      </c>
      <c r="CW86" s="12">
        <f>CW$5*DG86</f>
        <v>0</v>
      </c>
      <c r="CX86" s="12">
        <f>CX$5*DG86</f>
        <v>0</v>
      </c>
      <c r="CY86" s="12">
        <f>CY$5*DG86</f>
        <v>0</v>
      </c>
      <c r="CZ86" s="12">
        <f>CZ$5*DG86</f>
        <v>0</v>
      </c>
      <c r="DA86" s="12">
        <f>DA$5*DG86</f>
        <v>0</v>
      </c>
      <c r="DB86" s="12">
        <f>DB$5*DG86</f>
        <v>0</v>
      </c>
      <c r="DC86" s="12">
        <f>DC$5*DG86</f>
        <v>0</v>
      </c>
      <c r="DD86" s="12">
        <f>DD$5*DG86</f>
        <v>0</v>
      </c>
      <c r="DF86" t="s">
        <v>1304</v>
      </c>
      <c r="DG86">
        <f>_xlfn.XLOOKUP(DF86,'KPI Impacts'!$B$2:$H$2,'KPI Impacts'!$B86:$H86)</f>
        <v>0</v>
      </c>
      <c r="DJ86" s="12">
        <f>DJ$5*DU86</f>
        <v>0</v>
      </c>
      <c r="DK86" s="12">
        <f>DK$5*DU86</f>
        <v>0</v>
      </c>
      <c r="DL86" s="12">
        <f>DL$5*DU86</f>
        <v>0</v>
      </c>
      <c r="DM86" s="12">
        <f>DM$5*DU86</f>
        <v>0</v>
      </c>
      <c r="DN86" s="12">
        <f>DN$5*DU86</f>
        <v>0</v>
      </c>
      <c r="DO86" s="12">
        <f>DO$5*DU86</f>
        <v>0</v>
      </c>
      <c r="DP86" s="12">
        <f>DP$5*DU86</f>
        <v>0</v>
      </c>
      <c r="DQ86" s="12">
        <f>DQ$5*DU86</f>
        <v>0</v>
      </c>
      <c r="DR86" s="12">
        <f>DR$5*DU86</f>
        <v>0</v>
      </c>
      <c r="DT86" t="s">
        <v>1304</v>
      </c>
      <c r="DU86">
        <f>_xlfn.XLOOKUP(DT86,'KPI Impacts'!$B$2:$H$2,'KPI Impacts'!$B86:$H86)</f>
        <v>0</v>
      </c>
      <c r="DX86" s="12"/>
      <c r="DY86" s="12"/>
      <c r="DZ86" s="12"/>
      <c r="EA86" s="12"/>
      <c r="EB86" s="12"/>
      <c r="EC86" s="12"/>
      <c r="ED86" s="12"/>
      <c r="EE86" s="12"/>
      <c r="EF86" s="12"/>
    </row>
    <row r="87" spans="1:136" x14ac:dyDescent="0.2">
      <c r="A87" s="9" t="s">
        <v>1294</v>
      </c>
      <c r="B87" s="19" t="s">
        <v>1319</v>
      </c>
      <c r="C87" s="19" t="s">
        <v>1319</v>
      </c>
      <c r="D87" s="19" t="s">
        <v>1319</v>
      </c>
      <c r="E87" s="19" t="s">
        <v>1319</v>
      </c>
      <c r="F87" s="19" t="s">
        <v>1319</v>
      </c>
      <c r="G87" s="19" t="s">
        <v>1319</v>
      </c>
      <c r="H87" s="19" t="s">
        <v>1319</v>
      </c>
      <c r="I87" s="19" t="s">
        <v>1319</v>
      </c>
      <c r="J87" s="19" t="s">
        <v>1319</v>
      </c>
      <c r="EA87" s="12"/>
      <c r="EB87" s="12"/>
    </row>
    <row r="88" spans="1:136" x14ac:dyDescent="0.2">
      <c r="A88" s="9" t="s">
        <v>1291</v>
      </c>
      <c r="B88" s="12">
        <f>P88+AD88+AR88+BF88+BT88+CH88+CV88+DJ88</f>
        <v>0</v>
      </c>
      <c r="C88" s="12">
        <f t="shared" ref="C88:J88" si="149">Q88+AE88+AS88+BG88+BU88+CI88+CW88+DK88</f>
        <v>0</v>
      </c>
      <c r="D88" s="12">
        <f t="shared" si="149"/>
        <v>0</v>
      </c>
      <c r="E88" s="12">
        <f t="shared" si="149"/>
        <v>0</v>
      </c>
      <c r="F88" s="12">
        <f t="shared" si="149"/>
        <v>0</v>
      </c>
      <c r="G88" s="12">
        <f t="shared" si="149"/>
        <v>0</v>
      </c>
      <c r="H88" s="12">
        <f t="shared" si="149"/>
        <v>0</v>
      </c>
      <c r="I88" s="12">
        <f t="shared" si="149"/>
        <v>0</v>
      </c>
      <c r="J88" s="12">
        <f t="shared" si="149"/>
        <v>0</v>
      </c>
      <c r="P88" s="12">
        <f>P$5*AA88</f>
        <v>0</v>
      </c>
      <c r="Q88" s="12">
        <f>Q$5*AA88</f>
        <v>0</v>
      </c>
      <c r="R88" s="12">
        <f>R$5*AA88</f>
        <v>0</v>
      </c>
      <c r="S88" s="12">
        <f>S$5*AA88</f>
        <v>0</v>
      </c>
      <c r="T88" s="12">
        <f>T$5*AA88</f>
        <v>0</v>
      </c>
      <c r="U88" s="12">
        <f>U$5*AA88</f>
        <v>0</v>
      </c>
      <c r="V88" s="12">
        <f>V$5*AA88</f>
        <v>0</v>
      </c>
      <c r="W88" s="12">
        <f>W$5*AA88</f>
        <v>0</v>
      </c>
      <c r="X88" s="12">
        <f>X$5*AA88</f>
        <v>0</v>
      </c>
      <c r="Z88" t="s">
        <v>1304</v>
      </c>
      <c r="AA88">
        <f>_xlfn.XLOOKUP(Z88,'KPI Impacts'!$B$2:$H$2,'KPI Impacts'!$B88:$H88)</f>
        <v>0</v>
      </c>
      <c r="AD88" s="12">
        <f>AD$5*AO88</f>
        <v>0</v>
      </c>
      <c r="AE88" s="12">
        <f>AE$5*AO88</f>
        <v>0</v>
      </c>
      <c r="AF88" s="12">
        <f>AF$5*AO88</f>
        <v>0</v>
      </c>
      <c r="AG88" s="12">
        <f>AG$5*AO88</f>
        <v>0</v>
      </c>
      <c r="AH88" s="12">
        <f>AH$5*AO88</f>
        <v>0</v>
      </c>
      <c r="AI88" s="12">
        <f>AI$5*AO88</f>
        <v>0</v>
      </c>
      <c r="AJ88" s="12">
        <f>AJ$5*AO88</f>
        <v>0</v>
      </c>
      <c r="AK88" s="12">
        <f>AK$5*AO88</f>
        <v>0</v>
      </c>
      <c r="AL88" s="12">
        <f>AL$5*AO88</f>
        <v>0</v>
      </c>
      <c r="AN88" t="s">
        <v>1307</v>
      </c>
      <c r="AO88">
        <f>_xlfn.XLOOKUP(AN88,'KPI Impacts'!$B$2:$H$2,'KPI Impacts'!$B88:$H88)</f>
        <v>-1.6</v>
      </c>
      <c r="AR88" s="12">
        <f>AR$5*BC88</f>
        <v>0</v>
      </c>
      <c r="AS88" s="12">
        <f>AS$5*BC88</f>
        <v>0</v>
      </c>
      <c r="AT88" s="12">
        <f>AT$5*BC88</f>
        <v>0</v>
      </c>
      <c r="AU88" s="12">
        <f>AU$5*BC88</f>
        <v>0</v>
      </c>
      <c r="AV88" s="12">
        <f>AV$5*BC88</f>
        <v>0</v>
      </c>
      <c r="AW88" s="12">
        <f>AW$5*BC88</f>
        <v>0</v>
      </c>
      <c r="AX88" s="12">
        <f>AX$5*BC88</f>
        <v>0</v>
      </c>
      <c r="AY88" s="12">
        <f>AY$5*BC88</f>
        <v>0</v>
      </c>
      <c r="AZ88" s="12">
        <f>AZ$5*BC88</f>
        <v>0</v>
      </c>
      <c r="BB88" t="s">
        <v>1304</v>
      </c>
      <c r="BC88">
        <f>_xlfn.XLOOKUP(BB88,'KPI Impacts'!$B$2:$H$2,'KPI Impacts'!$B88:$H88)</f>
        <v>0</v>
      </c>
      <c r="BF88" s="12">
        <f>BF$5*BQ88</f>
        <v>0</v>
      </c>
      <c r="BG88" s="12">
        <f>BG$5*BQ88</f>
        <v>0</v>
      </c>
      <c r="BH88" s="12">
        <f>BH$5*BQ88</f>
        <v>0</v>
      </c>
      <c r="BI88" s="12">
        <f>BI$5*BQ88</f>
        <v>0</v>
      </c>
      <c r="BJ88" s="12">
        <f>BJ$5*BQ88</f>
        <v>0</v>
      </c>
      <c r="BK88" s="12">
        <f>BK$5*BQ88</f>
        <v>0</v>
      </c>
      <c r="BL88" s="12">
        <f>BL$5*BQ88</f>
        <v>0</v>
      </c>
      <c r="BM88" s="12">
        <f>BM$5*BQ88</f>
        <v>0</v>
      </c>
      <c r="BN88" s="12">
        <f>BN$5*BQ88</f>
        <v>0</v>
      </c>
      <c r="BP88" t="s">
        <v>1304</v>
      </c>
      <c r="BQ88">
        <f>_xlfn.XLOOKUP(BP88,'KPI Impacts'!$B$2:$H$2,'KPI Impacts'!$B88:$H88)</f>
        <v>0</v>
      </c>
      <c r="BT88" s="12">
        <f>BT$5*CE88</f>
        <v>0</v>
      </c>
      <c r="BU88" s="12">
        <f>BU$5*CE88</f>
        <v>0</v>
      </c>
      <c r="BV88" s="12">
        <f>BV$5*CE88</f>
        <v>0</v>
      </c>
      <c r="BW88" s="12">
        <f>BW$5*CE88</f>
        <v>0</v>
      </c>
      <c r="BX88" s="12">
        <f>BX$5*CE88</f>
        <v>0</v>
      </c>
      <c r="BY88" s="12">
        <f>BY$5*CE88</f>
        <v>0</v>
      </c>
      <c r="BZ88" s="12">
        <f>BZ$5*CE88</f>
        <v>0</v>
      </c>
      <c r="CA88" s="12">
        <f>CA$5*CE88</f>
        <v>0</v>
      </c>
      <c r="CB88" s="12">
        <f>CB$5*CE88</f>
        <v>0</v>
      </c>
      <c r="CD88" t="s">
        <v>1304</v>
      </c>
      <c r="CE88">
        <f>_xlfn.XLOOKUP(CD88,'KPI Impacts'!$B$2:$H$2,'KPI Impacts'!$B88:$H88)</f>
        <v>0</v>
      </c>
      <c r="CH88" s="12">
        <f>CH$5*CS88</f>
        <v>0</v>
      </c>
      <c r="CI88" s="12">
        <f>CI$5*CS88</f>
        <v>0</v>
      </c>
      <c r="CJ88" s="12">
        <f>CJ$5*CS88</f>
        <v>0</v>
      </c>
      <c r="CK88" s="12">
        <f>CK$5*CS88</f>
        <v>0</v>
      </c>
      <c r="CL88" s="12">
        <f>CL$5*CS88</f>
        <v>0</v>
      </c>
      <c r="CM88" s="12">
        <f>CM$5*CS88</f>
        <v>0</v>
      </c>
      <c r="CN88" s="12">
        <f>CN$5*CS88</f>
        <v>0</v>
      </c>
      <c r="CO88" s="12">
        <f>CO$5*CS88</f>
        <v>0</v>
      </c>
      <c r="CP88" s="12">
        <f>CP$5*CS88</f>
        <v>0</v>
      </c>
      <c r="CR88" t="s">
        <v>1304</v>
      </c>
      <c r="CS88">
        <f>_xlfn.XLOOKUP(CR88,'KPI Impacts'!$B$2:$H$2,'KPI Impacts'!$B88:$H88)</f>
        <v>0</v>
      </c>
      <c r="CV88" s="12">
        <f>CV$5*DG88</f>
        <v>0</v>
      </c>
      <c r="CW88" s="12">
        <f>CW$5*DG88</f>
        <v>0</v>
      </c>
      <c r="CX88" s="12">
        <f>CX$5*DG88</f>
        <v>0</v>
      </c>
      <c r="CY88" s="12">
        <f>CY$5*DG88</f>
        <v>0</v>
      </c>
      <c r="CZ88" s="12">
        <f>CZ$5*DG88</f>
        <v>0</v>
      </c>
      <c r="DA88" s="12">
        <f>DA$5*DG88</f>
        <v>0</v>
      </c>
      <c r="DB88" s="12">
        <f>DB$5*DG88</f>
        <v>0</v>
      </c>
      <c r="DC88" s="12">
        <f>DC$5*DG88</f>
        <v>0</v>
      </c>
      <c r="DD88" s="12">
        <f>DD$5*DG88</f>
        <v>0</v>
      </c>
      <c r="DF88" t="s">
        <v>1304</v>
      </c>
      <c r="DG88">
        <f>_xlfn.XLOOKUP(DF88,'KPI Impacts'!$B$2:$H$2,'KPI Impacts'!$B88:$H88)</f>
        <v>0</v>
      </c>
      <c r="DJ88" s="12">
        <f>DJ$5*DU88</f>
        <v>0</v>
      </c>
      <c r="DK88" s="12">
        <f>DK$5*DU88</f>
        <v>0</v>
      </c>
      <c r="DL88" s="12">
        <f>DL$5*DU88</f>
        <v>0</v>
      </c>
      <c r="DM88" s="12">
        <f>DM$5*DU88</f>
        <v>0</v>
      </c>
      <c r="DN88" s="12">
        <f>DN$5*DU88</f>
        <v>0</v>
      </c>
      <c r="DO88" s="12">
        <f>DO$5*DU88</f>
        <v>0</v>
      </c>
      <c r="DP88" s="12">
        <f>DP$5*DU88</f>
        <v>0</v>
      </c>
      <c r="DQ88" s="12">
        <f>DQ$5*DU88</f>
        <v>0</v>
      </c>
      <c r="DR88" s="12">
        <f>DR$5*DU88</f>
        <v>0</v>
      </c>
      <c r="DT88" t="s">
        <v>1304</v>
      </c>
      <c r="DU88">
        <f>_xlfn.XLOOKUP(DT88,'KPI Impacts'!$B$2:$H$2,'KPI Impacts'!$B88:$H88)</f>
        <v>0</v>
      </c>
      <c r="DX88" s="12"/>
      <c r="DY88" s="12"/>
      <c r="DZ88" s="12"/>
      <c r="EA88" s="12"/>
      <c r="EB88" s="12"/>
      <c r="EC88" s="12"/>
      <c r="ED88" s="12"/>
      <c r="EE88" s="12"/>
      <c r="EF88" s="12"/>
    </row>
    <row r="89" spans="1:136" hidden="1" x14ac:dyDescent="0.2">
      <c r="Z89" t="s">
        <v>1304</v>
      </c>
      <c r="AA89">
        <v>1</v>
      </c>
      <c r="AN89" t="s">
        <v>1304</v>
      </c>
      <c r="AO89">
        <v>1</v>
      </c>
      <c r="BB89" t="s">
        <v>1304</v>
      </c>
      <c r="BC89">
        <v>1</v>
      </c>
      <c r="BP89" t="s">
        <v>1304</v>
      </c>
      <c r="BQ89">
        <v>1</v>
      </c>
      <c r="CD89" t="s">
        <v>1304</v>
      </c>
      <c r="CE89">
        <v>1</v>
      </c>
      <c r="CR89" t="s">
        <v>1304</v>
      </c>
      <c r="CS89">
        <v>1</v>
      </c>
      <c r="DF89" t="s">
        <v>1304</v>
      </c>
      <c r="DG89">
        <v>1</v>
      </c>
      <c r="DT89" t="s">
        <v>1304</v>
      </c>
      <c r="DU89">
        <v>1</v>
      </c>
      <c r="EA89" s="12"/>
      <c r="EB89" s="12"/>
    </row>
    <row r="90" spans="1:136" hidden="1" x14ac:dyDescent="0.2">
      <c r="Z90" t="s">
        <v>1304</v>
      </c>
      <c r="AA90">
        <v>1</v>
      </c>
      <c r="AN90" t="s">
        <v>1304</v>
      </c>
      <c r="AO90">
        <v>1</v>
      </c>
      <c r="BB90" t="s">
        <v>1304</v>
      </c>
      <c r="BC90">
        <v>1</v>
      </c>
      <c r="BP90" t="s">
        <v>1304</v>
      </c>
      <c r="BQ90">
        <v>1</v>
      </c>
      <c r="CD90" t="s">
        <v>1304</v>
      </c>
      <c r="CE90">
        <v>1</v>
      </c>
      <c r="CR90" t="s">
        <v>1304</v>
      </c>
      <c r="CS90">
        <v>1</v>
      </c>
      <c r="DF90" t="s">
        <v>1304</v>
      </c>
      <c r="DG90">
        <v>1</v>
      </c>
      <c r="DT90" t="s">
        <v>1304</v>
      </c>
      <c r="DU90">
        <v>1</v>
      </c>
      <c r="EA90" s="12"/>
      <c r="EB90" s="12"/>
    </row>
    <row r="91" spans="1:136" x14ac:dyDescent="0.2">
      <c r="EA91" s="12"/>
      <c r="EB91" s="12"/>
    </row>
    <row r="92" spans="1:136" x14ac:dyDescent="0.2">
      <c r="A92" s="5" t="s">
        <v>52</v>
      </c>
      <c r="EA92" s="12"/>
      <c r="EB92" s="12"/>
    </row>
    <row r="93" spans="1:136" x14ac:dyDescent="0.2">
      <c r="A93" t="s">
        <v>56</v>
      </c>
      <c r="B93" s="12">
        <f>P93+AD93+AR93+BF93+BT93+CH93+CV93+DJ93</f>
        <v>0</v>
      </c>
      <c r="C93" s="12">
        <f t="shared" ref="C93:J96" si="150">Q93+AE93+AS93+BG93+BU93+CI93+CW93+DK93</f>
        <v>0</v>
      </c>
      <c r="D93" s="12">
        <f t="shared" si="150"/>
        <v>0</v>
      </c>
      <c r="E93" s="12">
        <f t="shared" si="150"/>
        <v>0</v>
      </c>
      <c r="F93" s="12">
        <f t="shared" si="150"/>
        <v>0</v>
      </c>
      <c r="G93" s="12">
        <f t="shared" si="150"/>
        <v>0</v>
      </c>
      <c r="H93" s="12">
        <f t="shared" si="150"/>
        <v>0</v>
      </c>
      <c r="I93" s="12">
        <f t="shared" si="150"/>
        <v>0</v>
      </c>
      <c r="J93" s="12">
        <f t="shared" si="150"/>
        <v>0</v>
      </c>
      <c r="P93" s="12">
        <f>P$5*AA93</f>
        <v>0</v>
      </c>
      <c r="Q93" s="12">
        <f>Q$5*AA93</f>
        <v>0</v>
      </c>
      <c r="R93" s="12">
        <f>R$5*AA93</f>
        <v>0</v>
      </c>
      <c r="S93" s="12">
        <f>S$5*AA93</f>
        <v>0</v>
      </c>
      <c r="T93" s="12">
        <f>T$5*AA93</f>
        <v>0</v>
      </c>
      <c r="U93" s="12">
        <f>U$5*AA93</f>
        <v>0</v>
      </c>
      <c r="V93" s="12">
        <f>V$5*AA93</f>
        <v>0</v>
      </c>
      <c r="W93" s="12">
        <f>W$5*AA93</f>
        <v>0</v>
      </c>
      <c r="X93" s="12">
        <f>X$5*AA93</f>
        <v>0</v>
      </c>
      <c r="Z93" t="s">
        <v>1304</v>
      </c>
      <c r="AA93">
        <f>_xlfn.XLOOKUP(Z93,'KPI Impacts'!$B$2:$H$2,'KPI Impacts'!$B93:$H93)</f>
        <v>0</v>
      </c>
      <c r="AD93" s="12">
        <f>AD$5*AO93</f>
        <v>0</v>
      </c>
      <c r="AE93" s="12">
        <f>AE$5*AO93</f>
        <v>0</v>
      </c>
      <c r="AF93" s="12">
        <f>AF$5*AO93</f>
        <v>0</v>
      </c>
      <c r="AG93" s="12">
        <f>AG$5*AO93</f>
        <v>0</v>
      </c>
      <c r="AH93" s="12">
        <f>AH$5*AO93</f>
        <v>0</v>
      </c>
      <c r="AI93" s="12">
        <f>AI$5*AO93</f>
        <v>0</v>
      </c>
      <c r="AJ93" s="12">
        <f>AJ$5*AO93</f>
        <v>0</v>
      </c>
      <c r="AK93" s="12">
        <f>AK$5*AO93</f>
        <v>0</v>
      </c>
      <c r="AL93" s="12">
        <f>AL$5*AO93</f>
        <v>0</v>
      </c>
      <c r="AN93" t="s">
        <v>1305</v>
      </c>
      <c r="AO93">
        <f>_xlfn.XLOOKUP(AN93,'KPI Impacts'!$B$2:$H$2,'KPI Impacts'!$B93:$H93)</f>
        <v>-0.8</v>
      </c>
      <c r="AR93" s="12">
        <f>AR$5*BC93</f>
        <v>0</v>
      </c>
      <c r="AS93" s="12">
        <f>AS$5*BC93</f>
        <v>0</v>
      </c>
      <c r="AT93" s="12">
        <f>AT$5*BC93</f>
        <v>0</v>
      </c>
      <c r="AU93" s="12">
        <f>AU$5*BC93</f>
        <v>0</v>
      </c>
      <c r="AV93" s="12">
        <f>AV$5*BC93</f>
        <v>0</v>
      </c>
      <c r="AW93" s="12">
        <f>AW$5*BC93</f>
        <v>0</v>
      </c>
      <c r="AX93" s="12">
        <f>AX$5*BC93</f>
        <v>0</v>
      </c>
      <c r="AY93" s="12">
        <f>AY$5*BC93</f>
        <v>0</v>
      </c>
      <c r="AZ93" s="12">
        <f>AZ$5*BC93</f>
        <v>0</v>
      </c>
      <c r="BB93" t="s">
        <v>1304</v>
      </c>
      <c r="BC93">
        <f>_xlfn.XLOOKUP(BB93,'KPI Impacts'!$B$2:$H$2,'KPI Impacts'!$B93:$H93)</f>
        <v>0</v>
      </c>
      <c r="BF93" s="12">
        <f>BF$5*BQ93</f>
        <v>0</v>
      </c>
      <c r="BG93" s="12">
        <f>BG$5*BQ93</f>
        <v>0</v>
      </c>
      <c r="BH93" s="12">
        <f>BH$5*BQ93</f>
        <v>0</v>
      </c>
      <c r="BI93" s="12">
        <f>BI$5*BQ93</f>
        <v>0</v>
      </c>
      <c r="BJ93" s="12">
        <f>BJ$5*BQ93</f>
        <v>0</v>
      </c>
      <c r="BK93" s="12">
        <f>BK$5*BQ93</f>
        <v>0</v>
      </c>
      <c r="BL93" s="12">
        <f>BL$5*BQ93</f>
        <v>0</v>
      </c>
      <c r="BM93" s="12">
        <f>BM$5*BQ93</f>
        <v>0</v>
      </c>
      <c r="BN93" s="12">
        <f>BN$5*BQ93</f>
        <v>0</v>
      </c>
      <c r="BP93" t="s">
        <v>1307</v>
      </c>
      <c r="BQ93">
        <f>_xlfn.XLOOKUP(BP93,'KPI Impacts'!$B$2:$H$2,'KPI Impacts'!$B93:$H93)</f>
        <v>-1.2000000000000002</v>
      </c>
      <c r="BT93" s="12">
        <f>BT$5*CE93</f>
        <v>0</v>
      </c>
      <c r="BU93" s="12">
        <f>BU$5*CE93</f>
        <v>0</v>
      </c>
      <c r="BV93" s="12">
        <f>BV$5*CE93</f>
        <v>0</v>
      </c>
      <c r="BW93" s="12">
        <f>BW$5*CE93</f>
        <v>0</v>
      </c>
      <c r="BX93" s="12">
        <f>BX$5*CE93</f>
        <v>0</v>
      </c>
      <c r="BY93" s="12">
        <f>BY$5*CE93</f>
        <v>0</v>
      </c>
      <c r="BZ93" s="12">
        <f>BZ$5*CE93</f>
        <v>0</v>
      </c>
      <c r="CA93" s="12">
        <f>CA$5*CE93</f>
        <v>0</v>
      </c>
      <c r="CB93" s="12">
        <f>CB$5*CE93</f>
        <v>0</v>
      </c>
      <c r="CD93" t="s">
        <v>1305</v>
      </c>
      <c r="CE93">
        <f>_xlfn.XLOOKUP(CD93,'KPI Impacts'!$B$2:$H$2,'KPI Impacts'!$B93:$H93)</f>
        <v>-0.8</v>
      </c>
      <c r="CH93" s="12">
        <f>CH$5*CS93</f>
        <v>0</v>
      </c>
      <c r="CI93" s="12">
        <f>CI$5*CS93</f>
        <v>0</v>
      </c>
      <c r="CJ93" s="12">
        <f>CJ$5*CS93</f>
        <v>0</v>
      </c>
      <c r="CK93" s="12">
        <f>CK$5*CS93</f>
        <v>0</v>
      </c>
      <c r="CL93" s="12">
        <f>CL$5*CS93</f>
        <v>0</v>
      </c>
      <c r="CM93" s="12">
        <f>CM$5*CS93</f>
        <v>0</v>
      </c>
      <c r="CN93" s="12">
        <f>CN$5*CS93</f>
        <v>0</v>
      </c>
      <c r="CO93" s="12">
        <f>CO$5*CS93</f>
        <v>0</v>
      </c>
      <c r="CP93" s="12">
        <f>CP$5*CS93</f>
        <v>0</v>
      </c>
      <c r="CR93" t="s">
        <v>1305</v>
      </c>
      <c r="CS93">
        <f>_xlfn.XLOOKUP(CR93,'KPI Impacts'!$B$2:$H$2,'KPI Impacts'!$B93:$H93)</f>
        <v>-0.8</v>
      </c>
      <c r="CV93" s="12">
        <f>CV$5*DG93</f>
        <v>0</v>
      </c>
      <c r="CW93" s="12">
        <f>CW$5*DG93</f>
        <v>0</v>
      </c>
      <c r="CX93" s="12">
        <f>CX$5*DG93</f>
        <v>0</v>
      </c>
      <c r="CY93" s="12">
        <f>CY$5*DG93</f>
        <v>0</v>
      </c>
      <c r="CZ93" s="12">
        <f>CZ$5*DG93</f>
        <v>0</v>
      </c>
      <c r="DA93" s="12">
        <f>DA$5*DG93</f>
        <v>0</v>
      </c>
      <c r="DB93" s="12">
        <f>DB$5*DG93</f>
        <v>0</v>
      </c>
      <c r="DC93" s="12">
        <f>DC$5*DG93</f>
        <v>0</v>
      </c>
      <c r="DD93" s="12">
        <f>DD$5*DG93</f>
        <v>0</v>
      </c>
      <c r="DF93" t="s">
        <v>1304</v>
      </c>
      <c r="DG93">
        <f>_xlfn.XLOOKUP(DF93,'KPI Impacts'!$B$2:$H$2,'KPI Impacts'!$B93:$H93)</f>
        <v>0</v>
      </c>
      <c r="DJ93" s="12">
        <f>DJ$5*DU93</f>
        <v>0</v>
      </c>
      <c r="DK93" s="12">
        <f>DK$5*DU93</f>
        <v>0</v>
      </c>
      <c r="DL93" s="12">
        <f>DL$5*DU93</f>
        <v>0</v>
      </c>
      <c r="DM93" s="12">
        <f>DM$5*DU93</f>
        <v>0</v>
      </c>
      <c r="DN93" s="12">
        <f>DN$5*DU93</f>
        <v>0</v>
      </c>
      <c r="DO93" s="12">
        <f>DO$5*DU93</f>
        <v>0</v>
      </c>
      <c r="DP93" s="12">
        <f>DP$5*DU93</f>
        <v>0</v>
      </c>
      <c r="DQ93" s="12">
        <f>DQ$5*DU93</f>
        <v>0</v>
      </c>
      <c r="DR93" s="12">
        <f>DR$5*DU93</f>
        <v>0</v>
      </c>
      <c r="DT93" t="s">
        <v>1304</v>
      </c>
      <c r="DU93">
        <f>_xlfn.XLOOKUP(DT93,'KPI Impacts'!$B$2:$H$2,'KPI Impacts'!$B93:$H93)</f>
        <v>0</v>
      </c>
      <c r="DX93" s="12"/>
      <c r="DY93" s="12"/>
      <c r="DZ93" s="12"/>
      <c r="EA93" s="12"/>
      <c r="EB93" s="12"/>
      <c r="EC93" s="12"/>
      <c r="ED93" s="12"/>
      <c r="EE93" s="12"/>
      <c r="EF93" s="12"/>
    </row>
    <row r="94" spans="1:136" x14ac:dyDescent="0.2">
      <c r="A94" s="9" t="s">
        <v>1727</v>
      </c>
      <c r="B94" s="12">
        <f>P94+AD94+AR94+BF94+BT94+CH94+CV94+DJ94</f>
        <v>0</v>
      </c>
      <c r="C94" s="12">
        <f t="shared" si="150"/>
        <v>0</v>
      </c>
      <c r="D94" s="12">
        <f t="shared" si="150"/>
        <v>0</v>
      </c>
      <c r="E94" s="12">
        <f t="shared" si="150"/>
        <v>0</v>
      </c>
      <c r="F94" s="12">
        <f t="shared" si="150"/>
        <v>0</v>
      </c>
      <c r="G94" s="12">
        <f t="shared" si="150"/>
        <v>0</v>
      </c>
      <c r="H94" s="12">
        <f t="shared" si="150"/>
        <v>0</v>
      </c>
      <c r="I94" s="12">
        <f t="shared" si="150"/>
        <v>0</v>
      </c>
      <c r="J94" s="12">
        <f t="shared" si="150"/>
        <v>0</v>
      </c>
      <c r="P94" s="12">
        <f>P$5*AA94</f>
        <v>0</v>
      </c>
      <c r="Q94" s="12">
        <f>Q$5*AA94</f>
        <v>0</v>
      </c>
      <c r="R94" s="12">
        <f>R$5*AA94</f>
        <v>0</v>
      </c>
      <c r="S94" s="12">
        <f>S$5*AA94</f>
        <v>0</v>
      </c>
      <c r="T94" s="12">
        <f>T$5*AA94</f>
        <v>0</v>
      </c>
      <c r="U94" s="12">
        <f>U$5*AA94</f>
        <v>0</v>
      </c>
      <c r="V94" s="12">
        <f>V$5*AA94</f>
        <v>0</v>
      </c>
      <c r="W94" s="12">
        <f>W$5*AA94</f>
        <v>0</v>
      </c>
      <c r="X94" s="12">
        <f>X$5*AA94</f>
        <v>0</v>
      </c>
      <c r="Z94" t="s">
        <v>1304</v>
      </c>
      <c r="AA94">
        <f>_xlfn.XLOOKUP(Z94,'KPI Impacts'!$B$2:$H$2,'KPI Impacts'!$B94:$H94)</f>
        <v>0</v>
      </c>
      <c r="AD94" s="12">
        <f>AD$5*AO94</f>
        <v>0</v>
      </c>
      <c r="AE94" s="12">
        <f>AE$5*AO94</f>
        <v>0</v>
      </c>
      <c r="AF94" s="12">
        <f>AF$5*AO94</f>
        <v>0</v>
      </c>
      <c r="AG94" s="12">
        <f>AG$5*AO94</f>
        <v>0</v>
      </c>
      <c r="AH94" s="12">
        <f>AH$5*AO94</f>
        <v>0</v>
      </c>
      <c r="AI94" s="12">
        <f>AI$5*AO94</f>
        <v>0</v>
      </c>
      <c r="AJ94" s="12">
        <f>AJ$5*AO94</f>
        <v>0</v>
      </c>
      <c r="AK94" s="12">
        <f>AK$5*AO94</f>
        <v>0</v>
      </c>
      <c r="AL94" s="12">
        <f>AL$5*AO94</f>
        <v>0</v>
      </c>
      <c r="AN94" t="s">
        <v>1307</v>
      </c>
      <c r="AO94">
        <f>_xlfn.XLOOKUP(AN94,'KPI Impacts'!$B$2:$H$2,'KPI Impacts'!$B94:$H94)</f>
        <v>-1.2000000000000002</v>
      </c>
      <c r="AR94" s="12">
        <f>AR$5*BC94</f>
        <v>0</v>
      </c>
      <c r="AS94" s="12">
        <f>AS$5*BC94</f>
        <v>0</v>
      </c>
      <c r="AT94" s="12">
        <f>AT$5*BC94</f>
        <v>0</v>
      </c>
      <c r="AU94" s="12">
        <f>AU$5*BC94</f>
        <v>0</v>
      </c>
      <c r="AV94" s="12">
        <f>AV$5*BC94</f>
        <v>0</v>
      </c>
      <c r="AW94" s="12">
        <f>AW$5*BC94</f>
        <v>0</v>
      </c>
      <c r="AX94" s="12">
        <f>AX$5*BC94</f>
        <v>0</v>
      </c>
      <c r="AY94" s="12">
        <f>AY$5*BC94</f>
        <v>0</v>
      </c>
      <c r="AZ94" s="12">
        <f>AZ$5*BC94</f>
        <v>0</v>
      </c>
      <c r="BB94" t="s">
        <v>1306</v>
      </c>
      <c r="BC94">
        <f>_xlfn.XLOOKUP(BB94,'KPI Impacts'!$B$2:$H$2,'KPI Impacts'!$B94:$H94)</f>
        <v>-2</v>
      </c>
      <c r="BF94" s="12">
        <f>BF$5*BQ94</f>
        <v>0</v>
      </c>
      <c r="BG94" s="12">
        <f>BG$5*BQ94</f>
        <v>0</v>
      </c>
      <c r="BH94" s="12">
        <f>BH$5*BQ94</f>
        <v>0</v>
      </c>
      <c r="BI94" s="12">
        <f>BI$5*BQ94</f>
        <v>0</v>
      </c>
      <c r="BJ94" s="12">
        <f>BJ$5*BQ94</f>
        <v>0</v>
      </c>
      <c r="BK94" s="12">
        <f>BK$5*BQ94</f>
        <v>0</v>
      </c>
      <c r="BL94" s="12">
        <f>BL$5*BQ94</f>
        <v>0</v>
      </c>
      <c r="BM94" s="12">
        <f>BM$5*BQ94</f>
        <v>0</v>
      </c>
      <c r="BN94" s="12">
        <f>BN$5*BQ94</f>
        <v>0</v>
      </c>
      <c r="BP94" t="s">
        <v>1304</v>
      </c>
      <c r="BQ94">
        <f>_xlfn.XLOOKUP(BP94,'KPI Impacts'!$B$2:$H$2,'KPI Impacts'!$B94:$H94)</f>
        <v>0</v>
      </c>
      <c r="BT94" s="12">
        <f>BT$5*CE94</f>
        <v>0</v>
      </c>
      <c r="BU94" s="12">
        <f>BU$5*CE94</f>
        <v>0</v>
      </c>
      <c r="BV94" s="12">
        <f>BV$5*CE94</f>
        <v>0</v>
      </c>
      <c r="BW94" s="12">
        <f>BW$5*CE94</f>
        <v>0</v>
      </c>
      <c r="BX94" s="12">
        <f>BX$5*CE94</f>
        <v>0</v>
      </c>
      <c r="BY94" s="12">
        <f>BY$5*CE94</f>
        <v>0</v>
      </c>
      <c r="BZ94" s="12">
        <f>BZ$5*CE94</f>
        <v>0</v>
      </c>
      <c r="CA94" s="12">
        <f>CA$5*CE94</f>
        <v>0</v>
      </c>
      <c r="CB94" s="12">
        <f>CB$5*CE94</f>
        <v>0</v>
      </c>
      <c r="CD94" t="s">
        <v>1304</v>
      </c>
      <c r="CE94">
        <f>_xlfn.XLOOKUP(CD94,'KPI Impacts'!$B$2:$H$2,'KPI Impacts'!$B94:$H94)</f>
        <v>0</v>
      </c>
      <c r="CH94" s="12">
        <f>CH$5*CS94</f>
        <v>0</v>
      </c>
      <c r="CI94" s="12">
        <f>CI$5*CS94</f>
        <v>0</v>
      </c>
      <c r="CJ94" s="12">
        <f>CJ$5*CS94</f>
        <v>0</v>
      </c>
      <c r="CK94" s="12">
        <f>CK$5*CS94</f>
        <v>0</v>
      </c>
      <c r="CL94" s="12">
        <f>CL$5*CS94</f>
        <v>0</v>
      </c>
      <c r="CM94" s="12">
        <f>CM$5*CS94</f>
        <v>0</v>
      </c>
      <c r="CN94" s="12">
        <f>CN$5*CS94</f>
        <v>0</v>
      </c>
      <c r="CO94" s="12">
        <f>CO$5*CS94</f>
        <v>0</v>
      </c>
      <c r="CP94" s="12">
        <f>CP$5*CS94</f>
        <v>0</v>
      </c>
      <c r="CR94" t="s">
        <v>1304</v>
      </c>
      <c r="CS94">
        <f>_xlfn.XLOOKUP(CR94,'KPI Impacts'!$B$2:$H$2,'KPI Impacts'!$B94:$H94)</f>
        <v>0</v>
      </c>
      <c r="CV94" s="12">
        <f>CV$5*DG94</f>
        <v>0</v>
      </c>
      <c r="CW94" s="12">
        <f>CW$5*DG94</f>
        <v>0</v>
      </c>
      <c r="CX94" s="12">
        <f>CX$5*DG94</f>
        <v>0</v>
      </c>
      <c r="CY94" s="12">
        <f>CY$5*DG94</f>
        <v>0</v>
      </c>
      <c r="CZ94" s="12">
        <f>CZ$5*DG94</f>
        <v>0</v>
      </c>
      <c r="DA94" s="12">
        <f>DA$5*DG94</f>
        <v>0</v>
      </c>
      <c r="DB94" s="12">
        <f>DB$5*DG94</f>
        <v>0</v>
      </c>
      <c r="DC94" s="12">
        <f>DC$5*DG94</f>
        <v>0</v>
      </c>
      <c r="DD94" s="12">
        <f>DD$5*DG94</f>
        <v>0</v>
      </c>
      <c r="DF94" t="s">
        <v>1304</v>
      </c>
      <c r="DG94">
        <f>_xlfn.XLOOKUP(DF94,'KPI Impacts'!$B$2:$H$2,'KPI Impacts'!$B94:$H94)</f>
        <v>0</v>
      </c>
      <c r="DJ94" s="12">
        <f>DJ$5*DU94</f>
        <v>0</v>
      </c>
      <c r="DK94" s="12">
        <f>DK$5*DU94</f>
        <v>0</v>
      </c>
      <c r="DL94" s="12">
        <f>DL$5*DU94</f>
        <v>0</v>
      </c>
      <c r="DM94" s="12">
        <f>DM$5*DU94</f>
        <v>0</v>
      </c>
      <c r="DN94" s="12">
        <f>DN$5*DU94</f>
        <v>0</v>
      </c>
      <c r="DO94" s="12">
        <f>DO$5*DU94</f>
        <v>0</v>
      </c>
      <c r="DP94" s="12">
        <f>DP$5*DU94</f>
        <v>0</v>
      </c>
      <c r="DQ94" s="12">
        <f>DQ$5*DU94</f>
        <v>0</v>
      </c>
      <c r="DR94" s="12">
        <f>DR$5*DU94</f>
        <v>0</v>
      </c>
      <c r="DT94" t="s">
        <v>1304</v>
      </c>
      <c r="DU94">
        <f>_xlfn.XLOOKUP(DT94,'KPI Impacts'!$B$2:$H$2,'KPI Impacts'!$B94:$H94)</f>
        <v>0</v>
      </c>
      <c r="DX94" s="12"/>
      <c r="DY94" s="12"/>
      <c r="DZ94" s="12"/>
      <c r="EA94" s="12"/>
      <c r="EB94" s="12"/>
      <c r="EC94" s="12"/>
      <c r="ED94" s="12"/>
      <c r="EE94" s="12"/>
      <c r="EF94" s="12"/>
    </row>
    <row r="95" spans="1:136" x14ac:dyDescent="0.2">
      <c r="A95" t="s">
        <v>1317</v>
      </c>
      <c r="B95" s="12">
        <f>P95+AD95+AR95+BF95+BT95+CH95+CV95+DJ95</f>
        <v>0</v>
      </c>
      <c r="C95" s="12">
        <f t="shared" si="150"/>
        <v>0</v>
      </c>
      <c r="D95" s="12">
        <f t="shared" si="150"/>
        <v>0</v>
      </c>
      <c r="E95" s="12">
        <f t="shared" si="150"/>
        <v>0</v>
      </c>
      <c r="F95" s="12">
        <f t="shared" si="150"/>
        <v>0</v>
      </c>
      <c r="G95" s="12">
        <f t="shared" si="150"/>
        <v>0</v>
      </c>
      <c r="H95" s="12">
        <f t="shared" si="150"/>
        <v>0</v>
      </c>
      <c r="I95" s="12">
        <f t="shared" si="150"/>
        <v>0</v>
      </c>
      <c r="J95" s="12">
        <f t="shared" si="150"/>
        <v>0</v>
      </c>
      <c r="P95" s="12">
        <f>P$5*AA95</f>
        <v>0</v>
      </c>
      <c r="Q95" s="12">
        <f>Q$5*AA95</f>
        <v>0</v>
      </c>
      <c r="R95" s="12">
        <f>R$5*AA95</f>
        <v>0</v>
      </c>
      <c r="S95" s="12">
        <f>S$5*AA95</f>
        <v>0</v>
      </c>
      <c r="T95" s="12">
        <f>T$5*AA95</f>
        <v>0</v>
      </c>
      <c r="U95" s="12">
        <f>U$5*AA95</f>
        <v>0</v>
      </c>
      <c r="V95" s="12">
        <f>V$5*AA95</f>
        <v>0</v>
      </c>
      <c r="W95" s="12">
        <f>W$5*AA95</f>
        <v>0</v>
      </c>
      <c r="X95" s="12">
        <f>X$5*AA95</f>
        <v>0</v>
      </c>
      <c r="Z95" t="s">
        <v>1304</v>
      </c>
      <c r="AA95">
        <f>_xlfn.XLOOKUP(Z95,'KPI Impacts'!$B$2:$H$2,'KPI Impacts'!$B95:$H95)</f>
        <v>0</v>
      </c>
      <c r="AD95" s="12">
        <f>AD$5*AO95</f>
        <v>0</v>
      </c>
      <c r="AE95" s="12">
        <f>AE$5*AO95</f>
        <v>0</v>
      </c>
      <c r="AF95" s="12">
        <f>AF$5*AO95</f>
        <v>0</v>
      </c>
      <c r="AG95" s="12">
        <f>AG$5*AO95</f>
        <v>0</v>
      </c>
      <c r="AH95" s="12">
        <f>AH$5*AO95</f>
        <v>0</v>
      </c>
      <c r="AI95" s="12">
        <f>AI$5*AO95</f>
        <v>0</v>
      </c>
      <c r="AJ95" s="12">
        <f>AJ$5*AO95</f>
        <v>0</v>
      </c>
      <c r="AK95" s="12">
        <f>AK$5*AO95</f>
        <v>0</v>
      </c>
      <c r="AL95" s="12">
        <f>AL$5*AO95</f>
        <v>0</v>
      </c>
      <c r="AN95" t="s">
        <v>1304</v>
      </c>
      <c r="AO95">
        <f>_xlfn.XLOOKUP(AN95,'KPI Impacts'!$B$2:$H$2,'KPI Impacts'!$B95:$H95)</f>
        <v>0</v>
      </c>
      <c r="AR95" s="12">
        <f>AR$5*BC95</f>
        <v>0</v>
      </c>
      <c r="AS95" s="12">
        <f>AS$5*BC95</f>
        <v>0</v>
      </c>
      <c r="AT95" s="12">
        <f>AT$5*BC95</f>
        <v>0</v>
      </c>
      <c r="AU95" s="12">
        <f>AU$5*BC95</f>
        <v>0</v>
      </c>
      <c r="AV95" s="12">
        <f>AV$5*BC95</f>
        <v>0</v>
      </c>
      <c r="AW95" s="12">
        <f>AW$5*BC95</f>
        <v>0</v>
      </c>
      <c r="AX95" s="12">
        <f>AX$5*BC95</f>
        <v>0</v>
      </c>
      <c r="AY95" s="12">
        <f>AY$5*BC95</f>
        <v>0</v>
      </c>
      <c r="AZ95" s="12">
        <f>AZ$5*BC95</f>
        <v>0</v>
      </c>
      <c r="BB95" t="s">
        <v>1304</v>
      </c>
      <c r="BC95">
        <f>_xlfn.XLOOKUP(BB95,'KPI Impacts'!$B$2:$H$2,'KPI Impacts'!$B95:$H95)</f>
        <v>0</v>
      </c>
      <c r="BF95" s="12">
        <f>BF$5*BQ95</f>
        <v>0</v>
      </c>
      <c r="BG95" s="12">
        <f>BG$5*BQ95</f>
        <v>0</v>
      </c>
      <c r="BH95" s="12">
        <f>BH$5*BQ95</f>
        <v>0</v>
      </c>
      <c r="BI95" s="12">
        <f>BI$5*BQ95</f>
        <v>0</v>
      </c>
      <c r="BJ95" s="12">
        <f>BJ$5*BQ95</f>
        <v>0</v>
      </c>
      <c r="BK95" s="12">
        <f>BK$5*BQ95</f>
        <v>0</v>
      </c>
      <c r="BL95" s="12">
        <f>BL$5*BQ95</f>
        <v>0</v>
      </c>
      <c r="BM95" s="12">
        <f>BM$5*BQ95</f>
        <v>0</v>
      </c>
      <c r="BN95" s="12">
        <f>BN$5*BQ95</f>
        <v>0</v>
      </c>
      <c r="BP95" t="s">
        <v>1304</v>
      </c>
      <c r="BQ95">
        <f>_xlfn.XLOOKUP(BP95,'KPI Impacts'!$B$2:$H$2,'KPI Impacts'!$B95:$H95)</f>
        <v>0</v>
      </c>
      <c r="BT95" s="12">
        <f>BT$5*CE95</f>
        <v>0</v>
      </c>
      <c r="BU95" s="12">
        <f>BU$5*CE95</f>
        <v>0</v>
      </c>
      <c r="BV95" s="12">
        <f>BV$5*CE95</f>
        <v>0</v>
      </c>
      <c r="BW95" s="12">
        <f>BW$5*CE95</f>
        <v>0</v>
      </c>
      <c r="BX95" s="12">
        <f>BX$5*CE95</f>
        <v>0</v>
      </c>
      <c r="BY95" s="12">
        <f>BY$5*CE95</f>
        <v>0</v>
      </c>
      <c r="BZ95" s="12">
        <f>BZ$5*CE95</f>
        <v>0</v>
      </c>
      <c r="CA95" s="12">
        <f>CA$5*CE95</f>
        <v>0</v>
      </c>
      <c r="CB95" s="12">
        <f>CB$5*CE95</f>
        <v>0</v>
      </c>
      <c r="CD95" t="s">
        <v>1304</v>
      </c>
      <c r="CE95">
        <f>_xlfn.XLOOKUP(CD95,'KPI Impacts'!$B$2:$H$2,'KPI Impacts'!$B95:$H95)</f>
        <v>0</v>
      </c>
      <c r="CH95" s="12">
        <f>CH$5*CS95</f>
        <v>0</v>
      </c>
      <c r="CI95" s="12">
        <f>CI$5*CS95</f>
        <v>0</v>
      </c>
      <c r="CJ95" s="12">
        <f>CJ$5*CS95</f>
        <v>0</v>
      </c>
      <c r="CK95" s="12">
        <f>CK$5*CS95</f>
        <v>0</v>
      </c>
      <c r="CL95" s="12">
        <f>CL$5*CS95</f>
        <v>0</v>
      </c>
      <c r="CM95" s="12">
        <f>CM$5*CS95</f>
        <v>0</v>
      </c>
      <c r="CN95" s="12">
        <f>CN$5*CS95</f>
        <v>0</v>
      </c>
      <c r="CO95" s="12">
        <f>CO$5*CS95</f>
        <v>0</v>
      </c>
      <c r="CP95" s="12">
        <f>CP$5*CS95</f>
        <v>0</v>
      </c>
      <c r="CR95" t="s">
        <v>1304</v>
      </c>
      <c r="CS95">
        <f>_xlfn.XLOOKUP(CR95,'KPI Impacts'!$B$2:$H$2,'KPI Impacts'!$B95:$H95)</f>
        <v>0</v>
      </c>
      <c r="CV95" s="12">
        <f>CV$5*DG95</f>
        <v>0</v>
      </c>
      <c r="CW95" s="12">
        <f>CW$5*DG95</f>
        <v>0</v>
      </c>
      <c r="CX95" s="12">
        <f>CX$5*DG95</f>
        <v>0</v>
      </c>
      <c r="CY95" s="12">
        <f>CY$5*DG95</f>
        <v>0</v>
      </c>
      <c r="CZ95" s="12">
        <f>CZ$5*DG95</f>
        <v>0</v>
      </c>
      <c r="DA95" s="12">
        <f>DA$5*DG95</f>
        <v>0</v>
      </c>
      <c r="DB95" s="12">
        <f>DB$5*DG95</f>
        <v>0</v>
      </c>
      <c r="DC95" s="12">
        <f>DC$5*DG95</f>
        <v>0</v>
      </c>
      <c r="DD95" s="12">
        <f>DD$5*DG95</f>
        <v>0</v>
      </c>
      <c r="DF95" t="s">
        <v>1304</v>
      </c>
      <c r="DG95">
        <f>_xlfn.XLOOKUP(DF95,'KPI Impacts'!$B$2:$H$2,'KPI Impacts'!$B95:$H95)</f>
        <v>0</v>
      </c>
      <c r="DJ95" s="12">
        <f>DJ$5*DU95</f>
        <v>0</v>
      </c>
      <c r="DK95" s="12">
        <f>DK$5*DU95</f>
        <v>0</v>
      </c>
      <c r="DL95" s="12">
        <f>DL$5*DU95</f>
        <v>0</v>
      </c>
      <c r="DM95" s="12">
        <f>DM$5*DU95</f>
        <v>0</v>
      </c>
      <c r="DN95" s="12">
        <f>DN$5*DU95</f>
        <v>0</v>
      </c>
      <c r="DO95" s="12">
        <f>DO$5*DU95</f>
        <v>0</v>
      </c>
      <c r="DP95" s="12">
        <f>DP$5*DU95</f>
        <v>0</v>
      </c>
      <c r="DQ95" s="12">
        <f>DQ$5*DU95</f>
        <v>0</v>
      </c>
      <c r="DR95" s="12">
        <f>DR$5*DU95</f>
        <v>0</v>
      </c>
      <c r="DT95" t="s">
        <v>1304</v>
      </c>
      <c r="DU95">
        <f>_xlfn.XLOOKUP(DT95,'KPI Impacts'!$B$2:$H$2,'KPI Impacts'!$B95:$H95)</f>
        <v>0</v>
      </c>
      <c r="DX95" s="12"/>
      <c r="DY95" s="12"/>
      <c r="DZ95" s="12"/>
      <c r="EA95" s="12"/>
      <c r="EB95" s="12"/>
      <c r="EC95" s="12"/>
      <c r="ED95" s="12"/>
      <c r="EE95" s="12"/>
      <c r="EF95" s="12"/>
    </row>
    <row r="96" spans="1:136" x14ac:dyDescent="0.2">
      <c r="A96" t="s">
        <v>1318</v>
      </c>
      <c r="B96" s="12">
        <f>P96+AD96+AR96+BF96+BT96+CH96+CV96+DJ96</f>
        <v>0</v>
      </c>
      <c r="C96" s="12">
        <f t="shared" si="150"/>
        <v>0</v>
      </c>
      <c r="D96" s="12">
        <f t="shared" si="150"/>
        <v>0</v>
      </c>
      <c r="E96" s="12">
        <f t="shared" si="150"/>
        <v>0</v>
      </c>
      <c r="F96" s="12">
        <f t="shared" si="150"/>
        <v>0</v>
      </c>
      <c r="G96" s="12">
        <f t="shared" si="150"/>
        <v>0</v>
      </c>
      <c r="H96" s="12">
        <f t="shared" si="150"/>
        <v>0</v>
      </c>
      <c r="I96" s="12">
        <f t="shared" si="150"/>
        <v>0</v>
      </c>
      <c r="J96" s="12">
        <f t="shared" si="150"/>
        <v>0</v>
      </c>
      <c r="P96" s="12">
        <f>P$5*AA96</f>
        <v>0</v>
      </c>
      <c r="Q96" s="12">
        <f>Q$5*AA96</f>
        <v>0</v>
      </c>
      <c r="R96" s="12">
        <f>R$5*AA96</f>
        <v>0</v>
      </c>
      <c r="S96" s="12">
        <f>S$5*AA96</f>
        <v>0</v>
      </c>
      <c r="T96" s="12">
        <f>T$5*AA96</f>
        <v>0</v>
      </c>
      <c r="U96" s="12">
        <f>U$5*AA96</f>
        <v>0</v>
      </c>
      <c r="V96" s="12">
        <f>V$5*AA96</f>
        <v>0</v>
      </c>
      <c r="W96" s="12">
        <f>W$5*AA96</f>
        <v>0</v>
      </c>
      <c r="X96" s="12">
        <f>X$5*AA96</f>
        <v>0</v>
      </c>
      <c r="Z96" t="s">
        <v>1304</v>
      </c>
      <c r="AA96">
        <f>_xlfn.XLOOKUP(Z96,'KPI Impacts'!$B$2:$H$2,'KPI Impacts'!$B96:$H96)</f>
        <v>0</v>
      </c>
      <c r="AD96" s="12">
        <f>AD$5*AO96</f>
        <v>0</v>
      </c>
      <c r="AE96" s="12">
        <f>AE$5*AO96</f>
        <v>0</v>
      </c>
      <c r="AF96" s="12">
        <f>AF$5*AO96</f>
        <v>0</v>
      </c>
      <c r="AG96" s="12">
        <f>AG$5*AO96</f>
        <v>0</v>
      </c>
      <c r="AH96" s="12">
        <f>AH$5*AO96</f>
        <v>0</v>
      </c>
      <c r="AI96" s="12">
        <f>AI$5*AO96</f>
        <v>0</v>
      </c>
      <c r="AJ96" s="12">
        <f>AJ$5*AO96</f>
        <v>0</v>
      </c>
      <c r="AK96" s="12">
        <f>AK$5*AO96</f>
        <v>0</v>
      </c>
      <c r="AL96" s="12">
        <f>AL$5*AO96</f>
        <v>0</v>
      </c>
      <c r="AN96" t="s">
        <v>1304</v>
      </c>
      <c r="AO96">
        <f>_xlfn.XLOOKUP(AN96,'KPI Impacts'!$B$2:$H$2,'KPI Impacts'!$B96:$H96)</f>
        <v>0</v>
      </c>
      <c r="AR96" s="12">
        <f>AR$5*BC96</f>
        <v>0</v>
      </c>
      <c r="AS96" s="12">
        <f>AS$5*BC96</f>
        <v>0</v>
      </c>
      <c r="AT96" s="12">
        <f>AT$5*BC96</f>
        <v>0</v>
      </c>
      <c r="AU96" s="12">
        <f>AU$5*BC96</f>
        <v>0</v>
      </c>
      <c r="AV96" s="12">
        <f>AV$5*BC96</f>
        <v>0</v>
      </c>
      <c r="AW96" s="12">
        <f>AW$5*BC96</f>
        <v>0</v>
      </c>
      <c r="AX96" s="12">
        <f>AX$5*BC96</f>
        <v>0</v>
      </c>
      <c r="AY96" s="12">
        <f>AY$5*BC96</f>
        <v>0</v>
      </c>
      <c r="AZ96" s="12">
        <f>AZ$5*BC96</f>
        <v>0</v>
      </c>
      <c r="BB96" t="s">
        <v>1304</v>
      </c>
      <c r="BC96">
        <f>_xlfn.XLOOKUP(BB96,'KPI Impacts'!$B$2:$H$2,'KPI Impacts'!$B96:$H96)</f>
        <v>0</v>
      </c>
      <c r="BF96" s="12">
        <f>BF$5*BQ96</f>
        <v>0</v>
      </c>
      <c r="BG96" s="12">
        <f>BG$5*BQ96</f>
        <v>0</v>
      </c>
      <c r="BH96" s="12">
        <f>BH$5*BQ96</f>
        <v>0</v>
      </c>
      <c r="BI96" s="12">
        <f>BI$5*BQ96</f>
        <v>0</v>
      </c>
      <c r="BJ96" s="12">
        <f>BJ$5*BQ96</f>
        <v>0</v>
      </c>
      <c r="BK96" s="12">
        <f>BK$5*BQ96</f>
        <v>0</v>
      </c>
      <c r="BL96" s="12">
        <f>BL$5*BQ96</f>
        <v>0</v>
      </c>
      <c r="BM96" s="12">
        <f>BM$5*BQ96</f>
        <v>0</v>
      </c>
      <c r="BN96" s="12">
        <f>BN$5*BQ96</f>
        <v>0</v>
      </c>
      <c r="BP96" t="s">
        <v>1304</v>
      </c>
      <c r="BQ96">
        <f>_xlfn.XLOOKUP(BP96,'KPI Impacts'!$B$2:$H$2,'KPI Impacts'!$B96:$H96)</f>
        <v>0</v>
      </c>
      <c r="BT96" s="12">
        <f>BT$5*CE96</f>
        <v>0</v>
      </c>
      <c r="BU96" s="12">
        <f>BU$5*CE96</f>
        <v>0</v>
      </c>
      <c r="BV96" s="12">
        <f>BV$5*CE96</f>
        <v>0</v>
      </c>
      <c r="BW96" s="12">
        <f>BW$5*CE96</f>
        <v>0</v>
      </c>
      <c r="BX96" s="12">
        <f>BX$5*CE96</f>
        <v>0</v>
      </c>
      <c r="BY96" s="12">
        <f>BY$5*CE96</f>
        <v>0</v>
      </c>
      <c r="BZ96" s="12">
        <f>BZ$5*CE96</f>
        <v>0</v>
      </c>
      <c r="CA96" s="12">
        <f>CA$5*CE96</f>
        <v>0</v>
      </c>
      <c r="CB96" s="12">
        <f>CB$5*CE96</f>
        <v>0</v>
      </c>
      <c r="CD96" t="s">
        <v>1304</v>
      </c>
      <c r="CE96">
        <f>_xlfn.XLOOKUP(CD96,'KPI Impacts'!$B$2:$H$2,'KPI Impacts'!$B96:$H96)</f>
        <v>0</v>
      </c>
      <c r="CH96" s="12">
        <f>CH$5*CS96</f>
        <v>0</v>
      </c>
      <c r="CI96" s="12">
        <f>CI$5*CS96</f>
        <v>0</v>
      </c>
      <c r="CJ96" s="12">
        <f>CJ$5*CS96</f>
        <v>0</v>
      </c>
      <c r="CK96" s="12">
        <f>CK$5*CS96</f>
        <v>0</v>
      </c>
      <c r="CL96" s="12">
        <f>CL$5*CS96</f>
        <v>0</v>
      </c>
      <c r="CM96" s="12">
        <f>CM$5*CS96</f>
        <v>0</v>
      </c>
      <c r="CN96" s="12">
        <f>CN$5*CS96</f>
        <v>0</v>
      </c>
      <c r="CO96" s="12">
        <f>CO$5*CS96</f>
        <v>0</v>
      </c>
      <c r="CP96" s="12">
        <f>CP$5*CS96</f>
        <v>0</v>
      </c>
      <c r="CR96" t="s">
        <v>1304</v>
      </c>
      <c r="CS96">
        <f>_xlfn.XLOOKUP(CR96,'KPI Impacts'!$B$2:$H$2,'KPI Impacts'!$B96:$H96)</f>
        <v>0</v>
      </c>
      <c r="CV96" s="12">
        <f>CV$5*DG96</f>
        <v>0</v>
      </c>
      <c r="CW96" s="12">
        <f>CW$5*DG96</f>
        <v>0</v>
      </c>
      <c r="CX96" s="12">
        <f>CX$5*DG96</f>
        <v>0</v>
      </c>
      <c r="CY96" s="12">
        <f>CY$5*DG96</f>
        <v>0</v>
      </c>
      <c r="CZ96" s="12">
        <f>CZ$5*DG96</f>
        <v>0</v>
      </c>
      <c r="DA96" s="12">
        <f>DA$5*DG96</f>
        <v>0</v>
      </c>
      <c r="DB96" s="12">
        <f>DB$5*DG96</f>
        <v>0</v>
      </c>
      <c r="DC96" s="12">
        <f>DC$5*DG96</f>
        <v>0</v>
      </c>
      <c r="DD96" s="12">
        <f>DD$5*DG96</f>
        <v>0</v>
      </c>
      <c r="DF96" t="s">
        <v>1304</v>
      </c>
      <c r="DG96">
        <f>_xlfn.XLOOKUP(DF96,'KPI Impacts'!$B$2:$H$2,'KPI Impacts'!$B96:$H96)</f>
        <v>0</v>
      </c>
      <c r="DJ96" s="12">
        <f>DJ$5*DU96</f>
        <v>0</v>
      </c>
      <c r="DK96" s="12">
        <f>DK$5*DU96</f>
        <v>0</v>
      </c>
      <c r="DL96" s="12">
        <f>DL$5*DU96</f>
        <v>0</v>
      </c>
      <c r="DM96" s="12">
        <f>DM$5*DU96</f>
        <v>0</v>
      </c>
      <c r="DN96" s="12">
        <f>DN$5*DU96</f>
        <v>0</v>
      </c>
      <c r="DO96" s="12">
        <f>DO$5*DU96</f>
        <v>0</v>
      </c>
      <c r="DP96" s="12">
        <f>DP$5*DU96</f>
        <v>0</v>
      </c>
      <c r="DQ96" s="12">
        <f>DQ$5*DU96</f>
        <v>0</v>
      </c>
      <c r="DR96" s="12">
        <f>DR$5*DU96</f>
        <v>0</v>
      </c>
      <c r="DT96" t="s">
        <v>1304</v>
      </c>
      <c r="DU96">
        <f>_xlfn.XLOOKUP(DT96,'KPI Impacts'!$B$2:$H$2,'KPI Impacts'!$B96:$H96)</f>
        <v>0</v>
      </c>
      <c r="DX96" s="12"/>
      <c r="DY96" s="12"/>
      <c r="DZ96" s="12"/>
      <c r="EA96" s="12"/>
      <c r="EB96" s="12"/>
      <c r="EC96" s="12"/>
      <c r="ED96" s="12"/>
      <c r="EE96" s="12"/>
      <c r="EF96" s="12"/>
    </row>
    <row r="97" spans="1:136" x14ac:dyDescent="0.2">
      <c r="A97" t="s">
        <v>1295</v>
      </c>
      <c r="B97" s="19" t="s">
        <v>1319</v>
      </c>
      <c r="C97" s="19" t="s">
        <v>1319</v>
      </c>
      <c r="D97" s="19" t="s">
        <v>1319</v>
      </c>
      <c r="E97" s="19" t="s">
        <v>1319</v>
      </c>
      <c r="F97" s="19" t="s">
        <v>1319</v>
      </c>
      <c r="G97" s="19" t="s">
        <v>1319</v>
      </c>
      <c r="H97" s="19" t="s">
        <v>1319</v>
      </c>
      <c r="I97" s="19" t="s">
        <v>1319</v>
      </c>
      <c r="J97" s="19" t="s">
        <v>1319</v>
      </c>
      <c r="EA97" s="12"/>
      <c r="EB97" s="12"/>
    </row>
    <row r="98" spans="1:136" hidden="1" x14ac:dyDescent="0.2">
      <c r="EA98" s="12"/>
      <c r="EB98" s="12"/>
    </row>
    <row r="99" spans="1:136" hidden="1" x14ac:dyDescent="0.2">
      <c r="EA99" s="12"/>
      <c r="EB99" s="12"/>
    </row>
    <row r="100" spans="1:136" x14ac:dyDescent="0.2">
      <c r="EA100" s="12"/>
      <c r="EB100" s="12"/>
    </row>
    <row r="101" spans="1:136" x14ac:dyDescent="0.2">
      <c r="A101" s="5" t="s">
        <v>53</v>
      </c>
      <c r="EA101" s="12"/>
      <c r="EB101" s="12"/>
    </row>
    <row r="102" spans="1:136" x14ac:dyDescent="0.2">
      <c r="A102" t="s">
        <v>57</v>
      </c>
      <c r="B102" s="12">
        <f>P102+AD102+AR102+BF102+BT102+CH102+CV102+DJ102</f>
        <v>0</v>
      </c>
      <c r="C102" s="12">
        <f t="shared" ref="C102:J104" si="151">Q102+AE102+AS102+BG102+BU102+CI102+CW102+DK102</f>
        <v>0</v>
      </c>
      <c r="D102" s="12">
        <f t="shared" si="151"/>
        <v>0</v>
      </c>
      <c r="E102" s="12">
        <f t="shared" si="151"/>
        <v>0</v>
      </c>
      <c r="F102" s="12">
        <f t="shared" si="151"/>
        <v>0</v>
      </c>
      <c r="G102" s="12">
        <f t="shared" si="151"/>
        <v>0</v>
      </c>
      <c r="H102" s="12">
        <f t="shared" si="151"/>
        <v>0</v>
      </c>
      <c r="I102" s="12">
        <f t="shared" si="151"/>
        <v>0</v>
      </c>
      <c r="J102" s="12">
        <f t="shared" si="151"/>
        <v>0</v>
      </c>
      <c r="P102" s="12">
        <f>P$5*AA102</f>
        <v>0</v>
      </c>
      <c r="Q102" s="12">
        <f>Q$5*AA102</f>
        <v>0</v>
      </c>
      <c r="R102" s="12">
        <f>R$5*AA102</f>
        <v>0</v>
      </c>
      <c r="S102" s="12">
        <f>S$5*AA102</f>
        <v>0</v>
      </c>
      <c r="T102" s="12">
        <f>T$5*AA102</f>
        <v>0</v>
      </c>
      <c r="U102" s="12">
        <f>U$5*AA102</f>
        <v>0</v>
      </c>
      <c r="V102" s="12">
        <f>V$5*AA102</f>
        <v>0</v>
      </c>
      <c r="W102" s="12">
        <f>W$5*AA102</f>
        <v>0</v>
      </c>
      <c r="X102" s="12">
        <f>X$5*AA102</f>
        <v>0</v>
      </c>
      <c r="Z102" t="s">
        <v>1304</v>
      </c>
      <c r="AA102">
        <f>_xlfn.XLOOKUP(Z102,'KPI Impacts'!$B$2:$H$2,'KPI Impacts'!$B102:$H102)</f>
        <v>0</v>
      </c>
      <c r="AD102" s="12">
        <f>AD$5*AO102</f>
        <v>0</v>
      </c>
      <c r="AE102" s="12">
        <f>AE$5*AO102</f>
        <v>0</v>
      </c>
      <c r="AF102" s="12">
        <f>AF$5*AO102</f>
        <v>0</v>
      </c>
      <c r="AG102" s="12">
        <f>AG$5*AO102</f>
        <v>0</v>
      </c>
      <c r="AH102" s="12">
        <f>AH$5*AO102</f>
        <v>0</v>
      </c>
      <c r="AI102" s="12">
        <f>AI$5*AO102</f>
        <v>0</v>
      </c>
      <c r="AJ102" s="12">
        <f>AJ$5*AO102</f>
        <v>0</v>
      </c>
      <c r="AK102" s="12">
        <f>AK$5*AO102</f>
        <v>0</v>
      </c>
      <c r="AL102" s="12">
        <f>AL$5*AO102</f>
        <v>0</v>
      </c>
      <c r="AN102" t="s">
        <v>1305</v>
      </c>
      <c r="AO102">
        <f>_xlfn.XLOOKUP(AN102,'KPI Impacts'!$B$2:$H$2,'KPI Impacts'!$B102:$H102)</f>
        <v>-0.8</v>
      </c>
      <c r="AR102" s="12">
        <f>AR$5*BC102</f>
        <v>0</v>
      </c>
      <c r="AS102" s="12">
        <f>AS$5*BC102</f>
        <v>0</v>
      </c>
      <c r="AT102" s="12">
        <f>AT$5*BC102</f>
        <v>0</v>
      </c>
      <c r="AU102" s="12">
        <f>AU$5*BC102</f>
        <v>0</v>
      </c>
      <c r="AV102" s="12">
        <f>AV$5*BC102</f>
        <v>0</v>
      </c>
      <c r="AW102" s="12">
        <f>AW$5*BC102</f>
        <v>0</v>
      </c>
      <c r="AX102" s="12">
        <f>AX$5*BC102</f>
        <v>0</v>
      </c>
      <c r="AY102" s="12">
        <f>AY$5*BC102</f>
        <v>0</v>
      </c>
      <c r="AZ102" s="12">
        <f>AZ$5*BC102</f>
        <v>0</v>
      </c>
      <c r="BB102" t="s">
        <v>1306</v>
      </c>
      <c r="BC102">
        <f>_xlfn.XLOOKUP(BB102,'KPI Impacts'!$B$2:$H$2,'KPI Impacts'!$B102:$H102)</f>
        <v>-3.2</v>
      </c>
      <c r="BF102" s="12">
        <f>BF$5*BQ102</f>
        <v>0</v>
      </c>
      <c r="BG102" s="12">
        <f>BG$5*BQ102</f>
        <v>0</v>
      </c>
      <c r="BH102" s="12">
        <f>BH$5*BQ102</f>
        <v>0</v>
      </c>
      <c r="BI102" s="12">
        <f>BI$5*BQ102</f>
        <v>0</v>
      </c>
      <c r="BJ102" s="12">
        <f>BJ$5*BQ102</f>
        <v>0</v>
      </c>
      <c r="BK102" s="12">
        <f>BK$5*BQ102</f>
        <v>0</v>
      </c>
      <c r="BL102" s="12">
        <f>BL$5*BQ102</f>
        <v>0</v>
      </c>
      <c r="BM102" s="12">
        <f>BM$5*BQ102</f>
        <v>0</v>
      </c>
      <c r="BN102" s="12">
        <f>BN$5*BQ102</f>
        <v>0</v>
      </c>
      <c r="BP102" t="s">
        <v>1306</v>
      </c>
      <c r="BQ102">
        <f>_xlfn.XLOOKUP(BP102,'KPI Impacts'!$B$2:$H$2,'KPI Impacts'!$B102:$H102)</f>
        <v>-3.2</v>
      </c>
      <c r="BT102" s="12">
        <f>BT$5*CE102</f>
        <v>0</v>
      </c>
      <c r="BU102" s="12">
        <f>BU$5*CE102</f>
        <v>0</v>
      </c>
      <c r="BV102" s="12">
        <f>BV$5*CE102</f>
        <v>0</v>
      </c>
      <c r="BW102" s="12">
        <f>BW$5*CE102</f>
        <v>0</v>
      </c>
      <c r="BX102" s="12">
        <f>BX$5*CE102</f>
        <v>0</v>
      </c>
      <c r="BY102" s="12">
        <f>BY$5*CE102</f>
        <v>0</v>
      </c>
      <c r="BZ102" s="12">
        <f>BZ$5*CE102</f>
        <v>0</v>
      </c>
      <c r="CA102" s="12">
        <f>CA$5*CE102</f>
        <v>0</v>
      </c>
      <c r="CB102" s="12">
        <f>CB$5*CE102</f>
        <v>0</v>
      </c>
      <c r="CD102" t="s">
        <v>1304</v>
      </c>
      <c r="CE102">
        <f>_xlfn.XLOOKUP(CD102,'KPI Impacts'!$B$2:$H$2,'KPI Impacts'!$B102:$H102)</f>
        <v>0</v>
      </c>
      <c r="CH102" s="12">
        <f>CH$5*CS102</f>
        <v>0</v>
      </c>
      <c r="CI102" s="12">
        <f>CI$5*CS102</f>
        <v>0</v>
      </c>
      <c r="CJ102" s="12">
        <f>CJ$5*CS102</f>
        <v>0</v>
      </c>
      <c r="CK102" s="12">
        <f>CK$5*CS102</f>
        <v>0</v>
      </c>
      <c r="CL102" s="12">
        <f>CL$5*CS102</f>
        <v>0</v>
      </c>
      <c r="CM102" s="12">
        <f>CM$5*CS102</f>
        <v>0</v>
      </c>
      <c r="CN102" s="12">
        <f>CN$5*CS102</f>
        <v>0</v>
      </c>
      <c r="CO102" s="12">
        <f>CO$5*CS102</f>
        <v>0</v>
      </c>
      <c r="CP102" s="12">
        <f>CP$5*CS102</f>
        <v>0</v>
      </c>
      <c r="CR102" t="s">
        <v>1307</v>
      </c>
      <c r="CS102">
        <f>_xlfn.XLOOKUP(CR102,'KPI Impacts'!$B$2:$H$2,'KPI Impacts'!$B102:$H102)</f>
        <v>-1.6</v>
      </c>
      <c r="CV102" s="12">
        <f>CV$5*DG102</f>
        <v>0</v>
      </c>
      <c r="CW102" s="12">
        <f>CW$5*DG102</f>
        <v>0</v>
      </c>
      <c r="CX102" s="12">
        <f>CX$5*DG102</f>
        <v>0</v>
      </c>
      <c r="CY102" s="12">
        <f>CY$5*DG102</f>
        <v>0</v>
      </c>
      <c r="CZ102" s="12">
        <f>CZ$5*DG102</f>
        <v>0</v>
      </c>
      <c r="DA102" s="12">
        <f>DA$5*DG102</f>
        <v>0</v>
      </c>
      <c r="DB102" s="12">
        <f>DB$5*DG102</f>
        <v>0</v>
      </c>
      <c r="DC102" s="12">
        <f>DC$5*DG102</f>
        <v>0</v>
      </c>
      <c r="DD102" s="12">
        <f>DD$5*DG102</f>
        <v>0</v>
      </c>
      <c r="DF102" t="s">
        <v>1304</v>
      </c>
      <c r="DG102">
        <f>_xlfn.XLOOKUP(DF102,'KPI Impacts'!$B$2:$H$2,'KPI Impacts'!$B102:$H102)</f>
        <v>0</v>
      </c>
      <c r="DJ102" s="12">
        <f>DJ$5*DU102</f>
        <v>0</v>
      </c>
      <c r="DK102" s="12">
        <f>DK$5*DU102</f>
        <v>0</v>
      </c>
      <c r="DL102" s="12">
        <f>DL$5*DU102</f>
        <v>0</v>
      </c>
      <c r="DM102" s="12">
        <f>DM$5*DU102</f>
        <v>0</v>
      </c>
      <c r="DN102" s="12">
        <f>DN$5*DU102</f>
        <v>0</v>
      </c>
      <c r="DO102" s="12">
        <f>DO$5*DU102</f>
        <v>0</v>
      </c>
      <c r="DP102" s="12">
        <f>DP$5*DU102</f>
        <v>0</v>
      </c>
      <c r="DQ102" s="12">
        <f>DQ$5*DU102</f>
        <v>0</v>
      </c>
      <c r="DR102" s="12">
        <f>DR$5*DU102</f>
        <v>0</v>
      </c>
      <c r="DT102" t="s">
        <v>1304</v>
      </c>
      <c r="DU102">
        <f>_xlfn.XLOOKUP(DT102,'KPI Impacts'!$B$2:$H$2,'KPI Impacts'!$B102:$H102)</f>
        <v>0</v>
      </c>
      <c r="DX102" s="12"/>
      <c r="DY102" s="12"/>
      <c r="DZ102" s="12"/>
      <c r="EA102" s="12"/>
      <c r="EB102" s="12"/>
      <c r="EC102" s="12"/>
      <c r="ED102" s="12"/>
      <c r="EE102" s="12"/>
      <c r="EF102" s="12"/>
    </row>
    <row r="103" spans="1:136" x14ac:dyDescent="0.2">
      <c r="A103" t="s">
        <v>58</v>
      </c>
      <c r="B103" s="12">
        <f>P103+AD103+AR103+BF103+BT103+CH103+CV103+DJ103</f>
        <v>0</v>
      </c>
      <c r="C103" s="12">
        <f t="shared" si="151"/>
        <v>0</v>
      </c>
      <c r="D103" s="12">
        <f t="shared" si="151"/>
        <v>0</v>
      </c>
      <c r="E103" s="12">
        <f t="shared" si="151"/>
        <v>0</v>
      </c>
      <c r="F103" s="12">
        <f t="shared" si="151"/>
        <v>0</v>
      </c>
      <c r="G103" s="12">
        <f t="shared" si="151"/>
        <v>0</v>
      </c>
      <c r="H103" s="12">
        <f t="shared" si="151"/>
        <v>0</v>
      </c>
      <c r="I103" s="12">
        <f t="shared" si="151"/>
        <v>0</v>
      </c>
      <c r="J103" s="12">
        <f t="shared" si="151"/>
        <v>0</v>
      </c>
      <c r="P103" s="12">
        <f>P$5*AA103</f>
        <v>0</v>
      </c>
      <c r="Q103" s="12">
        <f>Q$5*AA103</f>
        <v>0</v>
      </c>
      <c r="R103" s="12">
        <f>R$5*AA103</f>
        <v>0</v>
      </c>
      <c r="S103" s="12">
        <f>S$5*AA103</f>
        <v>0</v>
      </c>
      <c r="T103" s="12">
        <f>T$5*AA103</f>
        <v>0</v>
      </c>
      <c r="U103" s="12">
        <f>U$5*AA103</f>
        <v>0</v>
      </c>
      <c r="V103" s="12">
        <f>V$5*AA103</f>
        <v>0</v>
      </c>
      <c r="W103" s="12">
        <f>W$5*AA103</f>
        <v>0</v>
      </c>
      <c r="X103" s="12">
        <f>X$5*AA103</f>
        <v>0</v>
      </c>
      <c r="Z103" t="s">
        <v>1304</v>
      </c>
      <c r="AA103">
        <f>_xlfn.XLOOKUP(Z103,'KPI Impacts'!$B$2:$H$2,'KPI Impacts'!$B103:$H103)</f>
        <v>0</v>
      </c>
      <c r="AD103" s="12">
        <f>AD$5*AO103</f>
        <v>0</v>
      </c>
      <c r="AE103" s="12">
        <f>AE$5*AO103</f>
        <v>0</v>
      </c>
      <c r="AF103" s="12">
        <f>AF$5*AO103</f>
        <v>0</v>
      </c>
      <c r="AG103" s="12">
        <f>AG$5*AO103</f>
        <v>0</v>
      </c>
      <c r="AH103" s="12">
        <f>AH$5*AO103</f>
        <v>0</v>
      </c>
      <c r="AI103" s="12">
        <f>AI$5*AO103</f>
        <v>0</v>
      </c>
      <c r="AJ103" s="12">
        <f>AJ$5*AO103</f>
        <v>0</v>
      </c>
      <c r="AK103" s="12">
        <f>AK$5*AO103</f>
        <v>0</v>
      </c>
      <c r="AL103" s="12">
        <f>AL$5*AO103</f>
        <v>0</v>
      </c>
      <c r="AN103" t="s">
        <v>1304</v>
      </c>
      <c r="AO103">
        <f>_xlfn.XLOOKUP(AN103,'KPI Impacts'!$B$2:$H$2,'KPI Impacts'!$B103:$H103)</f>
        <v>0</v>
      </c>
      <c r="AR103" s="12">
        <f>AR$5*BC103</f>
        <v>0</v>
      </c>
      <c r="AS103" s="12">
        <f>AS$5*BC103</f>
        <v>0</v>
      </c>
      <c r="AT103" s="12">
        <f>AT$5*BC103</f>
        <v>0</v>
      </c>
      <c r="AU103" s="12">
        <f>AU$5*BC103</f>
        <v>0</v>
      </c>
      <c r="AV103" s="12">
        <f>AV$5*BC103</f>
        <v>0</v>
      </c>
      <c r="AW103" s="12">
        <f>AW$5*BC103</f>
        <v>0</v>
      </c>
      <c r="AX103" s="12">
        <f>AX$5*BC103</f>
        <v>0</v>
      </c>
      <c r="AY103" s="12">
        <f>AY$5*BC103</f>
        <v>0</v>
      </c>
      <c r="AZ103" s="12">
        <f>AZ$5*BC103</f>
        <v>0</v>
      </c>
      <c r="BB103" t="s">
        <v>1304</v>
      </c>
      <c r="BC103">
        <f>_xlfn.XLOOKUP(BB103,'KPI Impacts'!$B$2:$H$2,'KPI Impacts'!$B103:$H103)</f>
        <v>0</v>
      </c>
      <c r="BF103" s="12">
        <f>BF$5*BQ103</f>
        <v>0</v>
      </c>
      <c r="BG103" s="12">
        <f>BG$5*BQ103</f>
        <v>0</v>
      </c>
      <c r="BH103" s="12">
        <f>BH$5*BQ103</f>
        <v>0</v>
      </c>
      <c r="BI103" s="12">
        <f>BI$5*BQ103</f>
        <v>0</v>
      </c>
      <c r="BJ103" s="12">
        <f>BJ$5*BQ103</f>
        <v>0</v>
      </c>
      <c r="BK103" s="12">
        <f>BK$5*BQ103</f>
        <v>0</v>
      </c>
      <c r="BL103" s="12">
        <f>BL$5*BQ103</f>
        <v>0</v>
      </c>
      <c r="BM103" s="12">
        <f>BM$5*BQ103</f>
        <v>0</v>
      </c>
      <c r="BN103" s="12">
        <f>BN$5*BQ103</f>
        <v>0</v>
      </c>
      <c r="BP103" t="s">
        <v>1304</v>
      </c>
      <c r="BQ103">
        <f>_xlfn.XLOOKUP(BP103,'KPI Impacts'!$B$2:$H$2,'KPI Impacts'!$B103:$H103)</f>
        <v>0</v>
      </c>
      <c r="BT103" s="12">
        <f>BT$5*CE103</f>
        <v>0</v>
      </c>
      <c r="BU103" s="12">
        <f>BU$5*CE103</f>
        <v>0</v>
      </c>
      <c r="BV103" s="12">
        <f>BV$5*CE103</f>
        <v>0</v>
      </c>
      <c r="BW103" s="12">
        <f>BW$5*CE103</f>
        <v>0</v>
      </c>
      <c r="BX103" s="12">
        <f>BX$5*CE103</f>
        <v>0</v>
      </c>
      <c r="BY103" s="12">
        <f>BY$5*CE103</f>
        <v>0</v>
      </c>
      <c r="BZ103" s="12">
        <f>BZ$5*CE103</f>
        <v>0</v>
      </c>
      <c r="CA103" s="12">
        <f>CA$5*CE103</f>
        <v>0</v>
      </c>
      <c r="CB103" s="12">
        <f>CB$5*CE103</f>
        <v>0</v>
      </c>
      <c r="CD103" t="s">
        <v>1304</v>
      </c>
      <c r="CE103">
        <f>_xlfn.XLOOKUP(CD103,'KPI Impacts'!$B$2:$H$2,'KPI Impacts'!$B103:$H103)</f>
        <v>0</v>
      </c>
      <c r="CH103" s="12">
        <f>CH$5*CS103</f>
        <v>0</v>
      </c>
      <c r="CI103" s="12">
        <f>CI$5*CS103</f>
        <v>0</v>
      </c>
      <c r="CJ103" s="12">
        <f>CJ$5*CS103</f>
        <v>0</v>
      </c>
      <c r="CK103" s="12">
        <f>CK$5*CS103</f>
        <v>0</v>
      </c>
      <c r="CL103" s="12">
        <f>CL$5*CS103</f>
        <v>0</v>
      </c>
      <c r="CM103" s="12">
        <f>CM$5*CS103</f>
        <v>0</v>
      </c>
      <c r="CN103" s="12">
        <f>CN$5*CS103</f>
        <v>0</v>
      </c>
      <c r="CO103" s="12">
        <f>CO$5*CS103</f>
        <v>0</v>
      </c>
      <c r="CP103" s="12">
        <f>CP$5*CS103</f>
        <v>0</v>
      </c>
      <c r="CR103" t="s">
        <v>1304</v>
      </c>
      <c r="CS103">
        <f>_xlfn.XLOOKUP(CR103,'KPI Impacts'!$B$2:$H$2,'KPI Impacts'!$B103:$H103)</f>
        <v>0</v>
      </c>
      <c r="CV103" s="12">
        <f>CV$5*DG103</f>
        <v>0</v>
      </c>
      <c r="CW103" s="12">
        <f>CW$5*DG103</f>
        <v>0</v>
      </c>
      <c r="CX103" s="12">
        <f>CX$5*DG103</f>
        <v>0</v>
      </c>
      <c r="CY103" s="12">
        <f>CY$5*DG103</f>
        <v>0</v>
      </c>
      <c r="CZ103" s="12">
        <f>CZ$5*DG103</f>
        <v>0</v>
      </c>
      <c r="DA103" s="12">
        <f>DA$5*DG103</f>
        <v>0</v>
      </c>
      <c r="DB103" s="12">
        <f>DB$5*DG103</f>
        <v>0</v>
      </c>
      <c r="DC103" s="12">
        <f>DC$5*DG103</f>
        <v>0</v>
      </c>
      <c r="DD103" s="12">
        <f>DD$5*DG103</f>
        <v>0</v>
      </c>
      <c r="DF103" t="s">
        <v>1304</v>
      </c>
      <c r="DG103">
        <f>_xlfn.XLOOKUP(DF103,'KPI Impacts'!$B$2:$H$2,'KPI Impacts'!$B103:$H103)</f>
        <v>0</v>
      </c>
      <c r="DJ103" s="12">
        <f>DJ$5*DU103</f>
        <v>0</v>
      </c>
      <c r="DK103" s="12">
        <f>DK$5*DU103</f>
        <v>0</v>
      </c>
      <c r="DL103" s="12">
        <f>DL$5*DU103</f>
        <v>0</v>
      </c>
      <c r="DM103" s="12">
        <f>DM$5*DU103</f>
        <v>0</v>
      </c>
      <c r="DN103" s="12">
        <f>DN$5*DU103</f>
        <v>0</v>
      </c>
      <c r="DO103" s="12">
        <f>DO$5*DU103</f>
        <v>0</v>
      </c>
      <c r="DP103" s="12">
        <f>DP$5*DU103</f>
        <v>0</v>
      </c>
      <c r="DQ103" s="12">
        <f>DQ$5*DU103</f>
        <v>0</v>
      </c>
      <c r="DR103" s="12">
        <f>DR$5*DU103</f>
        <v>0</v>
      </c>
      <c r="DT103" t="s">
        <v>1304</v>
      </c>
      <c r="DU103">
        <f>_xlfn.XLOOKUP(DT103,'KPI Impacts'!$B$2:$H$2,'KPI Impacts'!$B103:$H103)</f>
        <v>0</v>
      </c>
      <c r="DX103" s="12"/>
      <c r="DY103" s="12"/>
      <c r="DZ103" s="12"/>
      <c r="EA103" s="12"/>
      <c r="EB103" s="12"/>
      <c r="EC103" s="12"/>
      <c r="ED103" s="12"/>
      <c r="EE103" s="12"/>
      <c r="EF103" s="12"/>
    </row>
    <row r="104" spans="1:136" x14ac:dyDescent="0.2">
      <c r="A104" t="s">
        <v>1296</v>
      </c>
      <c r="B104" s="12">
        <f>P104+AD104+AR104+BF104+BT104+CH104+CV104+DJ104</f>
        <v>0</v>
      </c>
      <c r="C104" s="12">
        <f t="shared" si="151"/>
        <v>0</v>
      </c>
      <c r="D104" s="12">
        <f t="shared" si="151"/>
        <v>0</v>
      </c>
      <c r="E104" s="12">
        <f t="shared" si="151"/>
        <v>0</v>
      </c>
      <c r="F104" s="12">
        <f t="shared" si="151"/>
        <v>0</v>
      </c>
      <c r="G104" s="12">
        <f t="shared" si="151"/>
        <v>0</v>
      </c>
      <c r="H104" s="12">
        <f t="shared" si="151"/>
        <v>0</v>
      </c>
      <c r="I104" s="12">
        <f t="shared" si="151"/>
        <v>0</v>
      </c>
      <c r="J104" s="12">
        <f t="shared" si="151"/>
        <v>0</v>
      </c>
      <c r="P104" s="12">
        <f>P$5*AA104</f>
        <v>0</v>
      </c>
      <c r="Q104" s="12">
        <f>Q$5*AA104</f>
        <v>0</v>
      </c>
      <c r="R104" s="12">
        <f>R$5*AA104</f>
        <v>0</v>
      </c>
      <c r="S104" s="12">
        <f>S$5*AA104</f>
        <v>0</v>
      </c>
      <c r="T104" s="12">
        <f>T$5*AA104</f>
        <v>0</v>
      </c>
      <c r="U104" s="12">
        <f>U$5*AA104</f>
        <v>0</v>
      </c>
      <c r="V104" s="12">
        <f>V$5*AA104</f>
        <v>0</v>
      </c>
      <c r="W104" s="12">
        <f>W$5*AA104</f>
        <v>0</v>
      </c>
      <c r="X104" s="12">
        <f>X$5*AA104</f>
        <v>0</v>
      </c>
      <c r="Z104" t="s">
        <v>1304</v>
      </c>
      <c r="AA104">
        <f>_xlfn.XLOOKUP(Z104,'KPI Impacts'!$B$2:$H$2,'KPI Impacts'!$B104:$H104)</f>
        <v>0</v>
      </c>
      <c r="AD104" s="12">
        <f>AD$5*AO104</f>
        <v>0</v>
      </c>
      <c r="AE104" s="12">
        <f>AE$5*AO104</f>
        <v>0</v>
      </c>
      <c r="AF104" s="12">
        <f>AF$5*AO104</f>
        <v>0</v>
      </c>
      <c r="AG104" s="12">
        <f>AG$5*AO104</f>
        <v>0</v>
      </c>
      <c r="AH104" s="12">
        <f>AH$5*AO104</f>
        <v>0</v>
      </c>
      <c r="AI104" s="12">
        <f>AI$5*AO104</f>
        <v>0</v>
      </c>
      <c r="AJ104" s="12">
        <f>AJ$5*AO104</f>
        <v>0</v>
      </c>
      <c r="AK104" s="12">
        <f>AK$5*AO104</f>
        <v>0</v>
      </c>
      <c r="AL104" s="12">
        <f>AL$5*AO104</f>
        <v>0</v>
      </c>
      <c r="AN104" t="s">
        <v>1304</v>
      </c>
      <c r="AO104">
        <f>_xlfn.XLOOKUP(AN104,'KPI Impacts'!$B$2:$H$2,'KPI Impacts'!$B104:$H104)</f>
        <v>0</v>
      </c>
      <c r="AR104" s="12">
        <f>AR$5*BC104</f>
        <v>0</v>
      </c>
      <c r="AS104" s="12">
        <f>AS$5*BC104</f>
        <v>0</v>
      </c>
      <c r="AT104" s="12">
        <f>AT$5*BC104</f>
        <v>0</v>
      </c>
      <c r="AU104" s="12">
        <f>AU$5*BC104</f>
        <v>0</v>
      </c>
      <c r="AV104" s="12">
        <f>AV$5*BC104</f>
        <v>0</v>
      </c>
      <c r="AW104" s="12">
        <f>AW$5*BC104</f>
        <v>0</v>
      </c>
      <c r="AX104" s="12">
        <f>AX$5*BC104</f>
        <v>0</v>
      </c>
      <c r="AY104" s="12">
        <f>AY$5*BC104</f>
        <v>0</v>
      </c>
      <c r="AZ104" s="12">
        <f>AZ$5*BC104</f>
        <v>0</v>
      </c>
      <c r="BB104" t="s">
        <v>1305</v>
      </c>
      <c r="BC104">
        <f>_xlfn.XLOOKUP(BB104,'KPI Impacts'!$B$2:$H$2,'KPI Impacts'!$B104:$H104)</f>
        <v>-1.6</v>
      </c>
      <c r="BF104" s="12">
        <f>BF$5*BQ104</f>
        <v>0</v>
      </c>
      <c r="BG104" s="12">
        <f>BG$5*BQ104</f>
        <v>0</v>
      </c>
      <c r="BH104" s="12">
        <f>BH$5*BQ104</f>
        <v>0</v>
      </c>
      <c r="BI104" s="12">
        <f>BI$5*BQ104</f>
        <v>0</v>
      </c>
      <c r="BJ104" s="12">
        <f>BJ$5*BQ104</f>
        <v>0</v>
      </c>
      <c r="BK104" s="12">
        <f>BK$5*BQ104</f>
        <v>0</v>
      </c>
      <c r="BL104" s="12">
        <f>BL$5*BQ104</f>
        <v>0</v>
      </c>
      <c r="BM104" s="12">
        <f>BM$5*BQ104</f>
        <v>0</v>
      </c>
      <c r="BN104" s="12">
        <f>BN$5*BQ104</f>
        <v>0</v>
      </c>
      <c r="BP104" t="s">
        <v>1305</v>
      </c>
      <c r="BQ104">
        <f>_xlfn.XLOOKUP(BP104,'KPI Impacts'!$B$2:$H$2,'KPI Impacts'!$B104:$H104)</f>
        <v>-1.6</v>
      </c>
      <c r="BT104" s="12">
        <f>BT$5*CE104</f>
        <v>0</v>
      </c>
      <c r="BU104" s="12">
        <f>BU$5*CE104</f>
        <v>0</v>
      </c>
      <c r="BV104" s="12">
        <f>BV$5*CE104</f>
        <v>0</v>
      </c>
      <c r="BW104" s="12">
        <f>BW$5*CE104</f>
        <v>0</v>
      </c>
      <c r="BX104" s="12">
        <f>BX$5*CE104</f>
        <v>0</v>
      </c>
      <c r="BY104" s="12">
        <f>BY$5*CE104</f>
        <v>0</v>
      </c>
      <c r="BZ104" s="12">
        <f>BZ$5*CE104</f>
        <v>0</v>
      </c>
      <c r="CA104" s="12">
        <f>CA$5*CE104</f>
        <v>0</v>
      </c>
      <c r="CB104" s="12">
        <f>CB$5*CE104</f>
        <v>0</v>
      </c>
      <c r="CD104" t="s">
        <v>1304</v>
      </c>
      <c r="CE104">
        <f>_xlfn.XLOOKUP(CD104,'KPI Impacts'!$B$2:$H$2,'KPI Impacts'!$B104:$H104)</f>
        <v>0</v>
      </c>
      <c r="CH104" s="12">
        <f>CH$5*CS104</f>
        <v>0</v>
      </c>
      <c r="CI104" s="12">
        <f>CI$5*CS104</f>
        <v>0</v>
      </c>
      <c r="CJ104" s="12">
        <f>CJ$5*CS104</f>
        <v>0</v>
      </c>
      <c r="CK104" s="12">
        <f>CK$5*CS104</f>
        <v>0</v>
      </c>
      <c r="CL104" s="12">
        <f>CL$5*CS104</f>
        <v>0</v>
      </c>
      <c r="CM104" s="12">
        <f>CM$5*CS104</f>
        <v>0</v>
      </c>
      <c r="CN104" s="12">
        <f>CN$5*CS104</f>
        <v>0</v>
      </c>
      <c r="CO104" s="12">
        <f>CO$5*CS104</f>
        <v>0</v>
      </c>
      <c r="CP104" s="12">
        <f>CP$5*CS104</f>
        <v>0</v>
      </c>
      <c r="CR104" t="s">
        <v>1304</v>
      </c>
      <c r="CS104">
        <f>_xlfn.XLOOKUP(CR104,'KPI Impacts'!$B$2:$H$2,'KPI Impacts'!$B104:$H104)</f>
        <v>0</v>
      </c>
      <c r="CV104" s="12">
        <f>CV$5*DG104</f>
        <v>0</v>
      </c>
      <c r="CW104" s="12">
        <f>CW$5*DG104</f>
        <v>0</v>
      </c>
      <c r="CX104" s="12">
        <f>CX$5*DG104</f>
        <v>0</v>
      </c>
      <c r="CY104" s="12">
        <f>CY$5*DG104</f>
        <v>0</v>
      </c>
      <c r="CZ104" s="12">
        <f>CZ$5*DG104</f>
        <v>0</v>
      </c>
      <c r="DA104" s="12">
        <f>DA$5*DG104</f>
        <v>0</v>
      </c>
      <c r="DB104" s="12">
        <f>DB$5*DG104</f>
        <v>0</v>
      </c>
      <c r="DC104" s="12">
        <f>DC$5*DG104</f>
        <v>0</v>
      </c>
      <c r="DD104" s="12">
        <f>DD$5*DG104</f>
        <v>0</v>
      </c>
      <c r="DF104" t="s">
        <v>1304</v>
      </c>
      <c r="DG104">
        <f>_xlfn.XLOOKUP(DF104,'KPI Impacts'!$B$2:$H$2,'KPI Impacts'!$B104:$H104)</f>
        <v>0</v>
      </c>
      <c r="DJ104" s="12">
        <f>DJ$5*DU104</f>
        <v>0</v>
      </c>
      <c r="DK104" s="12">
        <f>DK$5*DU104</f>
        <v>0</v>
      </c>
      <c r="DL104" s="12">
        <f>DL$5*DU104</f>
        <v>0</v>
      </c>
      <c r="DM104" s="12">
        <f>DM$5*DU104</f>
        <v>0</v>
      </c>
      <c r="DN104" s="12">
        <f>DN$5*DU104</f>
        <v>0</v>
      </c>
      <c r="DO104" s="12">
        <f>DO$5*DU104</f>
        <v>0</v>
      </c>
      <c r="DP104" s="12">
        <f>DP$5*DU104</f>
        <v>0</v>
      </c>
      <c r="DQ104" s="12">
        <f>DQ$5*DU104</f>
        <v>0</v>
      </c>
      <c r="DR104" s="12">
        <f>DR$5*DU104</f>
        <v>0</v>
      </c>
      <c r="DT104" t="s">
        <v>1304</v>
      </c>
      <c r="DU104">
        <f>_xlfn.XLOOKUP(DT104,'KPI Impacts'!$B$2:$H$2,'KPI Impacts'!$B104:$H104)</f>
        <v>0</v>
      </c>
      <c r="DX104" s="12"/>
      <c r="DY104" s="12"/>
      <c r="DZ104" s="12"/>
      <c r="EA104" s="12"/>
      <c r="EB104" s="12"/>
      <c r="EC104" s="12"/>
      <c r="ED104" s="12"/>
      <c r="EE104" s="12"/>
      <c r="EF104" s="12"/>
    </row>
    <row r="105" spans="1:136" x14ac:dyDescent="0.2">
      <c r="EA105" s="12"/>
      <c r="EB105" s="12"/>
    </row>
    <row r="106" spans="1:136" x14ac:dyDescent="0.2">
      <c r="EA106" s="12"/>
      <c r="EB106" s="12"/>
    </row>
    <row r="107" spans="1:136" x14ac:dyDescent="0.2">
      <c r="EA107" s="12"/>
      <c r="EB107" s="12"/>
    </row>
    <row r="108" spans="1:136" x14ac:dyDescent="0.2">
      <c r="A108" s="5"/>
      <c r="EA108" s="12"/>
      <c r="EB108" s="12"/>
    </row>
    <row r="109" spans="1:136" x14ac:dyDescent="0.2">
      <c r="EA109" s="12"/>
      <c r="EB109" s="12"/>
    </row>
    <row r="110" spans="1:136" x14ac:dyDescent="0.2">
      <c r="EA110" s="12"/>
      <c r="EB110" s="12"/>
    </row>
    <row r="111" spans="1:136" x14ac:dyDescent="0.2">
      <c r="EA111" s="12"/>
      <c r="EB111" s="12"/>
    </row>
    <row r="112" spans="1:136" x14ac:dyDescent="0.2">
      <c r="EA112" s="12"/>
      <c r="EB112" s="12"/>
    </row>
    <row r="113" spans="131:132" x14ac:dyDescent="0.2">
      <c r="EA113" s="12"/>
      <c r="EB113" s="12"/>
    </row>
    <row r="114" spans="131:132" x14ac:dyDescent="0.2">
      <c r="EA114" s="12"/>
      <c r="EB114" s="12"/>
    </row>
    <row r="115" spans="131:132" x14ac:dyDescent="0.2">
      <c r="EA115" s="12"/>
      <c r="EB115" s="12"/>
    </row>
    <row r="116" spans="131:132" x14ac:dyDescent="0.2">
      <c r="EA116" s="12"/>
      <c r="EB116" s="12"/>
    </row>
    <row r="117" spans="131:132" x14ac:dyDescent="0.2">
      <c r="EA117" s="12"/>
      <c r="EB117" s="12"/>
    </row>
    <row r="118" spans="131:132" x14ac:dyDescent="0.2">
      <c r="EA118" s="12"/>
      <c r="EB118" s="12"/>
    </row>
    <row r="119" spans="131:132" x14ac:dyDescent="0.2">
      <c r="EA119" s="12"/>
      <c r="EB119" s="12"/>
    </row>
    <row r="120" spans="131:132" x14ac:dyDescent="0.2">
      <c r="EA120" s="12"/>
      <c r="EB120" s="12"/>
    </row>
    <row r="121" spans="131:132" x14ac:dyDescent="0.2">
      <c r="EA121" s="12"/>
      <c r="EB121" s="12"/>
    </row>
    <row r="122" spans="131:132" x14ac:dyDescent="0.2">
      <c r="EA122" s="12"/>
      <c r="EB122" s="12"/>
    </row>
    <row r="123" spans="131:132" x14ac:dyDescent="0.2">
      <c r="EA123" s="12"/>
      <c r="EB123" s="12"/>
    </row>
    <row r="124" spans="131:132" x14ac:dyDescent="0.2">
      <c r="EA124" s="12"/>
      <c r="EB124" s="12"/>
    </row>
    <row r="125" spans="131:132" x14ac:dyDescent="0.2">
      <c r="EA125" s="12"/>
      <c r="EB125" s="12"/>
    </row>
    <row r="126" spans="131:132" x14ac:dyDescent="0.2">
      <c r="EA126" s="12"/>
      <c r="EB126" s="12"/>
    </row>
    <row r="127" spans="131:132" x14ac:dyDescent="0.2">
      <c r="EA127" s="12"/>
      <c r="EB127" s="12"/>
    </row>
    <row r="128" spans="131:132" x14ac:dyDescent="0.2">
      <c r="EA128" s="12"/>
      <c r="EB128" s="12"/>
    </row>
    <row r="129" spans="131:132" x14ac:dyDescent="0.2">
      <c r="EA129" s="12"/>
      <c r="EB129" s="12"/>
    </row>
    <row r="130" spans="131:132" x14ac:dyDescent="0.2">
      <c r="EA130" s="12"/>
      <c r="EB130" s="12"/>
    </row>
    <row r="131" spans="131:132" x14ac:dyDescent="0.2">
      <c r="EA131" s="12"/>
      <c r="EB131" s="12"/>
    </row>
    <row r="132" spans="131:132" x14ac:dyDescent="0.2">
      <c r="EA132" s="12"/>
      <c r="EB132" s="12"/>
    </row>
    <row r="133" spans="131:132" x14ac:dyDescent="0.2">
      <c r="EA133" s="12"/>
      <c r="EB133" s="12"/>
    </row>
    <row r="134" spans="131:132" x14ac:dyDescent="0.2">
      <c r="EA134" s="12"/>
      <c r="EB134" s="12"/>
    </row>
    <row r="135" spans="131:132" x14ac:dyDescent="0.2">
      <c r="EA135" s="12"/>
      <c r="EB135" s="12"/>
    </row>
    <row r="136" spans="131:132" x14ac:dyDescent="0.2">
      <c r="EA136" s="12"/>
      <c r="EB136" s="12"/>
    </row>
    <row r="137" spans="131:132" x14ac:dyDescent="0.2">
      <c r="EA137" s="12"/>
      <c r="EB137" s="12"/>
    </row>
    <row r="138" spans="131:132" x14ac:dyDescent="0.2">
      <c r="EA138" s="12"/>
      <c r="EB138" s="12"/>
    </row>
    <row r="139" spans="131:132" x14ac:dyDescent="0.2">
      <c r="EA139" s="12"/>
      <c r="EB139" s="12"/>
    </row>
    <row r="140" spans="131:132" x14ac:dyDescent="0.2">
      <c r="EA140" s="12"/>
      <c r="EB140" s="12"/>
    </row>
    <row r="141" spans="131:132" x14ac:dyDescent="0.2">
      <c r="EA141" s="12"/>
      <c r="EB141" s="12"/>
    </row>
    <row r="142" spans="131:132" x14ac:dyDescent="0.2">
      <c r="EA142" s="12"/>
      <c r="EB142" s="12"/>
    </row>
    <row r="143" spans="131:132" x14ac:dyDescent="0.2">
      <c r="EA143" s="12"/>
      <c r="EB143" s="12"/>
    </row>
    <row r="144" spans="131:132" x14ac:dyDescent="0.2">
      <c r="EA144" s="12"/>
      <c r="EB144" s="12"/>
    </row>
    <row r="145" spans="131:132" x14ac:dyDescent="0.2">
      <c r="EA145" s="12"/>
      <c r="EB145" s="12"/>
    </row>
    <row r="146" spans="131:132" x14ac:dyDescent="0.2">
      <c r="EA146" s="12"/>
      <c r="EB146" s="12"/>
    </row>
    <row r="147" spans="131:132" x14ac:dyDescent="0.2">
      <c r="EA147" s="12"/>
      <c r="EB147" s="12"/>
    </row>
    <row r="148" spans="131:132" x14ac:dyDescent="0.2">
      <c r="EA148" s="12"/>
      <c r="EB148" s="12"/>
    </row>
    <row r="149" spans="131:132" x14ac:dyDescent="0.2">
      <c r="EA149" s="12"/>
      <c r="EB149" s="12"/>
    </row>
    <row r="150" spans="131:132" x14ac:dyDescent="0.2">
      <c r="EA150" s="12"/>
      <c r="EB150" s="12"/>
    </row>
    <row r="151" spans="131:132" x14ac:dyDescent="0.2">
      <c r="EA151" s="12"/>
      <c r="EB151" s="12"/>
    </row>
    <row r="152" spans="131:132" x14ac:dyDescent="0.2">
      <c r="EA152" s="12"/>
      <c r="EB152" s="12"/>
    </row>
    <row r="153" spans="131:132" x14ac:dyDescent="0.2">
      <c r="EA153" s="12"/>
      <c r="EB153" s="12"/>
    </row>
    <row r="154" spans="131:132" x14ac:dyDescent="0.2">
      <c r="EA154" s="12"/>
      <c r="EB154" s="12"/>
    </row>
    <row r="155" spans="131:132" x14ac:dyDescent="0.2">
      <c r="EA155" s="12"/>
      <c r="EB155" s="12"/>
    </row>
    <row r="156" spans="131:132" x14ac:dyDescent="0.2">
      <c r="EA156" s="12"/>
      <c r="EB156" s="12"/>
    </row>
    <row r="157" spans="131:132" x14ac:dyDescent="0.2">
      <c r="EA157" s="12"/>
      <c r="EB157" s="12"/>
    </row>
    <row r="158" spans="131:132" x14ac:dyDescent="0.2">
      <c r="EA158" s="12"/>
      <c r="EB158" s="12"/>
    </row>
    <row r="159" spans="131:132" x14ac:dyDescent="0.2">
      <c r="EA159" s="12"/>
      <c r="EB159" s="12"/>
    </row>
    <row r="160" spans="131:132" x14ac:dyDescent="0.2">
      <c r="EA160" s="12"/>
      <c r="EB160" s="12"/>
    </row>
    <row r="161" spans="131:132" x14ac:dyDescent="0.2">
      <c r="EA161" s="12"/>
      <c r="EB161" s="12"/>
    </row>
    <row r="162" spans="131:132" x14ac:dyDescent="0.2">
      <c r="EA162" s="12"/>
      <c r="EB162" s="12"/>
    </row>
    <row r="163" spans="131:132" x14ac:dyDescent="0.2">
      <c r="EA163" s="12"/>
      <c r="EB163" s="12"/>
    </row>
    <row r="164" spans="131:132" x14ac:dyDescent="0.2">
      <c r="EA164" s="12"/>
      <c r="EB164" s="12"/>
    </row>
    <row r="165" spans="131:132" x14ac:dyDescent="0.2">
      <c r="EA165" s="12"/>
      <c r="EB165" s="12"/>
    </row>
    <row r="166" spans="131:132" x14ac:dyDescent="0.2">
      <c r="EA166" s="12"/>
      <c r="EB166" s="12"/>
    </row>
    <row r="167" spans="131:132" x14ac:dyDescent="0.2">
      <c r="EA167" s="12"/>
      <c r="EB167" s="12"/>
    </row>
    <row r="168" spans="131:132" x14ac:dyDescent="0.2">
      <c r="EA168" s="12"/>
      <c r="EB168" s="12"/>
    </row>
    <row r="169" spans="131:132" x14ac:dyDescent="0.2">
      <c r="EA169" s="12"/>
      <c r="EB169" s="12"/>
    </row>
    <row r="170" spans="131:132" x14ac:dyDescent="0.2">
      <c r="EA170" s="12"/>
      <c r="EB170" s="12"/>
    </row>
    <row r="171" spans="131:132" x14ac:dyDescent="0.2">
      <c r="EA171" s="12"/>
      <c r="EB171" s="12"/>
    </row>
    <row r="172" spans="131:132" x14ac:dyDescent="0.2">
      <c r="EA172" s="12"/>
      <c r="EB172" s="12"/>
    </row>
    <row r="173" spans="131:132" x14ac:dyDescent="0.2">
      <c r="EA173" s="12"/>
      <c r="EB173" s="12"/>
    </row>
    <row r="174" spans="131:132" x14ac:dyDescent="0.2">
      <c r="EA174" s="12"/>
      <c r="EB174" s="12"/>
    </row>
    <row r="175" spans="131:132" x14ac:dyDescent="0.2">
      <c r="EA175" s="12"/>
      <c r="EB175" s="12"/>
    </row>
    <row r="176" spans="131:132" x14ac:dyDescent="0.2">
      <c r="EA176" s="12"/>
      <c r="EB176" s="12"/>
    </row>
    <row r="177" spans="131:132" x14ac:dyDescent="0.2">
      <c r="EA177" s="12"/>
      <c r="EB177" s="12"/>
    </row>
    <row r="178" spans="131:132" x14ac:dyDescent="0.2">
      <c r="EA178" s="12"/>
      <c r="EB178" s="12"/>
    </row>
    <row r="179" spans="131:132" x14ac:dyDescent="0.2">
      <c r="EA179" s="12"/>
      <c r="EB179" s="12"/>
    </row>
    <row r="180" spans="131:132" x14ac:dyDescent="0.2">
      <c r="EA180" s="12"/>
      <c r="EB180" s="12"/>
    </row>
    <row r="181" spans="131:132" x14ac:dyDescent="0.2">
      <c r="EA181" s="12"/>
      <c r="EB181" s="12"/>
    </row>
    <row r="182" spans="131:132" x14ac:dyDescent="0.2">
      <c r="EA182" s="12"/>
      <c r="EB182" s="12"/>
    </row>
    <row r="183" spans="131:132" x14ac:dyDescent="0.2">
      <c r="EA183" s="12"/>
      <c r="EB183" s="12"/>
    </row>
    <row r="184" spans="131:132" x14ac:dyDescent="0.2">
      <c r="EA184" s="12"/>
      <c r="EB184" s="12"/>
    </row>
    <row r="185" spans="131:132" x14ac:dyDescent="0.2">
      <c r="EA185" s="12"/>
      <c r="EB185" s="12"/>
    </row>
    <row r="186" spans="131:132" x14ac:dyDescent="0.2">
      <c r="EA186" s="12"/>
      <c r="EB186" s="12"/>
    </row>
    <row r="187" spans="131:132" x14ac:dyDescent="0.2">
      <c r="EA187" s="12"/>
      <c r="EB187" s="12"/>
    </row>
    <row r="188" spans="131:132" x14ac:dyDescent="0.2">
      <c r="EA188" s="12"/>
      <c r="EB188" s="12"/>
    </row>
    <row r="189" spans="131:132" x14ac:dyDescent="0.2">
      <c r="EA189" s="12"/>
      <c r="EB189" s="12"/>
    </row>
    <row r="190" spans="131:132" x14ac:dyDescent="0.2">
      <c r="EA190" s="12"/>
      <c r="EB190" s="12"/>
    </row>
    <row r="191" spans="131:132" x14ac:dyDescent="0.2">
      <c r="EA191" s="12"/>
      <c r="EB191" s="12"/>
    </row>
    <row r="192" spans="131:132" x14ac:dyDescent="0.2">
      <c r="EA192" s="12"/>
      <c r="EB192" s="12"/>
    </row>
    <row r="193" spans="131:132" x14ac:dyDescent="0.2">
      <c r="EA193" s="12"/>
      <c r="EB193" s="12"/>
    </row>
    <row r="194" spans="131:132" x14ac:dyDescent="0.2">
      <c r="EA194" s="12"/>
      <c r="EB194" s="12"/>
    </row>
    <row r="195" spans="131:132" x14ac:dyDescent="0.2">
      <c r="EA195" s="12"/>
      <c r="EB195" s="12"/>
    </row>
    <row r="196" spans="131:132" x14ac:dyDescent="0.2">
      <c r="EA196" s="12"/>
      <c r="EB196" s="12"/>
    </row>
    <row r="197" spans="131:132" x14ac:dyDescent="0.2">
      <c r="EA197" s="12"/>
      <c r="EB197" s="12"/>
    </row>
    <row r="198" spans="131:132" x14ac:dyDescent="0.2">
      <c r="EA198" s="12"/>
      <c r="EB198" s="12"/>
    </row>
    <row r="199" spans="131:132" x14ac:dyDescent="0.2">
      <c r="EA199" s="12"/>
      <c r="EB199" s="12"/>
    </row>
    <row r="200" spans="131:132" x14ac:dyDescent="0.2">
      <c r="EA200" s="12"/>
      <c r="EB200" s="12"/>
    </row>
    <row r="201" spans="131:132" x14ac:dyDescent="0.2">
      <c r="EA201" s="12"/>
      <c r="EB201" s="12"/>
    </row>
    <row r="202" spans="131:132" x14ac:dyDescent="0.2">
      <c r="EA202" s="12"/>
      <c r="EB202" s="12"/>
    </row>
    <row r="203" spans="131:132" x14ac:dyDescent="0.2">
      <c r="EA203" s="12"/>
      <c r="EB203" s="12"/>
    </row>
    <row r="204" spans="131:132" x14ac:dyDescent="0.2">
      <c r="EA204" s="12"/>
      <c r="EB204" s="12"/>
    </row>
    <row r="205" spans="131:132" x14ac:dyDescent="0.2">
      <c r="EA205" s="12"/>
      <c r="EB205" s="12"/>
    </row>
    <row r="206" spans="131:132" x14ac:dyDescent="0.2">
      <c r="EA206" s="12"/>
      <c r="EB206" s="12"/>
    </row>
    <row r="207" spans="131:132" x14ac:dyDescent="0.2">
      <c r="EA207" s="12"/>
      <c r="EB207" s="12"/>
    </row>
    <row r="208" spans="131:132" x14ac:dyDescent="0.2">
      <c r="EA208" s="12"/>
      <c r="EB208" s="12"/>
    </row>
    <row r="209" spans="131:132" x14ac:dyDescent="0.2">
      <c r="EA209" s="12"/>
      <c r="EB209" s="12"/>
    </row>
    <row r="210" spans="131:132" x14ac:dyDescent="0.2">
      <c r="EA210" s="12"/>
      <c r="EB210" s="12"/>
    </row>
    <row r="211" spans="131:132" x14ac:dyDescent="0.2">
      <c r="EA211" s="12"/>
      <c r="EB211" s="12"/>
    </row>
    <row r="212" spans="131:132" x14ac:dyDescent="0.2">
      <c r="EA212" s="12"/>
      <c r="EB212" s="12"/>
    </row>
    <row r="213" spans="131:132" x14ac:dyDescent="0.2">
      <c r="EA213" s="12"/>
      <c r="EB213" s="12"/>
    </row>
    <row r="214" spans="131:132" x14ac:dyDescent="0.2">
      <c r="EA214" s="12"/>
      <c r="EB214" s="12"/>
    </row>
    <row r="215" spans="131:132" x14ac:dyDescent="0.2">
      <c r="EA215" s="12"/>
      <c r="EB215" s="12"/>
    </row>
    <row r="216" spans="131:132" x14ac:dyDescent="0.2">
      <c r="EA216" s="12"/>
      <c r="EB216" s="12"/>
    </row>
    <row r="217" spans="131:132" x14ac:dyDescent="0.2">
      <c r="EA217" s="12"/>
      <c r="EB217" s="12"/>
    </row>
    <row r="218" spans="131:132" x14ac:dyDescent="0.2">
      <c r="EA218" s="12"/>
      <c r="EB218" s="12"/>
    </row>
    <row r="219" spans="131:132" x14ac:dyDescent="0.2">
      <c r="EA219" s="12"/>
      <c r="EB219" s="12"/>
    </row>
    <row r="220" spans="131:132" x14ac:dyDescent="0.2">
      <c r="EA220" s="12"/>
      <c r="EB220" s="12"/>
    </row>
    <row r="221" spans="131:132" x14ac:dyDescent="0.2">
      <c r="EA221" s="12"/>
      <c r="EB221" s="12"/>
    </row>
    <row r="222" spans="131:132" x14ac:dyDescent="0.2">
      <c r="EA222" s="12"/>
      <c r="EB222" s="12"/>
    </row>
    <row r="223" spans="131:132" x14ac:dyDescent="0.2">
      <c r="EA223" s="12"/>
      <c r="EB223" s="12"/>
    </row>
    <row r="224" spans="131:132" x14ac:dyDescent="0.2">
      <c r="EA224" s="12"/>
      <c r="EB224" s="12"/>
    </row>
    <row r="225" spans="131:132" x14ac:dyDescent="0.2">
      <c r="EA225" s="12"/>
      <c r="EB225" s="12"/>
    </row>
    <row r="226" spans="131:132" x14ac:dyDescent="0.2">
      <c r="EA226" s="12"/>
      <c r="EB226" s="12"/>
    </row>
    <row r="227" spans="131:132" x14ac:dyDescent="0.2">
      <c r="EA227" s="12"/>
      <c r="EB227" s="12"/>
    </row>
    <row r="228" spans="131:132" x14ac:dyDescent="0.2">
      <c r="EA228" s="12"/>
      <c r="EB228" s="12"/>
    </row>
    <row r="229" spans="131:132" x14ac:dyDescent="0.2">
      <c r="EA229" s="12"/>
      <c r="EB229" s="12"/>
    </row>
    <row r="230" spans="131:132" x14ac:dyDescent="0.2">
      <c r="EA230" s="12"/>
      <c r="EB230" s="12"/>
    </row>
    <row r="231" spans="131:132" x14ac:dyDescent="0.2">
      <c r="EA231" s="12"/>
      <c r="EB231" s="12"/>
    </row>
    <row r="232" spans="131:132" x14ac:dyDescent="0.2">
      <c r="EA232" s="12"/>
      <c r="EB232" s="12"/>
    </row>
    <row r="233" spans="131:132" x14ac:dyDescent="0.2">
      <c r="EA233" s="12"/>
      <c r="EB233" s="12"/>
    </row>
    <row r="234" spans="131:132" x14ac:dyDescent="0.2">
      <c r="EA234" s="12"/>
      <c r="EB234" s="12"/>
    </row>
    <row r="235" spans="131:132" x14ac:dyDescent="0.2">
      <c r="EA235" s="12"/>
      <c r="EB235" s="12"/>
    </row>
    <row r="236" spans="131:132" x14ac:dyDescent="0.2">
      <c r="EA236" s="12"/>
      <c r="EB236" s="12"/>
    </row>
    <row r="237" spans="131:132" x14ac:dyDescent="0.2">
      <c r="EA237" s="12"/>
      <c r="EB237" s="12"/>
    </row>
    <row r="238" spans="131:132" x14ac:dyDescent="0.2">
      <c r="EA238" s="12"/>
      <c r="EB238" s="12"/>
    </row>
    <row r="239" spans="131:132" x14ac:dyDescent="0.2">
      <c r="EA239" s="12"/>
      <c r="EB239" s="12"/>
    </row>
    <row r="240" spans="131:132" x14ac:dyDescent="0.2">
      <c r="EA240" s="12"/>
      <c r="EB240" s="12"/>
    </row>
    <row r="241" spans="131:132" x14ac:dyDescent="0.2">
      <c r="EA241" s="12"/>
      <c r="EB241" s="12"/>
    </row>
    <row r="242" spans="131:132" x14ac:dyDescent="0.2">
      <c r="EA242" s="12"/>
      <c r="EB242" s="12"/>
    </row>
    <row r="243" spans="131:132" x14ac:dyDescent="0.2">
      <c r="EA243" s="12"/>
      <c r="EB243" s="12"/>
    </row>
    <row r="244" spans="131:132" x14ac:dyDescent="0.2">
      <c r="EA244" s="12"/>
      <c r="EB244" s="12"/>
    </row>
    <row r="245" spans="131:132" x14ac:dyDescent="0.2">
      <c r="EA245" s="12"/>
      <c r="EB245" s="12"/>
    </row>
    <row r="246" spans="131:132" x14ac:dyDescent="0.2">
      <c r="EA246" s="12"/>
      <c r="EB246" s="12"/>
    </row>
    <row r="247" spans="131:132" x14ac:dyDescent="0.2">
      <c r="EA247" s="12"/>
      <c r="EB247" s="12"/>
    </row>
    <row r="248" spans="131:132" x14ac:dyDescent="0.2">
      <c r="EA248" s="12"/>
      <c r="EB248" s="12"/>
    </row>
    <row r="249" spans="131:132" x14ac:dyDescent="0.2">
      <c r="EA249" s="12"/>
      <c r="EB249" s="12"/>
    </row>
    <row r="250" spans="131:132" x14ac:dyDescent="0.2">
      <c r="EA250" s="12"/>
      <c r="EB250" s="12"/>
    </row>
    <row r="251" spans="131:132" x14ac:dyDescent="0.2">
      <c r="EA251" s="12"/>
      <c r="EB251" s="12"/>
    </row>
    <row r="252" spans="131:132" x14ac:dyDescent="0.2">
      <c r="EA252" s="12"/>
      <c r="EB252" s="12"/>
    </row>
    <row r="253" spans="131:132" x14ac:dyDescent="0.2">
      <c r="EA253" s="12"/>
      <c r="EB253" s="12"/>
    </row>
    <row r="254" spans="131:132" x14ac:dyDescent="0.2">
      <c r="EA254" s="12"/>
      <c r="EB254" s="12"/>
    </row>
    <row r="255" spans="131:132" x14ac:dyDescent="0.2">
      <c r="EA255" s="12"/>
      <c r="EB255" s="12"/>
    </row>
    <row r="256" spans="131:132" x14ac:dyDescent="0.2">
      <c r="EA256" s="12"/>
      <c r="EB256" s="12"/>
    </row>
    <row r="257" spans="131:132" x14ac:dyDescent="0.2">
      <c r="EA257" s="12"/>
      <c r="EB257" s="12"/>
    </row>
    <row r="258" spans="131:132" x14ac:dyDescent="0.2">
      <c r="EA258" s="12"/>
      <c r="EB258" s="12"/>
    </row>
    <row r="259" spans="131:132" x14ac:dyDescent="0.2">
      <c r="EA259" s="12"/>
      <c r="EB259" s="12"/>
    </row>
    <row r="260" spans="131:132" x14ac:dyDescent="0.2">
      <c r="EA260" s="12"/>
      <c r="EB260" s="12"/>
    </row>
    <row r="261" spans="131:132" x14ac:dyDescent="0.2">
      <c r="EA261" s="12"/>
      <c r="EB261" s="12"/>
    </row>
    <row r="262" spans="131:132" x14ac:dyDescent="0.2">
      <c r="EA262" s="12"/>
      <c r="EB262" s="12"/>
    </row>
    <row r="263" spans="131:132" x14ac:dyDescent="0.2">
      <c r="EA263" s="12"/>
      <c r="EB263" s="12"/>
    </row>
    <row r="264" spans="131:132" x14ac:dyDescent="0.2">
      <c r="EA264" s="12"/>
      <c r="EB264" s="12"/>
    </row>
    <row r="265" spans="131:132" x14ac:dyDescent="0.2">
      <c r="EA265" s="12"/>
      <c r="EB265" s="12"/>
    </row>
    <row r="266" spans="131:132" x14ac:dyDescent="0.2">
      <c r="EA266" s="12"/>
      <c r="EB266" s="12"/>
    </row>
    <row r="267" spans="131:132" x14ac:dyDescent="0.2">
      <c r="EA267" s="12"/>
      <c r="EB267" s="12"/>
    </row>
    <row r="268" spans="131:132" x14ac:dyDescent="0.2">
      <c r="EA268" s="12"/>
      <c r="EB268" s="12"/>
    </row>
    <row r="269" spans="131:132" x14ac:dyDescent="0.2">
      <c r="EA269" s="12"/>
      <c r="EB269" s="12"/>
    </row>
    <row r="270" spans="131:132" x14ac:dyDescent="0.2">
      <c r="EA270" s="12"/>
      <c r="EB270" s="12"/>
    </row>
    <row r="271" spans="131:132" x14ac:dyDescent="0.2">
      <c r="EA271" s="12"/>
      <c r="EB271" s="12"/>
    </row>
    <row r="272" spans="131:132" x14ac:dyDescent="0.2">
      <c r="EA272" s="12"/>
      <c r="EB272" s="12"/>
    </row>
    <row r="273" spans="131:132" x14ac:dyDescent="0.2">
      <c r="EA273" s="12"/>
      <c r="EB273" s="12"/>
    </row>
    <row r="274" spans="131:132" x14ac:dyDescent="0.2">
      <c r="EA274" s="12"/>
      <c r="EB274" s="12"/>
    </row>
    <row r="275" spans="131:132" x14ac:dyDescent="0.2">
      <c r="EA275" s="12"/>
      <c r="EB275" s="12"/>
    </row>
    <row r="276" spans="131:132" x14ac:dyDescent="0.2">
      <c r="EA276" s="12"/>
      <c r="EB276" s="12"/>
    </row>
    <row r="277" spans="131:132" x14ac:dyDescent="0.2">
      <c r="EA277" s="12"/>
      <c r="EB277" s="12"/>
    </row>
    <row r="278" spans="131:132" x14ac:dyDescent="0.2">
      <c r="EA278" s="12"/>
      <c r="EB278" s="12"/>
    </row>
    <row r="279" spans="131:132" x14ac:dyDescent="0.2">
      <c r="EA279" s="12"/>
      <c r="EB279" s="12"/>
    </row>
    <row r="280" spans="131:132" x14ac:dyDescent="0.2">
      <c r="EA280" s="12"/>
      <c r="EB280" s="12"/>
    </row>
    <row r="281" spans="131:132" x14ac:dyDescent="0.2">
      <c r="EA281" s="12"/>
      <c r="EB281" s="12"/>
    </row>
    <row r="282" spans="131:132" x14ac:dyDescent="0.2">
      <c r="EA282" s="12"/>
      <c r="EB282" s="12"/>
    </row>
    <row r="283" spans="131:132" x14ac:dyDescent="0.2">
      <c r="EA283" s="12"/>
      <c r="EB283" s="12"/>
    </row>
    <row r="284" spans="131:132" x14ac:dyDescent="0.2">
      <c r="EA284" s="12"/>
      <c r="EB284" s="12"/>
    </row>
    <row r="285" spans="131:132" x14ac:dyDescent="0.2">
      <c r="EA285" s="12"/>
      <c r="EB285" s="12"/>
    </row>
    <row r="286" spans="131:132" x14ac:dyDescent="0.2">
      <c r="EA286" s="12"/>
      <c r="EB286" s="12"/>
    </row>
    <row r="287" spans="131:132" x14ac:dyDescent="0.2">
      <c r="EA287" s="12"/>
      <c r="EB287" s="12"/>
    </row>
    <row r="288" spans="131:132" x14ac:dyDescent="0.2">
      <c r="EA288" s="12"/>
      <c r="EB288" s="12"/>
    </row>
    <row r="289" spans="131:132" x14ac:dyDescent="0.2">
      <c r="EA289" s="12"/>
      <c r="EB289" s="12"/>
    </row>
    <row r="290" spans="131:132" x14ac:dyDescent="0.2">
      <c r="EA290" s="12"/>
      <c r="EB290" s="12"/>
    </row>
    <row r="291" spans="131:132" x14ac:dyDescent="0.2">
      <c r="EA291" s="12"/>
      <c r="EB291" s="12"/>
    </row>
    <row r="292" spans="131:132" x14ac:dyDescent="0.2">
      <c r="EA292" s="12"/>
      <c r="EB292" s="12"/>
    </row>
    <row r="293" spans="131:132" x14ac:dyDescent="0.2">
      <c r="EA293" s="12"/>
      <c r="EB293" s="12"/>
    </row>
    <row r="294" spans="131:132" x14ac:dyDescent="0.2">
      <c r="EA294" s="12"/>
      <c r="EB294" s="12"/>
    </row>
    <row r="295" spans="131:132" x14ac:dyDescent="0.2">
      <c r="EA295" s="12"/>
      <c r="EB295" s="12"/>
    </row>
    <row r="296" spans="131:132" x14ac:dyDescent="0.2">
      <c r="EA296" s="12"/>
      <c r="EB296" s="12"/>
    </row>
    <row r="297" spans="131:132" x14ac:dyDescent="0.2">
      <c r="EA297" s="12"/>
      <c r="EB297" s="12"/>
    </row>
    <row r="298" spans="131:132" x14ac:dyDescent="0.2">
      <c r="EA298" s="12"/>
      <c r="EB298" s="12"/>
    </row>
    <row r="299" spans="131:132" x14ac:dyDescent="0.2">
      <c r="EA299" s="12"/>
      <c r="EB299" s="12"/>
    </row>
    <row r="300" spans="131:132" x14ac:dyDescent="0.2">
      <c r="EA300" s="12"/>
      <c r="EB300" s="12"/>
    </row>
    <row r="301" spans="131:132" x14ac:dyDescent="0.2">
      <c r="EA301" s="12"/>
      <c r="EB301" s="12"/>
    </row>
    <row r="302" spans="131:132" x14ac:dyDescent="0.2">
      <c r="EA302" s="12"/>
      <c r="EB302" s="12"/>
    </row>
    <row r="303" spans="131:132" x14ac:dyDescent="0.2">
      <c r="EA303" s="12"/>
      <c r="EB303" s="12"/>
    </row>
    <row r="304" spans="131:132" x14ac:dyDescent="0.2">
      <c r="EA304" s="12"/>
      <c r="EB304" s="12"/>
    </row>
    <row r="305" spans="131:132" x14ac:dyDescent="0.2">
      <c r="EA305" s="12"/>
      <c r="EB305" s="12"/>
    </row>
    <row r="306" spans="131:132" x14ac:dyDescent="0.2">
      <c r="EA306" s="12"/>
      <c r="EB306" s="12"/>
    </row>
    <row r="307" spans="131:132" x14ac:dyDescent="0.2">
      <c r="EA307" s="12"/>
      <c r="EB307" s="12"/>
    </row>
    <row r="308" spans="131:132" x14ac:dyDescent="0.2">
      <c r="EA308" s="12"/>
      <c r="EB308" s="12"/>
    </row>
    <row r="309" spans="131:132" x14ac:dyDescent="0.2">
      <c r="EA309" s="12"/>
      <c r="EB309" s="12"/>
    </row>
    <row r="310" spans="131:132" x14ac:dyDescent="0.2">
      <c r="EA310" s="12"/>
      <c r="EB310" s="12"/>
    </row>
    <row r="311" spans="131:132" x14ac:dyDescent="0.2">
      <c r="EA311" s="12"/>
      <c r="EB311" s="12"/>
    </row>
    <row r="312" spans="131:132" x14ac:dyDescent="0.2">
      <c r="EA312" s="12"/>
      <c r="EB312" s="12"/>
    </row>
    <row r="313" spans="131:132" x14ac:dyDescent="0.2">
      <c r="EA313" s="12"/>
      <c r="EB313" s="12"/>
    </row>
    <row r="314" spans="131:132" x14ac:dyDescent="0.2">
      <c r="EA314" s="12"/>
      <c r="EB314" s="12"/>
    </row>
    <row r="315" spans="131:132" x14ac:dyDescent="0.2">
      <c r="EA315" s="12"/>
      <c r="EB315" s="12"/>
    </row>
    <row r="316" spans="131:132" x14ac:dyDescent="0.2">
      <c r="EA316" s="12"/>
      <c r="EB316" s="12"/>
    </row>
    <row r="317" spans="131:132" x14ac:dyDescent="0.2">
      <c r="EA317" s="12"/>
      <c r="EB317" s="12"/>
    </row>
    <row r="318" spans="131:132" x14ac:dyDescent="0.2">
      <c r="EA318" s="12"/>
      <c r="EB318" s="12"/>
    </row>
    <row r="319" spans="131:132" x14ac:dyDescent="0.2">
      <c r="EA319" s="12"/>
      <c r="EB319" s="12"/>
    </row>
    <row r="320" spans="131:132" x14ac:dyDescent="0.2">
      <c r="EA320" s="12"/>
      <c r="EB320" s="12"/>
    </row>
    <row r="321" spans="131:132" x14ac:dyDescent="0.2">
      <c r="EA321" s="12"/>
      <c r="EB321" s="12"/>
    </row>
    <row r="322" spans="131:132" x14ac:dyDescent="0.2">
      <c r="EA322" s="12"/>
      <c r="EB322" s="12"/>
    </row>
    <row r="323" spans="131:132" x14ac:dyDescent="0.2">
      <c r="EA323" s="12"/>
      <c r="EB323" s="12"/>
    </row>
    <row r="324" spans="131:132" x14ac:dyDescent="0.2">
      <c r="EA324" s="12"/>
      <c r="EB324" s="12"/>
    </row>
    <row r="325" spans="131:132" x14ac:dyDescent="0.2">
      <c r="EA325" s="12"/>
      <c r="EB325" s="12"/>
    </row>
    <row r="326" spans="131:132" x14ac:dyDescent="0.2">
      <c r="EA326" s="12"/>
      <c r="EB326" s="12"/>
    </row>
    <row r="327" spans="131:132" x14ac:dyDescent="0.2">
      <c r="EA327" s="12"/>
      <c r="EB327" s="12"/>
    </row>
    <row r="328" spans="131:132" x14ac:dyDescent="0.2">
      <c r="EA328" s="12"/>
      <c r="EB328" s="12"/>
    </row>
    <row r="329" spans="131:132" x14ac:dyDescent="0.2">
      <c r="EA329" s="12"/>
      <c r="EB329" s="12"/>
    </row>
    <row r="330" spans="131:132" x14ac:dyDescent="0.2">
      <c r="EA330" s="12"/>
      <c r="EB330" s="12"/>
    </row>
    <row r="331" spans="131:132" x14ac:dyDescent="0.2">
      <c r="EA331" s="12"/>
      <c r="EB331" s="12"/>
    </row>
    <row r="332" spans="131:132" x14ac:dyDescent="0.2">
      <c r="EA332" s="12"/>
      <c r="EB332" s="12"/>
    </row>
    <row r="333" spans="131:132" x14ac:dyDescent="0.2">
      <c r="EA333" s="12"/>
      <c r="EB333" s="12"/>
    </row>
    <row r="334" spans="131:132" x14ac:dyDescent="0.2">
      <c r="EA334" s="12"/>
      <c r="EB334" s="12"/>
    </row>
    <row r="335" spans="131:132" x14ac:dyDescent="0.2">
      <c r="EA335" s="12"/>
      <c r="EB335" s="12"/>
    </row>
    <row r="336" spans="131:132" x14ac:dyDescent="0.2">
      <c r="EA336" s="12"/>
      <c r="EB336" s="12"/>
    </row>
    <row r="337" spans="131:132" x14ac:dyDescent="0.2">
      <c r="EA337" s="12"/>
      <c r="EB337" s="12"/>
    </row>
    <row r="338" spans="131:132" x14ac:dyDescent="0.2">
      <c r="EA338" s="12"/>
      <c r="EB338" s="12"/>
    </row>
    <row r="339" spans="131:132" x14ac:dyDescent="0.2">
      <c r="EA339" s="12"/>
      <c r="EB339" s="12"/>
    </row>
    <row r="340" spans="131:132" x14ac:dyDescent="0.2">
      <c r="EA340" s="12"/>
      <c r="EB340" s="12"/>
    </row>
    <row r="341" spans="131:132" x14ac:dyDescent="0.2">
      <c r="EA341" s="12"/>
      <c r="EB341" s="12"/>
    </row>
    <row r="342" spans="131:132" x14ac:dyDescent="0.2">
      <c r="EA342" s="12"/>
      <c r="EB342" s="12"/>
    </row>
    <row r="343" spans="131:132" x14ac:dyDescent="0.2">
      <c r="EA343" s="12"/>
      <c r="EB343" s="12"/>
    </row>
    <row r="344" spans="131:132" x14ac:dyDescent="0.2">
      <c r="EA344" s="12"/>
      <c r="EB344" s="12"/>
    </row>
    <row r="345" spans="131:132" x14ac:dyDescent="0.2">
      <c r="EA345" s="12"/>
      <c r="EB345" s="12"/>
    </row>
    <row r="346" spans="131:132" x14ac:dyDescent="0.2">
      <c r="EA346" s="12"/>
      <c r="EB346" s="12"/>
    </row>
    <row r="347" spans="131:132" x14ac:dyDescent="0.2">
      <c r="EA347" s="12"/>
      <c r="EB347" s="12"/>
    </row>
    <row r="348" spans="131:132" x14ac:dyDescent="0.2">
      <c r="EA348" s="12"/>
      <c r="EB348" s="12"/>
    </row>
    <row r="349" spans="131:132" x14ac:dyDescent="0.2">
      <c r="EA349" s="12"/>
      <c r="EB349" s="12"/>
    </row>
    <row r="350" spans="131:132" x14ac:dyDescent="0.2">
      <c r="EA350" s="12"/>
      <c r="EB350" s="12"/>
    </row>
    <row r="351" spans="131:132" x14ac:dyDescent="0.2">
      <c r="EA351" s="12"/>
      <c r="EB351" s="12"/>
    </row>
    <row r="352" spans="131:132" x14ac:dyDescent="0.2">
      <c r="EA352" s="12"/>
      <c r="EB352" s="12"/>
    </row>
    <row r="353" spans="131:132" x14ac:dyDescent="0.2">
      <c r="EA353" s="12"/>
      <c r="EB353" s="12"/>
    </row>
    <row r="354" spans="131:132" x14ac:dyDescent="0.2">
      <c r="EA354" s="12"/>
      <c r="EB354" s="12"/>
    </row>
    <row r="355" spans="131:132" x14ac:dyDescent="0.2">
      <c r="EA355" s="12"/>
      <c r="EB355" s="12"/>
    </row>
    <row r="356" spans="131:132" x14ac:dyDescent="0.2">
      <c r="EA356" s="12"/>
      <c r="EB356" s="12"/>
    </row>
    <row r="357" spans="131:132" x14ac:dyDescent="0.2">
      <c r="EA357" s="12"/>
      <c r="EB357" s="12"/>
    </row>
    <row r="358" spans="131:132" x14ac:dyDescent="0.2">
      <c r="EA358" s="12"/>
      <c r="EB358" s="12"/>
    </row>
    <row r="359" spans="131:132" x14ac:dyDescent="0.2">
      <c r="EA359" s="12"/>
      <c r="EB359" s="12"/>
    </row>
    <row r="360" spans="131:132" x14ac:dyDescent="0.2">
      <c r="EA360" s="12"/>
      <c r="EB360" s="12"/>
    </row>
    <row r="361" spans="131:132" x14ac:dyDescent="0.2">
      <c r="EA361" s="12"/>
      <c r="EB361" s="12"/>
    </row>
    <row r="362" spans="131:132" x14ac:dyDescent="0.2">
      <c r="EA362" s="12"/>
      <c r="EB362" s="12"/>
    </row>
    <row r="363" spans="131:132" x14ac:dyDescent="0.2">
      <c r="EA363" s="12"/>
      <c r="EB363" s="12"/>
    </row>
    <row r="364" spans="131:132" x14ac:dyDescent="0.2">
      <c r="EA364" s="12"/>
      <c r="EB364" s="12"/>
    </row>
    <row r="365" spans="131:132" x14ac:dyDescent="0.2">
      <c r="EA365" s="12"/>
      <c r="EB365" s="12"/>
    </row>
    <row r="366" spans="131:132" x14ac:dyDescent="0.2">
      <c r="EA366" s="12"/>
      <c r="EB366" s="12"/>
    </row>
    <row r="367" spans="131:132" x14ac:dyDescent="0.2">
      <c r="EA367" s="12"/>
      <c r="EB367" s="12"/>
    </row>
    <row r="368" spans="131:132" x14ac:dyDescent="0.2">
      <c r="EA368" s="12"/>
      <c r="EB368" s="12"/>
    </row>
    <row r="369" spans="131:132" x14ac:dyDescent="0.2">
      <c r="EA369" s="12"/>
      <c r="EB369" s="12"/>
    </row>
    <row r="370" spans="131:132" x14ac:dyDescent="0.2">
      <c r="EA370" s="12"/>
      <c r="EB370" s="12"/>
    </row>
    <row r="371" spans="131:132" x14ac:dyDescent="0.2">
      <c r="EA371" s="12"/>
      <c r="EB371" s="12"/>
    </row>
    <row r="372" spans="131:132" x14ac:dyDescent="0.2">
      <c r="EA372" s="12"/>
      <c r="EB372" s="12"/>
    </row>
    <row r="373" spans="131:132" x14ac:dyDescent="0.2">
      <c r="EA373" s="12"/>
      <c r="EB373" s="12"/>
    </row>
    <row r="374" spans="131:132" x14ac:dyDescent="0.2">
      <c r="EA374" s="12"/>
      <c r="EB374" s="12"/>
    </row>
    <row r="375" spans="131:132" x14ac:dyDescent="0.2">
      <c r="EA375" s="12"/>
      <c r="EB375" s="12"/>
    </row>
    <row r="376" spans="131:132" x14ac:dyDescent="0.2">
      <c r="EA376" s="12"/>
      <c r="EB376" s="12"/>
    </row>
    <row r="377" spans="131:132" x14ac:dyDescent="0.2">
      <c r="EA377" s="12"/>
      <c r="EB377" s="12"/>
    </row>
    <row r="378" spans="131:132" x14ac:dyDescent="0.2">
      <c r="EA378" s="12"/>
      <c r="EB378" s="12"/>
    </row>
    <row r="379" spans="131:132" x14ac:dyDescent="0.2">
      <c r="EA379" s="12"/>
      <c r="EB379" s="12"/>
    </row>
    <row r="380" spans="131:132" x14ac:dyDescent="0.2">
      <c r="EA380" s="12"/>
      <c r="EB380" s="12"/>
    </row>
    <row r="381" spans="131:132" x14ac:dyDescent="0.2">
      <c r="EA381" s="12"/>
      <c r="EB381" s="12"/>
    </row>
    <row r="382" spans="131:132" x14ac:dyDescent="0.2">
      <c r="EA382" s="12"/>
      <c r="EB382" s="12"/>
    </row>
    <row r="383" spans="131:132" x14ac:dyDescent="0.2">
      <c r="EA383" s="12"/>
      <c r="EB383" s="12"/>
    </row>
    <row r="384" spans="131:132" x14ac:dyDescent="0.2">
      <c r="EA384" s="12"/>
      <c r="EB384" s="12"/>
    </row>
    <row r="385" spans="131:132" x14ac:dyDescent="0.2">
      <c r="EA385" s="12"/>
      <c r="EB385" s="12"/>
    </row>
    <row r="386" spans="131:132" x14ac:dyDescent="0.2">
      <c r="EA386" s="12"/>
      <c r="EB386" s="12"/>
    </row>
    <row r="387" spans="131:132" x14ac:dyDescent="0.2">
      <c r="EA387" s="12"/>
      <c r="EB387" s="12"/>
    </row>
    <row r="388" spans="131:132" x14ac:dyDescent="0.2">
      <c r="EA388" s="12"/>
      <c r="EB388" s="12"/>
    </row>
    <row r="389" spans="131:132" x14ac:dyDescent="0.2">
      <c r="EA389" s="12"/>
      <c r="EB389" s="12"/>
    </row>
    <row r="390" spans="131:132" x14ac:dyDescent="0.2">
      <c r="EA390" s="12"/>
      <c r="EB390" s="12"/>
    </row>
    <row r="391" spans="131:132" x14ac:dyDescent="0.2">
      <c r="EA391" s="12"/>
      <c r="EB391" s="12"/>
    </row>
    <row r="392" spans="131:132" x14ac:dyDescent="0.2">
      <c r="EA392" s="12"/>
      <c r="EB392" s="12"/>
    </row>
    <row r="393" spans="131:132" x14ac:dyDescent="0.2">
      <c r="EA393" s="12"/>
      <c r="EB393" s="12"/>
    </row>
    <row r="394" spans="131:132" x14ac:dyDescent="0.2">
      <c r="EA394" s="12"/>
      <c r="EB394" s="12"/>
    </row>
    <row r="395" spans="131:132" x14ac:dyDescent="0.2">
      <c r="EA395" s="12"/>
      <c r="EB395" s="12"/>
    </row>
    <row r="396" spans="131:132" x14ac:dyDescent="0.2">
      <c r="EA396" s="12"/>
      <c r="EB396" s="12"/>
    </row>
    <row r="397" spans="131:132" x14ac:dyDescent="0.2">
      <c r="EA397" s="12"/>
      <c r="EB397" s="12"/>
    </row>
    <row r="398" spans="131:132" x14ac:dyDescent="0.2">
      <c r="EA398" s="12"/>
      <c r="EB398" s="12"/>
    </row>
    <row r="399" spans="131:132" x14ac:dyDescent="0.2">
      <c r="EA399" s="12"/>
      <c r="EB399" s="12"/>
    </row>
    <row r="400" spans="131:132" x14ac:dyDescent="0.2">
      <c r="EA400" s="12"/>
      <c r="EB400" s="12"/>
    </row>
    <row r="401" spans="131:132" x14ac:dyDescent="0.2">
      <c r="EA401" s="12"/>
      <c r="EB401" s="12"/>
    </row>
    <row r="402" spans="131:132" x14ac:dyDescent="0.2">
      <c r="EA402" s="12"/>
      <c r="EB402" s="12"/>
    </row>
    <row r="403" spans="131:132" x14ac:dyDescent="0.2">
      <c r="EA403" s="12"/>
      <c r="EB403" s="12"/>
    </row>
    <row r="404" spans="131:132" x14ac:dyDescent="0.2">
      <c r="EA404" s="12"/>
      <c r="EB404" s="12"/>
    </row>
    <row r="405" spans="131:132" x14ac:dyDescent="0.2">
      <c r="EA405" s="12"/>
      <c r="EB405" s="12"/>
    </row>
    <row r="406" spans="131:132" x14ac:dyDescent="0.2">
      <c r="EA406" s="12"/>
      <c r="EB406" s="12"/>
    </row>
    <row r="407" spans="131:132" x14ac:dyDescent="0.2">
      <c r="EA407" s="12"/>
      <c r="EB407" s="12"/>
    </row>
    <row r="408" spans="131:132" x14ac:dyDescent="0.2">
      <c r="EA408" s="12"/>
      <c r="EB408" s="12"/>
    </row>
    <row r="409" spans="131:132" x14ac:dyDescent="0.2">
      <c r="EA409" s="12"/>
      <c r="EB409" s="12"/>
    </row>
    <row r="410" spans="131:132" x14ac:dyDescent="0.2">
      <c r="EA410" s="12"/>
      <c r="EB410" s="12"/>
    </row>
    <row r="411" spans="131:132" x14ac:dyDescent="0.2">
      <c r="EA411" s="12"/>
      <c r="EB411" s="12"/>
    </row>
    <row r="412" spans="131:132" x14ac:dyDescent="0.2">
      <c r="EA412" s="12"/>
      <c r="EB412" s="12"/>
    </row>
    <row r="413" spans="131:132" x14ac:dyDescent="0.2">
      <c r="EA413" s="12"/>
      <c r="EB413" s="12"/>
    </row>
    <row r="414" spans="131:132" x14ac:dyDescent="0.2">
      <c r="EA414" s="12"/>
      <c r="EB414" s="12"/>
    </row>
    <row r="415" spans="131:132" x14ac:dyDescent="0.2">
      <c r="EA415" s="12"/>
      <c r="EB415" s="12"/>
    </row>
    <row r="416" spans="131:132" x14ac:dyDescent="0.2">
      <c r="EA416" s="12"/>
      <c r="EB416" s="12"/>
    </row>
    <row r="417" spans="131:132" x14ac:dyDescent="0.2">
      <c r="EA417" s="12"/>
      <c r="EB417" s="12"/>
    </row>
    <row r="418" spans="131:132" x14ac:dyDescent="0.2">
      <c r="EA418" s="12"/>
      <c r="EB418" s="12"/>
    </row>
    <row r="419" spans="131:132" x14ac:dyDescent="0.2">
      <c r="EA419" s="12"/>
      <c r="EB419" s="12"/>
    </row>
    <row r="420" spans="131:132" x14ac:dyDescent="0.2">
      <c r="EA420" s="12"/>
      <c r="EB420" s="12"/>
    </row>
    <row r="421" spans="131:132" x14ac:dyDescent="0.2">
      <c r="EA421" s="12"/>
      <c r="EB421" s="12"/>
    </row>
    <row r="422" spans="131:132" x14ac:dyDescent="0.2">
      <c r="EA422" s="12"/>
      <c r="EB422" s="12"/>
    </row>
    <row r="423" spans="131:132" x14ac:dyDescent="0.2">
      <c r="EA423" s="12"/>
      <c r="EB423" s="12"/>
    </row>
    <row r="424" spans="131:132" x14ac:dyDescent="0.2">
      <c r="EA424" s="12"/>
      <c r="EB424" s="12"/>
    </row>
    <row r="425" spans="131:132" x14ac:dyDescent="0.2">
      <c r="EA425" s="12"/>
      <c r="EB425" s="12"/>
    </row>
    <row r="426" spans="131:132" x14ac:dyDescent="0.2">
      <c r="EA426" s="12"/>
      <c r="EB426" s="12"/>
    </row>
    <row r="427" spans="131:132" x14ac:dyDescent="0.2">
      <c r="EA427" s="12"/>
      <c r="EB427" s="12"/>
    </row>
    <row r="428" spans="131:132" x14ac:dyDescent="0.2">
      <c r="EA428" s="12"/>
      <c r="EB428" s="12"/>
    </row>
    <row r="429" spans="131:132" x14ac:dyDescent="0.2">
      <c r="EA429" s="12"/>
      <c r="EB429" s="12"/>
    </row>
    <row r="430" spans="131:132" x14ac:dyDescent="0.2">
      <c r="EA430" s="12"/>
      <c r="EB430" s="12"/>
    </row>
    <row r="431" spans="131:132" x14ac:dyDescent="0.2">
      <c r="EA431" s="12"/>
      <c r="EB431" s="12"/>
    </row>
    <row r="432" spans="131:132" x14ac:dyDescent="0.2">
      <c r="EA432" s="12"/>
      <c r="EB432" s="12"/>
    </row>
    <row r="433" spans="131:132" x14ac:dyDescent="0.2">
      <c r="EA433" s="12"/>
      <c r="EB433" s="12"/>
    </row>
    <row r="434" spans="131:132" x14ac:dyDescent="0.2">
      <c r="EA434" s="12"/>
      <c r="EB434" s="12"/>
    </row>
    <row r="435" spans="131:132" x14ac:dyDescent="0.2">
      <c r="EA435" s="12"/>
      <c r="EB435" s="12"/>
    </row>
    <row r="436" spans="131:132" x14ac:dyDescent="0.2">
      <c r="EA436" s="12"/>
      <c r="EB436" s="12"/>
    </row>
    <row r="437" spans="131:132" x14ac:dyDescent="0.2">
      <c r="EA437" s="12"/>
      <c r="EB437" s="12"/>
    </row>
    <row r="438" spans="131:132" x14ac:dyDescent="0.2">
      <c r="EA438" s="12"/>
      <c r="EB438" s="12"/>
    </row>
    <row r="439" spans="131:132" x14ac:dyDescent="0.2">
      <c r="EA439" s="12"/>
      <c r="EB439" s="12"/>
    </row>
    <row r="440" spans="131:132" x14ac:dyDescent="0.2">
      <c r="EA440" s="12"/>
      <c r="EB440" s="12"/>
    </row>
    <row r="441" spans="131:132" x14ac:dyDescent="0.2">
      <c r="EA441" s="12"/>
      <c r="EB441" s="12"/>
    </row>
    <row r="442" spans="131:132" x14ac:dyDescent="0.2">
      <c r="EA442" s="12"/>
      <c r="EB442" s="12"/>
    </row>
    <row r="443" spans="131:132" x14ac:dyDescent="0.2">
      <c r="EA443" s="12"/>
      <c r="EB443" s="12"/>
    </row>
    <row r="444" spans="131:132" x14ac:dyDescent="0.2">
      <c r="EA444" s="12"/>
      <c r="EB444" s="12"/>
    </row>
    <row r="445" spans="131:132" x14ac:dyDescent="0.2">
      <c r="EA445" s="12"/>
      <c r="EB445" s="12"/>
    </row>
    <row r="446" spans="131:132" x14ac:dyDescent="0.2">
      <c r="EA446" s="12"/>
      <c r="EB446" s="12"/>
    </row>
    <row r="447" spans="131:132" x14ac:dyDescent="0.2">
      <c r="EA447" s="12"/>
      <c r="EB447" s="12"/>
    </row>
    <row r="448" spans="131:132" x14ac:dyDescent="0.2">
      <c r="EA448" s="12"/>
      <c r="EB448" s="12"/>
    </row>
    <row r="449" spans="131:132" x14ac:dyDescent="0.2">
      <c r="EA449" s="12"/>
      <c r="EB449" s="12"/>
    </row>
    <row r="450" spans="131:132" x14ac:dyDescent="0.2">
      <c r="EA450" s="12"/>
      <c r="EB450" s="12"/>
    </row>
    <row r="451" spans="131:132" x14ac:dyDescent="0.2">
      <c r="EA451" s="12"/>
      <c r="EB451" s="12"/>
    </row>
    <row r="452" spans="131:132" x14ac:dyDescent="0.2">
      <c r="EA452" s="12"/>
      <c r="EB452" s="12"/>
    </row>
    <row r="453" spans="131:132" x14ac:dyDescent="0.2">
      <c r="EA453" s="12"/>
      <c r="EB453" s="12"/>
    </row>
    <row r="454" spans="131:132" x14ac:dyDescent="0.2">
      <c r="EA454" s="12"/>
      <c r="EB454" s="12"/>
    </row>
    <row r="455" spans="131:132" x14ac:dyDescent="0.2">
      <c r="EA455" s="12"/>
      <c r="EB455" s="12"/>
    </row>
    <row r="456" spans="131:132" x14ac:dyDescent="0.2">
      <c r="EA456" s="12"/>
      <c r="EB456" s="12"/>
    </row>
    <row r="457" spans="131:132" x14ac:dyDescent="0.2">
      <c r="EA457" s="12"/>
      <c r="EB457" s="12"/>
    </row>
    <row r="458" spans="131:132" x14ac:dyDescent="0.2">
      <c r="EA458" s="12"/>
      <c r="EB458" s="12"/>
    </row>
    <row r="459" spans="131:132" x14ac:dyDescent="0.2">
      <c r="EA459" s="12"/>
      <c r="EB459" s="12"/>
    </row>
    <row r="460" spans="131:132" x14ac:dyDescent="0.2">
      <c r="EA460" s="12"/>
      <c r="EB460" s="12"/>
    </row>
    <row r="461" spans="131:132" x14ac:dyDescent="0.2">
      <c r="EA461" s="12"/>
      <c r="EB461" s="12"/>
    </row>
    <row r="462" spans="131:132" x14ac:dyDescent="0.2">
      <c r="EA462" s="12"/>
      <c r="EB462" s="12"/>
    </row>
    <row r="463" spans="131:132" x14ac:dyDescent="0.2">
      <c r="EA463" s="12"/>
      <c r="EB463" s="12"/>
    </row>
    <row r="464" spans="131:132" x14ac:dyDescent="0.2">
      <c r="EA464" s="12"/>
      <c r="EB464" s="12"/>
    </row>
    <row r="465" spans="131:132" x14ac:dyDescent="0.2">
      <c r="EA465" s="12"/>
      <c r="EB465" s="12"/>
    </row>
    <row r="466" spans="131:132" x14ac:dyDescent="0.2">
      <c r="EA466" s="12"/>
      <c r="EB466" s="12"/>
    </row>
    <row r="467" spans="131:132" x14ac:dyDescent="0.2">
      <c r="EA467" s="12"/>
      <c r="EB467" s="12"/>
    </row>
    <row r="468" spans="131:132" x14ac:dyDescent="0.2">
      <c r="EA468" s="12"/>
      <c r="EB468" s="12"/>
    </row>
    <row r="469" spans="131:132" x14ac:dyDescent="0.2">
      <c r="EA469" s="12"/>
      <c r="EB469" s="12"/>
    </row>
    <row r="470" spans="131:132" x14ac:dyDescent="0.2">
      <c r="EA470" s="12"/>
      <c r="EB470" s="12"/>
    </row>
    <row r="471" spans="131:132" x14ac:dyDescent="0.2">
      <c r="EA471" s="12"/>
      <c r="EB471" s="12"/>
    </row>
    <row r="472" spans="131:132" x14ac:dyDescent="0.2">
      <c r="EA472" s="12"/>
      <c r="EB472" s="12"/>
    </row>
    <row r="473" spans="131:132" x14ac:dyDescent="0.2">
      <c r="EA473" s="12"/>
      <c r="EB473" s="12"/>
    </row>
    <row r="474" spans="131:132" x14ac:dyDescent="0.2">
      <c r="EA474" s="12"/>
      <c r="EB474" s="12"/>
    </row>
    <row r="475" spans="131:132" x14ac:dyDescent="0.2">
      <c r="EA475" s="12"/>
      <c r="EB475" s="12"/>
    </row>
    <row r="476" spans="131:132" x14ac:dyDescent="0.2">
      <c r="EA476" s="12"/>
      <c r="EB476" s="12"/>
    </row>
    <row r="477" spans="131:132" x14ac:dyDescent="0.2">
      <c r="EA477" s="12"/>
      <c r="EB477" s="12"/>
    </row>
    <row r="478" spans="131:132" x14ac:dyDescent="0.2">
      <c r="EA478" s="12"/>
      <c r="EB478" s="12"/>
    </row>
    <row r="479" spans="131:132" x14ac:dyDescent="0.2">
      <c r="EA479" s="12"/>
      <c r="EB479" s="12"/>
    </row>
    <row r="480" spans="131:132" x14ac:dyDescent="0.2">
      <c r="EA480" s="12"/>
      <c r="EB480" s="12"/>
    </row>
    <row r="481" spans="131:132" x14ac:dyDescent="0.2">
      <c r="EA481" s="12"/>
      <c r="EB481" s="12"/>
    </row>
    <row r="482" spans="131:132" x14ac:dyDescent="0.2">
      <c r="EA482" s="12"/>
      <c r="EB482" s="12"/>
    </row>
    <row r="483" spans="131:132" x14ac:dyDescent="0.2">
      <c r="EA483" s="12"/>
      <c r="EB483" s="12"/>
    </row>
    <row r="484" spans="131:132" x14ac:dyDescent="0.2">
      <c r="EA484" s="12"/>
      <c r="EB484" s="12"/>
    </row>
    <row r="485" spans="131:132" x14ac:dyDescent="0.2">
      <c r="EA485" s="12"/>
      <c r="EB485" s="12"/>
    </row>
    <row r="486" spans="131:132" x14ac:dyDescent="0.2">
      <c r="EA486" s="12"/>
      <c r="EB486" s="12"/>
    </row>
    <row r="487" spans="131:132" x14ac:dyDescent="0.2">
      <c r="EA487" s="12"/>
      <c r="EB487" s="12"/>
    </row>
    <row r="488" spans="131:132" x14ac:dyDescent="0.2">
      <c r="EA488" s="12"/>
      <c r="EB488" s="12"/>
    </row>
    <row r="489" spans="131:132" x14ac:dyDescent="0.2">
      <c r="EA489" s="12"/>
      <c r="EB489" s="12"/>
    </row>
    <row r="490" spans="131:132" x14ac:dyDescent="0.2">
      <c r="EA490" s="12"/>
      <c r="EB490" s="12"/>
    </row>
    <row r="491" spans="131:132" x14ac:dyDescent="0.2">
      <c r="EA491" s="12"/>
      <c r="EB491" s="12"/>
    </row>
    <row r="492" spans="131:132" x14ac:dyDescent="0.2">
      <c r="EA492" s="12"/>
      <c r="EB492" s="12"/>
    </row>
    <row r="493" spans="131:132" x14ac:dyDescent="0.2">
      <c r="EA493" s="12"/>
      <c r="EB493" s="12"/>
    </row>
    <row r="494" spans="131:132" x14ac:dyDescent="0.2">
      <c r="EA494" s="12"/>
      <c r="EB494" s="12"/>
    </row>
    <row r="495" spans="131:132" x14ac:dyDescent="0.2">
      <c r="EA495" s="12"/>
      <c r="EB495" s="12"/>
    </row>
    <row r="496" spans="131:132" x14ac:dyDescent="0.2">
      <c r="EA496" s="12"/>
      <c r="EB496" s="12"/>
    </row>
    <row r="497" spans="131:132" x14ac:dyDescent="0.2">
      <c r="EA497" s="12"/>
      <c r="EB497" s="12"/>
    </row>
    <row r="498" spans="131:132" x14ac:dyDescent="0.2">
      <c r="EA498" s="12"/>
      <c r="EB498" s="12"/>
    </row>
    <row r="499" spans="131:132" x14ac:dyDescent="0.2">
      <c r="EA499" s="12"/>
      <c r="EB499" s="12"/>
    </row>
    <row r="500" spans="131:132" x14ac:dyDescent="0.2">
      <c r="EA500" s="12"/>
      <c r="EB500" s="12"/>
    </row>
    <row r="501" spans="131:132" x14ac:dyDescent="0.2">
      <c r="EA501" s="12"/>
      <c r="EB501" s="12"/>
    </row>
    <row r="502" spans="131:132" x14ac:dyDescent="0.2">
      <c r="EA502" s="12"/>
      <c r="EB502" s="12"/>
    </row>
    <row r="503" spans="131:132" x14ac:dyDescent="0.2">
      <c r="EA503" s="12"/>
      <c r="EB503" s="12"/>
    </row>
    <row r="504" spans="131:132" x14ac:dyDescent="0.2">
      <c r="EA504" s="12"/>
      <c r="EB504" s="12"/>
    </row>
    <row r="505" spans="131:132" x14ac:dyDescent="0.2">
      <c r="EA505" s="12"/>
      <c r="EB505" s="12"/>
    </row>
    <row r="506" spans="131:132" x14ac:dyDescent="0.2">
      <c r="EA506" s="12"/>
      <c r="EB506" s="12"/>
    </row>
    <row r="507" spans="131:132" x14ac:dyDescent="0.2">
      <c r="EA507" s="12"/>
      <c r="EB507" s="12"/>
    </row>
    <row r="508" spans="131:132" x14ac:dyDescent="0.2">
      <c r="EA508" s="12"/>
      <c r="EB508" s="12"/>
    </row>
    <row r="509" spans="131:132" x14ac:dyDescent="0.2">
      <c r="EA509" s="12"/>
      <c r="EB509" s="12"/>
    </row>
    <row r="510" spans="131:132" x14ac:dyDescent="0.2">
      <c r="EA510" s="12"/>
      <c r="EB510" s="12"/>
    </row>
    <row r="511" spans="131:132" x14ac:dyDescent="0.2">
      <c r="EA511" s="12"/>
      <c r="EB511" s="12"/>
    </row>
    <row r="512" spans="131:132" x14ac:dyDescent="0.2">
      <c r="EA512" s="12"/>
      <c r="EB512" s="12"/>
    </row>
    <row r="513" spans="131:132" x14ac:dyDescent="0.2">
      <c r="EA513" s="12"/>
      <c r="EB513" s="12"/>
    </row>
    <row r="514" spans="131:132" x14ac:dyDescent="0.2">
      <c r="EA514" s="12"/>
      <c r="EB514" s="12"/>
    </row>
    <row r="515" spans="131:132" x14ac:dyDescent="0.2">
      <c r="EA515" s="12"/>
      <c r="EB515" s="12"/>
    </row>
    <row r="516" spans="131:132" x14ac:dyDescent="0.2">
      <c r="EA516" s="12"/>
      <c r="EB516" s="12"/>
    </row>
    <row r="517" spans="131:132" x14ac:dyDescent="0.2">
      <c r="EA517" s="12"/>
      <c r="EB517" s="12"/>
    </row>
    <row r="518" spans="131:132" x14ac:dyDescent="0.2">
      <c r="EA518" s="12"/>
      <c r="EB518" s="12"/>
    </row>
    <row r="519" spans="131:132" x14ac:dyDescent="0.2">
      <c r="EA519" s="12"/>
      <c r="EB519" s="12"/>
    </row>
    <row r="520" spans="131:132" x14ac:dyDescent="0.2">
      <c r="EA520" s="12"/>
      <c r="EB520" s="12"/>
    </row>
    <row r="521" spans="131:132" x14ac:dyDescent="0.2">
      <c r="EA521" s="12"/>
      <c r="EB521" s="12"/>
    </row>
    <row r="522" spans="131:132" x14ac:dyDescent="0.2">
      <c r="EA522" s="12"/>
      <c r="EB522" s="12"/>
    </row>
    <row r="523" spans="131:132" x14ac:dyDescent="0.2">
      <c r="EA523" s="12"/>
      <c r="EB523" s="12"/>
    </row>
    <row r="524" spans="131:132" x14ac:dyDescent="0.2">
      <c r="EA524" s="12"/>
      <c r="EB524" s="12"/>
    </row>
    <row r="525" spans="131:132" x14ac:dyDescent="0.2">
      <c r="EA525" s="12"/>
      <c r="EB525" s="12"/>
    </row>
    <row r="526" spans="131:132" x14ac:dyDescent="0.2">
      <c r="EA526" s="12"/>
      <c r="EB526" s="12"/>
    </row>
    <row r="527" spans="131:132" x14ac:dyDescent="0.2">
      <c r="EA527" s="12"/>
      <c r="EB527" s="12"/>
    </row>
    <row r="528" spans="131:132" x14ac:dyDescent="0.2">
      <c r="EA528" s="12"/>
      <c r="EB528" s="12"/>
    </row>
    <row r="529" spans="131:132" x14ac:dyDescent="0.2">
      <c r="EA529" s="12"/>
      <c r="EB529" s="12"/>
    </row>
    <row r="530" spans="131:132" x14ac:dyDescent="0.2">
      <c r="EA530" s="12"/>
      <c r="EB530" s="12"/>
    </row>
    <row r="531" spans="131:132" x14ac:dyDescent="0.2">
      <c r="EA531" s="12"/>
      <c r="EB531" s="12"/>
    </row>
    <row r="532" spans="131:132" x14ac:dyDescent="0.2">
      <c r="EA532" s="12"/>
      <c r="EB532" s="12"/>
    </row>
    <row r="533" spans="131:132" x14ac:dyDescent="0.2">
      <c r="EA533" s="12"/>
      <c r="EB533" s="12"/>
    </row>
    <row r="534" spans="131:132" x14ac:dyDescent="0.2">
      <c r="EA534" s="12"/>
      <c r="EB534" s="12"/>
    </row>
    <row r="535" spans="131:132" x14ac:dyDescent="0.2">
      <c r="EA535" s="12"/>
      <c r="EB535" s="12"/>
    </row>
    <row r="536" spans="131:132" x14ac:dyDescent="0.2">
      <c r="EA536" s="12"/>
      <c r="EB536" s="12"/>
    </row>
    <row r="537" spans="131:132" x14ac:dyDescent="0.2">
      <c r="EA537" s="12"/>
      <c r="EB537" s="12"/>
    </row>
    <row r="538" spans="131:132" x14ac:dyDescent="0.2">
      <c r="EA538" s="12"/>
      <c r="EB538" s="12"/>
    </row>
    <row r="539" spans="131:132" x14ac:dyDescent="0.2">
      <c r="EA539" s="12"/>
      <c r="EB539" s="12"/>
    </row>
    <row r="540" spans="131:132" x14ac:dyDescent="0.2">
      <c r="EA540" s="12"/>
      <c r="EB540" s="12"/>
    </row>
    <row r="541" spans="131:132" x14ac:dyDescent="0.2">
      <c r="EA541" s="12"/>
      <c r="EB541" s="12"/>
    </row>
    <row r="542" spans="131:132" x14ac:dyDescent="0.2">
      <c r="EA542" s="12"/>
      <c r="EB542" s="12"/>
    </row>
    <row r="543" spans="131:132" x14ac:dyDescent="0.2">
      <c r="EA543" s="12"/>
      <c r="EB543" s="12"/>
    </row>
    <row r="544" spans="131:132" x14ac:dyDescent="0.2">
      <c r="EA544" s="12"/>
      <c r="EB544" s="12"/>
    </row>
    <row r="545" spans="131:132" x14ac:dyDescent="0.2">
      <c r="EA545" s="12"/>
      <c r="EB545" s="12"/>
    </row>
    <row r="546" spans="131:132" x14ac:dyDescent="0.2">
      <c r="EA546" s="12"/>
      <c r="EB546" s="12"/>
    </row>
    <row r="547" spans="131:132" x14ac:dyDescent="0.2">
      <c r="EA547" s="12"/>
      <c r="EB547" s="12"/>
    </row>
    <row r="548" spans="131:132" x14ac:dyDescent="0.2">
      <c r="EA548" s="12"/>
      <c r="EB548" s="12"/>
    </row>
    <row r="549" spans="131:132" x14ac:dyDescent="0.2">
      <c r="EA549" s="12"/>
      <c r="EB549" s="12"/>
    </row>
    <row r="550" spans="131:132" x14ac:dyDescent="0.2">
      <c r="EA550" s="12"/>
      <c r="EB550" s="12"/>
    </row>
    <row r="551" spans="131:132" x14ac:dyDescent="0.2">
      <c r="EA551" s="12"/>
      <c r="EB551" s="12"/>
    </row>
    <row r="552" spans="131:132" x14ac:dyDescent="0.2">
      <c r="EA552" s="12"/>
      <c r="EB552" s="12"/>
    </row>
    <row r="553" spans="131:132" x14ac:dyDescent="0.2">
      <c r="EA553" s="12"/>
      <c r="EB553" s="12"/>
    </row>
    <row r="554" spans="131:132" x14ac:dyDescent="0.2">
      <c r="EA554" s="12"/>
      <c r="EB554" s="12"/>
    </row>
    <row r="555" spans="131:132" x14ac:dyDescent="0.2">
      <c r="EA555" s="12"/>
      <c r="EB555" s="12"/>
    </row>
    <row r="556" spans="131:132" x14ac:dyDescent="0.2">
      <c r="EA556" s="12"/>
      <c r="EB556" s="12"/>
    </row>
    <row r="557" spans="131:132" x14ac:dyDescent="0.2">
      <c r="EA557" s="12"/>
      <c r="EB557" s="12"/>
    </row>
    <row r="558" spans="131:132" x14ac:dyDescent="0.2">
      <c r="EA558" s="12"/>
      <c r="EB558" s="12"/>
    </row>
    <row r="559" spans="131:132" x14ac:dyDescent="0.2">
      <c r="EA559" s="12"/>
      <c r="EB559" s="12"/>
    </row>
    <row r="560" spans="131:132" x14ac:dyDescent="0.2">
      <c r="EA560" s="12"/>
      <c r="EB560" s="12"/>
    </row>
    <row r="561" spans="131:132" x14ac:dyDescent="0.2">
      <c r="EA561" s="12"/>
      <c r="EB561" s="12"/>
    </row>
    <row r="562" spans="131:132" x14ac:dyDescent="0.2">
      <c r="EA562" s="12"/>
      <c r="EB562" s="12"/>
    </row>
    <row r="563" spans="131:132" x14ac:dyDescent="0.2">
      <c r="EA563" s="12"/>
      <c r="EB563" s="12"/>
    </row>
    <row r="564" spans="131:132" x14ac:dyDescent="0.2">
      <c r="EA564" s="12"/>
      <c r="EB564" s="12"/>
    </row>
    <row r="565" spans="131:132" x14ac:dyDescent="0.2">
      <c r="EA565" s="12"/>
      <c r="EB565" s="12"/>
    </row>
    <row r="566" spans="131:132" x14ac:dyDescent="0.2">
      <c r="EA566" s="12"/>
      <c r="EB566" s="12"/>
    </row>
    <row r="567" spans="131:132" x14ac:dyDescent="0.2">
      <c r="EA567" s="12"/>
      <c r="EB567" s="12"/>
    </row>
    <row r="568" spans="131:132" x14ac:dyDescent="0.2">
      <c r="EA568" s="12"/>
      <c r="EB568" s="12"/>
    </row>
    <row r="569" spans="131:132" x14ac:dyDescent="0.2">
      <c r="EA569" s="12"/>
      <c r="EB569" s="12"/>
    </row>
    <row r="570" spans="131:132" x14ac:dyDescent="0.2">
      <c r="EA570" s="12"/>
      <c r="EB570" s="12"/>
    </row>
    <row r="571" spans="131:132" x14ac:dyDescent="0.2">
      <c r="EA571" s="12"/>
      <c r="EB571" s="12"/>
    </row>
    <row r="572" spans="131:132" x14ac:dyDescent="0.2">
      <c r="EA572" s="12"/>
      <c r="EB572" s="12"/>
    </row>
    <row r="573" spans="131:132" x14ac:dyDescent="0.2">
      <c r="EA573" s="12"/>
      <c r="EB573" s="12"/>
    </row>
    <row r="574" spans="131:132" x14ac:dyDescent="0.2">
      <c r="EA574" s="12"/>
      <c r="EB574" s="12"/>
    </row>
    <row r="575" spans="131:132" x14ac:dyDescent="0.2">
      <c r="EA575" s="12"/>
      <c r="EB575" s="12"/>
    </row>
    <row r="576" spans="131:132" x14ac:dyDescent="0.2">
      <c r="EA576" s="12"/>
      <c r="EB576" s="12"/>
    </row>
    <row r="577" spans="131:132" x14ac:dyDescent="0.2">
      <c r="EA577" s="12"/>
      <c r="EB577" s="12"/>
    </row>
    <row r="578" spans="131:132" x14ac:dyDescent="0.2">
      <c r="EA578" s="12"/>
      <c r="EB578" s="12"/>
    </row>
    <row r="579" spans="131:132" x14ac:dyDescent="0.2">
      <c r="EA579" s="12"/>
      <c r="EB579" s="12"/>
    </row>
    <row r="580" spans="131:132" x14ac:dyDescent="0.2">
      <c r="EA580" s="12"/>
      <c r="EB580" s="12"/>
    </row>
    <row r="581" spans="131:132" x14ac:dyDescent="0.2">
      <c r="EA581" s="12"/>
      <c r="EB581" s="12"/>
    </row>
    <row r="582" spans="131:132" x14ac:dyDescent="0.2">
      <c r="EA582" s="12"/>
      <c r="EB582" s="12"/>
    </row>
    <row r="583" spans="131:132" x14ac:dyDescent="0.2">
      <c r="EA583" s="12"/>
      <c r="EB583" s="12"/>
    </row>
    <row r="584" spans="131:132" x14ac:dyDescent="0.2">
      <c r="EA584" s="12"/>
      <c r="EB584" s="12"/>
    </row>
    <row r="585" spans="131:132" x14ac:dyDescent="0.2">
      <c r="EA585" s="12"/>
      <c r="EB585" s="12"/>
    </row>
    <row r="586" spans="131:132" x14ac:dyDescent="0.2">
      <c r="EA586" s="12"/>
      <c r="EB586" s="12"/>
    </row>
    <row r="587" spans="131:132" x14ac:dyDescent="0.2">
      <c r="EA587" s="12"/>
      <c r="EB587" s="12"/>
    </row>
    <row r="588" spans="131:132" x14ac:dyDescent="0.2">
      <c r="EA588" s="12"/>
      <c r="EB588" s="12"/>
    </row>
    <row r="589" spans="131:132" x14ac:dyDescent="0.2">
      <c r="EA589" s="12"/>
      <c r="EB589" s="12"/>
    </row>
    <row r="590" spans="131:132" x14ac:dyDescent="0.2">
      <c r="EA590" s="12"/>
      <c r="EB590" s="12"/>
    </row>
    <row r="591" spans="131:132" x14ac:dyDescent="0.2">
      <c r="EA591" s="12"/>
      <c r="EB591" s="12"/>
    </row>
    <row r="592" spans="131:132" x14ac:dyDescent="0.2">
      <c r="EA592" s="12"/>
      <c r="EB592" s="12"/>
    </row>
    <row r="593" spans="131:132" x14ac:dyDescent="0.2">
      <c r="EA593" s="12"/>
      <c r="EB593" s="12"/>
    </row>
    <row r="594" spans="131:132" x14ac:dyDescent="0.2">
      <c r="EA594" s="12"/>
      <c r="EB594" s="12"/>
    </row>
    <row r="595" spans="131:132" x14ac:dyDescent="0.2">
      <c r="EA595" s="12"/>
      <c r="EB595" s="12"/>
    </row>
    <row r="596" spans="131:132" x14ac:dyDescent="0.2">
      <c r="EA596" s="12"/>
      <c r="EB596" s="12"/>
    </row>
    <row r="597" spans="131:132" x14ac:dyDescent="0.2">
      <c r="EA597" s="12"/>
      <c r="EB597" s="12"/>
    </row>
    <row r="598" spans="131:132" x14ac:dyDescent="0.2">
      <c r="EA598" s="12"/>
      <c r="EB598" s="12"/>
    </row>
    <row r="599" spans="131:132" x14ac:dyDescent="0.2">
      <c r="EA599" s="12"/>
      <c r="EB599" s="12"/>
    </row>
    <row r="600" spans="131:132" x14ac:dyDescent="0.2">
      <c r="EA600" s="12"/>
      <c r="EB600" s="12"/>
    </row>
    <row r="601" spans="131:132" x14ac:dyDescent="0.2">
      <c r="EA601" s="12"/>
      <c r="EB601" s="12"/>
    </row>
    <row r="602" spans="131:132" x14ac:dyDescent="0.2">
      <c r="EA602" s="12"/>
      <c r="EB602" s="12"/>
    </row>
    <row r="603" spans="131:132" x14ac:dyDescent="0.2">
      <c r="EA603" s="12"/>
      <c r="EB603" s="12"/>
    </row>
    <row r="604" spans="131:132" x14ac:dyDescent="0.2">
      <c r="EA604" s="12"/>
      <c r="EB604" s="12"/>
    </row>
    <row r="605" spans="131:132" x14ac:dyDescent="0.2">
      <c r="EA605" s="12"/>
      <c r="EB605" s="12"/>
    </row>
    <row r="606" spans="131:132" x14ac:dyDescent="0.2">
      <c r="EA606" s="12"/>
      <c r="EB606" s="12"/>
    </row>
    <row r="607" spans="131:132" x14ac:dyDescent="0.2">
      <c r="EA607" s="12"/>
      <c r="EB607" s="12"/>
    </row>
    <row r="608" spans="131:132" x14ac:dyDescent="0.2">
      <c r="EA608" s="12"/>
      <c r="EB608" s="12"/>
    </row>
    <row r="609" spans="131:132" x14ac:dyDescent="0.2">
      <c r="EA609" s="12"/>
      <c r="EB609" s="12"/>
    </row>
    <row r="610" spans="131:132" x14ac:dyDescent="0.2">
      <c r="EA610" s="12"/>
      <c r="EB610" s="12"/>
    </row>
    <row r="611" spans="131:132" x14ac:dyDescent="0.2">
      <c r="EA611" s="12"/>
      <c r="EB611" s="12"/>
    </row>
    <row r="612" spans="131:132" x14ac:dyDescent="0.2">
      <c r="EA612" s="12"/>
      <c r="EB612" s="12"/>
    </row>
    <row r="613" spans="131:132" x14ac:dyDescent="0.2">
      <c r="EA613" s="12"/>
      <c r="EB613" s="12"/>
    </row>
    <row r="614" spans="131:132" x14ac:dyDescent="0.2">
      <c r="EA614" s="12"/>
      <c r="EB614" s="12"/>
    </row>
    <row r="615" spans="131:132" x14ac:dyDescent="0.2">
      <c r="EA615" s="12"/>
      <c r="EB615" s="12"/>
    </row>
    <row r="616" spans="131:132" x14ac:dyDescent="0.2">
      <c r="EA616" s="12"/>
      <c r="EB616" s="12"/>
    </row>
    <row r="617" spans="131:132" x14ac:dyDescent="0.2">
      <c r="EA617" s="12"/>
      <c r="EB617" s="12"/>
    </row>
    <row r="618" spans="131:132" x14ac:dyDescent="0.2">
      <c r="EA618" s="12"/>
      <c r="EB618" s="12"/>
    </row>
    <row r="619" spans="131:132" x14ac:dyDescent="0.2">
      <c r="EA619" s="12"/>
      <c r="EB619" s="12"/>
    </row>
    <row r="620" spans="131:132" x14ac:dyDescent="0.2">
      <c r="EA620" s="12"/>
      <c r="EB620" s="12"/>
    </row>
    <row r="621" spans="131:132" x14ac:dyDescent="0.2">
      <c r="EA621" s="12"/>
      <c r="EB621" s="12"/>
    </row>
    <row r="622" spans="131:132" x14ac:dyDescent="0.2">
      <c r="EA622" s="12"/>
      <c r="EB622" s="12"/>
    </row>
    <row r="623" spans="131:132" x14ac:dyDescent="0.2">
      <c r="EA623" s="12"/>
      <c r="EB623" s="12"/>
    </row>
    <row r="624" spans="131:132" x14ac:dyDescent="0.2">
      <c r="EA624" s="12"/>
      <c r="EB624" s="12"/>
    </row>
    <row r="625" spans="131:132" x14ac:dyDescent="0.2">
      <c r="EA625" s="12"/>
      <c r="EB625" s="12"/>
    </row>
    <row r="626" spans="131:132" x14ac:dyDescent="0.2">
      <c r="EA626" s="12"/>
      <c r="EB626" s="12"/>
    </row>
    <row r="627" spans="131:132" x14ac:dyDescent="0.2">
      <c r="EA627" s="12"/>
      <c r="EB627" s="12"/>
    </row>
    <row r="628" spans="131:132" x14ac:dyDescent="0.2">
      <c r="EA628" s="12"/>
      <c r="EB628" s="12"/>
    </row>
    <row r="629" spans="131:132" x14ac:dyDescent="0.2">
      <c r="EA629" s="12"/>
      <c r="EB629" s="12"/>
    </row>
    <row r="630" spans="131:132" x14ac:dyDescent="0.2">
      <c r="EA630" s="12"/>
      <c r="EB630" s="12"/>
    </row>
    <row r="631" spans="131:132" x14ac:dyDescent="0.2">
      <c r="EA631" s="12"/>
      <c r="EB631" s="12"/>
    </row>
    <row r="632" spans="131:132" x14ac:dyDescent="0.2">
      <c r="EA632" s="12"/>
      <c r="EB632" s="12"/>
    </row>
    <row r="633" spans="131:132" x14ac:dyDescent="0.2">
      <c r="EA633" s="12"/>
      <c r="EB633" s="12"/>
    </row>
    <row r="634" spans="131:132" x14ac:dyDescent="0.2">
      <c r="EA634" s="12"/>
      <c r="EB634" s="12"/>
    </row>
    <row r="635" spans="131:132" x14ac:dyDescent="0.2">
      <c r="EA635" s="12"/>
      <c r="EB635" s="12"/>
    </row>
    <row r="636" spans="131:132" x14ac:dyDescent="0.2">
      <c r="EA636" s="12"/>
      <c r="EB636" s="12"/>
    </row>
    <row r="637" spans="131:132" x14ac:dyDescent="0.2">
      <c r="EA637" s="12"/>
      <c r="EB637" s="12"/>
    </row>
    <row r="638" spans="131:132" x14ac:dyDescent="0.2">
      <c r="EA638" s="12"/>
      <c r="EB638" s="12"/>
    </row>
    <row r="639" spans="131:132" x14ac:dyDescent="0.2">
      <c r="EA639" s="12"/>
      <c r="EB639" s="12"/>
    </row>
    <row r="640" spans="131:132" x14ac:dyDescent="0.2">
      <c r="EA640" s="12"/>
      <c r="EB640" s="12"/>
    </row>
    <row r="641" spans="131:132" x14ac:dyDescent="0.2">
      <c r="EA641" s="12"/>
      <c r="EB641" s="12"/>
    </row>
    <row r="642" spans="131:132" x14ac:dyDescent="0.2">
      <c r="EA642" s="12"/>
      <c r="EB642" s="12"/>
    </row>
    <row r="643" spans="131:132" x14ac:dyDescent="0.2">
      <c r="EA643" s="12"/>
      <c r="EB643" s="12"/>
    </row>
    <row r="644" spans="131:132" x14ac:dyDescent="0.2">
      <c r="EA644" s="12"/>
      <c r="EB644" s="12"/>
    </row>
    <row r="645" spans="131:132" x14ac:dyDescent="0.2">
      <c r="EA645" s="12"/>
      <c r="EB645" s="12"/>
    </row>
    <row r="646" spans="131:132" x14ac:dyDescent="0.2">
      <c r="EA646" s="12"/>
      <c r="EB646" s="12"/>
    </row>
    <row r="647" spans="131:132" x14ac:dyDescent="0.2">
      <c r="EA647" s="12"/>
      <c r="EB647" s="12"/>
    </row>
    <row r="648" spans="131:132" x14ac:dyDescent="0.2">
      <c r="EA648" s="12"/>
      <c r="EB648" s="12"/>
    </row>
    <row r="649" spans="131:132" x14ac:dyDescent="0.2">
      <c r="EA649" s="12"/>
      <c r="EB649" s="12"/>
    </row>
    <row r="650" spans="131:132" x14ac:dyDescent="0.2">
      <c r="EA650" s="12"/>
      <c r="EB650" s="12"/>
    </row>
    <row r="651" spans="131:132" x14ac:dyDescent="0.2">
      <c r="EA651" s="12"/>
      <c r="EB651" s="12"/>
    </row>
    <row r="652" spans="131:132" x14ac:dyDescent="0.2">
      <c r="EA652" s="12"/>
      <c r="EB652" s="12"/>
    </row>
    <row r="653" spans="131:132" x14ac:dyDescent="0.2">
      <c r="EA653" s="12"/>
      <c r="EB653" s="12"/>
    </row>
    <row r="654" spans="131:132" x14ac:dyDescent="0.2">
      <c r="EA654" s="12"/>
      <c r="EB654" s="12"/>
    </row>
    <row r="655" spans="131:132" x14ac:dyDescent="0.2">
      <c r="EA655" s="12"/>
      <c r="EB655" s="12"/>
    </row>
    <row r="656" spans="131:132" x14ac:dyDescent="0.2">
      <c r="EA656" s="12"/>
      <c r="EB656" s="12"/>
    </row>
    <row r="657" spans="131:132" x14ac:dyDescent="0.2">
      <c r="EA657" s="12"/>
      <c r="EB657" s="12"/>
    </row>
    <row r="658" spans="131:132" x14ac:dyDescent="0.2">
      <c r="EA658" s="12"/>
      <c r="EB658" s="12"/>
    </row>
    <row r="659" spans="131:132" x14ac:dyDescent="0.2">
      <c r="EA659" s="12"/>
      <c r="EB659" s="12"/>
    </row>
    <row r="660" spans="131:132" x14ac:dyDescent="0.2">
      <c r="EA660" s="12"/>
      <c r="EB660" s="12"/>
    </row>
    <row r="661" spans="131:132" x14ac:dyDescent="0.2">
      <c r="EA661" s="12"/>
      <c r="EB661" s="12"/>
    </row>
    <row r="662" spans="131:132" x14ac:dyDescent="0.2">
      <c r="EA662" s="12"/>
      <c r="EB662" s="12"/>
    </row>
    <row r="663" spans="131:132" x14ac:dyDescent="0.2">
      <c r="EA663" s="12"/>
      <c r="EB663" s="12"/>
    </row>
    <row r="664" spans="131:132" x14ac:dyDescent="0.2">
      <c r="EA664" s="12"/>
      <c r="EB664" s="12"/>
    </row>
    <row r="665" spans="131:132" x14ac:dyDescent="0.2">
      <c r="EA665" s="12"/>
      <c r="EB665" s="12"/>
    </row>
    <row r="666" spans="131:132" x14ac:dyDescent="0.2">
      <c r="EA666" s="12"/>
      <c r="EB666" s="12"/>
    </row>
    <row r="667" spans="131:132" x14ac:dyDescent="0.2">
      <c r="EA667" s="12"/>
      <c r="EB667" s="12"/>
    </row>
    <row r="668" spans="131:132" x14ac:dyDescent="0.2">
      <c r="EA668" s="12"/>
      <c r="EB668" s="12"/>
    </row>
    <row r="669" spans="131:132" x14ac:dyDescent="0.2">
      <c r="EA669" s="12"/>
      <c r="EB669" s="12"/>
    </row>
    <row r="670" spans="131:132" x14ac:dyDescent="0.2">
      <c r="EA670" s="12"/>
      <c r="EB670" s="12"/>
    </row>
    <row r="671" spans="131:132" x14ac:dyDescent="0.2">
      <c r="EA671" s="12"/>
      <c r="EB671" s="12"/>
    </row>
    <row r="672" spans="131:132" x14ac:dyDescent="0.2">
      <c r="EA672" s="12"/>
      <c r="EB672" s="12"/>
    </row>
    <row r="673" spans="131:132" x14ac:dyDescent="0.2">
      <c r="EA673" s="12"/>
      <c r="EB673" s="12"/>
    </row>
    <row r="674" spans="131:132" x14ac:dyDescent="0.2">
      <c r="EA674" s="12"/>
      <c r="EB674" s="12"/>
    </row>
    <row r="675" spans="131:132" x14ac:dyDescent="0.2">
      <c r="EA675" s="12"/>
      <c r="EB675" s="12"/>
    </row>
    <row r="676" spans="131:132" x14ac:dyDescent="0.2">
      <c r="EA676" s="12"/>
      <c r="EB676" s="12"/>
    </row>
    <row r="677" spans="131:132" x14ac:dyDescent="0.2">
      <c r="EA677" s="12"/>
      <c r="EB677" s="12"/>
    </row>
    <row r="678" spans="131:132" x14ac:dyDescent="0.2">
      <c r="EA678" s="12"/>
      <c r="EB678" s="12"/>
    </row>
    <row r="679" spans="131:132" x14ac:dyDescent="0.2">
      <c r="EA679" s="12"/>
      <c r="EB679" s="12"/>
    </row>
    <row r="680" spans="131:132" x14ac:dyDescent="0.2">
      <c r="EA680" s="12"/>
      <c r="EB680" s="12"/>
    </row>
    <row r="681" spans="131:132" x14ac:dyDescent="0.2">
      <c r="EA681" s="12"/>
      <c r="EB681" s="12"/>
    </row>
    <row r="682" spans="131:132" x14ac:dyDescent="0.2">
      <c r="EA682" s="12"/>
      <c r="EB682" s="12"/>
    </row>
    <row r="683" spans="131:132" x14ac:dyDescent="0.2">
      <c r="EA683" s="12"/>
      <c r="EB683" s="12"/>
    </row>
    <row r="684" spans="131:132" x14ac:dyDescent="0.2">
      <c r="EA684" s="12"/>
      <c r="EB684" s="12"/>
    </row>
    <row r="685" spans="131:132" x14ac:dyDescent="0.2">
      <c r="EA685" s="12"/>
      <c r="EB685" s="12"/>
    </row>
    <row r="686" spans="131:132" x14ac:dyDescent="0.2">
      <c r="EA686" s="12"/>
      <c r="EB686" s="12"/>
    </row>
    <row r="687" spans="131:132" x14ac:dyDescent="0.2">
      <c r="EA687" s="12"/>
      <c r="EB687" s="12"/>
    </row>
    <row r="688" spans="131:132" x14ac:dyDescent="0.2">
      <c r="EA688" s="12"/>
      <c r="EB688" s="12"/>
    </row>
    <row r="689" spans="131:132" x14ac:dyDescent="0.2">
      <c r="EA689" s="12"/>
      <c r="EB689" s="12"/>
    </row>
    <row r="690" spans="131:132" x14ac:dyDescent="0.2">
      <c r="EA690" s="12"/>
      <c r="EB690" s="12"/>
    </row>
    <row r="691" spans="131:132" x14ac:dyDescent="0.2">
      <c r="EA691" s="12"/>
      <c r="EB691" s="12"/>
    </row>
    <row r="692" spans="131:132" x14ac:dyDescent="0.2">
      <c r="EA692" s="12"/>
      <c r="EB692" s="12"/>
    </row>
    <row r="693" spans="131:132" x14ac:dyDescent="0.2">
      <c r="EA693" s="12"/>
      <c r="EB693" s="12"/>
    </row>
    <row r="694" spans="131:132" x14ac:dyDescent="0.2">
      <c r="EA694" s="12"/>
      <c r="EB694" s="12"/>
    </row>
    <row r="695" spans="131:132" x14ac:dyDescent="0.2">
      <c r="EA695" s="12"/>
      <c r="EB695" s="12"/>
    </row>
    <row r="696" spans="131:132" x14ac:dyDescent="0.2">
      <c r="EA696" s="12"/>
      <c r="EB696" s="12"/>
    </row>
    <row r="697" spans="131:132" x14ac:dyDescent="0.2">
      <c r="EA697" s="12"/>
      <c r="EB697" s="12"/>
    </row>
    <row r="698" spans="131:132" x14ac:dyDescent="0.2">
      <c r="EA698" s="12"/>
      <c r="EB698" s="12"/>
    </row>
    <row r="699" spans="131:132" x14ac:dyDescent="0.2">
      <c r="EA699" s="12"/>
      <c r="EB699" s="12"/>
    </row>
    <row r="700" spans="131:132" x14ac:dyDescent="0.2">
      <c r="EA700" s="12"/>
      <c r="EB700" s="12"/>
    </row>
    <row r="701" spans="131:132" x14ac:dyDescent="0.2">
      <c r="EA701" s="12"/>
      <c r="EB701" s="12"/>
    </row>
    <row r="702" spans="131:132" x14ac:dyDescent="0.2">
      <c r="EA702" s="12"/>
      <c r="EB702" s="12"/>
    </row>
    <row r="703" spans="131:132" x14ac:dyDescent="0.2">
      <c r="EA703" s="12"/>
      <c r="EB703" s="12"/>
    </row>
    <row r="704" spans="131:132" x14ac:dyDescent="0.2">
      <c r="EA704" s="12"/>
      <c r="EB704" s="12"/>
    </row>
    <row r="705" spans="131:132" x14ac:dyDescent="0.2">
      <c r="EA705" s="12"/>
      <c r="EB705" s="12"/>
    </row>
    <row r="706" spans="131:132" x14ac:dyDescent="0.2">
      <c r="EA706" s="12"/>
      <c r="EB706" s="12"/>
    </row>
    <row r="707" spans="131:132" x14ac:dyDescent="0.2">
      <c r="EA707" s="12"/>
      <c r="EB707" s="12"/>
    </row>
    <row r="708" spans="131:132" x14ac:dyDescent="0.2">
      <c r="EA708" s="12"/>
      <c r="EB708" s="12"/>
    </row>
    <row r="709" spans="131:132" x14ac:dyDescent="0.2">
      <c r="EA709" s="12"/>
      <c r="EB709" s="12"/>
    </row>
    <row r="710" spans="131:132" x14ac:dyDescent="0.2">
      <c r="EA710" s="12"/>
      <c r="EB710" s="12"/>
    </row>
    <row r="711" spans="131:132" x14ac:dyDescent="0.2">
      <c r="EA711" s="12"/>
      <c r="EB711" s="12"/>
    </row>
    <row r="712" spans="131:132" x14ac:dyDescent="0.2">
      <c r="EA712" s="12"/>
      <c r="EB712" s="12"/>
    </row>
    <row r="713" spans="131:132" x14ac:dyDescent="0.2">
      <c r="EA713" s="12"/>
      <c r="EB713" s="12"/>
    </row>
    <row r="714" spans="131:132" x14ac:dyDescent="0.2">
      <c r="EA714" s="12"/>
      <c r="EB714" s="12"/>
    </row>
    <row r="715" spans="131:132" x14ac:dyDescent="0.2">
      <c r="EA715" s="12"/>
      <c r="EB715" s="12"/>
    </row>
    <row r="716" spans="131:132" x14ac:dyDescent="0.2">
      <c r="EA716" s="12"/>
      <c r="EB716" s="12"/>
    </row>
    <row r="717" spans="131:132" x14ac:dyDescent="0.2">
      <c r="EA717" s="12"/>
      <c r="EB717" s="12"/>
    </row>
    <row r="718" spans="131:132" x14ac:dyDescent="0.2">
      <c r="EA718" s="12"/>
      <c r="EB718" s="12"/>
    </row>
    <row r="719" spans="131:132" x14ac:dyDescent="0.2">
      <c r="EA719" s="12"/>
      <c r="EB719" s="12"/>
    </row>
    <row r="720" spans="131:132" x14ac:dyDescent="0.2">
      <c r="EA720" s="12"/>
      <c r="EB720" s="12"/>
    </row>
    <row r="721" spans="131:132" x14ac:dyDescent="0.2">
      <c r="EA721" s="12"/>
      <c r="EB721" s="12"/>
    </row>
    <row r="722" spans="131:132" x14ac:dyDescent="0.2">
      <c r="EA722" s="12"/>
      <c r="EB722" s="12"/>
    </row>
    <row r="723" spans="131:132" x14ac:dyDescent="0.2">
      <c r="EA723" s="12"/>
      <c r="EB723" s="12"/>
    </row>
    <row r="724" spans="131:132" x14ac:dyDescent="0.2">
      <c r="EA724" s="12"/>
      <c r="EB724" s="12"/>
    </row>
    <row r="725" spans="131:132" x14ac:dyDescent="0.2">
      <c r="EA725" s="12"/>
      <c r="EB725" s="12"/>
    </row>
    <row r="726" spans="131:132" x14ac:dyDescent="0.2">
      <c r="EA726" s="12"/>
      <c r="EB726" s="12"/>
    </row>
    <row r="727" spans="131:132" x14ac:dyDescent="0.2">
      <c r="EA727" s="12"/>
      <c r="EB727" s="12"/>
    </row>
    <row r="728" spans="131:132" x14ac:dyDescent="0.2">
      <c r="EA728" s="12"/>
      <c r="EB728" s="12"/>
    </row>
    <row r="729" spans="131:132" x14ac:dyDescent="0.2">
      <c r="EA729" s="12"/>
      <c r="EB729" s="12"/>
    </row>
    <row r="730" spans="131:132" x14ac:dyDescent="0.2">
      <c r="EA730" s="12"/>
      <c r="EB730" s="12"/>
    </row>
    <row r="731" spans="131:132" x14ac:dyDescent="0.2">
      <c r="EA731" s="12"/>
      <c r="EB731" s="12"/>
    </row>
    <row r="732" spans="131:132" x14ac:dyDescent="0.2">
      <c r="EA732" s="12"/>
      <c r="EB732" s="12"/>
    </row>
    <row r="733" spans="131:132" x14ac:dyDescent="0.2">
      <c r="EA733" s="12"/>
      <c r="EB733" s="12"/>
    </row>
    <row r="734" spans="131:132" x14ac:dyDescent="0.2">
      <c r="EA734" s="12"/>
      <c r="EB734" s="12"/>
    </row>
    <row r="735" spans="131:132" x14ac:dyDescent="0.2">
      <c r="EA735" s="12"/>
      <c r="EB735" s="12"/>
    </row>
    <row r="736" spans="131:132" x14ac:dyDescent="0.2">
      <c r="EA736" s="12"/>
      <c r="EB736" s="12"/>
    </row>
    <row r="737" spans="131:132" x14ac:dyDescent="0.2">
      <c r="EA737" s="12"/>
      <c r="EB737" s="12"/>
    </row>
    <row r="738" spans="131:132" x14ac:dyDescent="0.2">
      <c r="EA738" s="12"/>
      <c r="EB738" s="12"/>
    </row>
    <row r="739" spans="131:132" x14ac:dyDescent="0.2">
      <c r="EA739" s="12"/>
      <c r="EB739" s="12"/>
    </row>
    <row r="740" spans="131:132" x14ac:dyDescent="0.2">
      <c r="EA740" s="12"/>
      <c r="EB740" s="12"/>
    </row>
    <row r="741" spans="131:132" x14ac:dyDescent="0.2">
      <c r="EA741" s="12"/>
      <c r="EB741" s="12"/>
    </row>
    <row r="742" spans="131:132" x14ac:dyDescent="0.2">
      <c r="EA742" s="12"/>
      <c r="EB742" s="12"/>
    </row>
    <row r="743" spans="131:132" x14ac:dyDescent="0.2">
      <c r="EA743" s="12"/>
      <c r="EB743" s="12"/>
    </row>
    <row r="744" spans="131:132" x14ac:dyDescent="0.2">
      <c r="EA744" s="12"/>
      <c r="EB744" s="12"/>
    </row>
    <row r="745" spans="131:132" x14ac:dyDescent="0.2">
      <c r="EA745" s="12"/>
      <c r="EB745" s="12"/>
    </row>
    <row r="746" spans="131:132" x14ac:dyDescent="0.2">
      <c r="EA746" s="12"/>
      <c r="EB746" s="12"/>
    </row>
    <row r="747" spans="131:132" x14ac:dyDescent="0.2">
      <c r="EA747" s="12"/>
      <c r="EB747" s="12"/>
    </row>
    <row r="748" spans="131:132" x14ac:dyDescent="0.2">
      <c r="EA748" s="12"/>
      <c r="EB748" s="12"/>
    </row>
    <row r="749" spans="131:132" x14ac:dyDescent="0.2">
      <c r="EA749" s="12"/>
      <c r="EB749" s="12"/>
    </row>
    <row r="750" spans="131:132" x14ac:dyDescent="0.2">
      <c r="EA750" s="12"/>
      <c r="EB750" s="12"/>
    </row>
    <row r="751" spans="131:132" x14ac:dyDescent="0.2">
      <c r="EA751" s="12"/>
      <c r="EB751" s="12"/>
    </row>
    <row r="752" spans="131:132" x14ac:dyDescent="0.2">
      <c r="EA752" s="12"/>
      <c r="EB752" s="12"/>
    </row>
    <row r="753" spans="131:132" x14ac:dyDescent="0.2">
      <c r="EA753" s="12"/>
      <c r="EB753" s="12"/>
    </row>
    <row r="754" spans="131:132" x14ac:dyDescent="0.2">
      <c r="EA754" s="12"/>
      <c r="EB754" s="12"/>
    </row>
    <row r="755" spans="131:132" x14ac:dyDescent="0.2">
      <c r="EA755" s="12"/>
      <c r="EB755" s="12"/>
    </row>
    <row r="756" spans="131:132" x14ac:dyDescent="0.2">
      <c r="EA756" s="12"/>
      <c r="EB756" s="12"/>
    </row>
    <row r="757" spans="131:132" x14ac:dyDescent="0.2">
      <c r="EA757" s="12"/>
      <c r="EB757" s="12"/>
    </row>
    <row r="758" spans="131:132" x14ac:dyDescent="0.2">
      <c r="EA758" s="12"/>
      <c r="EB758" s="12"/>
    </row>
    <row r="759" spans="131:132" x14ac:dyDescent="0.2">
      <c r="EA759" s="12"/>
      <c r="EB759" s="12"/>
    </row>
    <row r="760" spans="131:132" x14ac:dyDescent="0.2">
      <c r="EA760" s="12"/>
      <c r="EB760" s="12"/>
    </row>
    <row r="761" spans="131:132" x14ac:dyDescent="0.2">
      <c r="EA761" s="12"/>
      <c r="EB761" s="12"/>
    </row>
    <row r="762" spans="131:132" x14ac:dyDescent="0.2">
      <c r="EA762" s="12"/>
      <c r="EB762" s="12"/>
    </row>
    <row r="763" spans="131:132" x14ac:dyDescent="0.2">
      <c r="EA763" s="12"/>
      <c r="EB763" s="12"/>
    </row>
    <row r="764" spans="131:132" x14ac:dyDescent="0.2">
      <c r="EA764" s="12"/>
      <c r="EB764" s="12"/>
    </row>
    <row r="765" spans="131:132" x14ac:dyDescent="0.2">
      <c r="EA765" s="12"/>
      <c r="EB765" s="12"/>
    </row>
    <row r="766" spans="131:132" x14ac:dyDescent="0.2">
      <c r="EA766" s="12"/>
      <c r="EB766" s="12"/>
    </row>
    <row r="767" spans="131:132" x14ac:dyDescent="0.2">
      <c r="EA767" s="12"/>
      <c r="EB767" s="12"/>
    </row>
    <row r="768" spans="131:132" x14ac:dyDescent="0.2">
      <c r="EA768" s="12"/>
      <c r="EB768" s="12"/>
    </row>
    <row r="769" spans="131:132" x14ac:dyDescent="0.2">
      <c r="EA769" s="12"/>
      <c r="EB769" s="12"/>
    </row>
    <row r="770" spans="131:132" x14ac:dyDescent="0.2">
      <c r="EA770" s="12"/>
      <c r="EB770" s="12"/>
    </row>
    <row r="771" spans="131:132" x14ac:dyDescent="0.2">
      <c r="EA771" s="12"/>
      <c r="EB771" s="12"/>
    </row>
    <row r="772" spans="131:132" x14ac:dyDescent="0.2">
      <c r="EA772" s="12"/>
      <c r="EB772" s="12"/>
    </row>
    <row r="773" spans="131:132" x14ac:dyDescent="0.2">
      <c r="EA773" s="12"/>
      <c r="EB773" s="12"/>
    </row>
    <row r="774" spans="131:132" x14ac:dyDescent="0.2">
      <c r="EA774" s="12"/>
      <c r="EB774" s="12"/>
    </row>
    <row r="775" spans="131:132" x14ac:dyDescent="0.2">
      <c r="EA775" s="12"/>
      <c r="EB775" s="12"/>
    </row>
    <row r="776" spans="131:132" x14ac:dyDescent="0.2">
      <c r="EA776" s="12"/>
      <c r="EB776" s="12"/>
    </row>
    <row r="777" spans="131:132" x14ac:dyDescent="0.2">
      <c r="EA777" s="12"/>
      <c r="EB777" s="12"/>
    </row>
    <row r="778" spans="131:132" x14ac:dyDescent="0.2">
      <c r="EA778" s="12"/>
      <c r="EB778" s="12"/>
    </row>
    <row r="779" spans="131:132" x14ac:dyDescent="0.2">
      <c r="EA779" s="12"/>
      <c r="EB779" s="12"/>
    </row>
    <row r="780" spans="131:132" x14ac:dyDescent="0.2">
      <c r="EA780" s="12"/>
      <c r="EB780" s="12"/>
    </row>
    <row r="781" spans="131:132" x14ac:dyDescent="0.2">
      <c r="EA781" s="12"/>
      <c r="EB781" s="12"/>
    </row>
    <row r="782" spans="131:132" x14ac:dyDescent="0.2">
      <c r="EA782" s="12"/>
      <c r="EB782" s="12"/>
    </row>
    <row r="783" spans="131:132" x14ac:dyDescent="0.2">
      <c r="EA783" s="12"/>
      <c r="EB783" s="12"/>
    </row>
    <row r="784" spans="131:132" x14ac:dyDescent="0.2">
      <c r="EA784" s="12"/>
      <c r="EB784" s="12"/>
    </row>
    <row r="785" spans="131:132" x14ac:dyDescent="0.2">
      <c r="EA785" s="12"/>
      <c r="EB785" s="12"/>
    </row>
    <row r="786" spans="131:132" x14ac:dyDescent="0.2">
      <c r="EA786" s="12"/>
      <c r="EB786" s="12"/>
    </row>
    <row r="787" spans="131:132" x14ac:dyDescent="0.2">
      <c r="EA787" s="12"/>
      <c r="EB787" s="12"/>
    </row>
    <row r="788" spans="131:132" x14ac:dyDescent="0.2">
      <c r="EA788" s="12"/>
      <c r="EB788" s="12"/>
    </row>
    <row r="789" spans="131:132" x14ac:dyDescent="0.2">
      <c r="EA789" s="12"/>
      <c r="EB789" s="12"/>
    </row>
    <row r="790" spans="131:132" x14ac:dyDescent="0.2">
      <c r="EA790" s="12"/>
      <c r="EB790" s="12"/>
    </row>
    <row r="791" spans="131:132" x14ac:dyDescent="0.2">
      <c r="EA791" s="12"/>
      <c r="EB791" s="12"/>
    </row>
    <row r="792" spans="131:132" x14ac:dyDescent="0.2">
      <c r="EA792" s="12"/>
      <c r="EB792" s="12"/>
    </row>
    <row r="793" spans="131:132" x14ac:dyDescent="0.2">
      <c r="EA793" s="12"/>
      <c r="EB793" s="12"/>
    </row>
    <row r="794" spans="131:132" x14ac:dyDescent="0.2">
      <c r="EA794" s="12"/>
      <c r="EB794" s="12"/>
    </row>
    <row r="795" spans="131:132" x14ac:dyDescent="0.2">
      <c r="EA795" s="12"/>
      <c r="EB795" s="12"/>
    </row>
    <row r="796" spans="131:132" x14ac:dyDescent="0.2">
      <c r="EA796" s="12"/>
      <c r="EB796" s="12"/>
    </row>
    <row r="797" spans="131:132" x14ac:dyDescent="0.2">
      <c r="EA797" s="12"/>
      <c r="EB797" s="12"/>
    </row>
    <row r="798" spans="131:132" x14ac:dyDescent="0.2">
      <c r="EA798" s="12"/>
      <c r="EB798" s="12"/>
    </row>
    <row r="799" spans="131:132" x14ac:dyDescent="0.2">
      <c r="EA799" s="12"/>
      <c r="EB799" s="12"/>
    </row>
    <row r="800" spans="131:132" x14ac:dyDescent="0.2">
      <c r="EA800" s="12"/>
      <c r="EB800" s="12"/>
    </row>
    <row r="801" spans="131:132" x14ac:dyDescent="0.2">
      <c r="EA801" s="12"/>
      <c r="EB801" s="12"/>
    </row>
    <row r="802" spans="131:132" x14ac:dyDescent="0.2">
      <c r="EA802" s="12"/>
      <c r="EB802" s="12"/>
    </row>
    <row r="803" spans="131:132" x14ac:dyDescent="0.2">
      <c r="EA803" s="12"/>
      <c r="EB803" s="12"/>
    </row>
    <row r="804" spans="131:132" x14ac:dyDescent="0.2">
      <c r="EA804" s="12"/>
      <c r="EB804" s="12"/>
    </row>
    <row r="805" spans="131:132" x14ac:dyDescent="0.2">
      <c r="EA805" s="12"/>
      <c r="EB805" s="12"/>
    </row>
    <row r="806" spans="131:132" x14ac:dyDescent="0.2">
      <c r="EA806" s="12"/>
      <c r="EB806" s="12"/>
    </row>
    <row r="807" spans="131:132" x14ac:dyDescent="0.2">
      <c r="EA807" s="12"/>
      <c r="EB807" s="12"/>
    </row>
    <row r="808" spans="131:132" x14ac:dyDescent="0.2">
      <c r="EA808" s="12"/>
      <c r="EB808" s="12"/>
    </row>
    <row r="809" spans="131:132" x14ac:dyDescent="0.2">
      <c r="EA809" s="12"/>
      <c r="EB809" s="12"/>
    </row>
    <row r="810" spans="131:132" x14ac:dyDescent="0.2">
      <c r="EA810" s="12"/>
      <c r="EB810" s="12"/>
    </row>
    <row r="811" spans="131:132" x14ac:dyDescent="0.2">
      <c r="EA811" s="12"/>
      <c r="EB811" s="12"/>
    </row>
    <row r="812" spans="131:132" x14ac:dyDescent="0.2">
      <c r="EA812" s="12"/>
      <c r="EB812" s="12"/>
    </row>
    <row r="813" spans="131:132" x14ac:dyDescent="0.2">
      <c r="EA813" s="12"/>
      <c r="EB813" s="12"/>
    </row>
    <row r="814" spans="131:132" x14ac:dyDescent="0.2">
      <c r="EA814" s="12"/>
      <c r="EB814" s="12"/>
    </row>
    <row r="815" spans="131:132" x14ac:dyDescent="0.2">
      <c r="EA815" s="12"/>
      <c r="EB815" s="12"/>
    </row>
    <row r="816" spans="131:132" x14ac:dyDescent="0.2">
      <c r="EA816" s="12"/>
      <c r="EB816" s="12"/>
    </row>
    <row r="817" spans="131:132" x14ac:dyDescent="0.2">
      <c r="EA817" s="12"/>
      <c r="EB817" s="12"/>
    </row>
    <row r="818" spans="131:132" x14ac:dyDescent="0.2">
      <c r="EA818" s="12"/>
      <c r="EB818" s="12"/>
    </row>
    <row r="819" spans="131:132" x14ac:dyDescent="0.2">
      <c r="EA819" s="12"/>
      <c r="EB819" s="12"/>
    </row>
    <row r="820" spans="131:132" x14ac:dyDescent="0.2">
      <c r="EA820" s="12"/>
      <c r="EB820" s="12"/>
    </row>
    <row r="821" spans="131:132" x14ac:dyDescent="0.2">
      <c r="EA821" s="12"/>
      <c r="EB821" s="12"/>
    </row>
    <row r="822" spans="131:132" x14ac:dyDescent="0.2">
      <c r="EA822" s="12"/>
      <c r="EB822" s="12"/>
    </row>
    <row r="823" spans="131:132" x14ac:dyDescent="0.2">
      <c r="EA823" s="12"/>
      <c r="EB823" s="12"/>
    </row>
    <row r="824" spans="131:132" x14ac:dyDescent="0.2">
      <c r="EA824" s="12"/>
      <c r="EB824" s="12"/>
    </row>
    <row r="825" spans="131:132" x14ac:dyDescent="0.2">
      <c r="EA825" s="12"/>
      <c r="EB825" s="12"/>
    </row>
    <row r="826" spans="131:132" x14ac:dyDescent="0.2">
      <c r="EA826" s="12"/>
      <c r="EB826" s="12"/>
    </row>
    <row r="827" spans="131:132" x14ac:dyDescent="0.2">
      <c r="EA827" s="12"/>
      <c r="EB827" s="12"/>
    </row>
    <row r="828" spans="131:132" x14ac:dyDescent="0.2">
      <c r="EA828" s="12"/>
      <c r="EB828" s="12"/>
    </row>
    <row r="829" spans="131:132" x14ac:dyDescent="0.2">
      <c r="EA829" s="12"/>
      <c r="EB829" s="12"/>
    </row>
    <row r="830" spans="131:132" x14ac:dyDescent="0.2">
      <c r="EA830" s="12"/>
      <c r="EB830" s="12"/>
    </row>
    <row r="831" spans="131:132" x14ac:dyDescent="0.2">
      <c r="EA831" s="12"/>
      <c r="EB831" s="12"/>
    </row>
    <row r="832" spans="131:132" x14ac:dyDescent="0.2">
      <c r="EA832" s="12"/>
      <c r="EB832" s="12"/>
    </row>
    <row r="833" spans="131:132" x14ac:dyDescent="0.2">
      <c r="EA833" s="12"/>
      <c r="EB833" s="12"/>
    </row>
    <row r="834" spans="131:132" x14ac:dyDescent="0.2">
      <c r="EA834" s="12"/>
      <c r="EB834" s="12"/>
    </row>
    <row r="835" spans="131:132" x14ac:dyDescent="0.2">
      <c r="EA835" s="12"/>
      <c r="EB835" s="12"/>
    </row>
    <row r="836" spans="131:132" x14ac:dyDescent="0.2">
      <c r="EA836" s="12"/>
      <c r="EB836" s="12"/>
    </row>
    <row r="837" spans="131:132" x14ac:dyDescent="0.2">
      <c r="EA837" s="12"/>
      <c r="EB837" s="12"/>
    </row>
    <row r="838" spans="131:132" x14ac:dyDescent="0.2">
      <c r="EA838" s="12"/>
      <c r="EB838" s="12"/>
    </row>
    <row r="839" spans="131:132" x14ac:dyDescent="0.2">
      <c r="EA839" s="12"/>
      <c r="EB839" s="12"/>
    </row>
    <row r="840" spans="131:132" x14ac:dyDescent="0.2">
      <c r="EA840" s="12"/>
      <c r="EB840" s="12"/>
    </row>
    <row r="841" spans="131:132" x14ac:dyDescent="0.2">
      <c r="EA841" s="12"/>
      <c r="EB841" s="12"/>
    </row>
    <row r="842" spans="131:132" x14ac:dyDescent="0.2">
      <c r="EA842" s="12"/>
      <c r="EB842" s="12"/>
    </row>
    <row r="843" spans="131:132" x14ac:dyDescent="0.2">
      <c r="EA843" s="12"/>
      <c r="EB843" s="12"/>
    </row>
    <row r="844" spans="131:132" x14ac:dyDescent="0.2">
      <c r="EA844" s="12"/>
      <c r="EB844" s="12"/>
    </row>
    <row r="845" spans="131:132" x14ac:dyDescent="0.2">
      <c r="EA845" s="12"/>
      <c r="EB845" s="12"/>
    </row>
    <row r="846" spans="131:132" x14ac:dyDescent="0.2">
      <c r="EA846" s="12"/>
      <c r="EB846" s="12"/>
    </row>
    <row r="847" spans="131:132" x14ac:dyDescent="0.2">
      <c r="EA847" s="12"/>
      <c r="EB847" s="12"/>
    </row>
    <row r="848" spans="131:132" x14ac:dyDescent="0.2">
      <c r="EA848" s="12"/>
      <c r="EB848" s="12"/>
    </row>
    <row r="849" spans="131:132" x14ac:dyDescent="0.2">
      <c r="EA849" s="12"/>
      <c r="EB849" s="12"/>
    </row>
    <row r="850" spans="131:132" x14ac:dyDescent="0.2">
      <c r="EA850" s="12"/>
      <c r="EB850" s="12"/>
    </row>
    <row r="851" spans="131:132" x14ac:dyDescent="0.2">
      <c r="EA851" s="12"/>
      <c r="EB851" s="12"/>
    </row>
    <row r="852" spans="131:132" x14ac:dyDescent="0.2">
      <c r="EA852" s="12"/>
      <c r="EB852" s="12"/>
    </row>
    <row r="853" spans="131:132" x14ac:dyDescent="0.2">
      <c r="EA853" s="12"/>
      <c r="EB853" s="12"/>
    </row>
    <row r="854" spans="131:132" x14ac:dyDescent="0.2">
      <c r="EA854" s="12"/>
      <c r="EB854" s="12"/>
    </row>
    <row r="855" spans="131:132" x14ac:dyDescent="0.2">
      <c r="EA855" s="12"/>
      <c r="EB855" s="12"/>
    </row>
    <row r="856" spans="131:132" x14ac:dyDescent="0.2">
      <c r="EA856" s="12"/>
      <c r="EB856" s="12"/>
    </row>
    <row r="857" spans="131:132" x14ac:dyDescent="0.2">
      <c r="EA857" s="12"/>
      <c r="EB857" s="12"/>
    </row>
    <row r="858" spans="131:132" x14ac:dyDescent="0.2">
      <c r="EA858" s="12"/>
      <c r="EB858" s="12"/>
    </row>
    <row r="859" spans="131:132" x14ac:dyDescent="0.2">
      <c r="EA859" s="12"/>
      <c r="EB859" s="12"/>
    </row>
    <row r="860" spans="131:132" x14ac:dyDescent="0.2">
      <c r="EA860" s="12"/>
      <c r="EB860" s="12"/>
    </row>
    <row r="861" spans="131:132" x14ac:dyDescent="0.2">
      <c r="EA861" s="12"/>
      <c r="EB861" s="12"/>
    </row>
    <row r="862" spans="131:132" x14ac:dyDescent="0.2">
      <c r="EA862" s="12"/>
      <c r="EB862" s="12"/>
    </row>
    <row r="863" spans="131:132" x14ac:dyDescent="0.2">
      <c r="EA863" s="12"/>
      <c r="EB863" s="12"/>
    </row>
    <row r="864" spans="131:132" x14ac:dyDescent="0.2">
      <c r="EA864" s="12"/>
      <c r="EB864" s="12"/>
    </row>
    <row r="865" spans="131:132" x14ac:dyDescent="0.2">
      <c r="EA865" s="12"/>
      <c r="EB865" s="12"/>
    </row>
    <row r="866" spans="131:132" x14ac:dyDescent="0.2">
      <c r="EA866" s="12"/>
      <c r="EB866" s="12"/>
    </row>
    <row r="867" spans="131:132" x14ac:dyDescent="0.2">
      <c r="EA867" s="12"/>
      <c r="EB867" s="12"/>
    </row>
    <row r="868" spans="131:132" x14ac:dyDescent="0.2">
      <c r="EA868" s="12"/>
      <c r="EB868" s="12"/>
    </row>
    <row r="869" spans="131:132" x14ac:dyDescent="0.2">
      <c r="EA869" s="12"/>
      <c r="EB869" s="12"/>
    </row>
    <row r="870" spans="131:132" x14ac:dyDescent="0.2">
      <c r="EA870" s="12"/>
      <c r="EB870" s="12"/>
    </row>
    <row r="871" spans="131:132" x14ac:dyDescent="0.2">
      <c r="EA871" s="12"/>
      <c r="EB871" s="12"/>
    </row>
    <row r="872" spans="131:132" x14ac:dyDescent="0.2">
      <c r="EA872" s="12"/>
      <c r="EB872" s="12"/>
    </row>
    <row r="873" spans="131:132" x14ac:dyDescent="0.2">
      <c r="EA873" s="12"/>
      <c r="EB873" s="12"/>
    </row>
    <row r="874" spans="131:132" x14ac:dyDescent="0.2">
      <c r="EA874" s="12"/>
      <c r="EB874" s="12"/>
    </row>
    <row r="875" spans="131:132" x14ac:dyDescent="0.2">
      <c r="EA875" s="12"/>
      <c r="EB875" s="12"/>
    </row>
    <row r="876" spans="131:132" x14ac:dyDescent="0.2">
      <c r="EA876" s="12"/>
      <c r="EB876" s="12"/>
    </row>
    <row r="877" spans="131:132" x14ac:dyDescent="0.2">
      <c r="EA877" s="12"/>
      <c r="EB877" s="12"/>
    </row>
    <row r="878" spans="131:132" x14ac:dyDescent="0.2">
      <c r="EA878" s="12"/>
      <c r="EB878" s="12"/>
    </row>
    <row r="879" spans="131:132" x14ac:dyDescent="0.2">
      <c r="EA879" s="12"/>
      <c r="EB879" s="12"/>
    </row>
    <row r="880" spans="131:132" x14ac:dyDescent="0.2">
      <c r="EA880" s="12"/>
      <c r="EB880" s="12"/>
    </row>
    <row r="881" spans="131:132" x14ac:dyDescent="0.2">
      <c r="EA881" s="12"/>
      <c r="EB881" s="12"/>
    </row>
    <row r="882" spans="131:132" x14ac:dyDescent="0.2">
      <c r="EA882" s="12"/>
      <c r="EB882" s="12"/>
    </row>
    <row r="883" spans="131:132" x14ac:dyDescent="0.2">
      <c r="EA883" s="12"/>
      <c r="EB883" s="12"/>
    </row>
    <row r="884" spans="131:132" x14ac:dyDescent="0.2">
      <c r="EA884" s="12"/>
      <c r="EB884" s="12"/>
    </row>
    <row r="885" spans="131:132" x14ac:dyDescent="0.2">
      <c r="EA885" s="12"/>
      <c r="EB885" s="12"/>
    </row>
    <row r="886" spans="131:132" x14ac:dyDescent="0.2">
      <c r="EA886" s="12"/>
      <c r="EB886" s="12"/>
    </row>
    <row r="887" spans="131:132" x14ac:dyDescent="0.2">
      <c r="EA887" s="12"/>
      <c r="EB887" s="12"/>
    </row>
    <row r="888" spans="131:132" x14ac:dyDescent="0.2">
      <c r="EA888" s="12"/>
      <c r="EB888" s="12"/>
    </row>
    <row r="889" spans="131:132" x14ac:dyDescent="0.2">
      <c r="EA889" s="12"/>
      <c r="EB889" s="12"/>
    </row>
    <row r="890" spans="131:132" x14ac:dyDescent="0.2">
      <c r="EA890" s="12"/>
      <c r="EB890" s="12"/>
    </row>
    <row r="891" spans="131:132" x14ac:dyDescent="0.2">
      <c r="EA891" s="12"/>
      <c r="EB891" s="12"/>
    </row>
    <row r="892" spans="131:132" x14ac:dyDescent="0.2">
      <c r="EA892" s="12"/>
      <c r="EB892" s="12"/>
    </row>
    <row r="893" spans="131:132" x14ac:dyDescent="0.2">
      <c r="EA893" s="12"/>
      <c r="EB893" s="12"/>
    </row>
    <row r="894" spans="131:132" x14ac:dyDescent="0.2">
      <c r="EA894" s="12"/>
      <c r="EB894" s="12"/>
    </row>
    <row r="895" spans="131:132" x14ac:dyDescent="0.2">
      <c r="EA895" s="12"/>
      <c r="EB895" s="12"/>
    </row>
    <row r="896" spans="131:132" x14ac:dyDescent="0.2">
      <c r="EA896" s="12"/>
      <c r="EB896" s="12"/>
    </row>
    <row r="897" spans="131:132" x14ac:dyDescent="0.2">
      <c r="EA897" s="12"/>
      <c r="EB897" s="12"/>
    </row>
    <row r="898" spans="131:132" x14ac:dyDescent="0.2">
      <c r="EA898" s="12"/>
      <c r="EB898" s="12"/>
    </row>
    <row r="899" spans="131:132" x14ac:dyDescent="0.2">
      <c r="EA899" s="12"/>
      <c r="EB899" s="12"/>
    </row>
    <row r="900" spans="131:132" x14ac:dyDescent="0.2">
      <c r="EA900" s="12"/>
      <c r="EB900" s="12"/>
    </row>
    <row r="901" spans="131:132" x14ac:dyDescent="0.2">
      <c r="EA901" s="12"/>
      <c r="EB901" s="12"/>
    </row>
    <row r="902" spans="131:132" x14ac:dyDescent="0.2">
      <c r="EA902" s="12"/>
      <c r="EB902" s="12"/>
    </row>
    <row r="903" spans="131:132" x14ac:dyDescent="0.2">
      <c r="EA903" s="12"/>
      <c r="EB903" s="12"/>
    </row>
    <row r="904" spans="131:132" x14ac:dyDescent="0.2">
      <c r="EA904" s="12"/>
      <c r="EB904" s="12"/>
    </row>
    <row r="905" spans="131:132" x14ac:dyDescent="0.2">
      <c r="EA905" s="12"/>
      <c r="EB905" s="12"/>
    </row>
    <row r="906" spans="131:132" x14ac:dyDescent="0.2">
      <c r="EA906" s="12"/>
      <c r="EB906" s="12"/>
    </row>
    <row r="907" spans="131:132" x14ac:dyDescent="0.2">
      <c r="EA907" s="12"/>
      <c r="EB907" s="12"/>
    </row>
    <row r="908" spans="131:132" x14ac:dyDescent="0.2">
      <c r="EA908" s="12"/>
      <c r="EB908" s="12"/>
    </row>
    <row r="909" spans="131:132" x14ac:dyDescent="0.2">
      <c r="EA909" s="12"/>
      <c r="EB909" s="12"/>
    </row>
    <row r="910" spans="131:132" x14ac:dyDescent="0.2">
      <c r="EA910" s="12"/>
      <c r="EB910" s="12"/>
    </row>
    <row r="911" spans="131:132" x14ac:dyDescent="0.2">
      <c r="EA911" s="12"/>
      <c r="EB911" s="12"/>
    </row>
    <row r="912" spans="131:132" x14ac:dyDescent="0.2">
      <c r="EA912" s="12"/>
      <c r="EB912" s="12"/>
    </row>
    <row r="913" spans="131:132" x14ac:dyDescent="0.2">
      <c r="EA913" s="12"/>
      <c r="EB913" s="12"/>
    </row>
    <row r="914" spans="131:132" x14ac:dyDescent="0.2">
      <c r="EA914" s="12"/>
      <c r="EB914" s="12"/>
    </row>
    <row r="915" spans="131:132" x14ac:dyDescent="0.2">
      <c r="EA915" s="12"/>
      <c r="EB915" s="12"/>
    </row>
    <row r="916" spans="131:132" x14ac:dyDescent="0.2">
      <c r="EA916" s="12"/>
      <c r="EB916" s="12"/>
    </row>
    <row r="917" spans="131:132" x14ac:dyDescent="0.2">
      <c r="EA917" s="12"/>
      <c r="EB917" s="12"/>
    </row>
    <row r="918" spans="131:132" x14ac:dyDescent="0.2">
      <c r="EA918" s="12"/>
      <c r="EB918" s="12"/>
    </row>
    <row r="919" spans="131:132" x14ac:dyDescent="0.2">
      <c r="EA919" s="12"/>
      <c r="EB919" s="12"/>
    </row>
    <row r="920" spans="131:132" x14ac:dyDescent="0.2">
      <c r="EA920" s="12"/>
      <c r="EB920" s="12"/>
    </row>
    <row r="921" spans="131:132" x14ac:dyDescent="0.2">
      <c r="EA921" s="12"/>
      <c r="EB921" s="12"/>
    </row>
    <row r="922" spans="131:132" x14ac:dyDescent="0.2">
      <c r="EA922" s="12"/>
      <c r="EB922" s="12"/>
    </row>
    <row r="923" spans="131:132" x14ac:dyDescent="0.2">
      <c r="EA923" s="12"/>
      <c r="EB923" s="12"/>
    </row>
    <row r="924" spans="131:132" x14ac:dyDescent="0.2">
      <c r="EA924" s="12"/>
      <c r="EB924" s="12"/>
    </row>
    <row r="925" spans="131:132" x14ac:dyDescent="0.2">
      <c r="EA925" s="12"/>
      <c r="EB925" s="12"/>
    </row>
    <row r="926" spans="131:132" x14ac:dyDescent="0.2">
      <c r="EA926" s="12"/>
      <c r="EB926" s="12"/>
    </row>
    <row r="927" spans="131:132" x14ac:dyDescent="0.2">
      <c r="EA927" s="12"/>
      <c r="EB927" s="12"/>
    </row>
    <row r="928" spans="131:132" x14ac:dyDescent="0.2">
      <c r="EA928" s="12"/>
      <c r="EB928" s="12"/>
    </row>
    <row r="929" spans="131:132" x14ac:dyDescent="0.2">
      <c r="EA929" s="12"/>
      <c r="EB929" s="12"/>
    </row>
    <row r="930" spans="131:132" x14ac:dyDescent="0.2">
      <c r="EA930" s="12"/>
      <c r="EB930" s="12"/>
    </row>
    <row r="931" spans="131:132" x14ac:dyDescent="0.2">
      <c r="EA931" s="12"/>
      <c r="EB931" s="12"/>
    </row>
    <row r="932" spans="131:132" x14ac:dyDescent="0.2">
      <c r="EA932" s="12"/>
      <c r="EB932" s="12"/>
    </row>
    <row r="933" spans="131:132" x14ac:dyDescent="0.2">
      <c r="EA933" s="12"/>
      <c r="EB933" s="12"/>
    </row>
    <row r="934" spans="131:132" x14ac:dyDescent="0.2">
      <c r="EA934" s="12"/>
      <c r="EB934" s="12"/>
    </row>
    <row r="935" spans="131:132" x14ac:dyDescent="0.2">
      <c r="EA935" s="12"/>
      <c r="EB935" s="12"/>
    </row>
    <row r="936" spans="131:132" x14ac:dyDescent="0.2">
      <c r="EA936" s="12"/>
      <c r="EB936" s="12"/>
    </row>
    <row r="937" spans="131:132" x14ac:dyDescent="0.2">
      <c r="EA937" s="12"/>
      <c r="EB937" s="12"/>
    </row>
    <row r="938" spans="131:132" x14ac:dyDescent="0.2">
      <c r="EA938" s="12"/>
      <c r="EB938" s="12"/>
    </row>
    <row r="939" spans="131:132" x14ac:dyDescent="0.2">
      <c r="EA939" s="12"/>
      <c r="EB939" s="12"/>
    </row>
    <row r="940" spans="131:132" x14ac:dyDescent="0.2">
      <c r="EA940" s="12"/>
      <c r="EB940" s="12"/>
    </row>
    <row r="941" spans="131:132" x14ac:dyDescent="0.2">
      <c r="EA941" s="12"/>
      <c r="EB941" s="12"/>
    </row>
    <row r="942" spans="131:132" x14ac:dyDescent="0.2">
      <c r="EA942" s="12"/>
      <c r="EB942" s="12"/>
    </row>
    <row r="943" spans="131:132" x14ac:dyDescent="0.2">
      <c r="EA943" s="12"/>
      <c r="EB943" s="12"/>
    </row>
    <row r="944" spans="131:132" x14ac:dyDescent="0.2">
      <c r="EA944" s="12"/>
      <c r="EB944" s="12"/>
    </row>
    <row r="945" spans="131:132" x14ac:dyDescent="0.2">
      <c r="EA945" s="12"/>
      <c r="EB945" s="12"/>
    </row>
    <row r="946" spans="131:132" x14ac:dyDescent="0.2">
      <c r="EA946" s="12"/>
      <c r="EB946" s="12"/>
    </row>
    <row r="947" spans="131:132" x14ac:dyDescent="0.2">
      <c r="EA947" s="12"/>
      <c r="EB947" s="12"/>
    </row>
    <row r="948" spans="131:132" x14ac:dyDescent="0.2">
      <c r="EA948" s="12"/>
      <c r="EB948" s="12"/>
    </row>
    <row r="949" spans="131:132" x14ac:dyDescent="0.2">
      <c r="EA949" s="12"/>
      <c r="EB949" s="12"/>
    </row>
    <row r="950" spans="131:132" x14ac:dyDescent="0.2">
      <c r="EA950" s="12"/>
      <c r="EB950" s="12"/>
    </row>
    <row r="951" spans="131:132" x14ac:dyDescent="0.2">
      <c r="EA951" s="12"/>
      <c r="EB951" s="12"/>
    </row>
    <row r="952" spans="131:132" x14ac:dyDescent="0.2">
      <c r="EA952" s="12"/>
      <c r="EB952" s="12"/>
    </row>
    <row r="953" spans="131:132" x14ac:dyDescent="0.2">
      <c r="EA953" s="12"/>
      <c r="EB953" s="12"/>
    </row>
    <row r="954" spans="131:132" x14ac:dyDescent="0.2">
      <c r="EA954" s="12"/>
      <c r="EB954" s="12"/>
    </row>
    <row r="955" spans="131:132" x14ac:dyDescent="0.2">
      <c r="EA955" s="12"/>
      <c r="EB955" s="12"/>
    </row>
    <row r="956" spans="131:132" x14ac:dyDescent="0.2">
      <c r="EA956" s="12"/>
      <c r="EB956" s="12"/>
    </row>
    <row r="957" spans="131:132" x14ac:dyDescent="0.2">
      <c r="EA957" s="12"/>
      <c r="EB957" s="12"/>
    </row>
    <row r="958" spans="131:132" x14ac:dyDescent="0.2">
      <c r="EA958" s="12"/>
      <c r="EB958" s="12"/>
    </row>
    <row r="959" spans="131:132" x14ac:dyDescent="0.2">
      <c r="EA959" s="12"/>
      <c r="EB959" s="12"/>
    </row>
    <row r="960" spans="131:132" x14ac:dyDescent="0.2">
      <c r="EA960" s="12"/>
      <c r="EB960" s="12"/>
    </row>
    <row r="961" spans="131:132" x14ac:dyDescent="0.2">
      <c r="EA961" s="12"/>
      <c r="EB961" s="12"/>
    </row>
    <row r="962" spans="131:132" x14ac:dyDescent="0.2">
      <c r="EA962" s="12"/>
      <c r="EB962" s="12"/>
    </row>
    <row r="963" spans="131:132" x14ac:dyDescent="0.2">
      <c r="EA963" s="12"/>
      <c r="EB963" s="12"/>
    </row>
    <row r="964" spans="131:132" x14ac:dyDescent="0.2">
      <c r="EA964" s="12"/>
      <c r="EB964" s="12"/>
    </row>
    <row r="965" spans="131:132" x14ac:dyDescent="0.2">
      <c r="EA965" s="12"/>
      <c r="EB965" s="12"/>
    </row>
    <row r="966" spans="131:132" x14ac:dyDescent="0.2">
      <c r="EA966" s="12"/>
      <c r="EB966" s="12"/>
    </row>
    <row r="967" spans="131:132" x14ac:dyDescent="0.2">
      <c r="EA967" s="12"/>
      <c r="EB967" s="12"/>
    </row>
    <row r="968" spans="131:132" x14ac:dyDescent="0.2">
      <c r="EA968" s="12"/>
      <c r="EB968" s="12"/>
    </row>
    <row r="969" spans="131:132" x14ac:dyDescent="0.2">
      <c r="EA969" s="12"/>
      <c r="EB969" s="12"/>
    </row>
    <row r="970" spans="131:132" x14ac:dyDescent="0.2">
      <c r="EA970" s="12"/>
      <c r="EB970" s="12"/>
    </row>
    <row r="971" spans="131:132" x14ac:dyDescent="0.2">
      <c r="EA971" s="12"/>
      <c r="EB971" s="12"/>
    </row>
    <row r="972" spans="131:132" x14ac:dyDescent="0.2">
      <c r="EA972" s="12"/>
      <c r="EB972" s="12"/>
    </row>
    <row r="973" spans="131:132" x14ac:dyDescent="0.2">
      <c r="EA973" s="12"/>
      <c r="EB973" s="12"/>
    </row>
    <row r="974" spans="131:132" x14ac:dyDescent="0.2">
      <c r="EA974" s="12"/>
      <c r="EB974" s="12"/>
    </row>
    <row r="975" spans="131:132" x14ac:dyDescent="0.2">
      <c r="EA975" s="12"/>
      <c r="EB975" s="12"/>
    </row>
    <row r="976" spans="131:132" x14ac:dyDescent="0.2">
      <c r="EA976" s="12"/>
      <c r="EB976" s="12"/>
    </row>
    <row r="977" spans="131:132" x14ac:dyDescent="0.2">
      <c r="EA977" s="12"/>
      <c r="EB977" s="12"/>
    </row>
    <row r="978" spans="131:132" x14ac:dyDescent="0.2">
      <c r="EA978" s="12"/>
      <c r="EB978" s="12"/>
    </row>
    <row r="979" spans="131:132" x14ac:dyDescent="0.2">
      <c r="EA979" s="12"/>
      <c r="EB979" s="12"/>
    </row>
    <row r="980" spans="131:132" x14ac:dyDescent="0.2">
      <c r="EA980" s="12"/>
      <c r="EB980" s="12"/>
    </row>
    <row r="981" spans="131:132" x14ac:dyDescent="0.2">
      <c r="EA981" s="12"/>
      <c r="EB981" s="12"/>
    </row>
    <row r="982" spans="131:132" x14ac:dyDescent="0.2">
      <c r="EA982" s="12"/>
      <c r="EB982" s="12"/>
    </row>
    <row r="983" spans="131:132" x14ac:dyDescent="0.2">
      <c r="EA983" s="12"/>
      <c r="EB983" s="12"/>
    </row>
    <row r="984" spans="131:132" x14ac:dyDescent="0.2">
      <c r="EA984" s="12"/>
      <c r="EB984" s="12"/>
    </row>
    <row r="985" spans="131:132" x14ac:dyDescent="0.2">
      <c r="EA985" s="12"/>
      <c r="EB985" s="12"/>
    </row>
    <row r="986" spans="131:132" x14ac:dyDescent="0.2">
      <c r="EA986" s="12"/>
      <c r="EB986" s="12"/>
    </row>
    <row r="987" spans="131:132" x14ac:dyDescent="0.2">
      <c r="EA987" s="12"/>
      <c r="EB987" s="12"/>
    </row>
    <row r="988" spans="131:132" x14ac:dyDescent="0.2">
      <c r="EA988" s="12"/>
      <c r="EB988" s="12"/>
    </row>
    <row r="989" spans="131:132" x14ac:dyDescent="0.2">
      <c r="EA989" s="12"/>
      <c r="EB989" s="12"/>
    </row>
    <row r="990" spans="131:132" x14ac:dyDescent="0.2">
      <c r="EA990" s="12"/>
      <c r="EB990" s="12"/>
    </row>
    <row r="991" spans="131:132" x14ac:dyDescent="0.2">
      <c r="EA991" s="12"/>
      <c r="EB991" s="12"/>
    </row>
    <row r="992" spans="131:132" x14ac:dyDescent="0.2">
      <c r="EA992" s="12"/>
      <c r="EB992" s="12"/>
    </row>
    <row r="993" spans="131:132" x14ac:dyDescent="0.2">
      <c r="EA993" s="12"/>
      <c r="EB993" s="12"/>
    </row>
    <row r="994" spans="131:132" x14ac:dyDescent="0.2">
      <c r="EA994" s="12"/>
      <c r="EB994" s="12"/>
    </row>
    <row r="995" spans="131:132" x14ac:dyDescent="0.2">
      <c r="EA995" s="12"/>
      <c r="EB995" s="12"/>
    </row>
    <row r="996" spans="131:132" x14ac:dyDescent="0.2">
      <c r="EA996" s="12"/>
      <c r="EB996" s="12"/>
    </row>
    <row r="997" spans="131:132" x14ac:dyDescent="0.2">
      <c r="EA997" s="12"/>
      <c r="EB997" s="12"/>
    </row>
    <row r="998" spans="131:132" x14ac:dyDescent="0.2">
      <c r="EA998" s="12"/>
      <c r="EB998" s="12"/>
    </row>
    <row r="999" spans="131:132" x14ac:dyDescent="0.2">
      <c r="EA999" s="12"/>
      <c r="EB999" s="12"/>
    </row>
    <row r="1000" spans="131:132" x14ac:dyDescent="0.2">
      <c r="EA1000" s="12"/>
      <c r="EB1000" s="12"/>
    </row>
    <row r="1001" spans="131:132" x14ac:dyDescent="0.2">
      <c r="EA1001" s="12"/>
      <c r="EB1001" s="12"/>
    </row>
    <row r="1002" spans="131:132" x14ac:dyDescent="0.2">
      <c r="EA1002" s="12"/>
      <c r="EB1002" s="12"/>
    </row>
    <row r="1003" spans="131:132" x14ac:dyDescent="0.2">
      <c r="EA1003" s="12"/>
      <c r="EB1003" s="12"/>
    </row>
    <row r="1004" spans="131:132" x14ac:dyDescent="0.2">
      <c r="EA1004" s="12"/>
      <c r="EB1004" s="12"/>
    </row>
    <row r="1005" spans="131:132" x14ac:dyDescent="0.2">
      <c r="EA1005" s="12"/>
      <c r="EB1005" s="12"/>
    </row>
    <row r="1006" spans="131:132" x14ac:dyDescent="0.2">
      <c r="EA1006" s="12"/>
      <c r="EB1006" s="12"/>
    </row>
    <row r="1007" spans="131:132" x14ac:dyDescent="0.2">
      <c r="EA1007" s="12"/>
      <c r="EB1007" s="12"/>
    </row>
    <row r="1008" spans="131:132" x14ac:dyDescent="0.2">
      <c r="EA1008" s="12"/>
      <c r="EB1008" s="12"/>
    </row>
    <row r="1009" spans="131:132" x14ac:dyDescent="0.2">
      <c r="EA1009" s="12"/>
      <c r="EB1009" s="12"/>
    </row>
    <row r="1010" spans="131:132" x14ac:dyDescent="0.2">
      <c r="EA1010" s="12"/>
      <c r="EB1010" s="12"/>
    </row>
    <row r="1011" spans="131:132" x14ac:dyDescent="0.2">
      <c r="EA1011" s="12"/>
      <c r="EB1011" s="12"/>
    </row>
    <row r="1012" spans="131:132" x14ac:dyDescent="0.2">
      <c r="EA1012" s="12"/>
      <c r="EB1012" s="12"/>
    </row>
    <row r="1013" spans="131:132" x14ac:dyDescent="0.2">
      <c r="EA1013" s="12"/>
      <c r="EB1013" s="12"/>
    </row>
    <row r="1014" spans="131:132" x14ac:dyDescent="0.2">
      <c r="EA1014" s="12"/>
      <c r="EB1014" s="12"/>
    </row>
    <row r="1015" spans="131:132" x14ac:dyDescent="0.2">
      <c r="EA1015" s="12"/>
      <c r="EB1015" s="12"/>
    </row>
    <row r="1016" spans="131:132" x14ac:dyDescent="0.2">
      <c r="EA1016" s="12"/>
      <c r="EB1016" s="12"/>
    </row>
    <row r="1017" spans="131:132" x14ac:dyDescent="0.2">
      <c r="EA1017" s="12"/>
      <c r="EB1017" s="12"/>
    </row>
    <row r="1018" spans="131:132" x14ac:dyDescent="0.2">
      <c r="EA1018" s="12"/>
      <c r="EB1018" s="12"/>
    </row>
    <row r="1019" spans="131:132" x14ac:dyDescent="0.2">
      <c r="EA1019" s="12"/>
      <c r="EB1019" s="12"/>
    </row>
    <row r="1020" spans="131:132" x14ac:dyDescent="0.2">
      <c r="EA1020" s="12"/>
      <c r="EB1020" s="12"/>
    </row>
    <row r="1021" spans="131:132" x14ac:dyDescent="0.2">
      <c r="EA1021" s="12"/>
      <c r="EB1021" s="12"/>
    </row>
    <row r="1022" spans="131:132" x14ac:dyDescent="0.2">
      <c r="EA1022" s="12"/>
      <c r="EB1022" s="12"/>
    </row>
    <row r="1023" spans="131:132" x14ac:dyDescent="0.2">
      <c r="EA1023" s="12"/>
      <c r="EB1023" s="12"/>
    </row>
    <row r="1024" spans="131:132" x14ac:dyDescent="0.2">
      <c r="EA1024" s="12"/>
      <c r="EB1024" s="12"/>
    </row>
    <row r="1025" spans="131:132" x14ac:dyDescent="0.2">
      <c r="EA1025" s="12"/>
      <c r="EB1025" s="12"/>
    </row>
    <row r="1026" spans="131:132" x14ac:dyDescent="0.2">
      <c r="EA1026" s="12"/>
      <c r="EB1026" s="12"/>
    </row>
    <row r="1027" spans="131:132" x14ac:dyDescent="0.2">
      <c r="EA1027" s="12"/>
      <c r="EB1027" s="12"/>
    </row>
    <row r="1028" spans="131:132" x14ac:dyDescent="0.2">
      <c r="EA1028" s="12"/>
      <c r="EB1028" s="12"/>
    </row>
    <row r="1029" spans="131:132" x14ac:dyDescent="0.2">
      <c r="EA1029" s="12"/>
      <c r="EB1029" s="12"/>
    </row>
    <row r="1030" spans="131:132" x14ac:dyDescent="0.2">
      <c r="EA1030" s="12"/>
      <c r="EB1030" s="12"/>
    </row>
    <row r="1031" spans="131:132" x14ac:dyDescent="0.2">
      <c r="EA1031" s="12"/>
      <c r="EB1031" s="12"/>
    </row>
    <row r="1032" spans="131:132" x14ac:dyDescent="0.2">
      <c r="EA1032" s="12"/>
      <c r="EB1032" s="12"/>
    </row>
    <row r="1033" spans="131:132" x14ac:dyDescent="0.2">
      <c r="EA1033" s="12"/>
      <c r="EB1033" s="12"/>
    </row>
    <row r="1034" spans="131:132" x14ac:dyDescent="0.2">
      <c r="EA1034" s="12"/>
      <c r="EB1034" s="12"/>
    </row>
    <row r="1035" spans="131:132" x14ac:dyDescent="0.2">
      <c r="EA1035" s="12"/>
      <c r="EB1035" s="12"/>
    </row>
    <row r="1036" spans="131:132" x14ac:dyDescent="0.2">
      <c r="EA1036" s="12"/>
      <c r="EB1036" s="12"/>
    </row>
    <row r="1037" spans="131:132" x14ac:dyDescent="0.2">
      <c r="EA1037" s="12"/>
      <c r="EB1037" s="12"/>
    </row>
    <row r="1038" spans="131:132" x14ac:dyDescent="0.2">
      <c r="EA1038" s="12"/>
      <c r="EB1038" s="12"/>
    </row>
    <row r="1039" spans="131:132" x14ac:dyDescent="0.2">
      <c r="EA1039" s="12"/>
      <c r="EB1039" s="12"/>
    </row>
    <row r="1040" spans="131:132" x14ac:dyDescent="0.2">
      <c r="EA1040" s="12"/>
      <c r="EB1040" s="12"/>
    </row>
    <row r="1041" spans="131:132" x14ac:dyDescent="0.2">
      <c r="EA1041" s="12"/>
      <c r="EB1041" s="12"/>
    </row>
    <row r="1042" spans="131:132" x14ac:dyDescent="0.2">
      <c r="EA1042" s="12"/>
      <c r="EB1042" s="12"/>
    </row>
    <row r="1043" spans="131:132" x14ac:dyDescent="0.2">
      <c r="EA1043" s="12"/>
      <c r="EB1043" s="12"/>
    </row>
    <row r="1044" spans="131:132" x14ac:dyDescent="0.2">
      <c r="EA1044" s="12"/>
      <c r="EB1044" s="12"/>
    </row>
    <row r="1045" spans="131:132" x14ac:dyDescent="0.2">
      <c r="EA1045" s="12"/>
      <c r="EB1045" s="12"/>
    </row>
    <row r="1046" spans="131:132" x14ac:dyDescent="0.2">
      <c r="EA1046" s="12"/>
      <c r="EB1046" s="12"/>
    </row>
    <row r="1047" spans="131:132" x14ac:dyDescent="0.2">
      <c r="EA1047" s="12"/>
      <c r="EB1047" s="12"/>
    </row>
    <row r="1048" spans="131:132" x14ac:dyDescent="0.2">
      <c r="EA1048" s="12"/>
      <c r="EB1048" s="12"/>
    </row>
    <row r="1049" spans="131:132" x14ac:dyDescent="0.2">
      <c r="EA1049" s="12"/>
      <c r="EB1049" s="12"/>
    </row>
    <row r="1050" spans="131:132" x14ac:dyDescent="0.2">
      <c r="EA1050" s="12"/>
      <c r="EB1050" s="12"/>
    </row>
    <row r="1051" spans="131:132" x14ac:dyDescent="0.2">
      <c r="EA1051" s="12"/>
      <c r="EB1051" s="12"/>
    </row>
    <row r="1052" spans="131:132" x14ac:dyDescent="0.2">
      <c r="EA1052" s="12"/>
      <c r="EB1052" s="12"/>
    </row>
    <row r="1053" spans="131:132" x14ac:dyDescent="0.2">
      <c r="EA1053" s="12"/>
      <c r="EB1053" s="12"/>
    </row>
    <row r="1054" spans="131:132" x14ac:dyDescent="0.2">
      <c r="EA1054" s="12"/>
      <c r="EB1054" s="12"/>
    </row>
    <row r="1055" spans="131:132" x14ac:dyDescent="0.2">
      <c r="EA1055" s="12"/>
      <c r="EB1055" s="12"/>
    </row>
    <row r="1056" spans="131:132" x14ac:dyDescent="0.2">
      <c r="EA1056" s="12"/>
      <c r="EB1056" s="12"/>
    </row>
    <row r="1057" spans="131:132" x14ac:dyDescent="0.2">
      <c r="EA1057" s="12"/>
      <c r="EB1057" s="12"/>
    </row>
    <row r="1058" spans="131:132" x14ac:dyDescent="0.2">
      <c r="EA1058" s="12"/>
      <c r="EB1058" s="12"/>
    </row>
    <row r="1059" spans="131:132" x14ac:dyDescent="0.2">
      <c r="EA1059" s="12"/>
      <c r="EB1059" s="12"/>
    </row>
    <row r="1060" spans="131:132" x14ac:dyDescent="0.2">
      <c r="EA1060" s="12"/>
      <c r="EB1060" s="12"/>
    </row>
    <row r="1061" spans="131:132" x14ac:dyDescent="0.2">
      <c r="EA1061" s="12"/>
      <c r="EB1061" s="12"/>
    </row>
    <row r="1062" spans="131:132" x14ac:dyDescent="0.2">
      <c r="EA1062" s="12"/>
      <c r="EB1062" s="12"/>
    </row>
    <row r="1063" spans="131:132" x14ac:dyDescent="0.2">
      <c r="EA1063" s="12"/>
      <c r="EB1063" s="12"/>
    </row>
    <row r="1064" spans="131:132" x14ac:dyDescent="0.2">
      <c r="EA1064" s="12"/>
      <c r="EB1064" s="12"/>
    </row>
    <row r="1065" spans="131:132" x14ac:dyDescent="0.2">
      <c r="EA1065" s="12"/>
      <c r="EB1065" s="12"/>
    </row>
    <row r="1066" spans="131:132" x14ac:dyDescent="0.2">
      <c r="EA1066" s="12"/>
      <c r="EB1066" s="12"/>
    </row>
    <row r="1067" spans="131:132" x14ac:dyDescent="0.2">
      <c r="EA1067" s="12"/>
      <c r="EB1067" s="12"/>
    </row>
    <row r="1068" spans="131:132" x14ac:dyDescent="0.2">
      <c r="EA1068" s="12"/>
      <c r="EB1068" s="12"/>
    </row>
    <row r="1069" spans="131:132" x14ac:dyDescent="0.2">
      <c r="EA1069" s="12"/>
      <c r="EB1069" s="12"/>
    </row>
    <row r="1070" spans="131:132" x14ac:dyDescent="0.2">
      <c r="EA1070" s="12"/>
      <c r="EB1070" s="12"/>
    </row>
    <row r="1071" spans="131:132" x14ac:dyDescent="0.2">
      <c r="EA1071" s="12"/>
      <c r="EB1071" s="12"/>
    </row>
    <row r="1072" spans="131:132" x14ac:dyDescent="0.2">
      <c r="EA1072" s="12"/>
      <c r="EB1072" s="12"/>
    </row>
    <row r="1073" spans="131:132" x14ac:dyDescent="0.2">
      <c r="EA1073" s="12"/>
      <c r="EB1073" s="12"/>
    </row>
    <row r="1074" spans="131:132" x14ac:dyDescent="0.2">
      <c r="EA1074" s="12"/>
      <c r="EB1074" s="12"/>
    </row>
    <row r="1075" spans="131:132" x14ac:dyDescent="0.2">
      <c r="EA1075" s="12"/>
      <c r="EB1075" s="12"/>
    </row>
    <row r="1076" spans="131:132" x14ac:dyDescent="0.2">
      <c r="EA1076" s="12"/>
      <c r="EB1076" s="12"/>
    </row>
    <row r="1077" spans="131:132" x14ac:dyDescent="0.2">
      <c r="EA1077" s="12"/>
      <c r="EB1077" s="12"/>
    </row>
    <row r="1078" spans="131:132" x14ac:dyDescent="0.2">
      <c r="EA1078" s="12"/>
      <c r="EB1078" s="12"/>
    </row>
    <row r="1079" spans="131:132" x14ac:dyDescent="0.2">
      <c r="EA1079" s="12"/>
      <c r="EB1079" s="12"/>
    </row>
    <row r="1080" spans="131:132" x14ac:dyDescent="0.2">
      <c r="EA1080" s="12"/>
      <c r="EB1080" s="12"/>
    </row>
    <row r="1081" spans="131:132" x14ac:dyDescent="0.2">
      <c r="EA1081" s="12"/>
      <c r="EB1081" s="12"/>
    </row>
    <row r="1082" spans="131:132" x14ac:dyDescent="0.2">
      <c r="EA1082" s="12"/>
      <c r="EB1082" s="12"/>
    </row>
    <row r="1083" spans="131:132" x14ac:dyDescent="0.2">
      <c r="EA1083" s="12"/>
      <c r="EB1083" s="12"/>
    </row>
    <row r="1084" spans="131:132" x14ac:dyDescent="0.2">
      <c r="EA1084" s="12"/>
      <c r="EB1084" s="12"/>
    </row>
    <row r="1085" spans="131:132" x14ac:dyDescent="0.2">
      <c r="EA1085" s="12"/>
      <c r="EB1085" s="12"/>
    </row>
    <row r="1086" spans="131:132" x14ac:dyDescent="0.2">
      <c r="EA1086" s="12"/>
      <c r="EB1086" s="12"/>
    </row>
    <row r="1087" spans="131:132" x14ac:dyDescent="0.2">
      <c r="EA1087" s="12"/>
      <c r="EB1087" s="12"/>
    </row>
    <row r="1088" spans="131:132" x14ac:dyDescent="0.2">
      <c r="EA1088" s="12"/>
      <c r="EB1088" s="12"/>
    </row>
    <row r="1089" spans="131:132" x14ac:dyDescent="0.2">
      <c r="EA1089" s="12"/>
      <c r="EB1089" s="12"/>
    </row>
    <row r="1090" spans="131:132" x14ac:dyDescent="0.2">
      <c r="EA1090" s="12"/>
      <c r="EB1090" s="12"/>
    </row>
    <row r="1091" spans="131:132" x14ac:dyDescent="0.2">
      <c r="EA1091" s="12"/>
      <c r="EB1091" s="12"/>
    </row>
    <row r="1092" spans="131:132" x14ac:dyDescent="0.2">
      <c r="EA1092" s="12"/>
      <c r="EB1092" s="12"/>
    </row>
    <row r="1093" spans="131:132" x14ac:dyDescent="0.2">
      <c r="EA1093" s="12"/>
      <c r="EB1093" s="12"/>
    </row>
    <row r="1094" spans="131:132" x14ac:dyDescent="0.2">
      <c r="EA1094" s="12"/>
      <c r="EB1094" s="12"/>
    </row>
    <row r="1095" spans="131:132" x14ac:dyDescent="0.2">
      <c r="EA1095" s="12"/>
      <c r="EB1095" s="12"/>
    </row>
    <row r="1096" spans="131:132" x14ac:dyDescent="0.2">
      <c r="EA1096" s="12"/>
      <c r="EB1096" s="12"/>
    </row>
    <row r="1097" spans="131:132" x14ac:dyDescent="0.2">
      <c r="EA1097" s="12"/>
      <c r="EB1097" s="12"/>
    </row>
    <row r="1098" spans="131:132" x14ac:dyDescent="0.2">
      <c r="EA1098" s="12"/>
      <c r="EB1098" s="12"/>
    </row>
    <row r="1099" spans="131:132" x14ac:dyDescent="0.2">
      <c r="EA1099" s="12"/>
      <c r="EB1099" s="12"/>
    </row>
    <row r="1100" spans="131:132" x14ac:dyDescent="0.2">
      <c r="EA1100" s="12"/>
      <c r="EB1100" s="12"/>
    </row>
    <row r="1101" spans="131:132" x14ac:dyDescent="0.2">
      <c r="EA1101" s="12"/>
      <c r="EB1101" s="12"/>
    </row>
    <row r="1102" spans="131:132" x14ac:dyDescent="0.2">
      <c r="EA1102" s="12"/>
      <c r="EB1102" s="12"/>
    </row>
    <row r="1103" spans="131:132" x14ac:dyDescent="0.2">
      <c r="EA1103" s="12"/>
      <c r="EB1103" s="12"/>
    </row>
    <row r="1104" spans="131:132" x14ac:dyDescent="0.2">
      <c r="EA1104" s="12"/>
      <c r="EB1104" s="12"/>
    </row>
    <row r="1105" spans="131:132" x14ac:dyDescent="0.2">
      <c r="EA1105" s="12"/>
      <c r="EB1105" s="12"/>
    </row>
    <row r="1106" spans="131:132" x14ac:dyDescent="0.2">
      <c r="EA1106" s="12"/>
      <c r="EB1106" s="12"/>
    </row>
    <row r="1107" spans="131:132" x14ac:dyDescent="0.2">
      <c r="EA1107" s="12"/>
      <c r="EB1107" s="12"/>
    </row>
    <row r="1108" spans="131:132" x14ac:dyDescent="0.2">
      <c r="EA1108" s="12"/>
      <c r="EB1108" s="12"/>
    </row>
    <row r="1109" spans="131:132" x14ac:dyDescent="0.2">
      <c r="EA1109" s="12"/>
      <c r="EB1109" s="12"/>
    </row>
    <row r="1110" spans="131:132" x14ac:dyDescent="0.2">
      <c r="EA1110" s="12"/>
      <c r="EB1110" s="12"/>
    </row>
    <row r="1111" spans="131:132" x14ac:dyDescent="0.2">
      <c r="EA1111" s="12"/>
      <c r="EB1111" s="12"/>
    </row>
    <row r="1112" spans="131:132" x14ac:dyDescent="0.2">
      <c r="EA1112" s="12"/>
      <c r="EB1112" s="12"/>
    </row>
    <row r="1113" spans="131:132" x14ac:dyDescent="0.2">
      <c r="EA1113" s="12"/>
      <c r="EB1113" s="12"/>
    </row>
    <row r="1114" spans="131:132" x14ac:dyDescent="0.2">
      <c r="EA1114" s="12"/>
      <c r="EB1114" s="12"/>
    </row>
    <row r="1115" spans="131:132" x14ac:dyDescent="0.2">
      <c r="EA1115" s="12"/>
      <c r="EB1115" s="12"/>
    </row>
    <row r="1116" spans="131:132" x14ac:dyDescent="0.2">
      <c r="EA1116" s="12"/>
      <c r="EB1116" s="12"/>
    </row>
    <row r="1117" spans="131:132" x14ac:dyDescent="0.2">
      <c r="EA1117" s="12"/>
      <c r="EB1117" s="12"/>
    </row>
    <row r="1118" spans="131:132" x14ac:dyDescent="0.2">
      <c r="EA1118" s="12"/>
      <c r="EB1118" s="12"/>
    </row>
    <row r="1119" spans="131:132" x14ac:dyDescent="0.2">
      <c r="EA1119" s="12"/>
      <c r="EB1119" s="12"/>
    </row>
    <row r="1120" spans="131:132" x14ac:dyDescent="0.2">
      <c r="EA1120" s="12"/>
      <c r="EB1120" s="12"/>
    </row>
    <row r="1121" spans="131:132" x14ac:dyDescent="0.2">
      <c r="EA1121" s="12"/>
      <c r="EB1121" s="12"/>
    </row>
    <row r="1122" spans="131:132" x14ac:dyDescent="0.2">
      <c r="EA1122" s="12"/>
      <c r="EB1122" s="12"/>
    </row>
    <row r="1123" spans="131:132" x14ac:dyDescent="0.2">
      <c r="EA1123" s="12"/>
      <c r="EB1123" s="12"/>
    </row>
    <row r="1124" spans="131:132" x14ac:dyDescent="0.2">
      <c r="EA1124" s="12"/>
      <c r="EB1124" s="12"/>
    </row>
    <row r="1125" spans="131:132" x14ac:dyDescent="0.2">
      <c r="EA1125" s="12"/>
      <c r="EB1125" s="12"/>
    </row>
    <row r="1126" spans="131:132" x14ac:dyDescent="0.2">
      <c r="EA1126" s="12"/>
      <c r="EB1126" s="12"/>
    </row>
    <row r="1127" spans="131:132" x14ac:dyDescent="0.2">
      <c r="EA1127" s="12"/>
      <c r="EB1127" s="12"/>
    </row>
    <row r="1128" spans="131:132" x14ac:dyDescent="0.2">
      <c r="EA1128" s="12"/>
      <c r="EB1128" s="12"/>
    </row>
    <row r="1129" spans="131:132" x14ac:dyDescent="0.2">
      <c r="EA1129" s="12"/>
      <c r="EB1129" s="12"/>
    </row>
    <row r="1130" spans="131:132" x14ac:dyDescent="0.2">
      <c r="EA1130" s="12"/>
      <c r="EB1130" s="12"/>
    </row>
    <row r="1131" spans="131:132" x14ac:dyDescent="0.2">
      <c r="EA1131" s="12"/>
      <c r="EB1131" s="12"/>
    </row>
    <row r="1132" spans="131:132" x14ac:dyDescent="0.2">
      <c r="EA1132" s="12"/>
      <c r="EB1132" s="12"/>
    </row>
    <row r="1133" spans="131:132" x14ac:dyDescent="0.2">
      <c r="EA1133" s="12"/>
      <c r="EB1133" s="12"/>
    </row>
    <row r="1134" spans="131:132" x14ac:dyDescent="0.2">
      <c r="EA1134" s="12"/>
      <c r="EB1134" s="12"/>
    </row>
    <row r="1135" spans="131:132" x14ac:dyDescent="0.2">
      <c r="EA1135" s="12"/>
      <c r="EB1135" s="12"/>
    </row>
    <row r="1136" spans="131:132" x14ac:dyDescent="0.2">
      <c r="EA1136" s="12"/>
      <c r="EB1136" s="12"/>
    </row>
    <row r="1137" spans="131:132" x14ac:dyDescent="0.2">
      <c r="EA1137" s="12"/>
      <c r="EB1137" s="12"/>
    </row>
    <row r="1138" spans="131:132" x14ac:dyDescent="0.2">
      <c r="EA1138" s="12"/>
      <c r="EB1138" s="12"/>
    </row>
    <row r="1139" spans="131:132" x14ac:dyDescent="0.2">
      <c r="EA1139" s="12"/>
      <c r="EB1139" s="12"/>
    </row>
    <row r="1140" spans="131:132" x14ac:dyDescent="0.2">
      <c r="EA1140" s="12"/>
      <c r="EB1140" s="12"/>
    </row>
    <row r="1141" spans="131:132" x14ac:dyDescent="0.2">
      <c r="EA1141" s="12"/>
      <c r="EB1141" s="12"/>
    </row>
    <row r="1142" spans="131:132" x14ac:dyDescent="0.2">
      <c r="EA1142" s="12"/>
      <c r="EB1142" s="12"/>
    </row>
    <row r="1143" spans="131:132" x14ac:dyDescent="0.2">
      <c r="EA1143" s="12"/>
      <c r="EB1143" s="12"/>
    </row>
    <row r="1144" spans="131:132" x14ac:dyDescent="0.2">
      <c r="EA1144" s="12"/>
      <c r="EB1144" s="12"/>
    </row>
    <row r="1145" spans="131:132" x14ac:dyDescent="0.2">
      <c r="EA1145" s="12"/>
      <c r="EB1145" s="12"/>
    </row>
    <row r="1146" spans="131:132" x14ac:dyDescent="0.2">
      <c r="EA1146" s="12"/>
      <c r="EB1146" s="12"/>
    </row>
    <row r="1147" spans="131:132" x14ac:dyDescent="0.2">
      <c r="EA1147" s="12"/>
      <c r="EB1147" s="12"/>
    </row>
    <row r="1148" spans="131:132" x14ac:dyDescent="0.2">
      <c r="EA1148" s="12"/>
      <c r="EB1148" s="12"/>
    </row>
    <row r="1149" spans="131:132" x14ac:dyDescent="0.2">
      <c r="EA1149" s="12"/>
      <c r="EB1149" s="12"/>
    </row>
    <row r="1150" spans="131:132" x14ac:dyDescent="0.2">
      <c r="EA1150" s="12"/>
      <c r="EB1150" s="12"/>
    </row>
    <row r="1151" spans="131:132" x14ac:dyDescent="0.2">
      <c r="EA1151" s="12"/>
      <c r="EB1151" s="12"/>
    </row>
    <row r="1152" spans="131:132" x14ac:dyDescent="0.2">
      <c r="EA1152" s="12"/>
      <c r="EB1152" s="12"/>
    </row>
    <row r="1153" spans="131:132" x14ac:dyDescent="0.2">
      <c r="EA1153" s="12"/>
      <c r="EB1153" s="12"/>
    </row>
    <row r="1154" spans="131:132" x14ac:dyDescent="0.2">
      <c r="EA1154" s="12"/>
      <c r="EB1154" s="12"/>
    </row>
    <row r="1155" spans="131:132" x14ac:dyDescent="0.2">
      <c r="EA1155" s="12"/>
      <c r="EB1155" s="12"/>
    </row>
    <row r="1156" spans="131:132" x14ac:dyDescent="0.2">
      <c r="EA1156" s="12"/>
      <c r="EB1156" s="12"/>
    </row>
    <row r="1157" spans="131:132" x14ac:dyDescent="0.2">
      <c r="EA1157" s="12"/>
      <c r="EB1157" s="12"/>
    </row>
    <row r="1158" spans="131:132" x14ac:dyDescent="0.2">
      <c r="EA1158" s="12"/>
      <c r="EB1158" s="12"/>
    </row>
    <row r="1159" spans="131:132" x14ac:dyDescent="0.2">
      <c r="EA1159" s="12"/>
      <c r="EB1159" s="12"/>
    </row>
    <row r="1160" spans="131:132" x14ac:dyDescent="0.2">
      <c r="EA1160" s="12"/>
      <c r="EB1160" s="12"/>
    </row>
    <row r="1161" spans="131:132" x14ac:dyDescent="0.2">
      <c r="EA1161" s="12"/>
      <c r="EB1161" s="12"/>
    </row>
    <row r="1162" spans="131:132" x14ac:dyDescent="0.2">
      <c r="EA1162" s="12"/>
      <c r="EB1162" s="12"/>
    </row>
    <row r="1163" spans="131:132" x14ac:dyDescent="0.2">
      <c r="EA1163" s="12"/>
      <c r="EB1163" s="12"/>
    </row>
    <row r="1164" spans="131:132" x14ac:dyDescent="0.2">
      <c r="EA1164" s="12"/>
      <c r="EB1164" s="12"/>
    </row>
    <row r="1165" spans="131:132" x14ac:dyDescent="0.2">
      <c r="EA1165" s="12"/>
      <c r="EB1165" s="12"/>
    </row>
    <row r="1166" spans="131:132" x14ac:dyDescent="0.2">
      <c r="EA1166" s="12"/>
      <c r="EB1166" s="12"/>
    </row>
    <row r="1167" spans="131:132" x14ac:dyDescent="0.2">
      <c r="EA1167" s="12"/>
      <c r="EB1167" s="12"/>
    </row>
    <row r="1168" spans="131:132" x14ac:dyDescent="0.2">
      <c r="EA1168" s="12"/>
      <c r="EB1168" s="12"/>
    </row>
    <row r="1169" spans="131:132" x14ac:dyDescent="0.2">
      <c r="EA1169" s="12"/>
      <c r="EB1169" s="12"/>
    </row>
    <row r="1170" spans="131:132" x14ac:dyDescent="0.2">
      <c r="EA1170" s="12"/>
      <c r="EB1170" s="12"/>
    </row>
    <row r="1171" spans="131:132" x14ac:dyDescent="0.2">
      <c r="EA1171" s="12"/>
      <c r="EB1171" s="12"/>
    </row>
    <row r="1172" spans="131:132" x14ac:dyDescent="0.2">
      <c r="EA1172" s="12"/>
      <c r="EB1172" s="12"/>
    </row>
    <row r="1173" spans="131:132" x14ac:dyDescent="0.2">
      <c r="EA1173" s="12"/>
      <c r="EB1173" s="12"/>
    </row>
    <row r="1174" spans="131:132" x14ac:dyDescent="0.2">
      <c r="EA1174" s="12"/>
      <c r="EB1174" s="12"/>
    </row>
    <row r="1175" spans="131:132" x14ac:dyDescent="0.2">
      <c r="EA1175" s="12"/>
      <c r="EB1175" s="12"/>
    </row>
    <row r="1176" spans="131:132" x14ac:dyDescent="0.2">
      <c r="EA1176" s="12"/>
      <c r="EB1176" s="12"/>
    </row>
    <row r="1177" spans="131:132" x14ac:dyDescent="0.2">
      <c r="EA1177" s="12"/>
      <c r="EB1177" s="12"/>
    </row>
    <row r="1178" spans="131:132" x14ac:dyDescent="0.2">
      <c r="EA1178" s="12"/>
      <c r="EB1178" s="12"/>
    </row>
    <row r="1179" spans="131:132" x14ac:dyDescent="0.2">
      <c r="EA1179" s="12"/>
      <c r="EB1179" s="12"/>
    </row>
    <row r="1180" spans="131:132" x14ac:dyDescent="0.2">
      <c r="EA1180" s="12"/>
      <c r="EB1180" s="12"/>
    </row>
    <row r="1181" spans="131:132" x14ac:dyDescent="0.2">
      <c r="EA1181" s="12"/>
      <c r="EB1181" s="12"/>
    </row>
    <row r="1182" spans="131:132" x14ac:dyDescent="0.2">
      <c r="EA1182" s="12"/>
      <c r="EB1182" s="12"/>
    </row>
    <row r="1183" spans="131:132" x14ac:dyDescent="0.2">
      <c r="EA1183" s="12"/>
      <c r="EB1183" s="12"/>
    </row>
    <row r="1184" spans="131:132" x14ac:dyDescent="0.2">
      <c r="EA1184" s="12"/>
      <c r="EB1184" s="12"/>
    </row>
    <row r="1185" spans="131:132" x14ac:dyDescent="0.2">
      <c r="EA1185" s="12"/>
      <c r="EB1185" s="12"/>
    </row>
    <row r="1186" spans="131:132" x14ac:dyDescent="0.2">
      <c r="EA1186" s="12"/>
      <c r="EB1186" s="12"/>
    </row>
    <row r="1187" spans="131:132" x14ac:dyDescent="0.2">
      <c r="EA1187" s="12"/>
      <c r="EB1187" s="12"/>
    </row>
    <row r="1188" spans="131:132" x14ac:dyDescent="0.2">
      <c r="EA1188" s="12"/>
      <c r="EB1188" s="12"/>
    </row>
    <row r="1189" spans="131:132" x14ac:dyDescent="0.2">
      <c r="EA1189" s="12"/>
      <c r="EB1189" s="12"/>
    </row>
    <row r="1190" spans="131:132" x14ac:dyDescent="0.2">
      <c r="EA1190" s="12"/>
      <c r="EB1190" s="12"/>
    </row>
    <row r="1191" spans="131:132" x14ac:dyDescent="0.2">
      <c r="EA1191" s="12"/>
      <c r="EB1191" s="12"/>
    </row>
    <row r="1192" spans="131:132" x14ac:dyDescent="0.2">
      <c r="EA1192" s="12"/>
      <c r="EB1192" s="12"/>
    </row>
    <row r="1193" spans="131:132" x14ac:dyDescent="0.2">
      <c r="EA1193" s="12"/>
      <c r="EB1193" s="12"/>
    </row>
    <row r="1194" spans="131:132" x14ac:dyDescent="0.2">
      <c r="EA1194" s="12"/>
      <c r="EB1194" s="12"/>
    </row>
    <row r="1195" spans="131:132" x14ac:dyDescent="0.2">
      <c r="EA1195" s="12"/>
      <c r="EB1195" s="12"/>
    </row>
    <row r="1196" spans="131:132" x14ac:dyDescent="0.2">
      <c r="EA1196" s="12"/>
      <c r="EB1196" s="12"/>
    </row>
    <row r="1197" spans="131:132" x14ac:dyDescent="0.2">
      <c r="EA1197" s="12"/>
      <c r="EB1197" s="12"/>
    </row>
    <row r="1198" spans="131:132" x14ac:dyDescent="0.2">
      <c r="EA1198" s="12"/>
      <c r="EB1198" s="12"/>
    </row>
    <row r="1199" spans="131:132" x14ac:dyDescent="0.2">
      <c r="EA1199" s="12"/>
      <c r="EB1199" s="12"/>
    </row>
    <row r="1200" spans="131:132" x14ac:dyDescent="0.2">
      <c r="EA1200" s="12"/>
      <c r="EB1200" s="12"/>
    </row>
    <row r="1201" spans="131:132" x14ac:dyDescent="0.2">
      <c r="EA1201" s="12"/>
      <c r="EB1201" s="12"/>
    </row>
    <row r="1202" spans="131:132" x14ac:dyDescent="0.2">
      <c r="EA1202" s="12"/>
      <c r="EB1202" s="12"/>
    </row>
    <row r="1203" spans="131:132" x14ac:dyDescent="0.2">
      <c r="EA1203" s="12"/>
      <c r="EB1203" s="12"/>
    </row>
    <row r="1204" spans="131:132" x14ac:dyDescent="0.2">
      <c r="EA1204" s="12"/>
      <c r="EB1204" s="12"/>
    </row>
    <row r="1205" spans="131:132" x14ac:dyDescent="0.2">
      <c r="EA1205" s="12"/>
      <c r="EB1205" s="12"/>
    </row>
    <row r="1206" spans="131:132" x14ac:dyDescent="0.2">
      <c r="EA1206" s="12"/>
      <c r="EB1206" s="12"/>
    </row>
    <row r="1207" spans="131:132" x14ac:dyDescent="0.2">
      <c r="EA1207" s="12"/>
      <c r="EB1207" s="12"/>
    </row>
    <row r="1208" spans="131:132" x14ac:dyDescent="0.2">
      <c r="EA1208" s="12"/>
      <c r="EB1208" s="12"/>
    </row>
    <row r="1209" spans="131:132" x14ac:dyDescent="0.2">
      <c r="EA1209" s="12"/>
      <c r="EB1209" s="12"/>
    </row>
    <row r="1210" spans="131:132" x14ac:dyDescent="0.2">
      <c r="EA1210" s="12"/>
      <c r="EB1210" s="12"/>
    </row>
    <row r="1211" spans="131:132" x14ac:dyDescent="0.2">
      <c r="EA1211" s="12"/>
      <c r="EB1211" s="12"/>
    </row>
    <row r="1212" spans="131:132" x14ac:dyDescent="0.2">
      <c r="EA1212" s="12"/>
      <c r="EB1212" s="12"/>
    </row>
    <row r="1213" spans="131:132" x14ac:dyDescent="0.2">
      <c r="EA1213" s="12"/>
      <c r="EB1213" s="12"/>
    </row>
    <row r="1214" spans="131:132" x14ac:dyDescent="0.2">
      <c r="EA1214" s="12"/>
      <c r="EB1214" s="12"/>
    </row>
    <row r="1215" spans="131:132" x14ac:dyDescent="0.2">
      <c r="EA1215" s="12"/>
      <c r="EB1215" s="12"/>
    </row>
    <row r="1216" spans="131:132" x14ac:dyDescent="0.2">
      <c r="EA1216" s="12"/>
      <c r="EB1216" s="12"/>
    </row>
    <row r="1217" spans="131:132" x14ac:dyDescent="0.2">
      <c r="EA1217" s="12"/>
      <c r="EB1217" s="12"/>
    </row>
    <row r="1218" spans="131:132" x14ac:dyDescent="0.2">
      <c r="EA1218" s="12"/>
      <c r="EB1218" s="12"/>
    </row>
    <row r="1219" spans="131:132" x14ac:dyDescent="0.2">
      <c r="EA1219" s="12"/>
      <c r="EB1219" s="12"/>
    </row>
    <row r="1220" spans="131:132" x14ac:dyDescent="0.2">
      <c r="EA1220" s="12"/>
      <c r="EB1220" s="12"/>
    </row>
    <row r="1221" spans="131:132" x14ac:dyDescent="0.2">
      <c r="EA1221" s="12"/>
      <c r="EB1221" s="12"/>
    </row>
    <row r="1222" spans="131:132" x14ac:dyDescent="0.2">
      <c r="EA1222" s="12"/>
      <c r="EB1222" s="12"/>
    </row>
    <row r="1223" spans="131:132" x14ac:dyDescent="0.2">
      <c r="EA1223" s="12"/>
      <c r="EB1223" s="12"/>
    </row>
    <row r="1224" spans="131:132" x14ac:dyDescent="0.2">
      <c r="EA1224" s="12"/>
      <c r="EB1224" s="12"/>
    </row>
    <row r="1225" spans="131:132" x14ac:dyDescent="0.2">
      <c r="EA1225" s="12"/>
      <c r="EB1225" s="12"/>
    </row>
    <row r="1226" spans="131:132" x14ac:dyDescent="0.2">
      <c r="EA1226" s="12"/>
      <c r="EB1226" s="12"/>
    </row>
    <row r="1227" spans="131:132" x14ac:dyDescent="0.2">
      <c r="EA1227" s="12"/>
      <c r="EB1227" s="12"/>
    </row>
    <row r="1228" spans="131:132" x14ac:dyDescent="0.2">
      <c r="EA1228" s="12"/>
      <c r="EB1228" s="12"/>
    </row>
    <row r="1229" spans="131:132" x14ac:dyDescent="0.2">
      <c r="EA1229" s="12"/>
      <c r="EB1229" s="12"/>
    </row>
    <row r="1230" spans="131:132" x14ac:dyDescent="0.2">
      <c r="EA1230" s="12"/>
      <c r="EB1230" s="12"/>
    </row>
    <row r="1231" spans="131:132" x14ac:dyDescent="0.2">
      <c r="EA1231" s="12"/>
      <c r="EB1231" s="12"/>
    </row>
    <row r="1232" spans="131:132" x14ac:dyDescent="0.2">
      <c r="EA1232" s="12"/>
      <c r="EB1232" s="12"/>
    </row>
    <row r="1233" spans="131:132" x14ac:dyDescent="0.2">
      <c r="EA1233" s="12"/>
      <c r="EB1233" s="12"/>
    </row>
    <row r="1234" spans="131:132" x14ac:dyDescent="0.2">
      <c r="EA1234" s="12"/>
      <c r="EB1234" s="12"/>
    </row>
    <row r="1235" spans="131:132" x14ac:dyDescent="0.2">
      <c r="EA1235" s="12"/>
      <c r="EB1235" s="12"/>
    </row>
    <row r="1236" spans="131:132" x14ac:dyDescent="0.2">
      <c r="EA1236" s="12"/>
      <c r="EB1236" s="12"/>
    </row>
    <row r="1237" spans="131:132" x14ac:dyDescent="0.2">
      <c r="EA1237" s="12"/>
      <c r="EB1237" s="12"/>
    </row>
    <row r="1238" spans="131:132" x14ac:dyDescent="0.2">
      <c r="EA1238" s="12"/>
      <c r="EB1238" s="12"/>
    </row>
    <row r="1239" spans="131:132" x14ac:dyDescent="0.2">
      <c r="EA1239" s="12"/>
      <c r="EB1239" s="12"/>
    </row>
    <row r="1240" spans="131:132" x14ac:dyDescent="0.2">
      <c r="EA1240" s="12"/>
      <c r="EB1240" s="12"/>
    </row>
    <row r="1241" spans="131:132" x14ac:dyDescent="0.2">
      <c r="EA1241" s="12"/>
      <c r="EB1241" s="12"/>
    </row>
    <row r="1242" spans="131:132" x14ac:dyDescent="0.2">
      <c r="EA1242" s="12"/>
      <c r="EB1242" s="12"/>
    </row>
    <row r="1243" spans="131:132" x14ac:dyDescent="0.2">
      <c r="EA1243" s="12"/>
      <c r="EB1243" s="12"/>
    </row>
    <row r="1244" spans="131:132" x14ac:dyDescent="0.2">
      <c r="EA1244" s="12"/>
      <c r="EB1244" s="12"/>
    </row>
    <row r="1245" spans="131:132" x14ac:dyDescent="0.2">
      <c r="EA1245" s="12"/>
      <c r="EB1245" s="12"/>
    </row>
    <row r="1246" spans="131:132" x14ac:dyDescent="0.2">
      <c r="EA1246" s="12"/>
      <c r="EB1246" s="12"/>
    </row>
    <row r="1247" spans="131:132" x14ac:dyDescent="0.2">
      <c r="EA1247" s="12"/>
      <c r="EB1247" s="12"/>
    </row>
    <row r="1248" spans="131:132" x14ac:dyDescent="0.2">
      <c r="EA1248" s="12"/>
      <c r="EB1248" s="12"/>
    </row>
    <row r="1249" spans="131:132" x14ac:dyDescent="0.2">
      <c r="EA1249" s="12"/>
      <c r="EB1249" s="12"/>
    </row>
    <row r="1250" spans="131:132" x14ac:dyDescent="0.2">
      <c r="EA1250" s="12"/>
      <c r="EB1250" s="12"/>
    </row>
    <row r="1251" spans="131:132" x14ac:dyDescent="0.2">
      <c r="EA1251" s="12"/>
      <c r="EB1251" s="12"/>
    </row>
    <row r="1252" spans="131:132" x14ac:dyDescent="0.2">
      <c r="EA1252" s="12"/>
      <c r="EB1252" s="12"/>
    </row>
    <row r="1253" spans="131:132" x14ac:dyDescent="0.2">
      <c r="EA1253" s="12"/>
      <c r="EB1253" s="12"/>
    </row>
    <row r="1254" spans="131:132" x14ac:dyDescent="0.2">
      <c r="EA1254" s="12"/>
      <c r="EB1254" s="12"/>
    </row>
    <row r="1255" spans="131:132" x14ac:dyDescent="0.2">
      <c r="EA1255" s="12"/>
      <c r="EB1255" s="12"/>
    </row>
    <row r="1256" spans="131:132" x14ac:dyDescent="0.2">
      <c r="EA1256" s="12"/>
      <c r="EB1256" s="12"/>
    </row>
    <row r="1257" spans="131:132" x14ac:dyDescent="0.2">
      <c r="EA1257" s="12"/>
      <c r="EB1257" s="12"/>
    </row>
    <row r="1258" spans="131:132" x14ac:dyDescent="0.2">
      <c r="EA1258" s="12"/>
      <c r="EB1258" s="12"/>
    </row>
    <row r="1259" spans="131:132" x14ac:dyDescent="0.2">
      <c r="EA1259" s="12"/>
      <c r="EB1259" s="12"/>
    </row>
    <row r="1260" spans="131:132" x14ac:dyDescent="0.2">
      <c r="EA1260" s="12"/>
      <c r="EB1260" s="12"/>
    </row>
    <row r="1261" spans="131:132" x14ac:dyDescent="0.2">
      <c r="EA1261" s="12"/>
      <c r="EB1261" s="12"/>
    </row>
    <row r="1262" spans="131:132" x14ac:dyDescent="0.2">
      <c r="EA1262" s="12"/>
      <c r="EB1262" s="12"/>
    </row>
    <row r="1263" spans="131:132" x14ac:dyDescent="0.2">
      <c r="EA1263" s="12"/>
      <c r="EB1263" s="12"/>
    </row>
    <row r="1264" spans="131:132" x14ac:dyDescent="0.2">
      <c r="EA1264" s="12"/>
      <c r="EB1264" s="12"/>
    </row>
    <row r="1265" spans="131:132" x14ac:dyDescent="0.2">
      <c r="EA1265" s="12"/>
      <c r="EB1265" s="12"/>
    </row>
    <row r="1266" spans="131:132" x14ac:dyDescent="0.2">
      <c r="EA1266" s="12"/>
      <c r="EB1266" s="12"/>
    </row>
    <row r="1267" spans="131:132" x14ac:dyDescent="0.2">
      <c r="EA1267" s="12"/>
      <c r="EB1267" s="12"/>
    </row>
    <row r="1268" spans="131:132" x14ac:dyDescent="0.2">
      <c r="EA1268" s="12"/>
      <c r="EB1268" s="12"/>
    </row>
    <row r="1269" spans="131:132" x14ac:dyDescent="0.2">
      <c r="EA1269" s="12"/>
      <c r="EB1269" s="12"/>
    </row>
    <row r="1270" spans="131:132" x14ac:dyDescent="0.2">
      <c r="EA1270" s="12"/>
      <c r="EB1270" s="12"/>
    </row>
    <row r="1271" spans="131:132" x14ac:dyDescent="0.2">
      <c r="EA1271" s="12"/>
      <c r="EB1271" s="12"/>
    </row>
    <row r="1272" spans="131:132" x14ac:dyDescent="0.2">
      <c r="EA1272" s="12"/>
      <c r="EB1272" s="12"/>
    </row>
    <row r="1273" spans="131:132" x14ac:dyDescent="0.2">
      <c r="EA1273" s="12"/>
      <c r="EB1273" s="12"/>
    </row>
    <row r="1274" spans="131:132" x14ac:dyDescent="0.2">
      <c r="EA1274" s="12"/>
      <c r="EB1274" s="12"/>
    </row>
    <row r="1275" spans="131:132" x14ac:dyDescent="0.2">
      <c r="EA1275" s="12"/>
      <c r="EB1275" s="12"/>
    </row>
    <row r="1276" spans="131:132" x14ac:dyDescent="0.2">
      <c r="EA1276" s="12"/>
      <c r="EB1276" s="12"/>
    </row>
    <row r="1277" spans="131:132" x14ac:dyDescent="0.2">
      <c r="EA1277" s="12"/>
      <c r="EB1277" s="12"/>
    </row>
    <row r="1278" spans="131:132" x14ac:dyDescent="0.2">
      <c r="EA1278" s="12"/>
      <c r="EB1278" s="12"/>
    </row>
    <row r="1279" spans="131:132" x14ac:dyDescent="0.2">
      <c r="EA1279" s="12"/>
      <c r="EB1279" s="12"/>
    </row>
    <row r="1280" spans="131:132" x14ac:dyDescent="0.2">
      <c r="EA1280" s="12"/>
      <c r="EB1280" s="12"/>
    </row>
    <row r="1281" spans="131:132" x14ac:dyDescent="0.2">
      <c r="EA1281" s="12"/>
      <c r="EB1281" s="12"/>
    </row>
    <row r="1282" spans="131:132" x14ac:dyDescent="0.2">
      <c r="EA1282" s="12"/>
      <c r="EB1282" s="12"/>
    </row>
    <row r="1283" spans="131:132" x14ac:dyDescent="0.2">
      <c r="EA1283" s="12"/>
      <c r="EB1283" s="12"/>
    </row>
    <row r="1284" spans="131:132" x14ac:dyDescent="0.2">
      <c r="EA1284" s="12"/>
      <c r="EB1284" s="12"/>
    </row>
    <row r="1285" spans="131:132" x14ac:dyDescent="0.2">
      <c r="EA1285" s="12"/>
      <c r="EB1285" s="12"/>
    </row>
    <row r="1286" spans="131:132" x14ac:dyDescent="0.2">
      <c r="EA1286" s="12"/>
      <c r="EB1286" s="12"/>
    </row>
    <row r="1287" spans="131:132" x14ac:dyDescent="0.2">
      <c r="EA1287" s="12"/>
      <c r="EB1287" s="12"/>
    </row>
    <row r="1288" spans="131:132" x14ac:dyDescent="0.2">
      <c r="EA1288" s="12"/>
      <c r="EB1288" s="12"/>
    </row>
    <row r="1289" spans="131:132" x14ac:dyDescent="0.2">
      <c r="EA1289" s="12"/>
      <c r="EB1289" s="12"/>
    </row>
    <row r="1290" spans="131:132" x14ac:dyDescent="0.2">
      <c r="EA1290" s="12"/>
      <c r="EB1290" s="12"/>
    </row>
    <row r="1291" spans="131:132" x14ac:dyDescent="0.2">
      <c r="EA1291" s="12"/>
      <c r="EB1291" s="12"/>
    </row>
    <row r="1292" spans="131:132" x14ac:dyDescent="0.2">
      <c r="EA1292" s="12"/>
      <c r="EB1292" s="12"/>
    </row>
    <row r="1293" spans="131:132" x14ac:dyDescent="0.2">
      <c r="EA1293" s="12"/>
      <c r="EB1293" s="12"/>
    </row>
    <row r="1294" spans="131:132" x14ac:dyDescent="0.2">
      <c r="EA1294" s="12"/>
      <c r="EB1294" s="12"/>
    </row>
    <row r="1295" spans="131:132" x14ac:dyDescent="0.2">
      <c r="EA1295" s="12"/>
      <c r="EB1295" s="12"/>
    </row>
    <row r="1296" spans="131:132" x14ac:dyDescent="0.2">
      <c r="EA1296" s="12"/>
      <c r="EB1296" s="12"/>
    </row>
    <row r="1297" spans="131:132" x14ac:dyDescent="0.2">
      <c r="EA1297" s="12"/>
      <c r="EB1297" s="12"/>
    </row>
    <row r="1298" spans="131:132" x14ac:dyDescent="0.2">
      <c r="EA1298" s="12"/>
      <c r="EB1298" s="12"/>
    </row>
    <row r="1299" spans="131:132" x14ac:dyDescent="0.2">
      <c r="EA1299" s="12"/>
      <c r="EB1299" s="12"/>
    </row>
    <row r="1300" spans="131:132" x14ac:dyDescent="0.2">
      <c r="EA1300" s="12"/>
      <c r="EB1300" s="12"/>
    </row>
    <row r="1301" spans="131:132" x14ac:dyDescent="0.2">
      <c r="EA1301" s="12"/>
      <c r="EB1301" s="12"/>
    </row>
    <row r="1302" spans="131:132" x14ac:dyDescent="0.2">
      <c r="EA1302" s="12"/>
      <c r="EB1302" s="12"/>
    </row>
    <row r="1303" spans="131:132" x14ac:dyDescent="0.2">
      <c r="EA1303" s="12"/>
      <c r="EB1303" s="12"/>
    </row>
    <row r="1304" spans="131:132" x14ac:dyDescent="0.2">
      <c r="EA1304" s="12"/>
      <c r="EB1304" s="12"/>
    </row>
    <row r="1305" spans="131:132" x14ac:dyDescent="0.2">
      <c r="EA1305" s="12"/>
      <c r="EB1305" s="12"/>
    </row>
    <row r="1306" spans="131:132" x14ac:dyDescent="0.2">
      <c r="EA1306" s="12"/>
      <c r="EB1306" s="12"/>
    </row>
    <row r="1307" spans="131:132" x14ac:dyDescent="0.2">
      <c r="EA1307" s="12"/>
      <c r="EB1307" s="12"/>
    </row>
    <row r="1308" spans="131:132" x14ac:dyDescent="0.2">
      <c r="EA1308" s="12"/>
      <c r="EB1308" s="12"/>
    </row>
    <row r="1309" spans="131:132" x14ac:dyDescent="0.2">
      <c r="EA1309" s="12"/>
      <c r="EB1309" s="12"/>
    </row>
    <row r="1310" spans="131:132" x14ac:dyDescent="0.2">
      <c r="EA1310" s="12"/>
      <c r="EB1310" s="12"/>
    </row>
    <row r="1311" spans="131:132" x14ac:dyDescent="0.2">
      <c r="EA1311" s="12"/>
      <c r="EB1311" s="12"/>
    </row>
    <row r="1312" spans="131:132" x14ac:dyDescent="0.2">
      <c r="EA1312" s="12"/>
      <c r="EB1312" s="12"/>
    </row>
    <row r="1313" spans="131:132" x14ac:dyDescent="0.2">
      <c r="EA1313" s="12"/>
      <c r="EB1313" s="12"/>
    </row>
    <row r="1314" spans="131:132" x14ac:dyDescent="0.2">
      <c r="EA1314" s="12"/>
      <c r="EB1314" s="12"/>
    </row>
    <row r="1315" spans="131:132" x14ac:dyDescent="0.2">
      <c r="EA1315" s="12"/>
      <c r="EB1315" s="12"/>
    </row>
    <row r="1316" spans="131:132" x14ac:dyDescent="0.2">
      <c r="EA1316" s="12"/>
      <c r="EB1316" s="12"/>
    </row>
    <row r="1317" spans="131:132" x14ac:dyDescent="0.2">
      <c r="EA1317" s="12"/>
      <c r="EB1317" s="12"/>
    </row>
    <row r="1318" spans="131:132" x14ac:dyDescent="0.2">
      <c r="EA1318" s="12"/>
      <c r="EB1318" s="12"/>
    </row>
    <row r="1319" spans="131:132" x14ac:dyDescent="0.2">
      <c r="EA1319" s="12"/>
      <c r="EB1319" s="12"/>
    </row>
    <row r="1320" spans="131:132" x14ac:dyDescent="0.2">
      <c r="EA1320" s="12"/>
      <c r="EB1320" s="12"/>
    </row>
    <row r="1321" spans="131:132" x14ac:dyDescent="0.2">
      <c r="EA1321" s="12"/>
      <c r="EB1321" s="12"/>
    </row>
    <row r="1322" spans="131:132" x14ac:dyDescent="0.2">
      <c r="EA1322" s="12"/>
      <c r="EB1322" s="12"/>
    </row>
    <row r="1323" spans="131:132" x14ac:dyDescent="0.2">
      <c r="EA1323" s="12"/>
      <c r="EB1323" s="12"/>
    </row>
    <row r="1324" spans="131:132" x14ac:dyDescent="0.2">
      <c r="EA1324" s="12"/>
      <c r="EB1324" s="12"/>
    </row>
    <row r="1325" spans="131:132" x14ac:dyDescent="0.2">
      <c r="EA1325" s="12"/>
      <c r="EB1325" s="12"/>
    </row>
    <row r="1326" spans="131:132" x14ac:dyDescent="0.2">
      <c r="EA1326" s="12"/>
      <c r="EB1326" s="12"/>
    </row>
    <row r="1327" spans="131:132" x14ac:dyDescent="0.2">
      <c r="EA1327" s="12"/>
      <c r="EB1327" s="12"/>
    </row>
    <row r="1328" spans="131:132" x14ac:dyDescent="0.2">
      <c r="EA1328" s="12"/>
      <c r="EB1328" s="12"/>
    </row>
    <row r="1329" spans="131:132" x14ac:dyDescent="0.2">
      <c r="EA1329" s="12"/>
      <c r="EB1329" s="12"/>
    </row>
    <row r="1330" spans="131:132" x14ac:dyDescent="0.2">
      <c r="EA1330" s="12"/>
      <c r="EB1330" s="12"/>
    </row>
    <row r="1331" spans="131:132" x14ac:dyDescent="0.2">
      <c r="EA1331" s="12"/>
      <c r="EB1331" s="12"/>
    </row>
    <row r="1332" spans="131:132" x14ac:dyDescent="0.2">
      <c r="EA1332" s="12"/>
      <c r="EB1332" s="12"/>
    </row>
    <row r="1333" spans="131:132" x14ac:dyDescent="0.2">
      <c r="EA1333" s="12"/>
      <c r="EB1333" s="12"/>
    </row>
    <row r="1334" spans="131:132" x14ac:dyDescent="0.2">
      <c r="EA1334" s="12"/>
      <c r="EB1334" s="12"/>
    </row>
    <row r="1335" spans="131:132" x14ac:dyDescent="0.2">
      <c r="EA1335" s="12"/>
      <c r="EB1335" s="12"/>
    </row>
    <row r="1336" spans="131:132" x14ac:dyDescent="0.2">
      <c r="EA1336" s="12"/>
      <c r="EB1336" s="12"/>
    </row>
    <row r="1337" spans="131:132" x14ac:dyDescent="0.2">
      <c r="EA1337" s="12"/>
      <c r="EB1337" s="12"/>
    </row>
    <row r="1338" spans="131:132" x14ac:dyDescent="0.2">
      <c r="EA1338" s="12"/>
      <c r="EB1338" s="12"/>
    </row>
    <row r="1339" spans="131:132" x14ac:dyDescent="0.2">
      <c r="EA1339" s="12"/>
      <c r="EB1339" s="12"/>
    </row>
    <row r="1340" spans="131:132" x14ac:dyDescent="0.2">
      <c r="EA1340" s="12"/>
      <c r="EB1340" s="12"/>
    </row>
    <row r="1341" spans="131:132" x14ac:dyDescent="0.2">
      <c r="EA1341" s="12"/>
      <c r="EB1341" s="12"/>
    </row>
    <row r="1342" spans="131:132" x14ac:dyDescent="0.2">
      <c r="EA1342" s="12"/>
      <c r="EB1342" s="12"/>
    </row>
    <row r="1343" spans="131:132" x14ac:dyDescent="0.2">
      <c r="EA1343" s="12"/>
      <c r="EB1343" s="12"/>
    </row>
    <row r="1344" spans="131:132" x14ac:dyDescent="0.2">
      <c r="EA1344" s="12"/>
      <c r="EB1344" s="12"/>
    </row>
    <row r="1345" spans="131:132" x14ac:dyDescent="0.2">
      <c r="EA1345" s="12"/>
      <c r="EB1345" s="12"/>
    </row>
    <row r="1346" spans="131:132" x14ac:dyDescent="0.2">
      <c r="EA1346" s="12"/>
      <c r="EB1346" s="12"/>
    </row>
    <row r="1347" spans="131:132" x14ac:dyDescent="0.2">
      <c r="EA1347" s="12"/>
      <c r="EB1347" s="12"/>
    </row>
    <row r="1348" spans="131:132" x14ac:dyDescent="0.2">
      <c r="EA1348" s="12"/>
      <c r="EB1348" s="12"/>
    </row>
    <row r="1349" spans="131:132" x14ac:dyDescent="0.2">
      <c r="EA1349" s="12"/>
      <c r="EB1349" s="12"/>
    </row>
    <row r="1350" spans="131:132" x14ac:dyDescent="0.2">
      <c r="EA1350" s="12"/>
      <c r="EB1350" s="12"/>
    </row>
    <row r="1351" spans="131:132" x14ac:dyDescent="0.2">
      <c r="EA1351" s="12"/>
      <c r="EB1351" s="12"/>
    </row>
    <row r="1352" spans="131:132" x14ac:dyDescent="0.2">
      <c r="EA1352" s="12"/>
      <c r="EB1352" s="12"/>
    </row>
    <row r="1353" spans="131:132" x14ac:dyDescent="0.2">
      <c r="EA1353" s="12"/>
      <c r="EB1353" s="12"/>
    </row>
    <row r="1354" spans="131:132" x14ac:dyDescent="0.2">
      <c r="EA1354" s="12"/>
      <c r="EB1354" s="12"/>
    </row>
    <row r="1355" spans="131:132" x14ac:dyDescent="0.2">
      <c r="EA1355" s="12"/>
      <c r="EB1355" s="12"/>
    </row>
    <row r="1356" spans="131:132" x14ac:dyDescent="0.2">
      <c r="EA1356" s="12"/>
      <c r="EB1356" s="12"/>
    </row>
    <row r="1357" spans="131:132" x14ac:dyDescent="0.2">
      <c r="EA1357" s="12"/>
      <c r="EB1357" s="12"/>
    </row>
    <row r="1358" spans="131:132" x14ac:dyDescent="0.2">
      <c r="EA1358" s="12"/>
      <c r="EB1358" s="12"/>
    </row>
    <row r="1359" spans="131:132" x14ac:dyDescent="0.2">
      <c r="EA1359" s="12"/>
      <c r="EB1359" s="12"/>
    </row>
    <row r="1360" spans="131:132" x14ac:dyDescent="0.2">
      <c r="EA1360" s="12"/>
      <c r="EB1360" s="12"/>
    </row>
    <row r="1361" spans="131:132" x14ac:dyDescent="0.2">
      <c r="EA1361" s="12"/>
      <c r="EB1361" s="12"/>
    </row>
    <row r="1362" spans="131:132" x14ac:dyDescent="0.2">
      <c r="EA1362" s="12"/>
      <c r="EB1362" s="12"/>
    </row>
    <row r="1363" spans="131:132" x14ac:dyDescent="0.2">
      <c r="EA1363" s="12"/>
      <c r="EB1363" s="12"/>
    </row>
    <row r="1364" spans="131:132" x14ac:dyDescent="0.2">
      <c r="EA1364" s="12"/>
      <c r="EB1364" s="12"/>
    </row>
    <row r="1365" spans="131:132" x14ac:dyDescent="0.2">
      <c r="EA1365" s="12"/>
      <c r="EB1365" s="12"/>
    </row>
    <row r="1366" spans="131:132" x14ac:dyDescent="0.2">
      <c r="EA1366" s="12"/>
      <c r="EB1366" s="12"/>
    </row>
    <row r="1367" spans="131:132" x14ac:dyDescent="0.2">
      <c r="EA1367" s="12"/>
      <c r="EB1367" s="12"/>
    </row>
    <row r="1368" spans="131:132" x14ac:dyDescent="0.2">
      <c r="EA1368" s="12"/>
      <c r="EB1368" s="12"/>
    </row>
    <row r="1369" spans="131:132" x14ac:dyDescent="0.2">
      <c r="EA1369" s="12"/>
      <c r="EB1369" s="12"/>
    </row>
    <row r="1370" spans="131:132" x14ac:dyDescent="0.2">
      <c r="EA1370" s="12"/>
      <c r="EB1370" s="12"/>
    </row>
    <row r="1371" spans="131:132" x14ac:dyDescent="0.2">
      <c r="EA1371" s="12"/>
      <c r="EB1371" s="12"/>
    </row>
    <row r="1372" spans="131:132" x14ac:dyDescent="0.2">
      <c r="EA1372" s="12"/>
      <c r="EB1372" s="12"/>
    </row>
    <row r="1373" spans="131:132" x14ac:dyDescent="0.2">
      <c r="EA1373" s="12"/>
      <c r="EB1373" s="12"/>
    </row>
    <row r="1374" spans="131:132" x14ac:dyDescent="0.2">
      <c r="EA1374" s="12"/>
      <c r="EB1374" s="12"/>
    </row>
    <row r="1375" spans="131:132" x14ac:dyDescent="0.2">
      <c r="EA1375" s="12"/>
      <c r="EB1375" s="12"/>
    </row>
    <row r="1376" spans="131:132" x14ac:dyDescent="0.2">
      <c r="EA1376" s="12"/>
      <c r="EB1376" s="12"/>
    </row>
    <row r="1377" spans="131:132" x14ac:dyDescent="0.2">
      <c r="EA1377" s="12"/>
      <c r="EB1377" s="12"/>
    </row>
    <row r="1378" spans="131:132" x14ac:dyDescent="0.2">
      <c r="EA1378" s="12"/>
      <c r="EB1378" s="12"/>
    </row>
    <row r="1379" spans="131:132" x14ac:dyDescent="0.2">
      <c r="EA1379" s="12"/>
      <c r="EB1379" s="12"/>
    </row>
    <row r="1380" spans="131:132" x14ac:dyDescent="0.2">
      <c r="EA1380" s="12"/>
      <c r="EB1380" s="12"/>
    </row>
    <row r="1381" spans="131:132" x14ac:dyDescent="0.2">
      <c r="EA1381" s="12"/>
      <c r="EB1381" s="12"/>
    </row>
    <row r="1382" spans="131:132" x14ac:dyDescent="0.2">
      <c r="EA1382" s="12"/>
      <c r="EB1382" s="12"/>
    </row>
    <row r="1383" spans="131:132" x14ac:dyDescent="0.2">
      <c r="EA1383" s="12"/>
      <c r="EB1383" s="12"/>
    </row>
    <row r="1384" spans="131:132" x14ac:dyDescent="0.2">
      <c r="EA1384" s="12"/>
      <c r="EB1384" s="12"/>
    </row>
    <row r="1385" spans="131:132" x14ac:dyDescent="0.2">
      <c r="EA1385" s="12"/>
      <c r="EB1385" s="12"/>
    </row>
    <row r="1386" spans="131:132" x14ac:dyDescent="0.2">
      <c r="EA1386" s="12"/>
      <c r="EB1386" s="12"/>
    </row>
    <row r="1387" spans="131:132" x14ac:dyDescent="0.2">
      <c r="EA1387" s="12"/>
      <c r="EB1387" s="12"/>
    </row>
    <row r="1388" spans="131:132" x14ac:dyDescent="0.2">
      <c r="EA1388" s="12"/>
      <c r="EB1388" s="12"/>
    </row>
    <row r="1389" spans="131:132" x14ac:dyDescent="0.2">
      <c r="EA1389" s="12"/>
      <c r="EB1389" s="12"/>
    </row>
    <row r="1390" spans="131:132" x14ac:dyDescent="0.2">
      <c r="EA1390" s="12"/>
      <c r="EB1390" s="12"/>
    </row>
    <row r="1391" spans="131:132" x14ac:dyDescent="0.2">
      <c r="EA1391" s="12"/>
      <c r="EB1391" s="12"/>
    </row>
    <row r="1392" spans="131:132" x14ac:dyDescent="0.2">
      <c r="EA1392" s="12"/>
      <c r="EB1392" s="12"/>
    </row>
    <row r="1393" spans="131:132" x14ac:dyDescent="0.2">
      <c r="EA1393" s="12"/>
      <c r="EB1393" s="12"/>
    </row>
    <row r="1394" spans="131:132" x14ac:dyDescent="0.2">
      <c r="EA1394" s="12"/>
      <c r="EB1394" s="12"/>
    </row>
    <row r="1395" spans="131:132" x14ac:dyDescent="0.2">
      <c r="EA1395" s="12"/>
      <c r="EB1395" s="12"/>
    </row>
    <row r="1396" spans="131:132" x14ac:dyDescent="0.2">
      <c r="EA1396" s="12"/>
      <c r="EB1396" s="12"/>
    </row>
    <row r="1397" spans="131:132" x14ac:dyDescent="0.2">
      <c r="EA1397" s="12"/>
      <c r="EB1397" s="12"/>
    </row>
    <row r="1398" spans="131:132" x14ac:dyDescent="0.2">
      <c r="EA1398" s="12"/>
      <c r="EB1398" s="12"/>
    </row>
    <row r="1399" spans="131:132" x14ac:dyDescent="0.2">
      <c r="EA1399" s="12"/>
      <c r="EB1399" s="12"/>
    </row>
    <row r="1400" spans="131:132" x14ac:dyDescent="0.2">
      <c r="EA1400" s="12"/>
      <c r="EB1400" s="12"/>
    </row>
    <row r="1401" spans="131:132" x14ac:dyDescent="0.2">
      <c r="EA1401" s="12"/>
      <c r="EB1401" s="12"/>
    </row>
    <row r="1402" spans="131:132" x14ac:dyDescent="0.2">
      <c r="EA1402" s="12"/>
      <c r="EB1402" s="12"/>
    </row>
    <row r="1403" spans="131:132" x14ac:dyDescent="0.2">
      <c r="EA1403" s="12"/>
      <c r="EB1403" s="12"/>
    </row>
    <row r="1404" spans="131:132" x14ac:dyDescent="0.2">
      <c r="EA1404" s="12"/>
      <c r="EB1404" s="12"/>
    </row>
    <row r="1405" spans="131:132" x14ac:dyDescent="0.2">
      <c r="EA1405" s="12"/>
      <c r="EB1405" s="12"/>
    </row>
    <row r="1406" spans="131:132" x14ac:dyDescent="0.2">
      <c r="EA1406" s="12"/>
      <c r="EB1406" s="12"/>
    </row>
    <row r="1407" spans="131:132" x14ac:dyDescent="0.2">
      <c r="EA1407" s="12"/>
      <c r="EB1407" s="12"/>
    </row>
    <row r="1408" spans="131:132" x14ac:dyDescent="0.2">
      <c r="EA1408" s="12"/>
      <c r="EB1408" s="12"/>
    </row>
    <row r="1409" spans="131:132" x14ac:dyDescent="0.2">
      <c r="EA1409" s="12"/>
      <c r="EB1409" s="12"/>
    </row>
    <row r="1410" spans="131:132" x14ac:dyDescent="0.2">
      <c r="EA1410" s="12"/>
      <c r="EB1410" s="12"/>
    </row>
    <row r="1411" spans="131:132" x14ac:dyDescent="0.2">
      <c r="EA1411" s="12"/>
      <c r="EB1411" s="12"/>
    </row>
    <row r="1412" spans="131:132" x14ac:dyDescent="0.2">
      <c r="EA1412" s="12"/>
      <c r="EB1412" s="12"/>
    </row>
    <row r="1413" spans="131:132" x14ac:dyDescent="0.2">
      <c r="EA1413" s="12"/>
      <c r="EB1413" s="12"/>
    </row>
    <row r="1414" spans="131:132" x14ac:dyDescent="0.2">
      <c r="EA1414" s="12"/>
      <c r="EB1414" s="12"/>
    </row>
    <row r="1415" spans="131:132" x14ac:dyDescent="0.2">
      <c r="EA1415" s="12"/>
      <c r="EB1415" s="12"/>
    </row>
    <row r="1416" spans="131:132" x14ac:dyDescent="0.2">
      <c r="EA1416" s="12"/>
      <c r="EB1416" s="12"/>
    </row>
    <row r="1417" spans="131:132" x14ac:dyDescent="0.2">
      <c r="EA1417" s="12"/>
      <c r="EB1417" s="12"/>
    </row>
    <row r="1418" spans="131:132" x14ac:dyDescent="0.2">
      <c r="EA1418" s="12"/>
      <c r="EB1418" s="12"/>
    </row>
    <row r="1419" spans="131:132" x14ac:dyDescent="0.2">
      <c r="EA1419" s="12"/>
      <c r="EB1419" s="12"/>
    </row>
    <row r="1420" spans="131:132" x14ac:dyDescent="0.2">
      <c r="EA1420" s="12"/>
      <c r="EB1420" s="12"/>
    </row>
    <row r="1421" spans="131:132" x14ac:dyDescent="0.2">
      <c r="EA1421" s="12"/>
      <c r="EB1421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D20A-62FB-9D40-B88F-1A0A5A49B1C0}">
  <dimension ref="A1:EJ1421"/>
  <sheetViews>
    <sheetView workbookViewId="0">
      <pane xSplit="1" ySplit="7" topLeftCell="BT8" activePane="bottomRight" state="frozen"/>
      <selection pane="topRight" activeCell="B1" sqref="B1"/>
      <selection pane="bottomLeft" activeCell="A8" sqref="A8"/>
      <selection pane="bottomRight" activeCell="CC75" sqref="CC75"/>
    </sheetView>
  </sheetViews>
  <sheetFormatPr baseColWidth="10" defaultColWidth="8.83203125" defaultRowHeight="15" x14ac:dyDescent="0.2"/>
  <cols>
    <col min="1" max="1" width="30" customWidth="1"/>
    <col min="2" max="10" width="13.33203125" customWidth="1"/>
    <col min="11" max="14" width="12.33203125" customWidth="1"/>
    <col min="15" max="15" width="19.5" customWidth="1"/>
    <col min="16" max="24" width="11.1640625" customWidth="1"/>
    <col min="25" max="28" width="11.83203125" customWidth="1"/>
    <col min="29" max="29" width="19.5" customWidth="1"/>
    <col min="30" max="38" width="11.1640625" customWidth="1"/>
    <col min="39" max="41" width="11.83203125" customWidth="1"/>
    <col min="42" max="42" width="11.5" customWidth="1"/>
    <col min="43" max="43" width="19.5" customWidth="1"/>
    <col min="44" max="52" width="11.1640625" customWidth="1"/>
    <col min="53" max="56" width="11.83203125" customWidth="1"/>
    <col min="57" max="57" width="19.5" customWidth="1"/>
    <col min="58" max="66" width="11.1640625" customWidth="1"/>
    <col min="67" max="70" width="11.83203125" customWidth="1"/>
    <col min="71" max="71" width="19.5" customWidth="1"/>
    <col min="72" max="80" width="11.1640625" customWidth="1"/>
    <col min="81" max="84" width="11.83203125" customWidth="1"/>
    <col min="85" max="85" width="19.5" customWidth="1"/>
    <col min="86" max="94" width="11.1640625" customWidth="1"/>
    <col min="95" max="98" width="11.83203125" customWidth="1"/>
    <col min="99" max="99" width="19.5" customWidth="1"/>
    <col min="100" max="108" width="11.1640625" customWidth="1"/>
    <col min="109" max="112" width="11.83203125" customWidth="1"/>
    <col min="113" max="113" width="19.5" customWidth="1"/>
    <col min="114" max="122" width="11.1640625" customWidth="1"/>
    <col min="123" max="126" width="11.83203125" customWidth="1"/>
    <col min="127" max="127" width="17" customWidth="1"/>
    <col min="128" max="140" width="11.83203125" customWidth="1"/>
  </cols>
  <sheetData>
    <row r="1" spans="1:140" x14ac:dyDescent="0.2">
      <c r="A1" s="9"/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20"/>
      <c r="M1" s="11"/>
      <c r="N1" s="11"/>
      <c r="O1" s="9"/>
      <c r="P1" s="9">
        <v>0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Z1" s="15" t="s">
        <v>1689</v>
      </c>
      <c r="AC1" s="9"/>
      <c r="AD1" s="9">
        <v>0</v>
      </c>
      <c r="AE1" s="9">
        <v>1</v>
      </c>
      <c r="AF1" s="9">
        <v>2</v>
      </c>
      <c r="AG1" s="9">
        <v>3</v>
      </c>
      <c r="AH1" s="9">
        <v>4</v>
      </c>
      <c r="AI1" s="9">
        <v>5</v>
      </c>
      <c r="AJ1" s="9">
        <v>6</v>
      </c>
      <c r="AK1" s="9">
        <v>7</v>
      </c>
      <c r="AL1" s="9">
        <v>8</v>
      </c>
      <c r="AN1" s="15" t="s">
        <v>1689</v>
      </c>
      <c r="AQ1" s="9"/>
      <c r="AR1" s="9">
        <v>0</v>
      </c>
      <c r="AS1" s="9">
        <v>1</v>
      </c>
      <c r="AT1" s="9">
        <v>2</v>
      </c>
      <c r="AU1" s="9">
        <v>3</v>
      </c>
      <c r="AV1" s="9">
        <v>4</v>
      </c>
      <c r="AW1" s="9">
        <v>5</v>
      </c>
      <c r="AX1" s="9">
        <v>6</v>
      </c>
      <c r="AY1" s="9">
        <v>7</v>
      </c>
      <c r="AZ1" s="9">
        <v>8</v>
      </c>
      <c r="BB1" s="15" t="s">
        <v>1689</v>
      </c>
      <c r="BE1" s="9"/>
      <c r="BF1" s="9">
        <v>0</v>
      </c>
      <c r="BG1" s="9">
        <v>1</v>
      </c>
      <c r="BH1" s="9">
        <v>2</v>
      </c>
      <c r="BI1" s="9">
        <v>3</v>
      </c>
      <c r="BJ1" s="9">
        <v>4</v>
      </c>
      <c r="BK1" s="9">
        <v>5</v>
      </c>
      <c r="BL1" s="9">
        <v>6</v>
      </c>
      <c r="BM1" s="9">
        <v>7</v>
      </c>
      <c r="BN1" s="9">
        <v>8</v>
      </c>
      <c r="BP1" s="15" t="s">
        <v>1689</v>
      </c>
      <c r="BS1" s="9"/>
      <c r="BT1" s="9">
        <v>0</v>
      </c>
      <c r="BU1" s="9">
        <v>1</v>
      </c>
      <c r="BV1" s="9">
        <v>2</v>
      </c>
      <c r="BW1" s="9">
        <v>3</v>
      </c>
      <c r="BX1" s="9">
        <v>4</v>
      </c>
      <c r="BY1" s="9">
        <v>5</v>
      </c>
      <c r="BZ1" s="9">
        <v>6</v>
      </c>
      <c r="CA1" s="9">
        <v>7</v>
      </c>
      <c r="CB1" s="9">
        <v>8</v>
      </c>
      <c r="CD1" s="15" t="s">
        <v>1689</v>
      </c>
      <c r="CG1" s="9"/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R1" s="15" t="s">
        <v>1689</v>
      </c>
      <c r="CU1" s="9"/>
      <c r="CV1" s="9">
        <v>0</v>
      </c>
      <c r="CW1" s="9">
        <v>1</v>
      </c>
      <c r="CX1" s="9">
        <v>2</v>
      </c>
      <c r="CY1" s="9">
        <v>3</v>
      </c>
      <c r="CZ1" s="9">
        <v>4</v>
      </c>
      <c r="DA1" s="9">
        <v>5</v>
      </c>
      <c r="DB1" s="9">
        <v>6</v>
      </c>
      <c r="DC1" s="9">
        <v>7</v>
      </c>
      <c r="DD1" s="9">
        <v>8</v>
      </c>
      <c r="DF1" s="15" t="s">
        <v>1689</v>
      </c>
      <c r="DI1" s="9"/>
      <c r="DJ1" s="9">
        <v>0</v>
      </c>
      <c r="DK1" s="9">
        <v>1</v>
      </c>
      <c r="DL1" s="9">
        <v>2</v>
      </c>
      <c r="DM1" s="9">
        <v>3</v>
      </c>
      <c r="DN1" s="9">
        <v>4</v>
      </c>
      <c r="DO1" s="9">
        <v>5</v>
      </c>
      <c r="DP1" s="9">
        <v>6</v>
      </c>
      <c r="DQ1" s="9">
        <v>7</v>
      </c>
      <c r="DR1" s="9">
        <v>8</v>
      </c>
      <c r="DT1" s="15" t="s">
        <v>1689</v>
      </c>
      <c r="DW1" s="9"/>
      <c r="DX1" s="9"/>
      <c r="DY1" s="9"/>
      <c r="DZ1" s="9"/>
      <c r="EA1" s="9"/>
      <c r="EB1" s="9"/>
      <c r="EC1" s="9"/>
      <c r="ED1" s="9"/>
      <c r="EE1" s="9"/>
      <c r="EF1" s="9"/>
      <c r="EH1" s="15"/>
    </row>
    <row r="2" spans="1:140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"/>
      <c r="P2" s="9"/>
      <c r="Q2" s="9"/>
      <c r="R2" s="9"/>
      <c r="S2" s="9"/>
      <c r="T2" s="9"/>
      <c r="U2" s="9"/>
      <c r="Z2" s="17" t="s">
        <v>1321</v>
      </c>
      <c r="AA2" s="17" t="s">
        <v>1320</v>
      </c>
      <c r="AC2" s="28"/>
      <c r="AD2" s="9"/>
      <c r="AE2" s="9"/>
      <c r="AF2" s="9"/>
      <c r="AG2" s="9"/>
      <c r="AH2" s="9"/>
      <c r="AI2" s="9"/>
      <c r="AN2" s="17" t="s">
        <v>1321</v>
      </c>
      <c r="AO2" s="17" t="s">
        <v>1320</v>
      </c>
      <c r="AQ2" s="28"/>
      <c r="AR2" s="9"/>
      <c r="AS2" s="9"/>
      <c r="AT2" s="9"/>
      <c r="AU2" s="9"/>
      <c r="AV2" s="9"/>
      <c r="AW2" s="9"/>
      <c r="BB2" s="17" t="s">
        <v>1321</v>
      </c>
      <c r="BC2" s="17" t="s">
        <v>1320</v>
      </c>
      <c r="BE2" s="28"/>
      <c r="BF2" s="9"/>
      <c r="BG2" s="9"/>
      <c r="BH2" s="9"/>
      <c r="BI2" s="9"/>
      <c r="BJ2" s="9"/>
      <c r="BK2" s="9"/>
      <c r="BP2" s="17" t="s">
        <v>1321</v>
      </c>
      <c r="BQ2" s="17" t="s">
        <v>1320</v>
      </c>
      <c r="BS2" s="28"/>
      <c r="BT2" s="9"/>
      <c r="BU2" s="9"/>
      <c r="BV2" s="9"/>
      <c r="BW2" s="9"/>
      <c r="BX2" s="9"/>
      <c r="BY2" s="9"/>
      <c r="CD2" s="17" t="s">
        <v>1321</v>
      </c>
      <c r="CE2" s="17" t="s">
        <v>1320</v>
      </c>
      <c r="CG2" s="28"/>
      <c r="CH2" s="9"/>
      <c r="CI2" s="9"/>
      <c r="CJ2" s="9"/>
      <c r="CK2" s="9"/>
      <c r="CL2" s="9"/>
      <c r="CM2" s="9"/>
      <c r="CR2" s="17" t="s">
        <v>1321</v>
      </c>
      <c r="CS2" s="17" t="s">
        <v>1320</v>
      </c>
      <c r="CU2" s="28"/>
      <c r="CV2" s="9"/>
      <c r="CW2" s="9"/>
      <c r="CX2" s="9"/>
      <c r="CY2" s="9"/>
      <c r="CZ2" s="9"/>
      <c r="DA2" s="9"/>
      <c r="DF2" s="17" t="s">
        <v>1321</v>
      </c>
      <c r="DG2" s="17" t="s">
        <v>1320</v>
      </c>
      <c r="DI2" s="28"/>
      <c r="DJ2" s="9"/>
      <c r="DK2" s="9"/>
      <c r="DL2" s="9"/>
      <c r="DM2" s="9"/>
      <c r="DN2" s="9"/>
      <c r="DO2" s="9"/>
      <c r="DT2" s="17" t="s">
        <v>1321</v>
      </c>
      <c r="DU2" s="17" t="s">
        <v>1320</v>
      </c>
      <c r="DW2" s="9"/>
      <c r="DX2" s="9"/>
      <c r="DY2" s="9"/>
      <c r="DZ2" s="9"/>
      <c r="EA2" s="9"/>
      <c r="EB2" s="9"/>
      <c r="EC2" s="9"/>
    </row>
    <row r="3" spans="1:140" x14ac:dyDescent="0.2">
      <c r="A3" s="11" t="s">
        <v>1788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" t="s">
        <v>1822</v>
      </c>
      <c r="P3" s="9"/>
      <c r="Q3" s="9"/>
      <c r="R3" s="9"/>
      <c r="S3" s="9"/>
      <c r="T3" s="9"/>
      <c r="U3" s="9"/>
      <c r="Z3" s="6"/>
      <c r="AA3" s="6"/>
      <c r="AC3" s="20" t="s">
        <v>1823</v>
      </c>
      <c r="AD3" s="9"/>
      <c r="AE3" s="9"/>
      <c r="AF3" s="9"/>
      <c r="AG3" s="9"/>
      <c r="AH3" s="9"/>
      <c r="AI3" s="9"/>
      <c r="AN3" s="6"/>
      <c r="AO3" s="6"/>
      <c r="AQ3" s="20" t="s">
        <v>1824</v>
      </c>
      <c r="AR3" s="9"/>
      <c r="AS3" s="9"/>
      <c r="AT3" s="9"/>
      <c r="AU3" s="9"/>
      <c r="AV3" s="9"/>
      <c r="AW3" s="9"/>
      <c r="BB3" s="6"/>
      <c r="BC3" s="6"/>
      <c r="BE3" s="20" t="s">
        <v>1825</v>
      </c>
      <c r="BF3" s="9"/>
      <c r="BG3" s="9"/>
      <c r="BH3" s="9"/>
      <c r="BI3" s="9"/>
      <c r="BJ3" s="9"/>
      <c r="BK3" s="9"/>
      <c r="BP3" s="6"/>
      <c r="BQ3" s="6"/>
      <c r="BS3" s="20" t="s">
        <v>1804</v>
      </c>
      <c r="BT3" s="9"/>
      <c r="BU3" s="9"/>
      <c r="BV3" s="9"/>
      <c r="BW3" s="9"/>
      <c r="BX3" s="9"/>
      <c r="BY3" s="9"/>
      <c r="CD3" s="6"/>
      <c r="CE3" s="6"/>
      <c r="CG3" s="20" t="s">
        <v>1808</v>
      </c>
      <c r="CH3" s="9"/>
      <c r="CI3" s="9"/>
      <c r="CJ3" s="9"/>
      <c r="CK3" s="9"/>
      <c r="CL3" s="9"/>
      <c r="CM3" s="9"/>
      <c r="CR3" s="6"/>
      <c r="CS3" s="6"/>
      <c r="CU3" s="20" t="s">
        <v>1812</v>
      </c>
      <c r="CV3" s="9"/>
      <c r="CW3" s="9"/>
      <c r="CX3" s="9"/>
      <c r="CY3" s="9"/>
      <c r="CZ3" s="9"/>
      <c r="DA3" s="9"/>
      <c r="DF3" s="6"/>
      <c r="DG3" s="6"/>
      <c r="DI3" s="20" t="s">
        <v>1816</v>
      </c>
      <c r="DJ3" s="9"/>
      <c r="DK3" s="9"/>
      <c r="DL3" s="9"/>
      <c r="DM3" s="9"/>
      <c r="DN3" s="9"/>
      <c r="DO3" s="9"/>
      <c r="DT3" s="6"/>
      <c r="DU3" s="6"/>
      <c r="DW3" s="11"/>
      <c r="DX3" s="9"/>
      <c r="DY3" s="9"/>
      <c r="DZ3" s="9"/>
      <c r="EA3" s="9"/>
      <c r="EB3" s="9"/>
      <c r="EC3" s="9"/>
    </row>
    <row r="4" spans="1:140" x14ac:dyDescent="0.2">
      <c r="A4" s="9" t="s">
        <v>1789</v>
      </c>
      <c r="M4" s="9"/>
      <c r="N4" s="9"/>
      <c r="O4" s="9" t="s">
        <v>1794</v>
      </c>
      <c r="P4" s="13">
        <v>0</v>
      </c>
      <c r="Q4" s="13">
        <v>1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AC4" s="9" t="s">
        <v>1795</v>
      </c>
      <c r="AD4" s="13">
        <v>0</v>
      </c>
      <c r="AE4" s="13">
        <v>0</v>
      </c>
      <c r="AF4" s="13">
        <v>1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Q4" s="9" t="s">
        <v>1799</v>
      </c>
      <c r="AR4" s="13">
        <v>0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E4" s="9" t="s">
        <v>1801</v>
      </c>
      <c r="BF4" s="13">
        <v>0</v>
      </c>
      <c r="BG4" s="13">
        <v>0</v>
      </c>
      <c r="BH4" s="13">
        <v>0</v>
      </c>
      <c r="BI4" s="13">
        <v>0</v>
      </c>
      <c r="BJ4" s="13">
        <v>1</v>
      </c>
      <c r="BK4" s="13">
        <v>0</v>
      </c>
      <c r="BL4" s="13">
        <v>0</v>
      </c>
      <c r="BM4" s="13">
        <v>0</v>
      </c>
      <c r="BN4" s="13">
        <v>0</v>
      </c>
      <c r="BR4" s="11"/>
      <c r="BS4" s="9" t="s">
        <v>1805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1</v>
      </c>
      <c r="BZ4" s="13">
        <v>0</v>
      </c>
      <c r="CA4" s="13">
        <v>0</v>
      </c>
      <c r="CB4" s="13">
        <v>0</v>
      </c>
      <c r="CF4" s="11"/>
      <c r="CG4" s="9" t="s">
        <v>1810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1</v>
      </c>
      <c r="CO4" s="13">
        <v>0</v>
      </c>
      <c r="CP4" s="13">
        <v>0</v>
      </c>
      <c r="CT4" s="11"/>
      <c r="CU4" s="9" t="s">
        <v>1813</v>
      </c>
      <c r="CV4" s="13">
        <v>0</v>
      </c>
      <c r="CW4" s="13">
        <v>0</v>
      </c>
      <c r="CX4" s="13">
        <v>0</v>
      </c>
      <c r="CY4" s="13">
        <v>0</v>
      </c>
      <c r="CZ4" s="13">
        <v>0</v>
      </c>
      <c r="DA4" s="13">
        <v>0</v>
      </c>
      <c r="DB4" s="13">
        <v>0</v>
      </c>
      <c r="DC4" s="13">
        <v>1</v>
      </c>
      <c r="DD4" s="13">
        <v>0</v>
      </c>
      <c r="DH4" s="11"/>
      <c r="DI4" s="9" t="s">
        <v>1817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1</v>
      </c>
      <c r="DV4" s="11"/>
      <c r="DW4" s="9"/>
      <c r="EJ4" s="11"/>
    </row>
    <row r="5" spans="1:140" x14ac:dyDescent="0.2">
      <c r="A5" s="9" t="s">
        <v>1790</v>
      </c>
      <c r="B5" s="12"/>
      <c r="M5" s="9"/>
      <c r="N5" s="9"/>
      <c r="O5" s="9" t="s">
        <v>1793</v>
      </c>
      <c r="P5" s="12">
        <f>P4*P6</f>
        <v>0</v>
      </c>
      <c r="Q5">
        <f>IF(P5=1,1,Q4*Q6)</f>
        <v>0</v>
      </c>
      <c r="R5">
        <f t="shared" ref="R5:X5" si="0">IF(Q5=1,1,R4*R6)</f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AC5" s="9" t="s">
        <v>1796</v>
      </c>
      <c r="AD5" s="12">
        <f>AD4*AD6</f>
        <v>0</v>
      </c>
      <c r="AE5">
        <f>IF(AD5=1,1,AE4*AE6)</f>
        <v>0</v>
      </c>
      <c r="AF5">
        <f t="shared" ref="AF5" si="1">IF(AE5=1,1,AF4*AF6)</f>
        <v>0</v>
      </c>
      <c r="AG5">
        <f t="shared" ref="AG5" si="2">IF(AF5=1,1,AG4*AG6)</f>
        <v>0</v>
      </c>
      <c r="AH5">
        <f t="shared" ref="AH5" si="3">IF(AG5=1,1,AH4*AH6)</f>
        <v>0</v>
      </c>
      <c r="AI5">
        <f t="shared" ref="AI5" si="4">IF(AH5=1,1,AI4*AI6)</f>
        <v>0</v>
      </c>
      <c r="AJ5">
        <f t="shared" ref="AJ5" si="5">IF(AI5=1,1,AJ4*AJ6)</f>
        <v>0</v>
      </c>
      <c r="AK5">
        <f t="shared" ref="AK5" si="6">IF(AJ5=1,1,AK4*AK6)</f>
        <v>0</v>
      </c>
      <c r="AL5">
        <f t="shared" ref="AL5" si="7">IF(AK5=1,1,AL4*AL6)</f>
        <v>0</v>
      </c>
      <c r="AQ5" s="9" t="s">
        <v>1798</v>
      </c>
      <c r="AR5" s="12">
        <f>AR4*AR6</f>
        <v>0</v>
      </c>
      <c r="AS5">
        <f>IF(AR5=1,1,AS4*AS6)</f>
        <v>0</v>
      </c>
      <c r="AT5">
        <f t="shared" ref="AT5" si="8">IF(AS5=1,1,AT4*AT6)</f>
        <v>0</v>
      </c>
      <c r="AU5">
        <f t="shared" ref="AU5" si="9">IF(AT5=1,1,AU4*AU6)</f>
        <v>0</v>
      </c>
      <c r="AV5">
        <f t="shared" ref="AV5" si="10">IF(AU5=1,1,AV4*AV6)</f>
        <v>0</v>
      </c>
      <c r="AW5">
        <f t="shared" ref="AW5" si="11">IF(AV5=1,1,AW4*AW6)</f>
        <v>0</v>
      </c>
      <c r="AX5">
        <f t="shared" ref="AX5" si="12">IF(AW5=1,1,AX4*AX6)</f>
        <v>0</v>
      </c>
      <c r="AY5">
        <f t="shared" ref="AY5" si="13">IF(AX5=1,1,AY4*AY6)</f>
        <v>0</v>
      </c>
      <c r="AZ5">
        <f t="shared" ref="AZ5" si="14">IF(AY5=1,1,AZ4*AZ6)</f>
        <v>0</v>
      </c>
      <c r="BE5" s="9" t="s">
        <v>1802</v>
      </c>
      <c r="BF5" s="12">
        <f>BF4*BF6</f>
        <v>0</v>
      </c>
      <c r="BG5">
        <f>IF(BF5=1,1,BG4*BG6)</f>
        <v>0</v>
      </c>
      <c r="BH5">
        <f t="shared" ref="BH5" si="15">IF(BG5=1,1,BH4*BH6)</f>
        <v>0</v>
      </c>
      <c r="BI5">
        <f t="shared" ref="BI5" si="16">IF(BH5=1,1,BI4*BI6)</f>
        <v>0</v>
      </c>
      <c r="BJ5">
        <f t="shared" ref="BJ5" si="17">IF(BI5=1,1,BJ4*BJ6)</f>
        <v>0</v>
      </c>
      <c r="BK5">
        <f t="shared" ref="BK5" si="18">IF(BJ5=1,1,BK4*BK6)</f>
        <v>0</v>
      </c>
      <c r="BL5">
        <f t="shared" ref="BL5" si="19">IF(BK5=1,1,BL4*BL6)</f>
        <v>0</v>
      </c>
      <c r="BM5">
        <f t="shared" ref="BM5" si="20">IF(BL5=1,1,BM4*BM6)</f>
        <v>0</v>
      </c>
      <c r="BN5">
        <f t="shared" ref="BN5" si="21">IF(BM5=1,1,BN4*BN6)</f>
        <v>0</v>
      </c>
      <c r="BS5" s="9" t="s">
        <v>1806</v>
      </c>
      <c r="BT5" s="12">
        <f>BT4*BT6</f>
        <v>0</v>
      </c>
      <c r="BU5">
        <f>IF(BT5=1,1,BU4*BU6)</f>
        <v>0</v>
      </c>
      <c r="BV5">
        <f t="shared" ref="BV5" si="22">IF(BU5=1,1,BV4*BV6)</f>
        <v>0</v>
      </c>
      <c r="BW5">
        <f t="shared" ref="BW5" si="23">IF(BV5=1,1,BW4*BW6)</f>
        <v>0</v>
      </c>
      <c r="BX5">
        <f t="shared" ref="BX5" si="24">IF(BW5=1,1,BX4*BX6)</f>
        <v>0</v>
      </c>
      <c r="BY5">
        <f t="shared" ref="BY5" si="25">IF(BX5=1,1,BY4*BY6)</f>
        <v>0</v>
      </c>
      <c r="BZ5">
        <f t="shared" ref="BZ5" si="26">IF(BY5=1,1,BZ4*BZ6)</f>
        <v>0</v>
      </c>
      <c r="CA5">
        <f t="shared" ref="CA5" si="27">IF(BZ5=1,1,CA4*CA6)</f>
        <v>0</v>
      </c>
      <c r="CB5">
        <f t="shared" ref="CB5" si="28">IF(CA5=1,1,CB4*CB6)</f>
        <v>0</v>
      </c>
      <c r="CG5" s="9" t="s">
        <v>1809</v>
      </c>
      <c r="CH5" s="12">
        <f>CH4*CH6</f>
        <v>0</v>
      </c>
      <c r="CI5">
        <f>IF(CH5=1,1,CI4*CI6)</f>
        <v>0</v>
      </c>
      <c r="CJ5">
        <f t="shared" ref="CJ5" si="29">IF(CI5=1,1,CJ4*CJ6)</f>
        <v>0</v>
      </c>
      <c r="CK5">
        <f t="shared" ref="CK5" si="30">IF(CJ5=1,1,CK4*CK6)</f>
        <v>0</v>
      </c>
      <c r="CL5">
        <f t="shared" ref="CL5" si="31">IF(CK5=1,1,CL4*CL6)</f>
        <v>0</v>
      </c>
      <c r="CM5">
        <f t="shared" ref="CM5" si="32">IF(CL5=1,1,CM4*CM6)</f>
        <v>0</v>
      </c>
      <c r="CN5">
        <f t="shared" ref="CN5" si="33">IF(CM5=1,1,CN4*CN6)</f>
        <v>0</v>
      </c>
      <c r="CO5">
        <f t="shared" ref="CO5" si="34">IF(CN5=1,1,CO4*CO6)</f>
        <v>0</v>
      </c>
      <c r="CP5">
        <f t="shared" ref="CP5" si="35">IF(CO5=1,1,CP4*CP6)</f>
        <v>0</v>
      </c>
      <c r="CU5" s="9" t="s">
        <v>1814</v>
      </c>
      <c r="CV5" s="12">
        <f>CV4*CV6</f>
        <v>0</v>
      </c>
      <c r="CW5">
        <f>IF(CV5=1,1,CW4*CW6)</f>
        <v>0</v>
      </c>
      <c r="CX5">
        <f t="shared" ref="CX5" si="36">IF(CW5=1,1,CX4*CX6)</f>
        <v>0</v>
      </c>
      <c r="CY5">
        <f t="shared" ref="CY5" si="37">IF(CX5=1,1,CY4*CY6)</f>
        <v>0</v>
      </c>
      <c r="CZ5">
        <f t="shared" ref="CZ5" si="38">IF(CY5=1,1,CZ4*CZ6)</f>
        <v>0</v>
      </c>
      <c r="DA5">
        <f t="shared" ref="DA5" si="39">IF(CZ5=1,1,DA4*DA6)</f>
        <v>0</v>
      </c>
      <c r="DB5">
        <f t="shared" ref="DB5" si="40">IF(DA5=1,1,DB4*DB6)</f>
        <v>0</v>
      </c>
      <c r="DC5">
        <f t="shared" ref="DC5" si="41">IF(DB5=1,1,DC4*DC6)</f>
        <v>0</v>
      </c>
      <c r="DD5">
        <f t="shared" ref="DD5" si="42">IF(DC5=1,1,DD4*DD6)</f>
        <v>0</v>
      </c>
      <c r="DI5" s="9" t="s">
        <v>1818</v>
      </c>
      <c r="DJ5" s="12">
        <f>DJ4*DJ6</f>
        <v>0</v>
      </c>
      <c r="DK5">
        <f>IF(DJ5=1,1,DK4*DK6)</f>
        <v>0</v>
      </c>
      <c r="DL5">
        <f t="shared" ref="DL5" si="43">IF(DK5=1,1,DL4*DL6)</f>
        <v>0</v>
      </c>
      <c r="DM5">
        <f t="shared" ref="DM5" si="44">IF(DL5=1,1,DM4*DM6)</f>
        <v>0</v>
      </c>
      <c r="DN5">
        <f t="shared" ref="DN5" si="45">IF(DM5=1,1,DN4*DN6)</f>
        <v>0</v>
      </c>
      <c r="DO5">
        <f t="shared" ref="DO5" si="46">IF(DN5=1,1,DO4*DO6)</f>
        <v>0</v>
      </c>
      <c r="DP5">
        <f t="shared" ref="DP5" si="47">IF(DO5=1,1,DP4*DP6)</f>
        <v>0</v>
      </c>
      <c r="DQ5">
        <f t="shared" ref="DQ5" si="48">IF(DP5=1,1,DQ4*DQ6)</f>
        <v>0</v>
      </c>
      <c r="DR5">
        <f t="shared" ref="DR5" si="49">IF(DQ5=1,1,DR4*DR6)</f>
        <v>0</v>
      </c>
      <c r="DW5" s="9"/>
      <c r="DX5" s="12"/>
    </row>
    <row r="6" spans="1:140" x14ac:dyDescent="0.2">
      <c r="A6" s="9" t="s">
        <v>1791</v>
      </c>
      <c r="B6" s="13"/>
      <c r="J6" s="13"/>
      <c r="K6" s="13"/>
      <c r="L6" s="13"/>
      <c r="M6" s="9"/>
      <c r="N6" s="9"/>
      <c r="O6" s="9" t="s">
        <v>1792</v>
      </c>
      <c r="P6">
        <v>0</v>
      </c>
      <c r="Q6">
        <f>P6</f>
        <v>0</v>
      </c>
      <c r="R6">
        <f t="shared" ref="R6:X6" si="50">Q6</f>
        <v>0</v>
      </c>
      <c r="S6">
        <f t="shared" si="50"/>
        <v>0</v>
      </c>
      <c r="T6">
        <f t="shared" si="50"/>
        <v>0</v>
      </c>
      <c r="U6">
        <f t="shared" si="50"/>
        <v>0</v>
      </c>
      <c r="V6">
        <f t="shared" si="50"/>
        <v>0</v>
      </c>
      <c r="W6">
        <f t="shared" si="50"/>
        <v>0</v>
      </c>
      <c r="X6">
        <f t="shared" si="50"/>
        <v>0</v>
      </c>
      <c r="AC6" s="9" t="s">
        <v>1797</v>
      </c>
      <c r="AD6">
        <v>0</v>
      </c>
      <c r="AE6">
        <f>AD6</f>
        <v>0</v>
      </c>
      <c r="AF6">
        <f t="shared" ref="AF6:AL6" si="51">AE6</f>
        <v>0</v>
      </c>
      <c r="AG6">
        <f t="shared" si="51"/>
        <v>0</v>
      </c>
      <c r="AH6">
        <f t="shared" si="51"/>
        <v>0</v>
      </c>
      <c r="AI6">
        <f t="shared" si="51"/>
        <v>0</v>
      </c>
      <c r="AJ6">
        <f t="shared" si="51"/>
        <v>0</v>
      </c>
      <c r="AK6">
        <f t="shared" si="51"/>
        <v>0</v>
      </c>
      <c r="AL6">
        <f t="shared" si="51"/>
        <v>0</v>
      </c>
      <c r="AQ6" s="9" t="s">
        <v>1800</v>
      </c>
      <c r="AR6">
        <v>0</v>
      </c>
      <c r="AS6">
        <f>AR6</f>
        <v>0</v>
      </c>
      <c r="AT6">
        <f t="shared" ref="AT6:AZ6" si="52">AS6</f>
        <v>0</v>
      </c>
      <c r="AU6">
        <f t="shared" si="52"/>
        <v>0</v>
      </c>
      <c r="AV6">
        <f t="shared" si="52"/>
        <v>0</v>
      </c>
      <c r="AW6">
        <f t="shared" si="52"/>
        <v>0</v>
      </c>
      <c r="AX6">
        <f t="shared" si="52"/>
        <v>0</v>
      </c>
      <c r="AY6">
        <f t="shared" si="52"/>
        <v>0</v>
      </c>
      <c r="AZ6">
        <f t="shared" si="52"/>
        <v>0</v>
      </c>
      <c r="BE6" s="9" t="s">
        <v>1803</v>
      </c>
      <c r="BF6">
        <v>0</v>
      </c>
      <c r="BG6">
        <f>BF6</f>
        <v>0</v>
      </c>
      <c r="BH6">
        <f t="shared" ref="BH6:BN6" si="53">BG6</f>
        <v>0</v>
      </c>
      <c r="BI6">
        <f t="shared" si="53"/>
        <v>0</v>
      </c>
      <c r="BJ6">
        <f t="shared" si="53"/>
        <v>0</v>
      </c>
      <c r="BK6">
        <f t="shared" si="53"/>
        <v>0</v>
      </c>
      <c r="BL6">
        <f t="shared" si="53"/>
        <v>0</v>
      </c>
      <c r="BM6">
        <f t="shared" si="53"/>
        <v>0</v>
      </c>
      <c r="BN6">
        <f t="shared" si="53"/>
        <v>0</v>
      </c>
      <c r="BS6" s="9" t="s">
        <v>1807</v>
      </c>
      <c r="BT6">
        <v>0</v>
      </c>
      <c r="BU6">
        <f>BT6</f>
        <v>0</v>
      </c>
      <c r="BV6">
        <f t="shared" ref="BV6:CB6" si="54">BU6</f>
        <v>0</v>
      </c>
      <c r="BW6">
        <f t="shared" si="54"/>
        <v>0</v>
      </c>
      <c r="BX6">
        <f t="shared" si="54"/>
        <v>0</v>
      </c>
      <c r="BY6">
        <f t="shared" si="54"/>
        <v>0</v>
      </c>
      <c r="BZ6">
        <f t="shared" si="54"/>
        <v>0</v>
      </c>
      <c r="CA6">
        <f t="shared" si="54"/>
        <v>0</v>
      </c>
      <c r="CB6">
        <f t="shared" si="54"/>
        <v>0</v>
      </c>
      <c r="CG6" s="9" t="s">
        <v>1811</v>
      </c>
      <c r="CH6">
        <v>0</v>
      </c>
      <c r="CI6">
        <f>CH6</f>
        <v>0</v>
      </c>
      <c r="CJ6">
        <f t="shared" ref="CJ6:CP6" si="55">CI6</f>
        <v>0</v>
      </c>
      <c r="CK6">
        <f t="shared" si="55"/>
        <v>0</v>
      </c>
      <c r="CL6">
        <f t="shared" si="55"/>
        <v>0</v>
      </c>
      <c r="CM6">
        <f t="shared" si="55"/>
        <v>0</v>
      </c>
      <c r="CN6">
        <f t="shared" si="55"/>
        <v>0</v>
      </c>
      <c r="CO6">
        <f t="shared" si="55"/>
        <v>0</v>
      </c>
      <c r="CP6">
        <f t="shared" si="55"/>
        <v>0</v>
      </c>
      <c r="CU6" s="9" t="s">
        <v>1815</v>
      </c>
      <c r="CV6">
        <v>0</v>
      </c>
      <c r="CW6">
        <f>CV6</f>
        <v>0</v>
      </c>
      <c r="CX6">
        <f t="shared" ref="CX6:DD6" si="56">CW6</f>
        <v>0</v>
      </c>
      <c r="CY6">
        <f t="shared" si="56"/>
        <v>0</v>
      </c>
      <c r="CZ6">
        <f t="shared" si="56"/>
        <v>0</v>
      </c>
      <c r="DA6">
        <f t="shared" si="56"/>
        <v>0</v>
      </c>
      <c r="DB6">
        <f t="shared" si="56"/>
        <v>0</v>
      </c>
      <c r="DC6">
        <f t="shared" si="56"/>
        <v>0</v>
      </c>
      <c r="DD6">
        <f t="shared" si="56"/>
        <v>0</v>
      </c>
      <c r="DI6" s="9" t="s">
        <v>1819</v>
      </c>
      <c r="DJ6">
        <v>0</v>
      </c>
      <c r="DK6">
        <f>DJ6</f>
        <v>0</v>
      </c>
      <c r="DL6">
        <f t="shared" ref="DL6:DR6" si="57">DK6</f>
        <v>0</v>
      </c>
      <c r="DM6">
        <f t="shared" si="57"/>
        <v>0</v>
      </c>
      <c r="DN6">
        <f t="shared" si="57"/>
        <v>0</v>
      </c>
      <c r="DO6">
        <f t="shared" si="57"/>
        <v>0</v>
      </c>
      <c r="DP6">
        <f t="shared" si="57"/>
        <v>0</v>
      </c>
      <c r="DQ6">
        <f t="shared" si="57"/>
        <v>0</v>
      </c>
      <c r="DR6">
        <f t="shared" si="57"/>
        <v>0</v>
      </c>
      <c r="DW6" s="9"/>
      <c r="DX6" s="13"/>
      <c r="DY6" s="13"/>
      <c r="DZ6" s="13"/>
      <c r="EA6" s="13"/>
      <c r="EB6" s="13"/>
      <c r="EC6" s="13"/>
      <c r="ED6" s="13"/>
      <c r="EE6" s="13"/>
      <c r="EF6" s="13"/>
    </row>
    <row r="7" spans="1:140" x14ac:dyDescent="0.2">
      <c r="A7" s="9"/>
      <c r="B7" s="13"/>
      <c r="J7" s="13"/>
      <c r="K7" s="13"/>
      <c r="L7" s="13"/>
      <c r="M7" s="9"/>
      <c r="N7" s="9"/>
      <c r="O7" s="9"/>
      <c r="AC7" s="9"/>
      <c r="AQ7" s="9"/>
      <c r="BE7" s="9"/>
      <c r="BS7" s="9"/>
      <c r="CG7" s="9"/>
      <c r="CU7" s="9"/>
      <c r="DI7" s="9"/>
      <c r="DW7" s="9"/>
      <c r="DX7" s="13"/>
      <c r="DY7" s="13"/>
      <c r="DZ7" s="13"/>
      <c r="EA7" s="13"/>
      <c r="EB7" s="13"/>
      <c r="EC7" s="13"/>
      <c r="ED7" s="13"/>
      <c r="EE7" s="13"/>
      <c r="EF7" s="13"/>
    </row>
    <row r="8" spans="1:140" x14ac:dyDescent="0.2">
      <c r="A8" s="9"/>
      <c r="B8" s="13"/>
      <c r="J8" s="13"/>
      <c r="K8" s="13"/>
      <c r="L8" s="13"/>
      <c r="M8" s="9"/>
      <c r="N8" s="9"/>
      <c r="O8" s="9"/>
      <c r="P8" s="13"/>
      <c r="Q8" s="13"/>
      <c r="R8" s="13"/>
      <c r="S8" s="13"/>
      <c r="T8" s="13"/>
      <c r="U8" s="13"/>
      <c r="V8" s="13"/>
      <c r="W8" s="13"/>
      <c r="X8" s="13"/>
      <c r="AC8" s="9"/>
      <c r="AD8" s="13"/>
      <c r="AE8" s="13"/>
      <c r="AF8" s="13"/>
      <c r="AG8" s="13"/>
      <c r="AH8" s="13"/>
      <c r="AI8" s="13"/>
      <c r="AJ8" s="13"/>
      <c r="AK8" s="13"/>
      <c r="AL8" s="13"/>
      <c r="AQ8" s="9"/>
      <c r="AR8" s="13"/>
      <c r="AS8" s="13"/>
      <c r="AT8" s="13"/>
      <c r="AU8" s="13"/>
      <c r="AV8" s="13"/>
      <c r="AW8" s="13"/>
      <c r="AX8" s="13"/>
      <c r="AY8" s="13"/>
      <c r="AZ8" s="13"/>
      <c r="BE8" s="9"/>
      <c r="BF8" s="13"/>
      <c r="BG8" s="13"/>
      <c r="BH8" s="13"/>
      <c r="BI8" s="13"/>
      <c r="BJ8" s="13"/>
      <c r="BK8" s="13"/>
      <c r="BL8" s="13"/>
      <c r="BM8" s="13"/>
      <c r="BN8" s="13"/>
      <c r="BS8" s="9"/>
      <c r="BT8" s="13"/>
      <c r="BU8" s="13"/>
      <c r="BV8" s="13"/>
      <c r="BW8" s="13"/>
      <c r="BX8" s="13"/>
      <c r="BY8" s="13"/>
      <c r="BZ8" s="13"/>
      <c r="CA8" s="13"/>
      <c r="CB8" s="13"/>
      <c r="CG8" s="9"/>
      <c r="CH8" s="13"/>
      <c r="CI8" s="13"/>
      <c r="CJ8" s="13"/>
      <c r="CK8" s="13"/>
      <c r="CL8" s="13"/>
      <c r="CM8" s="13"/>
      <c r="CN8" s="13"/>
      <c r="CO8" s="13"/>
      <c r="CP8" s="13"/>
      <c r="CU8" s="9"/>
      <c r="CV8" s="13"/>
      <c r="CW8" s="13"/>
      <c r="CX8" s="13"/>
      <c r="CY8" s="13"/>
      <c r="CZ8" s="13"/>
      <c r="DA8" s="13"/>
      <c r="DB8" s="13"/>
      <c r="DC8" s="13"/>
      <c r="DD8" s="13"/>
      <c r="DI8" s="9"/>
      <c r="DJ8" s="13"/>
      <c r="DK8" s="13"/>
      <c r="DL8" s="13"/>
      <c r="DM8" s="13"/>
      <c r="DN8" s="13"/>
      <c r="DO8" s="13"/>
      <c r="DP8" s="13"/>
      <c r="DQ8" s="13"/>
      <c r="DR8" s="13"/>
      <c r="DW8" s="9"/>
      <c r="DX8" s="13"/>
      <c r="DY8" s="13"/>
      <c r="DZ8" s="13"/>
      <c r="EA8" s="13"/>
      <c r="EB8" s="13"/>
      <c r="EC8" s="13"/>
      <c r="ED8" s="13"/>
      <c r="EE8" s="13"/>
      <c r="EF8" s="13"/>
    </row>
    <row r="9" spans="1:140" hidden="1" x14ac:dyDescent="0.2">
      <c r="A9" s="9"/>
      <c r="M9" s="9"/>
      <c r="O9" s="9"/>
      <c r="P9" s="12"/>
      <c r="Q9" s="12"/>
      <c r="R9" s="12"/>
      <c r="S9" s="12"/>
      <c r="T9" s="12"/>
      <c r="U9" s="12"/>
      <c r="V9" s="12"/>
      <c r="W9" s="12"/>
      <c r="X9" s="12"/>
      <c r="AC9" s="9"/>
      <c r="AD9" s="12"/>
      <c r="AE9" s="12"/>
      <c r="AF9" s="12"/>
      <c r="AG9" s="12"/>
      <c r="AH9" s="12"/>
      <c r="AI9" s="12"/>
      <c r="AJ9" s="12"/>
      <c r="AK9" s="12"/>
      <c r="AL9" s="12"/>
      <c r="AQ9" s="9"/>
      <c r="AR9" s="12"/>
      <c r="AS9" s="12"/>
      <c r="AT9" s="12"/>
      <c r="AU9" s="12"/>
      <c r="AV9" s="12"/>
      <c r="AW9" s="12"/>
      <c r="AX9" s="12"/>
      <c r="AY9" s="12"/>
      <c r="AZ9" s="12"/>
      <c r="BE9" s="9"/>
      <c r="BF9" s="12"/>
      <c r="BG9" s="12"/>
      <c r="BH9" s="12"/>
      <c r="BI9" s="12"/>
      <c r="BJ9" s="12"/>
      <c r="BK9" s="12"/>
      <c r="BL9" s="12"/>
      <c r="BM9" s="12"/>
      <c r="BN9" s="12"/>
      <c r="BS9" s="9"/>
      <c r="BT9" s="12"/>
      <c r="BU9" s="12"/>
      <c r="BV9" s="12"/>
      <c r="BW9" s="12"/>
      <c r="BX9" s="12"/>
      <c r="BY9" s="12"/>
      <c r="BZ9" s="12"/>
      <c r="CA9" s="12"/>
      <c r="CB9" s="12"/>
      <c r="CG9" s="9"/>
      <c r="CH9" s="12"/>
      <c r="CI9" s="12"/>
      <c r="CJ9" s="12"/>
      <c r="CK9" s="12"/>
      <c r="CL9" s="12"/>
      <c r="CM9" s="12"/>
      <c r="CN9" s="12"/>
      <c r="CO9" s="12"/>
      <c r="CP9" s="12"/>
      <c r="CU9" s="9"/>
      <c r="CV9" s="12"/>
      <c r="CW9" s="12"/>
      <c r="CX9" s="12"/>
      <c r="CY9" s="12"/>
      <c r="CZ9" s="12"/>
      <c r="DA9" s="12"/>
      <c r="DB9" s="12"/>
      <c r="DC9" s="12"/>
      <c r="DD9" s="12"/>
      <c r="DI9" s="9"/>
      <c r="DJ9" s="12"/>
      <c r="DK9" s="12"/>
      <c r="DL9" s="12"/>
      <c r="DM9" s="12"/>
      <c r="DN9" s="12"/>
      <c r="DO9" s="12"/>
      <c r="DP9" s="12"/>
      <c r="DQ9" s="12"/>
      <c r="DR9" s="12"/>
      <c r="DW9" s="9"/>
      <c r="DX9" s="12"/>
      <c r="DY9" s="12"/>
      <c r="DZ9" s="12"/>
      <c r="EA9" s="12"/>
      <c r="EB9" s="12"/>
      <c r="EC9" s="12"/>
      <c r="ED9" s="12"/>
      <c r="EE9" s="12"/>
      <c r="EF9" s="12"/>
    </row>
    <row r="10" spans="1:140" hidden="1" x14ac:dyDescent="0.2">
      <c r="M10" s="9"/>
      <c r="DW10" s="9"/>
    </row>
    <row r="11" spans="1:140" hidden="1" x14ac:dyDescent="0.2"/>
    <row r="12" spans="1:140" hidden="1" x14ac:dyDescent="0.2"/>
    <row r="13" spans="1:140" hidden="1" x14ac:dyDescent="0.2"/>
    <row r="14" spans="1:140" hidden="1" x14ac:dyDescent="0.2"/>
    <row r="15" spans="1:140" hidden="1" x14ac:dyDescent="0.2">
      <c r="P15" s="13"/>
      <c r="AD15" s="13"/>
      <c r="AR15" s="13"/>
      <c r="BF15" s="13"/>
      <c r="BT15" s="13"/>
      <c r="CH15" s="13"/>
      <c r="CV15" s="13"/>
      <c r="DJ15" s="13"/>
    </row>
    <row r="16" spans="1:140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36" hidden="1" x14ac:dyDescent="0.2"/>
    <row r="50" spans="1:136" hidden="1" x14ac:dyDescent="0.2"/>
    <row r="51" spans="1:136" hidden="1" x14ac:dyDescent="0.2"/>
    <row r="52" spans="1:136" hidden="1" x14ac:dyDescent="0.2"/>
    <row r="53" spans="1:136" hidden="1" x14ac:dyDescent="0.2"/>
    <row r="54" spans="1:136" hidden="1" x14ac:dyDescent="0.2"/>
    <row r="55" spans="1:136" hidden="1" x14ac:dyDescent="0.2"/>
    <row r="56" spans="1:136" hidden="1" x14ac:dyDescent="0.2"/>
    <row r="57" spans="1:136" hidden="1" x14ac:dyDescent="0.2"/>
    <row r="58" spans="1:136" hidden="1" x14ac:dyDescent="0.2"/>
    <row r="59" spans="1:136" hidden="1" x14ac:dyDescent="0.2"/>
    <row r="60" spans="1:136" hidden="1" x14ac:dyDescent="0.2"/>
    <row r="61" spans="1:136" hidden="1" x14ac:dyDescent="0.2"/>
    <row r="62" spans="1:136" x14ac:dyDescent="0.2">
      <c r="BS62" s="16"/>
      <c r="BT62" s="16"/>
      <c r="BU62" s="16"/>
      <c r="BV62" s="29"/>
      <c r="BW62" s="29"/>
      <c r="BX62" s="29"/>
      <c r="BY62" s="16"/>
      <c r="BZ62" s="16"/>
      <c r="CA62" s="16"/>
      <c r="CB62" s="30"/>
      <c r="CC62" s="16"/>
      <c r="CD62" s="30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29"/>
      <c r="DU62" s="16"/>
    </row>
    <row r="63" spans="1:136" x14ac:dyDescent="0.2">
      <c r="A63" s="5" t="s">
        <v>45</v>
      </c>
    </row>
    <row r="64" spans="1:136" x14ac:dyDescent="0.2">
      <c r="A64" t="s">
        <v>1292</v>
      </c>
      <c r="B64" s="12">
        <f t="shared" ref="B64:J69" si="58">P64+AD64+AR64+BF64+BT64+CH64+CV64+DJ64</f>
        <v>0</v>
      </c>
      <c r="C64" s="12">
        <f t="shared" si="58"/>
        <v>0</v>
      </c>
      <c r="D64" s="12">
        <f t="shared" si="58"/>
        <v>0</v>
      </c>
      <c r="E64" s="12">
        <f t="shared" si="58"/>
        <v>0</v>
      </c>
      <c r="F64" s="12">
        <f t="shared" si="58"/>
        <v>0</v>
      </c>
      <c r="G64" s="12">
        <f t="shared" si="58"/>
        <v>0</v>
      </c>
      <c r="H64" s="12">
        <f t="shared" si="58"/>
        <v>0</v>
      </c>
      <c r="I64" s="12">
        <f t="shared" si="58"/>
        <v>0</v>
      </c>
      <c r="J64" s="12">
        <f t="shared" si="58"/>
        <v>0</v>
      </c>
      <c r="P64" s="12">
        <f>P$5*AA64</f>
        <v>0</v>
      </c>
      <c r="Q64" s="12">
        <f t="shared" ref="Q64:Q69" si="59">Q$5*AA64</f>
        <v>0</v>
      </c>
      <c r="R64" s="12">
        <f t="shared" ref="R64:R69" si="60">R$5*AA64</f>
        <v>0</v>
      </c>
      <c r="S64" s="12">
        <f t="shared" ref="S64:S69" si="61">S$5*AA64</f>
        <v>0</v>
      </c>
      <c r="T64" s="12">
        <f t="shared" ref="T64:T69" si="62">T$5*AA64</f>
        <v>0</v>
      </c>
      <c r="U64" s="12">
        <f t="shared" ref="U64:U69" si="63">U$5*AA64</f>
        <v>0</v>
      </c>
      <c r="V64" s="12">
        <f t="shared" ref="V64:V69" si="64">V$5*AA64</f>
        <v>0</v>
      </c>
      <c r="W64" s="12">
        <f t="shared" ref="W64:W69" si="65">W$5*AA64</f>
        <v>0</v>
      </c>
      <c r="X64" s="12">
        <f t="shared" ref="X64:X69" si="66">X$5*AA64</f>
        <v>0</v>
      </c>
      <c r="Z64" t="s">
        <v>1305</v>
      </c>
      <c r="AA64">
        <f>_xlfn.XLOOKUP(Z64,'KPI Impacts'!$B$2:$H$2,'KPI Impacts'!$B64:$H64)</f>
        <v>-0.8</v>
      </c>
      <c r="AD64" s="12">
        <f>AD$5*AO64</f>
        <v>0</v>
      </c>
      <c r="AE64" s="12">
        <f t="shared" ref="AE64:AE69" si="67">AE$5*AO64</f>
        <v>0</v>
      </c>
      <c r="AF64" s="12">
        <f t="shared" ref="AF64:AF69" si="68">AF$5*AO64</f>
        <v>0</v>
      </c>
      <c r="AG64" s="12">
        <f t="shared" ref="AG64:AG69" si="69">AG$5*AO64</f>
        <v>0</v>
      </c>
      <c r="AH64" s="12">
        <f t="shared" ref="AH64:AH69" si="70">AH$5*AO64</f>
        <v>0</v>
      </c>
      <c r="AI64" s="12">
        <f t="shared" ref="AI64:AI69" si="71">AI$5*AO64</f>
        <v>0</v>
      </c>
      <c r="AJ64" s="12">
        <f t="shared" ref="AJ64:AJ69" si="72">AJ$5*AO64</f>
        <v>0</v>
      </c>
      <c r="AK64" s="12">
        <f t="shared" ref="AK64:AK69" si="73">AK$5*AO64</f>
        <v>0</v>
      </c>
      <c r="AL64" s="12">
        <f t="shared" ref="AL64:AL69" si="74">AL$5*AO64</f>
        <v>0</v>
      </c>
      <c r="AN64" t="s">
        <v>1305</v>
      </c>
      <c r="AO64">
        <f>_xlfn.XLOOKUP(AN64,'KPI Impacts'!$B$2:$H$2,'KPI Impacts'!$B64:$H64)</f>
        <v>-0.8</v>
      </c>
      <c r="AR64" s="12">
        <f>AR$5*BC64</f>
        <v>0</v>
      </c>
      <c r="AS64" s="12">
        <f t="shared" ref="AS64:AS69" si="75">AS$5*BC64</f>
        <v>0</v>
      </c>
      <c r="AT64" s="12">
        <f t="shared" ref="AT64:AT69" si="76">AT$5*BC64</f>
        <v>0</v>
      </c>
      <c r="AU64" s="12">
        <f t="shared" ref="AU64:AU69" si="77">AU$5*BC64</f>
        <v>0</v>
      </c>
      <c r="AV64" s="12">
        <f t="shared" ref="AV64:AV69" si="78">AV$5*BC64</f>
        <v>0</v>
      </c>
      <c r="AW64" s="12">
        <f t="shared" ref="AW64:AW69" si="79">AW$5*BC64</f>
        <v>0</v>
      </c>
      <c r="AX64" s="12">
        <f t="shared" ref="AX64:AX69" si="80">AX$5*BC64</f>
        <v>0</v>
      </c>
      <c r="AY64" s="12">
        <f t="shared" ref="AY64:AY69" si="81">AY$5*BC64</f>
        <v>0</v>
      </c>
      <c r="AZ64" s="12">
        <f t="shared" ref="AZ64:AZ69" si="82">AZ$5*BC64</f>
        <v>0</v>
      </c>
      <c r="BB64" s="30" t="s">
        <v>1308</v>
      </c>
      <c r="BC64">
        <f>_xlfn.XLOOKUP(BB64,'KPI Impacts'!$B$2:$H$2,'KPI Impacts'!$B64:$H64)</f>
        <v>1</v>
      </c>
      <c r="BF64" s="12">
        <f>BF$5*BQ64</f>
        <v>0</v>
      </c>
      <c r="BG64" s="12">
        <f t="shared" ref="BG64:BG69" si="83">BG$5*BQ64</f>
        <v>0</v>
      </c>
      <c r="BH64" s="12">
        <f t="shared" ref="BH64:BH69" si="84">BH$5*BQ64</f>
        <v>0</v>
      </c>
      <c r="BI64" s="12">
        <f t="shared" ref="BI64:BI69" si="85">BI$5*BQ64</f>
        <v>0</v>
      </c>
      <c r="BJ64" s="12">
        <f t="shared" ref="BJ64:BJ69" si="86">BJ$5*BQ64</f>
        <v>0</v>
      </c>
      <c r="BK64" s="12">
        <f t="shared" ref="BK64:BK69" si="87">BK$5*BQ64</f>
        <v>0</v>
      </c>
      <c r="BL64" s="12">
        <f t="shared" ref="BL64:BL69" si="88">BL$5*BQ64</f>
        <v>0</v>
      </c>
      <c r="BM64" s="12">
        <f t="shared" ref="BM64:BM69" si="89">BM$5*BQ64</f>
        <v>0</v>
      </c>
      <c r="BN64" s="12">
        <f t="shared" ref="BN64:BN69" si="90">BN$5*BQ64</f>
        <v>0</v>
      </c>
      <c r="BP64" s="16" t="s">
        <v>1304</v>
      </c>
      <c r="BQ64">
        <f>_xlfn.XLOOKUP(BP64,'KPI Impacts'!$B$2:$H$2,'KPI Impacts'!$B64:$H64)</f>
        <v>0</v>
      </c>
      <c r="BT64" s="12">
        <f>BT$5*CE64</f>
        <v>0</v>
      </c>
      <c r="BU64" s="12">
        <f t="shared" ref="BU64:BU69" si="91">BU$5*CE64</f>
        <v>0</v>
      </c>
      <c r="BV64" s="12">
        <f t="shared" ref="BV64:BV69" si="92">BV$5*CE64</f>
        <v>0</v>
      </c>
      <c r="BW64" s="12">
        <f t="shared" ref="BW64:BW69" si="93">BW$5*CE64</f>
        <v>0</v>
      </c>
      <c r="BX64" s="12">
        <f t="shared" ref="BX64:BX69" si="94">BX$5*CE64</f>
        <v>0</v>
      </c>
      <c r="BY64" s="12">
        <f t="shared" ref="BY64:BY69" si="95">BY$5*CE64</f>
        <v>0</v>
      </c>
      <c r="BZ64" s="12">
        <f t="shared" ref="BZ64:BZ69" si="96">BZ$5*CE64</f>
        <v>0</v>
      </c>
      <c r="CA64" s="12">
        <f t="shared" ref="CA64:CA69" si="97">CA$5*CE64</f>
        <v>0</v>
      </c>
      <c r="CB64" s="12">
        <f t="shared" ref="CB64:CB69" si="98">CB$5*CE64</f>
        <v>0</v>
      </c>
      <c r="CD64" s="16" t="s">
        <v>1304</v>
      </c>
      <c r="CE64">
        <f>_xlfn.XLOOKUP(CD64,'KPI Impacts'!$B$2:$H$2,'KPI Impacts'!$B64:$H64)</f>
        <v>0</v>
      </c>
      <c r="CH64" s="12">
        <f>CH$5*CS64</f>
        <v>0</v>
      </c>
      <c r="CI64" s="12">
        <f t="shared" ref="CI64:CI69" si="99">CI$5*CS64</f>
        <v>0</v>
      </c>
      <c r="CJ64" s="12">
        <f t="shared" ref="CJ64:CJ69" si="100">CJ$5*CS64</f>
        <v>0</v>
      </c>
      <c r="CK64" s="12">
        <f t="shared" ref="CK64:CK69" si="101">CK$5*CS64</f>
        <v>0</v>
      </c>
      <c r="CL64" s="12">
        <f t="shared" ref="CL64:CL69" si="102">CL$5*CS64</f>
        <v>0</v>
      </c>
      <c r="CM64" s="12">
        <f t="shared" ref="CM64:CM69" si="103">CM$5*CS64</f>
        <v>0</v>
      </c>
      <c r="CN64" s="12">
        <f t="shared" ref="CN64:CN69" si="104">CN$5*CS64</f>
        <v>0</v>
      </c>
      <c r="CO64" s="12">
        <f t="shared" ref="CO64:CO69" si="105">CO$5*CS64</f>
        <v>0</v>
      </c>
      <c r="CP64" s="12">
        <f t="shared" ref="CP64:CP69" si="106">CP$5*CS64</f>
        <v>0</v>
      </c>
      <c r="CR64" s="16" t="s">
        <v>1304</v>
      </c>
      <c r="CS64">
        <f>_xlfn.XLOOKUP(CR64,'KPI Impacts'!$B$2:$H$2,'KPI Impacts'!$B64:$H64)</f>
        <v>0</v>
      </c>
      <c r="CV64" s="12">
        <f>CV$5*DG64</f>
        <v>0</v>
      </c>
      <c r="CW64" s="12">
        <f t="shared" ref="CW64:CW69" si="107">CW$5*DG64</f>
        <v>0</v>
      </c>
      <c r="CX64" s="12">
        <f t="shared" ref="CX64:CX69" si="108">CX$5*DG64</f>
        <v>0</v>
      </c>
      <c r="CY64" s="12">
        <f t="shared" ref="CY64:CY69" si="109">CY$5*DG64</f>
        <v>0</v>
      </c>
      <c r="CZ64" s="12">
        <f t="shared" ref="CZ64:CZ69" si="110">CZ$5*DG64</f>
        <v>0</v>
      </c>
      <c r="DA64" s="12">
        <f t="shared" ref="DA64:DA69" si="111">DA$5*DG64</f>
        <v>0</v>
      </c>
      <c r="DB64" s="12">
        <f t="shared" ref="DB64:DB69" si="112">DB$5*DG64</f>
        <v>0</v>
      </c>
      <c r="DC64" s="12">
        <f t="shared" ref="DC64:DC69" si="113">DC$5*DG64</f>
        <v>0</v>
      </c>
      <c r="DD64" s="12">
        <f t="shared" ref="DD64:DD69" si="114">DD$5*DG64</f>
        <v>0</v>
      </c>
      <c r="DF64" t="s">
        <v>1304</v>
      </c>
      <c r="DG64">
        <f>_xlfn.XLOOKUP(DF64,'KPI Impacts'!$B$2:$H$2,'KPI Impacts'!$B64:$H64)</f>
        <v>0</v>
      </c>
      <c r="DJ64" s="12">
        <f>DJ$5*DU64</f>
        <v>0</v>
      </c>
      <c r="DK64" s="12">
        <f t="shared" ref="DK64:DK69" si="115">DK$5*DU64</f>
        <v>0</v>
      </c>
      <c r="DL64" s="12">
        <f t="shared" ref="DL64:DL69" si="116">DL$5*DU64</f>
        <v>0</v>
      </c>
      <c r="DM64" s="12">
        <f t="shared" ref="DM64:DM69" si="117">DM$5*DU64</f>
        <v>0</v>
      </c>
      <c r="DN64" s="12">
        <f t="shared" ref="DN64:DN69" si="118">DN$5*DU64</f>
        <v>0</v>
      </c>
      <c r="DO64" s="12">
        <f t="shared" ref="DO64:DO69" si="119">DO$5*DU64</f>
        <v>0</v>
      </c>
      <c r="DP64" s="12">
        <f t="shared" ref="DP64:DP69" si="120">DP$5*DU64</f>
        <v>0</v>
      </c>
      <c r="DQ64" s="12">
        <f t="shared" ref="DQ64:DQ69" si="121">DQ$5*DU64</f>
        <v>0</v>
      </c>
      <c r="DR64" s="12">
        <f t="shared" ref="DR64:DR69" si="122">DR$5*DU64</f>
        <v>0</v>
      </c>
      <c r="DT64" t="s">
        <v>1304</v>
      </c>
      <c r="DU64">
        <f>_xlfn.XLOOKUP(DT64,'KPI Impacts'!$B$2:$H$2,'KPI Impacts'!$B64:$H64)</f>
        <v>0</v>
      </c>
      <c r="DX64" s="12"/>
      <c r="DY64" s="12"/>
      <c r="DZ64" s="12"/>
      <c r="EA64" s="12"/>
      <c r="EB64" s="12"/>
      <c r="EC64" s="12"/>
      <c r="ED64" s="12"/>
      <c r="EE64" s="12"/>
      <c r="EF64" s="12"/>
    </row>
    <row r="65" spans="1:136" x14ac:dyDescent="0.2">
      <c r="A65" t="s">
        <v>47</v>
      </c>
      <c r="B65" s="12">
        <f t="shared" si="58"/>
        <v>0</v>
      </c>
      <c r="C65" s="12">
        <f t="shared" si="58"/>
        <v>0</v>
      </c>
      <c r="D65" s="12">
        <f t="shared" si="58"/>
        <v>0</v>
      </c>
      <c r="E65" s="12">
        <f t="shared" si="58"/>
        <v>0</v>
      </c>
      <c r="F65" s="12">
        <f t="shared" si="58"/>
        <v>0</v>
      </c>
      <c r="G65" s="12">
        <f t="shared" si="58"/>
        <v>0</v>
      </c>
      <c r="H65" s="12">
        <f t="shared" si="58"/>
        <v>0</v>
      </c>
      <c r="I65" s="12">
        <f t="shared" si="58"/>
        <v>0</v>
      </c>
      <c r="J65" s="12">
        <f t="shared" si="58"/>
        <v>0</v>
      </c>
      <c r="P65" s="12">
        <f t="shared" ref="P65:P69" si="123">P$5*AA65</f>
        <v>0</v>
      </c>
      <c r="Q65" s="12">
        <f t="shared" si="59"/>
        <v>0</v>
      </c>
      <c r="R65" s="12">
        <f t="shared" si="60"/>
        <v>0</v>
      </c>
      <c r="S65" s="12">
        <f t="shared" si="61"/>
        <v>0</v>
      </c>
      <c r="T65" s="12">
        <f t="shared" si="62"/>
        <v>0</v>
      </c>
      <c r="U65" s="12">
        <f t="shared" si="63"/>
        <v>0</v>
      </c>
      <c r="V65" s="12">
        <f t="shared" si="64"/>
        <v>0</v>
      </c>
      <c r="W65" s="12">
        <f t="shared" si="65"/>
        <v>0</v>
      </c>
      <c r="X65" s="12">
        <f t="shared" si="66"/>
        <v>0</v>
      </c>
      <c r="Z65" t="s">
        <v>1304</v>
      </c>
      <c r="AA65">
        <f>_xlfn.XLOOKUP(Z65,'KPI Impacts'!$B$2:$H$2,'KPI Impacts'!$B65:$H65)</f>
        <v>0</v>
      </c>
      <c r="AD65" s="12">
        <f t="shared" ref="AD65:AD69" si="124">AD$5*AO65</f>
        <v>0</v>
      </c>
      <c r="AE65" s="12">
        <f t="shared" si="67"/>
        <v>0</v>
      </c>
      <c r="AF65" s="12">
        <f t="shared" si="68"/>
        <v>0</v>
      </c>
      <c r="AG65" s="12">
        <f t="shared" si="69"/>
        <v>0</v>
      </c>
      <c r="AH65" s="12">
        <f t="shared" si="70"/>
        <v>0</v>
      </c>
      <c r="AI65" s="12">
        <f t="shared" si="71"/>
        <v>0</v>
      </c>
      <c r="AJ65" s="12">
        <f t="shared" si="72"/>
        <v>0</v>
      </c>
      <c r="AK65" s="12">
        <f t="shared" si="73"/>
        <v>0</v>
      </c>
      <c r="AL65" s="12">
        <f t="shared" si="74"/>
        <v>0</v>
      </c>
      <c r="AN65" t="s">
        <v>1305</v>
      </c>
      <c r="AO65">
        <f>_xlfn.XLOOKUP(AN65,'KPI Impacts'!$B$2:$H$2,'KPI Impacts'!$B65:$H65)</f>
        <v>-0.8</v>
      </c>
      <c r="AR65" s="12">
        <f t="shared" ref="AR65:AR69" si="125">AR$5*BC65</f>
        <v>0</v>
      </c>
      <c r="AS65" s="12">
        <f t="shared" si="75"/>
        <v>0</v>
      </c>
      <c r="AT65" s="12">
        <f t="shared" si="76"/>
        <v>0</v>
      </c>
      <c r="AU65" s="12">
        <f t="shared" si="77"/>
        <v>0</v>
      </c>
      <c r="AV65" s="12">
        <f t="shared" si="78"/>
        <v>0</v>
      </c>
      <c r="AW65" s="12">
        <f t="shared" si="79"/>
        <v>0</v>
      </c>
      <c r="AX65" s="12">
        <f t="shared" si="80"/>
        <v>0</v>
      </c>
      <c r="AY65" s="12">
        <f t="shared" si="81"/>
        <v>0</v>
      </c>
      <c r="AZ65" s="12">
        <f t="shared" si="82"/>
        <v>0</v>
      </c>
      <c r="BB65" s="16" t="s">
        <v>1304</v>
      </c>
      <c r="BC65">
        <f>_xlfn.XLOOKUP(BB65,'KPI Impacts'!$B$2:$H$2,'KPI Impacts'!$B65:$H65)</f>
        <v>0</v>
      </c>
      <c r="BF65" s="12">
        <f t="shared" ref="BF65:BF69" si="126">BF$5*BQ65</f>
        <v>0</v>
      </c>
      <c r="BG65" s="12">
        <f t="shared" si="83"/>
        <v>0</v>
      </c>
      <c r="BH65" s="12">
        <f t="shared" si="84"/>
        <v>0</v>
      </c>
      <c r="BI65" s="12">
        <f t="shared" si="85"/>
        <v>0</v>
      </c>
      <c r="BJ65" s="12">
        <f t="shared" si="86"/>
        <v>0</v>
      </c>
      <c r="BK65" s="12">
        <f t="shared" si="87"/>
        <v>0</v>
      </c>
      <c r="BL65" s="12">
        <f t="shared" si="88"/>
        <v>0</v>
      </c>
      <c r="BM65" s="12">
        <f t="shared" si="89"/>
        <v>0</v>
      </c>
      <c r="BN65" s="12">
        <f t="shared" si="90"/>
        <v>0</v>
      </c>
      <c r="BP65" s="16" t="s">
        <v>1304</v>
      </c>
      <c r="BQ65">
        <f>_xlfn.XLOOKUP(BP65,'KPI Impacts'!$B$2:$H$2,'KPI Impacts'!$B65:$H65)</f>
        <v>0</v>
      </c>
      <c r="BT65" s="12">
        <f t="shared" ref="BT65:BT69" si="127">BT$5*CE65</f>
        <v>0</v>
      </c>
      <c r="BU65" s="12">
        <f t="shared" si="91"/>
        <v>0</v>
      </c>
      <c r="BV65" s="12">
        <f t="shared" si="92"/>
        <v>0</v>
      </c>
      <c r="BW65" s="12">
        <f t="shared" si="93"/>
        <v>0</v>
      </c>
      <c r="BX65" s="12">
        <f t="shared" si="94"/>
        <v>0</v>
      </c>
      <c r="BY65" s="12">
        <f t="shared" si="95"/>
        <v>0</v>
      </c>
      <c r="BZ65" s="12">
        <f t="shared" si="96"/>
        <v>0</v>
      </c>
      <c r="CA65" s="12">
        <f t="shared" si="97"/>
        <v>0</v>
      </c>
      <c r="CB65" s="12">
        <f t="shared" si="98"/>
        <v>0</v>
      </c>
      <c r="CD65" s="16" t="s">
        <v>1304</v>
      </c>
      <c r="CE65">
        <f>_xlfn.XLOOKUP(CD65,'KPI Impacts'!$B$2:$H$2,'KPI Impacts'!$B65:$H65)</f>
        <v>0</v>
      </c>
      <c r="CH65" s="12">
        <f t="shared" ref="CH65:CH69" si="128">CH$5*CS65</f>
        <v>0</v>
      </c>
      <c r="CI65" s="12">
        <f t="shared" si="99"/>
        <v>0</v>
      </c>
      <c r="CJ65" s="12">
        <f t="shared" si="100"/>
        <v>0</v>
      </c>
      <c r="CK65" s="12">
        <f t="shared" si="101"/>
        <v>0</v>
      </c>
      <c r="CL65" s="12">
        <f t="shared" si="102"/>
        <v>0</v>
      </c>
      <c r="CM65" s="12">
        <f t="shared" si="103"/>
        <v>0</v>
      </c>
      <c r="CN65" s="12">
        <f t="shared" si="104"/>
        <v>0</v>
      </c>
      <c r="CO65" s="12">
        <f t="shared" si="105"/>
        <v>0</v>
      </c>
      <c r="CP65" s="12">
        <f t="shared" si="106"/>
        <v>0</v>
      </c>
      <c r="CR65" s="16" t="s">
        <v>1304</v>
      </c>
      <c r="CS65">
        <f>_xlfn.XLOOKUP(CR65,'KPI Impacts'!$B$2:$H$2,'KPI Impacts'!$B65:$H65)</f>
        <v>0</v>
      </c>
      <c r="CV65" s="12">
        <f t="shared" ref="CV65:CV69" si="129">CV$5*DG65</f>
        <v>0</v>
      </c>
      <c r="CW65" s="12">
        <f t="shared" si="107"/>
        <v>0</v>
      </c>
      <c r="CX65" s="12">
        <f t="shared" si="108"/>
        <v>0</v>
      </c>
      <c r="CY65" s="12">
        <f t="shared" si="109"/>
        <v>0</v>
      </c>
      <c r="CZ65" s="12">
        <f t="shared" si="110"/>
        <v>0</v>
      </c>
      <c r="DA65" s="12">
        <f t="shared" si="111"/>
        <v>0</v>
      </c>
      <c r="DB65" s="12">
        <f t="shared" si="112"/>
        <v>0</v>
      </c>
      <c r="DC65" s="12">
        <f t="shared" si="113"/>
        <v>0</v>
      </c>
      <c r="DD65" s="12">
        <f t="shared" si="114"/>
        <v>0</v>
      </c>
      <c r="DF65" t="s">
        <v>1304</v>
      </c>
      <c r="DG65">
        <f>_xlfn.XLOOKUP(DF65,'KPI Impacts'!$B$2:$H$2,'KPI Impacts'!$B65:$H65)</f>
        <v>0</v>
      </c>
      <c r="DJ65" s="12">
        <f t="shared" ref="DJ65:DJ69" si="130">DJ$5*DU65</f>
        <v>0</v>
      </c>
      <c r="DK65" s="12">
        <f t="shared" si="115"/>
        <v>0</v>
      </c>
      <c r="DL65" s="12">
        <f t="shared" si="116"/>
        <v>0</v>
      </c>
      <c r="DM65" s="12">
        <f t="shared" si="117"/>
        <v>0</v>
      </c>
      <c r="DN65" s="12">
        <f t="shared" si="118"/>
        <v>0</v>
      </c>
      <c r="DO65" s="12">
        <f t="shared" si="119"/>
        <v>0</v>
      </c>
      <c r="DP65" s="12">
        <f t="shared" si="120"/>
        <v>0</v>
      </c>
      <c r="DQ65" s="12">
        <f t="shared" si="121"/>
        <v>0</v>
      </c>
      <c r="DR65" s="12">
        <f t="shared" si="122"/>
        <v>0</v>
      </c>
      <c r="DT65" t="s">
        <v>1304</v>
      </c>
      <c r="DU65">
        <f>_xlfn.XLOOKUP(DT65,'KPI Impacts'!$B$2:$H$2,'KPI Impacts'!$B65:$H65)</f>
        <v>0</v>
      </c>
      <c r="DX65" s="12"/>
      <c r="DY65" s="12"/>
      <c r="DZ65" s="12"/>
      <c r="EA65" s="12"/>
      <c r="EB65" s="12"/>
      <c r="EC65" s="12"/>
      <c r="ED65" s="12"/>
      <c r="EE65" s="12"/>
      <c r="EF65" s="12"/>
    </row>
    <row r="66" spans="1:136" x14ac:dyDescent="0.2">
      <c r="A66" t="s">
        <v>1293</v>
      </c>
      <c r="B66" s="12">
        <f t="shared" si="58"/>
        <v>0</v>
      </c>
      <c r="C66" s="12">
        <f t="shared" si="58"/>
        <v>0</v>
      </c>
      <c r="D66" s="12">
        <f t="shared" si="58"/>
        <v>0</v>
      </c>
      <c r="E66" s="12">
        <f t="shared" si="58"/>
        <v>0</v>
      </c>
      <c r="F66" s="12">
        <f t="shared" si="58"/>
        <v>0</v>
      </c>
      <c r="G66" s="12">
        <f t="shared" si="58"/>
        <v>0</v>
      </c>
      <c r="H66" s="12">
        <f t="shared" si="58"/>
        <v>0</v>
      </c>
      <c r="I66" s="12">
        <f t="shared" si="58"/>
        <v>0</v>
      </c>
      <c r="J66" s="12">
        <f t="shared" si="58"/>
        <v>0</v>
      </c>
      <c r="P66" s="12">
        <f t="shared" si="123"/>
        <v>0</v>
      </c>
      <c r="Q66" s="12">
        <f t="shared" si="59"/>
        <v>0</v>
      </c>
      <c r="R66" s="12">
        <f t="shared" si="60"/>
        <v>0</v>
      </c>
      <c r="S66" s="12">
        <f t="shared" si="61"/>
        <v>0</v>
      </c>
      <c r="T66" s="12">
        <f t="shared" si="62"/>
        <v>0</v>
      </c>
      <c r="U66" s="12">
        <f t="shared" si="63"/>
        <v>0</v>
      </c>
      <c r="V66" s="12">
        <f t="shared" si="64"/>
        <v>0</v>
      </c>
      <c r="W66" s="12">
        <f t="shared" si="65"/>
        <v>0</v>
      </c>
      <c r="X66" s="12">
        <f t="shared" si="66"/>
        <v>0</v>
      </c>
      <c r="Z66" t="s">
        <v>1304</v>
      </c>
      <c r="AA66">
        <f>_xlfn.XLOOKUP(Z66,'KPI Impacts'!$B$2:$H$2,'KPI Impacts'!$B66:$H66)</f>
        <v>0</v>
      </c>
      <c r="AD66" s="12">
        <f t="shared" si="124"/>
        <v>0</v>
      </c>
      <c r="AE66" s="12">
        <f t="shared" si="67"/>
        <v>0</v>
      </c>
      <c r="AF66" s="12">
        <f t="shared" si="68"/>
        <v>0</v>
      </c>
      <c r="AG66" s="12">
        <f t="shared" si="69"/>
        <v>0</v>
      </c>
      <c r="AH66" s="12">
        <f t="shared" si="70"/>
        <v>0</v>
      </c>
      <c r="AI66" s="12">
        <f t="shared" si="71"/>
        <v>0</v>
      </c>
      <c r="AJ66" s="12">
        <f t="shared" si="72"/>
        <v>0</v>
      </c>
      <c r="AK66" s="12">
        <f t="shared" si="73"/>
        <v>0</v>
      </c>
      <c r="AL66" s="12">
        <f t="shared" si="74"/>
        <v>0</v>
      </c>
      <c r="AN66" t="s">
        <v>1305</v>
      </c>
      <c r="AO66">
        <f>_xlfn.XLOOKUP(AN66,'KPI Impacts'!$B$2:$H$2,'KPI Impacts'!$B66:$H66)</f>
        <v>-1.6</v>
      </c>
      <c r="AR66" s="12">
        <f t="shared" si="125"/>
        <v>0</v>
      </c>
      <c r="AS66" s="12">
        <f t="shared" si="75"/>
        <v>0</v>
      </c>
      <c r="AT66" s="12">
        <f t="shared" si="76"/>
        <v>0</v>
      </c>
      <c r="AU66" s="12">
        <f t="shared" si="77"/>
        <v>0</v>
      </c>
      <c r="AV66" s="12">
        <f t="shared" si="78"/>
        <v>0</v>
      </c>
      <c r="AW66" s="12">
        <f t="shared" si="79"/>
        <v>0</v>
      </c>
      <c r="AX66" s="12">
        <f t="shared" si="80"/>
        <v>0</v>
      </c>
      <c r="AY66" s="12">
        <f t="shared" si="81"/>
        <v>0</v>
      </c>
      <c r="AZ66" s="12">
        <f t="shared" si="82"/>
        <v>0</v>
      </c>
      <c r="BB66" s="16" t="s">
        <v>1304</v>
      </c>
      <c r="BC66">
        <f>_xlfn.XLOOKUP(BB66,'KPI Impacts'!$B$2:$H$2,'KPI Impacts'!$B66:$H66)</f>
        <v>0</v>
      </c>
      <c r="BF66" s="12">
        <f t="shared" si="126"/>
        <v>0</v>
      </c>
      <c r="BG66" s="12">
        <f t="shared" si="83"/>
        <v>0</v>
      </c>
      <c r="BH66" s="12">
        <f t="shared" si="84"/>
        <v>0</v>
      </c>
      <c r="BI66" s="12">
        <f t="shared" si="85"/>
        <v>0</v>
      </c>
      <c r="BJ66" s="12">
        <f t="shared" si="86"/>
        <v>0</v>
      </c>
      <c r="BK66" s="12">
        <f t="shared" si="87"/>
        <v>0</v>
      </c>
      <c r="BL66" s="12">
        <f t="shared" si="88"/>
        <v>0</v>
      </c>
      <c r="BM66" s="12">
        <f t="shared" si="89"/>
        <v>0</v>
      </c>
      <c r="BN66" s="12">
        <f t="shared" si="90"/>
        <v>0</v>
      </c>
      <c r="BP66" s="29" t="s">
        <v>1305</v>
      </c>
      <c r="BQ66">
        <f>_xlfn.XLOOKUP(BP66,'KPI Impacts'!$B$2:$H$2,'KPI Impacts'!$B66:$H66)</f>
        <v>-1.6</v>
      </c>
      <c r="BT66" s="12">
        <f t="shared" si="127"/>
        <v>0</v>
      </c>
      <c r="BU66" s="12">
        <f t="shared" si="91"/>
        <v>0</v>
      </c>
      <c r="BV66" s="12">
        <f t="shared" si="92"/>
        <v>0</v>
      </c>
      <c r="BW66" s="12">
        <f t="shared" si="93"/>
        <v>0</v>
      </c>
      <c r="BX66" s="12">
        <f t="shared" si="94"/>
        <v>0</v>
      </c>
      <c r="BY66" s="12">
        <f t="shared" si="95"/>
        <v>0</v>
      </c>
      <c r="BZ66" s="12">
        <f t="shared" si="96"/>
        <v>0</v>
      </c>
      <c r="CA66" s="12">
        <f t="shared" si="97"/>
        <v>0</v>
      </c>
      <c r="CB66" s="12">
        <f t="shared" si="98"/>
        <v>0</v>
      </c>
      <c r="CD66" s="16" t="s">
        <v>1304</v>
      </c>
      <c r="CE66">
        <f>_xlfn.XLOOKUP(CD66,'KPI Impacts'!$B$2:$H$2,'KPI Impacts'!$B66:$H66)</f>
        <v>0</v>
      </c>
      <c r="CH66" s="12">
        <f t="shared" si="128"/>
        <v>0</v>
      </c>
      <c r="CI66" s="12">
        <f t="shared" si="99"/>
        <v>0</v>
      </c>
      <c r="CJ66" s="12">
        <f t="shared" si="100"/>
        <v>0</v>
      </c>
      <c r="CK66" s="12">
        <f t="shared" si="101"/>
        <v>0</v>
      </c>
      <c r="CL66" s="12">
        <f t="shared" si="102"/>
        <v>0</v>
      </c>
      <c r="CM66" s="12">
        <f t="shared" si="103"/>
        <v>0</v>
      </c>
      <c r="CN66" s="12">
        <f t="shared" si="104"/>
        <v>0</v>
      </c>
      <c r="CO66" s="12">
        <f t="shared" si="105"/>
        <v>0</v>
      </c>
      <c r="CP66" s="12">
        <f t="shared" si="106"/>
        <v>0</v>
      </c>
      <c r="CR66" s="16" t="s">
        <v>1304</v>
      </c>
      <c r="CS66">
        <f>_xlfn.XLOOKUP(CR66,'KPI Impacts'!$B$2:$H$2,'KPI Impacts'!$B66:$H66)</f>
        <v>0</v>
      </c>
      <c r="CV66" s="12">
        <f t="shared" si="129"/>
        <v>0</v>
      </c>
      <c r="CW66" s="12">
        <f t="shared" si="107"/>
        <v>0</v>
      </c>
      <c r="CX66" s="12">
        <f t="shared" si="108"/>
        <v>0</v>
      </c>
      <c r="CY66" s="12">
        <f t="shared" si="109"/>
        <v>0</v>
      </c>
      <c r="CZ66" s="12">
        <f t="shared" si="110"/>
        <v>0</v>
      </c>
      <c r="DA66" s="12">
        <f t="shared" si="111"/>
        <v>0</v>
      </c>
      <c r="DB66" s="12">
        <f t="shared" si="112"/>
        <v>0</v>
      </c>
      <c r="DC66" s="12">
        <f t="shared" si="113"/>
        <v>0</v>
      </c>
      <c r="DD66" s="12">
        <f t="shared" si="114"/>
        <v>0</v>
      </c>
      <c r="DF66" t="s">
        <v>1304</v>
      </c>
      <c r="DG66">
        <f>_xlfn.XLOOKUP(DF66,'KPI Impacts'!$B$2:$H$2,'KPI Impacts'!$B66:$H66)</f>
        <v>0</v>
      </c>
      <c r="DJ66" s="12">
        <f t="shared" si="130"/>
        <v>0</v>
      </c>
      <c r="DK66" s="12">
        <f t="shared" si="115"/>
        <v>0</v>
      </c>
      <c r="DL66" s="12">
        <f t="shared" si="116"/>
        <v>0</v>
      </c>
      <c r="DM66" s="12">
        <f t="shared" si="117"/>
        <v>0</v>
      </c>
      <c r="DN66" s="12">
        <f t="shared" si="118"/>
        <v>0</v>
      </c>
      <c r="DO66" s="12">
        <f t="shared" si="119"/>
        <v>0</v>
      </c>
      <c r="DP66" s="12">
        <f t="shared" si="120"/>
        <v>0</v>
      </c>
      <c r="DQ66" s="12">
        <f t="shared" si="121"/>
        <v>0</v>
      </c>
      <c r="DR66" s="12">
        <f t="shared" si="122"/>
        <v>0</v>
      </c>
      <c r="DT66" t="s">
        <v>1304</v>
      </c>
      <c r="DU66">
        <f>_xlfn.XLOOKUP(DT66,'KPI Impacts'!$B$2:$H$2,'KPI Impacts'!$B66:$H66)</f>
        <v>0</v>
      </c>
      <c r="DX66" s="12"/>
      <c r="DY66" s="12"/>
      <c r="DZ66" s="12"/>
      <c r="EA66" s="12"/>
      <c r="EB66" s="12"/>
      <c r="EC66" s="12"/>
      <c r="ED66" s="12"/>
      <c r="EE66" s="12"/>
      <c r="EF66" s="12"/>
    </row>
    <row r="67" spans="1:136" x14ac:dyDescent="0.2">
      <c r="A67" t="s">
        <v>48</v>
      </c>
      <c r="B67" s="12">
        <f t="shared" si="58"/>
        <v>0</v>
      </c>
      <c r="C67" s="12">
        <f t="shared" si="58"/>
        <v>0</v>
      </c>
      <c r="D67" s="12">
        <f t="shared" si="58"/>
        <v>0</v>
      </c>
      <c r="E67" s="12">
        <f t="shared" si="58"/>
        <v>0</v>
      </c>
      <c r="F67" s="12">
        <f t="shared" si="58"/>
        <v>0</v>
      </c>
      <c r="G67" s="12">
        <f t="shared" si="58"/>
        <v>0</v>
      </c>
      <c r="H67" s="12">
        <f t="shared" si="58"/>
        <v>0</v>
      </c>
      <c r="I67" s="12">
        <f t="shared" si="58"/>
        <v>0</v>
      </c>
      <c r="J67" s="12">
        <f t="shared" si="58"/>
        <v>0</v>
      </c>
      <c r="P67" s="12">
        <f t="shared" si="123"/>
        <v>0</v>
      </c>
      <c r="Q67" s="12">
        <f t="shared" si="59"/>
        <v>0</v>
      </c>
      <c r="R67" s="12">
        <f t="shared" si="60"/>
        <v>0</v>
      </c>
      <c r="S67" s="12">
        <f t="shared" si="61"/>
        <v>0</v>
      </c>
      <c r="T67" s="12">
        <f t="shared" si="62"/>
        <v>0</v>
      </c>
      <c r="U67" s="12">
        <f t="shared" si="63"/>
        <v>0</v>
      </c>
      <c r="V67" s="12">
        <f t="shared" si="64"/>
        <v>0</v>
      </c>
      <c r="W67" s="12">
        <f t="shared" si="65"/>
        <v>0</v>
      </c>
      <c r="X67" s="12">
        <f t="shared" si="66"/>
        <v>0</v>
      </c>
      <c r="Z67" t="s">
        <v>1304</v>
      </c>
      <c r="AA67">
        <f>_xlfn.XLOOKUP(Z67,'KPI Impacts'!$B$2:$H$2,'KPI Impacts'!$B67:$H67)</f>
        <v>0</v>
      </c>
      <c r="AD67" s="12">
        <f t="shared" si="124"/>
        <v>0</v>
      </c>
      <c r="AE67" s="12">
        <f t="shared" si="67"/>
        <v>0</v>
      </c>
      <c r="AF67" s="12">
        <f t="shared" si="68"/>
        <v>0</v>
      </c>
      <c r="AG67" s="12">
        <f t="shared" si="69"/>
        <v>0</v>
      </c>
      <c r="AH67" s="12">
        <f t="shared" si="70"/>
        <v>0</v>
      </c>
      <c r="AI67" s="12">
        <f t="shared" si="71"/>
        <v>0</v>
      </c>
      <c r="AJ67" s="12">
        <f t="shared" si="72"/>
        <v>0</v>
      </c>
      <c r="AK67" s="12">
        <f t="shared" si="73"/>
        <v>0</v>
      </c>
      <c r="AL67" s="12">
        <f t="shared" si="74"/>
        <v>0</v>
      </c>
      <c r="AN67" t="s">
        <v>1305</v>
      </c>
      <c r="AO67">
        <f>_xlfn.XLOOKUP(AN67,'KPI Impacts'!$B$2:$H$2,'KPI Impacts'!$B67:$H67)</f>
        <v>-1.6</v>
      </c>
      <c r="AR67" s="12">
        <f t="shared" si="125"/>
        <v>0</v>
      </c>
      <c r="AS67" s="12">
        <f t="shared" si="75"/>
        <v>0</v>
      </c>
      <c r="AT67" s="12">
        <f t="shared" si="76"/>
        <v>0</v>
      </c>
      <c r="AU67" s="12">
        <f t="shared" si="77"/>
        <v>0</v>
      </c>
      <c r="AV67" s="12">
        <f t="shared" si="78"/>
        <v>0</v>
      </c>
      <c r="AW67" s="12">
        <f t="shared" si="79"/>
        <v>0</v>
      </c>
      <c r="AX67" s="12">
        <f t="shared" si="80"/>
        <v>0</v>
      </c>
      <c r="AY67" s="12">
        <f t="shared" si="81"/>
        <v>0</v>
      </c>
      <c r="AZ67" s="12">
        <f t="shared" si="82"/>
        <v>0</v>
      </c>
      <c r="BB67" s="16" t="s">
        <v>1304</v>
      </c>
      <c r="BC67">
        <f>_xlfn.XLOOKUP(BB67,'KPI Impacts'!$B$2:$H$2,'KPI Impacts'!$B67:$H67)</f>
        <v>0</v>
      </c>
      <c r="BF67" s="12">
        <f t="shared" si="126"/>
        <v>0</v>
      </c>
      <c r="BG67" s="12">
        <f t="shared" si="83"/>
        <v>0</v>
      </c>
      <c r="BH67" s="12">
        <f t="shared" si="84"/>
        <v>0</v>
      </c>
      <c r="BI67" s="12">
        <f t="shared" si="85"/>
        <v>0</v>
      </c>
      <c r="BJ67" s="12">
        <f t="shared" si="86"/>
        <v>0</v>
      </c>
      <c r="BK67" s="12">
        <f t="shared" si="87"/>
        <v>0</v>
      </c>
      <c r="BL67" s="12">
        <f t="shared" si="88"/>
        <v>0</v>
      </c>
      <c r="BM67" s="12">
        <f t="shared" si="89"/>
        <v>0</v>
      </c>
      <c r="BN67" s="12">
        <f t="shared" si="90"/>
        <v>0</v>
      </c>
      <c r="BP67" s="29" t="s">
        <v>1305</v>
      </c>
      <c r="BQ67">
        <f>_xlfn.XLOOKUP(BP67,'KPI Impacts'!$B$2:$H$2,'KPI Impacts'!$B67:$H67)</f>
        <v>-1.6</v>
      </c>
      <c r="BT67" s="12">
        <f t="shared" si="127"/>
        <v>0</v>
      </c>
      <c r="BU67" s="12">
        <f t="shared" si="91"/>
        <v>0</v>
      </c>
      <c r="BV67" s="12">
        <f t="shared" si="92"/>
        <v>0</v>
      </c>
      <c r="BW67" s="12">
        <f t="shared" si="93"/>
        <v>0</v>
      </c>
      <c r="BX67" s="12">
        <f t="shared" si="94"/>
        <v>0</v>
      </c>
      <c r="BY67" s="12">
        <f t="shared" si="95"/>
        <v>0</v>
      </c>
      <c r="BZ67" s="12">
        <f t="shared" si="96"/>
        <v>0</v>
      </c>
      <c r="CA67" s="12">
        <f t="shared" si="97"/>
        <v>0</v>
      </c>
      <c r="CB67" s="12">
        <f t="shared" si="98"/>
        <v>0</v>
      </c>
      <c r="CD67" s="29" t="s">
        <v>1305</v>
      </c>
      <c r="CE67">
        <f>_xlfn.XLOOKUP(CD67,'KPI Impacts'!$B$2:$H$2,'KPI Impacts'!$B67:$H67)</f>
        <v>-1.6</v>
      </c>
      <c r="CH67" s="12">
        <f t="shared" si="128"/>
        <v>0</v>
      </c>
      <c r="CI67" s="12">
        <f t="shared" si="99"/>
        <v>0</v>
      </c>
      <c r="CJ67" s="12">
        <f t="shared" si="100"/>
        <v>0</v>
      </c>
      <c r="CK67" s="12">
        <f t="shared" si="101"/>
        <v>0</v>
      </c>
      <c r="CL67" s="12">
        <f t="shared" si="102"/>
        <v>0</v>
      </c>
      <c r="CM67" s="12">
        <f t="shared" si="103"/>
        <v>0</v>
      </c>
      <c r="CN67" s="12">
        <f t="shared" si="104"/>
        <v>0</v>
      </c>
      <c r="CO67" s="12">
        <f t="shared" si="105"/>
        <v>0</v>
      </c>
      <c r="CP67" s="12">
        <f t="shared" si="106"/>
        <v>0</v>
      </c>
      <c r="CR67" s="16" t="s">
        <v>1304</v>
      </c>
      <c r="CS67">
        <f>_xlfn.XLOOKUP(CR67,'KPI Impacts'!$B$2:$H$2,'KPI Impacts'!$B67:$H67)</f>
        <v>0</v>
      </c>
      <c r="CV67" s="12">
        <f t="shared" si="129"/>
        <v>0</v>
      </c>
      <c r="CW67" s="12">
        <f t="shared" si="107"/>
        <v>0</v>
      </c>
      <c r="CX67" s="12">
        <f t="shared" si="108"/>
        <v>0</v>
      </c>
      <c r="CY67" s="12">
        <f t="shared" si="109"/>
        <v>0</v>
      </c>
      <c r="CZ67" s="12">
        <f t="shared" si="110"/>
        <v>0</v>
      </c>
      <c r="DA67" s="12">
        <f t="shared" si="111"/>
        <v>0</v>
      </c>
      <c r="DB67" s="12">
        <f t="shared" si="112"/>
        <v>0</v>
      </c>
      <c r="DC67" s="12">
        <f t="shared" si="113"/>
        <v>0</v>
      </c>
      <c r="DD67" s="12">
        <f t="shared" si="114"/>
        <v>0</v>
      </c>
      <c r="DF67" t="s">
        <v>1304</v>
      </c>
      <c r="DG67">
        <f>_xlfn.XLOOKUP(DF67,'KPI Impacts'!$B$2:$H$2,'KPI Impacts'!$B67:$H67)</f>
        <v>0</v>
      </c>
      <c r="DJ67" s="12">
        <f t="shared" si="130"/>
        <v>0</v>
      </c>
      <c r="DK67" s="12">
        <f t="shared" si="115"/>
        <v>0</v>
      </c>
      <c r="DL67" s="12">
        <f t="shared" si="116"/>
        <v>0</v>
      </c>
      <c r="DM67" s="12">
        <f t="shared" si="117"/>
        <v>0</v>
      </c>
      <c r="DN67" s="12">
        <f t="shared" si="118"/>
        <v>0</v>
      </c>
      <c r="DO67" s="12">
        <f t="shared" si="119"/>
        <v>0</v>
      </c>
      <c r="DP67" s="12">
        <f t="shared" si="120"/>
        <v>0</v>
      </c>
      <c r="DQ67" s="12">
        <f t="shared" si="121"/>
        <v>0</v>
      </c>
      <c r="DR67" s="12">
        <f t="shared" si="122"/>
        <v>0</v>
      </c>
      <c r="DT67" t="s">
        <v>1304</v>
      </c>
      <c r="DU67">
        <f>_xlfn.XLOOKUP(DT67,'KPI Impacts'!$B$2:$H$2,'KPI Impacts'!$B67:$H67)</f>
        <v>0</v>
      </c>
      <c r="DX67" s="12"/>
      <c r="DY67" s="12"/>
      <c r="DZ67" s="12"/>
      <c r="EA67" s="12"/>
      <c r="EB67" s="12"/>
      <c r="EC67" s="12"/>
      <c r="ED67" s="12"/>
      <c r="EE67" s="12"/>
      <c r="EF67" s="12"/>
    </row>
    <row r="68" spans="1:136" x14ac:dyDescent="0.2">
      <c r="A68" t="s">
        <v>49</v>
      </c>
      <c r="B68" s="12">
        <f t="shared" si="58"/>
        <v>0</v>
      </c>
      <c r="C68" s="12">
        <f t="shared" si="58"/>
        <v>0</v>
      </c>
      <c r="D68" s="12">
        <f t="shared" si="58"/>
        <v>0</v>
      </c>
      <c r="E68" s="12">
        <f t="shared" si="58"/>
        <v>0</v>
      </c>
      <c r="F68" s="12">
        <f t="shared" si="58"/>
        <v>0</v>
      </c>
      <c r="G68" s="12">
        <f t="shared" si="58"/>
        <v>0</v>
      </c>
      <c r="H68" s="12">
        <f t="shared" si="58"/>
        <v>0</v>
      </c>
      <c r="I68" s="12">
        <f t="shared" si="58"/>
        <v>0</v>
      </c>
      <c r="J68" s="12">
        <f t="shared" si="58"/>
        <v>0</v>
      </c>
      <c r="P68" s="12">
        <f t="shared" si="123"/>
        <v>0</v>
      </c>
      <c r="Q68" s="12">
        <f t="shared" si="59"/>
        <v>0</v>
      </c>
      <c r="R68" s="12">
        <f t="shared" si="60"/>
        <v>0</v>
      </c>
      <c r="S68" s="12">
        <f t="shared" si="61"/>
        <v>0</v>
      </c>
      <c r="T68" s="12">
        <f t="shared" si="62"/>
        <v>0</v>
      </c>
      <c r="U68" s="12">
        <f t="shared" si="63"/>
        <v>0</v>
      </c>
      <c r="V68" s="12">
        <f t="shared" si="64"/>
        <v>0</v>
      </c>
      <c r="W68" s="12">
        <f t="shared" si="65"/>
        <v>0</v>
      </c>
      <c r="X68" s="12">
        <f t="shared" si="66"/>
        <v>0</v>
      </c>
      <c r="Z68" t="s">
        <v>1304</v>
      </c>
      <c r="AA68">
        <f>_xlfn.XLOOKUP(Z68,'KPI Impacts'!$B$2:$H$2,'KPI Impacts'!$B68:$H68)</f>
        <v>0</v>
      </c>
      <c r="AD68" s="12">
        <f t="shared" si="124"/>
        <v>0</v>
      </c>
      <c r="AE68" s="12">
        <f t="shared" si="67"/>
        <v>0</v>
      </c>
      <c r="AF68" s="12">
        <f t="shared" si="68"/>
        <v>0</v>
      </c>
      <c r="AG68" s="12">
        <f t="shared" si="69"/>
        <v>0</v>
      </c>
      <c r="AH68" s="12">
        <f t="shared" si="70"/>
        <v>0</v>
      </c>
      <c r="AI68" s="12">
        <f t="shared" si="71"/>
        <v>0</v>
      </c>
      <c r="AJ68" s="12">
        <f t="shared" si="72"/>
        <v>0</v>
      </c>
      <c r="AK68" s="12">
        <f t="shared" si="73"/>
        <v>0</v>
      </c>
      <c r="AL68" s="12">
        <f t="shared" si="74"/>
        <v>0</v>
      </c>
      <c r="AN68" t="s">
        <v>1308</v>
      </c>
      <c r="AO68">
        <f>_xlfn.XLOOKUP(AN68,'KPI Impacts'!$B$2:$H$2,'KPI Impacts'!$B68:$H68)</f>
        <v>2</v>
      </c>
      <c r="AR68" s="12">
        <f t="shared" si="125"/>
        <v>0</v>
      </c>
      <c r="AS68" s="12">
        <f t="shared" si="75"/>
        <v>0</v>
      </c>
      <c r="AT68" s="12">
        <f t="shared" si="76"/>
        <v>0</v>
      </c>
      <c r="AU68" s="12">
        <f t="shared" si="77"/>
        <v>0</v>
      </c>
      <c r="AV68" s="12">
        <f t="shared" si="78"/>
        <v>0</v>
      </c>
      <c r="AW68" s="12">
        <f t="shared" si="79"/>
        <v>0</v>
      </c>
      <c r="AX68" s="12">
        <f t="shared" si="80"/>
        <v>0</v>
      </c>
      <c r="AY68" s="12">
        <f t="shared" si="81"/>
        <v>0</v>
      </c>
      <c r="AZ68" s="12">
        <f t="shared" si="82"/>
        <v>0</v>
      </c>
      <c r="BB68" s="16" t="s">
        <v>1304</v>
      </c>
      <c r="BC68">
        <f>_xlfn.XLOOKUP(BB68,'KPI Impacts'!$B$2:$H$2,'KPI Impacts'!$B68:$H68)</f>
        <v>0</v>
      </c>
      <c r="BF68" s="12">
        <f t="shared" si="126"/>
        <v>0</v>
      </c>
      <c r="BG68" s="12">
        <f t="shared" si="83"/>
        <v>0</v>
      </c>
      <c r="BH68" s="12">
        <f t="shared" si="84"/>
        <v>0</v>
      </c>
      <c r="BI68" s="12">
        <f t="shared" si="85"/>
        <v>0</v>
      </c>
      <c r="BJ68" s="12">
        <f t="shared" si="86"/>
        <v>0</v>
      </c>
      <c r="BK68" s="12">
        <f t="shared" si="87"/>
        <v>0</v>
      </c>
      <c r="BL68" s="12">
        <f t="shared" si="88"/>
        <v>0</v>
      </c>
      <c r="BM68" s="12">
        <f t="shared" si="89"/>
        <v>0</v>
      </c>
      <c r="BN68" s="12">
        <f t="shared" si="90"/>
        <v>0</v>
      </c>
      <c r="BP68" s="29" t="s">
        <v>1305</v>
      </c>
      <c r="BQ68">
        <f>_xlfn.XLOOKUP(BP68,'KPI Impacts'!$B$2:$H$2,'KPI Impacts'!$B68:$H68)</f>
        <v>-1.6</v>
      </c>
      <c r="BT68" s="12">
        <f t="shared" si="127"/>
        <v>0</v>
      </c>
      <c r="BU68" s="12">
        <f t="shared" si="91"/>
        <v>0</v>
      </c>
      <c r="BV68" s="12">
        <f t="shared" si="92"/>
        <v>0</v>
      </c>
      <c r="BW68" s="12">
        <f t="shared" si="93"/>
        <v>0</v>
      </c>
      <c r="BX68" s="12">
        <f t="shared" si="94"/>
        <v>0</v>
      </c>
      <c r="BY68" s="12">
        <f t="shared" si="95"/>
        <v>0</v>
      </c>
      <c r="BZ68" s="12">
        <f t="shared" si="96"/>
        <v>0</v>
      </c>
      <c r="CA68" s="12">
        <f t="shared" si="97"/>
        <v>0</v>
      </c>
      <c r="CB68" s="12">
        <f t="shared" si="98"/>
        <v>0</v>
      </c>
      <c r="CD68" s="29" t="s">
        <v>1305</v>
      </c>
      <c r="CE68">
        <f>_xlfn.XLOOKUP(CD68,'KPI Impacts'!$B$2:$H$2,'KPI Impacts'!$B68:$H68)</f>
        <v>-1.6</v>
      </c>
      <c r="CH68" s="12">
        <f t="shared" si="128"/>
        <v>0</v>
      </c>
      <c r="CI68" s="12">
        <f t="shared" si="99"/>
        <v>0</v>
      </c>
      <c r="CJ68" s="12">
        <f t="shared" si="100"/>
        <v>0</v>
      </c>
      <c r="CK68" s="12">
        <f t="shared" si="101"/>
        <v>0</v>
      </c>
      <c r="CL68" s="12">
        <f t="shared" si="102"/>
        <v>0</v>
      </c>
      <c r="CM68" s="12">
        <f t="shared" si="103"/>
        <v>0</v>
      </c>
      <c r="CN68" s="12">
        <f t="shared" si="104"/>
        <v>0</v>
      </c>
      <c r="CO68" s="12">
        <f t="shared" si="105"/>
        <v>0</v>
      </c>
      <c r="CP68" s="12">
        <f t="shared" si="106"/>
        <v>0</v>
      </c>
      <c r="CR68" s="16" t="s">
        <v>1304</v>
      </c>
      <c r="CS68">
        <f>_xlfn.XLOOKUP(CR68,'KPI Impacts'!$B$2:$H$2,'KPI Impacts'!$B68:$H68)</f>
        <v>0</v>
      </c>
      <c r="CV68" s="12">
        <f t="shared" si="129"/>
        <v>0</v>
      </c>
      <c r="CW68" s="12">
        <f t="shared" si="107"/>
        <v>0</v>
      </c>
      <c r="CX68" s="12">
        <f t="shared" si="108"/>
        <v>0</v>
      </c>
      <c r="CY68" s="12">
        <f t="shared" si="109"/>
        <v>0</v>
      </c>
      <c r="CZ68" s="12">
        <f t="shared" si="110"/>
        <v>0</v>
      </c>
      <c r="DA68" s="12">
        <f t="shared" si="111"/>
        <v>0</v>
      </c>
      <c r="DB68" s="12">
        <f t="shared" si="112"/>
        <v>0</v>
      </c>
      <c r="DC68" s="12">
        <f t="shared" si="113"/>
        <v>0</v>
      </c>
      <c r="DD68" s="12">
        <f t="shared" si="114"/>
        <v>0</v>
      </c>
      <c r="DF68" t="s">
        <v>1304</v>
      </c>
      <c r="DG68">
        <f>_xlfn.XLOOKUP(DF68,'KPI Impacts'!$B$2:$H$2,'KPI Impacts'!$B68:$H68)</f>
        <v>0</v>
      </c>
      <c r="DJ68" s="12">
        <f t="shared" si="130"/>
        <v>0</v>
      </c>
      <c r="DK68" s="12">
        <f t="shared" si="115"/>
        <v>0</v>
      </c>
      <c r="DL68" s="12">
        <f t="shared" si="116"/>
        <v>0</v>
      </c>
      <c r="DM68" s="12">
        <f t="shared" si="117"/>
        <v>0</v>
      </c>
      <c r="DN68" s="12">
        <f t="shared" si="118"/>
        <v>0</v>
      </c>
      <c r="DO68" s="12">
        <f t="shared" si="119"/>
        <v>0</v>
      </c>
      <c r="DP68" s="12">
        <f t="shared" si="120"/>
        <v>0</v>
      </c>
      <c r="DQ68" s="12">
        <f t="shared" si="121"/>
        <v>0</v>
      </c>
      <c r="DR68" s="12">
        <f t="shared" si="122"/>
        <v>0</v>
      </c>
      <c r="DT68" t="s">
        <v>1304</v>
      </c>
      <c r="DU68">
        <f>_xlfn.XLOOKUP(DT68,'KPI Impacts'!$B$2:$H$2,'KPI Impacts'!$B68:$H68)</f>
        <v>0</v>
      </c>
      <c r="DX68" s="12"/>
      <c r="DY68" s="12"/>
      <c r="DZ68" s="12"/>
      <c r="EA68" s="12"/>
      <c r="EB68" s="12"/>
      <c r="EC68" s="12"/>
      <c r="ED68" s="12"/>
      <c r="EE68" s="12"/>
      <c r="EF68" s="12"/>
    </row>
    <row r="69" spans="1:136" x14ac:dyDescent="0.2">
      <c r="A69" t="s">
        <v>50</v>
      </c>
      <c r="B69" s="12">
        <f t="shared" si="58"/>
        <v>0</v>
      </c>
      <c r="C69" s="12">
        <f t="shared" si="58"/>
        <v>0</v>
      </c>
      <c r="D69" s="12">
        <f t="shared" si="58"/>
        <v>0</v>
      </c>
      <c r="E69" s="12">
        <f t="shared" si="58"/>
        <v>0</v>
      </c>
      <c r="F69" s="12">
        <f t="shared" si="58"/>
        <v>0</v>
      </c>
      <c r="G69" s="12">
        <f t="shared" si="58"/>
        <v>0</v>
      </c>
      <c r="H69" s="12">
        <f t="shared" si="58"/>
        <v>0</v>
      </c>
      <c r="I69" s="12">
        <f t="shared" si="58"/>
        <v>0</v>
      </c>
      <c r="J69" s="12">
        <f t="shared" si="58"/>
        <v>0</v>
      </c>
      <c r="P69" s="12">
        <f t="shared" si="123"/>
        <v>0</v>
      </c>
      <c r="Q69" s="12">
        <f t="shared" si="59"/>
        <v>0</v>
      </c>
      <c r="R69" s="12">
        <f t="shared" si="60"/>
        <v>0</v>
      </c>
      <c r="S69" s="12">
        <f t="shared" si="61"/>
        <v>0</v>
      </c>
      <c r="T69" s="12">
        <f t="shared" si="62"/>
        <v>0</v>
      </c>
      <c r="U69" s="12">
        <f t="shared" si="63"/>
        <v>0</v>
      </c>
      <c r="V69" s="12">
        <f t="shared" si="64"/>
        <v>0</v>
      </c>
      <c r="W69" s="12">
        <f t="shared" si="65"/>
        <v>0</v>
      </c>
      <c r="X69" s="12">
        <f t="shared" si="66"/>
        <v>0</v>
      </c>
      <c r="Z69" t="s">
        <v>1304</v>
      </c>
      <c r="AA69">
        <f>_xlfn.XLOOKUP(Z69,'KPI Impacts'!$B$2:$H$2,'KPI Impacts'!$B69:$H69)</f>
        <v>0</v>
      </c>
      <c r="AD69" s="12">
        <f t="shared" si="124"/>
        <v>0</v>
      </c>
      <c r="AE69" s="12">
        <f t="shared" si="67"/>
        <v>0</v>
      </c>
      <c r="AF69" s="12">
        <f t="shared" si="68"/>
        <v>0</v>
      </c>
      <c r="AG69" s="12">
        <f t="shared" si="69"/>
        <v>0</v>
      </c>
      <c r="AH69" s="12">
        <f t="shared" si="70"/>
        <v>0</v>
      </c>
      <c r="AI69" s="12">
        <f t="shared" si="71"/>
        <v>0</v>
      </c>
      <c r="AJ69" s="12">
        <f t="shared" si="72"/>
        <v>0</v>
      </c>
      <c r="AK69" s="12">
        <f t="shared" si="73"/>
        <v>0</v>
      </c>
      <c r="AL69" s="12">
        <f t="shared" si="74"/>
        <v>0</v>
      </c>
      <c r="AN69" t="s">
        <v>1305</v>
      </c>
      <c r="AO69">
        <f>_xlfn.XLOOKUP(AN69,'KPI Impacts'!$B$2:$H$2,'KPI Impacts'!$B69:$H69)</f>
        <v>-1.6</v>
      </c>
      <c r="AR69" s="12">
        <f t="shared" si="125"/>
        <v>0</v>
      </c>
      <c r="AS69" s="12">
        <f t="shared" si="75"/>
        <v>0</v>
      </c>
      <c r="AT69" s="12">
        <f t="shared" si="76"/>
        <v>0</v>
      </c>
      <c r="AU69" s="12">
        <f t="shared" si="77"/>
        <v>0</v>
      </c>
      <c r="AV69" s="12">
        <f t="shared" si="78"/>
        <v>0</v>
      </c>
      <c r="AW69" s="12">
        <f t="shared" si="79"/>
        <v>0</v>
      </c>
      <c r="AX69" s="12">
        <f t="shared" si="80"/>
        <v>0</v>
      </c>
      <c r="AY69" s="12">
        <f t="shared" si="81"/>
        <v>0</v>
      </c>
      <c r="AZ69" s="12">
        <f t="shared" si="82"/>
        <v>0</v>
      </c>
      <c r="BB69" s="16" t="s">
        <v>1304</v>
      </c>
      <c r="BC69">
        <f>_xlfn.XLOOKUP(BB69,'KPI Impacts'!$B$2:$H$2,'KPI Impacts'!$B69:$H69)</f>
        <v>0</v>
      </c>
      <c r="BF69" s="12">
        <f t="shared" si="126"/>
        <v>0</v>
      </c>
      <c r="BG69" s="12">
        <f t="shared" si="83"/>
        <v>0</v>
      </c>
      <c r="BH69" s="12">
        <f t="shared" si="84"/>
        <v>0</v>
      </c>
      <c r="BI69" s="12">
        <f t="shared" si="85"/>
        <v>0</v>
      </c>
      <c r="BJ69" s="12">
        <f t="shared" si="86"/>
        <v>0</v>
      </c>
      <c r="BK69" s="12">
        <f t="shared" si="87"/>
        <v>0</v>
      </c>
      <c r="BL69" s="12">
        <f t="shared" si="88"/>
        <v>0</v>
      </c>
      <c r="BM69" s="12">
        <f t="shared" si="89"/>
        <v>0</v>
      </c>
      <c r="BN69" s="12">
        <f t="shared" si="90"/>
        <v>0</v>
      </c>
      <c r="BP69" s="29" t="s">
        <v>1305</v>
      </c>
      <c r="BQ69">
        <f>_xlfn.XLOOKUP(BP69,'KPI Impacts'!$B$2:$H$2,'KPI Impacts'!$B69:$H69)</f>
        <v>-1.6</v>
      </c>
      <c r="BT69" s="12">
        <f t="shared" si="127"/>
        <v>0</v>
      </c>
      <c r="BU69" s="12">
        <f t="shared" si="91"/>
        <v>0</v>
      </c>
      <c r="BV69" s="12">
        <f t="shared" si="92"/>
        <v>0</v>
      </c>
      <c r="BW69" s="12">
        <f t="shared" si="93"/>
        <v>0</v>
      </c>
      <c r="BX69" s="12">
        <f t="shared" si="94"/>
        <v>0</v>
      </c>
      <c r="BY69" s="12">
        <f t="shared" si="95"/>
        <v>0</v>
      </c>
      <c r="BZ69" s="12">
        <f t="shared" si="96"/>
        <v>0</v>
      </c>
      <c r="CA69" s="12">
        <f t="shared" si="97"/>
        <v>0</v>
      </c>
      <c r="CB69" s="12">
        <f t="shared" si="98"/>
        <v>0</v>
      </c>
      <c r="CD69" s="29" t="s">
        <v>1305</v>
      </c>
      <c r="CE69">
        <f>_xlfn.XLOOKUP(CD69,'KPI Impacts'!$B$2:$H$2,'KPI Impacts'!$B69:$H69)</f>
        <v>-1.6</v>
      </c>
      <c r="CH69" s="12">
        <f t="shared" si="128"/>
        <v>0</v>
      </c>
      <c r="CI69" s="12">
        <f t="shared" si="99"/>
        <v>0</v>
      </c>
      <c r="CJ69" s="12">
        <f t="shared" si="100"/>
        <v>0</v>
      </c>
      <c r="CK69" s="12">
        <f t="shared" si="101"/>
        <v>0</v>
      </c>
      <c r="CL69" s="12">
        <f t="shared" si="102"/>
        <v>0</v>
      </c>
      <c r="CM69" s="12">
        <f t="shared" si="103"/>
        <v>0</v>
      </c>
      <c r="CN69" s="12">
        <f t="shared" si="104"/>
        <v>0</v>
      </c>
      <c r="CO69" s="12">
        <f t="shared" si="105"/>
        <v>0</v>
      </c>
      <c r="CP69" s="12">
        <f t="shared" si="106"/>
        <v>0</v>
      </c>
      <c r="CR69" s="30" t="s">
        <v>1310</v>
      </c>
      <c r="CS69">
        <f>_xlfn.XLOOKUP(CR69,'KPI Impacts'!$B$2:$H$2,'KPI Impacts'!$B69:$H69)</f>
        <v>4</v>
      </c>
      <c r="CV69" s="12">
        <f t="shared" si="129"/>
        <v>0</v>
      </c>
      <c r="CW69" s="12">
        <f t="shared" si="107"/>
        <v>0</v>
      </c>
      <c r="CX69" s="12">
        <f t="shared" si="108"/>
        <v>0</v>
      </c>
      <c r="CY69" s="12">
        <f t="shared" si="109"/>
        <v>0</v>
      </c>
      <c r="CZ69" s="12">
        <f t="shared" si="110"/>
        <v>0</v>
      </c>
      <c r="DA69" s="12">
        <f t="shared" si="111"/>
        <v>0</v>
      </c>
      <c r="DB69" s="12">
        <f t="shared" si="112"/>
        <v>0</v>
      </c>
      <c r="DC69" s="12">
        <f t="shared" si="113"/>
        <v>0</v>
      </c>
      <c r="DD69" s="12">
        <f t="shared" si="114"/>
        <v>0</v>
      </c>
      <c r="DF69" t="s">
        <v>1304</v>
      </c>
      <c r="DG69">
        <f>_xlfn.XLOOKUP(DF69,'KPI Impacts'!$B$2:$H$2,'KPI Impacts'!$B69:$H69)</f>
        <v>0</v>
      </c>
      <c r="DJ69" s="12">
        <f t="shared" si="130"/>
        <v>0</v>
      </c>
      <c r="DK69" s="12">
        <f t="shared" si="115"/>
        <v>0</v>
      </c>
      <c r="DL69" s="12">
        <f t="shared" si="116"/>
        <v>0</v>
      </c>
      <c r="DM69" s="12">
        <f t="shared" si="117"/>
        <v>0</v>
      </c>
      <c r="DN69" s="12">
        <f t="shared" si="118"/>
        <v>0</v>
      </c>
      <c r="DO69" s="12">
        <f t="shared" si="119"/>
        <v>0</v>
      </c>
      <c r="DP69" s="12">
        <f t="shared" si="120"/>
        <v>0</v>
      </c>
      <c r="DQ69" s="12">
        <f t="shared" si="121"/>
        <v>0</v>
      </c>
      <c r="DR69" s="12">
        <f t="shared" si="122"/>
        <v>0</v>
      </c>
      <c r="DT69" t="s">
        <v>1304</v>
      </c>
      <c r="DU69">
        <f>_xlfn.XLOOKUP(DT69,'KPI Impacts'!$B$2:$H$2,'KPI Impacts'!$B69:$H69)</f>
        <v>0</v>
      </c>
      <c r="DX69" s="12"/>
      <c r="DY69" s="12"/>
      <c r="DZ69" s="12"/>
      <c r="EA69" s="12"/>
      <c r="EB69" s="12"/>
      <c r="EC69" s="12"/>
      <c r="ED69" s="12"/>
      <c r="EE69" s="12"/>
      <c r="EF69" s="12"/>
    </row>
    <row r="70" spans="1:136" x14ac:dyDescent="0.2">
      <c r="BB70" s="16"/>
      <c r="BP70" s="16"/>
      <c r="CD70" s="16"/>
      <c r="CR70" s="16"/>
      <c r="EA70" s="12"/>
      <c r="EB70" s="12"/>
    </row>
    <row r="71" spans="1:136" x14ac:dyDescent="0.2">
      <c r="BB71" s="16"/>
      <c r="BP71" s="16"/>
      <c r="CD71" s="16"/>
      <c r="CR71" s="16"/>
      <c r="EA71" s="12"/>
      <c r="EB71" s="12"/>
    </row>
    <row r="72" spans="1:136" x14ac:dyDescent="0.2">
      <c r="A72" s="5" t="s">
        <v>44</v>
      </c>
      <c r="BB72" s="16"/>
      <c r="BP72" s="16"/>
      <c r="CD72" s="16"/>
      <c r="CR72" s="16"/>
      <c r="EA72" s="12"/>
      <c r="EB72" s="12"/>
    </row>
    <row r="73" spans="1:136" x14ac:dyDescent="0.2">
      <c r="A73" t="s">
        <v>55</v>
      </c>
      <c r="B73" s="12">
        <f t="shared" ref="B73:J74" si="131">P73+AD73+AR73+BF73+BT73+CH73+CV73+DJ73</f>
        <v>0</v>
      </c>
      <c r="C73" s="12">
        <f t="shared" si="131"/>
        <v>0</v>
      </c>
      <c r="D73" s="12">
        <f t="shared" si="131"/>
        <v>0</v>
      </c>
      <c r="E73" s="12">
        <f t="shared" si="131"/>
        <v>0</v>
      </c>
      <c r="F73" s="12">
        <f t="shared" si="131"/>
        <v>0</v>
      </c>
      <c r="G73" s="12">
        <f t="shared" si="131"/>
        <v>0</v>
      </c>
      <c r="H73" s="12">
        <f t="shared" si="131"/>
        <v>0</v>
      </c>
      <c r="I73" s="12">
        <f t="shared" si="131"/>
        <v>0</v>
      </c>
      <c r="J73" s="12">
        <f t="shared" si="131"/>
        <v>0</v>
      </c>
      <c r="P73" s="12">
        <f>P$5*AA73</f>
        <v>0</v>
      </c>
      <c r="Q73" s="12">
        <f>Q$5*AA73</f>
        <v>0</v>
      </c>
      <c r="R73" s="12">
        <f>R$5*AA73</f>
        <v>0</v>
      </c>
      <c r="S73" s="12">
        <f>S$5*AA73</f>
        <v>0</v>
      </c>
      <c r="T73" s="12">
        <f>T$5*AA73</f>
        <v>0</v>
      </c>
      <c r="U73" s="12">
        <f>U$5*AA73</f>
        <v>0</v>
      </c>
      <c r="V73" s="12">
        <f>V$5*AA73</f>
        <v>0</v>
      </c>
      <c r="W73" s="12">
        <f>W$5*AA73</f>
        <v>0</v>
      </c>
      <c r="X73" s="12">
        <f>X$5*AA73</f>
        <v>0</v>
      </c>
      <c r="Z73" t="s">
        <v>1308</v>
      </c>
      <c r="AA73">
        <f>_xlfn.XLOOKUP(Z73,'KPI Impacts'!$B$2:$H$2,'KPI Impacts'!$B73:$H73)</f>
        <v>0.4</v>
      </c>
      <c r="AD73" s="12">
        <f>AD$5*AO73</f>
        <v>0</v>
      </c>
      <c r="AE73" s="12">
        <f>AE$5*AO73</f>
        <v>0</v>
      </c>
      <c r="AF73" s="12">
        <f>AF$5*AO73</f>
        <v>0</v>
      </c>
      <c r="AG73" s="12">
        <f>AG$5*AO73</f>
        <v>0</v>
      </c>
      <c r="AH73" s="12">
        <f>AH$5*AO73</f>
        <v>0</v>
      </c>
      <c r="AI73" s="12">
        <f>AI$5*AO73</f>
        <v>0</v>
      </c>
      <c r="AJ73" s="12">
        <f>AJ$5*AO73</f>
        <v>0</v>
      </c>
      <c r="AK73" s="12">
        <f>AK$5*AO73</f>
        <v>0</v>
      </c>
      <c r="AL73" s="12">
        <f>AL$5*AO73</f>
        <v>0</v>
      </c>
      <c r="AN73" t="s">
        <v>1304</v>
      </c>
      <c r="AO73">
        <f>_xlfn.XLOOKUP(AN73,'KPI Impacts'!$B$2:$H$2,'KPI Impacts'!$B73:$H73)</f>
        <v>0</v>
      </c>
      <c r="AR73" s="12">
        <f>AR$5*BC73</f>
        <v>0</v>
      </c>
      <c r="AS73" s="12">
        <f>AS$5*BC73</f>
        <v>0</v>
      </c>
      <c r="AT73" s="12">
        <f>AT$5*BC73</f>
        <v>0</v>
      </c>
      <c r="AU73" s="12">
        <f>AU$5*BC73</f>
        <v>0</v>
      </c>
      <c r="AV73" s="12">
        <f>AV$5*BC73</f>
        <v>0</v>
      </c>
      <c r="AW73" s="12">
        <f>AW$5*BC73</f>
        <v>0</v>
      </c>
      <c r="AX73" s="12">
        <f>AX$5*BC73</f>
        <v>0</v>
      </c>
      <c r="AY73" s="12">
        <f>AY$5*BC73</f>
        <v>0</v>
      </c>
      <c r="AZ73" s="12">
        <f>AZ$5*BC73</f>
        <v>0</v>
      </c>
      <c r="BB73" s="30" t="s">
        <v>1310</v>
      </c>
      <c r="BC73">
        <f>_xlfn.XLOOKUP(BB73,'KPI Impacts'!$B$2:$H$2,'KPI Impacts'!$B73:$H73)</f>
        <v>0.75</v>
      </c>
      <c r="BF73" s="12">
        <f>BF$5*BQ73</f>
        <v>0</v>
      </c>
      <c r="BG73" s="12">
        <f>BG$5*BQ73</f>
        <v>0</v>
      </c>
      <c r="BH73" s="12">
        <f>BH$5*BQ73</f>
        <v>0</v>
      </c>
      <c r="BI73" s="12">
        <f>BI$5*BQ73</f>
        <v>0</v>
      </c>
      <c r="BJ73" s="12">
        <f>BJ$5*BQ73</f>
        <v>0</v>
      </c>
      <c r="BK73" s="12">
        <f>BK$5*BQ73</f>
        <v>0</v>
      </c>
      <c r="BL73" s="12">
        <f>BL$5*BQ73</f>
        <v>0</v>
      </c>
      <c r="BM73" s="12">
        <f>BM$5*BQ73</f>
        <v>0</v>
      </c>
      <c r="BN73" s="12">
        <f>BN$5*BQ73</f>
        <v>0</v>
      </c>
      <c r="BP73" s="16" t="s">
        <v>1304</v>
      </c>
      <c r="BQ73">
        <f>_xlfn.XLOOKUP(BP73,'KPI Impacts'!$B$2:$H$2,'KPI Impacts'!$B73:$H73)</f>
        <v>0</v>
      </c>
      <c r="BT73" s="12">
        <f>BT$5*CE73</f>
        <v>0</v>
      </c>
      <c r="BU73" s="12">
        <f>BU$5*CE73</f>
        <v>0</v>
      </c>
      <c r="BV73" s="12">
        <f>BV$5*CE73</f>
        <v>0</v>
      </c>
      <c r="BW73" s="12">
        <f>BW$5*CE73</f>
        <v>0</v>
      </c>
      <c r="BX73" s="12">
        <f>BX$5*CE73</f>
        <v>0</v>
      </c>
      <c r="BY73" s="12">
        <f>BY$5*CE73</f>
        <v>0</v>
      </c>
      <c r="BZ73" s="12">
        <f>BZ$5*CE73</f>
        <v>0</v>
      </c>
      <c r="CA73" s="12">
        <f>CA$5*CE73</f>
        <v>0</v>
      </c>
      <c r="CB73" s="12">
        <f>CB$5*CE73</f>
        <v>0</v>
      </c>
      <c r="CD73" s="30" t="s">
        <v>1309</v>
      </c>
      <c r="CE73">
        <f>_xlfn.XLOOKUP(CD73,'KPI Impacts'!$B$2:$H$2,'KPI Impacts'!$B73:$H73)</f>
        <v>1</v>
      </c>
      <c r="CH73" s="12">
        <f>CH$5*CS73</f>
        <v>0</v>
      </c>
      <c r="CI73" s="12">
        <f>CI$5*CS73</f>
        <v>0</v>
      </c>
      <c r="CJ73" s="12">
        <f>CJ$5*CS73</f>
        <v>0</v>
      </c>
      <c r="CK73" s="12">
        <f>CK$5*CS73</f>
        <v>0</v>
      </c>
      <c r="CL73" s="12">
        <f>CL$5*CS73</f>
        <v>0</v>
      </c>
      <c r="CM73" s="12">
        <f>CM$5*CS73</f>
        <v>0</v>
      </c>
      <c r="CN73" s="12">
        <f>CN$5*CS73</f>
        <v>0</v>
      </c>
      <c r="CO73" s="12">
        <f>CO$5*CS73</f>
        <v>0</v>
      </c>
      <c r="CP73" s="12">
        <f>CP$5*CS73</f>
        <v>0</v>
      </c>
      <c r="CR73" s="29" t="s">
        <v>1307</v>
      </c>
      <c r="CS73">
        <f>_xlfn.XLOOKUP(CR73,'KPI Impacts'!$B$2:$H$2,'KPI Impacts'!$B73:$H73)</f>
        <v>-0.60000000000000009</v>
      </c>
      <c r="CV73" s="12">
        <f>CV$5*DG73</f>
        <v>0</v>
      </c>
      <c r="CW73" s="12">
        <f>CW$5*DG73</f>
        <v>0</v>
      </c>
      <c r="CX73" s="12">
        <f>CX$5*DG73</f>
        <v>0</v>
      </c>
      <c r="CY73" s="12">
        <f>CY$5*DG73</f>
        <v>0</v>
      </c>
      <c r="CZ73" s="12">
        <f>CZ$5*DG73</f>
        <v>0</v>
      </c>
      <c r="DA73" s="12">
        <f>DA$5*DG73</f>
        <v>0</v>
      </c>
      <c r="DB73" s="12">
        <f>DB$5*DG73</f>
        <v>0</v>
      </c>
      <c r="DC73" s="12">
        <f>DC$5*DG73</f>
        <v>0</v>
      </c>
      <c r="DD73" s="12">
        <f>DD$5*DG73</f>
        <v>0</v>
      </c>
      <c r="DF73" t="s">
        <v>1304</v>
      </c>
      <c r="DG73">
        <f>_xlfn.XLOOKUP(DF73,'KPI Impacts'!$B$2:$H$2,'KPI Impacts'!$B73:$H73)</f>
        <v>0</v>
      </c>
      <c r="DJ73" s="12">
        <f>DJ$5*DU73</f>
        <v>0</v>
      </c>
      <c r="DK73" s="12">
        <f>DK$5*DU73</f>
        <v>0</v>
      </c>
      <c r="DL73" s="12">
        <f>DL$5*DU73</f>
        <v>0</v>
      </c>
      <c r="DM73" s="12">
        <f>DM$5*DU73</f>
        <v>0</v>
      </c>
      <c r="DN73" s="12">
        <f>DN$5*DU73</f>
        <v>0</v>
      </c>
      <c r="DO73" s="12">
        <f>DO$5*DU73</f>
        <v>0</v>
      </c>
      <c r="DP73" s="12">
        <f>DP$5*DU73</f>
        <v>0</v>
      </c>
      <c r="DQ73" s="12">
        <f>DQ$5*DU73</f>
        <v>0</v>
      </c>
      <c r="DR73" s="12">
        <f>DR$5*DU73</f>
        <v>0</v>
      </c>
      <c r="DT73" t="s">
        <v>1304</v>
      </c>
      <c r="DU73">
        <f>_xlfn.XLOOKUP(DT73,'KPI Impacts'!$B$2:$H$2,'KPI Impacts'!$B73:$H73)</f>
        <v>0</v>
      </c>
      <c r="DX73" s="12"/>
      <c r="DY73" s="12"/>
      <c r="DZ73" s="12"/>
      <c r="EA73" s="12"/>
      <c r="EB73" s="12"/>
      <c r="EC73" s="12"/>
      <c r="ED73" s="12"/>
      <c r="EE73" s="12"/>
      <c r="EF73" s="12"/>
    </row>
    <row r="74" spans="1:136" x14ac:dyDescent="0.2">
      <c r="A74" s="9" t="s">
        <v>1964</v>
      </c>
      <c r="B74" s="12">
        <f t="shared" si="131"/>
        <v>0</v>
      </c>
      <c r="C74" s="12">
        <f t="shared" si="131"/>
        <v>0</v>
      </c>
      <c r="D74" s="12">
        <f t="shared" si="131"/>
        <v>0</v>
      </c>
      <c r="E74" s="12">
        <f t="shared" si="131"/>
        <v>0</v>
      </c>
      <c r="F74" s="12">
        <f t="shared" si="131"/>
        <v>0</v>
      </c>
      <c r="G74" s="12">
        <f t="shared" si="131"/>
        <v>0</v>
      </c>
      <c r="H74" s="12">
        <f t="shared" si="131"/>
        <v>0</v>
      </c>
      <c r="I74" s="12">
        <f t="shared" si="131"/>
        <v>0</v>
      </c>
      <c r="J74" s="12">
        <f t="shared" si="131"/>
        <v>0</v>
      </c>
      <c r="P74" s="12">
        <f>P$5*AA74</f>
        <v>0</v>
      </c>
      <c r="Q74" s="12">
        <f>Q$5*AA74</f>
        <v>0</v>
      </c>
      <c r="R74" s="12">
        <f>R$5*AA74</f>
        <v>0</v>
      </c>
      <c r="S74" s="12">
        <f>S$5*AA74</f>
        <v>0</v>
      </c>
      <c r="T74" s="12">
        <f>T$5*AA74</f>
        <v>0</v>
      </c>
      <c r="U74" s="12">
        <f>U$5*AA74</f>
        <v>0</v>
      </c>
      <c r="V74" s="12">
        <f>V$5*AA74</f>
        <v>0</v>
      </c>
      <c r="W74" s="12">
        <f>W$5*AA74</f>
        <v>0</v>
      </c>
      <c r="X74" s="12">
        <f>X$5*AA74</f>
        <v>0</v>
      </c>
      <c r="Z74" t="s">
        <v>1309</v>
      </c>
      <c r="AA74">
        <f>_xlfn.XLOOKUP(Z74,'KPI Impacts'!$B$2:$H$2,'KPI Impacts'!$B74:$H74)</f>
        <v>6000000000</v>
      </c>
      <c r="AD74" s="12">
        <f>AD$5*AO74</f>
        <v>0</v>
      </c>
      <c r="AE74" s="12">
        <f>AE$5*AO74</f>
        <v>0</v>
      </c>
      <c r="AF74" s="12">
        <f>AF$5*AO74</f>
        <v>0</v>
      </c>
      <c r="AG74" s="12">
        <f>AG$5*AO74</f>
        <v>0</v>
      </c>
      <c r="AH74" s="12">
        <f>AH$5*AO74</f>
        <v>0</v>
      </c>
      <c r="AI74" s="12">
        <f>AI$5*AO74</f>
        <v>0</v>
      </c>
      <c r="AJ74" s="12">
        <f>AJ$5*AO74</f>
        <v>0</v>
      </c>
      <c r="AK74" s="12">
        <f>AK$5*AO74</f>
        <v>0</v>
      </c>
      <c r="AL74" s="12">
        <f>AL$5*AO74</f>
        <v>0</v>
      </c>
      <c r="AN74" t="s">
        <v>1304</v>
      </c>
      <c r="AO74">
        <f>_xlfn.XLOOKUP(AN74,'KPI Impacts'!$B$2:$H$2,'KPI Impacts'!$B74:$H74)</f>
        <v>0</v>
      </c>
      <c r="AR74" s="12">
        <f>AR$5*BC74</f>
        <v>0</v>
      </c>
      <c r="AS74" s="12">
        <f>AS$5*BC74</f>
        <v>0</v>
      </c>
      <c r="AT74" s="12">
        <f>AT$5*BC74</f>
        <v>0</v>
      </c>
      <c r="AU74" s="12">
        <f>AU$5*BC74</f>
        <v>0</v>
      </c>
      <c r="AV74" s="12">
        <f>AV$5*BC74</f>
        <v>0</v>
      </c>
      <c r="AW74" s="12">
        <f>AW$5*BC74</f>
        <v>0</v>
      </c>
      <c r="AX74" s="12">
        <f>AX$5*BC74</f>
        <v>0</v>
      </c>
      <c r="AY74" s="12">
        <f>AY$5*BC74</f>
        <v>0</v>
      </c>
      <c r="AZ74" s="12">
        <f>AZ$5*BC74</f>
        <v>0</v>
      </c>
      <c r="BB74" s="30" t="s">
        <v>1310</v>
      </c>
      <c r="BC74">
        <f>_xlfn.XLOOKUP(BB74,'KPI Impacts'!$B$2:$H$2,'KPI Impacts'!$B74:$H74)</f>
        <v>4000000000</v>
      </c>
      <c r="BF74" s="12">
        <f>BF$5*BQ74</f>
        <v>0</v>
      </c>
      <c r="BG74" s="12">
        <f>BG$5*BQ74</f>
        <v>0</v>
      </c>
      <c r="BH74" s="12">
        <f>BH$5*BQ74</f>
        <v>0</v>
      </c>
      <c r="BI74" s="12">
        <f>BI$5*BQ74</f>
        <v>0</v>
      </c>
      <c r="BJ74" s="12">
        <f>BJ$5*BQ74</f>
        <v>0</v>
      </c>
      <c r="BK74" s="12">
        <f>BK$5*BQ74</f>
        <v>0</v>
      </c>
      <c r="BL74" s="12">
        <f>BL$5*BQ74</f>
        <v>0</v>
      </c>
      <c r="BM74" s="12">
        <f>BM$5*BQ74</f>
        <v>0</v>
      </c>
      <c r="BN74" s="12">
        <f>BN$5*BQ74</f>
        <v>0</v>
      </c>
      <c r="BP74" s="16" t="s">
        <v>1304</v>
      </c>
      <c r="BQ74">
        <f>_xlfn.XLOOKUP(BP74,'KPI Impacts'!$B$2:$H$2,'KPI Impacts'!$B74:$H74)</f>
        <v>0</v>
      </c>
      <c r="BT74" s="12">
        <f>BT$5*CE74</f>
        <v>0</v>
      </c>
      <c r="BU74" s="12">
        <f>BU$5*CE74</f>
        <v>0</v>
      </c>
      <c r="BV74" s="12">
        <f>BV$5*CE74</f>
        <v>0</v>
      </c>
      <c r="BW74" s="12">
        <f>BW$5*CE74</f>
        <v>0</v>
      </c>
      <c r="BX74" s="12">
        <f>BX$5*CE74</f>
        <v>0</v>
      </c>
      <c r="BY74" s="12">
        <f>BY$5*CE74</f>
        <v>0</v>
      </c>
      <c r="BZ74" s="12">
        <f>BZ$5*CE74</f>
        <v>0</v>
      </c>
      <c r="CA74" s="12">
        <f>CA$5*CE74</f>
        <v>0</v>
      </c>
      <c r="CB74" s="12">
        <f>CB$5*CE74</f>
        <v>0</v>
      </c>
      <c r="CD74" s="16" t="s">
        <v>1304</v>
      </c>
      <c r="CE74">
        <f>_xlfn.XLOOKUP(CD74,'KPI Impacts'!$B$2:$H$2,'KPI Impacts'!$B74:$H74)</f>
        <v>0</v>
      </c>
      <c r="CH74" s="12">
        <f>CH$5*CS74</f>
        <v>0</v>
      </c>
      <c r="CI74" s="12">
        <f>CI$5*CS74</f>
        <v>0</v>
      </c>
      <c r="CJ74" s="12">
        <f>CJ$5*CS74</f>
        <v>0</v>
      </c>
      <c r="CK74" s="12">
        <f>CK$5*CS74</f>
        <v>0</v>
      </c>
      <c r="CL74" s="12">
        <f>CL$5*CS74</f>
        <v>0</v>
      </c>
      <c r="CM74" s="12">
        <f>CM$5*CS74</f>
        <v>0</v>
      </c>
      <c r="CN74" s="12">
        <f>CN$5*CS74</f>
        <v>0</v>
      </c>
      <c r="CO74" s="12">
        <f>CO$5*CS74</f>
        <v>0</v>
      </c>
      <c r="CP74" s="12">
        <f>CP$5*CS74</f>
        <v>0</v>
      </c>
      <c r="CR74" s="29" t="s">
        <v>1305</v>
      </c>
      <c r="CS74">
        <f>_xlfn.XLOOKUP(CR74,'KPI Impacts'!$B$2:$H$2,'KPI Impacts'!$B74:$H74)</f>
        <v>-1600000000</v>
      </c>
      <c r="CV74" s="12">
        <f>CV$5*DG74</f>
        <v>0</v>
      </c>
      <c r="CW74" s="12">
        <f>CW$5*DG74</f>
        <v>0</v>
      </c>
      <c r="CX74" s="12">
        <f>CX$5*DG74</f>
        <v>0</v>
      </c>
      <c r="CY74" s="12">
        <f>CY$5*DG74</f>
        <v>0</v>
      </c>
      <c r="CZ74" s="12">
        <f>CZ$5*DG74</f>
        <v>0</v>
      </c>
      <c r="DA74" s="12">
        <f>DA$5*DG74</f>
        <v>0</v>
      </c>
      <c r="DB74" s="12">
        <f>DB$5*DG74</f>
        <v>0</v>
      </c>
      <c r="DC74" s="12">
        <f>DC$5*DG74</f>
        <v>0</v>
      </c>
      <c r="DD74" s="12">
        <f>DD$5*DG74</f>
        <v>0</v>
      </c>
      <c r="DF74" t="s">
        <v>1304</v>
      </c>
      <c r="DG74">
        <f>_xlfn.XLOOKUP(DF74,'KPI Impacts'!$B$2:$H$2,'KPI Impacts'!$B74:$H74)</f>
        <v>0</v>
      </c>
      <c r="DJ74" s="12">
        <f>DJ$5*DU74</f>
        <v>0</v>
      </c>
      <c r="DK74" s="12">
        <f>DK$5*DU74</f>
        <v>0</v>
      </c>
      <c r="DL74" s="12">
        <f>DL$5*DU74</f>
        <v>0</v>
      </c>
      <c r="DM74" s="12">
        <f>DM$5*DU74</f>
        <v>0</v>
      </c>
      <c r="DN74" s="12">
        <f>DN$5*DU74</f>
        <v>0</v>
      </c>
      <c r="DO74" s="12">
        <f>DO$5*DU74</f>
        <v>0</v>
      </c>
      <c r="DP74" s="12">
        <f>DP$5*DU74</f>
        <v>0</v>
      </c>
      <c r="DQ74" s="12">
        <f>DQ$5*DU74</f>
        <v>0</v>
      </c>
      <c r="DR74" s="12">
        <f>DR$5*DU74</f>
        <v>0</v>
      </c>
      <c r="DT74" t="s">
        <v>1304</v>
      </c>
      <c r="DU74">
        <f>_xlfn.XLOOKUP(DT74,'KPI Impacts'!$B$2:$H$2,'KPI Impacts'!$B74:$H74)</f>
        <v>0</v>
      </c>
      <c r="DX74" s="12"/>
      <c r="DY74" s="12"/>
      <c r="DZ74" s="12"/>
      <c r="EA74" s="12"/>
      <c r="EB74" s="12"/>
      <c r="EC74" s="12"/>
      <c r="ED74" s="12"/>
      <c r="EE74" s="12"/>
      <c r="EF74" s="12"/>
    </row>
    <row r="75" spans="1:136" x14ac:dyDescent="0.2">
      <c r="A75" t="s">
        <v>1311</v>
      </c>
      <c r="B75" s="12">
        <f t="shared" ref="B75:J76" si="132">P75+AD75+BF75+BT75+CH75+CV75+DJ75</f>
        <v>0</v>
      </c>
      <c r="C75" s="12">
        <f t="shared" si="132"/>
        <v>0</v>
      </c>
      <c r="D75" s="12">
        <f t="shared" si="132"/>
        <v>0</v>
      </c>
      <c r="E75" s="12">
        <f t="shared" si="132"/>
        <v>0</v>
      </c>
      <c r="F75" s="12">
        <f t="shared" si="132"/>
        <v>0</v>
      </c>
      <c r="G75" s="12">
        <f t="shared" si="132"/>
        <v>0</v>
      </c>
      <c r="H75" s="12">
        <f t="shared" si="132"/>
        <v>0</v>
      </c>
      <c r="I75" s="12">
        <f t="shared" si="132"/>
        <v>0</v>
      </c>
      <c r="J75" s="12">
        <f t="shared" si="132"/>
        <v>0</v>
      </c>
      <c r="P75" s="12">
        <f>P$5*AA75</f>
        <v>0</v>
      </c>
      <c r="Q75" s="12">
        <f>Q$5*AA75</f>
        <v>0</v>
      </c>
      <c r="R75" s="12">
        <f>R$5*AA75</f>
        <v>0</v>
      </c>
      <c r="S75" s="12">
        <f>S$5*AA75</f>
        <v>0</v>
      </c>
      <c r="T75" s="12">
        <f>T$5*AA75</f>
        <v>0</v>
      </c>
      <c r="U75" s="12">
        <f>U$5*AA75</f>
        <v>0</v>
      </c>
      <c r="V75" s="12">
        <f>V$5*AA75</f>
        <v>0</v>
      </c>
      <c r="W75" s="12">
        <f>W$5*AA75</f>
        <v>0</v>
      </c>
      <c r="X75" s="12">
        <f>X$5*AA75</f>
        <v>0</v>
      </c>
      <c r="Z75" t="s">
        <v>1309</v>
      </c>
      <c r="AA75">
        <f>_xlfn.XLOOKUP(Z75,'KPI Impacts'!$B$2:$H$2,'KPI Impacts'!$B75:$H75)</f>
        <v>75000</v>
      </c>
      <c r="AD75" s="12">
        <f>AD$5*AO75</f>
        <v>0</v>
      </c>
      <c r="AE75" s="12">
        <f>AE$5*AO75</f>
        <v>0</v>
      </c>
      <c r="AF75" s="12">
        <f>AF$5*AO75</f>
        <v>0</v>
      </c>
      <c r="AG75" s="12">
        <f>AG$5*AO75</f>
        <v>0</v>
      </c>
      <c r="AH75" s="12">
        <f>AH$5*AO75</f>
        <v>0</v>
      </c>
      <c r="AI75" s="12">
        <f>AI$5*AO75</f>
        <v>0</v>
      </c>
      <c r="AJ75" s="12">
        <f>AJ$5*AO75</f>
        <v>0</v>
      </c>
      <c r="AK75" s="12">
        <f>AK$5*AO75</f>
        <v>0</v>
      </c>
      <c r="AL75" s="12">
        <f>AL$5*AO75</f>
        <v>0</v>
      </c>
      <c r="AN75" t="s">
        <v>1304</v>
      </c>
      <c r="AO75">
        <f>_xlfn.XLOOKUP(AN75,'KPI Impacts'!$B$2:$H$2,'KPI Impacts'!$B75:$H75)</f>
        <v>0</v>
      </c>
      <c r="AR75" s="12">
        <f>AR$5*BC75</f>
        <v>0</v>
      </c>
      <c r="AS75" s="12">
        <f>AS$5*BC75</f>
        <v>0</v>
      </c>
      <c r="AT75" s="12">
        <f>AT$5*BC75</f>
        <v>0</v>
      </c>
      <c r="AU75" s="12">
        <f>AU$5*BC75</f>
        <v>0</v>
      </c>
      <c r="AV75" s="12">
        <f>AV$5*BC75</f>
        <v>0</v>
      </c>
      <c r="AW75" s="12">
        <f>AW$5*BC75</f>
        <v>0</v>
      </c>
      <c r="AX75" s="12">
        <f>AX$5*BC75</f>
        <v>0</v>
      </c>
      <c r="AY75" s="12">
        <f>AY$5*BC75</f>
        <v>0</v>
      </c>
      <c r="AZ75" s="12">
        <f>AZ$5*BC75</f>
        <v>0</v>
      </c>
      <c r="BB75" s="30" t="s">
        <v>1308</v>
      </c>
      <c r="BC75">
        <f>_xlfn.XLOOKUP(BB75,'KPI Impacts'!$B$2:$H$2,'KPI Impacts'!$B75:$H75)</f>
        <v>25000</v>
      </c>
      <c r="BF75" s="12">
        <f>BF$5*BQ75</f>
        <v>0</v>
      </c>
      <c r="BG75" s="12">
        <f>BG$5*BQ75</f>
        <v>0</v>
      </c>
      <c r="BH75" s="12">
        <f>BH$5*BQ75</f>
        <v>0</v>
      </c>
      <c r="BI75" s="12">
        <f>BI$5*BQ75</f>
        <v>0</v>
      </c>
      <c r="BJ75" s="12">
        <f>BJ$5*BQ75</f>
        <v>0</v>
      </c>
      <c r="BK75" s="12">
        <f>BK$5*BQ75</f>
        <v>0</v>
      </c>
      <c r="BL75" s="12">
        <f>BL$5*BQ75</f>
        <v>0</v>
      </c>
      <c r="BM75" s="12">
        <f>BM$5*BQ75</f>
        <v>0</v>
      </c>
      <c r="BN75" s="12">
        <f>BN$5*BQ75</f>
        <v>0</v>
      </c>
      <c r="BP75" s="16" t="s">
        <v>1304</v>
      </c>
      <c r="BQ75">
        <f>_xlfn.XLOOKUP(BP75,'KPI Impacts'!$B$2:$H$2,'KPI Impacts'!$B75:$H75)</f>
        <v>0</v>
      </c>
      <c r="BT75" s="12">
        <f>BT$5*CE75</f>
        <v>0</v>
      </c>
      <c r="BU75" s="12">
        <f>BU$5*CE75</f>
        <v>0</v>
      </c>
      <c r="BV75" s="12">
        <f>BV$5*CE75</f>
        <v>0</v>
      </c>
      <c r="BW75" s="12">
        <f>BW$5*CE75</f>
        <v>0</v>
      </c>
      <c r="BX75" s="12">
        <f>BX$5*CE75</f>
        <v>0</v>
      </c>
      <c r="BY75" s="12">
        <f>BY$5*CE75</f>
        <v>0</v>
      </c>
      <c r="BZ75" s="12">
        <f>BZ$5*CE75</f>
        <v>0</v>
      </c>
      <c r="CA75" s="12">
        <f>CA$5*CE75</f>
        <v>0</v>
      </c>
      <c r="CB75" s="12">
        <f>CB$5*CE75</f>
        <v>0</v>
      </c>
      <c r="CD75" s="30" t="s">
        <v>1309</v>
      </c>
      <c r="CE75">
        <f>_xlfn.XLOOKUP(CD75,'KPI Impacts'!$B$2:$H$2,'KPI Impacts'!$B75:$H75)</f>
        <v>75000</v>
      </c>
      <c r="CH75" s="12">
        <f>CH$5*CS75</f>
        <v>0</v>
      </c>
      <c r="CI75" s="12">
        <f>CI$5*CS75</f>
        <v>0</v>
      </c>
      <c r="CJ75" s="12">
        <f>CJ$5*CS75</f>
        <v>0</v>
      </c>
      <c r="CK75" s="12">
        <f>CK$5*CS75</f>
        <v>0</v>
      </c>
      <c r="CL75" s="12">
        <f>CL$5*CS75</f>
        <v>0</v>
      </c>
      <c r="CM75" s="12">
        <f>CM$5*CS75</f>
        <v>0</v>
      </c>
      <c r="CN75" s="12">
        <f>CN$5*CS75</f>
        <v>0</v>
      </c>
      <c r="CO75" s="12">
        <f>CO$5*CS75</f>
        <v>0</v>
      </c>
      <c r="CP75" s="12">
        <f>CP$5*CS75</f>
        <v>0</v>
      </c>
      <c r="CR75" s="30" t="s">
        <v>1308</v>
      </c>
      <c r="CS75">
        <f>_xlfn.XLOOKUP(CR75,'KPI Impacts'!$B$2:$H$2,'KPI Impacts'!$B75:$H75)</f>
        <v>25000</v>
      </c>
      <c r="CV75" s="12">
        <f>CV$5*DG75</f>
        <v>0</v>
      </c>
      <c r="CW75" s="12">
        <f>CW$5*DG75</f>
        <v>0</v>
      </c>
      <c r="CX75" s="12">
        <f>CX$5*DG75</f>
        <v>0</v>
      </c>
      <c r="CY75" s="12">
        <f>CY$5*DG75</f>
        <v>0</v>
      </c>
      <c r="CZ75" s="12">
        <f>CZ$5*DG75</f>
        <v>0</v>
      </c>
      <c r="DA75" s="12">
        <f>DA$5*DG75</f>
        <v>0</v>
      </c>
      <c r="DB75" s="12">
        <f>DB$5*DG75</f>
        <v>0</v>
      </c>
      <c r="DC75" s="12">
        <f>DC$5*DG75</f>
        <v>0</v>
      </c>
      <c r="DD75" s="12">
        <f>DD$5*DG75</f>
        <v>0</v>
      </c>
      <c r="DF75" t="s">
        <v>1304</v>
      </c>
      <c r="DG75">
        <f>_xlfn.XLOOKUP(DF75,'KPI Impacts'!$B$2:$H$2,'KPI Impacts'!$B75:$H75)</f>
        <v>0</v>
      </c>
      <c r="DJ75" s="12">
        <f>DJ$5*DU75</f>
        <v>0</v>
      </c>
      <c r="DK75" s="12">
        <f>DK$5*DU75</f>
        <v>0</v>
      </c>
      <c r="DL75" s="12">
        <f>DL$5*DU75</f>
        <v>0</v>
      </c>
      <c r="DM75" s="12">
        <f>DM$5*DU75</f>
        <v>0</v>
      </c>
      <c r="DN75" s="12">
        <f>DN$5*DU75</f>
        <v>0</v>
      </c>
      <c r="DO75" s="12">
        <f>DO$5*DU75</f>
        <v>0</v>
      </c>
      <c r="DP75" s="12">
        <f>DP$5*DU75</f>
        <v>0</v>
      </c>
      <c r="DQ75" s="12">
        <f>DQ$5*DU75</f>
        <v>0</v>
      </c>
      <c r="DR75" s="12">
        <f>DR$5*DU75</f>
        <v>0</v>
      </c>
      <c r="DT75" t="s">
        <v>1304</v>
      </c>
      <c r="DU75">
        <f>_xlfn.XLOOKUP(DT75,'KPI Impacts'!$B$2:$H$2,'KPI Impacts'!$B75:$H75)</f>
        <v>0</v>
      </c>
      <c r="DX75" s="12"/>
      <c r="DY75" s="12"/>
      <c r="DZ75" s="12"/>
      <c r="EA75" s="12"/>
      <c r="EB75" s="12"/>
      <c r="EC75" s="12"/>
      <c r="ED75" s="12"/>
      <c r="EE75" s="12"/>
      <c r="EF75" s="12"/>
    </row>
    <row r="76" spans="1:136" x14ac:dyDescent="0.2">
      <c r="A76" t="s">
        <v>1312</v>
      </c>
      <c r="B76" s="12">
        <f t="shared" si="132"/>
        <v>0</v>
      </c>
      <c r="C76" s="12">
        <f t="shared" si="132"/>
        <v>0</v>
      </c>
      <c r="D76" s="12">
        <f t="shared" si="132"/>
        <v>0</v>
      </c>
      <c r="E76" s="12">
        <f t="shared" si="132"/>
        <v>0</v>
      </c>
      <c r="F76" s="12">
        <f t="shared" si="132"/>
        <v>0</v>
      </c>
      <c r="G76" s="12">
        <f t="shared" si="132"/>
        <v>0</v>
      </c>
      <c r="H76" s="12">
        <f t="shared" si="132"/>
        <v>0</v>
      </c>
      <c r="I76" s="12">
        <f t="shared" si="132"/>
        <v>0</v>
      </c>
      <c r="J76" s="12">
        <f t="shared" si="132"/>
        <v>0</v>
      </c>
      <c r="P76" s="12">
        <f>P$5*AA76</f>
        <v>0</v>
      </c>
      <c r="Q76" s="12">
        <f>Q$5*AA76</f>
        <v>0</v>
      </c>
      <c r="R76" s="12">
        <f>R$5*AA76</f>
        <v>0</v>
      </c>
      <c r="S76" s="12">
        <f>S$5*AA76</f>
        <v>0</v>
      </c>
      <c r="T76" s="12">
        <f>T$5*AA76</f>
        <v>0</v>
      </c>
      <c r="U76" s="12">
        <f>U$5*AA76</f>
        <v>0</v>
      </c>
      <c r="V76" s="12">
        <f>V$5*AA76</f>
        <v>0</v>
      </c>
      <c r="W76" s="12">
        <f>W$5*AA76</f>
        <v>0</v>
      </c>
      <c r="X76" s="12">
        <f>X$5*AA76</f>
        <v>0</v>
      </c>
      <c r="Z76" t="s">
        <v>1304</v>
      </c>
      <c r="AA76">
        <f>_xlfn.XLOOKUP(Z76,'KPI Impacts'!$B$2:$H$2,'KPI Impacts'!$B76:$H76)</f>
        <v>0</v>
      </c>
      <c r="AD76" s="12">
        <f>AD$5*AO76</f>
        <v>0</v>
      </c>
      <c r="AE76" s="12">
        <f>AE$5*AO76</f>
        <v>0</v>
      </c>
      <c r="AF76" s="12">
        <f>AF$5*AO76</f>
        <v>0</v>
      </c>
      <c r="AG76" s="12">
        <f>AG$5*AO76</f>
        <v>0</v>
      </c>
      <c r="AH76" s="12">
        <f>AH$5*AO76</f>
        <v>0</v>
      </c>
      <c r="AI76" s="12">
        <f>AI$5*AO76</f>
        <v>0</v>
      </c>
      <c r="AJ76" s="12">
        <f>AJ$5*AO76</f>
        <v>0</v>
      </c>
      <c r="AK76" s="12">
        <f>AK$5*AO76</f>
        <v>0</v>
      </c>
      <c r="AL76" s="12">
        <f>AL$5*AO76</f>
        <v>0</v>
      </c>
      <c r="AN76" t="s">
        <v>1304</v>
      </c>
      <c r="AO76">
        <f>_xlfn.XLOOKUP(AN76,'KPI Impacts'!$B$2:$H$2,'KPI Impacts'!$B76:$H76)</f>
        <v>0</v>
      </c>
      <c r="AR76" s="12">
        <f>AR$5*BC76</f>
        <v>0</v>
      </c>
      <c r="AS76" s="12">
        <f>AS$5*BC76</f>
        <v>0</v>
      </c>
      <c r="AT76" s="12">
        <f>AT$5*BC76</f>
        <v>0</v>
      </c>
      <c r="AU76" s="12">
        <f>AU$5*BC76</f>
        <v>0</v>
      </c>
      <c r="AV76" s="12">
        <f>AV$5*BC76</f>
        <v>0</v>
      </c>
      <c r="AW76" s="12">
        <f>AW$5*BC76</f>
        <v>0</v>
      </c>
      <c r="AX76" s="12">
        <f>AX$5*BC76</f>
        <v>0</v>
      </c>
      <c r="AY76" s="12">
        <f>AY$5*BC76</f>
        <v>0</v>
      </c>
      <c r="AZ76" s="12">
        <f>AZ$5*BC76</f>
        <v>0</v>
      </c>
      <c r="BB76" s="16" t="s">
        <v>1304</v>
      </c>
      <c r="BC76">
        <f>_xlfn.XLOOKUP(BB76,'KPI Impacts'!$B$2:$H$2,'KPI Impacts'!$B76:$H76)</f>
        <v>0</v>
      </c>
      <c r="BF76" s="12">
        <f>BF$5*BQ76</f>
        <v>0</v>
      </c>
      <c r="BG76" s="12">
        <f>BG$5*BQ76</f>
        <v>0</v>
      </c>
      <c r="BH76" s="12">
        <f>BH$5*BQ76</f>
        <v>0</v>
      </c>
      <c r="BI76" s="12">
        <f>BI$5*BQ76</f>
        <v>0</v>
      </c>
      <c r="BJ76" s="12">
        <f>BJ$5*BQ76</f>
        <v>0</v>
      </c>
      <c r="BK76" s="12">
        <f>BK$5*BQ76</f>
        <v>0</v>
      </c>
      <c r="BL76" s="12">
        <f>BL$5*BQ76</f>
        <v>0</v>
      </c>
      <c r="BM76" s="12">
        <f>BM$5*BQ76</f>
        <v>0</v>
      </c>
      <c r="BN76" s="12">
        <f>BN$5*BQ76</f>
        <v>0</v>
      </c>
      <c r="BP76" s="16" t="s">
        <v>1304</v>
      </c>
      <c r="BQ76">
        <f>_xlfn.XLOOKUP(BP76,'KPI Impacts'!$B$2:$H$2,'KPI Impacts'!$B76:$H76)</f>
        <v>0</v>
      </c>
      <c r="BT76" s="12">
        <f>BT$5*CE76</f>
        <v>0</v>
      </c>
      <c r="BU76" s="12">
        <f>BU$5*CE76</f>
        <v>0</v>
      </c>
      <c r="BV76" s="12">
        <f>BV$5*CE76</f>
        <v>0</v>
      </c>
      <c r="BW76" s="12">
        <f>BW$5*CE76</f>
        <v>0</v>
      </c>
      <c r="BX76" s="12">
        <f>BX$5*CE76</f>
        <v>0</v>
      </c>
      <c r="BY76" s="12">
        <f>BY$5*CE76</f>
        <v>0</v>
      </c>
      <c r="BZ76" s="12">
        <f>BZ$5*CE76</f>
        <v>0</v>
      </c>
      <c r="CA76" s="12">
        <f>CA$5*CE76</f>
        <v>0</v>
      </c>
      <c r="CB76" s="12">
        <f>CB$5*CE76</f>
        <v>0</v>
      </c>
      <c r="CD76" s="16" t="s">
        <v>1304</v>
      </c>
      <c r="CE76">
        <f>_xlfn.XLOOKUP(CD76,'KPI Impacts'!$B$2:$H$2,'KPI Impacts'!$B76:$H76)</f>
        <v>0</v>
      </c>
      <c r="CH76" s="12">
        <f>CH$5*CS76</f>
        <v>0</v>
      </c>
      <c r="CI76" s="12">
        <f>CI$5*CS76</f>
        <v>0</v>
      </c>
      <c r="CJ76" s="12">
        <f>CJ$5*CS76</f>
        <v>0</v>
      </c>
      <c r="CK76" s="12">
        <f>CK$5*CS76</f>
        <v>0</v>
      </c>
      <c r="CL76" s="12">
        <f>CL$5*CS76</f>
        <v>0</v>
      </c>
      <c r="CM76" s="12">
        <f>CM$5*CS76</f>
        <v>0</v>
      </c>
      <c r="CN76" s="12">
        <f>CN$5*CS76</f>
        <v>0</v>
      </c>
      <c r="CO76" s="12">
        <f>CO$5*CS76</f>
        <v>0</v>
      </c>
      <c r="CP76" s="12">
        <f>CP$5*CS76</f>
        <v>0</v>
      </c>
      <c r="CR76" s="16" t="s">
        <v>1304</v>
      </c>
      <c r="CS76">
        <f>_xlfn.XLOOKUP(CR76,'KPI Impacts'!$B$2:$H$2,'KPI Impacts'!$B76:$H76)</f>
        <v>0</v>
      </c>
      <c r="CV76" s="12">
        <f>CV$5*DG76</f>
        <v>0</v>
      </c>
      <c r="CW76" s="12">
        <f>CW$5*DG76</f>
        <v>0</v>
      </c>
      <c r="CX76" s="12">
        <f>CX$5*DG76</f>
        <v>0</v>
      </c>
      <c r="CY76" s="12">
        <f>CY$5*DG76</f>
        <v>0</v>
      </c>
      <c r="CZ76" s="12">
        <f>CZ$5*DG76</f>
        <v>0</v>
      </c>
      <c r="DA76" s="12">
        <f>DA$5*DG76</f>
        <v>0</v>
      </c>
      <c r="DB76" s="12">
        <f>DB$5*DG76</f>
        <v>0</v>
      </c>
      <c r="DC76" s="12">
        <f>DC$5*DG76</f>
        <v>0</v>
      </c>
      <c r="DD76" s="12">
        <f>DD$5*DG76</f>
        <v>0</v>
      </c>
      <c r="DF76" t="s">
        <v>1304</v>
      </c>
      <c r="DG76">
        <f>_xlfn.XLOOKUP(DF76,'KPI Impacts'!$B$2:$H$2,'KPI Impacts'!$B76:$H76)</f>
        <v>0</v>
      </c>
      <c r="DJ76" s="12">
        <f>DJ$5*DU76</f>
        <v>0</v>
      </c>
      <c r="DK76" s="12">
        <f>DK$5*DU76</f>
        <v>0</v>
      </c>
      <c r="DL76" s="12">
        <f>DL$5*DU76</f>
        <v>0</v>
      </c>
      <c r="DM76" s="12">
        <f>DM$5*DU76</f>
        <v>0</v>
      </c>
      <c r="DN76" s="12">
        <f>DN$5*DU76</f>
        <v>0</v>
      </c>
      <c r="DO76" s="12">
        <f>DO$5*DU76</f>
        <v>0</v>
      </c>
      <c r="DP76" s="12">
        <f>DP$5*DU76</f>
        <v>0</v>
      </c>
      <c r="DQ76" s="12">
        <f>DQ$5*DU76</f>
        <v>0</v>
      </c>
      <c r="DR76" s="12">
        <f>DR$5*DU76</f>
        <v>0</v>
      </c>
      <c r="DT76" t="s">
        <v>1304</v>
      </c>
      <c r="DU76">
        <f>_xlfn.XLOOKUP(DT76,'KPI Impacts'!$B$2:$H$2,'KPI Impacts'!$B76:$H76)</f>
        <v>0</v>
      </c>
      <c r="DX76" s="12"/>
      <c r="DY76" s="12"/>
      <c r="DZ76" s="12"/>
      <c r="EA76" s="12"/>
      <c r="EB76" s="12"/>
      <c r="EC76" s="12"/>
      <c r="ED76" s="12"/>
      <c r="EE76" s="12"/>
      <c r="EF76" s="12"/>
    </row>
    <row r="77" spans="1:136" x14ac:dyDescent="0.2">
      <c r="A77" t="s">
        <v>54</v>
      </c>
      <c r="B77" s="19" t="s">
        <v>1319</v>
      </c>
      <c r="C77" s="19" t="s">
        <v>1319</v>
      </c>
      <c r="D77" s="19" t="s">
        <v>1319</v>
      </c>
      <c r="E77" s="19" t="s">
        <v>1319</v>
      </c>
      <c r="F77" s="19" t="s">
        <v>1319</v>
      </c>
      <c r="G77" s="19" t="s">
        <v>1319</v>
      </c>
      <c r="H77" s="19" t="s">
        <v>1319</v>
      </c>
      <c r="I77" s="19" t="s">
        <v>1319</v>
      </c>
      <c r="J77" s="19" t="s">
        <v>1319</v>
      </c>
      <c r="BB77" s="16"/>
      <c r="BP77" s="16"/>
      <c r="CD77" s="16"/>
      <c r="CR77" s="16"/>
      <c r="EA77" s="12"/>
      <c r="EB77" s="12"/>
    </row>
    <row r="78" spans="1:136" hidden="1" x14ac:dyDescent="0.2">
      <c r="BB78" s="16"/>
      <c r="BP78" s="16"/>
      <c r="CD78" s="16"/>
      <c r="CR78" s="16"/>
      <c r="EA78" s="12"/>
      <c r="EB78" s="12"/>
    </row>
    <row r="79" spans="1:136" hidden="1" x14ac:dyDescent="0.2">
      <c r="BB79" s="16"/>
      <c r="BP79" s="16"/>
      <c r="CD79" s="16"/>
      <c r="CR79" s="16"/>
      <c r="EA79" s="12"/>
      <c r="EB79" s="12"/>
    </row>
    <row r="80" spans="1:136" x14ac:dyDescent="0.2">
      <c r="BB80" s="16"/>
      <c r="BP80" s="16"/>
      <c r="CD80" s="16"/>
      <c r="CR80" s="16"/>
      <c r="EA80" s="12"/>
      <c r="EB80" s="12"/>
    </row>
    <row r="81" spans="1:136" x14ac:dyDescent="0.2">
      <c r="A81" s="5" t="s">
        <v>51</v>
      </c>
      <c r="BB81" s="16"/>
      <c r="BP81" s="16"/>
      <c r="CD81" s="16"/>
      <c r="CR81" s="16"/>
      <c r="EA81" s="12"/>
      <c r="EB81" s="12"/>
    </row>
    <row r="82" spans="1:136" x14ac:dyDescent="0.2">
      <c r="A82" s="17" t="s">
        <v>1313</v>
      </c>
      <c r="B82" s="19" t="s">
        <v>1319</v>
      </c>
      <c r="C82" s="19" t="s">
        <v>1319</v>
      </c>
      <c r="D82" s="19" t="s">
        <v>1319</v>
      </c>
      <c r="E82" s="19" t="s">
        <v>1319</v>
      </c>
      <c r="F82" s="19" t="s">
        <v>1319</v>
      </c>
      <c r="G82" s="19" t="s">
        <v>1319</v>
      </c>
      <c r="H82" s="19" t="s">
        <v>1319</v>
      </c>
      <c r="I82" s="19" t="s">
        <v>1319</v>
      </c>
      <c r="J82" s="19" t="s">
        <v>1319</v>
      </c>
      <c r="P82" s="12"/>
      <c r="Q82" s="12"/>
      <c r="R82" s="12"/>
      <c r="S82" s="12"/>
      <c r="T82" s="12"/>
      <c r="U82" s="12"/>
      <c r="V82" s="12"/>
      <c r="W82" s="12"/>
      <c r="X82" s="12"/>
      <c r="AD82" s="12"/>
      <c r="AE82" s="12"/>
      <c r="AF82" s="12"/>
      <c r="AG82" s="12"/>
      <c r="AH82" s="12"/>
      <c r="AI82" s="12"/>
      <c r="AJ82" s="12"/>
      <c r="AK82" s="12"/>
      <c r="AL82" s="12"/>
      <c r="AR82" s="12"/>
      <c r="AS82" s="12"/>
      <c r="AT82" s="12"/>
      <c r="AU82" s="12"/>
      <c r="AV82" s="12"/>
      <c r="AW82" s="12"/>
      <c r="AX82" s="12"/>
      <c r="AY82" s="12"/>
      <c r="AZ82" s="12"/>
      <c r="BB82" s="16"/>
      <c r="BF82" s="12"/>
      <c r="BG82" s="12"/>
      <c r="BH82" s="12"/>
      <c r="BI82" s="12"/>
      <c r="BJ82" s="12"/>
      <c r="BK82" s="12"/>
      <c r="BL82" s="12"/>
      <c r="BM82" s="12"/>
      <c r="BN82" s="12"/>
      <c r="BP82" s="16"/>
      <c r="BT82" s="12"/>
      <c r="BU82" s="12"/>
      <c r="BV82" s="12"/>
      <c r="BW82" s="12"/>
      <c r="BX82" s="12"/>
      <c r="BY82" s="12"/>
      <c r="BZ82" s="12"/>
      <c r="CA82" s="12"/>
      <c r="CB82" s="12"/>
      <c r="CD82" s="16"/>
      <c r="CH82" s="12"/>
      <c r="CI82" s="12"/>
      <c r="CJ82" s="12"/>
      <c r="CK82" s="12"/>
      <c r="CL82" s="12"/>
      <c r="CM82" s="12"/>
      <c r="CN82" s="12"/>
      <c r="CO82" s="12"/>
      <c r="CP82" s="12"/>
      <c r="CR82" s="16"/>
      <c r="CV82" s="12"/>
      <c r="CW82" s="12"/>
      <c r="CX82" s="12"/>
      <c r="CY82" s="12"/>
      <c r="CZ82" s="12"/>
      <c r="DA82" s="12"/>
      <c r="DB82" s="12"/>
      <c r="DC82" s="12"/>
      <c r="DD82" s="12"/>
      <c r="DJ82" s="12"/>
      <c r="DK82" s="12"/>
      <c r="DL82" s="12"/>
      <c r="DM82" s="12"/>
      <c r="DN82" s="12"/>
      <c r="DO82" s="12"/>
      <c r="DP82" s="12"/>
      <c r="DQ82" s="12"/>
      <c r="DR82" s="12"/>
      <c r="DX82" s="12"/>
      <c r="DY82" s="12"/>
      <c r="DZ82" s="12"/>
      <c r="EA82" s="12"/>
      <c r="EB82" s="12"/>
      <c r="EC82" s="12"/>
      <c r="ED82" s="12"/>
      <c r="EE82" s="12"/>
      <c r="EF82" s="12"/>
    </row>
    <row r="83" spans="1:136" x14ac:dyDescent="0.2">
      <c r="A83" s="17" t="s">
        <v>1314</v>
      </c>
      <c r="B83" s="19" t="s">
        <v>1319</v>
      </c>
      <c r="C83" s="19" t="s">
        <v>1319</v>
      </c>
      <c r="D83" s="19" t="s">
        <v>1319</v>
      </c>
      <c r="E83" s="19" t="s">
        <v>1319</v>
      </c>
      <c r="F83" s="19" t="s">
        <v>1319</v>
      </c>
      <c r="G83" s="19" t="s">
        <v>1319</v>
      </c>
      <c r="H83" s="19" t="s">
        <v>1319</v>
      </c>
      <c r="I83" s="19" t="s">
        <v>1319</v>
      </c>
      <c r="J83" s="19" t="s">
        <v>1319</v>
      </c>
      <c r="P83" s="12"/>
      <c r="Q83" s="12"/>
      <c r="R83" s="12"/>
      <c r="S83" s="12"/>
      <c r="T83" s="12"/>
      <c r="U83" s="12"/>
      <c r="V83" s="12"/>
      <c r="W83" s="12"/>
      <c r="X83" s="12"/>
      <c r="AD83" s="12"/>
      <c r="AE83" s="12"/>
      <c r="AF83" s="12"/>
      <c r="AG83" s="12"/>
      <c r="AH83" s="12"/>
      <c r="AI83" s="12"/>
      <c r="AJ83" s="12"/>
      <c r="AK83" s="12"/>
      <c r="AL83" s="12"/>
      <c r="AR83" s="12"/>
      <c r="AS83" s="12"/>
      <c r="AT83" s="12"/>
      <c r="AU83" s="12"/>
      <c r="AV83" s="12"/>
      <c r="AW83" s="12"/>
      <c r="AX83" s="12"/>
      <c r="AY83" s="12"/>
      <c r="AZ83" s="12"/>
      <c r="BB83" s="16"/>
      <c r="BF83" s="12"/>
      <c r="BG83" s="12"/>
      <c r="BH83" s="12"/>
      <c r="BI83" s="12"/>
      <c r="BJ83" s="12"/>
      <c r="BK83" s="12"/>
      <c r="BL83" s="12"/>
      <c r="BM83" s="12"/>
      <c r="BN83" s="12"/>
      <c r="BP83" s="16"/>
      <c r="BT83" s="12"/>
      <c r="BU83" s="12"/>
      <c r="BV83" s="12"/>
      <c r="BW83" s="12"/>
      <c r="BX83" s="12"/>
      <c r="BY83" s="12"/>
      <c r="BZ83" s="12"/>
      <c r="CA83" s="12"/>
      <c r="CB83" s="12"/>
      <c r="CD83" s="16"/>
      <c r="CH83" s="12"/>
      <c r="CI83" s="12"/>
      <c r="CJ83" s="12"/>
      <c r="CK83" s="12"/>
      <c r="CL83" s="12"/>
      <c r="CM83" s="12"/>
      <c r="CN83" s="12"/>
      <c r="CO83" s="12"/>
      <c r="CP83" s="12"/>
      <c r="CR83" s="16"/>
      <c r="CV83" s="12"/>
      <c r="CW83" s="12"/>
      <c r="CX83" s="12"/>
      <c r="CY83" s="12"/>
      <c r="CZ83" s="12"/>
      <c r="DA83" s="12"/>
      <c r="DB83" s="12"/>
      <c r="DC83" s="12"/>
      <c r="DD83" s="12"/>
      <c r="DJ83" s="12"/>
      <c r="DK83" s="12"/>
      <c r="DL83" s="12"/>
      <c r="DM83" s="12"/>
      <c r="DN83" s="12"/>
      <c r="DO83" s="12"/>
      <c r="DP83" s="12"/>
      <c r="DQ83" s="12"/>
      <c r="DR83" s="12"/>
      <c r="DX83" s="12"/>
      <c r="DY83" s="12"/>
      <c r="DZ83" s="12"/>
      <c r="EA83" s="12"/>
      <c r="EB83" s="12"/>
      <c r="EC83" s="12"/>
      <c r="ED83" s="12"/>
      <c r="EE83" s="12"/>
      <c r="EF83" s="12"/>
    </row>
    <row r="84" spans="1:136" x14ac:dyDescent="0.2">
      <c r="A84" s="17" t="s">
        <v>1725</v>
      </c>
      <c r="B84" s="12">
        <f t="shared" ref="B84:J86" si="133">P84+AD84+AR84+BF84+BT84+CH84+CV84+DJ84</f>
        <v>0</v>
      </c>
      <c r="C84" s="12">
        <f t="shared" si="133"/>
        <v>0</v>
      </c>
      <c r="D84" s="12">
        <f t="shared" si="133"/>
        <v>0</v>
      </c>
      <c r="E84" s="12">
        <f t="shared" si="133"/>
        <v>0</v>
      </c>
      <c r="F84" s="12">
        <f t="shared" si="133"/>
        <v>0</v>
      </c>
      <c r="G84" s="12">
        <f t="shared" si="133"/>
        <v>0</v>
      </c>
      <c r="H84" s="12">
        <f t="shared" si="133"/>
        <v>0</v>
      </c>
      <c r="I84" s="12">
        <f t="shared" si="133"/>
        <v>0</v>
      </c>
      <c r="J84" s="12">
        <f t="shared" si="133"/>
        <v>0</v>
      </c>
      <c r="P84" s="12">
        <f>P$5*AA84</f>
        <v>0</v>
      </c>
      <c r="Q84" s="12">
        <f>Q$5*AA84</f>
        <v>0</v>
      </c>
      <c r="R84" s="12">
        <f>R$5*AA84</f>
        <v>0</v>
      </c>
      <c r="S84" s="12">
        <f>S$5*AA84</f>
        <v>0</v>
      </c>
      <c r="T84" s="12">
        <f>T$5*AA84</f>
        <v>0</v>
      </c>
      <c r="U84" s="12">
        <f>U$5*AA84</f>
        <v>0</v>
      </c>
      <c r="V84" s="12">
        <f>V$5*AA84</f>
        <v>0</v>
      </c>
      <c r="W84" s="12">
        <f>W$5*AA84</f>
        <v>0</v>
      </c>
      <c r="X84" s="12">
        <f>X$5*AA84</f>
        <v>0</v>
      </c>
      <c r="Z84" t="s">
        <v>1306</v>
      </c>
      <c r="AA84">
        <f>_xlfn.XLOOKUP(Z84,'KPI Impacts'!$B$2:$H$2,'KPI Impacts'!$B84:$H84)</f>
        <v>-3.2</v>
      </c>
      <c r="AD84" s="12">
        <f>AD$5*AO84</f>
        <v>0</v>
      </c>
      <c r="AE84" s="12">
        <f>AE$5*AO84</f>
        <v>0</v>
      </c>
      <c r="AF84" s="12">
        <f>AF$5*AO84</f>
        <v>0</v>
      </c>
      <c r="AG84" s="12">
        <f>AG$5*AO84</f>
        <v>0</v>
      </c>
      <c r="AH84" s="12">
        <f>AH$5*AO84</f>
        <v>0</v>
      </c>
      <c r="AI84" s="12">
        <f>AI$5*AO84</f>
        <v>0</v>
      </c>
      <c r="AJ84" s="12">
        <f>AJ$5*AO84</f>
        <v>0</v>
      </c>
      <c r="AK84" s="12">
        <f>AK$5*AO84</f>
        <v>0</v>
      </c>
      <c r="AL84" s="12">
        <f>AL$5*AO84</f>
        <v>0</v>
      </c>
      <c r="AN84" t="s">
        <v>1304</v>
      </c>
      <c r="AO84">
        <f>_xlfn.XLOOKUP(AN84,'KPI Impacts'!$B$2:$H$2,'KPI Impacts'!$B84:$H84)</f>
        <v>0</v>
      </c>
      <c r="AR84" s="12">
        <f>AR$5*BC84</f>
        <v>0</v>
      </c>
      <c r="AS84" s="12">
        <f>AS$5*BC84</f>
        <v>0</v>
      </c>
      <c r="AT84" s="12">
        <f>AT$5*BC84</f>
        <v>0</v>
      </c>
      <c r="AU84" s="12">
        <f>AU$5*BC84</f>
        <v>0</v>
      </c>
      <c r="AV84" s="12">
        <f>AV$5*BC84</f>
        <v>0</v>
      </c>
      <c r="AW84" s="12">
        <f>AW$5*BC84</f>
        <v>0</v>
      </c>
      <c r="AX84" s="12">
        <f>AX$5*BC84</f>
        <v>0</v>
      </c>
      <c r="AY84" s="12">
        <f>AY$5*BC84</f>
        <v>0</v>
      </c>
      <c r="AZ84" s="12">
        <f>AZ$5*BC84</f>
        <v>0</v>
      </c>
      <c r="BB84" s="29" t="s">
        <v>1305</v>
      </c>
      <c r="BC84">
        <f>_xlfn.XLOOKUP(BB84,'KPI Impacts'!$B$2:$H$2,'KPI Impacts'!$B84:$H84)</f>
        <v>-0.8</v>
      </c>
      <c r="BF84" s="12">
        <f>BF$5*BQ84</f>
        <v>0</v>
      </c>
      <c r="BG84" s="12">
        <f>BG$5*BQ84</f>
        <v>0</v>
      </c>
      <c r="BH84" s="12">
        <f>BH$5*BQ84</f>
        <v>0</v>
      </c>
      <c r="BI84" s="12">
        <f>BI$5*BQ84</f>
        <v>0</v>
      </c>
      <c r="BJ84" s="12">
        <f>BJ$5*BQ84</f>
        <v>0</v>
      </c>
      <c r="BK84" s="12">
        <f>BK$5*BQ84</f>
        <v>0</v>
      </c>
      <c r="BL84" s="12">
        <f>BL$5*BQ84</f>
        <v>0</v>
      </c>
      <c r="BM84" s="12">
        <f>BM$5*BQ84</f>
        <v>0</v>
      </c>
      <c r="BN84" s="12">
        <f>BN$5*BQ84</f>
        <v>0</v>
      </c>
      <c r="BP84" s="16" t="s">
        <v>1304</v>
      </c>
      <c r="BQ84">
        <f>_xlfn.XLOOKUP(BP84,'KPI Impacts'!$B$2:$H$2,'KPI Impacts'!$B84:$H84)</f>
        <v>0</v>
      </c>
      <c r="BT84" s="12">
        <f>BT$5*CE84</f>
        <v>0</v>
      </c>
      <c r="BU84" s="12">
        <f>BU$5*CE84</f>
        <v>0</v>
      </c>
      <c r="BV84" s="12">
        <f>BV$5*CE84</f>
        <v>0</v>
      </c>
      <c r="BW84" s="12">
        <f>BW$5*CE84</f>
        <v>0</v>
      </c>
      <c r="BX84" s="12">
        <f>BX$5*CE84</f>
        <v>0</v>
      </c>
      <c r="BY84" s="12">
        <f>BY$5*CE84</f>
        <v>0</v>
      </c>
      <c r="BZ84" s="12">
        <f>BZ$5*CE84</f>
        <v>0</v>
      </c>
      <c r="CA84" s="12">
        <f>CA$5*CE84</f>
        <v>0</v>
      </c>
      <c r="CB84" s="12">
        <f>CB$5*CE84</f>
        <v>0</v>
      </c>
      <c r="CD84" s="16" t="s">
        <v>1304</v>
      </c>
      <c r="CE84">
        <f>_xlfn.XLOOKUP(CD84,'KPI Impacts'!$B$2:$H$2,'KPI Impacts'!$B84:$H84)</f>
        <v>0</v>
      </c>
      <c r="CH84" s="12">
        <f>CH$5*CS84</f>
        <v>0</v>
      </c>
      <c r="CI84" s="12">
        <f>CI$5*CS84</f>
        <v>0</v>
      </c>
      <c r="CJ84" s="12">
        <f>CJ$5*CS84</f>
        <v>0</v>
      </c>
      <c r="CK84" s="12">
        <f>CK$5*CS84</f>
        <v>0</v>
      </c>
      <c r="CL84" s="12">
        <f>CL$5*CS84</f>
        <v>0</v>
      </c>
      <c r="CM84" s="12">
        <f>CM$5*CS84</f>
        <v>0</v>
      </c>
      <c r="CN84" s="12">
        <f>CN$5*CS84</f>
        <v>0</v>
      </c>
      <c r="CO84" s="12">
        <f>CO$5*CS84</f>
        <v>0</v>
      </c>
      <c r="CP84" s="12">
        <f>CP$5*CS84</f>
        <v>0</v>
      </c>
      <c r="CR84" s="16" t="s">
        <v>1304</v>
      </c>
      <c r="CS84">
        <f>_xlfn.XLOOKUP(CR84,'KPI Impacts'!$B$2:$H$2,'KPI Impacts'!$B84:$H84)</f>
        <v>0</v>
      </c>
      <c r="CV84" s="12">
        <f>CV$5*DG84</f>
        <v>0</v>
      </c>
      <c r="CW84" s="12">
        <f>CW$5*DG84</f>
        <v>0</v>
      </c>
      <c r="CX84" s="12">
        <f>CX$5*DG84</f>
        <v>0</v>
      </c>
      <c r="CY84" s="12">
        <f>CY$5*DG84</f>
        <v>0</v>
      </c>
      <c r="CZ84" s="12">
        <f>CZ$5*DG84</f>
        <v>0</v>
      </c>
      <c r="DA84" s="12">
        <f>DA$5*DG84</f>
        <v>0</v>
      </c>
      <c r="DB84" s="12">
        <f>DB$5*DG84</f>
        <v>0</v>
      </c>
      <c r="DC84" s="12">
        <f>DC$5*DG84</f>
        <v>0</v>
      </c>
      <c r="DD84" s="12">
        <f>DD$5*DG84</f>
        <v>0</v>
      </c>
      <c r="DF84" t="s">
        <v>1304</v>
      </c>
      <c r="DG84">
        <f>_xlfn.XLOOKUP(DF84,'KPI Impacts'!$B$2:$H$2,'KPI Impacts'!$B84:$H84)</f>
        <v>0</v>
      </c>
      <c r="DJ84" s="12">
        <f>DJ$5*DU84</f>
        <v>0</v>
      </c>
      <c r="DK84" s="12">
        <f>DK$5*DU84</f>
        <v>0</v>
      </c>
      <c r="DL84" s="12">
        <f>DL$5*DU84</f>
        <v>0</v>
      </c>
      <c r="DM84" s="12">
        <f>DM$5*DU84</f>
        <v>0</v>
      </c>
      <c r="DN84" s="12">
        <f>DN$5*DU84</f>
        <v>0</v>
      </c>
      <c r="DO84" s="12">
        <f>DO$5*DU84</f>
        <v>0</v>
      </c>
      <c r="DP84" s="12">
        <f>DP$5*DU84</f>
        <v>0</v>
      </c>
      <c r="DQ84" s="12">
        <f>DQ$5*DU84</f>
        <v>0</v>
      </c>
      <c r="DR84" s="12">
        <f>DR$5*DU84</f>
        <v>0</v>
      </c>
      <c r="DT84" t="s">
        <v>1304</v>
      </c>
      <c r="DU84">
        <f>_xlfn.XLOOKUP(DT84,'KPI Impacts'!$B$2:$H$2,'KPI Impacts'!$B84:$H84)</f>
        <v>0</v>
      </c>
      <c r="EA84" s="12"/>
      <c r="EB84" s="12"/>
    </row>
    <row r="85" spans="1:136" x14ac:dyDescent="0.2">
      <c r="A85" s="9" t="s">
        <v>1315</v>
      </c>
      <c r="B85" s="12">
        <f t="shared" si="133"/>
        <v>0</v>
      </c>
      <c r="C85" s="12">
        <f t="shared" si="133"/>
        <v>0</v>
      </c>
      <c r="D85" s="12">
        <f t="shared" si="133"/>
        <v>0</v>
      </c>
      <c r="E85" s="12">
        <f t="shared" si="133"/>
        <v>0</v>
      </c>
      <c r="F85" s="12">
        <f t="shared" si="133"/>
        <v>0</v>
      </c>
      <c r="G85" s="12">
        <f t="shared" si="133"/>
        <v>0</v>
      </c>
      <c r="H85" s="12">
        <f t="shared" si="133"/>
        <v>0</v>
      </c>
      <c r="I85" s="12">
        <f t="shared" si="133"/>
        <v>0</v>
      </c>
      <c r="J85" s="12">
        <f t="shared" si="133"/>
        <v>0</v>
      </c>
      <c r="P85" s="12">
        <f>P$5*AA85</f>
        <v>0</v>
      </c>
      <c r="Q85" s="12">
        <f>Q$5*AA85</f>
        <v>0</v>
      </c>
      <c r="R85" s="12">
        <f>R$5*AA85</f>
        <v>0</v>
      </c>
      <c r="S85" s="12">
        <f>S$5*AA85</f>
        <v>0</v>
      </c>
      <c r="T85" s="12">
        <f>T$5*AA85</f>
        <v>0</v>
      </c>
      <c r="U85" s="12">
        <f>U$5*AA85</f>
        <v>0</v>
      </c>
      <c r="V85" s="12">
        <f>V$5*AA85</f>
        <v>0</v>
      </c>
      <c r="W85" s="12">
        <f>W$5*AA85</f>
        <v>0</v>
      </c>
      <c r="X85" s="12">
        <f>X$5*AA85</f>
        <v>0</v>
      </c>
      <c r="Z85" t="s">
        <v>1304</v>
      </c>
      <c r="AA85">
        <f>_xlfn.XLOOKUP(Z85,'KPI Impacts'!$B$2:$H$2,'KPI Impacts'!$B85:$H85)</f>
        <v>0</v>
      </c>
      <c r="AD85" s="12">
        <f>AD$5*AO85</f>
        <v>0</v>
      </c>
      <c r="AE85" s="12">
        <f>AE$5*AO85</f>
        <v>0</v>
      </c>
      <c r="AF85" s="12">
        <f>AF$5*AO85</f>
        <v>0</v>
      </c>
      <c r="AG85" s="12">
        <f>AG$5*AO85</f>
        <v>0</v>
      </c>
      <c r="AH85" s="12">
        <f>AH$5*AO85</f>
        <v>0</v>
      </c>
      <c r="AI85" s="12">
        <f>AI$5*AO85</f>
        <v>0</v>
      </c>
      <c r="AJ85" s="12">
        <f>AJ$5*AO85</f>
        <v>0</v>
      </c>
      <c r="AK85" s="12">
        <f>AK$5*AO85</f>
        <v>0</v>
      </c>
      <c r="AL85" s="12">
        <f>AL$5*AO85</f>
        <v>0</v>
      </c>
      <c r="AN85" t="s">
        <v>1304</v>
      </c>
      <c r="AO85">
        <f>_xlfn.XLOOKUP(AN85,'KPI Impacts'!$B$2:$H$2,'KPI Impacts'!$B85:$H85)</f>
        <v>0</v>
      </c>
      <c r="AR85" s="12">
        <f>AR$5*BC85</f>
        <v>0</v>
      </c>
      <c r="AS85" s="12">
        <f>AS$5*BC85</f>
        <v>0</v>
      </c>
      <c r="AT85" s="12">
        <f>AT$5*BC85</f>
        <v>0</v>
      </c>
      <c r="AU85" s="12">
        <f>AU$5*BC85</f>
        <v>0</v>
      </c>
      <c r="AV85" s="12">
        <f>AV$5*BC85</f>
        <v>0</v>
      </c>
      <c r="AW85" s="12">
        <f>AW$5*BC85</f>
        <v>0</v>
      </c>
      <c r="AX85" s="12">
        <f>AX$5*BC85</f>
        <v>0</v>
      </c>
      <c r="AY85" s="12">
        <f>AY$5*BC85</f>
        <v>0</v>
      </c>
      <c r="AZ85" s="12">
        <f>AZ$5*BC85</f>
        <v>0</v>
      </c>
      <c r="BB85" s="16" t="s">
        <v>1304</v>
      </c>
      <c r="BC85">
        <f>_xlfn.XLOOKUP(BB85,'KPI Impacts'!$B$2:$H$2,'KPI Impacts'!$B85:$H85)</f>
        <v>0</v>
      </c>
      <c r="BF85" s="12">
        <f>BF$5*BQ85</f>
        <v>0</v>
      </c>
      <c r="BG85" s="12">
        <f>BG$5*BQ85</f>
        <v>0</v>
      </c>
      <c r="BH85" s="12">
        <f>BH$5*BQ85</f>
        <v>0</v>
      </c>
      <c r="BI85" s="12">
        <f>BI$5*BQ85</f>
        <v>0</v>
      </c>
      <c r="BJ85" s="12">
        <f>BJ$5*BQ85</f>
        <v>0</v>
      </c>
      <c r="BK85" s="12">
        <f>BK$5*BQ85</f>
        <v>0</v>
      </c>
      <c r="BL85" s="12">
        <f>BL$5*BQ85</f>
        <v>0</v>
      </c>
      <c r="BM85" s="12">
        <f>BM$5*BQ85</f>
        <v>0</v>
      </c>
      <c r="BN85" s="12">
        <f>BN$5*BQ85</f>
        <v>0</v>
      </c>
      <c r="BP85" s="16" t="s">
        <v>1304</v>
      </c>
      <c r="BQ85">
        <f>_xlfn.XLOOKUP(BP85,'KPI Impacts'!$B$2:$H$2,'KPI Impacts'!$B85:$H85)</f>
        <v>0</v>
      </c>
      <c r="BT85" s="12">
        <f>BT$5*CE85</f>
        <v>0</v>
      </c>
      <c r="BU85" s="12">
        <f>BU$5*CE85</f>
        <v>0</v>
      </c>
      <c r="BV85" s="12">
        <f>BV$5*CE85</f>
        <v>0</v>
      </c>
      <c r="BW85" s="12">
        <f>BW$5*CE85</f>
        <v>0</v>
      </c>
      <c r="BX85" s="12">
        <f>BX$5*CE85</f>
        <v>0</v>
      </c>
      <c r="BY85" s="12">
        <f>BY$5*CE85</f>
        <v>0</v>
      </c>
      <c r="BZ85" s="12">
        <f>BZ$5*CE85</f>
        <v>0</v>
      </c>
      <c r="CA85" s="12">
        <f>CA$5*CE85</f>
        <v>0</v>
      </c>
      <c r="CB85" s="12">
        <f>CB$5*CE85</f>
        <v>0</v>
      </c>
      <c r="CD85" s="16" t="s">
        <v>1304</v>
      </c>
      <c r="CE85">
        <f>_xlfn.XLOOKUP(CD85,'KPI Impacts'!$B$2:$H$2,'KPI Impacts'!$B85:$H85)</f>
        <v>0</v>
      </c>
      <c r="CH85" s="12">
        <f>CH$5*CS85</f>
        <v>0</v>
      </c>
      <c r="CI85" s="12">
        <f>CI$5*CS85</f>
        <v>0</v>
      </c>
      <c r="CJ85" s="12">
        <f>CJ$5*CS85</f>
        <v>0</v>
      </c>
      <c r="CK85" s="12">
        <f>CK$5*CS85</f>
        <v>0</v>
      </c>
      <c r="CL85" s="12">
        <f>CL$5*CS85</f>
        <v>0</v>
      </c>
      <c r="CM85" s="12">
        <f>CM$5*CS85</f>
        <v>0</v>
      </c>
      <c r="CN85" s="12">
        <f>CN$5*CS85</f>
        <v>0</v>
      </c>
      <c r="CO85" s="12">
        <f>CO$5*CS85</f>
        <v>0</v>
      </c>
      <c r="CP85" s="12">
        <f>CP$5*CS85</f>
        <v>0</v>
      </c>
      <c r="CR85" s="16" t="s">
        <v>1304</v>
      </c>
      <c r="CS85">
        <f>_xlfn.XLOOKUP(CR85,'KPI Impacts'!$B$2:$H$2,'KPI Impacts'!$B85:$H85)</f>
        <v>0</v>
      </c>
      <c r="CV85" s="12">
        <f>CV$5*DG85</f>
        <v>0</v>
      </c>
      <c r="CW85" s="12">
        <f>CW$5*DG85</f>
        <v>0</v>
      </c>
      <c r="CX85" s="12">
        <f>CX$5*DG85</f>
        <v>0</v>
      </c>
      <c r="CY85" s="12">
        <f>CY$5*DG85</f>
        <v>0</v>
      </c>
      <c r="CZ85" s="12">
        <f>CZ$5*DG85</f>
        <v>0</v>
      </c>
      <c r="DA85" s="12">
        <f>DA$5*DG85</f>
        <v>0</v>
      </c>
      <c r="DB85" s="12">
        <f>DB$5*DG85</f>
        <v>0</v>
      </c>
      <c r="DC85" s="12">
        <f>DC$5*DG85</f>
        <v>0</v>
      </c>
      <c r="DD85" s="12">
        <f>DD$5*DG85</f>
        <v>0</v>
      </c>
      <c r="DF85" t="s">
        <v>1304</v>
      </c>
      <c r="DG85">
        <f>_xlfn.XLOOKUP(DF85,'KPI Impacts'!$B$2:$H$2,'KPI Impacts'!$B85:$H85)</f>
        <v>0</v>
      </c>
      <c r="DJ85" s="12">
        <f>DJ$5*DU85</f>
        <v>0</v>
      </c>
      <c r="DK85" s="12">
        <f>DK$5*DU85</f>
        <v>0</v>
      </c>
      <c r="DL85" s="12">
        <f>DL$5*DU85</f>
        <v>0</v>
      </c>
      <c r="DM85" s="12">
        <f>DM$5*DU85</f>
        <v>0</v>
      </c>
      <c r="DN85" s="12">
        <f>DN$5*DU85</f>
        <v>0</v>
      </c>
      <c r="DO85" s="12">
        <f>DO$5*DU85</f>
        <v>0</v>
      </c>
      <c r="DP85" s="12">
        <f>DP$5*DU85</f>
        <v>0</v>
      </c>
      <c r="DQ85" s="12">
        <f>DQ$5*DU85</f>
        <v>0</v>
      </c>
      <c r="DR85" s="12">
        <f>DR$5*DU85</f>
        <v>0</v>
      </c>
      <c r="DT85" t="s">
        <v>1304</v>
      </c>
      <c r="DU85">
        <f>_xlfn.XLOOKUP(DT85,'KPI Impacts'!$B$2:$H$2,'KPI Impacts'!$B85:$H85)</f>
        <v>0</v>
      </c>
      <c r="DX85" s="12"/>
      <c r="DY85" s="12"/>
      <c r="DZ85" s="12"/>
      <c r="EA85" s="12"/>
      <c r="EB85" s="12"/>
      <c r="EC85" s="12"/>
      <c r="ED85" s="12"/>
      <c r="EE85" s="12"/>
      <c r="EF85" s="12"/>
    </row>
    <row r="86" spans="1:136" x14ac:dyDescent="0.2">
      <c r="A86" s="9" t="s">
        <v>1316</v>
      </c>
      <c r="B86" s="12">
        <f t="shared" si="133"/>
        <v>0</v>
      </c>
      <c r="C86" s="12">
        <f t="shared" si="133"/>
        <v>0</v>
      </c>
      <c r="D86" s="12">
        <f t="shared" si="133"/>
        <v>0</v>
      </c>
      <c r="E86" s="12">
        <f t="shared" si="133"/>
        <v>0</v>
      </c>
      <c r="F86" s="12">
        <f t="shared" si="133"/>
        <v>0</v>
      </c>
      <c r="G86" s="12">
        <f t="shared" si="133"/>
        <v>0</v>
      </c>
      <c r="H86" s="12">
        <f t="shared" si="133"/>
        <v>0</v>
      </c>
      <c r="I86" s="12">
        <f t="shared" si="133"/>
        <v>0</v>
      </c>
      <c r="J86" s="12">
        <f t="shared" si="133"/>
        <v>0</v>
      </c>
      <c r="P86" s="12">
        <f>P$5*AA86</f>
        <v>0</v>
      </c>
      <c r="Q86" s="12">
        <f>Q$5*AA86</f>
        <v>0</v>
      </c>
      <c r="R86" s="12">
        <f>R$5*AA86</f>
        <v>0</v>
      </c>
      <c r="S86" s="12">
        <f>S$5*AA86</f>
        <v>0</v>
      </c>
      <c r="T86" s="12">
        <f>T$5*AA86</f>
        <v>0</v>
      </c>
      <c r="U86" s="12">
        <f>U$5*AA86</f>
        <v>0</v>
      </c>
      <c r="V86" s="12">
        <f>V$5*AA86</f>
        <v>0</v>
      </c>
      <c r="W86" s="12">
        <f>W$5*AA86</f>
        <v>0</v>
      </c>
      <c r="X86" s="12">
        <f>X$5*AA86</f>
        <v>0</v>
      </c>
      <c r="Z86" t="s">
        <v>1304</v>
      </c>
      <c r="AA86">
        <f>_xlfn.XLOOKUP(Z86,'KPI Impacts'!$B$2:$H$2,'KPI Impacts'!$B86:$H86)</f>
        <v>0</v>
      </c>
      <c r="AD86" s="12">
        <f>AD$5*AO86</f>
        <v>0</v>
      </c>
      <c r="AE86" s="12">
        <f>AE$5*AO86</f>
        <v>0</v>
      </c>
      <c r="AF86" s="12">
        <f>AF$5*AO86</f>
        <v>0</v>
      </c>
      <c r="AG86" s="12">
        <f>AG$5*AO86</f>
        <v>0</v>
      </c>
      <c r="AH86" s="12">
        <f>AH$5*AO86</f>
        <v>0</v>
      </c>
      <c r="AI86" s="12">
        <f>AI$5*AO86</f>
        <v>0</v>
      </c>
      <c r="AJ86" s="12">
        <f>AJ$5*AO86</f>
        <v>0</v>
      </c>
      <c r="AK86" s="12">
        <f>AK$5*AO86</f>
        <v>0</v>
      </c>
      <c r="AL86" s="12">
        <f>AL$5*AO86</f>
        <v>0</v>
      </c>
      <c r="AN86" t="s">
        <v>1304</v>
      </c>
      <c r="AO86">
        <f>_xlfn.XLOOKUP(AN86,'KPI Impacts'!$B$2:$H$2,'KPI Impacts'!$B86:$H86)</f>
        <v>0</v>
      </c>
      <c r="AR86" s="12">
        <f>AR$5*BC86</f>
        <v>0</v>
      </c>
      <c r="AS86" s="12">
        <f>AS$5*BC86</f>
        <v>0</v>
      </c>
      <c r="AT86" s="12">
        <f>AT$5*BC86</f>
        <v>0</v>
      </c>
      <c r="AU86" s="12">
        <f>AU$5*BC86</f>
        <v>0</v>
      </c>
      <c r="AV86" s="12">
        <f>AV$5*BC86</f>
        <v>0</v>
      </c>
      <c r="AW86" s="12">
        <f>AW$5*BC86</f>
        <v>0</v>
      </c>
      <c r="AX86" s="12">
        <f>AX$5*BC86</f>
        <v>0</v>
      </c>
      <c r="AY86" s="12">
        <f>AY$5*BC86</f>
        <v>0</v>
      </c>
      <c r="AZ86" s="12">
        <f>AZ$5*BC86</f>
        <v>0</v>
      </c>
      <c r="BB86" s="16" t="s">
        <v>1304</v>
      </c>
      <c r="BC86">
        <f>_xlfn.XLOOKUP(BB86,'KPI Impacts'!$B$2:$H$2,'KPI Impacts'!$B86:$H86)</f>
        <v>0</v>
      </c>
      <c r="BF86" s="12">
        <f>BF$5*BQ86</f>
        <v>0</v>
      </c>
      <c r="BG86" s="12">
        <f>BG$5*BQ86</f>
        <v>0</v>
      </c>
      <c r="BH86" s="12">
        <f>BH$5*BQ86</f>
        <v>0</v>
      </c>
      <c r="BI86" s="12">
        <f>BI$5*BQ86</f>
        <v>0</v>
      </c>
      <c r="BJ86" s="12">
        <f>BJ$5*BQ86</f>
        <v>0</v>
      </c>
      <c r="BK86" s="12">
        <f>BK$5*BQ86</f>
        <v>0</v>
      </c>
      <c r="BL86" s="12">
        <f>BL$5*BQ86</f>
        <v>0</v>
      </c>
      <c r="BM86" s="12">
        <f>BM$5*BQ86</f>
        <v>0</v>
      </c>
      <c r="BN86" s="12">
        <f>BN$5*BQ86</f>
        <v>0</v>
      </c>
      <c r="BP86" s="16" t="s">
        <v>1304</v>
      </c>
      <c r="BQ86">
        <f>_xlfn.XLOOKUP(BP86,'KPI Impacts'!$B$2:$H$2,'KPI Impacts'!$B86:$H86)</f>
        <v>0</v>
      </c>
      <c r="BT86" s="12">
        <f>BT$5*CE86</f>
        <v>0</v>
      </c>
      <c r="BU86" s="12">
        <f>BU$5*CE86</f>
        <v>0</v>
      </c>
      <c r="BV86" s="12">
        <f>BV$5*CE86</f>
        <v>0</v>
      </c>
      <c r="BW86" s="12">
        <f>BW$5*CE86</f>
        <v>0</v>
      </c>
      <c r="BX86" s="12">
        <f>BX$5*CE86</f>
        <v>0</v>
      </c>
      <c r="BY86" s="12">
        <f>BY$5*CE86</f>
        <v>0</v>
      </c>
      <c r="BZ86" s="12">
        <f>BZ$5*CE86</f>
        <v>0</v>
      </c>
      <c r="CA86" s="12">
        <f>CA$5*CE86</f>
        <v>0</v>
      </c>
      <c r="CB86" s="12">
        <f>CB$5*CE86</f>
        <v>0</v>
      </c>
      <c r="CD86" s="16" t="s">
        <v>1304</v>
      </c>
      <c r="CE86">
        <f>_xlfn.XLOOKUP(CD86,'KPI Impacts'!$B$2:$H$2,'KPI Impacts'!$B86:$H86)</f>
        <v>0</v>
      </c>
      <c r="CH86" s="12">
        <f>CH$5*CS86</f>
        <v>0</v>
      </c>
      <c r="CI86" s="12">
        <f>CI$5*CS86</f>
        <v>0</v>
      </c>
      <c r="CJ86" s="12">
        <f>CJ$5*CS86</f>
        <v>0</v>
      </c>
      <c r="CK86" s="12">
        <f>CK$5*CS86</f>
        <v>0</v>
      </c>
      <c r="CL86" s="12">
        <f>CL$5*CS86</f>
        <v>0</v>
      </c>
      <c r="CM86" s="12">
        <f>CM$5*CS86</f>
        <v>0</v>
      </c>
      <c r="CN86" s="12">
        <f>CN$5*CS86</f>
        <v>0</v>
      </c>
      <c r="CO86" s="12">
        <f>CO$5*CS86</f>
        <v>0</v>
      </c>
      <c r="CP86" s="12">
        <f>CP$5*CS86</f>
        <v>0</v>
      </c>
      <c r="CR86" s="16" t="s">
        <v>1304</v>
      </c>
      <c r="CS86">
        <f>_xlfn.XLOOKUP(CR86,'KPI Impacts'!$B$2:$H$2,'KPI Impacts'!$B86:$H86)</f>
        <v>0</v>
      </c>
      <c r="CV86" s="12">
        <f>CV$5*DG86</f>
        <v>0</v>
      </c>
      <c r="CW86" s="12">
        <f>CW$5*DG86</f>
        <v>0</v>
      </c>
      <c r="CX86" s="12">
        <f>CX$5*DG86</f>
        <v>0</v>
      </c>
      <c r="CY86" s="12">
        <f>CY$5*DG86</f>
        <v>0</v>
      </c>
      <c r="CZ86" s="12">
        <f>CZ$5*DG86</f>
        <v>0</v>
      </c>
      <c r="DA86" s="12">
        <f>DA$5*DG86</f>
        <v>0</v>
      </c>
      <c r="DB86" s="12">
        <f>DB$5*DG86</f>
        <v>0</v>
      </c>
      <c r="DC86" s="12">
        <f>DC$5*DG86</f>
        <v>0</v>
      </c>
      <c r="DD86" s="12">
        <f>DD$5*DG86</f>
        <v>0</v>
      </c>
      <c r="DF86" t="s">
        <v>1304</v>
      </c>
      <c r="DG86">
        <f>_xlfn.XLOOKUP(DF86,'KPI Impacts'!$B$2:$H$2,'KPI Impacts'!$B86:$H86)</f>
        <v>0</v>
      </c>
      <c r="DJ86" s="12">
        <f>DJ$5*DU86</f>
        <v>0</v>
      </c>
      <c r="DK86" s="12">
        <f>DK$5*DU86</f>
        <v>0</v>
      </c>
      <c r="DL86" s="12">
        <f>DL$5*DU86</f>
        <v>0</v>
      </c>
      <c r="DM86" s="12">
        <f>DM$5*DU86</f>
        <v>0</v>
      </c>
      <c r="DN86" s="12">
        <f>DN$5*DU86</f>
        <v>0</v>
      </c>
      <c r="DO86" s="12">
        <f>DO$5*DU86</f>
        <v>0</v>
      </c>
      <c r="DP86" s="12">
        <f>DP$5*DU86</f>
        <v>0</v>
      </c>
      <c r="DQ86" s="12">
        <f>DQ$5*DU86</f>
        <v>0</v>
      </c>
      <c r="DR86" s="12">
        <f>DR$5*DU86</f>
        <v>0</v>
      </c>
      <c r="DT86" t="s">
        <v>1304</v>
      </c>
      <c r="DU86">
        <f>_xlfn.XLOOKUP(DT86,'KPI Impacts'!$B$2:$H$2,'KPI Impacts'!$B86:$H86)</f>
        <v>0</v>
      </c>
      <c r="DX86" s="12"/>
      <c r="DY86" s="12"/>
      <c r="DZ86" s="12"/>
      <c r="EA86" s="12"/>
      <c r="EB86" s="12"/>
      <c r="EC86" s="12"/>
      <c r="ED86" s="12"/>
      <c r="EE86" s="12"/>
      <c r="EF86" s="12"/>
    </row>
    <row r="87" spans="1:136" x14ac:dyDescent="0.2">
      <c r="A87" s="9" t="s">
        <v>1294</v>
      </c>
      <c r="B87" s="19" t="s">
        <v>1319</v>
      </c>
      <c r="C87" s="19" t="s">
        <v>1319</v>
      </c>
      <c r="D87" s="19" t="s">
        <v>1319</v>
      </c>
      <c r="E87" s="19" t="s">
        <v>1319</v>
      </c>
      <c r="F87" s="19" t="s">
        <v>1319</v>
      </c>
      <c r="G87" s="19" t="s">
        <v>1319</v>
      </c>
      <c r="H87" s="19" t="s">
        <v>1319</v>
      </c>
      <c r="I87" s="19" t="s">
        <v>1319</v>
      </c>
      <c r="J87" s="19" t="s">
        <v>1319</v>
      </c>
      <c r="BB87" s="16"/>
      <c r="BP87" s="16"/>
      <c r="CD87" s="16"/>
      <c r="CR87" s="16"/>
      <c r="EA87" s="12"/>
      <c r="EB87" s="12"/>
    </row>
    <row r="88" spans="1:136" x14ac:dyDescent="0.2">
      <c r="A88" s="9" t="s">
        <v>1291</v>
      </c>
      <c r="B88" s="12">
        <f t="shared" ref="B88:J88" si="134">P88+AD88+AR88+BF88+BT88+CH88+CV88+DJ88</f>
        <v>0</v>
      </c>
      <c r="C88" s="12">
        <f t="shared" si="134"/>
        <v>0</v>
      </c>
      <c r="D88" s="12">
        <f t="shared" si="134"/>
        <v>0</v>
      </c>
      <c r="E88" s="12">
        <f t="shared" si="134"/>
        <v>0</v>
      </c>
      <c r="F88" s="12">
        <f t="shared" si="134"/>
        <v>0</v>
      </c>
      <c r="G88" s="12">
        <f t="shared" si="134"/>
        <v>0</v>
      </c>
      <c r="H88" s="12">
        <f t="shared" si="134"/>
        <v>0</v>
      </c>
      <c r="I88" s="12">
        <f t="shared" si="134"/>
        <v>0</v>
      </c>
      <c r="J88" s="12">
        <f t="shared" si="134"/>
        <v>0</v>
      </c>
      <c r="P88" s="12">
        <f>P$5*AA88</f>
        <v>0</v>
      </c>
      <c r="Q88" s="12">
        <f>Q$5*AA88</f>
        <v>0</v>
      </c>
      <c r="R88" s="12">
        <f>R$5*AA88</f>
        <v>0</v>
      </c>
      <c r="S88" s="12">
        <f>S$5*AA88</f>
        <v>0</v>
      </c>
      <c r="T88" s="12">
        <f>T$5*AA88</f>
        <v>0</v>
      </c>
      <c r="U88" s="12">
        <f>U$5*AA88</f>
        <v>0</v>
      </c>
      <c r="V88" s="12">
        <f>V$5*AA88</f>
        <v>0</v>
      </c>
      <c r="W88" s="12">
        <f>W$5*AA88</f>
        <v>0</v>
      </c>
      <c r="X88" s="12">
        <f>X$5*AA88</f>
        <v>0</v>
      </c>
      <c r="Z88" t="s">
        <v>1304</v>
      </c>
      <c r="AA88">
        <f>_xlfn.XLOOKUP(Z88,'KPI Impacts'!$B$2:$H$2,'KPI Impacts'!$B88:$H88)</f>
        <v>0</v>
      </c>
      <c r="AD88" s="12">
        <f>AD$5*AO88</f>
        <v>0</v>
      </c>
      <c r="AE88" s="12">
        <f>AE$5*AO88</f>
        <v>0</v>
      </c>
      <c r="AF88" s="12">
        <f>AF$5*AO88</f>
        <v>0</v>
      </c>
      <c r="AG88" s="12">
        <f>AG$5*AO88</f>
        <v>0</v>
      </c>
      <c r="AH88" s="12">
        <f>AH$5*AO88</f>
        <v>0</v>
      </c>
      <c r="AI88" s="12">
        <f>AI$5*AO88</f>
        <v>0</v>
      </c>
      <c r="AJ88" s="12">
        <f>AJ$5*AO88</f>
        <v>0</v>
      </c>
      <c r="AK88" s="12">
        <f>AK$5*AO88</f>
        <v>0</v>
      </c>
      <c r="AL88" s="12">
        <f>AL$5*AO88</f>
        <v>0</v>
      </c>
      <c r="AN88" t="s">
        <v>1304</v>
      </c>
      <c r="AO88">
        <f>_xlfn.XLOOKUP(AN88,'KPI Impacts'!$B$2:$H$2,'KPI Impacts'!$B88:$H88)</f>
        <v>0</v>
      </c>
      <c r="AR88" s="12">
        <f>AR$5*BC88</f>
        <v>0</v>
      </c>
      <c r="AS88" s="12">
        <f>AS$5*BC88</f>
        <v>0</v>
      </c>
      <c r="AT88" s="12">
        <f>AT$5*BC88</f>
        <v>0</v>
      </c>
      <c r="AU88" s="12">
        <f>AU$5*BC88</f>
        <v>0</v>
      </c>
      <c r="AV88" s="12">
        <f>AV$5*BC88</f>
        <v>0</v>
      </c>
      <c r="AW88" s="12">
        <f>AW$5*BC88</f>
        <v>0</v>
      </c>
      <c r="AX88" s="12">
        <f>AX$5*BC88</f>
        <v>0</v>
      </c>
      <c r="AY88" s="12">
        <f>AY$5*BC88</f>
        <v>0</v>
      </c>
      <c r="AZ88" s="12">
        <f>AZ$5*BC88</f>
        <v>0</v>
      </c>
      <c r="BB88" s="16" t="s">
        <v>1304</v>
      </c>
      <c r="BC88">
        <f>_xlfn.XLOOKUP(BB88,'KPI Impacts'!$B$2:$H$2,'KPI Impacts'!$B88:$H88)</f>
        <v>0</v>
      </c>
      <c r="BF88" s="12">
        <f>BF$5*BQ88</f>
        <v>0</v>
      </c>
      <c r="BG88" s="12">
        <f>BG$5*BQ88</f>
        <v>0</v>
      </c>
      <c r="BH88" s="12">
        <f>BH$5*BQ88</f>
        <v>0</v>
      </c>
      <c r="BI88" s="12">
        <f>BI$5*BQ88</f>
        <v>0</v>
      </c>
      <c r="BJ88" s="12">
        <f>BJ$5*BQ88</f>
        <v>0</v>
      </c>
      <c r="BK88" s="12">
        <f>BK$5*BQ88</f>
        <v>0</v>
      </c>
      <c r="BL88" s="12">
        <f>BL$5*BQ88</f>
        <v>0</v>
      </c>
      <c r="BM88" s="12">
        <f>BM$5*BQ88</f>
        <v>0</v>
      </c>
      <c r="BN88" s="12">
        <f>BN$5*BQ88</f>
        <v>0</v>
      </c>
      <c r="BP88" s="16" t="s">
        <v>1304</v>
      </c>
      <c r="BQ88">
        <f>_xlfn.XLOOKUP(BP88,'KPI Impacts'!$B$2:$H$2,'KPI Impacts'!$B88:$H88)</f>
        <v>0</v>
      </c>
      <c r="BT88" s="12">
        <f>BT$5*CE88</f>
        <v>0</v>
      </c>
      <c r="BU88" s="12">
        <f>BU$5*CE88</f>
        <v>0</v>
      </c>
      <c r="BV88" s="12">
        <f>BV$5*CE88</f>
        <v>0</v>
      </c>
      <c r="BW88" s="12">
        <f>BW$5*CE88</f>
        <v>0</v>
      </c>
      <c r="BX88" s="12">
        <f>BX$5*CE88</f>
        <v>0</v>
      </c>
      <c r="BY88" s="12">
        <f>BY$5*CE88</f>
        <v>0</v>
      </c>
      <c r="BZ88" s="12">
        <f>BZ$5*CE88</f>
        <v>0</v>
      </c>
      <c r="CA88" s="12">
        <f>CA$5*CE88</f>
        <v>0</v>
      </c>
      <c r="CB88" s="12">
        <f>CB$5*CE88</f>
        <v>0</v>
      </c>
      <c r="CD88" s="16" t="s">
        <v>1304</v>
      </c>
      <c r="CE88">
        <f>_xlfn.XLOOKUP(CD88,'KPI Impacts'!$B$2:$H$2,'KPI Impacts'!$B88:$H88)</f>
        <v>0</v>
      </c>
      <c r="CH88" s="12">
        <f>CH$5*CS88</f>
        <v>0</v>
      </c>
      <c r="CI88" s="12">
        <f>CI$5*CS88</f>
        <v>0</v>
      </c>
      <c r="CJ88" s="12">
        <f>CJ$5*CS88</f>
        <v>0</v>
      </c>
      <c r="CK88" s="12">
        <f>CK$5*CS88</f>
        <v>0</v>
      </c>
      <c r="CL88" s="12">
        <f>CL$5*CS88</f>
        <v>0</v>
      </c>
      <c r="CM88" s="12">
        <f>CM$5*CS88</f>
        <v>0</v>
      </c>
      <c r="CN88" s="12">
        <f>CN$5*CS88</f>
        <v>0</v>
      </c>
      <c r="CO88" s="12">
        <f>CO$5*CS88</f>
        <v>0</v>
      </c>
      <c r="CP88" s="12">
        <f>CP$5*CS88</f>
        <v>0</v>
      </c>
      <c r="CR88" s="16" t="s">
        <v>1304</v>
      </c>
      <c r="CS88">
        <f>_xlfn.XLOOKUP(CR88,'KPI Impacts'!$B$2:$H$2,'KPI Impacts'!$B88:$H88)</f>
        <v>0</v>
      </c>
      <c r="CV88" s="12">
        <f>CV$5*DG88</f>
        <v>0</v>
      </c>
      <c r="CW88" s="12">
        <f>CW$5*DG88</f>
        <v>0</v>
      </c>
      <c r="CX88" s="12">
        <f>CX$5*DG88</f>
        <v>0</v>
      </c>
      <c r="CY88" s="12">
        <f>CY$5*DG88</f>
        <v>0</v>
      </c>
      <c r="CZ88" s="12">
        <f>CZ$5*DG88</f>
        <v>0</v>
      </c>
      <c r="DA88" s="12">
        <f>DA$5*DG88</f>
        <v>0</v>
      </c>
      <c r="DB88" s="12">
        <f>DB$5*DG88</f>
        <v>0</v>
      </c>
      <c r="DC88" s="12">
        <f>DC$5*DG88</f>
        <v>0</v>
      </c>
      <c r="DD88" s="12">
        <f>DD$5*DG88</f>
        <v>0</v>
      </c>
      <c r="DF88" t="s">
        <v>1304</v>
      </c>
      <c r="DG88">
        <f>_xlfn.XLOOKUP(DF88,'KPI Impacts'!$B$2:$H$2,'KPI Impacts'!$B88:$H88)</f>
        <v>0</v>
      </c>
      <c r="DJ88" s="12">
        <f>DJ$5*DU88</f>
        <v>0</v>
      </c>
      <c r="DK88" s="12">
        <f>DK$5*DU88</f>
        <v>0</v>
      </c>
      <c r="DL88" s="12">
        <f>DL$5*DU88</f>
        <v>0</v>
      </c>
      <c r="DM88" s="12">
        <f>DM$5*DU88</f>
        <v>0</v>
      </c>
      <c r="DN88" s="12">
        <f>DN$5*DU88</f>
        <v>0</v>
      </c>
      <c r="DO88" s="12">
        <f>DO$5*DU88</f>
        <v>0</v>
      </c>
      <c r="DP88" s="12">
        <f>DP$5*DU88</f>
        <v>0</v>
      </c>
      <c r="DQ88" s="12">
        <f>DQ$5*DU88</f>
        <v>0</v>
      </c>
      <c r="DR88" s="12">
        <f>DR$5*DU88</f>
        <v>0</v>
      </c>
      <c r="DT88" t="s">
        <v>1304</v>
      </c>
      <c r="DU88">
        <f>_xlfn.XLOOKUP(DT88,'KPI Impacts'!$B$2:$H$2,'KPI Impacts'!$B88:$H88)</f>
        <v>0</v>
      </c>
      <c r="DX88" s="12"/>
      <c r="DY88" s="12"/>
      <c r="DZ88" s="12"/>
      <c r="EA88" s="12"/>
      <c r="EB88" s="12"/>
      <c r="EC88" s="12"/>
      <c r="ED88" s="12"/>
      <c r="EE88" s="12"/>
      <c r="EF88" s="12"/>
    </row>
    <row r="89" spans="1:136" hidden="1" x14ac:dyDescent="0.2">
      <c r="AA89">
        <v>1</v>
      </c>
      <c r="AO89">
        <v>1</v>
      </c>
      <c r="BB89" s="16"/>
      <c r="BC89">
        <v>1</v>
      </c>
      <c r="BP89" s="16"/>
      <c r="BQ89">
        <v>1</v>
      </c>
      <c r="CD89" s="16"/>
      <c r="CE89">
        <v>1</v>
      </c>
      <c r="CR89" s="16"/>
      <c r="CS89">
        <v>1</v>
      </c>
      <c r="DF89" t="s">
        <v>1304</v>
      </c>
      <c r="DG89">
        <v>1</v>
      </c>
      <c r="DT89" t="s">
        <v>1304</v>
      </c>
      <c r="DU89">
        <v>1</v>
      </c>
      <c r="EA89" s="12"/>
      <c r="EB89" s="12"/>
    </row>
    <row r="90" spans="1:136" hidden="1" x14ac:dyDescent="0.2">
      <c r="AA90">
        <v>1</v>
      </c>
      <c r="AO90">
        <v>1</v>
      </c>
      <c r="BB90" s="16"/>
      <c r="BC90">
        <v>1</v>
      </c>
      <c r="BP90" s="16"/>
      <c r="BQ90">
        <v>1</v>
      </c>
      <c r="CD90" s="16"/>
      <c r="CE90">
        <v>1</v>
      </c>
      <c r="CR90" s="16"/>
      <c r="CS90">
        <v>1</v>
      </c>
      <c r="DF90" t="s">
        <v>1304</v>
      </c>
      <c r="DG90">
        <v>1</v>
      </c>
      <c r="DT90" t="s">
        <v>1304</v>
      </c>
      <c r="DU90">
        <v>1</v>
      </c>
      <c r="EA90" s="12"/>
      <c r="EB90" s="12"/>
    </row>
    <row r="91" spans="1:136" x14ac:dyDescent="0.2">
      <c r="BB91" s="16"/>
      <c r="BP91" s="16"/>
      <c r="CD91" s="16"/>
      <c r="CR91" s="16"/>
      <c r="EA91" s="12"/>
      <c r="EB91" s="12"/>
    </row>
    <row r="92" spans="1:136" x14ac:dyDescent="0.2">
      <c r="A92" s="5" t="s">
        <v>52</v>
      </c>
      <c r="BB92" s="16"/>
      <c r="BP92" s="16"/>
      <c r="CD92" s="16"/>
      <c r="CR92" s="16"/>
      <c r="EA92" s="12"/>
      <c r="EB92" s="12"/>
    </row>
    <row r="93" spans="1:136" x14ac:dyDescent="0.2">
      <c r="A93" t="s">
        <v>56</v>
      </c>
      <c r="B93" s="12">
        <f t="shared" ref="B93:J96" si="135">P93+AD93+AR93+BF93+BT93+CH93+CV93+DJ93</f>
        <v>0</v>
      </c>
      <c r="C93" s="12">
        <f t="shared" si="135"/>
        <v>0</v>
      </c>
      <c r="D93" s="12">
        <f t="shared" si="135"/>
        <v>0</v>
      </c>
      <c r="E93" s="12">
        <f t="shared" si="135"/>
        <v>0</v>
      </c>
      <c r="F93" s="12">
        <f t="shared" si="135"/>
        <v>0</v>
      </c>
      <c r="G93" s="12">
        <f t="shared" si="135"/>
        <v>0</v>
      </c>
      <c r="H93" s="12">
        <f t="shared" si="135"/>
        <v>0</v>
      </c>
      <c r="I93" s="12">
        <f t="shared" si="135"/>
        <v>0</v>
      </c>
      <c r="J93" s="12">
        <f t="shared" si="135"/>
        <v>0</v>
      </c>
      <c r="P93" s="12">
        <f>P$5*AA93</f>
        <v>0</v>
      </c>
      <c r="Q93" s="12">
        <f>Q$5*AA93</f>
        <v>0</v>
      </c>
      <c r="R93" s="12">
        <f>R$5*AA93</f>
        <v>0</v>
      </c>
      <c r="S93" s="12">
        <f>S$5*AA93</f>
        <v>0</v>
      </c>
      <c r="T93" s="12">
        <f>T$5*AA93</f>
        <v>0</v>
      </c>
      <c r="U93" s="12">
        <f>U$5*AA93</f>
        <v>0</v>
      </c>
      <c r="V93" s="12">
        <f>V$5*AA93</f>
        <v>0</v>
      </c>
      <c r="W93" s="12">
        <f>W$5*AA93</f>
        <v>0</v>
      </c>
      <c r="X93" s="12">
        <f>X$5*AA93</f>
        <v>0</v>
      </c>
      <c r="Z93" t="s">
        <v>1304</v>
      </c>
      <c r="AA93">
        <f>_xlfn.XLOOKUP(Z93,'KPI Impacts'!$B$2:$H$2,'KPI Impacts'!$B93:$H93)</f>
        <v>0</v>
      </c>
      <c r="AD93" s="12">
        <f>AD$5*AO93</f>
        <v>0</v>
      </c>
      <c r="AE93" s="12">
        <f>AE$5*AO93</f>
        <v>0</v>
      </c>
      <c r="AF93" s="12">
        <f>AF$5*AO93</f>
        <v>0</v>
      </c>
      <c r="AG93" s="12">
        <f>AG$5*AO93</f>
        <v>0</v>
      </c>
      <c r="AH93" s="12">
        <f>AH$5*AO93</f>
        <v>0</v>
      </c>
      <c r="AI93" s="12">
        <f>AI$5*AO93</f>
        <v>0</v>
      </c>
      <c r="AJ93" s="12">
        <f>AJ$5*AO93</f>
        <v>0</v>
      </c>
      <c r="AK93" s="12">
        <f>AK$5*AO93</f>
        <v>0</v>
      </c>
      <c r="AL93" s="12">
        <f>AL$5*AO93</f>
        <v>0</v>
      </c>
      <c r="AN93" t="s">
        <v>1304</v>
      </c>
      <c r="AO93">
        <f>_xlfn.XLOOKUP(AN93,'KPI Impacts'!$B$2:$H$2,'KPI Impacts'!$B93:$H93)</f>
        <v>0</v>
      </c>
      <c r="AR93" s="12">
        <f>AR$5*BC93</f>
        <v>0</v>
      </c>
      <c r="AS93" s="12">
        <f>AS$5*BC93</f>
        <v>0</v>
      </c>
      <c r="AT93" s="12">
        <f>AT$5*BC93</f>
        <v>0</v>
      </c>
      <c r="AU93" s="12">
        <f>AU$5*BC93</f>
        <v>0</v>
      </c>
      <c r="AV93" s="12">
        <f>AV$5*BC93</f>
        <v>0</v>
      </c>
      <c r="AW93" s="12">
        <f>AW$5*BC93</f>
        <v>0</v>
      </c>
      <c r="AX93" s="12">
        <f>AX$5*BC93</f>
        <v>0</v>
      </c>
      <c r="AY93" s="12">
        <f>AY$5*BC93</f>
        <v>0</v>
      </c>
      <c r="AZ93" s="12">
        <f>AZ$5*BC93</f>
        <v>0</v>
      </c>
      <c r="BB93" s="16" t="s">
        <v>1304</v>
      </c>
      <c r="BC93">
        <f>_xlfn.XLOOKUP(BB93,'KPI Impacts'!$B$2:$H$2,'KPI Impacts'!$B93:$H93)</f>
        <v>0</v>
      </c>
      <c r="BF93" s="12">
        <f>BF$5*BQ93</f>
        <v>0</v>
      </c>
      <c r="BG93" s="12">
        <f>BG$5*BQ93</f>
        <v>0</v>
      </c>
      <c r="BH93" s="12">
        <f>BH$5*BQ93</f>
        <v>0</v>
      </c>
      <c r="BI93" s="12">
        <f>BI$5*BQ93</f>
        <v>0</v>
      </c>
      <c r="BJ93" s="12">
        <f>BJ$5*BQ93</f>
        <v>0</v>
      </c>
      <c r="BK93" s="12">
        <f>BK$5*BQ93</f>
        <v>0</v>
      </c>
      <c r="BL93" s="12">
        <f>BL$5*BQ93</f>
        <v>0</v>
      </c>
      <c r="BM93" s="12">
        <f>BM$5*BQ93</f>
        <v>0</v>
      </c>
      <c r="BN93" s="12">
        <f>BN$5*BQ93</f>
        <v>0</v>
      </c>
      <c r="BP93" s="16" t="s">
        <v>1304</v>
      </c>
      <c r="BQ93">
        <f>_xlfn.XLOOKUP(BP93,'KPI Impacts'!$B$2:$H$2,'KPI Impacts'!$B93:$H93)</f>
        <v>0</v>
      </c>
      <c r="BT93" s="12">
        <f>BT$5*CE93</f>
        <v>0</v>
      </c>
      <c r="BU93" s="12">
        <f>BU$5*CE93</f>
        <v>0</v>
      </c>
      <c r="BV93" s="12">
        <f>BV$5*CE93</f>
        <v>0</v>
      </c>
      <c r="BW93" s="12">
        <f>BW$5*CE93</f>
        <v>0</v>
      </c>
      <c r="BX93" s="12">
        <f>BX$5*CE93</f>
        <v>0</v>
      </c>
      <c r="BY93" s="12">
        <f>BY$5*CE93</f>
        <v>0</v>
      </c>
      <c r="BZ93" s="12">
        <f>BZ$5*CE93</f>
        <v>0</v>
      </c>
      <c r="CA93" s="12">
        <f>CA$5*CE93</f>
        <v>0</v>
      </c>
      <c r="CB93" s="12">
        <f>CB$5*CE93</f>
        <v>0</v>
      </c>
      <c r="CD93" s="16" t="s">
        <v>1304</v>
      </c>
      <c r="CE93">
        <f>_xlfn.XLOOKUP(CD93,'KPI Impacts'!$B$2:$H$2,'KPI Impacts'!$B93:$H93)</f>
        <v>0</v>
      </c>
      <c r="CH93" s="12">
        <f>CH$5*CS93</f>
        <v>0</v>
      </c>
      <c r="CI93" s="12">
        <f>CI$5*CS93</f>
        <v>0</v>
      </c>
      <c r="CJ93" s="12">
        <f>CJ$5*CS93</f>
        <v>0</v>
      </c>
      <c r="CK93" s="12">
        <f>CK$5*CS93</f>
        <v>0</v>
      </c>
      <c r="CL93" s="12">
        <f>CL$5*CS93</f>
        <v>0</v>
      </c>
      <c r="CM93" s="12">
        <f>CM$5*CS93</f>
        <v>0</v>
      </c>
      <c r="CN93" s="12">
        <f>CN$5*CS93</f>
        <v>0</v>
      </c>
      <c r="CO93" s="12">
        <f>CO$5*CS93</f>
        <v>0</v>
      </c>
      <c r="CP93" s="12">
        <f>CP$5*CS93</f>
        <v>0</v>
      </c>
      <c r="CR93" s="16" t="s">
        <v>1304</v>
      </c>
      <c r="CS93">
        <f>_xlfn.XLOOKUP(CR93,'KPI Impacts'!$B$2:$H$2,'KPI Impacts'!$B93:$H93)</f>
        <v>0</v>
      </c>
      <c r="CV93" s="12">
        <f>CV$5*DG93</f>
        <v>0</v>
      </c>
      <c r="CW93" s="12">
        <f>CW$5*DG93</f>
        <v>0</v>
      </c>
      <c r="CX93" s="12">
        <f>CX$5*DG93</f>
        <v>0</v>
      </c>
      <c r="CY93" s="12">
        <f>CY$5*DG93</f>
        <v>0</v>
      </c>
      <c r="CZ93" s="12">
        <f>CZ$5*DG93</f>
        <v>0</v>
      </c>
      <c r="DA93" s="12">
        <f>DA$5*DG93</f>
        <v>0</v>
      </c>
      <c r="DB93" s="12">
        <f>DB$5*DG93</f>
        <v>0</v>
      </c>
      <c r="DC93" s="12">
        <f>DC$5*DG93</f>
        <v>0</v>
      </c>
      <c r="DD93" s="12">
        <f>DD$5*DG93</f>
        <v>0</v>
      </c>
      <c r="DF93" t="s">
        <v>1304</v>
      </c>
      <c r="DG93">
        <f>_xlfn.XLOOKUP(DF93,'KPI Impacts'!$B$2:$H$2,'KPI Impacts'!$B93:$H93)</f>
        <v>0</v>
      </c>
      <c r="DJ93" s="12">
        <f>DJ$5*DU93</f>
        <v>0</v>
      </c>
      <c r="DK93" s="12">
        <f>DK$5*DU93</f>
        <v>0</v>
      </c>
      <c r="DL93" s="12">
        <f>DL$5*DU93</f>
        <v>0</v>
      </c>
      <c r="DM93" s="12">
        <f>DM$5*DU93</f>
        <v>0</v>
      </c>
      <c r="DN93" s="12">
        <f>DN$5*DU93</f>
        <v>0</v>
      </c>
      <c r="DO93" s="12">
        <f>DO$5*DU93</f>
        <v>0</v>
      </c>
      <c r="DP93" s="12">
        <f>DP$5*DU93</f>
        <v>0</v>
      </c>
      <c r="DQ93" s="12">
        <f>DQ$5*DU93</f>
        <v>0</v>
      </c>
      <c r="DR93" s="12">
        <f>DR$5*DU93</f>
        <v>0</v>
      </c>
      <c r="DT93" t="s">
        <v>1304</v>
      </c>
      <c r="DU93">
        <f>_xlfn.XLOOKUP(DT93,'KPI Impacts'!$B$2:$H$2,'KPI Impacts'!$B93:$H93)</f>
        <v>0</v>
      </c>
      <c r="DX93" s="12"/>
      <c r="DY93" s="12"/>
      <c r="DZ93" s="12"/>
      <c r="EA93" s="12"/>
      <c r="EB93" s="12"/>
      <c r="EC93" s="12"/>
      <c r="ED93" s="12"/>
      <c r="EE93" s="12"/>
      <c r="EF93" s="12"/>
    </row>
    <row r="94" spans="1:136" x14ac:dyDescent="0.2">
      <c r="A94" s="9" t="s">
        <v>1727</v>
      </c>
      <c r="B94" s="12">
        <f t="shared" si="135"/>
        <v>0</v>
      </c>
      <c r="C94" s="12">
        <f t="shared" si="135"/>
        <v>0</v>
      </c>
      <c r="D94" s="12">
        <f t="shared" si="135"/>
        <v>0</v>
      </c>
      <c r="E94" s="12">
        <f t="shared" si="135"/>
        <v>0</v>
      </c>
      <c r="F94" s="12">
        <f t="shared" si="135"/>
        <v>0</v>
      </c>
      <c r="G94" s="12">
        <f t="shared" si="135"/>
        <v>0</v>
      </c>
      <c r="H94" s="12">
        <f t="shared" si="135"/>
        <v>0</v>
      </c>
      <c r="I94" s="12">
        <f t="shared" si="135"/>
        <v>0</v>
      </c>
      <c r="J94" s="12">
        <f t="shared" si="135"/>
        <v>0</v>
      </c>
      <c r="P94" s="12">
        <f>P$5*AA94</f>
        <v>0</v>
      </c>
      <c r="Q94" s="12">
        <f>Q$5*AA94</f>
        <v>0</v>
      </c>
      <c r="R94" s="12">
        <f>R$5*AA94</f>
        <v>0</v>
      </c>
      <c r="S94" s="12">
        <f>S$5*AA94</f>
        <v>0</v>
      </c>
      <c r="T94" s="12">
        <f>T$5*AA94</f>
        <v>0</v>
      </c>
      <c r="U94" s="12">
        <f>U$5*AA94</f>
        <v>0</v>
      </c>
      <c r="V94" s="12">
        <f>V$5*AA94</f>
        <v>0</v>
      </c>
      <c r="W94" s="12">
        <f>W$5*AA94</f>
        <v>0</v>
      </c>
      <c r="X94" s="12">
        <f>X$5*AA94</f>
        <v>0</v>
      </c>
      <c r="Z94" t="s">
        <v>1304</v>
      </c>
      <c r="AA94">
        <f>_xlfn.XLOOKUP(Z94,'KPI Impacts'!$B$2:$H$2,'KPI Impacts'!$B94:$H94)</f>
        <v>0</v>
      </c>
      <c r="AD94" s="12">
        <f>AD$5*AO94</f>
        <v>0</v>
      </c>
      <c r="AE94" s="12">
        <f>AE$5*AO94</f>
        <v>0</v>
      </c>
      <c r="AF94" s="12">
        <f>AF$5*AO94</f>
        <v>0</v>
      </c>
      <c r="AG94" s="12">
        <f>AG$5*AO94</f>
        <v>0</v>
      </c>
      <c r="AH94" s="12">
        <f>AH$5*AO94</f>
        <v>0</v>
      </c>
      <c r="AI94" s="12">
        <f>AI$5*AO94</f>
        <v>0</v>
      </c>
      <c r="AJ94" s="12">
        <f>AJ$5*AO94</f>
        <v>0</v>
      </c>
      <c r="AK94" s="12">
        <f>AK$5*AO94</f>
        <v>0</v>
      </c>
      <c r="AL94" s="12">
        <f>AL$5*AO94</f>
        <v>0</v>
      </c>
      <c r="AN94" t="s">
        <v>1304</v>
      </c>
      <c r="AO94">
        <f>_xlfn.XLOOKUP(AN94,'KPI Impacts'!$B$2:$H$2,'KPI Impacts'!$B94:$H94)</f>
        <v>0</v>
      </c>
      <c r="AR94" s="12">
        <f>AR$5*BC94</f>
        <v>0</v>
      </c>
      <c r="AS94" s="12">
        <f>AS$5*BC94</f>
        <v>0</v>
      </c>
      <c r="AT94" s="12">
        <f>AT$5*BC94</f>
        <v>0</v>
      </c>
      <c r="AU94" s="12">
        <f>AU$5*BC94</f>
        <v>0</v>
      </c>
      <c r="AV94" s="12">
        <f>AV$5*BC94</f>
        <v>0</v>
      </c>
      <c r="AW94" s="12">
        <f>AW$5*BC94</f>
        <v>0</v>
      </c>
      <c r="AX94" s="12">
        <f>AX$5*BC94</f>
        <v>0</v>
      </c>
      <c r="AY94" s="12">
        <f>AY$5*BC94</f>
        <v>0</v>
      </c>
      <c r="AZ94" s="12">
        <f>AZ$5*BC94</f>
        <v>0</v>
      </c>
      <c r="BB94" s="16" t="s">
        <v>1304</v>
      </c>
      <c r="BC94">
        <f>_xlfn.XLOOKUP(BB94,'KPI Impacts'!$B$2:$H$2,'KPI Impacts'!$B94:$H94)</f>
        <v>0</v>
      </c>
      <c r="BF94" s="12">
        <f>BF$5*BQ94</f>
        <v>0</v>
      </c>
      <c r="BG94" s="12">
        <f>BG$5*BQ94</f>
        <v>0</v>
      </c>
      <c r="BH94" s="12">
        <f>BH$5*BQ94</f>
        <v>0</v>
      </c>
      <c r="BI94" s="12">
        <f>BI$5*BQ94</f>
        <v>0</v>
      </c>
      <c r="BJ94" s="12">
        <f>BJ$5*BQ94</f>
        <v>0</v>
      </c>
      <c r="BK94" s="12">
        <f>BK$5*BQ94</f>
        <v>0</v>
      </c>
      <c r="BL94" s="12">
        <f>BL$5*BQ94</f>
        <v>0</v>
      </c>
      <c r="BM94" s="12">
        <f>BM$5*BQ94</f>
        <v>0</v>
      </c>
      <c r="BN94" s="12">
        <f>BN$5*BQ94</f>
        <v>0</v>
      </c>
      <c r="BP94" s="16" t="s">
        <v>1304</v>
      </c>
      <c r="BQ94">
        <f>_xlfn.XLOOKUP(BP94,'KPI Impacts'!$B$2:$H$2,'KPI Impacts'!$B94:$H94)</f>
        <v>0</v>
      </c>
      <c r="BT94" s="12">
        <f>BT$5*CE94</f>
        <v>0</v>
      </c>
      <c r="BU94" s="12">
        <f>BU$5*CE94</f>
        <v>0</v>
      </c>
      <c r="BV94" s="12">
        <f>BV$5*CE94</f>
        <v>0</v>
      </c>
      <c r="BW94" s="12">
        <f>BW$5*CE94</f>
        <v>0</v>
      </c>
      <c r="BX94" s="12">
        <f>BX$5*CE94</f>
        <v>0</v>
      </c>
      <c r="BY94" s="12">
        <f>BY$5*CE94</f>
        <v>0</v>
      </c>
      <c r="BZ94" s="12">
        <f>BZ$5*CE94</f>
        <v>0</v>
      </c>
      <c r="CA94" s="12">
        <f>CA$5*CE94</f>
        <v>0</v>
      </c>
      <c r="CB94" s="12">
        <f>CB$5*CE94</f>
        <v>0</v>
      </c>
      <c r="CD94" s="16" t="s">
        <v>1304</v>
      </c>
      <c r="CE94">
        <f>_xlfn.XLOOKUP(CD94,'KPI Impacts'!$B$2:$H$2,'KPI Impacts'!$B94:$H94)</f>
        <v>0</v>
      </c>
      <c r="CH94" s="12">
        <f>CH$5*CS94</f>
        <v>0</v>
      </c>
      <c r="CI94" s="12">
        <f>CI$5*CS94</f>
        <v>0</v>
      </c>
      <c r="CJ94" s="12">
        <f>CJ$5*CS94</f>
        <v>0</v>
      </c>
      <c r="CK94" s="12">
        <f>CK$5*CS94</f>
        <v>0</v>
      </c>
      <c r="CL94" s="12">
        <f>CL$5*CS94</f>
        <v>0</v>
      </c>
      <c r="CM94" s="12">
        <f>CM$5*CS94</f>
        <v>0</v>
      </c>
      <c r="CN94" s="12">
        <f>CN$5*CS94</f>
        <v>0</v>
      </c>
      <c r="CO94" s="12">
        <f>CO$5*CS94</f>
        <v>0</v>
      </c>
      <c r="CP94" s="12">
        <f>CP$5*CS94</f>
        <v>0</v>
      </c>
      <c r="CR94" s="16" t="s">
        <v>1304</v>
      </c>
      <c r="CS94">
        <f>_xlfn.XLOOKUP(CR94,'KPI Impacts'!$B$2:$H$2,'KPI Impacts'!$B94:$H94)</f>
        <v>0</v>
      </c>
      <c r="CV94" s="12">
        <f>CV$5*DG94</f>
        <v>0</v>
      </c>
      <c r="CW94" s="12">
        <f>CW$5*DG94</f>
        <v>0</v>
      </c>
      <c r="CX94" s="12">
        <f>CX$5*DG94</f>
        <v>0</v>
      </c>
      <c r="CY94" s="12">
        <f>CY$5*DG94</f>
        <v>0</v>
      </c>
      <c r="CZ94" s="12">
        <f>CZ$5*DG94</f>
        <v>0</v>
      </c>
      <c r="DA94" s="12">
        <f>DA$5*DG94</f>
        <v>0</v>
      </c>
      <c r="DB94" s="12">
        <f>DB$5*DG94</f>
        <v>0</v>
      </c>
      <c r="DC94" s="12">
        <f>DC$5*DG94</f>
        <v>0</v>
      </c>
      <c r="DD94" s="12">
        <f>DD$5*DG94</f>
        <v>0</v>
      </c>
      <c r="DF94" t="s">
        <v>1304</v>
      </c>
      <c r="DG94">
        <f>_xlfn.XLOOKUP(DF94,'KPI Impacts'!$B$2:$H$2,'KPI Impacts'!$B94:$H94)</f>
        <v>0</v>
      </c>
      <c r="DJ94" s="12">
        <f>DJ$5*DU94</f>
        <v>0</v>
      </c>
      <c r="DK94" s="12">
        <f>DK$5*DU94</f>
        <v>0</v>
      </c>
      <c r="DL94" s="12">
        <f>DL$5*DU94</f>
        <v>0</v>
      </c>
      <c r="DM94" s="12">
        <f>DM$5*DU94</f>
        <v>0</v>
      </c>
      <c r="DN94" s="12">
        <f>DN$5*DU94</f>
        <v>0</v>
      </c>
      <c r="DO94" s="12">
        <f>DO$5*DU94</f>
        <v>0</v>
      </c>
      <c r="DP94" s="12">
        <f>DP$5*DU94</f>
        <v>0</v>
      </c>
      <c r="DQ94" s="12">
        <f>DQ$5*DU94</f>
        <v>0</v>
      </c>
      <c r="DR94" s="12">
        <f>DR$5*DU94</f>
        <v>0</v>
      </c>
      <c r="DT94" t="s">
        <v>1304</v>
      </c>
      <c r="DU94">
        <f>_xlfn.XLOOKUP(DT94,'KPI Impacts'!$B$2:$H$2,'KPI Impacts'!$B94:$H94)</f>
        <v>0</v>
      </c>
      <c r="DX94" s="12"/>
      <c r="DY94" s="12"/>
      <c r="DZ94" s="12"/>
      <c r="EA94" s="12"/>
      <c r="EB94" s="12"/>
      <c r="EC94" s="12"/>
      <c r="ED94" s="12"/>
      <c r="EE94" s="12"/>
      <c r="EF94" s="12"/>
    </row>
    <row r="95" spans="1:136" x14ac:dyDescent="0.2">
      <c r="A95" t="s">
        <v>1317</v>
      </c>
      <c r="B95" s="12">
        <f t="shared" si="135"/>
        <v>0</v>
      </c>
      <c r="C95" s="12">
        <f t="shared" si="135"/>
        <v>0</v>
      </c>
      <c r="D95" s="12">
        <f t="shared" si="135"/>
        <v>0</v>
      </c>
      <c r="E95" s="12">
        <f t="shared" si="135"/>
        <v>0</v>
      </c>
      <c r="F95" s="12">
        <f t="shared" si="135"/>
        <v>0</v>
      </c>
      <c r="G95" s="12">
        <f t="shared" si="135"/>
        <v>0</v>
      </c>
      <c r="H95" s="12">
        <f t="shared" si="135"/>
        <v>0</v>
      </c>
      <c r="I95" s="12">
        <f t="shared" si="135"/>
        <v>0</v>
      </c>
      <c r="J95" s="12">
        <f t="shared" si="135"/>
        <v>0</v>
      </c>
      <c r="P95" s="12">
        <f>P$5*AA95</f>
        <v>0</v>
      </c>
      <c r="Q95" s="12">
        <f>Q$5*AA95</f>
        <v>0</v>
      </c>
      <c r="R95" s="12">
        <f>R$5*AA95</f>
        <v>0</v>
      </c>
      <c r="S95" s="12">
        <f>S$5*AA95</f>
        <v>0</v>
      </c>
      <c r="T95" s="12">
        <f>T$5*AA95</f>
        <v>0</v>
      </c>
      <c r="U95" s="12">
        <f>U$5*AA95</f>
        <v>0</v>
      </c>
      <c r="V95" s="12">
        <f>V$5*AA95</f>
        <v>0</v>
      </c>
      <c r="W95" s="12">
        <f>W$5*AA95</f>
        <v>0</v>
      </c>
      <c r="X95" s="12">
        <f>X$5*AA95</f>
        <v>0</v>
      </c>
      <c r="Z95" t="s">
        <v>1304</v>
      </c>
      <c r="AA95">
        <f>_xlfn.XLOOKUP(Z95,'KPI Impacts'!$B$2:$H$2,'KPI Impacts'!$B95:$H95)</f>
        <v>0</v>
      </c>
      <c r="AD95" s="12">
        <f>AD$5*AO95</f>
        <v>0</v>
      </c>
      <c r="AE95" s="12">
        <f>AE$5*AO95</f>
        <v>0</v>
      </c>
      <c r="AF95" s="12">
        <f>AF$5*AO95</f>
        <v>0</v>
      </c>
      <c r="AG95" s="12">
        <f>AG$5*AO95</f>
        <v>0</v>
      </c>
      <c r="AH95" s="12">
        <f>AH$5*AO95</f>
        <v>0</v>
      </c>
      <c r="AI95" s="12">
        <f>AI$5*AO95</f>
        <v>0</v>
      </c>
      <c r="AJ95" s="12">
        <f>AJ$5*AO95</f>
        <v>0</v>
      </c>
      <c r="AK95" s="12">
        <f>AK$5*AO95</f>
        <v>0</v>
      </c>
      <c r="AL95" s="12">
        <f>AL$5*AO95</f>
        <v>0</v>
      </c>
      <c r="AN95" t="s">
        <v>1304</v>
      </c>
      <c r="AO95">
        <f>_xlfn.XLOOKUP(AN95,'KPI Impacts'!$B$2:$H$2,'KPI Impacts'!$B95:$H95)</f>
        <v>0</v>
      </c>
      <c r="AR95" s="12">
        <f>AR$5*BC95</f>
        <v>0</v>
      </c>
      <c r="AS95" s="12">
        <f>AS$5*BC95</f>
        <v>0</v>
      </c>
      <c r="AT95" s="12">
        <f>AT$5*BC95</f>
        <v>0</v>
      </c>
      <c r="AU95" s="12">
        <f>AU$5*BC95</f>
        <v>0</v>
      </c>
      <c r="AV95" s="12">
        <f>AV$5*BC95</f>
        <v>0</v>
      </c>
      <c r="AW95" s="12">
        <f>AW$5*BC95</f>
        <v>0</v>
      </c>
      <c r="AX95" s="12">
        <f>AX$5*BC95</f>
        <v>0</v>
      </c>
      <c r="AY95" s="12">
        <f>AY$5*BC95</f>
        <v>0</v>
      </c>
      <c r="AZ95" s="12">
        <f>AZ$5*BC95</f>
        <v>0</v>
      </c>
      <c r="BB95" s="16" t="s">
        <v>1304</v>
      </c>
      <c r="BC95">
        <f>_xlfn.XLOOKUP(BB95,'KPI Impacts'!$B$2:$H$2,'KPI Impacts'!$B95:$H95)</f>
        <v>0</v>
      </c>
      <c r="BF95" s="12">
        <f>BF$5*BQ95</f>
        <v>0</v>
      </c>
      <c r="BG95" s="12">
        <f>BG$5*BQ95</f>
        <v>0</v>
      </c>
      <c r="BH95" s="12">
        <f>BH$5*BQ95</f>
        <v>0</v>
      </c>
      <c r="BI95" s="12">
        <f>BI$5*BQ95</f>
        <v>0</v>
      </c>
      <c r="BJ95" s="12">
        <f>BJ$5*BQ95</f>
        <v>0</v>
      </c>
      <c r="BK95" s="12">
        <f>BK$5*BQ95</f>
        <v>0</v>
      </c>
      <c r="BL95" s="12">
        <f>BL$5*BQ95</f>
        <v>0</v>
      </c>
      <c r="BM95" s="12">
        <f>BM$5*BQ95</f>
        <v>0</v>
      </c>
      <c r="BN95" s="12">
        <f>BN$5*BQ95</f>
        <v>0</v>
      </c>
      <c r="BP95" s="16" t="s">
        <v>1304</v>
      </c>
      <c r="BQ95">
        <f>_xlfn.XLOOKUP(BP95,'KPI Impacts'!$B$2:$H$2,'KPI Impacts'!$B95:$H95)</f>
        <v>0</v>
      </c>
      <c r="BT95" s="12">
        <f>BT$5*CE95</f>
        <v>0</v>
      </c>
      <c r="BU95" s="12">
        <f>BU$5*CE95</f>
        <v>0</v>
      </c>
      <c r="BV95" s="12">
        <f>BV$5*CE95</f>
        <v>0</v>
      </c>
      <c r="BW95" s="12">
        <f>BW$5*CE95</f>
        <v>0</v>
      </c>
      <c r="BX95" s="12">
        <f>BX$5*CE95</f>
        <v>0</v>
      </c>
      <c r="BY95" s="12">
        <f>BY$5*CE95</f>
        <v>0</v>
      </c>
      <c r="BZ95" s="12">
        <f>BZ$5*CE95</f>
        <v>0</v>
      </c>
      <c r="CA95" s="12">
        <f>CA$5*CE95</f>
        <v>0</v>
      </c>
      <c r="CB95" s="12">
        <f>CB$5*CE95</f>
        <v>0</v>
      </c>
      <c r="CD95" s="16" t="s">
        <v>1304</v>
      </c>
      <c r="CE95">
        <f>_xlfn.XLOOKUP(CD95,'KPI Impacts'!$B$2:$H$2,'KPI Impacts'!$B95:$H95)</f>
        <v>0</v>
      </c>
      <c r="CH95" s="12">
        <f>CH$5*CS95</f>
        <v>0</v>
      </c>
      <c r="CI95" s="12">
        <f>CI$5*CS95</f>
        <v>0</v>
      </c>
      <c r="CJ95" s="12">
        <f>CJ$5*CS95</f>
        <v>0</v>
      </c>
      <c r="CK95" s="12">
        <f>CK$5*CS95</f>
        <v>0</v>
      </c>
      <c r="CL95" s="12">
        <f>CL$5*CS95</f>
        <v>0</v>
      </c>
      <c r="CM95" s="12">
        <f>CM$5*CS95</f>
        <v>0</v>
      </c>
      <c r="CN95" s="12">
        <f>CN$5*CS95</f>
        <v>0</v>
      </c>
      <c r="CO95" s="12">
        <f>CO$5*CS95</f>
        <v>0</v>
      </c>
      <c r="CP95" s="12">
        <f>CP$5*CS95</f>
        <v>0</v>
      </c>
      <c r="CR95" s="16" t="s">
        <v>1304</v>
      </c>
      <c r="CS95">
        <f>_xlfn.XLOOKUP(CR95,'KPI Impacts'!$B$2:$H$2,'KPI Impacts'!$B95:$H95)</f>
        <v>0</v>
      </c>
      <c r="CV95" s="12">
        <f>CV$5*DG95</f>
        <v>0</v>
      </c>
      <c r="CW95" s="12">
        <f>CW$5*DG95</f>
        <v>0</v>
      </c>
      <c r="CX95" s="12">
        <f>CX$5*DG95</f>
        <v>0</v>
      </c>
      <c r="CY95" s="12">
        <f>CY$5*DG95</f>
        <v>0</v>
      </c>
      <c r="CZ95" s="12">
        <f>CZ$5*DG95</f>
        <v>0</v>
      </c>
      <c r="DA95" s="12">
        <f>DA$5*DG95</f>
        <v>0</v>
      </c>
      <c r="DB95" s="12">
        <f>DB$5*DG95</f>
        <v>0</v>
      </c>
      <c r="DC95" s="12">
        <f>DC$5*DG95</f>
        <v>0</v>
      </c>
      <c r="DD95" s="12">
        <f>DD$5*DG95</f>
        <v>0</v>
      </c>
      <c r="DF95" t="s">
        <v>1304</v>
      </c>
      <c r="DG95">
        <f>_xlfn.XLOOKUP(DF95,'KPI Impacts'!$B$2:$H$2,'KPI Impacts'!$B95:$H95)</f>
        <v>0</v>
      </c>
      <c r="DJ95" s="12">
        <f>DJ$5*DU95</f>
        <v>0</v>
      </c>
      <c r="DK95" s="12">
        <f>DK$5*DU95</f>
        <v>0</v>
      </c>
      <c r="DL95" s="12">
        <f>DL$5*DU95</f>
        <v>0</v>
      </c>
      <c r="DM95" s="12">
        <f>DM$5*DU95</f>
        <v>0</v>
      </c>
      <c r="DN95" s="12">
        <f>DN$5*DU95</f>
        <v>0</v>
      </c>
      <c r="DO95" s="12">
        <f>DO$5*DU95</f>
        <v>0</v>
      </c>
      <c r="DP95" s="12">
        <f>DP$5*DU95</f>
        <v>0</v>
      </c>
      <c r="DQ95" s="12">
        <f>DQ$5*DU95</f>
        <v>0</v>
      </c>
      <c r="DR95" s="12">
        <f>DR$5*DU95</f>
        <v>0</v>
      </c>
      <c r="DT95" t="s">
        <v>1304</v>
      </c>
      <c r="DU95">
        <f>_xlfn.XLOOKUP(DT95,'KPI Impacts'!$B$2:$H$2,'KPI Impacts'!$B95:$H95)</f>
        <v>0</v>
      </c>
      <c r="DX95" s="12"/>
      <c r="DY95" s="12"/>
      <c r="DZ95" s="12"/>
      <c r="EA95" s="12"/>
      <c r="EB95" s="12"/>
      <c r="EC95" s="12"/>
      <c r="ED95" s="12"/>
      <c r="EE95" s="12"/>
      <c r="EF95" s="12"/>
    </row>
    <row r="96" spans="1:136" x14ac:dyDescent="0.2">
      <c r="A96" t="s">
        <v>1318</v>
      </c>
      <c r="B96" s="12">
        <f t="shared" si="135"/>
        <v>0</v>
      </c>
      <c r="C96" s="12">
        <f t="shared" si="135"/>
        <v>0</v>
      </c>
      <c r="D96" s="12">
        <f t="shared" si="135"/>
        <v>0</v>
      </c>
      <c r="E96" s="12">
        <f t="shared" si="135"/>
        <v>0</v>
      </c>
      <c r="F96" s="12">
        <f t="shared" si="135"/>
        <v>0</v>
      </c>
      <c r="G96" s="12">
        <f t="shared" si="135"/>
        <v>0</v>
      </c>
      <c r="H96" s="12">
        <f t="shared" si="135"/>
        <v>0</v>
      </c>
      <c r="I96" s="12">
        <f t="shared" si="135"/>
        <v>0</v>
      </c>
      <c r="J96" s="12">
        <f t="shared" si="135"/>
        <v>0</v>
      </c>
      <c r="P96" s="12">
        <f>P$5*AA96</f>
        <v>0</v>
      </c>
      <c r="Q96" s="12">
        <f>Q$5*AA96</f>
        <v>0</v>
      </c>
      <c r="R96" s="12">
        <f>R$5*AA96</f>
        <v>0</v>
      </c>
      <c r="S96" s="12">
        <f>S$5*AA96</f>
        <v>0</v>
      </c>
      <c r="T96" s="12">
        <f>T$5*AA96</f>
        <v>0</v>
      </c>
      <c r="U96" s="12">
        <f>U$5*AA96</f>
        <v>0</v>
      </c>
      <c r="V96" s="12">
        <f>V$5*AA96</f>
        <v>0</v>
      </c>
      <c r="W96" s="12">
        <f>W$5*AA96</f>
        <v>0</v>
      </c>
      <c r="X96" s="12">
        <f>X$5*AA96</f>
        <v>0</v>
      </c>
      <c r="Z96" t="s">
        <v>1304</v>
      </c>
      <c r="AA96">
        <f>_xlfn.XLOOKUP(Z96,'KPI Impacts'!$B$2:$H$2,'KPI Impacts'!$B96:$H96)</f>
        <v>0</v>
      </c>
      <c r="AD96" s="12">
        <f>AD$5*AO96</f>
        <v>0</v>
      </c>
      <c r="AE96" s="12">
        <f>AE$5*AO96</f>
        <v>0</v>
      </c>
      <c r="AF96" s="12">
        <f>AF$5*AO96</f>
        <v>0</v>
      </c>
      <c r="AG96" s="12">
        <f>AG$5*AO96</f>
        <v>0</v>
      </c>
      <c r="AH96" s="12">
        <f>AH$5*AO96</f>
        <v>0</v>
      </c>
      <c r="AI96" s="12">
        <f>AI$5*AO96</f>
        <v>0</v>
      </c>
      <c r="AJ96" s="12">
        <f>AJ$5*AO96</f>
        <v>0</v>
      </c>
      <c r="AK96" s="12">
        <f>AK$5*AO96</f>
        <v>0</v>
      </c>
      <c r="AL96" s="12">
        <f>AL$5*AO96</f>
        <v>0</v>
      </c>
      <c r="AN96" t="s">
        <v>1304</v>
      </c>
      <c r="AO96">
        <f>_xlfn.XLOOKUP(AN96,'KPI Impacts'!$B$2:$H$2,'KPI Impacts'!$B96:$H96)</f>
        <v>0</v>
      </c>
      <c r="AR96" s="12">
        <f>AR$5*BC96</f>
        <v>0</v>
      </c>
      <c r="AS96" s="12">
        <f>AS$5*BC96</f>
        <v>0</v>
      </c>
      <c r="AT96" s="12">
        <f>AT$5*BC96</f>
        <v>0</v>
      </c>
      <c r="AU96" s="12">
        <f>AU$5*BC96</f>
        <v>0</v>
      </c>
      <c r="AV96" s="12">
        <f>AV$5*BC96</f>
        <v>0</v>
      </c>
      <c r="AW96" s="12">
        <f>AW$5*BC96</f>
        <v>0</v>
      </c>
      <c r="AX96" s="12">
        <f>AX$5*BC96</f>
        <v>0</v>
      </c>
      <c r="AY96" s="12">
        <f>AY$5*BC96</f>
        <v>0</v>
      </c>
      <c r="AZ96" s="12">
        <f>AZ$5*BC96</f>
        <v>0</v>
      </c>
      <c r="BB96" s="16" t="s">
        <v>1304</v>
      </c>
      <c r="BC96">
        <f>_xlfn.XLOOKUP(BB96,'KPI Impacts'!$B$2:$H$2,'KPI Impacts'!$B96:$H96)</f>
        <v>0</v>
      </c>
      <c r="BF96" s="12">
        <f>BF$5*BQ96</f>
        <v>0</v>
      </c>
      <c r="BG96" s="12">
        <f>BG$5*BQ96</f>
        <v>0</v>
      </c>
      <c r="BH96" s="12">
        <f>BH$5*BQ96</f>
        <v>0</v>
      </c>
      <c r="BI96" s="12">
        <f>BI$5*BQ96</f>
        <v>0</v>
      </c>
      <c r="BJ96" s="12">
        <f>BJ$5*BQ96</f>
        <v>0</v>
      </c>
      <c r="BK96" s="12">
        <f>BK$5*BQ96</f>
        <v>0</v>
      </c>
      <c r="BL96" s="12">
        <f>BL$5*BQ96</f>
        <v>0</v>
      </c>
      <c r="BM96" s="12">
        <f>BM$5*BQ96</f>
        <v>0</v>
      </c>
      <c r="BN96" s="12">
        <f>BN$5*BQ96</f>
        <v>0</v>
      </c>
      <c r="BP96" s="16" t="s">
        <v>1304</v>
      </c>
      <c r="BQ96">
        <f>_xlfn.XLOOKUP(BP96,'KPI Impacts'!$B$2:$H$2,'KPI Impacts'!$B96:$H96)</f>
        <v>0</v>
      </c>
      <c r="BT96" s="12">
        <f>BT$5*CE96</f>
        <v>0</v>
      </c>
      <c r="BU96" s="12">
        <f>BU$5*CE96</f>
        <v>0</v>
      </c>
      <c r="BV96" s="12">
        <f>BV$5*CE96</f>
        <v>0</v>
      </c>
      <c r="BW96" s="12">
        <f>BW$5*CE96</f>
        <v>0</v>
      </c>
      <c r="BX96" s="12">
        <f>BX$5*CE96</f>
        <v>0</v>
      </c>
      <c r="BY96" s="12">
        <f>BY$5*CE96</f>
        <v>0</v>
      </c>
      <c r="BZ96" s="12">
        <f>BZ$5*CE96</f>
        <v>0</v>
      </c>
      <c r="CA96" s="12">
        <f>CA$5*CE96</f>
        <v>0</v>
      </c>
      <c r="CB96" s="12">
        <f>CB$5*CE96</f>
        <v>0</v>
      </c>
      <c r="CD96" s="16" t="s">
        <v>1304</v>
      </c>
      <c r="CE96">
        <f>_xlfn.XLOOKUP(CD96,'KPI Impacts'!$B$2:$H$2,'KPI Impacts'!$B96:$H96)</f>
        <v>0</v>
      </c>
      <c r="CH96" s="12">
        <f>CH$5*CS96</f>
        <v>0</v>
      </c>
      <c r="CI96" s="12">
        <f>CI$5*CS96</f>
        <v>0</v>
      </c>
      <c r="CJ96" s="12">
        <f>CJ$5*CS96</f>
        <v>0</v>
      </c>
      <c r="CK96" s="12">
        <f>CK$5*CS96</f>
        <v>0</v>
      </c>
      <c r="CL96" s="12">
        <f>CL$5*CS96</f>
        <v>0</v>
      </c>
      <c r="CM96" s="12">
        <f>CM$5*CS96</f>
        <v>0</v>
      </c>
      <c r="CN96" s="12">
        <f>CN$5*CS96</f>
        <v>0</v>
      </c>
      <c r="CO96" s="12">
        <f>CO$5*CS96</f>
        <v>0</v>
      </c>
      <c r="CP96" s="12">
        <f>CP$5*CS96</f>
        <v>0</v>
      </c>
      <c r="CR96" s="16" t="s">
        <v>1304</v>
      </c>
      <c r="CS96">
        <f>_xlfn.XLOOKUP(CR96,'KPI Impacts'!$B$2:$H$2,'KPI Impacts'!$B96:$H96)</f>
        <v>0</v>
      </c>
      <c r="CV96" s="12">
        <f>CV$5*DG96</f>
        <v>0</v>
      </c>
      <c r="CW96" s="12">
        <f>CW$5*DG96</f>
        <v>0</v>
      </c>
      <c r="CX96" s="12">
        <f>CX$5*DG96</f>
        <v>0</v>
      </c>
      <c r="CY96" s="12">
        <f>CY$5*DG96</f>
        <v>0</v>
      </c>
      <c r="CZ96" s="12">
        <f>CZ$5*DG96</f>
        <v>0</v>
      </c>
      <c r="DA96" s="12">
        <f>DA$5*DG96</f>
        <v>0</v>
      </c>
      <c r="DB96" s="12">
        <f>DB$5*DG96</f>
        <v>0</v>
      </c>
      <c r="DC96" s="12">
        <f>DC$5*DG96</f>
        <v>0</v>
      </c>
      <c r="DD96" s="12">
        <f>DD$5*DG96</f>
        <v>0</v>
      </c>
      <c r="DF96" t="s">
        <v>1304</v>
      </c>
      <c r="DG96">
        <f>_xlfn.XLOOKUP(DF96,'KPI Impacts'!$B$2:$H$2,'KPI Impacts'!$B96:$H96)</f>
        <v>0</v>
      </c>
      <c r="DJ96" s="12">
        <f>DJ$5*DU96</f>
        <v>0</v>
      </c>
      <c r="DK96" s="12">
        <f>DK$5*DU96</f>
        <v>0</v>
      </c>
      <c r="DL96" s="12">
        <f>DL$5*DU96</f>
        <v>0</v>
      </c>
      <c r="DM96" s="12">
        <f>DM$5*DU96</f>
        <v>0</v>
      </c>
      <c r="DN96" s="12">
        <f>DN$5*DU96</f>
        <v>0</v>
      </c>
      <c r="DO96" s="12">
        <f>DO$5*DU96</f>
        <v>0</v>
      </c>
      <c r="DP96" s="12">
        <f>DP$5*DU96</f>
        <v>0</v>
      </c>
      <c r="DQ96" s="12">
        <f>DQ$5*DU96</f>
        <v>0</v>
      </c>
      <c r="DR96" s="12">
        <f>DR$5*DU96</f>
        <v>0</v>
      </c>
      <c r="DT96" t="s">
        <v>1304</v>
      </c>
      <c r="DU96">
        <f>_xlfn.XLOOKUP(DT96,'KPI Impacts'!$B$2:$H$2,'KPI Impacts'!$B96:$H96)</f>
        <v>0</v>
      </c>
      <c r="DX96" s="12"/>
      <c r="DY96" s="12"/>
      <c r="DZ96" s="12"/>
      <c r="EA96" s="12"/>
      <c r="EB96" s="12"/>
      <c r="EC96" s="12"/>
      <c r="ED96" s="12"/>
      <c r="EE96" s="12"/>
      <c r="EF96" s="12"/>
    </row>
    <row r="97" spans="1:136" x14ac:dyDescent="0.2">
      <c r="A97" t="s">
        <v>1295</v>
      </c>
      <c r="B97" s="19" t="s">
        <v>1319</v>
      </c>
      <c r="C97" s="19" t="s">
        <v>1319</v>
      </c>
      <c r="D97" s="19" t="s">
        <v>1319</v>
      </c>
      <c r="E97" s="19" t="s">
        <v>1319</v>
      </c>
      <c r="F97" s="19" t="s">
        <v>1319</v>
      </c>
      <c r="G97" s="19" t="s">
        <v>1319</v>
      </c>
      <c r="H97" s="19" t="s">
        <v>1319</v>
      </c>
      <c r="I97" s="19" t="s">
        <v>1319</v>
      </c>
      <c r="J97" s="19" t="s">
        <v>1319</v>
      </c>
      <c r="BB97" s="16"/>
      <c r="BP97" s="16"/>
      <c r="CD97" s="16"/>
      <c r="CR97" s="16"/>
      <c r="EA97" s="12"/>
      <c r="EB97" s="12"/>
    </row>
    <row r="98" spans="1:136" hidden="1" x14ac:dyDescent="0.2">
      <c r="BB98" s="16"/>
      <c r="BP98" s="16"/>
      <c r="CD98" s="16"/>
      <c r="CR98" s="16"/>
      <c r="EA98" s="12"/>
      <c r="EB98" s="12"/>
    </row>
    <row r="99" spans="1:136" hidden="1" x14ac:dyDescent="0.2">
      <c r="BB99" s="16"/>
      <c r="BP99" s="16"/>
      <c r="CD99" s="16"/>
      <c r="CR99" s="16"/>
      <c r="EA99" s="12"/>
      <c r="EB99" s="12"/>
    </row>
    <row r="100" spans="1:136" x14ac:dyDescent="0.2">
      <c r="BB100" s="16"/>
      <c r="BP100" s="16"/>
      <c r="CD100" s="16"/>
      <c r="CR100" s="16"/>
      <c r="EA100" s="12"/>
      <c r="EB100" s="12"/>
    </row>
    <row r="101" spans="1:136" x14ac:dyDescent="0.2">
      <c r="A101" s="5" t="s">
        <v>53</v>
      </c>
      <c r="BB101" s="16"/>
      <c r="BP101" s="16"/>
      <c r="CD101" s="16"/>
      <c r="CR101" s="16"/>
      <c r="EA101" s="12"/>
      <c r="EB101" s="12"/>
    </row>
    <row r="102" spans="1:136" x14ac:dyDescent="0.2">
      <c r="A102" t="s">
        <v>57</v>
      </c>
      <c r="B102" s="12">
        <f t="shared" ref="B102:J104" si="136">P102+AD102+AR102+BF102+BT102+CH102+CV102+DJ102</f>
        <v>0</v>
      </c>
      <c r="C102" s="12">
        <f t="shared" si="136"/>
        <v>0</v>
      </c>
      <c r="D102" s="12">
        <f t="shared" si="136"/>
        <v>0</v>
      </c>
      <c r="E102" s="12">
        <f t="shared" si="136"/>
        <v>0</v>
      </c>
      <c r="F102" s="12">
        <f t="shared" si="136"/>
        <v>0</v>
      </c>
      <c r="G102" s="12">
        <f t="shared" si="136"/>
        <v>0</v>
      </c>
      <c r="H102" s="12">
        <f t="shared" si="136"/>
        <v>0</v>
      </c>
      <c r="I102" s="12">
        <f t="shared" si="136"/>
        <v>0</v>
      </c>
      <c r="J102" s="12">
        <f t="shared" si="136"/>
        <v>0</v>
      </c>
      <c r="P102" s="12">
        <f>P$5*AA102</f>
        <v>0</v>
      </c>
      <c r="Q102" s="12">
        <f>Q$5*AA102</f>
        <v>0</v>
      </c>
      <c r="R102" s="12">
        <f>R$5*AA102</f>
        <v>0</v>
      </c>
      <c r="S102" s="12">
        <f>S$5*AA102</f>
        <v>0</v>
      </c>
      <c r="T102" s="12">
        <f>T$5*AA102</f>
        <v>0</v>
      </c>
      <c r="U102" s="12">
        <f>U$5*AA102</f>
        <v>0</v>
      </c>
      <c r="V102" s="12">
        <f>V$5*AA102</f>
        <v>0</v>
      </c>
      <c r="W102" s="12">
        <f>W$5*AA102</f>
        <v>0</v>
      </c>
      <c r="X102" s="12">
        <f>X$5*AA102</f>
        <v>0</v>
      </c>
      <c r="Z102" t="s">
        <v>1304</v>
      </c>
      <c r="AA102">
        <f>_xlfn.XLOOKUP(Z102,'KPI Impacts'!$B$2:$H$2,'KPI Impacts'!$B102:$H102)</f>
        <v>0</v>
      </c>
      <c r="AD102" s="12">
        <f>AD$5*AO102</f>
        <v>0</v>
      </c>
      <c r="AE102" s="12">
        <f>AE$5*AO102</f>
        <v>0</v>
      </c>
      <c r="AF102" s="12">
        <f>AF$5*AO102</f>
        <v>0</v>
      </c>
      <c r="AG102" s="12">
        <f>AG$5*AO102</f>
        <v>0</v>
      </c>
      <c r="AH102" s="12">
        <f>AH$5*AO102</f>
        <v>0</v>
      </c>
      <c r="AI102" s="12">
        <f>AI$5*AO102</f>
        <v>0</v>
      </c>
      <c r="AJ102" s="12">
        <f>AJ$5*AO102</f>
        <v>0</v>
      </c>
      <c r="AK102" s="12">
        <f>AK$5*AO102</f>
        <v>0</v>
      </c>
      <c r="AL102" s="12">
        <f>AL$5*AO102</f>
        <v>0</v>
      </c>
      <c r="AN102" t="s">
        <v>1304</v>
      </c>
      <c r="AO102">
        <f>_xlfn.XLOOKUP(AN102,'KPI Impacts'!$B$2:$H$2,'KPI Impacts'!$B102:$H102)</f>
        <v>0</v>
      </c>
      <c r="AR102" s="12">
        <f>AR$5*BC102</f>
        <v>0</v>
      </c>
      <c r="AS102" s="12">
        <f>AS$5*BC102</f>
        <v>0</v>
      </c>
      <c r="AT102" s="12">
        <f>AT$5*BC102</f>
        <v>0</v>
      </c>
      <c r="AU102" s="12">
        <f>AU$5*BC102</f>
        <v>0</v>
      </c>
      <c r="AV102" s="12">
        <f>AV$5*BC102</f>
        <v>0</v>
      </c>
      <c r="AW102" s="12">
        <f>AW$5*BC102</f>
        <v>0</v>
      </c>
      <c r="AX102" s="12">
        <f>AX$5*BC102</f>
        <v>0</v>
      </c>
      <c r="AY102" s="12">
        <f>AY$5*BC102</f>
        <v>0</v>
      </c>
      <c r="AZ102" s="12">
        <f>AZ$5*BC102</f>
        <v>0</v>
      </c>
      <c r="BB102" s="16" t="s">
        <v>1304</v>
      </c>
      <c r="BC102">
        <f>_xlfn.XLOOKUP(BB102,'KPI Impacts'!$B$2:$H$2,'KPI Impacts'!$B102:$H102)</f>
        <v>0</v>
      </c>
      <c r="BF102" s="12">
        <f>BF$5*BQ102</f>
        <v>0</v>
      </c>
      <c r="BG102" s="12">
        <f>BG$5*BQ102</f>
        <v>0</v>
      </c>
      <c r="BH102" s="12">
        <f>BH$5*BQ102</f>
        <v>0</v>
      </c>
      <c r="BI102" s="12">
        <f>BI$5*BQ102</f>
        <v>0</v>
      </c>
      <c r="BJ102" s="12">
        <f>BJ$5*BQ102</f>
        <v>0</v>
      </c>
      <c r="BK102" s="12">
        <f>BK$5*BQ102</f>
        <v>0</v>
      </c>
      <c r="BL102" s="12">
        <f>BL$5*BQ102</f>
        <v>0</v>
      </c>
      <c r="BM102" s="12">
        <f>BM$5*BQ102</f>
        <v>0</v>
      </c>
      <c r="BN102" s="12">
        <f>BN$5*BQ102</f>
        <v>0</v>
      </c>
      <c r="BP102" s="16" t="s">
        <v>1304</v>
      </c>
      <c r="BQ102">
        <f>_xlfn.XLOOKUP(BP102,'KPI Impacts'!$B$2:$H$2,'KPI Impacts'!$B102:$H102)</f>
        <v>0</v>
      </c>
      <c r="BT102" s="12">
        <f>BT$5*CE102</f>
        <v>0</v>
      </c>
      <c r="BU102" s="12">
        <f>BU$5*CE102</f>
        <v>0</v>
      </c>
      <c r="BV102" s="12">
        <f>BV$5*CE102</f>
        <v>0</v>
      </c>
      <c r="BW102" s="12">
        <f>BW$5*CE102</f>
        <v>0</v>
      </c>
      <c r="BX102" s="12">
        <f>BX$5*CE102</f>
        <v>0</v>
      </c>
      <c r="BY102" s="12">
        <f>BY$5*CE102</f>
        <v>0</v>
      </c>
      <c r="BZ102" s="12">
        <f>BZ$5*CE102</f>
        <v>0</v>
      </c>
      <c r="CA102" s="12">
        <f>CA$5*CE102</f>
        <v>0</v>
      </c>
      <c r="CB102" s="12">
        <f>CB$5*CE102</f>
        <v>0</v>
      </c>
      <c r="CD102" s="16" t="s">
        <v>1304</v>
      </c>
      <c r="CE102">
        <f>_xlfn.XLOOKUP(CD102,'KPI Impacts'!$B$2:$H$2,'KPI Impacts'!$B102:$H102)</f>
        <v>0</v>
      </c>
      <c r="CH102" s="12">
        <f>CH$5*CS102</f>
        <v>0</v>
      </c>
      <c r="CI102" s="12">
        <f>CI$5*CS102</f>
        <v>0</v>
      </c>
      <c r="CJ102" s="12">
        <f>CJ$5*CS102</f>
        <v>0</v>
      </c>
      <c r="CK102" s="12">
        <f>CK$5*CS102</f>
        <v>0</v>
      </c>
      <c r="CL102" s="12">
        <f>CL$5*CS102</f>
        <v>0</v>
      </c>
      <c r="CM102" s="12">
        <f>CM$5*CS102</f>
        <v>0</v>
      </c>
      <c r="CN102" s="12">
        <f>CN$5*CS102</f>
        <v>0</v>
      </c>
      <c r="CO102" s="12">
        <f>CO$5*CS102</f>
        <v>0</v>
      </c>
      <c r="CP102" s="12">
        <f>CP$5*CS102</f>
        <v>0</v>
      </c>
      <c r="CR102" s="16" t="s">
        <v>1304</v>
      </c>
      <c r="CS102">
        <f>_xlfn.XLOOKUP(CR102,'KPI Impacts'!$B$2:$H$2,'KPI Impacts'!$B102:$H102)</f>
        <v>0</v>
      </c>
      <c r="CV102" s="12">
        <f>CV$5*DG102</f>
        <v>0</v>
      </c>
      <c r="CW102" s="12">
        <f>CW$5*DG102</f>
        <v>0</v>
      </c>
      <c r="CX102" s="12">
        <f>CX$5*DG102</f>
        <v>0</v>
      </c>
      <c r="CY102" s="12">
        <f>CY$5*DG102</f>
        <v>0</v>
      </c>
      <c r="CZ102" s="12">
        <f>CZ$5*DG102</f>
        <v>0</v>
      </c>
      <c r="DA102" s="12">
        <f>DA$5*DG102</f>
        <v>0</v>
      </c>
      <c r="DB102" s="12">
        <f>DB$5*DG102</f>
        <v>0</v>
      </c>
      <c r="DC102" s="12">
        <f>DC$5*DG102</f>
        <v>0</v>
      </c>
      <c r="DD102" s="12">
        <f>DD$5*DG102</f>
        <v>0</v>
      </c>
      <c r="DF102" t="s">
        <v>1304</v>
      </c>
      <c r="DG102">
        <f>_xlfn.XLOOKUP(DF102,'KPI Impacts'!$B$2:$H$2,'KPI Impacts'!$B102:$H102)</f>
        <v>0</v>
      </c>
      <c r="DJ102" s="12">
        <f>DJ$5*DU102</f>
        <v>0</v>
      </c>
      <c r="DK102" s="12">
        <f>DK$5*DU102</f>
        <v>0</v>
      </c>
      <c r="DL102" s="12">
        <f>DL$5*DU102</f>
        <v>0</v>
      </c>
      <c r="DM102" s="12">
        <f>DM$5*DU102</f>
        <v>0</v>
      </c>
      <c r="DN102" s="12">
        <f>DN$5*DU102</f>
        <v>0</v>
      </c>
      <c r="DO102" s="12">
        <f>DO$5*DU102</f>
        <v>0</v>
      </c>
      <c r="DP102" s="12">
        <f>DP$5*DU102</f>
        <v>0</v>
      </c>
      <c r="DQ102" s="12">
        <f>DQ$5*DU102</f>
        <v>0</v>
      </c>
      <c r="DR102" s="12">
        <f>DR$5*DU102</f>
        <v>0</v>
      </c>
      <c r="DT102" t="s">
        <v>1304</v>
      </c>
      <c r="DU102">
        <f>_xlfn.XLOOKUP(DT102,'KPI Impacts'!$B$2:$H$2,'KPI Impacts'!$B102:$H102)</f>
        <v>0</v>
      </c>
      <c r="DX102" s="12"/>
      <c r="DY102" s="12"/>
      <c r="DZ102" s="12"/>
      <c r="EA102" s="12"/>
      <c r="EB102" s="12"/>
      <c r="EC102" s="12"/>
      <c r="ED102" s="12"/>
      <c r="EE102" s="12"/>
      <c r="EF102" s="12"/>
    </row>
    <row r="103" spans="1:136" x14ac:dyDescent="0.2">
      <c r="A103" t="s">
        <v>58</v>
      </c>
      <c r="B103" s="12">
        <f t="shared" si="136"/>
        <v>0</v>
      </c>
      <c r="C103" s="12">
        <f t="shared" si="136"/>
        <v>0</v>
      </c>
      <c r="D103" s="12">
        <f t="shared" si="136"/>
        <v>0</v>
      </c>
      <c r="E103" s="12">
        <f t="shared" si="136"/>
        <v>0</v>
      </c>
      <c r="F103" s="12">
        <f t="shared" si="136"/>
        <v>0</v>
      </c>
      <c r="G103" s="12">
        <f t="shared" si="136"/>
        <v>0</v>
      </c>
      <c r="H103" s="12">
        <f t="shared" si="136"/>
        <v>0</v>
      </c>
      <c r="I103" s="12">
        <f t="shared" si="136"/>
        <v>0</v>
      </c>
      <c r="J103" s="12">
        <f t="shared" si="136"/>
        <v>0</v>
      </c>
      <c r="P103" s="12">
        <f>P$5*AA103</f>
        <v>0</v>
      </c>
      <c r="Q103" s="12">
        <f>Q$5*AA103</f>
        <v>0</v>
      </c>
      <c r="R103" s="12">
        <f>R$5*AA103</f>
        <v>0</v>
      </c>
      <c r="S103" s="12">
        <f>S$5*AA103</f>
        <v>0</v>
      </c>
      <c r="T103" s="12">
        <f>T$5*AA103</f>
        <v>0</v>
      </c>
      <c r="U103" s="12">
        <f>U$5*AA103</f>
        <v>0</v>
      </c>
      <c r="V103" s="12">
        <f>V$5*AA103</f>
        <v>0</v>
      </c>
      <c r="W103" s="12">
        <f>W$5*AA103</f>
        <v>0</v>
      </c>
      <c r="X103" s="12">
        <f>X$5*AA103</f>
        <v>0</v>
      </c>
      <c r="Z103" t="s">
        <v>1304</v>
      </c>
      <c r="AA103">
        <f>_xlfn.XLOOKUP(Z103,'KPI Impacts'!$B$2:$H$2,'KPI Impacts'!$B103:$H103)</f>
        <v>0</v>
      </c>
      <c r="AD103" s="12">
        <f>AD$5*AO103</f>
        <v>0</v>
      </c>
      <c r="AE103" s="12">
        <f>AE$5*AO103</f>
        <v>0</v>
      </c>
      <c r="AF103" s="12">
        <f>AF$5*AO103</f>
        <v>0</v>
      </c>
      <c r="AG103" s="12">
        <f>AG$5*AO103</f>
        <v>0</v>
      </c>
      <c r="AH103" s="12">
        <f>AH$5*AO103</f>
        <v>0</v>
      </c>
      <c r="AI103" s="12">
        <f>AI$5*AO103</f>
        <v>0</v>
      </c>
      <c r="AJ103" s="12">
        <f>AJ$5*AO103</f>
        <v>0</v>
      </c>
      <c r="AK103" s="12">
        <f>AK$5*AO103</f>
        <v>0</v>
      </c>
      <c r="AL103" s="12">
        <f>AL$5*AO103</f>
        <v>0</v>
      </c>
      <c r="AN103" t="s">
        <v>1304</v>
      </c>
      <c r="AO103">
        <f>_xlfn.XLOOKUP(AN103,'KPI Impacts'!$B$2:$H$2,'KPI Impacts'!$B103:$H103)</f>
        <v>0</v>
      </c>
      <c r="AR103" s="12">
        <f>AR$5*BC103</f>
        <v>0</v>
      </c>
      <c r="AS103" s="12">
        <f>AS$5*BC103</f>
        <v>0</v>
      </c>
      <c r="AT103" s="12">
        <f>AT$5*BC103</f>
        <v>0</v>
      </c>
      <c r="AU103" s="12">
        <f>AU$5*BC103</f>
        <v>0</v>
      </c>
      <c r="AV103" s="12">
        <f>AV$5*BC103</f>
        <v>0</v>
      </c>
      <c r="AW103" s="12">
        <f>AW$5*BC103</f>
        <v>0</v>
      </c>
      <c r="AX103" s="12">
        <f>AX$5*BC103</f>
        <v>0</v>
      </c>
      <c r="AY103" s="12">
        <f>AY$5*BC103</f>
        <v>0</v>
      </c>
      <c r="AZ103" s="12">
        <f>AZ$5*BC103</f>
        <v>0</v>
      </c>
      <c r="BB103" s="16" t="s">
        <v>1304</v>
      </c>
      <c r="BC103">
        <f>_xlfn.XLOOKUP(BB103,'KPI Impacts'!$B$2:$H$2,'KPI Impacts'!$B103:$H103)</f>
        <v>0</v>
      </c>
      <c r="BF103" s="12">
        <f>BF$5*BQ103</f>
        <v>0</v>
      </c>
      <c r="BG103" s="12">
        <f>BG$5*BQ103</f>
        <v>0</v>
      </c>
      <c r="BH103" s="12">
        <f>BH$5*BQ103</f>
        <v>0</v>
      </c>
      <c r="BI103" s="12">
        <f>BI$5*BQ103</f>
        <v>0</v>
      </c>
      <c r="BJ103" s="12">
        <f>BJ$5*BQ103</f>
        <v>0</v>
      </c>
      <c r="BK103" s="12">
        <f>BK$5*BQ103</f>
        <v>0</v>
      </c>
      <c r="BL103" s="12">
        <f>BL$5*BQ103</f>
        <v>0</v>
      </c>
      <c r="BM103" s="12">
        <f>BM$5*BQ103</f>
        <v>0</v>
      </c>
      <c r="BN103" s="12">
        <f>BN$5*BQ103</f>
        <v>0</v>
      </c>
      <c r="BP103" s="16" t="s">
        <v>1304</v>
      </c>
      <c r="BQ103">
        <f>_xlfn.XLOOKUP(BP103,'KPI Impacts'!$B$2:$H$2,'KPI Impacts'!$B103:$H103)</f>
        <v>0</v>
      </c>
      <c r="BT103" s="12">
        <f>BT$5*CE103</f>
        <v>0</v>
      </c>
      <c r="BU103" s="12">
        <f>BU$5*CE103</f>
        <v>0</v>
      </c>
      <c r="BV103" s="12">
        <f>BV$5*CE103</f>
        <v>0</v>
      </c>
      <c r="BW103" s="12">
        <f>BW$5*CE103</f>
        <v>0</v>
      </c>
      <c r="BX103" s="12">
        <f>BX$5*CE103</f>
        <v>0</v>
      </c>
      <c r="BY103" s="12">
        <f>BY$5*CE103</f>
        <v>0</v>
      </c>
      <c r="BZ103" s="12">
        <f>BZ$5*CE103</f>
        <v>0</v>
      </c>
      <c r="CA103" s="12">
        <f>CA$5*CE103</f>
        <v>0</v>
      </c>
      <c r="CB103" s="12">
        <f>CB$5*CE103</f>
        <v>0</v>
      </c>
      <c r="CD103" s="16" t="s">
        <v>1304</v>
      </c>
      <c r="CE103">
        <f>_xlfn.XLOOKUP(CD103,'KPI Impacts'!$B$2:$H$2,'KPI Impacts'!$B103:$H103)</f>
        <v>0</v>
      </c>
      <c r="CH103" s="12">
        <f>CH$5*CS103</f>
        <v>0</v>
      </c>
      <c r="CI103" s="12">
        <f>CI$5*CS103</f>
        <v>0</v>
      </c>
      <c r="CJ103" s="12">
        <f>CJ$5*CS103</f>
        <v>0</v>
      </c>
      <c r="CK103" s="12">
        <f>CK$5*CS103</f>
        <v>0</v>
      </c>
      <c r="CL103" s="12">
        <f>CL$5*CS103</f>
        <v>0</v>
      </c>
      <c r="CM103" s="12">
        <f>CM$5*CS103</f>
        <v>0</v>
      </c>
      <c r="CN103" s="12">
        <f>CN$5*CS103</f>
        <v>0</v>
      </c>
      <c r="CO103" s="12">
        <f>CO$5*CS103</f>
        <v>0</v>
      </c>
      <c r="CP103" s="12">
        <f>CP$5*CS103</f>
        <v>0</v>
      </c>
      <c r="CR103" s="29" t="s">
        <v>1307</v>
      </c>
      <c r="CS103">
        <f>_xlfn.XLOOKUP(CR103,'KPI Impacts'!$B$2:$H$2,'KPI Impacts'!$B103:$H103)</f>
        <v>-0.8</v>
      </c>
      <c r="CV103" s="12">
        <f>CV$5*DG103</f>
        <v>0</v>
      </c>
      <c r="CW103" s="12">
        <f>CW$5*DG103</f>
        <v>0</v>
      </c>
      <c r="CX103" s="12">
        <f>CX$5*DG103</f>
        <v>0</v>
      </c>
      <c r="CY103" s="12">
        <f>CY$5*DG103</f>
        <v>0</v>
      </c>
      <c r="CZ103" s="12">
        <f>CZ$5*DG103</f>
        <v>0</v>
      </c>
      <c r="DA103" s="12">
        <f>DA$5*DG103</f>
        <v>0</v>
      </c>
      <c r="DB103" s="12">
        <f>DB$5*DG103</f>
        <v>0</v>
      </c>
      <c r="DC103" s="12">
        <f>DC$5*DG103</f>
        <v>0</v>
      </c>
      <c r="DD103" s="12">
        <f>DD$5*DG103</f>
        <v>0</v>
      </c>
      <c r="DF103" t="s">
        <v>1304</v>
      </c>
      <c r="DG103">
        <f>_xlfn.XLOOKUP(DF103,'KPI Impacts'!$B$2:$H$2,'KPI Impacts'!$B103:$H103)</f>
        <v>0</v>
      </c>
      <c r="DJ103" s="12">
        <f>DJ$5*DU103</f>
        <v>0</v>
      </c>
      <c r="DK103" s="12">
        <f>DK$5*DU103</f>
        <v>0</v>
      </c>
      <c r="DL103" s="12">
        <f>DL$5*DU103</f>
        <v>0</v>
      </c>
      <c r="DM103" s="12">
        <f>DM$5*DU103</f>
        <v>0</v>
      </c>
      <c r="DN103" s="12">
        <f>DN$5*DU103</f>
        <v>0</v>
      </c>
      <c r="DO103" s="12">
        <f>DO$5*DU103</f>
        <v>0</v>
      </c>
      <c r="DP103" s="12">
        <f>DP$5*DU103</f>
        <v>0</v>
      </c>
      <c r="DQ103" s="12">
        <f>DQ$5*DU103</f>
        <v>0</v>
      </c>
      <c r="DR103" s="12">
        <f>DR$5*DU103</f>
        <v>0</v>
      </c>
      <c r="DT103" t="s">
        <v>1304</v>
      </c>
      <c r="DU103">
        <f>_xlfn.XLOOKUP(DT103,'KPI Impacts'!$B$2:$H$2,'KPI Impacts'!$B103:$H103)</f>
        <v>0</v>
      </c>
      <c r="DX103" s="12"/>
      <c r="DY103" s="12"/>
      <c r="DZ103" s="12"/>
      <c r="EA103" s="12"/>
      <c r="EB103" s="12"/>
      <c r="EC103" s="12"/>
      <c r="ED103" s="12"/>
      <c r="EE103" s="12"/>
      <c r="EF103" s="12"/>
    </row>
    <row r="104" spans="1:136" x14ac:dyDescent="0.2">
      <c r="A104" t="s">
        <v>1296</v>
      </c>
      <c r="B104" s="12">
        <f t="shared" si="136"/>
        <v>0</v>
      </c>
      <c r="C104" s="12">
        <f t="shared" si="136"/>
        <v>0</v>
      </c>
      <c r="D104" s="12">
        <f t="shared" si="136"/>
        <v>0</v>
      </c>
      <c r="E104" s="12">
        <f t="shared" si="136"/>
        <v>0</v>
      </c>
      <c r="F104" s="12">
        <f t="shared" si="136"/>
        <v>0</v>
      </c>
      <c r="G104" s="12">
        <f t="shared" si="136"/>
        <v>0</v>
      </c>
      <c r="H104" s="12">
        <f t="shared" si="136"/>
        <v>0</v>
      </c>
      <c r="I104" s="12">
        <f t="shared" si="136"/>
        <v>0</v>
      </c>
      <c r="J104" s="12">
        <f t="shared" si="136"/>
        <v>0</v>
      </c>
      <c r="P104" s="12">
        <f>P$5*AA104</f>
        <v>0</v>
      </c>
      <c r="Q104" s="12">
        <f>Q$5*AA104</f>
        <v>0</v>
      </c>
      <c r="R104" s="12">
        <f>R$5*AA104</f>
        <v>0</v>
      </c>
      <c r="S104" s="12">
        <f>S$5*AA104</f>
        <v>0</v>
      </c>
      <c r="T104" s="12">
        <f>T$5*AA104</f>
        <v>0</v>
      </c>
      <c r="U104" s="12">
        <f>U$5*AA104</f>
        <v>0</v>
      </c>
      <c r="V104" s="12">
        <f>V$5*AA104</f>
        <v>0</v>
      </c>
      <c r="W104" s="12">
        <f>W$5*AA104</f>
        <v>0</v>
      </c>
      <c r="X104" s="12">
        <f>X$5*AA104</f>
        <v>0</v>
      </c>
      <c r="Z104" t="s">
        <v>1304</v>
      </c>
      <c r="AA104">
        <f>_xlfn.XLOOKUP(Z104,'KPI Impacts'!$B$2:$H$2,'KPI Impacts'!$B104:$H104)</f>
        <v>0</v>
      </c>
      <c r="AD104" s="12">
        <f>AD$5*AO104</f>
        <v>0</v>
      </c>
      <c r="AE104" s="12">
        <f>AE$5*AO104</f>
        <v>0</v>
      </c>
      <c r="AF104" s="12">
        <f>AF$5*AO104</f>
        <v>0</v>
      </c>
      <c r="AG104" s="12">
        <f>AG$5*AO104</f>
        <v>0</v>
      </c>
      <c r="AH104" s="12">
        <f>AH$5*AO104</f>
        <v>0</v>
      </c>
      <c r="AI104" s="12">
        <f>AI$5*AO104</f>
        <v>0</v>
      </c>
      <c r="AJ104" s="12">
        <f>AJ$5*AO104</f>
        <v>0</v>
      </c>
      <c r="AK104" s="12">
        <f>AK$5*AO104</f>
        <v>0</v>
      </c>
      <c r="AL104" s="12">
        <f>AL$5*AO104</f>
        <v>0</v>
      </c>
      <c r="AN104" t="s">
        <v>1304</v>
      </c>
      <c r="AO104">
        <f>_xlfn.XLOOKUP(AN104,'KPI Impacts'!$B$2:$H$2,'KPI Impacts'!$B104:$H104)</f>
        <v>0</v>
      </c>
      <c r="AR104" s="12">
        <f>AR$5*BC104</f>
        <v>0</v>
      </c>
      <c r="AS104" s="12">
        <f>AS$5*BC104</f>
        <v>0</v>
      </c>
      <c r="AT104" s="12">
        <f>AT$5*BC104</f>
        <v>0</v>
      </c>
      <c r="AU104" s="12">
        <f>AU$5*BC104</f>
        <v>0</v>
      </c>
      <c r="AV104" s="12">
        <f>AV$5*BC104</f>
        <v>0</v>
      </c>
      <c r="AW104" s="12">
        <f>AW$5*BC104</f>
        <v>0</v>
      </c>
      <c r="AX104" s="12">
        <f>AX$5*BC104</f>
        <v>0</v>
      </c>
      <c r="AY104" s="12">
        <f>AY$5*BC104</f>
        <v>0</v>
      </c>
      <c r="AZ104" s="12">
        <f>AZ$5*BC104</f>
        <v>0</v>
      </c>
      <c r="BB104" s="16" t="s">
        <v>1304</v>
      </c>
      <c r="BC104">
        <f>_xlfn.XLOOKUP(BB104,'KPI Impacts'!$B$2:$H$2,'KPI Impacts'!$B104:$H104)</f>
        <v>0</v>
      </c>
      <c r="BF104" s="12">
        <f>BF$5*BQ104</f>
        <v>0</v>
      </c>
      <c r="BG104" s="12">
        <f>BG$5*BQ104</f>
        <v>0</v>
      </c>
      <c r="BH104" s="12">
        <f>BH$5*BQ104</f>
        <v>0</v>
      </c>
      <c r="BI104" s="12">
        <f>BI$5*BQ104</f>
        <v>0</v>
      </c>
      <c r="BJ104" s="12">
        <f>BJ$5*BQ104</f>
        <v>0</v>
      </c>
      <c r="BK104" s="12">
        <f>BK$5*BQ104</f>
        <v>0</v>
      </c>
      <c r="BL104" s="12">
        <f>BL$5*BQ104</f>
        <v>0</v>
      </c>
      <c r="BM104" s="12">
        <f>BM$5*BQ104</f>
        <v>0</v>
      </c>
      <c r="BN104" s="12">
        <f>BN$5*BQ104</f>
        <v>0</v>
      </c>
      <c r="BP104" s="16" t="s">
        <v>1304</v>
      </c>
      <c r="BQ104">
        <f>_xlfn.XLOOKUP(BP104,'KPI Impacts'!$B$2:$H$2,'KPI Impacts'!$B104:$H104)</f>
        <v>0</v>
      </c>
      <c r="BT104" s="12">
        <f>BT$5*CE104</f>
        <v>0</v>
      </c>
      <c r="BU104" s="12">
        <f>BU$5*CE104</f>
        <v>0</v>
      </c>
      <c r="BV104" s="12">
        <f>BV$5*CE104</f>
        <v>0</v>
      </c>
      <c r="BW104" s="12">
        <f>BW$5*CE104</f>
        <v>0</v>
      </c>
      <c r="BX104" s="12">
        <f>BX$5*CE104</f>
        <v>0</v>
      </c>
      <c r="BY104" s="12">
        <f>BY$5*CE104</f>
        <v>0</v>
      </c>
      <c r="BZ104" s="12">
        <f>BZ$5*CE104</f>
        <v>0</v>
      </c>
      <c r="CA104" s="12">
        <f>CA$5*CE104</f>
        <v>0</v>
      </c>
      <c r="CB104" s="12">
        <f>CB$5*CE104</f>
        <v>0</v>
      </c>
      <c r="CD104" s="16" t="s">
        <v>1304</v>
      </c>
      <c r="CE104">
        <f>_xlfn.XLOOKUP(CD104,'KPI Impacts'!$B$2:$H$2,'KPI Impacts'!$B104:$H104)</f>
        <v>0</v>
      </c>
      <c r="CH104" s="12">
        <f>CH$5*CS104</f>
        <v>0</v>
      </c>
      <c r="CI104" s="12">
        <f>CI$5*CS104</f>
        <v>0</v>
      </c>
      <c r="CJ104" s="12">
        <f>CJ$5*CS104</f>
        <v>0</v>
      </c>
      <c r="CK104" s="12">
        <f>CK$5*CS104</f>
        <v>0</v>
      </c>
      <c r="CL104" s="12">
        <f>CL$5*CS104</f>
        <v>0</v>
      </c>
      <c r="CM104" s="12">
        <f>CM$5*CS104</f>
        <v>0</v>
      </c>
      <c r="CN104" s="12">
        <f>CN$5*CS104</f>
        <v>0</v>
      </c>
      <c r="CO104" s="12">
        <f>CO$5*CS104</f>
        <v>0</v>
      </c>
      <c r="CP104" s="12">
        <f>CP$5*CS104</f>
        <v>0</v>
      </c>
      <c r="CR104" s="16" t="s">
        <v>1304</v>
      </c>
      <c r="CS104">
        <f>_xlfn.XLOOKUP(CR104,'KPI Impacts'!$B$2:$H$2,'KPI Impacts'!$B104:$H104)</f>
        <v>0</v>
      </c>
      <c r="CV104" s="12">
        <f>CV$5*DG104</f>
        <v>0</v>
      </c>
      <c r="CW104" s="12">
        <f>CW$5*DG104</f>
        <v>0</v>
      </c>
      <c r="CX104" s="12">
        <f>CX$5*DG104</f>
        <v>0</v>
      </c>
      <c r="CY104" s="12">
        <f>CY$5*DG104</f>
        <v>0</v>
      </c>
      <c r="CZ104" s="12">
        <f>CZ$5*DG104</f>
        <v>0</v>
      </c>
      <c r="DA104" s="12">
        <f>DA$5*DG104</f>
        <v>0</v>
      </c>
      <c r="DB104" s="12">
        <f>DB$5*DG104</f>
        <v>0</v>
      </c>
      <c r="DC104" s="12">
        <f>DC$5*DG104</f>
        <v>0</v>
      </c>
      <c r="DD104" s="12">
        <f>DD$5*DG104</f>
        <v>0</v>
      </c>
      <c r="DF104" t="s">
        <v>1304</v>
      </c>
      <c r="DG104">
        <f>_xlfn.XLOOKUP(DF104,'KPI Impacts'!$B$2:$H$2,'KPI Impacts'!$B104:$H104)</f>
        <v>0</v>
      </c>
      <c r="DJ104" s="12">
        <f>DJ$5*DU104</f>
        <v>0</v>
      </c>
      <c r="DK104" s="12">
        <f>DK$5*DU104</f>
        <v>0</v>
      </c>
      <c r="DL104" s="12">
        <f>DL$5*DU104</f>
        <v>0</v>
      </c>
      <c r="DM104" s="12">
        <f>DM$5*DU104</f>
        <v>0</v>
      </c>
      <c r="DN104" s="12">
        <f>DN$5*DU104</f>
        <v>0</v>
      </c>
      <c r="DO104" s="12">
        <f>DO$5*DU104</f>
        <v>0</v>
      </c>
      <c r="DP104" s="12">
        <f>DP$5*DU104</f>
        <v>0</v>
      </c>
      <c r="DQ104" s="12">
        <f>DQ$5*DU104</f>
        <v>0</v>
      </c>
      <c r="DR104" s="12">
        <f>DR$5*DU104</f>
        <v>0</v>
      </c>
      <c r="DT104" t="s">
        <v>1304</v>
      </c>
      <c r="DU104">
        <f>_xlfn.XLOOKUP(DT104,'KPI Impacts'!$B$2:$H$2,'KPI Impacts'!$B104:$H104)</f>
        <v>0</v>
      </c>
      <c r="DX104" s="12"/>
      <c r="DY104" s="12"/>
      <c r="DZ104" s="12"/>
      <c r="EA104" s="12"/>
      <c r="EB104" s="12"/>
      <c r="EC104" s="12"/>
      <c r="ED104" s="12"/>
      <c r="EE104" s="12"/>
      <c r="EF104" s="12"/>
    </row>
    <row r="105" spans="1:136" x14ac:dyDescent="0.2">
      <c r="EA105" s="12"/>
      <c r="EB105" s="12"/>
    </row>
    <row r="106" spans="1:136" x14ac:dyDescent="0.2">
      <c r="EA106" s="12"/>
      <c r="EB106" s="12"/>
    </row>
    <row r="107" spans="1:136" x14ac:dyDescent="0.2">
      <c r="EA107" s="12"/>
      <c r="EB107" s="12"/>
    </row>
    <row r="108" spans="1:136" x14ac:dyDescent="0.2">
      <c r="A108" s="5"/>
      <c r="EA108" s="12"/>
      <c r="EB108" s="12"/>
    </row>
    <row r="109" spans="1:136" x14ac:dyDescent="0.2">
      <c r="EA109" s="12"/>
      <c r="EB109" s="12"/>
    </row>
    <row r="110" spans="1:136" x14ac:dyDescent="0.2">
      <c r="EA110" s="12"/>
      <c r="EB110" s="12"/>
    </row>
    <row r="111" spans="1:136" x14ac:dyDescent="0.2">
      <c r="EA111" s="12"/>
      <c r="EB111" s="12"/>
    </row>
    <row r="112" spans="1:136" x14ac:dyDescent="0.2">
      <c r="EA112" s="12"/>
      <c r="EB112" s="12"/>
    </row>
    <row r="113" spans="131:132" x14ac:dyDescent="0.2">
      <c r="EA113" s="12"/>
      <c r="EB113" s="12"/>
    </row>
    <row r="114" spans="131:132" x14ac:dyDescent="0.2">
      <c r="EA114" s="12"/>
      <c r="EB114" s="12"/>
    </row>
    <row r="115" spans="131:132" x14ac:dyDescent="0.2">
      <c r="EA115" s="12"/>
      <c r="EB115" s="12"/>
    </row>
    <row r="116" spans="131:132" x14ac:dyDescent="0.2">
      <c r="EA116" s="12"/>
      <c r="EB116" s="12"/>
    </row>
    <row r="117" spans="131:132" x14ac:dyDescent="0.2">
      <c r="EA117" s="12"/>
      <c r="EB117" s="12"/>
    </row>
    <row r="118" spans="131:132" x14ac:dyDescent="0.2">
      <c r="EA118" s="12"/>
      <c r="EB118" s="12"/>
    </row>
    <row r="119" spans="131:132" x14ac:dyDescent="0.2">
      <c r="EA119" s="12"/>
      <c r="EB119" s="12"/>
    </row>
    <row r="120" spans="131:132" x14ac:dyDescent="0.2">
      <c r="EA120" s="12"/>
      <c r="EB120" s="12"/>
    </row>
    <row r="121" spans="131:132" x14ac:dyDescent="0.2">
      <c r="EA121" s="12"/>
      <c r="EB121" s="12"/>
    </row>
    <row r="122" spans="131:132" x14ac:dyDescent="0.2">
      <c r="EA122" s="12"/>
      <c r="EB122" s="12"/>
    </row>
    <row r="123" spans="131:132" x14ac:dyDescent="0.2">
      <c r="EA123" s="12"/>
      <c r="EB123" s="12"/>
    </row>
    <row r="124" spans="131:132" x14ac:dyDescent="0.2">
      <c r="EA124" s="12"/>
      <c r="EB124" s="12"/>
    </row>
    <row r="125" spans="131:132" x14ac:dyDescent="0.2">
      <c r="EA125" s="12"/>
      <c r="EB125" s="12"/>
    </row>
    <row r="126" spans="131:132" x14ac:dyDescent="0.2">
      <c r="EA126" s="12"/>
      <c r="EB126" s="12"/>
    </row>
    <row r="127" spans="131:132" x14ac:dyDescent="0.2">
      <c r="EA127" s="12"/>
      <c r="EB127" s="12"/>
    </row>
    <row r="128" spans="131:132" x14ac:dyDescent="0.2">
      <c r="EA128" s="12"/>
      <c r="EB128" s="12"/>
    </row>
    <row r="129" spans="131:132" x14ac:dyDescent="0.2">
      <c r="EA129" s="12"/>
      <c r="EB129" s="12"/>
    </row>
    <row r="130" spans="131:132" x14ac:dyDescent="0.2">
      <c r="EA130" s="12"/>
      <c r="EB130" s="12"/>
    </row>
    <row r="131" spans="131:132" x14ac:dyDescent="0.2">
      <c r="EA131" s="12"/>
      <c r="EB131" s="12"/>
    </row>
    <row r="132" spans="131:132" x14ac:dyDescent="0.2">
      <c r="EA132" s="12"/>
      <c r="EB132" s="12"/>
    </row>
    <row r="133" spans="131:132" x14ac:dyDescent="0.2">
      <c r="EA133" s="12"/>
      <c r="EB133" s="12"/>
    </row>
    <row r="134" spans="131:132" x14ac:dyDescent="0.2">
      <c r="EA134" s="12"/>
      <c r="EB134" s="12"/>
    </row>
    <row r="135" spans="131:132" x14ac:dyDescent="0.2">
      <c r="EA135" s="12"/>
      <c r="EB135" s="12"/>
    </row>
    <row r="136" spans="131:132" x14ac:dyDescent="0.2">
      <c r="EA136" s="12"/>
      <c r="EB136" s="12"/>
    </row>
    <row r="137" spans="131:132" x14ac:dyDescent="0.2">
      <c r="EA137" s="12"/>
      <c r="EB137" s="12"/>
    </row>
    <row r="138" spans="131:132" x14ac:dyDescent="0.2">
      <c r="EA138" s="12"/>
      <c r="EB138" s="12"/>
    </row>
    <row r="139" spans="131:132" x14ac:dyDescent="0.2">
      <c r="EA139" s="12"/>
      <c r="EB139" s="12"/>
    </row>
    <row r="140" spans="131:132" x14ac:dyDescent="0.2">
      <c r="EA140" s="12"/>
      <c r="EB140" s="12"/>
    </row>
    <row r="141" spans="131:132" x14ac:dyDescent="0.2">
      <c r="EA141" s="12"/>
      <c r="EB141" s="12"/>
    </row>
    <row r="142" spans="131:132" x14ac:dyDescent="0.2">
      <c r="EA142" s="12"/>
      <c r="EB142" s="12"/>
    </row>
    <row r="143" spans="131:132" x14ac:dyDescent="0.2">
      <c r="EA143" s="12"/>
      <c r="EB143" s="12"/>
    </row>
    <row r="144" spans="131:132" x14ac:dyDescent="0.2">
      <c r="EA144" s="12"/>
      <c r="EB144" s="12"/>
    </row>
    <row r="145" spans="131:132" x14ac:dyDescent="0.2">
      <c r="EA145" s="12"/>
      <c r="EB145" s="12"/>
    </row>
    <row r="146" spans="131:132" x14ac:dyDescent="0.2">
      <c r="EA146" s="12"/>
      <c r="EB146" s="12"/>
    </row>
    <row r="147" spans="131:132" x14ac:dyDescent="0.2">
      <c r="EA147" s="12"/>
      <c r="EB147" s="12"/>
    </row>
    <row r="148" spans="131:132" x14ac:dyDescent="0.2">
      <c r="EA148" s="12"/>
      <c r="EB148" s="12"/>
    </row>
    <row r="149" spans="131:132" x14ac:dyDescent="0.2">
      <c r="EA149" s="12"/>
      <c r="EB149" s="12"/>
    </row>
    <row r="150" spans="131:132" x14ac:dyDescent="0.2">
      <c r="EA150" s="12"/>
      <c r="EB150" s="12"/>
    </row>
    <row r="151" spans="131:132" x14ac:dyDescent="0.2">
      <c r="EA151" s="12"/>
      <c r="EB151" s="12"/>
    </row>
    <row r="152" spans="131:132" x14ac:dyDescent="0.2">
      <c r="EA152" s="12"/>
      <c r="EB152" s="12"/>
    </row>
    <row r="153" spans="131:132" x14ac:dyDescent="0.2">
      <c r="EA153" s="12"/>
      <c r="EB153" s="12"/>
    </row>
    <row r="154" spans="131:132" x14ac:dyDescent="0.2">
      <c r="EA154" s="12"/>
      <c r="EB154" s="12"/>
    </row>
    <row r="155" spans="131:132" x14ac:dyDescent="0.2">
      <c r="EA155" s="12"/>
      <c r="EB155" s="12"/>
    </row>
    <row r="156" spans="131:132" x14ac:dyDescent="0.2">
      <c r="EA156" s="12"/>
      <c r="EB156" s="12"/>
    </row>
    <row r="157" spans="131:132" x14ac:dyDescent="0.2">
      <c r="EA157" s="12"/>
      <c r="EB157" s="12"/>
    </row>
    <row r="158" spans="131:132" x14ac:dyDescent="0.2">
      <c r="EA158" s="12"/>
      <c r="EB158" s="12"/>
    </row>
    <row r="159" spans="131:132" x14ac:dyDescent="0.2">
      <c r="EA159" s="12"/>
      <c r="EB159" s="12"/>
    </row>
    <row r="160" spans="131:132" x14ac:dyDescent="0.2">
      <c r="EA160" s="12"/>
      <c r="EB160" s="12"/>
    </row>
    <row r="161" spans="131:132" x14ac:dyDescent="0.2">
      <c r="EA161" s="12"/>
      <c r="EB161" s="12"/>
    </row>
    <row r="162" spans="131:132" x14ac:dyDescent="0.2">
      <c r="EA162" s="12"/>
      <c r="EB162" s="12"/>
    </row>
    <row r="163" spans="131:132" x14ac:dyDescent="0.2">
      <c r="EA163" s="12"/>
      <c r="EB163" s="12"/>
    </row>
    <row r="164" spans="131:132" x14ac:dyDescent="0.2">
      <c r="EA164" s="12"/>
      <c r="EB164" s="12"/>
    </row>
    <row r="165" spans="131:132" x14ac:dyDescent="0.2">
      <c r="EA165" s="12"/>
      <c r="EB165" s="12"/>
    </row>
    <row r="166" spans="131:132" x14ac:dyDescent="0.2">
      <c r="EA166" s="12"/>
      <c r="EB166" s="12"/>
    </row>
    <row r="167" spans="131:132" x14ac:dyDescent="0.2">
      <c r="EA167" s="12"/>
      <c r="EB167" s="12"/>
    </row>
    <row r="168" spans="131:132" x14ac:dyDescent="0.2">
      <c r="EA168" s="12"/>
      <c r="EB168" s="12"/>
    </row>
    <row r="169" spans="131:132" x14ac:dyDescent="0.2">
      <c r="EA169" s="12"/>
      <c r="EB169" s="12"/>
    </row>
    <row r="170" spans="131:132" x14ac:dyDescent="0.2">
      <c r="EA170" s="12"/>
      <c r="EB170" s="12"/>
    </row>
    <row r="171" spans="131:132" x14ac:dyDescent="0.2">
      <c r="EA171" s="12"/>
      <c r="EB171" s="12"/>
    </row>
    <row r="172" spans="131:132" x14ac:dyDescent="0.2">
      <c r="EA172" s="12"/>
      <c r="EB172" s="12"/>
    </row>
    <row r="173" spans="131:132" x14ac:dyDescent="0.2">
      <c r="EA173" s="12"/>
      <c r="EB173" s="12"/>
    </row>
    <row r="174" spans="131:132" x14ac:dyDescent="0.2">
      <c r="EA174" s="12"/>
      <c r="EB174" s="12"/>
    </row>
    <row r="175" spans="131:132" x14ac:dyDescent="0.2">
      <c r="EA175" s="12"/>
      <c r="EB175" s="12"/>
    </row>
    <row r="176" spans="131:132" x14ac:dyDescent="0.2">
      <c r="EA176" s="12"/>
      <c r="EB176" s="12"/>
    </row>
    <row r="177" spans="131:132" x14ac:dyDescent="0.2">
      <c r="EA177" s="12"/>
      <c r="EB177" s="12"/>
    </row>
    <row r="178" spans="131:132" x14ac:dyDescent="0.2">
      <c r="EA178" s="12"/>
      <c r="EB178" s="12"/>
    </row>
    <row r="179" spans="131:132" x14ac:dyDescent="0.2">
      <c r="EA179" s="12"/>
      <c r="EB179" s="12"/>
    </row>
    <row r="180" spans="131:132" x14ac:dyDescent="0.2">
      <c r="EA180" s="12"/>
      <c r="EB180" s="12"/>
    </row>
    <row r="181" spans="131:132" x14ac:dyDescent="0.2">
      <c r="EA181" s="12"/>
      <c r="EB181" s="12"/>
    </row>
    <row r="182" spans="131:132" x14ac:dyDescent="0.2">
      <c r="EA182" s="12"/>
      <c r="EB182" s="12"/>
    </row>
    <row r="183" spans="131:132" x14ac:dyDescent="0.2">
      <c r="EA183" s="12"/>
      <c r="EB183" s="12"/>
    </row>
    <row r="184" spans="131:132" x14ac:dyDescent="0.2">
      <c r="EA184" s="12"/>
      <c r="EB184" s="12"/>
    </row>
    <row r="185" spans="131:132" x14ac:dyDescent="0.2">
      <c r="EA185" s="12"/>
      <c r="EB185" s="12"/>
    </row>
    <row r="186" spans="131:132" x14ac:dyDescent="0.2">
      <c r="EA186" s="12"/>
      <c r="EB186" s="12"/>
    </row>
    <row r="187" spans="131:132" x14ac:dyDescent="0.2">
      <c r="EA187" s="12"/>
      <c r="EB187" s="12"/>
    </row>
    <row r="188" spans="131:132" x14ac:dyDescent="0.2">
      <c r="EA188" s="12"/>
      <c r="EB188" s="12"/>
    </row>
    <row r="189" spans="131:132" x14ac:dyDescent="0.2">
      <c r="EA189" s="12"/>
      <c r="EB189" s="12"/>
    </row>
    <row r="190" spans="131:132" x14ac:dyDescent="0.2">
      <c r="EA190" s="12"/>
      <c r="EB190" s="12"/>
    </row>
    <row r="191" spans="131:132" x14ac:dyDescent="0.2">
      <c r="EA191" s="12"/>
      <c r="EB191" s="12"/>
    </row>
    <row r="192" spans="131:132" x14ac:dyDescent="0.2">
      <c r="EA192" s="12"/>
      <c r="EB192" s="12"/>
    </row>
    <row r="193" spans="131:132" x14ac:dyDescent="0.2">
      <c r="EA193" s="12"/>
      <c r="EB193" s="12"/>
    </row>
    <row r="194" spans="131:132" x14ac:dyDescent="0.2">
      <c r="EA194" s="12"/>
      <c r="EB194" s="12"/>
    </row>
    <row r="195" spans="131:132" x14ac:dyDescent="0.2">
      <c r="EA195" s="12"/>
      <c r="EB195" s="12"/>
    </row>
    <row r="196" spans="131:132" x14ac:dyDescent="0.2">
      <c r="EA196" s="12"/>
      <c r="EB196" s="12"/>
    </row>
    <row r="197" spans="131:132" x14ac:dyDescent="0.2">
      <c r="EA197" s="12"/>
      <c r="EB197" s="12"/>
    </row>
    <row r="198" spans="131:132" x14ac:dyDescent="0.2">
      <c r="EA198" s="12"/>
      <c r="EB198" s="12"/>
    </row>
    <row r="199" spans="131:132" x14ac:dyDescent="0.2">
      <c r="EA199" s="12"/>
      <c r="EB199" s="12"/>
    </row>
    <row r="200" spans="131:132" x14ac:dyDescent="0.2">
      <c r="EA200" s="12"/>
      <c r="EB200" s="12"/>
    </row>
    <row r="201" spans="131:132" x14ac:dyDescent="0.2">
      <c r="EA201" s="12"/>
      <c r="EB201" s="12"/>
    </row>
    <row r="202" spans="131:132" x14ac:dyDescent="0.2">
      <c r="EA202" s="12"/>
      <c r="EB202" s="12"/>
    </row>
    <row r="203" spans="131:132" x14ac:dyDescent="0.2">
      <c r="EA203" s="12"/>
      <c r="EB203" s="12"/>
    </row>
    <row r="204" spans="131:132" x14ac:dyDescent="0.2">
      <c r="EA204" s="12"/>
      <c r="EB204" s="12"/>
    </row>
    <row r="205" spans="131:132" x14ac:dyDescent="0.2">
      <c r="EA205" s="12"/>
      <c r="EB205" s="12"/>
    </row>
    <row r="206" spans="131:132" x14ac:dyDescent="0.2">
      <c r="EA206" s="12"/>
      <c r="EB206" s="12"/>
    </row>
    <row r="207" spans="131:132" x14ac:dyDescent="0.2">
      <c r="EA207" s="12"/>
      <c r="EB207" s="12"/>
    </row>
    <row r="208" spans="131:132" x14ac:dyDescent="0.2">
      <c r="EA208" s="12"/>
      <c r="EB208" s="12"/>
    </row>
    <row r="209" spans="131:132" x14ac:dyDescent="0.2">
      <c r="EA209" s="12"/>
      <c r="EB209" s="12"/>
    </row>
    <row r="210" spans="131:132" x14ac:dyDescent="0.2">
      <c r="EA210" s="12"/>
      <c r="EB210" s="12"/>
    </row>
    <row r="211" spans="131:132" x14ac:dyDescent="0.2">
      <c r="EA211" s="12"/>
      <c r="EB211" s="12"/>
    </row>
    <row r="212" spans="131:132" x14ac:dyDescent="0.2">
      <c r="EA212" s="12"/>
      <c r="EB212" s="12"/>
    </row>
    <row r="213" spans="131:132" x14ac:dyDescent="0.2">
      <c r="EA213" s="12"/>
      <c r="EB213" s="12"/>
    </row>
    <row r="214" spans="131:132" x14ac:dyDescent="0.2">
      <c r="EA214" s="12"/>
      <c r="EB214" s="12"/>
    </row>
    <row r="215" spans="131:132" x14ac:dyDescent="0.2">
      <c r="EA215" s="12"/>
      <c r="EB215" s="12"/>
    </row>
    <row r="216" spans="131:132" x14ac:dyDescent="0.2">
      <c r="EA216" s="12"/>
      <c r="EB216" s="12"/>
    </row>
    <row r="217" spans="131:132" x14ac:dyDescent="0.2">
      <c r="EA217" s="12"/>
      <c r="EB217" s="12"/>
    </row>
    <row r="218" spans="131:132" x14ac:dyDescent="0.2">
      <c r="EA218" s="12"/>
      <c r="EB218" s="12"/>
    </row>
    <row r="219" spans="131:132" x14ac:dyDescent="0.2">
      <c r="EA219" s="12"/>
      <c r="EB219" s="12"/>
    </row>
    <row r="220" spans="131:132" x14ac:dyDescent="0.2">
      <c r="EA220" s="12"/>
      <c r="EB220" s="12"/>
    </row>
    <row r="221" spans="131:132" x14ac:dyDescent="0.2">
      <c r="EA221" s="12"/>
      <c r="EB221" s="12"/>
    </row>
    <row r="222" spans="131:132" x14ac:dyDescent="0.2">
      <c r="EA222" s="12"/>
      <c r="EB222" s="12"/>
    </row>
    <row r="223" spans="131:132" x14ac:dyDescent="0.2">
      <c r="EA223" s="12"/>
      <c r="EB223" s="12"/>
    </row>
    <row r="224" spans="131:132" x14ac:dyDescent="0.2">
      <c r="EA224" s="12"/>
      <c r="EB224" s="12"/>
    </row>
    <row r="225" spans="131:132" x14ac:dyDescent="0.2">
      <c r="EA225" s="12"/>
      <c r="EB225" s="12"/>
    </row>
    <row r="226" spans="131:132" x14ac:dyDescent="0.2">
      <c r="EA226" s="12"/>
      <c r="EB226" s="12"/>
    </row>
    <row r="227" spans="131:132" x14ac:dyDescent="0.2">
      <c r="EA227" s="12"/>
      <c r="EB227" s="12"/>
    </row>
    <row r="228" spans="131:132" x14ac:dyDescent="0.2">
      <c r="EA228" s="12"/>
      <c r="EB228" s="12"/>
    </row>
    <row r="229" spans="131:132" x14ac:dyDescent="0.2">
      <c r="EA229" s="12"/>
      <c r="EB229" s="12"/>
    </row>
    <row r="230" spans="131:132" x14ac:dyDescent="0.2">
      <c r="EA230" s="12"/>
      <c r="EB230" s="12"/>
    </row>
    <row r="231" spans="131:132" x14ac:dyDescent="0.2">
      <c r="EA231" s="12"/>
      <c r="EB231" s="12"/>
    </row>
    <row r="232" spans="131:132" x14ac:dyDescent="0.2">
      <c r="EA232" s="12"/>
      <c r="EB232" s="12"/>
    </row>
    <row r="233" spans="131:132" x14ac:dyDescent="0.2">
      <c r="EA233" s="12"/>
      <c r="EB233" s="12"/>
    </row>
    <row r="234" spans="131:132" x14ac:dyDescent="0.2">
      <c r="EA234" s="12"/>
      <c r="EB234" s="12"/>
    </row>
    <row r="235" spans="131:132" x14ac:dyDescent="0.2">
      <c r="EA235" s="12"/>
      <c r="EB235" s="12"/>
    </row>
    <row r="236" spans="131:132" x14ac:dyDescent="0.2">
      <c r="EA236" s="12"/>
      <c r="EB236" s="12"/>
    </row>
    <row r="237" spans="131:132" x14ac:dyDescent="0.2">
      <c r="EA237" s="12"/>
      <c r="EB237" s="12"/>
    </row>
    <row r="238" spans="131:132" x14ac:dyDescent="0.2">
      <c r="EA238" s="12"/>
      <c r="EB238" s="12"/>
    </row>
    <row r="239" spans="131:132" x14ac:dyDescent="0.2">
      <c r="EA239" s="12"/>
      <c r="EB239" s="12"/>
    </row>
    <row r="240" spans="131:132" x14ac:dyDescent="0.2">
      <c r="EA240" s="12"/>
      <c r="EB240" s="12"/>
    </row>
    <row r="241" spans="131:132" x14ac:dyDescent="0.2">
      <c r="EA241" s="12"/>
      <c r="EB241" s="12"/>
    </row>
    <row r="242" spans="131:132" x14ac:dyDescent="0.2">
      <c r="EA242" s="12"/>
      <c r="EB242" s="12"/>
    </row>
    <row r="243" spans="131:132" x14ac:dyDescent="0.2">
      <c r="EA243" s="12"/>
      <c r="EB243" s="12"/>
    </row>
    <row r="244" spans="131:132" x14ac:dyDescent="0.2">
      <c r="EA244" s="12"/>
      <c r="EB244" s="12"/>
    </row>
    <row r="245" spans="131:132" x14ac:dyDescent="0.2">
      <c r="EA245" s="12"/>
      <c r="EB245" s="12"/>
    </row>
    <row r="246" spans="131:132" x14ac:dyDescent="0.2">
      <c r="EA246" s="12"/>
      <c r="EB246" s="12"/>
    </row>
    <row r="247" spans="131:132" x14ac:dyDescent="0.2">
      <c r="EA247" s="12"/>
      <c r="EB247" s="12"/>
    </row>
    <row r="248" spans="131:132" x14ac:dyDescent="0.2">
      <c r="EA248" s="12"/>
      <c r="EB248" s="12"/>
    </row>
    <row r="249" spans="131:132" x14ac:dyDescent="0.2">
      <c r="EA249" s="12"/>
      <c r="EB249" s="12"/>
    </row>
    <row r="250" spans="131:132" x14ac:dyDescent="0.2">
      <c r="EA250" s="12"/>
      <c r="EB250" s="12"/>
    </row>
    <row r="251" spans="131:132" x14ac:dyDescent="0.2">
      <c r="EA251" s="12"/>
      <c r="EB251" s="12"/>
    </row>
    <row r="252" spans="131:132" x14ac:dyDescent="0.2">
      <c r="EA252" s="12"/>
      <c r="EB252" s="12"/>
    </row>
    <row r="253" spans="131:132" x14ac:dyDescent="0.2">
      <c r="EA253" s="12"/>
      <c r="EB253" s="12"/>
    </row>
    <row r="254" spans="131:132" x14ac:dyDescent="0.2">
      <c r="EA254" s="12"/>
      <c r="EB254" s="12"/>
    </row>
    <row r="255" spans="131:132" x14ac:dyDescent="0.2">
      <c r="EA255" s="12"/>
      <c r="EB255" s="12"/>
    </row>
    <row r="256" spans="131:132" x14ac:dyDescent="0.2">
      <c r="EA256" s="12"/>
      <c r="EB256" s="12"/>
    </row>
    <row r="257" spans="131:132" x14ac:dyDescent="0.2">
      <c r="EA257" s="12"/>
      <c r="EB257" s="12"/>
    </row>
    <row r="258" spans="131:132" x14ac:dyDescent="0.2">
      <c r="EA258" s="12"/>
      <c r="EB258" s="12"/>
    </row>
    <row r="259" spans="131:132" x14ac:dyDescent="0.2">
      <c r="EA259" s="12"/>
      <c r="EB259" s="12"/>
    </row>
    <row r="260" spans="131:132" x14ac:dyDescent="0.2">
      <c r="EA260" s="12"/>
      <c r="EB260" s="12"/>
    </row>
    <row r="261" spans="131:132" x14ac:dyDescent="0.2">
      <c r="EA261" s="12"/>
      <c r="EB261" s="12"/>
    </row>
    <row r="262" spans="131:132" x14ac:dyDescent="0.2">
      <c r="EA262" s="12"/>
      <c r="EB262" s="12"/>
    </row>
    <row r="263" spans="131:132" x14ac:dyDescent="0.2">
      <c r="EA263" s="12"/>
      <c r="EB263" s="12"/>
    </row>
    <row r="264" spans="131:132" x14ac:dyDescent="0.2">
      <c r="EA264" s="12"/>
      <c r="EB264" s="12"/>
    </row>
    <row r="265" spans="131:132" x14ac:dyDescent="0.2">
      <c r="EA265" s="12"/>
      <c r="EB265" s="12"/>
    </row>
    <row r="266" spans="131:132" x14ac:dyDescent="0.2">
      <c r="EA266" s="12"/>
      <c r="EB266" s="12"/>
    </row>
    <row r="267" spans="131:132" x14ac:dyDescent="0.2">
      <c r="EA267" s="12"/>
      <c r="EB267" s="12"/>
    </row>
    <row r="268" spans="131:132" x14ac:dyDescent="0.2">
      <c r="EA268" s="12"/>
      <c r="EB268" s="12"/>
    </row>
    <row r="269" spans="131:132" x14ac:dyDescent="0.2">
      <c r="EA269" s="12"/>
      <c r="EB269" s="12"/>
    </row>
    <row r="270" spans="131:132" x14ac:dyDescent="0.2">
      <c r="EA270" s="12"/>
      <c r="EB270" s="12"/>
    </row>
    <row r="271" spans="131:132" x14ac:dyDescent="0.2">
      <c r="EA271" s="12"/>
      <c r="EB271" s="12"/>
    </row>
    <row r="272" spans="131:132" x14ac:dyDescent="0.2">
      <c r="EA272" s="12"/>
      <c r="EB272" s="12"/>
    </row>
    <row r="273" spans="131:132" x14ac:dyDescent="0.2">
      <c r="EA273" s="12"/>
      <c r="EB273" s="12"/>
    </row>
    <row r="274" spans="131:132" x14ac:dyDescent="0.2">
      <c r="EA274" s="12"/>
      <c r="EB274" s="12"/>
    </row>
    <row r="275" spans="131:132" x14ac:dyDescent="0.2">
      <c r="EA275" s="12"/>
      <c r="EB275" s="12"/>
    </row>
    <row r="276" spans="131:132" x14ac:dyDescent="0.2">
      <c r="EA276" s="12"/>
      <c r="EB276" s="12"/>
    </row>
    <row r="277" spans="131:132" x14ac:dyDescent="0.2">
      <c r="EA277" s="12"/>
      <c r="EB277" s="12"/>
    </row>
    <row r="278" spans="131:132" x14ac:dyDescent="0.2">
      <c r="EA278" s="12"/>
      <c r="EB278" s="12"/>
    </row>
    <row r="279" spans="131:132" x14ac:dyDescent="0.2">
      <c r="EA279" s="12"/>
      <c r="EB279" s="12"/>
    </row>
    <row r="280" spans="131:132" x14ac:dyDescent="0.2">
      <c r="EA280" s="12"/>
      <c r="EB280" s="12"/>
    </row>
    <row r="281" spans="131:132" x14ac:dyDescent="0.2">
      <c r="EA281" s="12"/>
      <c r="EB281" s="12"/>
    </row>
    <row r="282" spans="131:132" x14ac:dyDescent="0.2">
      <c r="EA282" s="12"/>
      <c r="EB282" s="12"/>
    </row>
    <row r="283" spans="131:132" x14ac:dyDescent="0.2">
      <c r="EA283" s="12"/>
      <c r="EB283" s="12"/>
    </row>
    <row r="284" spans="131:132" x14ac:dyDescent="0.2">
      <c r="EA284" s="12"/>
      <c r="EB284" s="12"/>
    </row>
    <row r="285" spans="131:132" x14ac:dyDescent="0.2">
      <c r="EA285" s="12"/>
      <c r="EB285" s="12"/>
    </row>
    <row r="286" spans="131:132" x14ac:dyDescent="0.2">
      <c r="EA286" s="12"/>
      <c r="EB286" s="12"/>
    </row>
    <row r="287" spans="131:132" x14ac:dyDescent="0.2">
      <c r="EA287" s="12"/>
      <c r="EB287" s="12"/>
    </row>
    <row r="288" spans="131:132" x14ac:dyDescent="0.2">
      <c r="EA288" s="12"/>
      <c r="EB288" s="12"/>
    </row>
    <row r="289" spans="131:132" x14ac:dyDescent="0.2">
      <c r="EA289" s="12"/>
      <c r="EB289" s="12"/>
    </row>
    <row r="290" spans="131:132" x14ac:dyDescent="0.2">
      <c r="EA290" s="12"/>
      <c r="EB290" s="12"/>
    </row>
    <row r="291" spans="131:132" x14ac:dyDescent="0.2">
      <c r="EA291" s="12"/>
      <c r="EB291" s="12"/>
    </row>
    <row r="292" spans="131:132" x14ac:dyDescent="0.2">
      <c r="EA292" s="12"/>
      <c r="EB292" s="12"/>
    </row>
    <row r="293" spans="131:132" x14ac:dyDescent="0.2">
      <c r="EA293" s="12"/>
      <c r="EB293" s="12"/>
    </row>
    <row r="294" spans="131:132" x14ac:dyDescent="0.2">
      <c r="EA294" s="12"/>
      <c r="EB294" s="12"/>
    </row>
    <row r="295" spans="131:132" x14ac:dyDescent="0.2">
      <c r="EA295" s="12"/>
      <c r="EB295" s="12"/>
    </row>
    <row r="296" spans="131:132" x14ac:dyDescent="0.2">
      <c r="EA296" s="12"/>
      <c r="EB296" s="12"/>
    </row>
    <row r="297" spans="131:132" x14ac:dyDescent="0.2">
      <c r="EA297" s="12"/>
      <c r="EB297" s="12"/>
    </row>
    <row r="298" spans="131:132" x14ac:dyDescent="0.2">
      <c r="EA298" s="12"/>
      <c r="EB298" s="12"/>
    </row>
    <row r="299" spans="131:132" x14ac:dyDescent="0.2">
      <c r="EA299" s="12"/>
      <c r="EB299" s="12"/>
    </row>
    <row r="300" spans="131:132" x14ac:dyDescent="0.2">
      <c r="EA300" s="12"/>
      <c r="EB300" s="12"/>
    </row>
    <row r="301" spans="131:132" x14ac:dyDescent="0.2">
      <c r="EA301" s="12"/>
      <c r="EB301" s="12"/>
    </row>
    <row r="302" spans="131:132" x14ac:dyDescent="0.2">
      <c r="EA302" s="12"/>
      <c r="EB302" s="12"/>
    </row>
    <row r="303" spans="131:132" x14ac:dyDescent="0.2">
      <c r="EA303" s="12"/>
      <c r="EB303" s="12"/>
    </row>
    <row r="304" spans="131:132" x14ac:dyDescent="0.2">
      <c r="EA304" s="12"/>
      <c r="EB304" s="12"/>
    </row>
    <row r="305" spans="131:132" x14ac:dyDescent="0.2">
      <c r="EA305" s="12"/>
      <c r="EB305" s="12"/>
    </row>
    <row r="306" spans="131:132" x14ac:dyDescent="0.2">
      <c r="EA306" s="12"/>
      <c r="EB306" s="12"/>
    </row>
    <row r="307" spans="131:132" x14ac:dyDescent="0.2">
      <c r="EA307" s="12"/>
      <c r="EB307" s="12"/>
    </row>
    <row r="308" spans="131:132" x14ac:dyDescent="0.2">
      <c r="EA308" s="12"/>
      <c r="EB308" s="12"/>
    </row>
    <row r="309" spans="131:132" x14ac:dyDescent="0.2">
      <c r="EA309" s="12"/>
      <c r="EB309" s="12"/>
    </row>
    <row r="310" spans="131:132" x14ac:dyDescent="0.2">
      <c r="EA310" s="12"/>
      <c r="EB310" s="12"/>
    </row>
    <row r="311" spans="131:132" x14ac:dyDescent="0.2">
      <c r="EA311" s="12"/>
      <c r="EB311" s="12"/>
    </row>
    <row r="312" spans="131:132" x14ac:dyDescent="0.2">
      <c r="EA312" s="12"/>
      <c r="EB312" s="12"/>
    </row>
    <row r="313" spans="131:132" x14ac:dyDescent="0.2">
      <c r="EA313" s="12"/>
      <c r="EB313" s="12"/>
    </row>
    <row r="314" spans="131:132" x14ac:dyDescent="0.2">
      <c r="EA314" s="12"/>
      <c r="EB314" s="12"/>
    </row>
    <row r="315" spans="131:132" x14ac:dyDescent="0.2">
      <c r="EA315" s="12"/>
      <c r="EB315" s="12"/>
    </row>
    <row r="316" spans="131:132" x14ac:dyDescent="0.2">
      <c r="EA316" s="12"/>
      <c r="EB316" s="12"/>
    </row>
    <row r="317" spans="131:132" x14ac:dyDescent="0.2">
      <c r="EA317" s="12"/>
      <c r="EB317" s="12"/>
    </row>
    <row r="318" spans="131:132" x14ac:dyDescent="0.2">
      <c r="EA318" s="12"/>
      <c r="EB318" s="12"/>
    </row>
    <row r="319" spans="131:132" x14ac:dyDescent="0.2">
      <c r="EA319" s="12"/>
      <c r="EB319" s="12"/>
    </row>
    <row r="320" spans="131:132" x14ac:dyDescent="0.2">
      <c r="EA320" s="12"/>
      <c r="EB320" s="12"/>
    </row>
    <row r="321" spans="131:132" x14ac:dyDescent="0.2">
      <c r="EA321" s="12"/>
      <c r="EB321" s="12"/>
    </row>
    <row r="322" spans="131:132" x14ac:dyDescent="0.2">
      <c r="EA322" s="12"/>
      <c r="EB322" s="12"/>
    </row>
    <row r="323" spans="131:132" x14ac:dyDescent="0.2">
      <c r="EA323" s="12"/>
      <c r="EB323" s="12"/>
    </row>
    <row r="324" spans="131:132" x14ac:dyDescent="0.2">
      <c r="EA324" s="12"/>
      <c r="EB324" s="12"/>
    </row>
    <row r="325" spans="131:132" x14ac:dyDescent="0.2">
      <c r="EA325" s="12"/>
      <c r="EB325" s="12"/>
    </row>
    <row r="326" spans="131:132" x14ac:dyDescent="0.2">
      <c r="EA326" s="12"/>
      <c r="EB326" s="12"/>
    </row>
    <row r="327" spans="131:132" x14ac:dyDescent="0.2">
      <c r="EA327" s="12"/>
      <c r="EB327" s="12"/>
    </row>
    <row r="328" spans="131:132" x14ac:dyDescent="0.2">
      <c r="EA328" s="12"/>
      <c r="EB328" s="12"/>
    </row>
    <row r="329" spans="131:132" x14ac:dyDescent="0.2">
      <c r="EA329" s="12"/>
      <c r="EB329" s="12"/>
    </row>
    <row r="330" spans="131:132" x14ac:dyDescent="0.2">
      <c r="EA330" s="12"/>
      <c r="EB330" s="12"/>
    </row>
    <row r="331" spans="131:132" x14ac:dyDescent="0.2">
      <c r="EA331" s="12"/>
      <c r="EB331" s="12"/>
    </row>
    <row r="332" spans="131:132" x14ac:dyDescent="0.2">
      <c r="EA332" s="12"/>
      <c r="EB332" s="12"/>
    </row>
    <row r="333" spans="131:132" x14ac:dyDescent="0.2">
      <c r="EA333" s="12"/>
      <c r="EB333" s="12"/>
    </row>
    <row r="334" spans="131:132" x14ac:dyDescent="0.2">
      <c r="EA334" s="12"/>
      <c r="EB334" s="12"/>
    </row>
    <row r="335" spans="131:132" x14ac:dyDescent="0.2">
      <c r="EA335" s="12"/>
      <c r="EB335" s="12"/>
    </row>
    <row r="336" spans="131:132" x14ac:dyDescent="0.2">
      <c r="EA336" s="12"/>
      <c r="EB336" s="12"/>
    </row>
    <row r="337" spans="131:132" x14ac:dyDescent="0.2">
      <c r="EA337" s="12"/>
      <c r="EB337" s="12"/>
    </row>
    <row r="338" spans="131:132" x14ac:dyDescent="0.2">
      <c r="EA338" s="12"/>
      <c r="EB338" s="12"/>
    </row>
    <row r="339" spans="131:132" x14ac:dyDescent="0.2">
      <c r="EA339" s="12"/>
      <c r="EB339" s="12"/>
    </row>
    <row r="340" spans="131:132" x14ac:dyDescent="0.2">
      <c r="EA340" s="12"/>
      <c r="EB340" s="12"/>
    </row>
    <row r="341" spans="131:132" x14ac:dyDescent="0.2">
      <c r="EA341" s="12"/>
      <c r="EB341" s="12"/>
    </row>
    <row r="342" spans="131:132" x14ac:dyDescent="0.2">
      <c r="EA342" s="12"/>
      <c r="EB342" s="12"/>
    </row>
    <row r="343" spans="131:132" x14ac:dyDescent="0.2">
      <c r="EA343" s="12"/>
      <c r="EB343" s="12"/>
    </row>
    <row r="344" spans="131:132" x14ac:dyDescent="0.2">
      <c r="EA344" s="12"/>
      <c r="EB344" s="12"/>
    </row>
    <row r="345" spans="131:132" x14ac:dyDescent="0.2">
      <c r="EA345" s="12"/>
      <c r="EB345" s="12"/>
    </row>
    <row r="346" spans="131:132" x14ac:dyDescent="0.2">
      <c r="EA346" s="12"/>
      <c r="EB346" s="12"/>
    </row>
    <row r="347" spans="131:132" x14ac:dyDescent="0.2">
      <c r="EA347" s="12"/>
      <c r="EB347" s="12"/>
    </row>
    <row r="348" spans="131:132" x14ac:dyDescent="0.2">
      <c r="EA348" s="12"/>
      <c r="EB348" s="12"/>
    </row>
    <row r="349" spans="131:132" x14ac:dyDescent="0.2">
      <c r="EA349" s="12"/>
      <c r="EB349" s="12"/>
    </row>
    <row r="350" spans="131:132" x14ac:dyDescent="0.2">
      <c r="EA350" s="12"/>
      <c r="EB350" s="12"/>
    </row>
    <row r="351" spans="131:132" x14ac:dyDescent="0.2">
      <c r="EA351" s="12"/>
      <c r="EB351" s="12"/>
    </row>
    <row r="352" spans="131:132" x14ac:dyDescent="0.2">
      <c r="EA352" s="12"/>
      <c r="EB352" s="12"/>
    </row>
    <row r="353" spans="131:132" x14ac:dyDescent="0.2">
      <c r="EA353" s="12"/>
      <c r="EB353" s="12"/>
    </row>
    <row r="354" spans="131:132" x14ac:dyDescent="0.2">
      <c r="EA354" s="12"/>
      <c r="EB354" s="12"/>
    </row>
    <row r="355" spans="131:132" x14ac:dyDescent="0.2">
      <c r="EA355" s="12"/>
      <c r="EB355" s="12"/>
    </row>
    <row r="356" spans="131:132" x14ac:dyDescent="0.2">
      <c r="EA356" s="12"/>
      <c r="EB356" s="12"/>
    </row>
    <row r="357" spans="131:132" x14ac:dyDescent="0.2">
      <c r="EA357" s="12"/>
      <c r="EB357" s="12"/>
    </row>
    <row r="358" spans="131:132" x14ac:dyDescent="0.2">
      <c r="EA358" s="12"/>
      <c r="EB358" s="12"/>
    </row>
    <row r="359" spans="131:132" x14ac:dyDescent="0.2">
      <c r="EA359" s="12"/>
      <c r="EB359" s="12"/>
    </row>
    <row r="360" spans="131:132" x14ac:dyDescent="0.2">
      <c r="EA360" s="12"/>
      <c r="EB360" s="12"/>
    </row>
    <row r="361" spans="131:132" x14ac:dyDescent="0.2">
      <c r="EA361" s="12"/>
      <c r="EB361" s="12"/>
    </row>
    <row r="362" spans="131:132" x14ac:dyDescent="0.2">
      <c r="EA362" s="12"/>
      <c r="EB362" s="12"/>
    </row>
    <row r="363" spans="131:132" x14ac:dyDescent="0.2">
      <c r="EA363" s="12"/>
      <c r="EB363" s="12"/>
    </row>
    <row r="364" spans="131:132" x14ac:dyDescent="0.2">
      <c r="EA364" s="12"/>
      <c r="EB364" s="12"/>
    </row>
    <row r="365" spans="131:132" x14ac:dyDescent="0.2">
      <c r="EA365" s="12"/>
      <c r="EB365" s="12"/>
    </row>
    <row r="366" spans="131:132" x14ac:dyDescent="0.2">
      <c r="EA366" s="12"/>
      <c r="EB366" s="12"/>
    </row>
    <row r="367" spans="131:132" x14ac:dyDescent="0.2">
      <c r="EA367" s="12"/>
      <c r="EB367" s="12"/>
    </row>
    <row r="368" spans="131:132" x14ac:dyDescent="0.2">
      <c r="EA368" s="12"/>
      <c r="EB368" s="12"/>
    </row>
    <row r="369" spans="131:132" x14ac:dyDescent="0.2">
      <c r="EA369" s="12"/>
      <c r="EB369" s="12"/>
    </row>
    <row r="370" spans="131:132" x14ac:dyDescent="0.2">
      <c r="EA370" s="12"/>
      <c r="EB370" s="12"/>
    </row>
    <row r="371" spans="131:132" x14ac:dyDescent="0.2">
      <c r="EA371" s="12"/>
      <c r="EB371" s="12"/>
    </row>
    <row r="372" spans="131:132" x14ac:dyDescent="0.2">
      <c r="EA372" s="12"/>
      <c r="EB372" s="12"/>
    </row>
    <row r="373" spans="131:132" x14ac:dyDescent="0.2">
      <c r="EA373" s="12"/>
      <c r="EB373" s="12"/>
    </row>
    <row r="374" spans="131:132" x14ac:dyDescent="0.2">
      <c r="EA374" s="12"/>
      <c r="EB374" s="12"/>
    </row>
    <row r="375" spans="131:132" x14ac:dyDescent="0.2">
      <c r="EA375" s="12"/>
      <c r="EB375" s="12"/>
    </row>
    <row r="376" spans="131:132" x14ac:dyDescent="0.2">
      <c r="EA376" s="12"/>
      <c r="EB376" s="12"/>
    </row>
    <row r="377" spans="131:132" x14ac:dyDescent="0.2">
      <c r="EA377" s="12"/>
      <c r="EB377" s="12"/>
    </row>
    <row r="378" spans="131:132" x14ac:dyDescent="0.2">
      <c r="EA378" s="12"/>
      <c r="EB378" s="12"/>
    </row>
    <row r="379" spans="131:132" x14ac:dyDescent="0.2">
      <c r="EA379" s="12"/>
      <c r="EB379" s="12"/>
    </row>
    <row r="380" spans="131:132" x14ac:dyDescent="0.2">
      <c r="EA380" s="12"/>
      <c r="EB380" s="12"/>
    </row>
    <row r="381" spans="131:132" x14ac:dyDescent="0.2">
      <c r="EA381" s="12"/>
      <c r="EB381" s="12"/>
    </row>
    <row r="382" spans="131:132" x14ac:dyDescent="0.2">
      <c r="EA382" s="12"/>
      <c r="EB382" s="12"/>
    </row>
    <row r="383" spans="131:132" x14ac:dyDescent="0.2">
      <c r="EA383" s="12"/>
      <c r="EB383" s="12"/>
    </row>
    <row r="384" spans="131:132" x14ac:dyDescent="0.2">
      <c r="EA384" s="12"/>
      <c r="EB384" s="12"/>
    </row>
    <row r="385" spans="131:132" x14ac:dyDescent="0.2">
      <c r="EA385" s="12"/>
      <c r="EB385" s="12"/>
    </row>
    <row r="386" spans="131:132" x14ac:dyDescent="0.2">
      <c r="EA386" s="12"/>
      <c r="EB386" s="12"/>
    </row>
    <row r="387" spans="131:132" x14ac:dyDescent="0.2">
      <c r="EA387" s="12"/>
      <c r="EB387" s="12"/>
    </row>
    <row r="388" spans="131:132" x14ac:dyDescent="0.2">
      <c r="EA388" s="12"/>
      <c r="EB388" s="12"/>
    </row>
    <row r="389" spans="131:132" x14ac:dyDescent="0.2">
      <c r="EA389" s="12"/>
      <c r="EB389" s="12"/>
    </row>
    <row r="390" spans="131:132" x14ac:dyDescent="0.2">
      <c r="EA390" s="12"/>
      <c r="EB390" s="12"/>
    </row>
    <row r="391" spans="131:132" x14ac:dyDescent="0.2">
      <c r="EA391" s="12"/>
      <c r="EB391" s="12"/>
    </row>
    <row r="392" spans="131:132" x14ac:dyDescent="0.2">
      <c r="EA392" s="12"/>
      <c r="EB392" s="12"/>
    </row>
    <row r="393" spans="131:132" x14ac:dyDescent="0.2">
      <c r="EA393" s="12"/>
      <c r="EB393" s="12"/>
    </row>
    <row r="394" spans="131:132" x14ac:dyDescent="0.2">
      <c r="EA394" s="12"/>
      <c r="EB394" s="12"/>
    </row>
    <row r="395" spans="131:132" x14ac:dyDescent="0.2">
      <c r="EA395" s="12"/>
      <c r="EB395" s="12"/>
    </row>
    <row r="396" spans="131:132" x14ac:dyDescent="0.2">
      <c r="EA396" s="12"/>
      <c r="EB396" s="12"/>
    </row>
    <row r="397" spans="131:132" x14ac:dyDescent="0.2">
      <c r="EA397" s="12"/>
      <c r="EB397" s="12"/>
    </row>
    <row r="398" spans="131:132" x14ac:dyDescent="0.2">
      <c r="EA398" s="12"/>
      <c r="EB398" s="12"/>
    </row>
    <row r="399" spans="131:132" x14ac:dyDescent="0.2">
      <c r="EA399" s="12"/>
      <c r="EB399" s="12"/>
    </row>
    <row r="400" spans="131:132" x14ac:dyDescent="0.2">
      <c r="EA400" s="12"/>
      <c r="EB400" s="12"/>
    </row>
    <row r="401" spans="131:132" x14ac:dyDescent="0.2">
      <c r="EA401" s="12"/>
      <c r="EB401" s="12"/>
    </row>
    <row r="402" spans="131:132" x14ac:dyDescent="0.2">
      <c r="EA402" s="12"/>
      <c r="EB402" s="12"/>
    </row>
    <row r="403" spans="131:132" x14ac:dyDescent="0.2">
      <c r="EA403" s="12"/>
      <c r="EB403" s="12"/>
    </row>
    <row r="404" spans="131:132" x14ac:dyDescent="0.2">
      <c r="EA404" s="12"/>
      <c r="EB404" s="12"/>
    </row>
    <row r="405" spans="131:132" x14ac:dyDescent="0.2">
      <c r="EA405" s="12"/>
      <c r="EB405" s="12"/>
    </row>
    <row r="406" spans="131:132" x14ac:dyDescent="0.2">
      <c r="EA406" s="12"/>
      <c r="EB406" s="12"/>
    </row>
    <row r="407" spans="131:132" x14ac:dyDescent="0.2">
      <c r="EA407" s="12"/>
      <c r="EB407" s="12"/>
    </row>
    <row r="408" spans="131:132" x14ac:dyDescent="0.2">
      <c r="EA408" s="12"/>
      <c r="EB408" s="12"/>
    </row>
    <row r="409" spans="131:132" x14ac:dyDescent="0.2">
      <c r="EA409" s="12"/>
      <c r="EB409" s="12"/>
    </row>
    <row r="410" spans="131:132" x14ac:dyDescent="0.2">
      <c r="EA410" s="12"/>
      <c r="EB410" s="12"/>
    </row>
    <row r="411" spans="131:132" x14ac:dyDescent="0.2">
      <c r="EA411" s="12"/>
      <c r="EB411" s="12"/>
    </row>
    <row r="412" spans="131:132" x14ac:dyDescent="0.2">
      <c r="EA412" s="12"/>
      <c r="EB412" s="12"/>
    </row>
    <row r="413" spans="131:132" x14ac:dyDescent="0.2">
      <c r="EA413" s="12"/>
      <c r="EB413" s="12"/>
    </row>
    <row r="414" spans="131:132" x14ac:dyDescent="0.2">
      <c r="EA414" s="12"/>
      <c r="EB414" s="12"/>
    </row>
    <row r="415" spans="131:132" x14ac:dyDescent="0.2">
      <c r="EA415" s="12"/>
      <c r="EB415" s="12"/>
    </row>
    <row r="416" spans="131:132" x14ac:dyDescent="0.2">
      <c r="EA416" s="12"/>
      <c r="EB416" s="12"/>
    </row>
    <row r="417" spans="131:132" x14ac:dyDescent="0.2">
      <c r="EA417" s="12"/>
      <c r="EB417" s="12"/>
    </row>
    <row r="418" spans="131:132" x14ac:dyDescent="0.2">
      <c r="EA418" s="12"/>
      <c r="EB418" s="12"/>
    </row>
    <row r="419" spans="131:132" x14ac:dyDescent="0.2">
      <c r="EA419" s="12"/>
      <c r="EB419" s="12"/>
    </row>
    <row r="420" spans="131:132" x14ac:dyDescent="0.2">
      <c r="EA420" s="12"/>
      <c r="EB420" s="12"/>
    </row>
    <row r="421" spans="131:132" x14ac:dyDescent="0.2">
      <c r="EA421" s="12"/>
      <c r="EB421" s="12"/>
    </row>
    <row r="422" spans="131:132" x14ac:dyDescent="0.2">
      <c r="EA422" s="12"/>
      <c r="EB422" s="12"/>
    </row>
    <row r="423" spans="131:132" x14ac:dyDescent="0.2">
      <c r="EA423" s="12"/>
      <c r="EB423" s="12"/>
    </row>
    <row r="424" spans="131:132" x14ac:dyDescent="0.2">
      <c r="EA424" s="12"/>
      <c r="EB424" s="12"/>
    </row>
    <row r="425" spans="131:132" x14ac:dyDescent="0.2">
      <c r="EA425" s="12"/>
      <c r="EB425" s="12"/>
    </row>
    <row r="426" spans="131:132" x14ac:dyDescent="0.2">
      <c r="EA426" s="12"/>
      <c r="EB426" s="12"/>
    </row>
    <row r="427" spans="131:132" x14ac:dyDescent="0.2">
      <c r="EA427" s="12"/>
      <c r="EB427" s="12"/>
    </row>
    <row r="428" spans="131:132" x14ac:dyDescent="0.2">
      <c r="EA428" s="12"/>
      <c r="EB428" s="12"/>
    </row>
    <row r="429" spans="131:132" x14ac:dyDescent="0.2">
      <c r="EA429" s="12"/>
      <c r="EB429" s="12"/>
    </row>
    <row r="430" spans="131:132" x14ac:dyDescent="0.2">
      <c r="EA430" s="12"/>
      <c r="EB430" s="12"/>
    </row>
    <row r="431" spans="131:132" x14ac:dyDescent="0.2">
      <c r="EA431" s="12"/>
      <c r="EB431" s="12"/>
    </row>
    <row r="432" spans="131:132" x14ac:dyDescent="0.2">
      <c r="EA432" s="12"/>
      <c r="EB432" s="12"/>
    </row>
    <row r="433" spans="131:132" x14ac:dyDescent="0.2">
      <c r="EA433" s="12"/>
      <c r="EB433" s="12"/>
    </row>
    <row r="434" spans="131:132" x14ac:dyDescent="0.2">
      <c r="EA434" s="12"/>
      <c r="EB434" s="12"/>
    </row>
    <row r="435" spans="131:132" x14ac:dyDescent="0.2">
      <c r="EA435" s="12"/>
      <c r="EB435" s="12"/>
    </row>
    <row r="436" spans="131:132" x14ac:dyDescent="0.2">
      <c r="EA436" s="12"/>
      <c r="EB436" s="12"/>
    </row>
    <row r="437" spans="131:132" x14ac:dyDescent="0.2">
      <c r="EA437" s="12"/>
      <c r="EB437" s="12"/>
    </row>
    <row r="438" spans="131:132" x14ac:dyDescent="0.2">
      <c r="EA438" s="12"/>
      <c r="EB438" s="12"/>
    </row>
    <row r="439" spans="131:132" x14ac:dyDescent="0.2">
      <c r="EA439" s="12"/>
      <c r="EB439" s="12"/>
    </row>
    <row r="440" spans="131:132" x14ac:dyDescent="0.2">
      <c r="EA440" s="12"/>
      <c r="EB440" s="12"/>
    </row>
    <row r="441" spans="131:132" x14ac:dyDescent="0.2">
      <c r="EA441" s="12"/>
      <c r="EB441" s="12"/>
    </row>
    <row r="442" spans="131:132" x14ac:dyDescent="0.2">
      <c r="EA442" s="12"/>
      <c r="EB442" s="12"/>
    </row>
    <row r="443" spans="131:132" x14ac:dyDescent="0.2">
      <c r="EA443" s="12"/>
      <c r="EB443" s="12"/>
    </row>
    <row r="444" spans="131:132" x14ac:dyDescent="0.2">
      <c r="EA444" s="12"/>
      <c r="EB444" s="12"/>
    </row>
    <row r="445" spans="131:132" x14ac:dyDescent="0.2">
      <c r="EA445" s="12"/>
      <c r="EB445" s="12"/>
    </row>
    <row r="446" spans="131:132" x14ac:dyDescent="0.2">
      <c r="EA446" s="12"/>
      <c r="EB446" s="12"/>
    </row>
    <row r="447" spans="131:132" x14ac:dyDescent="0.2">
      <c r="EA447" s="12"/>
      <c r="EB447" s="12"/>
    </row>
    <row r="448" spans="131:132" x14ac:dyDescent="0.2">
      <c r="EA448" s="12"/>
      <c r="EB448" s="12"/>
    </row>
    <row r="449" spans="131:132" x14ac:dyDescent="0.2">
      <c r="EA449" s="12"/>
      <c r="EB449" s="12"/>
    </row>
    <row r="450" spans="131:132" x14ac:dyDescent="0.2">
      <c r="EA450" s="12"/>
      <c r="EB450" s="12"/>
    </row>
    <row r="451" spans="131:132" x14ac:dyDescent="0.2">
      <c r="EA451" s="12"/>
      <c r="EB451" s="12"/>
    </row>
    <row r="452" spans="131:132" x14ac:dyDescent="0.2">
      <c r="EA452" s="12"/>
      <c r="EB452" s="12"/>
    </row>
    <row r="453" spans="131:132" x14ac:dyDescent="0.2">
      <c r="EA453" s="12"/>
      <c r="EB453" s="12"/>
    </row>
    <row r="454" spans="131:132" x14ac:dyDescent="0.2">
      <c r="EA454" s="12"/>
      <c r="EB454" s="12"/>
    </row>
    <row r="455" spans="131:132" x14ac:dyDescent="0.2">
      <c r="EA455" s="12"/>
      <c r="EB455" s="12"/>
    </row>
    <row r="456" spans="131:132" x14ac:dyDescent="0.2">
      <c r="EA456" s="12"/>
      <c r="EB456" s="12"/>
    </row>
    <row r="457" spans="131:132" x14ac:dyDescent="0.2">
      <c r="EA457" s="12"/>
      <c r="EB457" s="12"/>
    </row>
    <row r="458" spans="131:132" x14ac:dyDescent="0.2">
      <c r="EA458" s="12"/>
      <c r="EB458" s="12"/>
    </row>
    <row r="459" spans="131:132" x14ac:dyDescent="0.2">
      <c r="EA459" s="12"/>
      <c r="EB459" s="12"/>
    </row>
    <row r="460" spans="131:132" x14ac:dyDescent="0.2">
      <c r="EA460" s="12"/>
      <c r="EB460" s="12"/>
    </row>
    <row r="461" spans="131:132" x14ac:dyDescent="0.2">
      <c r="EA461" s="12"/>
      <c r="EB461" s="12"/>
    </row>
    <row r="462" spans="131:132" x14ac:dyDescent="0.2">
      <c r="EA462" s="12"/>
      <c r="EB462" s="12"/>
    </row>
    <row r="463" spans="131:132" x14ac:dyDescent="0.2">
      <c r="EA463" s="12"/>
      <c r="EB463" s="12"/>
    </row>
    <row r="464" spans="131:132" x14ac:dyDescent="0.2">
      <c r="EA464" s="12"/>
      <c r="EB464" s="12"/>
    </row>
    <row r="465" spans="131:132" x14ac:dyDescent="0.2">
      <c r="EA465" s="12"/>
      <c r="EB465" s="12"/>
    </row>
    <row r="466" spans="131:132" x14ac:dyDescent="0.2">
      <c r="EA466" s="12"/>
      <c r="EB466" s="12"/>
    </row>
    <row r="467" spans="131:132" x14ac:dyDescent="0.2">
      <c r="EA467" s="12"/>
      <c r="EB467" s="12"/>
    </row>
    <row r="468" spans="131:132" x14ac:dyDescent="0.2">
      <c r="EA468" s="12"/>
      <c r="EB468" s="12"/>
    </row>
    <row r="469" spans="131:132" x14ac:dyDescent="0.2">
      <c r="EA469" s="12"/>
      <c r="EB469" s="12"/>
    </row>
    <row r="470" spans="131:132" x14ac:dyDescent="0.2">
      <c r="EA470" s="12"/>
      <c r="EB470" s="12"/>
    </row>
    <row r="471" spans="131:132" x14ac:dyDescent="0.2">
      <c r="EA471" s="12"/>
      <c r="EB471" s="12"/>
    </row>
    <row r="472" spans="131:132" x14ac:dyDescent="0.2">
      <c r="EA472" s="12"/>
      <c r="EB472" s="12"/>
    </row>
    <row r="473" spans="131:132" x14ac:dyDescent="0.2">
      <c r="EA473" s="12"/>
      <c r="EB473" s="12"/>
    </row>
    <row r="474" spans="131:132" x14ac:dyDescent="0.2">
      <c r="EA474" s="12"/>
      <c r="EB474" s="12"/>
    </row>
    <row r="475" spans="131:132" x14ac:dyDescent="0.2">
      <c r="EA475" s="12"/>
      <c r="EB475" s="12"/>
    </row>
    <row r="476" spans="131:132" x14ac:dyDescent="0.2">
      <c r="EA476" s="12"/>
      <c r="EB476" s="12"/>
    </row>
    <row r="477" spans="131:132" x14ac:dyDescent="0.2">
      <c r="EA477" s="12"/>
      <c r="EB477" s="12"/>
    </row>
    <row r="478" spans="131:132" x14ac:dyDescent="0.2">
      <c r="EA478" s="12"/>
      <c r="EB478" s="12"/>
    </row>
    <row r="479" spans="131:132" x14ac:dyDescent="0.2">
      <c r="EA479" s="12"/>
      <c r="EB479" s="12"/>
    </row>
    <row r="480" spans="131:132" x14ac:dyDescent="0.2">
      <c r="EA480" s="12"/>
      <c r="EB480" s="12"/>
    </row>
    <row r="481" spans="131:132" x14ac:dyDescent="0.2">
      <c r="EA481" s="12"/>
      <c r="EB481" s="12"/>
    </row>
    <row r="482" spans="131:132" x14ac:dyDescent="0.2">
      <c r="EA482" s="12"/>
      <c r="EB482" s="12"/>
    </row>
    <row r="483" spans="131:132" x14ac:dyDescent="0.2">
      <c r="EA483" s="12"/>
      <c r="EB483" s="12"/>
    </row>
    <row r="484" spans="131:132" x14ac:dyDescent="0.2">
      <c r="EA484" s="12"/>
      <c r="EB484" s="12"/>
    </row>
    <row r="485" spans="131:132" x14ac:dyDescent="0.2">
      <c r="EA485" s="12"/>
      <c r="EB485" s="12"/>
    </row>
    <row r="486" spans="131:132" x14ac:dyDescent="0.2">
      <c r="EA486" s="12"/>
      <c r="EB486" s="12"/>
    </row>
    <row r="487" spans="131:132" x14ac:dyDescent="0.2">
      <c r="EA487" s="12"/>
      <c r="EB487" s="12"/>
    </row>
    <row r="488" spans="131:132" x14ac:dyDescent="0.2">
      <c r="EA488" s="12"/>
      <c r="EB488" s="12"/>
    </row>
    <row r="489" spans="131:132" x14ac:dyDescent="0.2">
      <c r="EA489" s="12"/>
      <c r="EB489" s="12"/>
    </row>
    <row r="490" spans="131:132" x14ac:dyDescent="0.2">
      <c r="EA490" s="12"/>
      <c r="EB490" s="12"/>
    </row>
    <row r="491" spans="131:132" x14ac:dyDescent="0.2">
      <c r="EA491" s="12"/>
      <c r="EB491" s="12"/>
    </row>
    <row r="492" spans="131:132" x14ac:dyDescent="0.2">
      <c r="EA492" s="12"/>
      <c r="EB492" s="12"/>
    </row>
    <row r="493" spans="131:132" x14ac:dyDescent="0.2">
      <c r="EA493" s="12"/>
      <c r="EB493" s="12"/>
    </row>
    <row r="494" spans="131:132" x14ac:dyDescent="0.2">
      <c r="EA494" s="12"/>
      <c r="EB494" s="12"/>
    </row>
    <row r="495" spans="131:132" x14ac:dyDescent="0.2">
      <c r="EA495" s="12"/>
      <c r="EB495" s="12"/>
    </row>
    <row r="496" spans="131:132" x14ac:dyDescent="0.2">
      <c r="EA496" s="12"/>
      <c r="EB496" s="12"/>
    </row>
    <row r="497" spans="131:132" x14ac:dyDescent="0.2">
      <c r="EA497" s="12"/>
      <c r="EB497" s="12"/>
    </row>
    <row r="498" spans="131:132" x14ac:dyDescent="0.2">
      <c r="EA498" s="12"/>
      <c r="EB498" s="12"/>
    </row>
    <row r="499" spans="131:132" x14ac:dyDescent="0.2">
      <c r="EA499" s="12"/>
      <c r="EB499" s="12"/>
    </row>
    <row r="500" spans="131:132" x14ac:dyDescent="0.2">
      <c r="EA500" s="12"/>
      <c r="EB500" s="12"/>
    </row>
    <row r="501" spans="131:132" x14ac:dyDescent="0.2">
      <c r="EA501" s="12"/>
      <c r="EB501" s="12"/>
    </row>
    <row r="502" spans="131:132" x14ac:dyDescent="0.2">
      <c r="EA502" s="12"/>
      <c r="EB502" s="12"/>
    </row>
    <row r="503" spans="131:132" x14ac:dyDescent="0.2">
      <c r="EA503" s="12"/>
      <c r="EB503" s="12"/>
    </row>
    <row r="504" spans="131:132" x14ac:dyDescent="0.2">
      <c r="EA504" s="12"/>
      <c r="EB504" s="12"/>
    </row>
    <row r="505" spans="131:132" x14ac:dyDescent="0.2">
      <c r="EA505" s="12"/>
      <c r="EB505" s="12"/>
    </row>
    <row r="506" spans="131:132" x14ac:dyDescent="0.2">
      <c r="EA506" s="12"/>
      <c r="EB506" s="12"/>
    </row>
    <row r="507" spans="131:132" x14ac:dyDescent="0.2">
      <c r="EA507" s="12"/>
      <c r="EB507" s="12"/>
    </row>
    <row r="508" spans="131:132" x14ac:dyDescent="0.2">
      <c r="EA508" s="12"/>
      <c r="EB508" s="12"/>
    </row>
    <row r="509" spans="131:132" x14ac:dyDescent="0.2">
      <c r="EA509" s="12"/>
      <c r="EB509" s="12"/>
    </row>
    <row r="510" spans="131:132" x14ac:dyDescent="0.2">
      <c r="EA510" s="12"/>
      <c r="EB510" s="12"/>
    </row>
    <row r="511" spans="131:132" x14ac:dyDescent="0.2">
      <c r="EA511" s="12"/>
      <c r="EB511" s="12"/>
    </row>
    <row r="512" spans="131:132" x14ac:dyDescent="0.2">
      <c r="EA512" s="12"/>
      <c r="EB512" s="12"/>
    </row>
    <row r="513" spans="131:132" x14ac:dyDescent="0.2">
      <c r="EA513" s="12"/>
      <c r="EB513" s="12"/>
    </row>
    <row r="514" spans="131:132" x14ac:dyDescent="0.2">
      <c r="EA514" s="12"/>
      <c r="EB514" s="12"/>
    </row>
    <row r="515" spans="131:132" x14ac:dyDescent="0.2">
      <c r="EA515" s="12"/>
      <c r="EB515" s="12"/>
    </row>
    <row r="516" spans="131:132" x14ac:dyDescent="0.2">
      <c r="EA516" s="12"/>
      <c r="EB516" s="12"/>
    </row>
    <row r="517" spans="131:132" x14ac:dyDescent="0.2">
      <c r="EA517" s="12"/>
      <c r="EB517" s="12"/>
    </row>
    <row r="518" spans="131:132" x14ac:dyDescent="0.2">
      <c r="EA518" s="12"/>
      <c r="EB518" s="12"/>
    </row>
    <row r="519" spans="131:132" x14ac:dyDescent="0.2">
      <c r="EA519" s="12"/>
      <c r="EB519" s="12"/>
    </row>
    <row r="520" spans="131:132" x14ac:dyDescent="0.2">
      <c r="EA520" s="12"/>
      <c r="EB520" s="12"/>
    </row>
    <row r="521" spans="131:132" x14ac:dyDescent="0.2">
      <c r="EA521" s="12"/>
      <c r="EB521" s="12"/>
    </row>
    <row r="522" spans="131:132" x14ac:dyDescent="0.2">
      <c r="EA522" s="12"/>
      <c r="EB522" s="12"/>
    </row>
    <row r="523" spans="131:132" x14ac:dyDescent="0.2">
      <c r="EA523" s="12"/>
      <c r="EB523" s="12"/>
    </row>
    <row r="524" spans="131:132" x14ac:dyDescent="0.2">
      <c r="EA524" s="12"/>
      <c r="EB524" s="12"/>
    </row>
    <row r="525" spans="131:132" x14ac:dyDescent="0.2">
      <c r="EA525" s="12"/>
      <c r="EB525" s="12"/>
    </row>
    <row r="526" spans="131:132" x14ac:dyDescent="0.2">
      <c r="EA526" s="12"/>
      <c r="EB526" s="12"/>
    </row>
    <row r="527" spans="131:132" x14ac:dyDescent="0.2">
      <c r="EA527" s="12"/>
      <c r="EB527" s="12"/>
    </row>
    <row r="528" spans="131:132" x14ac:dyDescent="0.2">
      <c r="EA528" s="12"/>
      <c r="EB528" s="12"/>
    </row>
    <row r="529" spans="131:132" x14ac:dyDescent="0.2">
      <c r="EA529" s="12"/>
      <c r="EB529" s="12"/>
    </row>
    <row r="530" spans="131:132" x14ac:dyDescent="0.2">
      <c r="EA530" s="12"/>
      <c r="EB530" s="12"/>
    </row>
    <row r="531" spans="131:132" x14ac:dyDescent="0.2">
      <c r="EA531" s="12"/>
      <c r="EB531" s="12"/>
    </row>
    <row r="532" spans="131:132" x14ac:dyDescent="0.2">
      <c r="EA532" s="12"/>
      <c r="EB532" s="12"/>
    </row>
    <row r="533" spans="131:132" x14ac:dyDescent="0.2">
      <c r="EA533" s="12"/>
      <c r="EB533" s="12"/>
    </row>
    <row r="534" spans="131:132" x14ac:dyDescent="0.2">
      <c r="EA534" s="12"/>
      <c r="EB534" s="12"/>
    </row>
    <row r="535" spans="131:132" x14ac:dyDescent="0.2">
      <c r="EA535" s="12"/>
      <c r="EB535" s="12"/>
    </row>
    <row r="536" spans="131:132" x14ac:dyDescent="0.2">
      <c r="EA536" s="12"/>
      <c r="EB536" s="12"/>
    </row>
    <row r="537" spans="131:132" x14ac:dyDescent="0.2">
      <c r="EA537" s="12"/>
      <c r="EB537" s="12"/>
    </row>
    <row r="538" spans="131:132" x14ac:dyDescent="0.2">
      <c r="EA538" s="12"/>
      <c r="EB538" s="12"/>
    </row>
    <row r="539" spans="131:132" x14ac:dyDescent="0.2">
      <c r="EA539" s="12"/>
      <c r="EB539" s="12"/>
    </row>
    <row r="540" spans="131:132" x14ac:dyDescent="0.2">
      <c r="EA540" s="12"/>
      <c r="EB540" s="12"/>
    </row>
    <row r="541" spans="131:132" x14ac:dyDescent="0.2">
      <c r="EA541" s="12"/>
      <c r="EB541" s="12"/>
    </row>
    <row r="542" spans="131:132" x14ac:dyDescent="0.2">
      <c r="EA542" s="12"/>
      <c r="EB542" s="12"/>
    </row>
    <row r="543" spans="131:132" x14ac:dyDescent="0.2">
      <c r="EA543" s="12"/>
      <c r="EB543" s="12"/>
    </row>
    <row r="544" spans="131:132" x14ac:dyDescent="0.2">
      <c r="EA544" s="12"/>
      <c r="EB544" s="12"/>
    </row>
    <row r="545" spans="131:132" x14ac:dyDescent="0.2">
      <c r="EA545" s="12"/>
      <c r="EB545" s="12"/>
    </row>
    <row r="546" spans="131:132" x14ac:dyDescent="0.2">
      <c r="EA546" s="12"/>
      <c r="EB546" s="12"/>
    </row>
    <row r="547" spans="131:132" x14ac:dyDescent="0.2">
      <c r="EA547" s="12"/>
      <c r="EB547" s="12"/>
    </row>
    <row r="548" spans="131:132" x14ac:dyDescent="0.2">
      <c r="EA548" s="12"/>
      <c r="EB548" s="12"/>
    </row>
    <row r="549" spans="131:132" x14ac:dyDescent="0.2">
      <c r="EA549" s="12"/>
      <c r="EB549" s="12"/>
    </row>
    <row r="550" spans="131:132" x14ac:dyDescent="0.2">
      <c r="EA550" s="12"/>
      <c r="EB550" s="12"/>
    </row>
    <row r="551" spans="131:132" x14ac:dyDescent="0.2">
      <c r="EA551" s="12"/>
      <c r="EB551" s="12"/>
    </row>
    <row r="552" spans="131:132" x14ac:dyDescent="0.2">
      <c r="EA552" s="12"/>
      <c r="EB552" s="12"/>
    </row>
    <row r="553" spans="131:132" x14ac:dyDescent="0.2">
      <c r="EA553" s="12"/>
      <c r="EB553" s="12"/>
    </row>
    <row r="554" spans="131:132" x14ac:dyDescent="0.2">
      <c r="EA554" s="12"/>
      <c r="EB554" s="12"/>
    </row>
    <row r="555" spans="131:132" x14ac:dyDescent="0.2">
      <c r="EA555" s="12"/>
      <c r="EB555" s="12"/>
    </row>
    <row r="556" spans="131:132" x14ac:dyDescent="0.2">
      <c r="EA556" s="12"/>
      <c r="EB556" s="12"/>
    </row>
    <row r="557" spans="131:132" x14ac:dyDescent="0.2">
      <c r="EA557" s="12"/>
      <c r="EB557" s="12"/>
    </row>
    <row r="558" spans="131:132" x14ac:dyDescent="0.2">
      <c r="EA558" s="12"/>
      <c r="EB558" s="12"/>
    </row>
    <row r="559" spans="131:132" x14ac:dyDescent="0.2">
      <c r="EA559" s="12"/>
      <c r="EB559" s="12"/>
    </row>
    <row r="560" spans="131:132" x14ac:dyDescent="0.2">
      <c r="EA560" s="12"/>
      <c r="EB560" s="12"/>
    </row>
    <row r="561" spans="131:132" x14ac:dyDescent="0.2">
      <c r="EA561" s="12"/>
      <c r="EB561" s="12"/>
    </row>
    <row r="562" spans="131:132" x14ac:dyDescent="0.2">
      <c r="EA562" s="12"/>
      <c r="EB562" s="12"/>
    </row>
    <row r="563" spans="131:132" x14ac:dyDescent="0.2">
      <c r="EA563" s="12"/>
      <c r="EB563" s="12"/>
    </row>
    <row r="564" spans="131:132" x14ac:dyDescent="0.2">
      <c r="EA564" s="12"/>
      <c r="EB564" s="12"/>
    </row>
    <row r="565" spans="131:132" x14ac:dyDescent="0.2">
      <c r="EA565" s="12"/>
      <c r="EB565" s="12"/>
    </row>
    <row r="566" spans="131:132" x14ac:dyDescent="0.2">
      <c r="EA566" s="12"/>
      <c r="EB566" s="12"/>
    </row>
    <row r="567" spans="131:132" x14ac:dyDescent="0.2">
      <c r="EA567" s="12"/>
      <c r="EB567" s="12"/>
    </row>
    <row r="568" spans="131:132" x14ac:dyDescent="0.2">
      <c r="EA568" s="12"/>
      <c r="EB568" s="12"/>
    </row>
    <row r="569" spans="131:132" x14ac:dyDescent="0.2">
      <c r="EA569" s="12"/>
      <c r="EB569" s="12"/>
    </row>
    <row r="570" spans="131:132" x14ac:dyDescent="0.2">
      <c r="EA570" s="12"/>
      <c r="EB570" s="12"/>
    </row>
    <row r="571" spans="131:132" x14ac:dyDescent="0.2">
      <c r="EA571" s="12"/>
      <c r="EB571" s="12"/>
    </row>
    <row r="572" spans="131:132" x14ac:dyDescent="0.2">
      <c r="EA572" s="12"/>
      <c r="EB572" s="12"/>
    </row>
    <row r="573" spans="131:132" x14ac:dyDescent="0.2">
      <c r="EA573" s="12"/>
      <c r="EB573" s="12"/>
    </row>
    <row r="574" spans="131:132" x14ac:dyDescent="0.2">
      <c r="EA574" s="12"/>
      <c r="EB574" s="12"/>
    </row>
    <row r="575" spans="131:132" x14ac:dyDescent="0.2">
      <c r="EA575" s="12"/>
      <c r="EB575" s="12"/>
    </row>
    <row r="576" spans="131:132" x14ac:dyDescent="0.2">
      <c r="EA576" s="12"/>
      <c r="EB576" s="12"/>
    </row>
    <row r="577" spans="131:132" x14ac:dyDescent="0.2">
      <c r="EA577" s="12"/>
      <c r="EB577" s="12"/>
    </row>
    <row r="578" spans="131:132" x14ac:dyDescent="0.2">
      <c r="EA578" s="12"/>
      <c r="EB578" s="12"/>
    </row>
    <row r="579" spans="131:132" x14ac:dyDescent="0.2">
      <c r="EA579" s="12"/>
      <c r="EB579" s="12"/>
    </row>
    <row r="580" spans="131:132" x14ac:dyDescent="0.2">
      <c r="EA580" s="12"/>
      <c r="EB580" s="12"/>
    </row>
    <row r="581" spans="131:132" x14ac:dyDescent="0.2">
      <c r="EA581" s="12"/>
      <c r="EB581" s="12"/>
    </row>
    <row r="582" spans="131:132" x14ac:dyDescent="0.2">
      <c r="EA582" s="12"/>
      <c r="EB582" s="12"/>
    </row>
    <row r="583" spans="131:132" x14ac:dyDescent="0.2">
      <c r="EA583" s="12"/>
      <c r="EB583" s="12"/>
    </row>
    <row r="584" spans="131:132" x14ac:dyDescent="0.2">
      <c r="EA584" s="12"/>
      <c r="EB584" s="12"/>
    </row>
    <row r="585" spans="131:132" x14ac:dyDescent="0.2">
      <c r="EA585" s="12"/>
      <c r="EB585" s="12"/>
    </row>
    <row r="586" spans="131:132" x14ac:dyDescent="0.2">
      <c r="EA586" s="12"/>
      <c r="EB586" s="12"/>
    </row>
    <row r="587" spans="131:132" x14ac:dyDescent="0.2">
      <c r="EA587" s="12"/>
      <c r="EB587" s="12"/>
    </row>
    <row r="588" spans="131:132" x14ac:dyDescent="0.2">
      <c r="EA588" s="12"/>
      <c r="EB588" s="12"/>
    </row>
    <row r="589" spans="131:132" x14ac:dyDescent="0.2">
      <c r="EA589" s="12"/>
      <c r="EB589" s="12"/>
    </row>
    <row r="590" spans="131:132" x14ac:dyDescent="0.2">
      <c r="EA590" s="12"/>
      <c r="EB590" s="12"/>
    </row>
    <row r="591" spans="131:132" x14ac:dyDescent="0.2">
      <c r="EA591" s="12"/>
      <c r="EB591" s="12"/>
    </row>
    <row r="592" spans="131:132" x14ac:dyDescent="0.2">
      <c r="EA592" s="12"/>
      <c r="EB592" s="12"/>
    </row>
    <row r="593" spans="131:132" x14ac:dyDescent="0.2">
      <c r="EA593" s="12"/>
      <c r="EB593" s="12"/>
    </row>
    <row r="594" spans="131:132" x14ac:dyDescent="0.2">
      <c r="EA594" s="12"/>
      <c r="EB594" s="12"/>
    </row>
    <row r="595" spans="131:132" x14ac:dyDescent="0.2">
      <c r="EA595" s="12"/>
      <c r="EB595" s="12"/>
    </row>
    <row r="596" spans="131:132" x14ac:dyDescent="0.2">
      <c r="EA596" s="12"/>
      <c r="EB596" s="12"/>
    </row>
    <row r="597" spans="131:132" x14ac:dyDescent="0.2">
      <c r="EA597" s="12"/>
      <c r="EB597" s="12"/>
    </row>
    <row r="598" spans="131:132" x14ac:dyDescent="0.2">
      <c r="EA598" s="12"/>
      <c r="EB598" s="12"/>
    </row>
    <row r="599" spans="131:132" x14ac:dyDescent="0.2">
      <c r="EA599" s="12"/>
      <c r="EB599" s="12"/>
    </row>
    <row r="600" spans="131:132" x14ac:dyDescent="0.2">
      <c r="EA600" s="12"/>
      <c r="EB600" s="12"/>
    </row>
    <row r="601" spans="131:132" x14ac:dyDescent="0.2">
      <c r="EA601" s="12"/>
      <c r="EB601" s="12"/>
    </row>
    <row r="602" spans="131:132" x14ac:dyDescent="0.2">
      <c r="EA602" s="12"/>
      <c r="EB602" s="12"/>
    </row>
    <row r="603" spans="131:132" x14ac:dyDescent="0.2">
      <c r="EA603" s="12"/>
      <c r="EB603" s="12"/>
    </row>
    <row r="604" spans="131:132" x14ac:dyDescent="0.2">
      <c r="EA604" s="12"/>
      <c r="EB604" s="12"/>
    </row>
    <row r="605" spans="131:132" x14ac:dyDescent="0.2">
      <c r="EA605" s="12"/>
      <c r="EB605" s="12"/>
    </row>
    <row r="606" spans="131:132" x14ac:dyDescent="0.2">
      <c r="EA606" s="12"/>
      <c r="EB606" s="12"/>
    </row>
    <row r="607" spans="131:132" x14ac:dyDescent="0.2">
      <c r="EA607" s="12"/>
      <c r="EB607" s="12"/>
    </row>
    <row r="608" spans="131:132" x14ac:dyDescent="0.2">
      <c r="EA608" s="12"/>
      <c r="EB608" s="12"/>
    </row>
    <row r="609" spans="131:132" x14ac:dyDescent="0.2">
      <c r="EA609" s="12"/>
      <c r="EB609" s="12"/>
    </row>
    <row r="610" spans="131:132" x14ac:dyDescent="0.2">
      <c r="EA610" s="12"/>
      <c r="EB610" s="12"/>
    </row>
    <row r="611" spans="131:132" x14ac:dyDescent="0.2">
      <c r="EA611" s="12"/>
      <c r="EB611" s="12"/>
    </row>
    <row r="612" spans="131:132" x14ac:dyDescent="0.2">
      <c r="EA612" s="12"/>
      <c r="EB612" s="12"/>
    </row>
    <row r="613" spans="131:132" x14ac:dyDescent="0.2">
      <c r="EA613" s="12"/>
      <c r="EB613" s="12"/>
    </row>
    <row r="614" spans="131:132" x14ac:dyDescent="0.2">
      <c r="EA614" s="12"/>
      <c r="EB614" s="12"/>
    </row>
    <row r="615" spans="131:132" x14ac:dyDescent="0.2">
      <c r="EA615" s="12"/>
      <c r="EB615" s="12"/>
    </row>
    <row r="616" spans="131:132" x14ac:dyDescent="0.2">
      <c r="EA616" s="12"/>
      <c r="EB616" s="12"/>
    </row>
    <row r="617" spans="131:132" x14ac:dyDescent="0.2">
      <c r="EA617" s="12"/>
      <c r="EB617" s="12"/>
    </row>
    <row r="618" spans="131:132" x14ac:dyDescent="0.2">
      <c r="EA618" s="12"/>
      <c r="EB618" s="12"/>
    </row>
    <row r="619" spans="131:132" x14ac:dyDescent="0.2">
      <c r="EA619" s="12"/>
      <c r="EB619" s="12"/>
    </row>
    <row r="620" spans="131:132" x14ac:dyDescent="0.2">
      <c r="EA620" s="12"/>
      <c r="EB620" s="12"/>
    </row>
    <row r="621" spans="131:132" x14ac:dyDescent="0.2">
      <c r="EA621" s="12"/>
      <c r="EB621" s="12"/>
    </row>
    <row r="622" spans="131:132" x14ac:dyDescent="0.2">
      <c r="EA622" s="12"/>
      <c r="EB622" s="12"/>
    </row>
    <row r="623" spans="131:132" x14ac:dyDescent="0.2">
      <c r="EA623" s="12"/>
      <c r="EB623" s="12"/>
    </row>
    <row r="624" spans="131:132" x14ac:dyDescent="0.2">
      <c r="EA624" s="12"/>
      <c r="EB624" s="12"/>
    </row>
    <row r="625" spans="131:132" x14ac:dyDescent="0.2">
      <c r="EA625" s="12"/>
      <c r="EB625" s="12"/>
    </row>
    <row r="626" spans="131:132" x14ac:dyDescent="0.2">
      <c r="EA626" s="12"/>
      <c r="EB626" s="12"/>
    </row>
    <row r="627" spans="131:132" x14ac:dyDescent="0.2">
      <c r="EA627" s="12"/>
      <c r="EB627" s="12"/>
    </row>
    <row r="628" spans="131:132" x14ac:dyDescent="0.2">
      <c r="EA628" s="12"/>
      <c r="EB628" s="12"/>
    </row>
    <row r="629" spans="131:132" x14ac:dyDescent="0.2">
      <c r="EA629" s="12"/>
      <c r="EB629" s="12"/>
    </row>
    <row r="630" spans="131:132" x14ac:dyDescent="0.2">
      <c r="EA630" s="12"/>
      <c r="EB630" s="12"/>
    </row>
    <row r="631" spans="131:132" x14ac:dyDescent="0.2">
      <c r="EA631" s="12"/>
      <c r="EB631" s="12"/>
    </row>
    <row r="632" spans="131:132" x14ac:dyDescent="0.2">
      <c r="EA632" s="12"/>
      <c r="EB632" s="12"/>
    </row>
    <row r="633" spans="131:132" x14ac:dyDescent="0.2">
      <c r="EA633" s="12"/>
      <c r="EB633" s="12"/>
    </row>
    <row r="634" spans="131:132" x14ac:dyDescent="0.2">
      <c r="EA634" s="12"/>
      <c r="EB634" s="12"/>
    </row>
    <row r="635" spans="131:132" x14ac:dyDescent="0.2">
      <c r="EA635" s="12"/>
      <c r="EB635" s="12"/>
    </row>
    <row r="636" spans="131:132" x14ac:dyDescent="0.2">
      <c r="EA636" s="12"/>
      <c r="EB636" s="12"/>
    </row>
    <row r="637" spans="131:132" x14ac:dyDescent="0.2">
      <c r="EA637" s="12"/>
      <c r="EB637" s="12"/>
    </row>
    <row r="638" spans="131:132" x14ac:dyDescent="0.2">
      <c r="EA638" s="12"/>
      <c r="EB638" s="12"/>
    </row>
    <row r="639" spans="131:132" x14ac:dyDescent="0.2">
      <c r="EA639" s="12"/>
      <c r="EB639" s="12"/>
    </row>
    <row r="640" spans="131:132" x14ac:dyDescent="0.2">
      <c r="EA640" s="12"/>
      <c r="EB640" s="12"/>
    </row>
    <row r="641" spans="131:132" x14ac:dyDescent="0.2">
      <c r="EA641" s="12"/>
      <c r="EB641" s="12"/>
    </row>
    <row r="642" spans="131:132" x14ac:dyDescent="0.2">
      <c r="EA642" s="12"/>
      <c r="EB642" s="12"/>
    </row>
    <row r="643" spans="131:132" x14ac:dyDescent="0.2">
      <c r="EA643" s="12"/>
      <c r="EB643" s="12"/>
    </row>
    <row r="644" spans="131:132" x14ac:dyDescent="0.2">
      <c r="EA644" s="12"/>
      <c r="EB644" s="12"/>
    </row>
    <row r="645" spans="131:132" x14ac:dyDescent="0.2">
      <c r="EA645" s="12"/>
      <c r="EB645" s="12"/>
    </row>
    <row r="646" spans="131:132" x14ac:dyDescent="0.2">
      <c r="EA646" s="12"/>
      <c r="EB646" s="12"/>
    </row>
    <row r="647" spans="131:132" x14ac:dyDescent="0.2">
      <c r="EA647" s="12"/>
      <c r="EB647" s="12"/>
    </row>
    <row r="648" spans="131:132" x14ac:dyDescent="0.2">
      <c r="EA648" s="12"/>
      <c r="EB648" s="12"/>
    </row>
    <row r="649" spans="131:132" x14ac:dyDescent="0.2">
      <c r="EA649" s="12"/>
      <c r="EB649" s="12"/>
    </row>
    <row r="650" spans="131:132" x14ac:dyDescent="0.2">
      <c r="EA650" s="12"/>
      <c r="EB650" s="12"/>
    </row>
    <row r="651" spans="131:132" x14ac:dyDescent="0.2">
      <c r="EA651" s="12"/>
      <c r="EB651" s="12"/>
    </row>
    <row r="652" spans="131:132" x14ac:dyDescent="0.2">
      <c r="EA652" s="12"/>
      <c r="EB652" s="12"/>
    </row>
    <row r="653" spans="131:132" x14ac:dyDescent="0.2">
      <c r="EA653" s="12"/>
      <c r="EB653" s="12"/>
    </row>
    <row r="654" spans="131:132" x14ac:dyDescent="0.2">
      <c r="EA654" s="12"/>
      <c r="EB654" s="12"/>
    </row>
    <row r="655" spans="131:132" x14ac:dyDescent="0.2">
      <c r="EA655" s="12"/>
      <c r="EB655" s="12"/>
    </row>
    <row r="656" spans="131:132" x14ac:dyDescent="0.2">
      <c r="EA656" s="12"/>
      <c r="EB656" s="12"/>
    </row>
    <row r="657" spans="131:132" x14ac:dyDescent="0.2">
      <c r="EA657" s="12"/>
      <c r="EB657" s="12"/>
    </row>
    <row r="658" spans="131:132" x14ac:dyDescent="0.2">
      <c r="EA658" s="12"/>
      <c r="EB658" s="12"/>
    </row>
    <row r="659" spans="131:132" x14ac:dyDescent="0.2">
      <c r="EA659" s="12"/>
      <c r="EB659" s="12"/>
    </row>
    <row r="660" spans="131:132" x14ac:dyDescent="0.2">
      <c r="EA660" s="12"/>
      <c r="EB660" s="12"/>
    </row>
    <row r="661" spans="131:132" x14ac:dyDescent="0.2">
      <c r="EA661" s="12"/>
      <c r="EB661" s="12"/>
    </row>
    <row r="662" spans="131:132" x14ac:dyDescent="0.2">
      <c r="EA662" s="12"/>
      <c r="EB662" s="12"/>
    </row>
    <row r="663" spans="131:132" x14ac:dyDescent="0.2">
      <c r="EA663" s="12"/>
      <c r="EB663" s="12"/>
    </row>
    <row r="664" spans="131:132" x14ac:dyDescent="0.2">
      <c r="EA664" s="12"/>
      <c r="EB664" s="12"/>
    </row>
    <row r="665" spans="131:132" x14ac:dyDescent="0.2">
      <c r="EA665" s="12"/>
      <c r="EB665" s="12"/>
    </row>
    <row r="666" spans="131:132" x14ac:dyDescent="0.2">
      <c r="EA666" s="12"/>
      <c r="EB666" s="12"/>
    </row>
    <row r="667" spans="131:132" x14ac:dyDescent="0.2">
      <c r="EA667" s="12"/>
      <c r="EB667" s="12"/>
    </row>
    <row r="668" spans="131:132" x14ac:dyDescent="0.2">
      <c r="EA668" s="12"/>
      <c r="EB668" s="12"/>
    </row>
    <row r="669" spans="131:132" x14ac:dyDescent="0.2">
      <c r="EA669" s="12"/>
      <c r="EB669" s="12"/>
    </row>
    <row r="670" spans="131:132" x14ac:dyDescent="0.2">
      <c r="EA670" s="12"/>
      <c r="EB670" s="12"/>
    </row>
    <row r="671" spans="131:132" x14ac:dyDescent="0.2">
      <c r="EA671" s="12"/>
      <c r="EB671" s="12"/>
    </row>
    <row r="672" spans="131:132" x14ac:dyDescent="0.2">
      <c r="EA672" s="12"/>
      <c r="EB672" s="12"/>
    </row>
    <row r="673" spans="131:132" x14ac:dyDescent="0.2">
      <c r="EA673" s="12"/>
      <c r="EB673" s="12"/>
    </row>
    <row r="674" spans="131:132" x14ac:dyDescent="0.2">
      <c r="EA674" s="12"/>
      <c r="EB674" s="12"/>
    </row>
    <row r="675" spans="131:132" x14ac:dyDescent="0.2">
      <c r="EA675" s="12"/>
      <c r="EB675" s="12"/>
    </row>
    <row r="676" spans="131:132" x14ac:dyDescent="0.2">
      <c r="EA676" s="12"/>
      <c r="EB676" s="12"/>
    </row>
    <row r="677" spans="131:132" x14ac:dyDescent="0.2">
      <c r="EA677" s="12"/>
      <c r="EB677" s="12"/>
    </row>
    <row r="678" spans="131:132" x14ac:dyDescent="0.2">
      <c r="EA678" s="12"/>
      <c r="EB678" s="12"/>
    </row>
    <row r="679" spans="131:132" x14ac:dyDescent="0.2">
      <c r="EA679" s="12"/>
      <c r="EB679" s="12"/>
    </row>
    <row r="680" spans="131:132" x14ac:dyDescent="0.2">
      <c r="EA680" s="12"/>
      <c r="EB680" s="12"/>
    </row>
    <row r="681" spans="131:132" x14ac:dyDescent="0.2">
      <c r="EA681" s="12"/>
      <c r="EB681" s="12"/>
    </row>
    <row r="682" spans="131:132" x14ac:dyDescent="0.2">
      <c r="EA682" s="12"/>
      <c r="EB682" s="12"/>
    </row>
    <row r="683" spans="131:132" x14ac:dyDescent="0.2">
      <c r="EA683" s="12"/>
      <c r="EB683" s="12"/>
    </row>
    <row r="684" spans="131:132" x14ac:dyDescent="0.2">
      <c r="EA684" s="12"/>
      <c r="EB684" s="12"/>
    </row>
    <row r="685" spans="131:132" x14ac:dyDescent="0.2">
      <c r="EA685" s="12"/>
      <c r="EB685" s="12"/>
    </row>
    <row r="686" spans="131:132" x14ac:dyDescent="0.2">
      <c r="EA686" s="12"/>
      <c r="EB686" s="12"/>
    </row>
    <row r="687" spans="131:132" x14ac:dyDescent="0.2">
      <c r="EA687" s="12"/>
      <c r="EB687" s="12"/>
    </row>
    <row r="688" spans="131:132" x14ac:dyDescent="0.2">
      <c r="EA688" s="12"/>
      <c r="EB688" s="12"/>
    </row>
    <row r="689" spans="131:132" x14ac:dyDescent="0.2">
      <c r="EA689" s="12"/>
      <c r="EB689" s="12"/>
    </row>
    <row r="690" spans="131:132" x14ac:dyDescent="0.2">
      <c r="EA690" s="12"/>
      <c r="EB690" s="12"/>
    </row>
    <row r="691" spans="131:132" x14ac:dyDescent="0.2">
      <c r="EA691" s="12"/>
      <c r="EB691" s="12"/>
    </row>
    <row r="692" spans="131:132" x14ac:dyDescent="0.2">
      <c r="EA692" s="12"/>
      <c r="EB692" s="12"/>
    </row>
    <row r="693" spans="131:132" x14ac:dyDescent="0.2">
      <c r="EA693" s="12"/>
      <c r="EB693" s="12"/>
    </row>
    <row r="694" spans="131:132" x14ac:dyDescent="0.2">
      <c r="EA694" s="12"/>
      <c r="EB694" s="12"/>
    </row>
    <row r="695" spans="131:132" x14ac:dyDescent="0.2">
      <c r="EA695" s="12"/>
      <c r="EB695" s="12"/>
    </row>
    <row r="696" spans="131:132" x14ac:dyDescent="0.2">
      <c r="EA696" s="12"/>
      <c r="EB696" s="12"/>
    </row>
    <row r="697" spans="131:132" x14ac:dyDescent="0.2">
      <c r="EA697" s="12"/>
      <c r="EB697" s="12"/>
    </row>
    <row r="698" spans="131:132" x14ac:dyDescent="0.2">
      <c r="EA698" s="12"/>
      <c r="EB698" s="12"/>
    </row>
    <row r="699" spans="131:132" x14ac:dyDescent="0.2">
      <c r="EA699" s="12"/>
      <c r="EB699" s="12"/>
    </row>
    <row r="700" spans="131:132" x14ac:dyDescent="0.2">
      <c r="EA700" s="12"/>
      <c r="EB700" s="12"/>
    </row>
    <row r="701" spans="131:132" x14ac:dyDescent="0.2">
      <c r="EA701" s="12"/>
      <c r="EB701" s="12"/>
    </row>
    <row r="702" spans="131:132" x14ac:dyDescent="0.2">
      <c r="EA702" s="12"/>
      <c r="EB702" s="12"/>
    </row>
    <row r="703" spans="131:132" x14ac:dyDescent="0.2">
      <c r="EA703" s="12"/>
      <c r="EB703" s="12"/>
    </row>
    <row r="704" spans="131:132" x14ac:dyDescent="0.2">
      <c r="EA704" s="12"/>
      <c r="EB704" s="12"/>
    </row>
    <row r="705" spans="131:132" x14ac:dyDescent="0.2">
      <c r="EA705" s="12"/>
      <c r="EB705" s="12"/>
    </row>
    <row r="706" spans="131:132" x14ac:dyDescent="0.2">
      <c r="EA706" s="12"/>
      <c r="EB706" s="12"/>
    </row>
    <row r="707" spans="131:132" x14ac:dyDescent="0.2">
      <c r="EA707" s="12"/>
      <c r="EB707" s="12"/>
    </row>
    <row r="708" spans="131:132" x14ac:dyDescent="0.2">
      <c r="EA708" s="12"/>
      <c r="EB708" s="12"/>
    </row>
    <row r="709" spans="131:132" x14ac:dyDescent="0.2">
      <c r="EA709" s="12"/>
      <c r="EB709" s="12"/>
    </row>
    <row r="710" spans="131:132" x14ac:dyDescent="0.2">
      <c r="EA710" s="12"/>
      <c r="EB710" s="12"/>
    </row>
    <row r="711" spans="131:132" x14ac:dyDescent="0.2">
      <c r="EA711" s="12"/>
      <c r="EB711" s="12"/>
    </row>
    <row r="712" spans="131:132" x14ac:dyDescent="0.2">
      <c r="EA712" s="12"/>
      <c r="EB712" s="12"/>
    </row>
    <row r="713" spans="131:132" x14ac:dyDescent="0.2">
      <c r="EA713" s="12"/>
      <c r="EB713" s="12"/>
    </row>
    <row r="714" spans="131:132" x14ac:dyDescent="0.2">
      <c r="EA714" s="12"/>
      <c r="EB714" s="12"/>
    </row>
    <row r="715" spans="131:132" x14ac:dyDescent="0.2">
      <c r="EA715" s="12"/>
      <c r="EB715" s="12"/>
    </row>
    <row r="716" spans="131:132" x14ac:dyDescent="0.2">
      <c r="EA716" s="12"/>
      <c r="EB716" s="12"/>
    </row>
    <row r="717" spans="131:132" x14ac:dyDescent="0.2">
      <c r="EA717" s="12"/>
      <c r="EB717" s="12"/>
    </row>
    <row r="718" spans="131:132" x14ac:dyDescent="0.2">
      <c r="EA718" s="12"/>
      <c r="EB718" s="12"/>
    </row>
    <row r="719" spans="131:132" x14ac:dyDescent="0.2">
      <c r="EA719" s="12"/>
      <c r="EB719" s="12"/>
    </row>
    <row r="720" spans="131:132" x14ac:dyDescent="0.2">
      <c r="EA720" s="12"/>
      <c r="EB720" s="12"/>
    </row>
    <row r="721" spans="131:132" x14ac:dyDescent="0.2">
      <c r="EA721" s="12"/>
      <c r="EB721" s="12"/>
    </row>
    <row r="722" spans="131:132" x14ac:dyDescent="0.2">
      <c r="EA722" s="12"/>
      <c r="EB722" s="12"/>
    </row>
    <row r="723" spans="131:132" x14ac:dyDescent="0.2">
      <c r="EA723" s="12"/>
      <c r="EB723" s="12"/>
    </row>
    <row r="724" spans="131:132" x14ac:dyDescent="0.2">
      <c r="EA724" s="12"/>
      <c r="EB724" s="12"/>
    </row>
    <row r="725" spans="131:132" x14ac:dyDescent="0.2">
      <c r="EA725" s="12"/>
      <c r="EB725" s="12"/>
    </row>
    <row r="726" spans="131:132" x14ac:dyDescent="0.2">
      <c r="EA726" s="12"/>
      <c r="EB726" s="12"/>
    </row>
    <row r="727" spans="131:132" x14ac:dyDescent="0.2">
      <c r="EA727" s="12"/>
      <c r="EB727" s="12"/>
    </row>
    <row r="728" spans="131:132" x14ac:dyDescent="0.2">
      <c r="EA728" s="12"/>
      <c r="EB728" s="12"/>
    </row>
    <row r="729" spans="131:132" x14ac:dyDescent="0.2">
      <c r="EA729" s="12"/>
      <c r="EB729" s="12"/>
    </row>
    <row r="730" spans="131:132" x14ac:dyDescent="0.2">
      <c r="EA730" s="12"/>
      <c r="EB730" s="12"/>
    </row>
    <row r="731" spans="131:132" x14ac:dyDescent="0.2">
      <c r="EA731" s="12"/>
      <c r="EB731" s="12"/>
    </row>
    <row r="732" spans="131:132" x14ac:dyDescent="0.2">
      <c r="EA732" s="12"/>
      <c r="EB732" s="12"/>
    </row>
    <row r="733" spans="131:132" x14ac:dyDescent="0.2">
      <c r="EA733" s="12"/>
      <c r="EB733" s="12"/>
    </row>
    <row r="734" spans="131:132" x14ac:dyDescent="0.2">
      <c r="EA734" s="12"/>
      <c r="EB734" s="12"/>
    </row>
    <row r="735" spans="131:132" x14ac:dyDescent="0.2">
      <c r="EA735" s="12"/>
      <c r="EB735" s="12"/>
    </row>
    <row r="736" spans="131:132" x14ac:dyDescent="0.2">
      <c r="EA736" s="12"/>
      <c r="EB736" s="12"/>
    </row>
    <row r="737" spans="131:132" x14ac:dyDescent="0.2">
      <c r="EA737" s="12"/>
      <c r="EB737" s="12"/>
    </row>
    <row r="738" spans="131:132" x14ac:dyDescent="0.2">
      <c r="EA738" s="12"/>
      <c r="EB738" s="12"/>
    </row>
    <row r="739" spans="131:132" x14ac:dyDescent="0.2">
      <c r="EA739" s="12"/>
      <c r="EB739" s="12"/>
    </row>
    <row r="740" spans="131:132" x14ac:dyDescent="0.2">
      <c r="EA740" s="12"/>
      <c r="EB740" s="12"/>
    </row>
    <row r="741" spans="131:132" x14ac:dyDescent="0.2">
      <c r="EA741" s="12"/>
      <c r="EB741" s="12"/>
    </row>
    <row r="742" spans="131:132" x14ac:dyDescent="0.2">
      <c r="EA742" s="12"/>
      <c r="EB742" s="12"/>
    </row>
    <row r="743" spans="131:132" x14ac:dyDescent="0.2">
      <c r="EA743" s="12"/>
      <c r="EB743" s="12"/>
    </row>
    <row r="744" spans="131:132" x14ac:dyDescent="0.2">
      <c r="EA744" s="12"/>
      <c r="EB744" s="12"/>
    </row>
    <row r="745" spans="131:132" x14ac:dyDescent="0.2">
      <c r="EA745" s="12"/>
      <c r="EB745" s="12"/>
    </row>
    <row r="746" spans="131:132" x14ac:dyDescent="0.2">
      <c r="EA746" s="12"/>
      <c r="EB746" s="12"/>
    </row>
    <row r="747" spans="131:132" x14ac:dyDescent="0.2">
      <c r="EA747" s="12"/>
      <c r="EB747" s="12"/>
    </row>
    <row r="748" spans="131:132" x14ac:dyDescent="0.2">
      <c r="EA748" s="12"/>
      <c r="EB748" s="12"/>
    </row>
    <row r="749" spans="131:132" x14ac:dyDescent="0.2">
      <c r="EA749" s="12"/>
      <c r="EB749" s="12"/>
    </row>
    <row r="750" spans="131:132" x14ac:dyDescent="0.2">
      <c r="EA750" s="12"/>
      <c r="EB750" s="12"/>
    </row>
    <row r="751" spans="131:132" x14ac:dyDescent="0.2">
      <c r="EA751" s="12"/>
      <c r="EB751" s="12"/>
    </row>
    <row r="752" spans="131:132" x14ac:dyDescent="0.2">
      <c r="EA752" s="12"/>
      <c r="EB752" s="12"/>
    </row>
    <row r="753" spans="131:132" x14ac:dyDescent="0.2">
      <c r="EA753" s="12"/>
      <c r="EB753" s="12"/>
    </row>
    <row r="754" spans="131:132" x14ac:dyDescent="0.2">
      <c r="EA754" s="12"/>
      <c r="EB754" s="12"/>
    </row>
    <row r="755" spans="131:132" x14ac:dyDescent="0.2">
      <c r="EA755" s="12"/>
      <c r="EB755" s="12"/>
    </row>
    <row r="756" spans="131:132" x14ac:dyDescent="0.2">
      <c r="EA756" s="12"/>
      <c r="EB756" s="12"/>
    </row>
    <row r="757" spans="131:132" x14ac:dyDescent="0.2">
      <c r="EA757" s="12"/>
      <c r="EB757" s="12"/>
    </row>
    <row r="758" spans="131:132" x14ac:dyDescent="0.2">
      <c r="EA758" s="12"/>
      <c r="EB758" s="12"/>
    </row>
    <row r="759" spans="131:132" x14ac:dyDescent="0.2">
      <c r="EA759" s="12"/>
      <c r="EB759" s="12"/>
    </row>
    <row r="760" spans="131:132" x14ac:dyDescent="0.2">
      <c r="EA760" s="12"/>
      <c r="EB760" s="12"/>
    </row>
    <row r="761" spans="131:132" x14ac:dyDescent="0.2">
      <c r="EA761" s="12"/>
      <c r="EB761" s="12"/>
    </row>
    <row r="762" spans="131:132" x14ac:dyDescent="0.2">
      <c r="EA762" s="12"/>
      <c r="EB762" s="12"/>
    </row>
    <row r="763" spans="131:132" x14ac:dyDescent="0.2">
      <c r="EA763" s="12"/>
      <c r="EB763" s="12"/>
    </row>
    <row r="764" spans="131:132" x14ac:dyDescent="0.2">
      <c r="EA764" s="12"/>
      <c r="EB764" s="12"/>
    </row>
    <row r="765" spans="131:132" x14ac:dyDescent="0.2">
      <c r="EA765" s="12"/>
      <c r="EB765" s="12"/>
    </row>
    <row r="766" spans="131:132" x14ac:dyDescent="0.2">
      <c r="EA766" s="12"/>
      <c r="EB766" s="12"/>
    </row>
    <row r="767" spans="131:132" x14ac:dyDescent="0.2">
      <c r="EA767" s="12"/>
      <c r="EB767" s="12"/>
    </row>
    <row r="768" spans="131:132" x14ac:dyDescent="0.2">
      <c r="EA768" s="12"/>
      <c r="EB768" s="12"/>
    </row>
    <row r="769" spans="131:132" x14ac:dyDescent="0.2">
      <c r="EA769" s="12"/>
      <c r="EB769" s="12"/>
    </row>
    <row r="770" spans="131:132" x14ac:dyDescent="0.2">
      <c r="EA770" s="12"/>
      <c r="EB770" s="12"/>
    </row>
    <row r="771" spans="131:132" x14ac:dyDescent="0.2">
      <c r="EA771" s="12"/>
      <c r="EB771" s="12"/>
    </row>
    <row r="772" spans="131:132" x14ac:dyDescent="0.2">
      <c r="EA772" s="12"/>
      <c r="EB772" s="12"/>
    </row>
    <row r="773" spans="131:132" x14ac:dyDescent="0.2">
      <c r="EA773" s="12"/>
      <c r="EB773" s="12"/>
    </row>
    <row r="774" spans="131:132" x14ac:dyDescent="0.2">
      <c r="EA774" s="12"/>
      <c r="EB774" s="12"/>
    </row>
    <row r="775" spans="131:132" x14ac:dyDescent="0.2">
      <c r="EA775" s="12"/>
      <c r="EB775" s="12"/>
    </row>
    <row r="776" spans="131:132" x14ac:dyDescent="0.2">
      <c r="EA776" s="12"/>
      <c r="EB776" s="12"/>
    </row>
    <row r="777" spans="131:132" x14ac:dyDescent="0.2">
      <c r="EA777" s="12"/>
      <c r="EB777" s="12"/>
    </row>
    <row r="778" spans="131:132" x14ac:dyDescent="0.2">
      <c r="EA778" s="12"/>
      <c r="EB778" s="12"/>
    </row>
    <row r="779" spans="131:132" x14ac:dyDescent="0.2">
      <c r="EA779" s="12"/>
      <c r="EB779" s="12"/>
    </row>
    <row r="780" spans="131:132" x14ac:dyDescent="0.2">
      <c r="EA780" s="12"/>
      <c r="EB780" s="12"/>
    </row>
    <row r="781" spans="131:132" x14ac:dyDescent="0.2">
      <c r="EA781" s="12"/>
      <c r="EB781" s="12"/>
    </row>
    <row r="782" spans="131:132" x14ac:dyDescent="0.2">
      <c r="EA782" s="12"/>
      <c r="EB782" s="12"/>
    </row>
    <row r="783" spans="131:132" x14ac:dyDescent="0.2">
      <c r="EA783" s="12"/>
      <c r="EB783" s="12"/>
    </row>
    <row r="784" spans="131:132" x14ac:dyDescent="0.2">
      <c r="EA784" s="12"/>
      <c r="EB784" s="12"/>
    </row>
    <row r="785" spans="131:132" x14ac:dyDescent="0.2">
      <c r="EA785" s="12"/>
      <c r="EB785" s="12"/>
    </row>
    <row r="786" spans="131:132" x14ac:dyDescent="0.2">
      <c r="EA786" s="12"/>
      <c r="EB786" s="12"/>
    </row>
    <row r="787" spans="131:132" x14ac:dyDescent="0.2">
      <c r="EA787" s="12"/>
      <c r="EB787" s="12"/>
    </row>
    <row r="788" spans="131:132" x14ac:dyDescent="0.2">
      <c r="EA788" s="12"/>
      <c r="EB788" s="12"/>
    </row>
    <row r="789" spans="131:132" x14ac:dyDescent="0.2">
      <c r="EA789" s="12"/>
      <c r="EB789" s="12"/>
    </row>
    <row r="790" spans="131:132" x14ac:dyDescent="0.2">
      <c r="EA790" s="12"/>
      <c r="EB790" s="12"/>
    </row>
    <row r="791" spans="131:132" x14ac:dyDescent="0.2">
      <c r="EA791" s="12"/>
      <c r="EB791" s="12"/>
    </row>
    <row r="792" spans="131:132" x14ac:dyDescent="0.2">
      <c r="EA792" s="12"/>
      <c r="EB792" s="12"/>
    </row>
    <row r="793" spans="131:132" x14ac:dyDescent="0.2">
      <c r="EA793" s="12"/>
      <c r="EB793" s="12"/>
    </row>
    <row r="794" spans="131:132" x14ac:dyDescent="0.2">
      <c r="EA794" s="12"/>
      <c r="EB794" s="12"/>
    </row>
    <row r="795" spans="131:132" x14ac:dyDescent="0.2">
      <c r="EA795" s="12"/>
      <c r="EB795" s="12"/>
    </row>
    <row r="796" spans="131:132" x14ac:dyDescent="0.2">
      <c r="EA796" s="12"/>
      <c r="EB796" s="12"/>
    </row>
    <row r="797" spans="131:132" x14ac:dyDescent="0.2">
      <c r="EA797" s="12"/>
      <c r="EB797" s="12"/>
    </row>
    <row r="798" spans="131:132" x14ac:dyDescent="0.2">
      <c r="EA798" s="12"/>
      <c r="EB798" s="12"/>
    </row>
    <row r="799" spans="131:132" x14ac:dyDescent="0.2">
      <c r="EA799" s="12"/>
      <c r="EB799" s="12"/>
    </row>
    <row r="800" spans="131:132" x14ac:dyDescent="0.2">
      <c r="EA800" s="12"/>
      <c r="EB800" s="12"/>
    </row>
    <row r="801" spans="131:132" x14ac:dyDescent="0.2">
      <c r="EA801" s="12"/>
      <c r="EB801" s="12"/>
    </row>
    <row r="802" spans="131:132" x14ac:dyDescent="0.2">
      <c r="EA802" s="12"/>
      <c r="EB802" s="12"/>
    </row>
    <row r="803" spans="131:132" x14ac:dyDescent="0.2">
      <c r="EA803" s="12"/>
      <c r="EB803" s="12"/>
    </row>
    <row r="804" spans="131:132" x14ac:dyDescent="0.2">
      <c r="EA804" s="12"/>
      <c r="EB804" s="12"/>
    </row>
    <row r="805" spans="131:132" x14ac:dyDescent="0.2">
      <c r="EA805" s="12"/>
      <c r="EB805" s="12"/>
    </row>
    <row r="806" spans="131:132" x14ac:dyDescent="0.2">
      <c r="EA806" s="12"/>
      <c r="EB806" s="12"/>
    </row>
    <row r="807" spans="131:132" x14ac:dyDescent="0.2">
      <c r="EA807" s="12"/>
      <c r="EB807" s="12"/>
    </row>
    <row r="808" spans="131:132" x14ac:dyDescent="0.2">
      <c r="EA808" s="12"/>
      <c r="EB808" s="12"/>
    </row>
    <row r="809" spans="131:132" x14ac:dyDescent="0.2">
      <c r="EA809" s="12"/>
      <c r="EB809" s="12"/>
    </row>
    <row r="810" spans="131:132" x14ac:dyDescent="0.2">
      <c r="EA810" s="12"/>
      <c r="EB810" s="12"/>
    </row>
    <row r="811" spans="131:132" x14ac:dyDescent="0.2">
      <c r="EA811" s="12"/>
      <c r="EB811" s="12"/>
    </row>
    <row r="812" spans="131:132" x14ac:dyDescent="0.2">
      <c r="EA812" s="12"/>
      <c r="EB812" s="12"/>
    </row>
    <row r="813" spans="131:132" x14ac:dyDescent="0.2">
      <c r="EA813" s="12"/>
      <c r="EB813" s="12"/>
    </row>
    <row r="814" spans="131:132" x14ac:dyDescent="0.2">
      <c r="EA814" s="12"/>
      <c r="EB814" s="12"/>
    </row>
    <row r="815" spans="131:132" x14ac:dyDescent="0.2">
      <c r="EA815" s="12"/>
      <c r="EB815" s="12"/>
    </row>
    <row r="816" spans="131:132" x14ac:dyDescent="0.2">
      <c r="EA816" s="12"/>
      <c r="EB816" s="12"/>
    </row>
    <row r="817" spans="131:132" x14ac:dyDescent="0.2">
      <c r="EA817" s="12"/>
      <c r="EB817" s="12"/>
    </row>
    <row r="818" spans="131:132" x14ac:dyDescent="0.2">
      <c r="EA818" s="12"/>
      <c r="EB818" s="12"/>
    </row>
    <row r="819" spans="131:132" x14ac:dyDescent="0.2">
      <c r="EA819" s="12"/>
      <c r="EB819" s="12"/>
    </row>
    <row r="820" spans="131:132" x14ac:dyDescent="0.2">
      <c r="EA820" s="12"/>
      <c r="EB820" s="12"/>
    </row>
    <row r="821" spans="131:132" x14ac:dyDescent="0.2">
      <c r="EA821" s="12"/>
      <c r="EB821" s="12"/>
    </row>
    <row r="822" spans="131:132" x14ac:dyDescent="0.2">
      <c r="EA822" s="12"/>
      <c r="EB822" s="12"/>
    </row>
    <row r="823" spans="131:132" x14ac:dyDescent="0.2">
      <c r="EA823" s="12"/>
      <c r="EB823" s="12"/>
    </row>
    <row r="824" spans="131:132" x14ac:dyDescent="0.2">
      <c r="EA824" s="12"/>
      <c r="EB824" s="12"/>
    </row>
    <row r="825" spans="131:132" x14ac:dyDescent="0.2">
      <c r="EA825" s="12"/>
      <c r="EB825" s="12"/>
    </row>
    <row r="826" spans="131:132" x14ac:dyDescent="0.2">
      <c r="EA826" s="12"/>
      <c r="EB826" s="12"/>
    </row>
    <row r="827" spans="131:132" x14ac:dyDescent="0.2">
      <c r="EA827" s="12"/>
      <c r="EB827" s="12"/>
    </row>
    <row r="828" spans="131:132" x14ac:dyDescent="0.2">
      <c r="EA828" s="12"/>
      <c r="EB828" s="12"/>
    </row>
    <row r="829" spans="131:132" x14ac:dyDescent="0.2">
      <c r="EA829" s="12"/>
      <c r="EB829" s="12"/>
    </row>
    <row r="830" spans="131:132" x14ac:dyDescent="0.2">
      <c r="EA830" s="12"/>
      <c r="EB830" s="12"/>
    </row>
    <row r="831" spans="131:132" x14ac:dyDescent="0.2">
      <c r="EA831" s="12"/>
      <c r="EB831" s="12"/>
    </row>
    <row r="832" spans="131:132" x14ac:dyDescent="0.2">
      <c r="EA832" s="12"/>
      <c r="EB832" s="12"/>
    </row>
    <row r="833" spans="131:132" x14ac:dyDescent="0.2">
      <c r="EA833" s="12"/>
      <c r="EB833" s="12"/>
    </row>
    <row r="834" spans="131:132" x14ac:dyDescent="0.2">
      <c r="EA834" s="12"/>
      <c r="EB834" s="12"/>
    </row>
    <row r="835" spans="131:132" x14ac:dyDescent="0.2">
      <c r="EA835" s="12"/>
      <c r="EB835" s="12"/>
    </row>
    <row r="836" spans="131:132" x14ac:dyDescent="0.2">
      <c r="EA836" s="12"/>
      <c r="EB836" s="12"/>
    </row>
    <row r="837" spans="131:132" x14ac:dyDescent="0.2">
      <c r="EA837" s="12"/>
      <c r="EB837" s="12"/>
    </row>
    <row r="838" spans="131:132" x14ac:dyDescent="0.2">
      <c r="EA838" s="12"/>
      <c r="EB838" s="12"/>
    </row>
    <row r="839" spans="131:132" x14ac:dyDescent="0.2">
      <c r="EA839" s="12"/>
      <c r="EB839" s="12"/>
    </row>
    <row r="840" spans="131:132" x14ac:dyDescent="0.2">
      <c r="EA840" s="12"/>
      <c r="EB840" s="12"/>
    </row>
    <row r="841" spans="131:132" x14ac:dyDescent="0.2">
      <c r="EA841" s="12"/>
      <c r="EB841" s="12"/>
    </row>
    <row r="842" spans="131:132" x14ac:dyDescent="0.2">
      <c r="EA842" s="12"/>
      <c r="EB842" s="12"/>
    </row>
    <row r="843" spans="131:132" x14ac:dyDescent="0.2">
      <c r="EA843" s="12"/>
      <c r="EB843" s="12"/>
    </row>
    <row r="844" spans="131:132" x14ac:dyDescent="0.2">
      <c r="EA844" s="12"/>
      <c r="EB844" s="12"/>
    </row>
    <row r="845" spans="131:132" x14ac:dyDescent="0.2">
      <c r="EA845" s="12"/>
      <c r="EB845" s="12"/>
    </row>
    <row r="846" spans="131:132" x14ac:dyDescent="0.2">
      <c r="EA846" s="12"/>
      <c r="EB846" s="12"/>
    </row>
    <row r="847" spans="131:132" x14ac:dyDescent="0.2">
      <c r="EA847" s="12"/>
      <c r="EB847" s="12"/>
    </row>
    <row r="848" spans="131:132" x14ac:dyDescent="0.2">
      <c r="EA848" s="12"/>
      <c r="EB848" s="12"/>
    </row>
    <row r="849" spans="131:132" x14ac:dyDescent="0.2">
      <c r="EA849" s="12"/>
      <c r="EB849" s="12"/>
    </row>
    <row r="850" spans="131:132" x14ac:dyDescent="0.2">
      <c r="EA850" s="12"/>
      <c r="EB850" s="12"/>
    </row>
    <row r="851" spans="131:132" x14ac:dyDescent="0.2">
      <c r="EA851" s="12"/>
      <c r="EB851" s="12"/>
    </row>
    <row r="852" spans="131:132" x14ac:dyDescent="0.2">
      <c r="EA852" s="12"/>
      <c r="EB852" s="12"/>
    </row>
    <row r="853" spans="131:132" x14ac:dyDescent="0.2">
      <c r="EA853" s="12"/>
      <c r="EB853" s="12"/>
    </row>
    <row r="854" spans="131:132" x14ac:dyDescent="0.2">
      <c r="EA854" s="12"/>
      <c r="EB854" s="12"/>
    </row>
    <row r="855" spans="131:132" x14ac:dyDescent="0.2">
      <c r="EA855" s="12"/>
      <c r="EB855" s="12"/>
    </row>
    <row r="856" spans="131:132" x14ac:dyDescent="0.2">
      <c r="EA856" s="12"/>
      <c r="EB856" s="12"/>
    </row>
    <row r="857" spans="131:132" x14ac:dyDescent="0.2">
      <c r="EA857" s="12"/>
      <c r="EB857" s="12"/>
    </row>
    <row r="858" spans="131:132" x14ac:dyDescent="0.2">
      <c r="EA858" s="12"/>
      <c r="EB858" s="12"/>
    </row>
    <row r="859" spans="131:132" x14ac:dyDescent="0.2">
      <c r="EA859" s="12"/>
      <c r="EB859" s="12"/>
    </row>
    <row r="860" spans="131:132" x14ac:dyDescent="0.2">
      <c r="EA860" s="12"/>
      <c r="EB860" s="12"/>
    </row>
    <row r="861" spans="131:132" x14ac:dyDescent="0.2">
      <c r="EA861" s="12"/>
      <c r="EB861" s="12"/>
    </row>
    <row r="862" spans="131:132" x14ac:dyDescent="0.2">
      <c r="EA862" s="12"/>
      <c r="EB862" s="12"/>
    </row>
    <row r="863" spans="131:132" x14ac:dyDescent="0.2">
      <c r="EA863" s="12"/>
      <c r="EB863" s="12"/>
    </row>
    <row r="864" spans="131:132" x14ac:dyDescent="0.2">
      <c r="EA864" s="12"/>
      <c r="EB864" s="12"/>
    </row>
    <row r="865" spans="131:132" x14ac:dyDescent="0.2">
      <c r="EA865" s="12"/>
      <c r="EB865" s="12"/>
    </row>
    <row r="866" spans="131:132" x14ac:dyDescent="0.2">
      <c r="EA866" s="12"/>
      <c r="EB866" s="12"/>
    </row>
    <row r="867" spans="131:132" x14ac:dyDescent="0.2">
      <c r="EA867" s="12"/>
      <c r="EB867" s="12"/>
    </row>
    <row r="868" spans="131:132" x14ac:dyDescent="0.2">
      <c r="EA868" s="12"/>
      <c r="EB868" s="12"/>
    </row>
    <row r="869" spans="131:132" x14ac:dyDescent="0.2">
      <c r="EA869" s="12"/>
      <c r="EB869" s="12"/>
    </row>
    <row r="870" spans="131:132" x14ac:dyDescent="0.2">
      <c r="EA870" s="12"/>
      <c r="EB870" s="12"/>
    </row>
    <row r="871" spans="131:132" x14ac:dyDescent="0.2">
      <c r="EA871" s="12"/>
      <c r="EB871" s="12"/>
    </row>
    <row r="872" spans="131:132" x14ac:dyDescent="0.2">
      <c r="EA872" s="12"/>
      <c r="EB872" s="12"/>
    </row>
    <row r="873" spans="131:132" x14ac:dyDescent="0.2">
      <c r="EA873" s="12"/>
      <c r="EB873" s="12"/>
    </row>
    <row r="874" spans="131:132" x14ac:dyDescent="0.2">
      <c r="EA874" s="12"/>
      <c r="EB874" s="12"/>
    </row>
    <row r="875" spans="131:132" x14ac:dyDescent="0.2">
      <c r="EA875" s="12"/>
      <c r="EB875" s="12"/>
    </row>
    <row r="876" spans="131:132" x14ac:dyDescent="0.2">
      <c r="EA876" s="12"/>
      <c r="EB876" s="12"/>
    </row>
    <row r="877" spans="131:132" x14ac:dyDescent="0.2">
      <c r="EA877" s="12"/>
      <c r="EB877" s="12"/>
    </row>
    <row r="878" spans="131:132" x14ac:dyDescent="0.2">
      <c r="EA878" s="12"/>
      <c r="EB878" s="12"/>
    </row>
    <row r="879" spans="131:132" x14ac:dyDescent="0.2">
      <c r="EA879" s="12"/>
      <c r="EB879" s="12"/>
    </row>
    <row r="880" spans="131:132" x14ac:dyDescent="0.2">
      <c r="EA880" s="12"/>
      <c r="EB880" s="12"/>
    </row>
    <row r="881" spans="131:132" x14ac:dyDescent="0.2">
      <c r="EA881" s="12"/>
      <c r="EB881" s="12"/>
    </row>
    <row r="882" spans="131:132" x14ac:dyDescent="0.2">
      <c r="EA882" s="12"/>
      <c r="EB882" s="12"/>
    </row>
    <row r="883" spans="131:132" x14ac:dyDescent="0.2">
      <c r="EA883" s="12"/>
      <c r="EB883" s="12"/>
    </row>
    <row r="884" spans="131:132" x14ac:dyDescent="0.2">
      <c r="EA884" s="12"/>
      <c r="EB884" s="12"/>
    </row>
    <row r="885" spans="131:132" x14ac:dyDescent="0.2">
      <c r="EA885" s="12"/>
      <c r="EB885" s="12"/>
    </row>
    <row r="886" spans="131:132" x14ac:dyDescent="0.2">
      <c r="EA886" s="12"/>
      <c r="EB886" s="12"/>
    </row>
    <row r="887" spans="131:132" x14ac:dyDescent="0.2">
      <c r="EA887" s="12"/>
      <c r="EB887" s="12"/>
    </row>
    <row r="888" spans="131:132" x14ac:dyDescent="0.2">
      <c r="EA888" s="12"/>
      <c r="EB888" s="12"/>
    </row>
    <row r="889" spans="131:132" x14ac:dyDescent="0.2">
      <c r="EA889" s="12"/>
      <c r="EB889" s="12"/>
    </row>
    <row r="890" spans="131:132" x14ac:dyDescent="0.2">
      <c r="EA890" s="12"/>
      <c r="EB890" s="12"/>
    </row>
    <row r="891" spans="131:132" x14ac:dyDescent="0.2">
      <c r="EA891" s="12"/>
      <c r="EB891" s="12"/>
    </row>
    <row r="892" spans="131:132" x14ac:dyDescent="0.2">
      <c r="EA892" s="12"/>
      <c r="EB892" s="12"/>
    </row>
    <row r="893" spans="131:132" x14ac:dyDescent="0.2">
      <c r="EA893" s="12"/>
      <c r="EB893" s="12"/>
    </row>
    <row r="894" spans="131:132" x14ac:dyDescent="0.2">
      <c r="EA894" s="12"/>
      <c r="EB894" s="12"/>
    </row>
    <row r="895" spans="131:132" x14ac:dyDescent="0.2">
      <c r="EA895" s="12"/>
      <c r="EB895" s="12"/>
    </row>
    <row r="896" spans="131:132" x14ac:dyDescent="0.2">
      <c r="EA896" s="12"/>
      <c r="EB896" s="12"/>
    </row>
    <row r="897" spans="131:132" x14ac:dyDescent="0.2">
      <c r="EA897" s="12"/>
      <c r="EB897" s="12"/>
    </row>
    <row r="898" spans="131:132" x14ac:dyDescent="0.2">
      <c r="EA898" s="12"/>
      <c r="EB898" s="12"/>
    </row>
    <row r="899" spans="131:132" x14ac:dyDescent="0.2">
      <c r="EA899" s="12"/>
      <c r="EB899" s="12"/>
    </row>
    <row r="900" spans="131:132" x14ac:dyDescent="0.2">
      <c r="EA900" s="12"/>
      <c r="EB900" s="12"/>
    </row>
    <row r="901" spans="131:132" x14ac:dyDescent="0.2">
      <c r="EA901" s="12"/>
      <c r="EB901" s="12"/>
    </row>
    <row r="902" spans="131:132" x14ac:dyDescent="0.2">
      <c r="EA902" s="12"/>
      <c r="EB902" s="12"/>
    </row>
    <row r="903" spans="131:132" x14ac:dyDescent="0.2">
      <c r="EA903" s="12"/>
      <c r="EB903" s="12"/>
    </row>
    <row r="904" spans="131:132" x14ac:dyDescent="0.2">
      <c r="EA904" s="12"/>
      <c r="EB904" s="12"/>
    </row>
    <row r="905" spans="131:132" x14ac:dyDescent="0.2">
      <c r="EA905" s="12"/>
      <c r="EB905" s="12"/>
    </row>
    <row r="906" spans="131:132" x14ac:dyDescent="0.2">
      <c r="EA906" s="12"/>
      <c r="EB906" s="12"/>
    </row>
    <row r="907" spans="131:132" x14ac:dyDescent="0.2">
      <c r="EA907" s="12"/>
      <c r="EB907" s="12"/>
    </row>
    <row r="908" spans="131:132" x14ac:dyDescent="0.2">
      <c r="EA908" s="12"/>
      <c r="EB908" s="12"/>
    </row>
    <row r="909" spans="131:132" x14ac:dyDescent="0.2">
      <c r="EA909" s="12"/>
      <c r="EB909" s="12"/>
    </row>
    <row r="910" spans="131:132" x14ac:dyDescent="0.2">
      <c r="EA910" s="12"/>
      <c r="EB910" s="12"/>
    </row>
    <row r="911" spans="131:132" x14ac:dyDescent="0.2">
      <c r="EA911" s="12"/>
      <c r="EB911" s="12"/>
    </row>
    <row r="912" spans="131:132" x14ac:dyDescent="0.2">
      <c r="EA912" s="12"/>
      <c r="EB912" s="12"/>
    </row>
    <row r="913" spans="131:132" x14ac:dyDescent="0.2">
      <c r="EA913" s="12"/>
      <c r="EB913" s="12"/>
    </row>
    <row r="914" spans="131:132" x14ac:dyDescent="0.2">
      <c r="EA914" s="12"/>
      <c r="EB914" s="12"/>
    </row>
    <row r="915" spans="131:132" x14ac:dyDescent="0.2">
      <c r="EA915" s="12"/>
      <c r="EB915" s="12"/>
    </row>
    <row r="916" spans="131:132" x14ac:dyDescent="0.2">
      <c r="EA916" s="12"/>
      <c r="EB916" s="12"/>
    </row>
    <row r="917" spans="131:132" x14ac:dyDescent="0.2">
      <c r="EA917" s="12"/>
      <c r="EB917" s="12"/>
    </row>
    <row r="918" spans="131:132" x14ac:dyDescent="0.2">
      <c r="EA918" s="12"/>
      <c r="EB918" s="12"/>
    </row>
    <row r="919" spans="131:132" x14ac:dyDescent="0.2">
      <c r="EA919" s="12"/>
      <c r="EB919" s="12"/>
    </row>
    <row r="920" spans="131:132" x14ac:dyDescent="0.2">
      <c r="EA920" s="12"/>
      <c r="EB920" s="12"/>
    </row>
    <row r="921" spans="131:132" x14ac:dyDescent="0.2">
      <c r="EA921" s="12"/>
      <c r="EB921" s="12"/>
    </row>
    <row r="922" spans="131:132" x14ac:dyDescent="0.2">
      <c r="EA922" s="12"/>
      <c r="EB922" s="12"/>
    </row>
    <row r="923" spans="131:132" x14ac:dyDescent="0.2">
      <c r="EA923" s="12"/>
      <c r="EB923" s="12"/>
    </row>
    <row r="924" spans="131:132" x14ac:dyDescent="0.2">
      <c r="EA924" s="12"/>
      <c r="EB924" s="12"/>
    </row>
    <row r="925" spans="131:132" x14ac:dyDescent="0.2">
      <c r="EA925" s="12"/>
      <c r="EB925" s="12"/>
    </row>
    <row r="926" spans="131:132" x14ac:dyDescent="0.2">
      <c r="EA926" s="12"/>
      <c r="EB926" s="12"/>
    </row>
    <row r="927" spans="131:132" x14ac:dyDescent="0.2">
      <c r="EA927" s="12"/>
      <c r="EB927" s="12"/>
    </row>
    <row r="928" spans="131:132" x14ac:dyDescent="0.2">
      <c r="EA928" s="12"/>
      <c r="EB928" s="12"/>
    </row>
    <row r="929" spans="131:132" x14ac:dyDescent="0.2">
      <c r="EA929" s="12"/>
      <c r="EB929" s="12"/>
    </row>
    <row r="930" spans="131:132" x14ac:dyDescent="0.2">
      <c r="EA930" s="12"/>
      <c r="EB930" s="12"/>
    </row>
    <row r="931" spans="131:132" x14ac:dyDescent="0.2">
      <c r="EA931" s="12"/>
      <c r="EB931" s="12"/>
    </row>
    <row r="932" spans="131:132" x14ac:dyDescent="0.2">
      <c r="EA932" s="12"/>
      <c r="EB932" s="12"/>
    </row>
    <row r="933" spans="131:132" x14ac:dyDescent="0.2">
      <c r="EA933" s="12"/>
      <c r="EB933" s="12"/>
    </row>
    <row r="934" spans="131:132" x14ac:dyDescent="0.2">
      <c r="EA934" s="12"/>
      <c r="EB934" s="12"/>
    </row>
    <row r="935" spans="131:132" x14ac:dyDescent="0.2">
      <c r="EA935" s="12"/>
      <c r="EB935" s="12"/>
    </row>
    <row r="936" spans="131:132" x14ac:dyDescent="0.2">
      <c r="EA936" s="12"/>
      <c r="EB936" s="12"/>
    </row>
    <row r="937" spans="131:132" x14ac:dyDescent="0.2">
      <c r="EA937" s="12"/>
      <c r="EB937" s="12"/>
    </row>
    <row r="938" spans="131:132" x14ac:dyDescent="0.2">
      <c r="EA938" s="12"/>
      <c r="EB938" s="12"/>
    </row>
    <row r="939" spans="131:132" x14ac:dyDescent="0.2">
      <c r="EA939" s="12"/>
      <c r="EB939" s="12"/>
    </row>
    <row r="940" spans="131:132" x14ac:dyDescent="0.2">
      <c r="EA940" s="12"/>
      <c r="EB940" s="12"/>
    </row>
    <row r="941" spans="131:132" x14ac:dyDescent="0.2">
      <c r="EA941" s="12"/>
      <c r="EB941" s="12"/>
    </row>
    <row r="942" spans="131:132" x14ac:dyDescent="0.2">
      <c r="EA942" s="12"/>
      <c r="EB942" s="12"/>
    </row>
    <row r="943" spans="131:132" x14ac:dyDescent="0.2">
      <c r="EA943" s="12"/>
      <c r="EB943" s="12"/>
    </row>
    <row r="944" spans="131:132" x14ac:dyDescent="0.2">
      <c r="EA944" s="12"/>
      <c r="EB944" s="12"/>
    </row>
    <row r="945" spans="131:132" x14ac:dyDescent="0.2">
      <c r="EA945" s="12"/>
      <c r="EB945" s="12"/>
    </row>
    <row r="946" spans="131:132" x14ac:dyDescent="0.2">
      <c r="EA946" s="12"/>
      <c r="EB946" s="12"/>
    </row>
    <row r="947" spans="131:132" x14ac:dyDescent="0.2">
      <c r="EA947" s="12"/>
      <c r="EB947" s="12"/>
    </row>
    <row r="948" spans="131:132" x14ac:dyDescent="0.2">
      <c r="EA948" s="12"/>
      <c r="EB948" s="12"/>
    </row>
    <row r="949" spans="131:132" x14ac:dyDescent="0.2">
      <c r="EA949" s="12"/>
      <c r="EB949" s="12"/>
    </row>
    <row r="950" spans="131:132" x14ac:dyDescent="0.2">
      <c r="EA950" s="12"/>
      <c r="EB950" s="12"/>
    </row>
    <row r="951" spans="131:132" x14ac:dyDescent="0.2">
      <c r="EA951" s="12"/>
      <c r="EB951" s="12"/>
    </row>
    <row r="952" spans="131:132" x14ac:dyDescent="0.2">
      <c r="EA952" s="12"/>
      <c r="EB952" s="12"/>
    </row>
    <row r="953" spans="131:132" x14ac:dyDescent="0.2">
      <c r="EA953" s="12"/>
      <c r="EB953" s="12"/>
    </row>
    <row r="954" spans="131:132" x14ac:dyDescent="0.2">
      <c r="EA954" s="12"/>
      <c r="EB954" s="12"/>
    </row>
    <row r="955" spans="131:132" x14ac:dyDescent="0.2">
      <c r="EA955" s="12"/>
      <c r="EB955" s="12"/>
    </row>
    <row r="956" spans="131:132" x14ac:dyDescent="0.2">
      <c r="EA956" s="12"/>
      <c r="EB956" s="12"/>
    </row>
    <row r="957" spans="131:132" x14ac:dyDescent="0.2">
      <c r="EA957" s="12"/>
      <c r="EB957" s="12"/>
    </row>
    <row r="958" spans="131:132" x14ac:dyDescent="0.2">
      <c r="EA958" s="12"/>
      <c r="EB958" s="12"/>
    </row>
    <row r="959" spans="131:132" x14ac:dyDescent="0.2">
      <c r="EA959" s="12"/>
      <c r="EB959" s="12"/>
    </row>
    <row r="960" spans="131:132" x14ac:dyDescent="0.2">
      <c r="EA960" s="12"/>
      <c r="EB960" s="12"/>
    </row>
    <row r="961" spans="131:132" x14ac:dyDescent="0.2">
      <c r="EA961" s="12"/>
      <c r="EB961" s="12"/>
    </row>
    <row r="962" spans="131:132" x14ac:dyDescent="0.2">
      <c r="EA962" s="12"/>
      <c r="EB962" s="12"/>
    </row>
    <row r="963" spans="131:132" x14ac:dyDescent="0.2">
      <c r="EA963" s="12"/>
      <c r="EB963" s="12"/>
    </row>
    <row r="964" spans="131:132" x14ac:dyDescent="0.2">
      <c r="EA964" s="12"/>
      <c r="EB964" s="12"/>
    </row>
    <row r="965" spans="131:132" x14ac:dyDescent="0.2">
      <c r="EA965" s="12"/>
      <c r="EB965" s="12"/>
    </row>
    <row r="966" spans="131:132" x14ac:dyDescent="0.2">
      <c r="EA966" s="12"/>
      <c r="EB966" s="12"/>
    </row>
    <row r="967" spans="131:132" x14ac:dyDescent="0.2">
      <c r="EA967" s="12"/>
      <c r="EB967" s="12"/>
    </row>
    <row r="968" spans="131:132" x14ac:dyDescent="0.2">
      <c r="EA968" s="12"/>
      <c r="EB968" s="12"/>
    </row>
    <row r="969" spans="131:132" x14ac:dyDescent="0.2">
      <c r="EA969" s="12"/>
      <c r="EB969" s="12"/>
    </row>
    <row r="970" spans="131:132" x14ac:dyDescent="0.2">
      <c r="EA970" s="12"/>
      <c r="EB970" s="12"/>
    </row>
    <row r="971" spans="131:132" x14ac:dyDescent="0.2">
      <c r="EA971" s="12"/>
      <c r="EB971" s="12"/>
    </row>
    <row r="972" spans="131:132" x14ac:dyDescent="0.2">
      <c r="EA972" s="12"/>
      <c r="EB972" s="12"/>
    </row>
    <row r="973" spans="131:132" x14ac:dyDescent="0.2">
      <c r="EA973" s="12"/>
      <c r="EB973" s="12"/>
    </row>
    <row r="974" spans="131:132" x14ac:dyDescent="0.2">
      <c r="EA974" s="12"/>
      <c r="EB974" s="12"/>
    </row>
    <row r="975" spans="131:132" x14ac:dyDescent="0.2">
      <c r="EA975" s="12"/>
      <c r="EB975" s="12"/>
    </row>
    <row r="976" spans="131:132" x14ac:dyDescent="0.2">
      <c r="EA976" s="12"/>
      <c r="EB976" s="12"/>
    </row>
    <row r="977" spans="131:132" x14ac:dyDescent="0.2">
      <c r="EA977" s="12"/>
      <c r="EB977" s="12"/>
    </row>
    <row r="978" spans="131:132" x14ac:dyDescent="0.2">
      <c r="EA978" s="12"/>
      <c r="EB978" s="12"/>
    </row>
    <row r="979" spans="131:132" x14ac:dyDescent="0.2">
      <c r="EA979" s="12"/>
      <c r="EB979" s="12"/>
    </row>
    <row r="980" spans="131:132" x14ac:dyDescent="0.2">
      <c r="EA980" s="12"/>
      <c r="EB980" s="12"/>
    </row>
    <row r="981" spans="131:132" x14ac:dyDescent="0.2">
      <c r="EA981" s="12"/>
      <c r="EB981" s="12"/>
    </row>
    <row r="982" spans="131:132" x14ac:dyDescent="0.2">
      <c r="EA982" s="12"/>
      <c r="EB982" s="12"/>
    </row>
    <row r="983" spans="131:132" x14ac:dyDescent="0.2">
      <c r="EA983" s="12"/>
      <c r="EB983" s="12"/>
    </row>
    <row r="984" spans="131:132" x14ac:dyDescent="0.2">
      <c r="EA984" s="12"/>
      <c r="EB984" s="12"/>
    </row>
    <row r="985" spans="131:132" x14ac:dyDescent="0.2">
      <c r="EA985" s="12"/>
      <c r="EB985" s="12"/>
    </row>
    <row r="986" spans="131:132" x14ac:dyDescent="0.2">
      <c r="EA986" s="12"/>
      <c r="EB986" s="12"/>
    </row>
    <row r="987" spans="131:132" x14ac:dyDescent="0.2">
      <c r="EA987" s="12"/>
      <c r="EB987" s="12"/>
    </row>
    <row r="988" spans="131:132" x14ac:dyDescent="0.2">
      <c r="EA988" s="12"/>
      <c r="EB988" s="12"/>
    </row>
    <row r="989" spans="131:132" x14ac:dyDescent="0.2">
      <c r="EA989" s="12"/>
      <c r="EB989" s="12"/>
    </row>
    <row r="990" spans="131:132" x14ac:dyDescent="0.2">
      <c r="EA990" s="12"/>
      <c r="EB990" s="12"/>
    </row>
    <row r="991" spans="131:132" x14ac:dyDescent="0.2">
      <c r="EA991" s="12"/>
      <c r="EB991" s="12"/>
    </row>
    <row r="992" spans="131:132" x14ac:dyDescent="0.2">
      <c r="EA992" s="12"/>
      <c r="EB992" s="12"/>
    </row>
    <row r="993" spans="131:132" x14ac:dyDescent="0.2">
      <c r="EA993" s="12"/>
      <c r="EB993" s="12"/>
    </row>
    <row r="994" spans="131:132" x14ac:dyDescent="0.2">
      <c r="EA994" s="12"/>
      <c r="EB994" s="12"/>
    </row>
    <row r="995" spans="131:132" x14ac:dyDescent="0.2">
      <c r="EA995" s="12"/>
      <c r="EB995" s="12"/>
    </row>
    <row r="996" spans="131:132" x14ac:dyDescent="0.2">
      <c r="EA996" s="12"/>
      <c r="EB996" s="12"/>
    </row>
    <row r="997" spans="131:132" x14ac:dyDescent="0.2">
      <c r="EA997" s="12"/>
      <c r="EB997" s="12"/>
    </row>
    <row r="998" spans="131:132" x14ac:dyDescent="0.2">
      <c r="EA998" s="12"/>
      <c r="EB998" s="12"/>
    </row>
    <row r="999" spans="131:132" x14ac:dyDescent="0.2">
      <c r="EA999" s="12"/>
      <c r="EB999" s="12"/>
    </row>
    <row r="1000" spans="131:132" x14ac:dyDescent="0.2">
      <c r="EA1000" s="12"/>
      <c r="EB1000" s="12"/>
    </row>
    <row r="1001" spans="131:132" x14ac:dyDescent="0.2">
      <c r="EA1001" s="12"/>
      <c r="EB1001" s="12"/>
    </row>
    <row r="1002" spans="131:132" x14ac:dyDescent="0.2">
      <c r="EA1002" s="12"/>
      <c r="EB1002" s="12"/>
    </row>
    <row r="1003" spans="131:132" x14ac:dyDescent="0.2">
      <c r="EA1003" s="12"/>
      <c r="EB1003" s="12"/>
    </row>
    <row r="1004" spans="131:132" x14ac:dyDescent="0.2">
      <c r="EA1004" s="12"/>
      <c r="EB1004" s="12"/>
    </row>
    <row r="1005" spans="131:132" x14ac:dyDescent="0.2">
      <c r="EA1005" s="12"/>
      <c r="EB1005" s="12"/>
    </row>
    <row r="1006" spans="131:132" x14ac:dyDescent="0.2">
      <c r="EA1006" s="12"/>
      <c r="EB1006" s="12"/>
    </row>
    <row r="1007" spans="131:132" x14ac:dyDescent="0.2">
      <c r="EA1007" s="12"/>
      <c r="EB1007" s="12"/>
    </row>
    <row r="1008" spans="131:132" x14ac:dyDescent="0.2">
      <c r="EA1008" s="12"/>
      <c r="EB1008" s="12"/>
    </row>
    <row r="1009" spans="131:132" x14ac:dyDescent="0.2">
      <c r="EA1009" s="12"/>
      <c r="EB1009" s="12"/>
    </row>
    <row r="1010" spans="131:132" x14ac:dyDescent="0.2">
      <c r="EA1010" s="12"/>
      <c r="EB1010" s="12"/>
    </row>
    <row r="1011" spans="131:132" x14ac:dyDescent="0.2">
      <c r="EA1011" s="12"/>
      <c r="EB1011" s="12"/>
    </row>
    <row r="1012" spans="131:132" x14ac:dyDescent="0.2">
      <c r="EA1012" s="12"/>
      <c r="EB1012" s="12"/>
    </row>
    <row r="1013" spans="131:132" x14ac:dyDescent="0.2">
      <c r="EA1013" s="12"/>
      <c r="EB1013" s="12"/>
    </row>
    <row r="1014" spans="131:132" x14ac:dyDescent="0.2">
      <c r="EA1014" s="12"/>
      <c r="EB1014" s="12"/>
    </row>
    <row r="1015" spans="131:132" x14ac:dyDescent="0.2">
      <c r="EA1015" s="12"/>
      <c r="EB1015" s="12"/>
    </row>
    <row r="1016" spans="131:132" x14ac:dyDescent="0.2">
      <c r="EA1016" s="12"/>
      <c r="EB1016" s="12"/>
    </row>
    <row r="1017" spans="131:132" x14ac:dyDescent="0.2">
      <c r="EA1017" s="12"/>
      <c r="EB1017" s="12"/>
    </row>
    <row r="1018" spans="131:132" x14ac:dyDescent="0.2">
      <c r="EA1018" s="12"/>
      <c r="EB1018" s="12"/>
    </row>
    <row r="1019" spans="131:132" x14ac:dyDescent="0.2">
      <c r="EA1019" s="12"/>
      <c r="EB1019" s="12"/>
    </row>
    <row r="1020" spans="131:132" x14ac:dyDescent="0.2">
      <c r="EA1020" s="12"/>
      <c r="EB1020" s="12"/>
    </row>
    <row r="1021" spans="131:132" x14ac:dyDescent="0.2">
      <c r="EA1021" s="12"/>
      <c r="EB1021" s="12"/>
    </row>
    <row r="1022" spans="131:132" x14ac:dyDescent="0.2">
      <c r="EA1022" s="12"/>
      <c r="EB1022" s="12"/>
    </row>
    <row r="1023" spans="131:132" x14ac:dyDescent="0.2">
      <c r="EA1023" s="12"/>
      <c r="EB1023" s="12"/>
    </row>
    <row r="1024" spans="131:132" x14ac:dyDescent="0.2">
      <c r="EA1024" s="12"/>
      <c r="EB1024" s="12"/>
    </row>
    <row r="1025" spans="131:132" x14ac:dyDescent="0.2">
      <c r="EA1025" s="12"/>
      <c r="EB1025" s="12"/>
    </row>
    <row r="1026" spans="131:132" x14ac:dyDescent="0.2">
      <c r="EA1026" s="12"/>
      <c r="EB1026" s="12"/>
    </row>
    <row r="1027" spans="131:132" x14ac:dyDescent="0.2">
      <c r="EA1027" s="12"/>
      <c r="EB1027" s="12"/>
    </row>
    <row r="1028" spans="131:132" x14ac:dyDescent="0.2">
      <c r="EA1028" s="12"/>
      <c r="EB1028" s="12"/>
    </row>
    <row r="1029" spans="131:132" x14ac:dyDescent="0.2">
      <c r="EA1029" s="12"/>
      <c r="EB1029" s="12"/>
    </row>
    <row r="1030" spans="131:132" x14ac:dyDescent="0.2">
      <c r="EA1030" s="12"/>
      <c r="EB1030" s="12"/>
    </row>
    <row r="1031" spans="131:132" x14ac:dyDescent="0.2">
      <c r="EA1031" s="12"/>
      <c r="EB1031" s="12"/>
    </row>
    <row r="1032" spans="131:132" x14ac:dyDescent="0.2">
      <c r="EA1032" s="12"/>
      <c r="EB1032" s="12"/>
    </row>
    <row r="1033" spans="131:132" x14ac:dyDescent="0.2">
      <c r="EA1033" s="12"/>
      <c r="EB1033" s="12"/>
    </row>
    <row r="1034" spans="131:132" x14ac:dyDescent="0.2">
      <c r="EA1034" s="12"/>
      <c r="EB1034" s="12"/>
    </row>
    <row r="1035" spans="131:132" x14ac:dyDescent="0.2">
      <c r="EA1035" s="12"/>
      <c r="EB1035" s="12"/>
    </row>
    <row r="1036" spans="131:132" x14ac:dyDescent="0.2">
      <c r="EA1036" s="12"/>
      <c r="EB1036" s="12"/>
    </row>
    <row r="1037" spans="131:132" x14ac:dyDescent="0.2">
      <c r="EA1037" s="12"/>
      <c r="EB1037" s="12"/>
    </row>
    <row r="1038" spans="131:132" x14ac:dyDescent="0.2">
      <c r="EA1038" s="12"/>
      <c r="EB1038" s="12"/>
    </row>
    <row r="1039" spans="131:132" x14ac:dyDescent="0.2">
      <c r="EA1039" s="12"/>
      <c r="EB1039" s="12"/>
    </row>
    <row r="1040" spans="131:132" x14ac:dyDescent="0.2">
      <c r="EA1040" s="12"/>
      <c r="EB1040" s="12"/>
    </row>
    <row r="1041" spans="131:132" x14ac:dyDescent="0.2">
      <c r="EA1041" s="12"/>
      <c r="EB1041" s="12"/>
    </row>
    <row r="1042" spans="131:132" x14ac:dyDescent="0.2">
      <c r="EA1042" s="12"/>
      <c r="EB1042" s="12"/>
    </row>
    <row r="1043" spans="131:132" x14ac:dyDescent="0.2">
      <c r="EA1043" s="12"/>
      <c r="EB1043" s="12"/>
    </row>
    <row r="1044" spans="131:132" x14ac:dyDescent="0.2">
      <c r="EA1044" s="12"/>
      <c r="EB1044" s="12"/>
    </row>
    <row r="1045" spans="131:132" x14ac:dyDescent="0.2">
      <c r="EA1045" s="12"/>
      <c r="EB1045" s="12"/>
    </row>
    <row r="1046" spans="131:132" x14ac:dyDescent="0.2">
      <c r="EA1046" s="12"/>
      <c r="EB1046" s="12"/>
    </row>
    <row r="1047" spans="131:132" x14ac:dyDescent="0.2">
      <c r="EA1047" s="12"/>
      <c r="EB1047" s="12"/>
    </row>
    <row r="1048" spans="131:132" x14ac:dyDescent="0.2">
      <c r="EA1048" s="12"/>
      <c r="EB1048" s="12"/>
    </row>
    <row r="1049" spans="131:132" x14ac:dyDescent="0.2">
      <c r="EA1049" s="12"/>
      <c r="EB1049" s="12"/>
    </row>
    <row r="1050" spans="131:132" x14ac:dyDescent="0.2">
      <c r="EA1050" s="12"/>
      <c r="EB1050" s="12"/>
    </row>
    <row r="1051" spans="131:132" x14ac:dyDescent="0.2">
      <c r="EA1051" s="12"/>
      <c r="EB1051" s="12"/>
    </row>
    <row r="1052" spans="131:132" x14ac:dyDescent="0.2">
      <c r="EA1052" s="12"/>
      <c r="EB1052" s="12"/>
    </row>
    <row r="1053" spans="131:132" x14ac:dyDescent="0.2">
      <c r="EA1053" s="12"/>
      <c r="EB1053" s="12"/>
    </row>
    <row r="1054" spans="131:132" x14ac:dyDescent="0.2">
      <c r="EA1054" s="12"/>
      <c r="EB1054" s="12"/>
    </row>
    <row r="1055" spans="131:132" x14ac:dyDescent="0.2">
      <c r="EA1055" s="12"/>
      <c r="EB1055" s="12"/>
    </row>
    <row r="1056" spans="131:132" x14ac:dyDescent="0.2">
      <c r="EA1056" s="12"/>
      <c r="EB1056" s="12"/>
    </row>
    <row r="1057" spans="131:132" x14ac:dyDescent="0.2">
      <c r="EA1057" s="12"/>
      <c r="EB1057" s="12"/>
    </row>
    <row r="1058" spans="131:132" x14ac:dyDescent="0.2">
      <c r="EA1058" s="12"/>
      <c r="EB1058" s="12"/>
    </row>
    <row r="1059" spans="131:132" x14ac:dyDescent="0.2">
      <c r="EA1059" s="12"/>
      <c r="EB1059" s="12"/>
    </row>
    <row r="1060" spans="131:132" x14ac:dyDescent="0.2">
      <c r="EA1060" s="12"/>
      <c r="EB1060" s="12"/>
    </row>
    <row r="1061" spans="131:132" x14ac:dyDescent="0.2">
      <c r="EA1061" s="12"/>
      <c r="EB1061" s="12"/>
    </row>
    <row r="1062" spans="131:132" x14ac:dyDescent="0.2">
      <c r="EA1062" s="12"/>
      <c r="EB1062" s="12"/>
    </row>
    <row r="1063" spans="131:132" x14ac:dyDescent="0.2">
      <c r="EA1063" s="12"/>
      <c r="EB1063" s="12"/>
    </row>
    <row r="1064" spans="131:132" x14ac:dyDescent="0.2">
      <c r="EA1064" s="12"/>
      <c r="EB1064" s="12"/>
    </row>
    <row r="1065" spans="131:132" x14ac:dyDescent="0.2">
      <c r="EA1065" s="12"/>
      <c r="EB1065" s="12"/>
    </row>
    <row r="1066" spans="131:132" x14ac:dyDescent="0.2">
      <c r="EA1066" s="12"/>
      <c r="EB1066" s="12"/>
    </row>
    <row r="1067" spans="131:132" x14ac:dyDescent="0.2">
      <c r="EA1067" s="12"/>
      <c r="EB1067" s="12"/>
    </row>
    <row r="1068" spans="131:132" x14ac:dyDescent="0.2">
      <c r="EA1068" s="12"/>
      <c r="EB1068" s="12"/>
    </row>
    <row r="1069" spans="131:132" x14ac:dyDescent="0.2">
      <c r="EA1069" s="12"/>
      <c r="EB1069" s="12"/>
    </row>
    <row r="1070" spans="131:132" x14ac:dyDescent="0.2">
      <c r="EA1070" s="12"/>
      <c r="EB1070" s="12"/>
    </row>
    <row r="1071" spans="131:132" x14ac:dyDescent="0.2">
      <c r="EA1071" s="12"/>
      <c r="EB1071" s="12"/>
    </row>
    <row r="1072" spans="131:132" x14ac:dyDescent="0.2">
      <c r="EA1072" s="12"/>
      <c r="EB1072" s="12"/>
    </row>
    <row r="1073" spans="131:132" x14ac:dyDescent="0.2">
      <c r="EA1073" s="12"/>
      <c r="EB1073" s="12"/>
    </row>
    <row r="1074" spans="131:132" x14ac:dyDescent="0.2">
      <c r="EA1074" s="12"/>
      <c r="EB1074" s="12"/>
    </row>
    <row r="1075" spans="131:132" x14ac:dyDescent="0.2">
      <c r="EA1075" s="12"/>
      <c r="EB1075" s="12"/>
    </row>
    <row r="1076" spans="131:132" x14ac:dyDescent="0.2">
      <c r="EA1076" s="12"/>
      <c r="EB1076" s="12"/>
    </row>
    <row r="1077" spans="131:132" x14ac:dyDescent="0.2">
      <c r="EA1077" s="12"/>
      <c r="EB1077" s="12"/>
    </row>
    <row r="1078" spans="131:132" x14ac:dyDescent="0.2">
      <c r="EA1078" s="12"/>
      <c r="EB1078" s="12"/>
    </row>
    <row r="1079" spans="131:132" x14ac:dyDescent="0.2">
      <c r="EA1079" s="12"/>
      <c r="EB1079" s="12"/>
    </row>
    <row r="1080" spans="131:132" x14ac:dyDescent="0.2">
      <c r="EA1080" s="12"/>
      <c r="EB1080" s="12"/>
    </row>
    <row r="1081" spans="131:132" x14ac:dyDescent="0.2">
      <c r="EA1081" s="12"/>
      <c r="EB1081" s="12"/>
    </row>
    <row r="1082" spans="131:132" x14ac:dyDescent="0.2">
      <c r="EA1082" s="12"/>
      <c r="EB1082" s="12"/>
    </row>
    <row r="1083" spans="131:132" x14ac:dyDescent="0.2">
      <c r="EA1083" s="12"/>
      <c r="EB1083" s="12"/>
    </row>
    <row r="1084" spans="131:132" x14ac:dyDescent="0.2">
      <c r="EA1084" s="12"/>
      <c r="EB1084" s="12"/>
    </row>
    <row r="1085" spans="131:132" x14ac:dyDescent="0.2">
      <c r="EA1085" s="12"/>
      <c r="EB1085" s="12"/>
    </row>
    <row r="1086" spans="131:132" x14ac:dyDescent="0.2">
      <c r="EA1086" s="12"/>
      <c r="EB1086" s="12"/>
    </row>
    <row r="1087" spans="131:132" x14ac:dyDescent="0.2">
      <c r="EA1087" s="12"/>
      <c r="EB1087" s="12"/>
    </row>
    <row r="1088" spans="131:132" x14ac:dyDescent="0.2">
      <c r="EA1088" s="12"/>
      <c r="EB1088" s="12"/>
    </row>
    <row r="1089" spans="131:132" x14ac:dyDescent="0.2">
      <c r="EA1089" s="12"/>
      <c r="EB1089" s="12"/>
    </row>
    <row r="1090" spans="131:132" x14ac:dyDescent="0.2">
      <c r="EA1090" s="12"/>
      <c r="EB1090" s="12"/>
    </row>
    <row r="1091" spans="131:132" x14ac:dyDescent="0.2">
      <c r="EA1091" s="12"/>
      <c r="EB1091" s="12"/>
    </row>
    <row r="1092" spans="131:132" x14ac:dyDescent="0.2">
      <c r="EA1092" s="12"/>
      <c r="EB1092" s="12"/>
    </row>
    <row r="1093" spans="131:132" x14ac:dyDescent="0.2">
      <c r="EA1093" s="12"/>
      <c r="EB1093" s="12"/>
    </row>
    <row r="1094" spans="131:132" x14ac:dyDescent="0.2">
      <c r="EA1094" s="12"/>
      <c r="EB1094" s="12"/>
    </row>
    <row r="1095" spans="131:132" x14ac:dyDescent="0.2">
      <c r="EA1095" s="12"/>
      <c r="EB1095" s="12"/>
    </row>
    <row r="1096" spans="131:132" x14ac:dyDescent="0.2">
      <c r="EA1096" s="12"/>
      <c r="EB1096" s="12"/>
    </row>
    <row r="1097" spans="131:132" x14ac:dyDescent="0.2">
      <c r="EA1097" s="12"/>
      <c r="EB1097" s="12"/>
    </row>
    <row r="1098" spans="131:132" x14ac:dyDescent="0.2">
      <c r="EA1098" s="12"/>
      <c r="EB1098" s="12"/>
    </row>
    <row r="1099" spans="131:132" x14ac:dyDescent="0.2">
      <c r="EA1099" s="12"/>
      <c r="EB1099" s="12"/>
    </row>
    <row r="1100" spans="131:132" x14ac:dyDescent="0.2">
      <c r="EA1100" s="12"/>
      <c r="EB1100" s="12"/>
    </row>
    <row r="1101" spans="131:132" x14ac:dyDescent="0.2">
      <c r="EA1101" s="12"/>
      <c r="EB1101" s="12"/>
    </row>
    <row r="1102" spans="131:132" x14ac:dyDescent="0.2">
      <c r="EA1102" s="12"/>
      <c r="EB1102" s="12"/>
    </row>
    <row r="1103" spans="131:132" x14ac:dyDescent="0.2">
      <c r="EA1103" s="12"/>
      <c r="EB1103" s="12"/>
    </row>
    <row r="1104" spans="131:132" x14ac:dyDescent="0.2">
      <c r="EA1104" s="12"/>
      <c r="EB1104" s="12"/>
    </row>
    <row r="1105" spans="131:132" x14ac:dyDescent="0.2">
      <c r="EA1105" s="12"/>
      <c r="EB1105" s="12"/>
    </row>
    <row r="1106" spans="131:132" x14ac:dyDescent="0.2">
      <c r="EA1106" s="12"/>
      <c r="EB1106" s="12"/>
    </row>
    <row r="1107" spans="131:132" x14ac:dyDescent="0.2">
      <c r="EA1107" s="12"/>
      <c r="EB1107" s="12"/>
    </row>
    <row r="1108" spans="131:132" x14ac:dyDescent="0.2">
      <c r="EA1108" s="12"/>
      <c r="EB1108" s="12"/>
    </row>
    <row r="1109" spans="131:132" x14ac:dyDescent="0.2">
      <c r="EA1109" s="12"/>
      <c r="EB1109" s="12"/>
    </row>
    <row r="1110" spans="131:132" x14ac:dyDescent="0.2">
      <c r="EA1110" s="12"/>
      <c r="EB1110" s="12"/>
    </row>
    <row r="1111" spans="131:132" x14ac:dyDescent="0.2">
      <c r="EA1111" s="12"/>
      <c r="EB1111" s="12"/>
    </row>
    <row r="1112" spans="131:132" x14ac:dyDescent="0.2">
      <c r="EA1112" s="12"/>
      <c r="EB1112" s="12"/>
    </row>
    <row r="1113" spans="131:132" x14ac:dyDescent="0.2">
      <c r="EA1113" s="12"/>
      <c r="EB1113" s="12"/>
    </row>
    <row r="1114" spans="131:132" x14ac:dyDescent="0.2">
      <c r="EA1114" s="12"/>
      <c r="EB1114" s="12"/>
    </row>
    <row r="1115" spans="131:132" x14ac:dyDescent="0.2">
      <c r="EA1115" s="12"/>
      <c r="EB1115" s="12"/>
    </row>
    <row r="1116" spans="131:132" x14ac:dyDescent="0.2">
      <c r="EA1116" s="12"/>
      <c r="EB1116" s="12"/>
    </row>
    <row r="1117" spans="131:132" x14ac:dyDescent="0.2">
      <c r="EA1117" s="12"/>
      <c r="EB1117" s="12"/>
    </row>
    <row r="1118" spans="131:132" x14ac:dyDescent="0.2">
      <c r="EA1118" s="12"/>
      <c r="EB1118" s="12"/>
    </row>
    <row r="1119" spans="131:132" x14ac:dyDescent="0.2">
      <c r="EA1119" s="12"/>
      <c r="EB1119" s="12"/>
    </row>
    <row r="1120" spans="131:132" x14ac:dyDescent="0.2">
      <c r="EA1120" s="12"/>
      <c r="EB1120" s="12"/>
    </row>
    <row r="1121" spans="131:132" x14ac:dyDescent="0.2">
      <c r="EA1121" s="12"/>
      <c r="EB1121" s="12"/>
    </row>
    <row r="1122" spans="131:132" x14ac:dyDescent="0.2">
      <c r="EA1122" s="12"/>
      <c r="EB1122" s="12"/>
    </row>
    <row r="1123" spans="131:132" x14ac:dyDescent="0.2">
      <c r="EA1123" s="12"/>
      <c r="EB1123" s="12"/>
    </row>
    <row r="1124" spans="131:132" x14ac:dyDescent="0.2">
      <c r="EA1124" s="12"/>
      <c r="EB1124" s="12"/>
    </row>
    <row r="1125" spans="131:132" x14ac:dyDescent="0.2">
      <c r="EA1125" s="12"/>
      <c r="EB1125" s="12"/>
    </row>
    <row r="1126" spans="131:132" x14ac:dyDescent="0.2">
      <c r="EA1126" s="12"/>
      <c r="EB1126" s="12"/>
    </row>
    <row r="1127" spans="131:132" x14ac:dyDescent="0.2">
      <c r="EA1127" s="12"/>
      <c r="EB1127" s="12"/>
    </row>
    <row r="1128" spans="131:132" x14ac:dyDescent="0.2">
      <c r="EA1128" s="12"/>
      <c r="EB1128" s="12"/>
    </row>
    <row r="1129" spans="131:132" x14ac:dyDescent="0.2">
      <c r="EA1129" s="12"/>
      <c r="EB1129" s="12"/>
    </row>
    <row r="1130" spans="131:132" x14ac:dyDescent="0.2">
      <c r="EA1130" s="12"/>
      <c r="EB1130" s="12"/>
    </row>
    <row r="1131" spans="131:132" x14ac:dyDescent="0.2">
      <c r="EA1131" s="12"/>
      <c r="EB1131" s="12"/>
    </row>
    <row r="1132" spans="131:132" x14ac:dyDescent="0.2">
      <c r="EA1132" s="12"/>
      <c r="EB1132" s="12"/>
    </row>
    <row r="1133" spans="131:132" x14ac:dyDescent="0.2">
      <c r="EA1133" s="12"/>
      <c r="EB1133" s="12"/>
    </row>
    <row r="1134" spans="131:132" x14ac:dyDescent="0.2">
      <c r="EA1134" s="12"/>
      <c r="EB1134" s="12"/>
    </row>
    <row r="1135" spans="131:132" x14ac:dyDescent="0.2">
      <c r="EA1135" s="12"/>
      <c r="EB1135" s="12"/>
    </row>
    <row r="1136" spans="131:132" x14ac:dyDescent="0.2">
      <c r="EA1136" s="12"/>
      <c r="EB1136" s="12"/>
    </row>
    <row r="1137" spans="131:132" x14ac:dyDescent="0.2">
      <c r="EA1137" s="12"/>
      <c r="EB1137" s="12"/>
    </row>
    <row r="1138" spans="131:132" x14ac:dyDescent="0.2">
      <c r="EA1138" s="12"/>
      <c r="EB1138" s="12"/>
    </row>
    <row r="1139" spans="131:132" x14ac:dyDescent="0.2">
      <c r="EA1139" s="12"/>
      <c r="EB1139" s="12"/>
    </row>
    <row r="1140" spans="131:132" x14ac:dyDescent="0.2">
      <c r="EA1140" s="12"/>
      <c r="EB1140" s="12"/>
    </row>
    <row r="1141" spans="131:132" x14ac:dyDescent="0.2">
      <c r="EA1141" s="12"/>
      <c r="EB1141" s="12"/>
    </row>
    <row r="1142" spans="131:132" x14ac:dyDescent="0.2">
      <c r="EA1142" s="12"/>
      <c r="EB1142" s="12"/>
    </row>
    <row r="1143" spans="131:132" x14ac:dyDescent="0.2">
      <c r="EA1143" s="12"/>
      <c r="EB1143" s="12"/>
    </row>
    <row r="1144" spans="131:132" x14ac:dyDescent="0.2">
      <c r="EA1144" s="12"/>
      <c r="EB1144" s="12"/>
    </row>
    <row r="1145" spans="131:132" x14ac:dyDescent="0.2">
      <c r="EA1145" s="12"/>
      <c r="EB1145" s="12"/>
    </row>
    <row r="1146" spans="131:132" x14ac:dyDescent="0.2">
      <c r="EA1146" s="12"/>
      <c r="EB1146" s="12"/>
    </row>
    <row r="1147" spans="131:132" x14ac:dyDescent="0.2">
      <c r="EA1147" s="12"/>
      <c r="EB1147" s="12"/>
    </row>
    <row r="1148" spans="131:132" x14ac:dyDescent="0.2">
      <c r="EA1148" s="12"/>
      <c r="EB1148" s="12"/>
    </row>
    <row r="1149" spans="131:132" x14ac:dyDescent="0.2">
      <c r="EA1149" s="12"/>
      <c r="EB1149" s="12"/>
    </row>
    <row r="1150" spans="131:132" x14ac:dyDescent="0.2">
      <c r="EA1150" s="12"/>
      <c r="EB1150" s="12"/>
    </row>
    <row r="1151" spans="131:132" x14ac:dyDescent="0.2">
      <c r="EA1151" s="12"/>
      <c r="EB1151" s="12"/>
    </row>
    <row r="1152" spans="131:132" x14ac:dyDescent="0.2">
      <c r="EA1152" s="12"/>
      <c r="EB1152" s="12"/>
    </row>
    <row r="1153" spans="131:132" x14ac:dyDescent="0.2">
      <c r="EA1153" s="12"/>
      <c r="EB1153" s="12"/>
    </row>
    <row r="1154" spans="131:132" x14ac:dyDescent="0.2">
      <c r="EA1154" s="12"/>
      <c r="EB1154" s="12"/>
    </row>
    <row r="1155" spans="131:132" x14ac:dyDescent="0.2">
      <c r="EA1155" s="12"/>
      <c r="EB1155" s="12"/>
    </row>
    <row r="1156" spans="131:132" x14ac:dyDescent="0.2">
      <c r="EA1156" s="12"/>
      <c r="EB1156" s="12"/>
    </row>
    <row r="1157" spans="131:132" x14ac:dyDescent="0.2">
      <c r="EA1157" s="12"/>
      <c r="EB1157" s="12"/>
    </row>
    <row r="1158" spans="131:132" x14ac:dyDescent="0.2">
      <c r="EA1158" s="12"/>
      <c r="EB1158" s="12"/>
    </row>
    <row r="1159" spans="131:132" x14ac:dyDescent="0.2">
      <c r="EA1159" s="12"/>
      <c r="EB1159" s="12"/>
    </row>
    <row r="1160" spans="131:132" x14ac:dyDescent="0.2">
      <c r="EA1160" s="12"/>
      <c r="EB1160" s="12"/>
    </row>
    <row r="1161" spans="131:132" x14ac:dyDescent="0.2">
      <c r="EA1161" s="12"/>
      <c r="EB1161" s="12"/>
    </row>
    <row r="1162" spans="131:132" x14ac:dyDescent="0.2">
      <c r="EA1162" s="12"/>
      <c r="EB1162" s="12"/>
    </row>
    <row r="1163" spans="131:132" x14ac:dyDescent="0.2">
      <c r="EA1163" s="12"/>
      <c r="EB1163" s="12"/>
    </row>
    <row r="1164" spans="131:132" x14ac:dyDescent="0.2">
      <c r="EA1164" s="12"/>
      <c r="EB1164" s="12"/>
    </row>
    <row r="1165" spans="131:132" x14ac:dyDescent="0.2">
      <c r="EA1165" s="12"/>
      <c r="EB1165" s="12"/>
    </row>
    <row r="1166" spans="131:132" x14ac:dyDescent="0.2">
      <c r="EA1166" s="12"/>
      <c r="EB1166" s="12"/>
    </row>
    <row r="1167" spans="131:132" x14ac:dyDescent="0.2">
      <c r="EA1167" s="12"/>
      <c r="EB1167" s="12"/>
    </row>
    <row r="1168" spans="131:132" x14ac:dyDescent="0.2">
      <c r="EA1168" s="12"/>
      <c r="EB1168" s="12"/>
    </row>
    <row r="1169" spans="131:132" x14ac:dyDescent="0.2">
      <c r="EA1169" s="12"/>
      <c r="EB1169" s="12"/>
    </row>
    <row r="1170" spans="131:132" x14ac:dyDescent="0.2">
      <c r="EA1170" s="12"/>
      <c r="EB1170" s="12"/>
    </row>
    <row r="1171" spans="131:132" x14ac:dyDescent="0.2">
      <c r="EA1171" s="12"/>
      <c r="EB1171" s="12"/>
    </row>
    <row r="1172" spans="131:132" x14ac:dyDescent="0.2">
      <c r="EA1172" s="12"/>
      <c r="EB1172" s="12"/>
    </row>
    <row r="1173" spans="131:132" x14ac:dyDescent="0.2">
      <c r="EA1173" s="12"/>
      <c r="EB1173" s="12"/>
    </row>
    <row r="1174" spans="131:132" x14ac:dyDescent="0.2">
      <c r="EA1174" s="12"/>
      <c r="EB1174" s="12"/>
    </row>
    <row r="1175" spans="131:132" x14ac:dyDescent="0.2">
      <c r="EA1175" s="12"/>
      <c r="EB1175" s="12"/>
    </row>
    <row r="1176" spans="131:132" x14ac:dyDescent="0.2">
      <c r="EA1176" s="12"/>
      <c r="EB1176" s="12"/>
    </row>
    <row r="1177" spans="131:132" x14ac:dyDescent="0.2">
      <c r="EA1177" s="12"/>
      <c r="EB1177" s="12"/>
    </row>
    <row r="1178" spans="131:132" x14ac:dyDescent="0.2">
      <c r="EA1178" s="12"/>
      <c r="EB1178" s="12"/>
    </row>
    <row r="1179" spans="131:132" x14ac:dyDescent="0.2">
      <c r="EA1179" s="12"/>
      <c r="EB1179" s="12"/>
    </row>
    <row r="1180" spans="131:132" x14ac:dyDescent="0.2">
      <c r="EA1180" s="12"/>
      <c r="EB1180" s="12"/>
    </row>
    <row r="1181" spans="131:132" x14ac:dyDescent="0.2">
      <c r="EA1181" s="12"/>
      <c r="EB1181" s="12"/>
    </row>
    <row r="1182" spans="131:132" x14ac:dyDescent="0.2">
      <c r="EA1182" s="12"/>
      <c r="EB1182" s="12"/>
    </row>
    <row r="1183" spans="131:132" x14ac:dyDescent="0.2">
      <c r="EA1183" s="12"/>
      <c r="EB1183" s="12"/>
    </row>
    <row r="1184" spans="131:132" x14ac:dyDescent="0.2">
      <c r="EA1184" s="12"/>
      <c r="EB1184" s="12"/>
    </row>
    <row r="1185" spans="131:132" x14ac:dyDescent="0.2">
      <c r="EA1185" s="12"/>
      <c r="EB1185" s="12"/>
    </row>
    <row r="1186" spans="131:132" x14ac:dyDescent="0.2">
      <c r="EA1186" s="12"/>
      <c r="EB1186" s="12"/>
    </row>
    <row r="1187" spans="131:132" x14ac:dyDescent="0.2">
      <c r="EA1187" s="12"/>
      <c r="EB1187" s="12"/>
    </row>
    <row r="1188" spans="131:132" x14ac:dyDescent="0.2">
      <c r="EA1188" s="12"/>
      <c r="EB1188" s="12"/>
    </row>
    <row r="1189" spans="131:132" x14ac:dyDescent="0.2">
      <c r="EA1189" s="12"/>
      <c r="EB1189" s="12"/>
    </row>
    <row r="1190" spans="131:132" x14ac:dyDescent="0.2">
      <c r="EA1190" s="12"/>
      <c r="EB1190" s="12"/>
    </row>
    <row r="1191" spans="131:132" x14ac:dyDescent="0.2">
      <c r="EA1191" s="12"/>
      <c r="EB1191" s="12"/>
    </row>
    <row r="1192" spans="131:132" x14ac:dyDescent="0.2">
      <c r="EA1192" s="12"/>
      <c r="EB1192" s="12"/>
    </row>
    <row r="1193" spans="131:132" x14ac:dyDescent="0.2">
      <c r="EA1193" s="12"/>
      <c r="EB1193" s="12"/>
    </row>
    <row r="1194" spans="131:132" x14ac:dyDescent="0.2">
      <c r="EA1194" s="12"/>
      <c r="EB1194" s="12"/>
    </row>
    <row r="1195" spans="131:132" x14ac:dyDescent="0.2">
      <c r="EA1195" s="12"/>
      <c r="EB1195" s="12"/>
    </row>
    <row r="1196" spans="131:132" x14ac:dyDescent="0.2">
      <c r="EA1196" s="12"/>
      <c r="EB1196" s="12"/>
    </row>
    <row r="1197" spans="131:132" x14ac:dyDescent="0.2">
      <c r="EA1197" s="12"/>
      <c r="EB1197" s="12"/>
    </row>
    <row r="1198" spans="131:132" x14ac:dyDescent="0.2">
      <c r="EA1198" s="12"/>
      <c r="EB1198" s="12"/>
    </row>
    <row r="1199" spans="131:132" x14ac:dyDescent="0.2">
      <c r="EA1199" s="12"/>
      <c r="EB1199" s="12"/>
    </row>
    <row r="1200" spans="131:132" x14ac:dyDescent="0.2">
      <c r="EA1200" s="12"/>
      <c r="EB1200" s="12"/>
    </row>
    <row r="1201" spans="131:132" x14ac:dyDescent="0.2">
      <c r="EA1201" s="12"/>
      <c r="EB1201" s="12"/>
    </row>
    <row r="1202" spans="131:132" x14ac:dyDescent="0.2">
      <c r="EA1202" s="12"/>
      <c r="EB1202" s="12"/>
    </row>
    <row r="1203" spans="131:132" x14ac:dyDescent="0.2">
      <c r="EA1203" s="12"/>
      <c r="EB1203" s="12"/>
    </row>
    <row r="1204" spans="131:132" x14ac:dyDescent="0.2">
      <c r="EA1204" s="12"/>
      <c r="EB1204" s="12"/>
    </row>
    <row r="1205" spans="131:132" x14ac:dyDescent="0.2">
      <c r="EA1205" s="12"/>
      <c r="EB1205" s="12"/>
    </row>
    <row r="1206" spans="131:132" x14ac:dyDescent="0.2">
      <c r="EA1206" s="12"/>
      <c r="EB1206" s="12"/>
    </row>
    <row r="1207" spans="131:132" x14ac:dyDescent="0.2">
      <c r="EA1207" s="12"/>
      <c r="EB1207" s="12"/>
    </row>
    <row r="1208" spans="131:132" x14ac:dyDescent="0.2">
      <c r="EA1208" s="12"/>
      <c r="EB1208" s="12"/>
    </row>
    <row r="1209" spans="131:132" x14ac:dyDescent="0.2">
      <c r="EA1209" s="12"/>
      <c r="EB1209" s="12"/>
    </row>
    <row r="1210" spans="131:132" x14ac:dyDescent="0.2">
      <c r="EA1210" s="12"/>
      <c r="EB1210" s="12"/>
    </row>
    <row r="1211" spans="131:132" x14ac:dyDescent="0.2">
      <c r="EA1211" s="12"/>
      <c r="EB1211" s="12"/>
    </row>
    <row r="1212" spans="131:132" x14ac:dyDescent="0.2">
      <c r="EA1212" s="12"/>
      <c r="EB1212" s="12"/>
    </row>
    <row r="1213" spans="131:132" x14ac:dyDescent="0.2">
      <c r="EA1213" s="12"/>
      <c r="EB1213" s="12"/>
    </row>
    <row r="1214" spans="131:132" x14ac:dyDescent="0.2">
      <c r="EA1214" s="12"/>
      <c r="EB1214" s="12"/>
    </row>
    <row r="1215" spans="131:132" x14ac:dyDescent="0.2">
      <c r="EA1215" s="12"/>
      <c r="EB1215" s="12"/>
    </row>
    <row r="1216" spans="131:132" x14ac:dyDescent="0.2">
      <c r="EA1216" s="12"/>
      <c r="EB1216" s="12"/>
    </row>
    <row r="1217" spans="131:132" x14ac:dyDescent="0.2">
      <c r="EA1217" s="12"/>
      <c r="EB1217" s="12"/>
    </row>
    <row r="1218" spans="131:132" x14ac:dyDescent="0.2">
      <c r="EA1218" s="12"/>
      <c r="EB1218" s="12"/>
    </row>
    <row r="1219" spans="131:132" x14ac:dyDescent="0.2">
      <c r="EA1219" s="12"/>
      <c r="EB1219" s="12"/>
    </row>
    <row r="1220" spans="131:132" x14ac:dyDescent="0.2">
      <c r="EA1220" s="12"/>
      <c r="EB1220" s="12"/>
    </row>
    <row r="1221" spans="131:132" x14ac:dyDescent="0.2">
      <c r="EA1221" s="12"/>
      <c r="EB1221" s="12"/>
    </row>
    <row r="1222" spans="131:132" x14ac:dyDescent="0.2">
      <c r="EA1222" s="12"/>
      <c r="EB1222" s="12"/>
    </row>
    <row r="1223" spans="131:132" x14ac:dyDescent="0.2">
      <c r="EA1223" s="12"/>
      <c r="EB1223" s="12"/>
    </row>
    <row r="1224" spans="131:132" x14ac:dyDescent="0.2">
      <c r="EA1224" s="12"/>
      <c r="EB1224" s="12"/>
    </row>
    <row r="1225" spans="131:132" x14ac:dyDescent="0.2">
      <c r="EA1225" s="12"/>
      <c r="EB1225" s="12"/>
    </row>
    <row r="1226" spans="131:132" x14ac:dyDescent="0.2">
      <c r="EA1226" s="12"/>
      <c r="EB1226" s="12"/>
    </row>
    <row r="1227" spans="131:132" x14ac:dyDescent="0.2">
      <c r="EA1227" s="12"/>
      <c r="EB1227" s="12"/>
    </row>
    <row r="1228" spans="131:132" x14ac:dyDescent="0.2">
      <c r="EA1228" s="12"/>
      <c r="EB1228" s="12"/>
    </row>
    <row r="1229" spans="131:132" x14ac:dyDescent="0.2">
      <c r="EA1229" s="12"/>
      <c r="EB1229" s="12"/>
    </row>
    <row r="1230" spans="131:132" x14ac:dyDescent="0.2">
      <c r="EA1230" s="12"/>
      <c r="EB1230" s="12"/>
    </row>
    <row r="1231" spans="131:132" x14ac:dyDescent="0.2">
      <c r="EA1231" s="12"/>
      <c r="EB1231" s="12"/>
    </row>
    <row r="1232" spans="131:132" x14ac:dyDescent="0.2">
      <c r="EA1232" s="12"/>
      <c r="EB1232" s="12"/>
    </row>
    <row r="1233" spans="131:132" x14ac:dyDescent="0.2">
      <c r="EA1233" s="12"/>
      <c r="EB1233" s="12"/>
    </row>
    <row r="1234" spans="131:132" x14ac:dyDescent="0.2">
      <c r="EA1234" s="12"/>
      <c r="EB1234" s="12"/>
    </row>
    <row r="1235" spans="131:132" x14ac:dyDescent="0.2">
      <c r="EA1235" s="12"/>
      <c r="EB1235" s="12"/>
    </row>
    <row r="1236" spans="131:132" x14ac:dyDescent="0.2">
      <c r="EA1236" s="12"/>
      <c r="EB1236" s="12"/>
    </row>
    <row r="1237" spans="131:132" x14ac:dyDescent="0.2">
      <c r="EA1237" s="12"/>
      <c r="EB1237" s="12"/>
    </row>
    <row r="1238" spans="131:132" x14ac:dyDescent="0.2">
      <c r="EA1238" s="12"/>
      <c r="EB1238" s="12"/>
    </row>
    <row r="1239" spans="131:132" x14ac:dyDescent="0.2">
      <c r="EA1239" s="12"/>
      <c r="EB1239" s="12"/>
    </row>
    <row r="1240" spans="131:132" x14ac:dyDescent="0.2">
      <c r="EA1240" s="12"/>
      <c r="EB1240" s="12"/>
    </row>
    <row r="1241" spans="131:132" x14ac:dyDescent="0.2">
      <c r="EA1241" s="12"/>
      <c r="EB1241" s="12"/>
    </row>
    <row r="1242" spans="131:132" x14ac:dyDescent="0.2">
      <c r="EA1242" s="12"/>
      <c r="EB1242" s="12"/>
    </row>
    <row r="1243" spans="131:132" x14ac:dyDescent="0.2">
      <c r="EA1243" s="12"/>
      <c r="EB1243" s="12"/>
    </row>
    <row r="1244" spans="131:132" x14ac:dyDescent="0.2">
      <c r="EA1244" s="12"/>
      <c r="EB1244" s="12"/>
    </row>
    <row r="1245" spans="131:132" x14ac:dyDescent="0.2">
      <c r="EA1245" s="12"/>
      <c r="EB1245" s="12"/>
    </row>
    <row r="1246" spans="131:132" x14ac:dyDescent="0.2">
      <c r="EA1246" s="12"/>
      <c r="EB1246" s="12"/>
    </row>
    <row r="1247" spans="131:132" x14ac:dyDescent="0.2">
      <c r="EA1247" s="12"/>
      <c r="EB1247" s="12"/>
    </row>
    <row r="1248" spans="131:132" x14ac:dyDescent="0.2">
      <c r="EA1248" s="12"/>
      <c r="EB1248" s="12"/>
    </row>
    <row r="1249" spans="131:132" x14ac:dyDescent="0.2">
      <c r="EA1249" s="12"/>
      <c r="EB1249" s="12"/>
    </row>
    <row r="1250" spans="131:132" x14ac:dyDescent="0.2">
      <c r="EA1250" s="12"/>
      <c r="EB1250" s="12"/>
    </row>
    <row r="1251" spans="131:132" x14ac:dyDescent="0.2">
      <c r="EA1251" s="12"/>
      <c r="EB1251" s="12"/>
    </row>
    <row r="1252" spans="131:132" x14ac:dyDescent="0.2">
      <c r="EA1252" s="12"/>
      <c r="EB1252" s="12"/>
    </row>
    <row r="1253" spans="131:132" x14ac:dyDescent="0.2">
      <c r="EA1253" s="12"/>
      <c r="EB1253" s="12"/>
    </row>
    <row r="1254" spans="131:132" x14ac:dyDescent="0.2">
      <c r="EA1254" s="12"/>
      <c r="EB1254" s="12"/>
    </row>
    <row r="1255" spans="131:132" x14ac:dyDescent="0.2">
      <c r="EA1255" s="12"/>
      <c r="EB1255" s="12"/>
    </row>
    <row r="1256" spans="131:132" x14ac:dyDescent="0.2">
      <c r="EA1256" s="12"/>
      <c r="EB1256" s="12"/>
    </row>
    <row r="1257" spans="131:132" x14ac:dyDescent="0.2">
      <c r="EA1257" s="12"/>
      <c r="EB1257" s="12"/>
    </row>
    <row r="1258" spans="131:132" x14ac:dyDescent="0.2">
      <c r="EA1258" s="12"/>
      <c r="EB1258" s="12"/>
    </row>
    <row r="1259" spans="131:132" x14ac:dyDescent="0.2">
      <c r="EA1259" s="12"/>
      <c r="EB1259" s="12"/>
    </row>
    <row r="1260" spans="131:132" x14ac:dyDescent="0.2">
      <c r="EA1260" s="12"/>
      <c r="EB1260" s="12"/>
    </row>
    <row r="1261" spans="131:132" x14ac:dyDescent="0.2">
      <c r="EA1261" s="12"/>
      <c r="EB1261" s="12"/>
    </row>
    <row r="1262" spans="131:132" x14ac:dyDescent="0.2">
      <c r="EA1262" s="12"/>
      <c r="EB1262" s="12"/>
    </row>
    <row r="1263" spans="131:132" x14ac:dyDescent="0.2">
      <c r="EA1263" s="12"/>
      <c r="EB1263" s="12"/>
    </row>
    <row r="1264" spans="131:132" x14ac:dyDescent="0.2">
      <c r="EA1264" s="12"/>
      <c r="EB1264" s="12"/>
    </row>
    <row r="1265" spans="131:132" x14ac:dyDescent="0.2">
      <c r="EA1265" s="12"/>
      <c r="EB1265" s="12"/>
    </row>
    <row r="1266" spans="131:132" x14ac:dyDescent="0.2">
      <c r="EA1266" s="12"/>
      <c r="EB1266" s="12"/>
    </row>
    <row r="1267" spans="131:132" x14ac:dyDescent="0.2">
      <c r="EA1267" s="12"/>
      <c r="EB1267" s="12"/>
    </row>
    <row r="1268" spans="131:132" x14ac:dyDescent="0.2">
      <c r="EA1268" s="12"/>
      <c r="EB1268" s="12"/>
    </row>
    <row r="1269" spans="131:132" x14ac:dyDescent="0.2">
      <c r="EA1269" s="12"/>
      <c r="EB1269" s="12"/>
    </row>
    <row r="1270" spans="131:132" x14ac:dyDescent="0.2">
      <c r="EA1270" s="12"/>
      <c r="EB1270" s="12"/>
    </row>
    <row r="1271" spans="131:132" x14ac:dyDescent="0.2">
      <c r="EA1271" s="12"/>
      <c r="EB1271" s="12"/>
    </row>
    <row r="1272" spans="131:132" x14ac:dyDescent="0.2">
      <c r="EA1272" s="12"/>
      <c r="EB1272" s="12"/>
    </row>
    <row r="1273" spans="131:132" x14ac:dyDescent="0.2">
      <c r="EA1273" s="12"/>
      <c r="EB1273" s="12"/>
    </row>
    <row r="1274" spans="131:132" x14ac:dyDescent="0.2">
      <c r="EA1274" s="12"/>
      <c r="EB1274" s="12"/>
    </row>
    <row r="1275" spans="131:132" x14ac:dyDescent="0.2">
      <c r="EA1275" s="12"/>
      <c r="EB1275" s="12"/>
    </row>
    <row r="1276" spans="131:132" x14ac:dyDescent="0.2">
      <c r="EA1276" s="12"/>
      <c r="EB1276" s="12"/>
    </row>
    <row r="1277" spans="131:132" x14ac:dyDescent="0.2">
      <c r="EA1277" s="12"/>
      <c r="EB1277" s="12"/>
    </row>
    <row r="1278" spans="131:132" x14ac:dyDescent="0.2">
      <c r="EA1278" s="12"/>
      <c r="EB1278" s="12"/>
    </row>
    <row r="1279" spans="131:132" x14ac:dyDescent="0.2">
      <c r="EA1279" s="12"/>
      <c r="EB1279" s="12"/>
    </row>
    <row r="1280" spans="131:132" x14ac:dyDescent="0.2">
      <c r="EA1280" s="12"/>
      <c r="EB1280" s="12"/>
    </row>
    <row r="1281" spans="131:132" x14ac:dyDescent="0.2">
      <c r="EA1281" s="12"/>
      <c r="EB1281" s="12"/>
    </row>
    <row r="1282" spans="131:132" x14ac:dyDescent="0.2">
      <c r="EA1282" s="12"/>
      <c r="EB1282" s="12"/>
    </row>
    <row r="1283" spans="131:132" x14ac:dyDescent="0.2">
      <c r="EA1283" s="12"/>
      <c r="EB1283" s="12"/>
    </row>
    <row r="1284" spans="131:132" x14ac:dyDescent="0.2">
      <c r="EA1284" s="12"/>
      <c r="EB1284" s="12"/>
    </row>
    <row r="1285" spans="131:132" x14ac:dyDescent="0.2">
      <c r="EA1285" s="12"/>
      <c r="EB1285" s="12"/>
    </row>
    <row r="1286" spans="131:132" x14ac:dyDescent="0.2">
      <c r="EA1286" s="12"/>
      <c r="EB1286" s="12"/>
    </row>
    <row r="1287" spans="131:132" x14ac:dyDescent="0.2">
      <c r="EA1287" s="12"/>
      <c r="EB1287" s="12"/>
    </row>
    <row r="1288" spans="131:132" x14ac:dyDescent="0.2">
      <c r="EA1288" s="12"/>
      <c r="EB1288" s="12"/>
    </row>
    <row r="1289" spans="131:132" x14ac:dyDescent="0.2">
      <c r="EA1289" s="12"/>
      <c r="EB1289" s="12"/>
    </row>
    <row r="1290" spans="131:132" x14ac:dyDescent="0.2">
      <c r="EA1290" s="12"/>
      <c r="EB1290" s="12"/>
    </row>
    <row r="1291" spans="131:132" x14ac:dyDescent="0.2">
      <c r="EA1291" s="12"/>
      <c r="EB1291" s="12"/>
    </row>
    <row r="1292" spans="131:132" x14ac:dyDescent="0.2">
      <c r="EA1292" s="12"/>
      <c r="EB1292" s="12"/>
    </row>
    <row r="1293" spans="131:132" x14ac:dyDescent="0.2">
      <c r="EA1293" s="12"/>
      <c r="EB1293" s="12"/>
    </row>
    <row r="1294" spans="131:132" x14ac:dyDescent="0.2">
      <c r="EA1294" s="12"/>
      <c r="EB1294" s="12"/>
    </row>
    <row r="1295" spans="131:132" x14ac:dyDescent="0.2">
      <c r="EA1295" s="12"/>
      <c r="EB1295" s="12"/>
    </row>
    <row r="1296" spans="131:132" x14ac:dyDescent="0.2">
      <c r="EA1296" s="12"/>
      <c r="EB1296" s="12"/>
    </row>
    <row r="1297" spans="131:132" x14ac:dyDescent="0.2">
      <c r="EA1297" s="12"/>
      <c r="EB1297" s="12"/>
    </row>
    <row r="1298" spans="131:132" x14ac:dyDescent="0.2">
      <c r="EA1298" s="12"/>
      <c r="EB1298" s="12"/>
    </row>
    <row r="1299" spans="131:132" x14ac:dyDescent="0.2">
      <c r="EA1299" s="12"/>
      <c r="EB1299" s="12"/>
    </row>
    <row r="1300" spans="131:132" x14ac:dyDescent="0.2">
      <c r="EA1300" s="12"/>
      <c r="EB1300" s="12"/>
    </row>
    <row r="1301" spans="131:132" x14ac:dyDescent="0.2">
      <c r="EA1301" s="12"/>
      <c r="EB1301" s="12"/>
    </row>
    <row r="1302" spans="131:132" x14ac:dyDescent="0.2">
      <c r="EA1302" s="12"/>
      <c r="EB1302" s="12"/>
    </row>
    <row r="1303" spans="131:132" x14ac:dyDescent="0.2">
      <c r="EA1303" s="12"/>
      <c r="EB1303" s="12"/>
    </row>
    <row r="1304" spans="131:132" x14ac:dyDescent="0.2">
      <c r="EA1304" s="12"/>
      <c r="EB1304" s="12"/>
    </row>
    <row r="1305" spans="131:132" x14ac:dyDescent="0.2">
      <c r="EA1305" s="12"/>
      <c r="EB1305" s="12"/>
    </row>
    <row r="1306" spans="131:132" x14ac:dyDescent="0.2">
      <c r="EA1306" s="12"/>
      <c r="EB1306" s="12"/>
    </row>
    <row r="1307" spans="131:132" x14ac:dyDescent="0.2">
      <c r="EA1307" s="12"/>
      <c r="EB1307" s="12"/>
    </row>
    <row r="1308" spans="131:132" x14ac:dyDescent="0.2">
      <c r="EA1308" s="12"/>
      <c r="EB1308" s="12"/>
    </row>
    <row r="1309" spans="131:132" x14ac:dyDescent="0.2">
      <c r="EA1309" s="12"/>
      <c r="EB1309" s="12"/>
    </row>
    <row r="1310" spans="131:132" x14ac:dyDescent="0.2">
      <c r="EA1310" s="12"/>
      <c r="EB1310" s="12"/>
    </row>
    <row r="1311" spans="131:132" x14ac:dyDescent="0.2">
      <c r="EA1311" s="12"/>
      <c r="EB1311" s="12"/>
    </row>
    <row r="1312" spans="131:132" x14ac:dyDescent="0.2">
      <c r="EA1312" s="12"/>
      <c r="EB1312" s="12"/>
    </row>
    <row r="1313" spans="131:132" x14ac:dyDescent="0.2">
      <c r="EA1313" s="12"/>
      <c r="EB1313" s="12"/>
    </row>
    <row r="1314" spans="131:132" x14ac:dyDescent="0.2">
      <c r="EA1314" s="12"/>
      <c r="EB1314" s="12"/>
    </row>
    <row r="1315" spans="131:132" x14ac:dyDescent="0.2">
      <c r="EA1315" s="12"/>
      <c r="EB1315" s="12"/>
    </row>
    <row r="1316" spans="131:132" x14ac:dyDescent="0.2">
      <c r="EA1316" s="12"/>
      <c r="EB1316" s="12"/>
    </row>
    <row r="1317" spans="131:132" x14ac:dyDescent="0.2">
      <c r="EA1317" s="12"/>
      <c r="EB1317" s="12"/>
    </row>
    <row r="1318" spans="131:132" x14ac:dyDescent="0.2">
      <c r="EA1318" s="12"/>
      <c r="EB1318" s="12"/>
    </row>
    <row r="1319" spans="131:132" x14ac:dyDescent="0.2">
      <c r="EA1319" s="12"/>
      <c r="EB1319" s="12"/>
    </row>
    <row r="1320" spans="131:132" x14ac:dyDescent="0.2">
      <c r="EA1320" s="12"/>
      <c r="EB1320" s="12"/>
    </row>
    <row r="1321" spans="131:132" x14ac:dyDescent="0.2">
      <c r="EA1321" s="12"/>
      <c r="EB1321" s="12"/>
    </row>
    <row r="1322" spans="131:132" x14ac:dyDescent="0.2">
      <c r="EA1322" s="12"/>
      <c r="EB1322" s="12"/>
    </row>
    <row r="1323" spans="131:132" x14ac:dyDescent="0.2">
      <c r="EA1323" s="12"/>
      <c r="EB1323" s="12"/>
    </row>
    <row r="1324" spans="131:132" x14ac:dyDescent="0.2">
      <c r="EA1324" s="12"/>
      <c r="EB1324" s="12"/>
    </row>
    <row r="1325" spans="131:132" x14ac:dyDescent="0.2">
      <c r="EA1325" s="12"/>
      <c r="EB1325" s="12"/>
    </row>
    <row r="1326" spans="131:132" x14ac:dyDescent="0.2">
      <c r="EA1326" s="12"/>
      <c r="EB1326" s="12"/>
    </row>
    <row r="1327" spans="131:132" x14ac:dyDescent="0.2">
      <c r="EA1327" s="12"/>
      <c r="EB1327" s="12"/>
    </row>
    <row r="1328" spans="131:132" x14ac:dyDescent="0.2">
      <c r="EA1328" s="12"/>
      <c r="EB1328" s="12"/>
    </row>
    <row r="1329" spans="131:132" x14ac:dyDescent="0.2">
      <c r="EA1329" s="12"/>
      <c r="EB1329" s="12"/>
    </row>
    <row r="1330" spans="131:132" x14ac:dyDescent="0.2">
      <c r="EA1330" s="12"/>
      <c r="EB1330" s="12"/>
    </row>
    <row r="1331" spans="131:132" x14ac:dyDescent="0.2">
      <c r="EA1331" s="12"/>
      <c r="EB1331" s="12"/>
    </row>
    <row r="1332" spans="131:132" x14ac:dyDescent="0.2">
      <c r="EA1332" s="12"/>
      <c r="EB1332" s="12"/>
    </row>
    <row r="1333" spans="131:132" x14ac:dyDescent="0.2">
      <c r="EA1333" s="12"/>
      <c r="EB1333" s="12"/>
    </row>
    <row r="1334" spans="131:132" x14ac:dyDescent="0.2">
      <c r="EA1334" s="12"/>
      <c r="EB1334" s="12"/>
    </row>
    <row r="1335" spans="131:132" x14ac:dyDescent="0.2">
      <c r="EA1335" s="12"/>
      <c r="EB1335" s="12"/>
    </row>
    <row r="1336" spans="131:132" x14ac:dyDescent="0.2">
      <c r="EA1336" s="12"/>
      <c r="EB1336" s="12"/>
    </row>
    <row r="1337" spans="131:132" x14ac:dyDescent="0.2">
      <c r="EA1337" s="12"/>
      <c r="EB1337" s="12"/>
    </row>
    <row r="1338" spans="131:132" x14ac:dyDescent="0.2">
      <c r="EA1338" s="12"/>
      <c r="EB1338" s="12"/>
    </row>
    <row r="1339" spans="131:132" x14ac:dyDescent="0.2">
      <c r="EA1339" s="12"/>
      <c r="EB1339" s="12"/>
    </row>
    <row r="1340" spans="131:132" x14ac:dyDescent="0.2">
      <c r="EA1340" s="12"/>
      <c r="EB1340" s="12"/>
    </row>
    <row r="1341" spans="131:132" x14ac:dyDescent="0.2">
      <c r="EA1341" s="12"/>
      <c r="EB1341" s="12"/>
    </row>
    <row r="1342" spans="131:132" x14ac:dyDescent="0.2">
      <c r="EA1342" s="12"/>
      <c r="EB1342" s="12"/>
    </row>
    <row r="1343" spans="131:132" x14ac:dyDescent="0.2">
      <c r="EA1343" s="12"/>
      <c r="EB1343" s="12"/>
    </row>
    <row r="1344" spans="131:132" x14ac:dyDescent="0.2">
      <c r="EA1344" s="12"/>
      <c r="EB1344" s="12"/>
    </row>
    <row r="1345" spans="131:132" x14ac:dyDescent="0.2">
      <c r="EA1345" s="12"/>
      <c r="EB1345" s="12"/>
    </row>
    <row r="1346" spans="131:132" x14ac:dyDescent="0.2">
      <c r="EA1346" s="12"/>
      <c r="EB1346" s="12"/>
    </row>
    <row r="1347" spans="131:132" x14ac:dyDescent="0.2">
      <c r="EA1347" s="12"/>
      <c r="EB1347" s="12"/>
    </row>
    <row r="1348" spans="131:132" x14ac:dyDescent="0.2">
      <c r="EA1348" s="12"/>
      <c r="EB1348" s="12"/>
    </row>
    <row r="1349" spans="131:132" x14ac:dyDescent="0.2">
      <c r="EA1349" s="12"/>
      <c r="EB1349" s="12"/>
    </row>
    <row r="1350" spans="131:132" x14ac:dyDescent="0.2">
      <c r="EA1350" s="12"/>
      <c r="EB1350" s="12"/>
    </row>
    <row r="1351" spans="131:132" x14ac:dyDescent="0.2">
      <c r="EA1351" s="12"/>
      <c r="EB1351" s="12"/>
    </row>
    <row r="1352" spans="131:132" x14ac:dyDescent="0.2">
      <c r="EA1352" s="12"/>
      <c r="EB1352" s="12"/>
    </row>
    <row r="1353" spans="131:132" x14ac:dyDescent="0.2">
      <c r="EA1353" s="12"/>
      <c r="EB1353" s="12"/>
    </row>
    <row r="1354" spans="131:132" x14ac:dyDescent="0.2">
      <c r="EA1354" s="12"/>
      <c r="EB1354" s="12"/>
    </row>
    <row r="1355" spans="131:132" x14ac:dyDescent="0.2">
      <c r="EA1355" s="12"/>
      <c r="EB1355" s="12"/>
    </row>
    <row r="1356" spans="131:132" x14ac:dyDescent="0.2">
      <c r="EA1356" s="12"/>
      <c r="EB1356" s="12"/>
    </row>
    <row r="1357" spans="131:132" x14ac:dyDescent="0.2">
      <c r="EA1357" s="12"/>
      <c r="EB1357" s="12"/>
    </row>
    <row r="1358" spans="131:132" x14ac:dyDescent="0.2">
      <c r="EA1358" s="12"/>
      <c r="EB1358" s="12"/>
    </row>
    <row r="1359" spans="131:132" x14ac:dyDescent="0.2">
      <c r="EA1359" s="12"/>
      <c r="EB1359" s="12"/>
    </row>
    <row r="1360" spans="131:132" x14ac:dyDescent="0.2">
      <c r="EA1360" s="12"/>
      <c r="EB1360" s="12"/>
    </row>
    <row r="1361" spans="131:132" x14ac:dyDescent="0.2">
      <c r="EA1361" s="12"/>
      <c r="EB1361" s="12"/>
    </row>
    <row r="1362" spans="131:132" x14ac:dyDescent="0.2">
      <c r="EA1362" s="12"/>
      <c r="EB1362" s="12"/>
    </row>
    <row r="1363" spans="131:132" x14ac:dyDescent="0.2">
      <c r="EA1363" s="12"/>
      <c r="EB1363" s="12"/>
    </row>
    <row r="1364" spans="131:132" x14ac:dyDescent="0.2">
      <c r="EA1364" s="12"/>
      <c r="EB1364" s="12"/>
    </row>
    <row r="1365" spans="131:132" x14ac:dyDescent="0.2">
      <c r="EA1365" s="12"/>
      <c r="EB1365" s="12"/>
    </row>
    <row r="1366" spans="131:132" x14ac:dyDescent="0.2">
      <c r="EA1366" s="12"/>
      <c r="EB1366" s="12"/>
    </row>
    <row r="1367" spans="131:132" x14ac:dyDescent="0.2">
      <c r="EA1367" s="12"/>
      <c r="EB1367" s="12"/>
    </row>
    <row r="1368" spans="131:132" x14ac:dyDescent="0.2">
      <c r="EA1368" s="12"/>
      <c r="EB1368" s="12"/>
    </row>
    <row r="1369" spans="131:132" x14ac:dyDescent="0.2">
      <c r="EA1369" s="12"/>
      <c r="EB1369" s="12"/>
    </row>
    <row r="1370" spans="131:132" x14ac:dyDescent="0.2">
      <c r="EA1370" s="12"/>
      <c r="EB1370" s="12"/>
    </row>
    <row r="1371" spans="131:132" x14ac:dyDescent="0.2">
      <c r="EA1371" s="12"/>
      <c r="EB1371" s="12"/>
    </row>
    <row r="1372" spans="131:132" x14ac:dyDescent="0.2">
      <c r="EA1372" s="12"/>
      <c r="EB1372" s="12"/>
    </row>
    <row r="1373" spans="131:132" x14ac:dyDescent="0.2">
      <c r="EA1373" s="12"/>
      <c r="EB1373" s="12"/>
    </row>
    <row r="1374" spans="131:132" x14ac:dyDescent="0.2">
      <c r="EA1374" s="12"/>
      <c r="EB1374" s="12"/>
    </row>
    <row r="1375" spans="131:132" x14ac:dyDescent="0.2">
      <c r="EA1375" s="12"/>
      <c r="EB1375" s="12"/>
    </row>
    <row r="1376" spans="131:132" x14ac:dyDescent="0.2">
      <c r="EA1376" s="12"/>
      <c r="EB1376" s="12"/>
    </row>
    <row r="1377" spans="131:132" x14ac:dyDescent="0.2">
      <c r="EA1377" s="12"/>
      <c r="EB1377" s="12"/>
    </row>
    <row r="1378" spans="131:132" x14ac:dyDescent="0.2">
      <c r="EA1378" s="12"/>
      <c r="EB1378" s="12"/>
    </row>
    <row r="1379" spans="131:132" x14ac:dyDescent="0.2">
      <c r="EA1379" s="12"/>
      <c r="EB1379" s="12"/>
    </row>
    <row r="1380" spans="131:132" x14ac:dyDescent="0.2">
      <c r="EA1380" s="12"/>
      <c r="EB1380" s="12"/>
    </row>
    <row r="1381" spans="131:132" x14ac:dyDescent="0.2">
      <c r="EA1381" s="12"/>
      <c r="EB1381" s="12"/>
    </row>
    <row r="1382" spans="131:132" x14ac:dyDescent="0.2">
      <c r="EA1382" s="12"/>
      <c r="EB1382" s="12"/>
    </row>
    <row r="1383" spans="131:132" x14ac:dyDescent="0.2">
      <c r="EA1383" s="12"/>
      <c r="EB1383" s="12"/>
    </row>
    <row r="1384" spans="131:132" x14ac:dyDescent="0.2">
      <c r="EA1384" s="12"/>
      <c r="EB1384" s="12"/>
    </row>
    <row r="1385" spans="131:132" x14ac:dyDescent="0.2">
      <c r="EA1385" s="12"/>
      <c r="EB1385" s="12"/>
    </row>
    <row r="1386" spans="131:132" x14ac:dyDescent="0.2">
      <c r="EA1386" s="12"/>
      <c r="EB1386" s="12"/>
    </row>
    <row r="1387" spans="131:132" x14ac:dyDescent="0.2">
      <c r="EA1387" s="12"/>
      <c r="EB1387" s="12"/>
    </row>
    <row r="1388" spans="131:132" x14ac:dyDescent="0.2">
      <c r="EA1388" s="12"/>
      <c r="EB1388" s="12"/>
    </row>
    <row r="1389" spans="131:132" x14ac:dyDescent="0.2">
      <c r="EA1389" s="12"/>
      <c r="EB1389" s="12"/>
    </row>
    <row r="1390" spans="131:132" x14ac:dyDescent="0.2">
      <c r="EA1390" s="12"/>
      <c r="EB1390" s="12"/>
    </row>
    <row r="1391" spans="131:132" x14ac:dyDescent="0.2">
      <c r="EA1391" s="12"/>
      <c r="EB1391" s="12"/>
    </row>
    <row r="1392" spans="131:132" x14ac:dyDescent="0.2">
      <c r="EA1392" s="12"/>
      <c r="EB1392" s="12"/>
    </row>
    <row r="1393" spans="131:132" x14ac:dyDescent="0.2">
      <c r="EA1393" s="12"/>
      <c r="EB1393" s="12"/>
    </row>
    <row r="1394" spans="131:132" x14ac:dyDescent="0.2">
      <c r="EA1394" s="12"/>
      <c r="EB1394" s="12"/>
    </row>
    <row r="1395" spans="131:132" x14ac:dyDescent="0.2">
      <c r="EA1395" s="12"/>
      <c r="EB1395" s="12"/>
    </row>
    <row r="1396" spans="131:132" x14ac:dyDescent="0.2">
      <c r="EA1396" s="12"/>
      <c r="EB1396" s="12"/>
    </row>
    <row r="1397" spans="131:132" x14ac:dyDescent="0.2">
      <c r="EA1397" s="12"/>
      <c r="EB1397" s="12"/>
    </row>
    <row r="1398" spans="131:132" x14ac:dyDescent="0.2">
      <c r="EA1398" s="12"/>
      <c r="EB1398" s="12"/>
    </row>
    <row r="1399" spans="131:132" x14ac:dyDescent="0.2">
      <c r="EA1399" s="12"/>
      <c r="EB1399" s="12"/>
    </row>
    <row r="1400" spans="131:132" x14ac:dyDescent="0.2">
      <c r="EA1400" s="12"/>
      <c r="EB1400" s="12"/>
    </row>
    <row r="1401" spans="131:132" x14ac:dyDescent="0.2">
      <c r="EA1401" s="12"/>
      <c r="EB1401" s="12"/>
    </row>
    <row r="1402" spans="131:132" x14ac:dyDescent="0.2">
      <c r="EA1402" s="12"/>
      <c r="EB1402" s="12"/>
    </row>
    <row r="1403" spans="131:132" x14ac:dyDescent="0.2">
      <c r="EA1403" s="12"/>
      <c r="EB1403" s="12"/>
    </row>
    <row r="1404" spans="131:132" x14ac:dyDescent="0.2">
      <c r="EA1404" s="12"/>
      <c r="EB1404" s="12"/>
    </row>
    <row r="1405" spans="131:132" x14ac:dyDescent="0.2">
      <c r="EA1405" s="12"/>
      <c r="EB1405" s="12"/>
    </row>
    <row r="1406" spans="131:132" x14ac:dyDescent="0.2">
      <c r="EA1406" s="12"/>
      <c r="EB1406" s="12"/>
    </row>
    <row r="1407" spans="131:132" x14ac:dyDescent="0.2">
      <c r="EA1407" s="12"/>
      <c r="EB1407" s="12"/>
    </row>
    <row r="1408" spans="131:132" x14ac:dyDescent="0.2">
      <c r="EA1408" s="12"/>
      <c r="EB1408" s="12"/>
    </row>
    <row r="1409" spans="131:132" x14ac:dyDescent="0.2">
      <c r="EA1409" s="12"/>
      <c r="EB1409" s="12"/>
    </row>
    <row r="1410" spans="131:132" x14ac:dyDescent="0.2">
      <c r="EA1410" s="12"/>
      <c r="EB1410" s="12"/>
    </row>
    <row r="1411" spans="131:132" x14ac:dyDescent="0.2">
      <c r="EA1411" s="12"/>
      <c r="EB1411" s="12"/>
    </row>
    <row r="1412" spans="131:132" x14ac:dyDescent="0.2">
      <c r="EA1412" s="12"/>
      <c r="EB1412" s="12"/>
    </row>
    <row r="1413" spans="131:132" x14ac:dyDescent="0.2">
      <c r="EA1413" s="12"/>
      <c r="EB1413" s="12"/>
    </row>
    <row r="1414" spans="131:132" x14ac:dyDescent="0.2">
      <c r="EA1414" s="12"/>
      <c r="EB1414" s="12"/>
    </row>
    <row r="1415" spans="131:132" x14ac:dyDescent="0.2">
      <c r="EA1415" s="12"/>
      <c r="EB1415" s="12"/>
    </row>
    <row r="1416" spans="131:132" x14ac:dyDescent="0.2">
      <c r="EA1416" s="12"/>
      <c r="EB1416" s="12"/>
    </row>
    <row r="1417" spans="131:132" x14ac:dyDescent="0.2">
      <c r="EA1417" s="12"/>
      <c r="EB1417" s="12"/>
    </row>
    <row r="1418" spans="131:132" x14ac:dyDescent="0.2">
      <c r="EA1418" s="12"/>
      <c r="EB1418" s="12"/>
    </row>
    <row r="1419" spans="131:132" x14ac:dyDescent="0.2">
      <c r="EA1419" s="12"/>
      <c r="EB1419" s="12"/>
    </row>
    <row r="1420" spans="131:132" x14ac:dyDescent="0.2">
      <c r="EA1420" s="12"/>
      <c r="EB1420" s="12"/>
    </row>
    <row r="1421" spans="131:132" x14ac:dyDescent="0.2">
      <c r="EA1421" s="12"/>
      <c r="EB14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1421</vt:i4>
      </vt:variant>
    </vt:vector>
  </HeadingPairs>
  <TitlesOfParts>
    <vt:vector size="1433" baseType="lpstr">
      <vt:lpstr>Project Variables</vt:lpstr>
      <vt:lpstr>Target Settings</vt:lpstr>
      <vt:lpstr>Results</vt:lpstr>
      <vt:lpstr>Result Targets</vt:lpstr>
      <vt:lpstr>KPI Impacts</vt:lpstr>
      <vt:lpstr>Economy Ministry</vt:lpstr>
      <vt:lpstr>Environment Ministry</vt:lpstr>
      <vt:lpstr>Defence Ministry</vt:lpstr>
      <vt:lpstr>Education Ministry</vt:lpstr>
      <vt:lpstr>Crises</vt:lpstr>
      <vt:lpstr>Breaking News</vt:lpstr>
      <vt:lpstr>Opportunities</vt:lpstr>
      <vt:lpstr>_C1</vt:lpstr>
      <vt:lpstr>_C1Enabled</vt:lpstr>
      <vt:lpstr>_C1Prepared</vt:lpstr>
      <vt:lpstr>_C1Show</vt:lpstr>
      <vt:lpstr>_C1ShowCrisisCard</vt:lpstr>
      <vt:lpstr>_C1Year</vt:lpstr>
      <vt:lpstr>_C2</vt:lpstr>
      <vt:lpstr>_C2Enabled</vt:lpstr>
      <vt:lpstr>_C2Prepared</vt:lpstr>
      <vt:lpstr>_C2Show</vt:lpstr>
      <vt:lpstr>_C2ShowCrisisCard</vt:lpstr>
      <vt:lpstr>_C2Year</vt:lpstr>
      <vt:lpstr>_C3</vt:lpstr>
      <vt:lpstr>_C3Enabled</vt:lpstr>
      <vt:lpstr>_C3Prepared</vt:lpstr>
      <vt:lpstr>_C3Show</vt:lpstr>
      <vt:lpstr>_C3ShowCrisisCard</vt:lpstr>
      <vt:lpstr>_C3Year</vt:lpstr>
      <vt:lpstr>_C4</vt:lpstr>
      <vt:lpstr>_C4Enabled</vt:lpstr>
      <vt:lpstr>_C4Prepared</vt:lpstr>
      <vt:lpstr>_C4Show</vt:lpstr>
      <vt:lpstr>_C4ShowCrisisCard</vt:lpstr>
      <vt:lpstr>_C4Year</vt:lpstr>
      <vt:lpstr>_C5</vt:lpstr>
      <vt:lpstr>_C5Enabled</vt:lpstr>
      <vt:lpstr>_C5Prepared</vt:lpstr>
      <vt:lpstr>_C5Show</vt:lpstr>
      <vt:lpstr>_C5ShowCrisisCard</vt:lpstr>
      <vt:lpstr>_C5Year</vt:lpstr>
      <vt:lpstr>_C6</vt:lpstr>
      <vt:lpstr>_C6Enabled</vt:lpstr>
      <vt:lpstr>_C6Prepared</vt:lpstr>
      <vt:lpstr>_C6Show</vt:lpstr>
      <vt:lpstr>_C6ShowCrisisCard</vt:lpstr>
      <vt:lpstr>_C6Year</vt:lpstr>
      <vt:lpstr>_C7</vt:lpstr>
      <vt:lpstr>_C7Enabled</vt:lpstr>
      <vt:lpstr>_C7Prepared</vt:lpstr>
      <vt:lpstr>_C7Show</vt:lpstr>
      <vt:lpstr>_C7ShowCrisisCard</vt:lpstr>
      <vt:lpstr>_C7Year</vt:lpstr>
      <vt:lpstr>_C8</vt:lpstr>
      <vt:lpstr>_C8Enabled</vt:lpstr>
      <vt:lpstr>_C8Prepared</vt:lpstr>
      <vt:lpstr>_C8Show</vt:lpstr>
      <vt:lpstr>_C8ShowCrisisCard</vt:lpstr>
      <vt:lpstr>_C8Year</vt:lpstr>
      <vt:lpstr>Accountability</vt:lpstr>
      <vt:lpstr>AIContributionToGDP</vt:lpstr>
      <vt:lpstr>AIContributionToGDPPercOfTargetAchieved</vt:lpstr>
      <vt:lpstr>AIContributionToGDPTarget</vt:lpstr>
      <vt:lpstr>AIFDIStock</vt:lpstr>
      <vt:lpstr>AIFDIStockPercOfTargetAchieved</vt:lpstr>
      <vt:lpstr>AIFDIStockTarget</vt:lpstr>
      <vt:lpstr>AIFeedbackEnabled</vt:lpstr>
      <vt:lpstr>AILiteracy</vt:lpstr>
      <vt:lpstr>AILiteracyPercOfTargetAchieved</vt:lpstr>
      <vt:lpstr>AILiteracyTarget</vt:lpstr>
      <vt:lpstr>AutonomousSystemsSafteyIndex</vt:lpstr>
      <vt:lpstr>AutonomousSystemsSafteyIndexPercOfTargetAchieved</vt:lpstr>
      <vt:lpstr>AutonomousSystemsSafteyIndexTarget</vt:lpstr>
      <vt:lpstr>AverageMinistryScore</vt:lpstr>
      <vt:lpstr>CarbonIntensityFromDataCenters</vt:lpstr>
      <vt:lpstr>CircularityIndex</vt:lpstr>
      <vt:lpstr>CircularityIndexPercOfTargetAchieved</vt:lpstr>
      <vt:lpstr>CircularityIndexTarget</vt:lpstr>
      <vt:lpstr>CybersecurityIndex</vt:lpstr>
      <vt:lpstr>CybersecurityIndexPercOfTargetAchieved</vt:lpstr>
      <vt:lpstr>CybersecurityIndexTarget</vt:lpstr>
      <vt:lpstr>DefAvaialbleToAllocate</vt:lpstr>
      <vt:lpstr>DefBudget</vt:lpstr>
      <vt:lpstr>DefBudgetRemaining</vt:lpstr>
      <vt:lpstr>DefEnabled</vt:lpstr>
      <vt:lpstr>DefenseExports</vt:lpstr>
      <vt:lpstr>DefenseImports</vt:lpstr>
      <vt:lpstr>DefenseScore</vt:lpstr>
      <vt:lpstr>DefInitialCost</vt:lpstr>
      <vt:lpstr>DefNextYearReucurringCost</vt:lpstr>
      <vt:lpstr>DefPro10</vt:lpstr>
      <vt:lpstr>DefPro10CanCancel</vt:lpstr>
      <vt:lpstr>DefPro10CostRecurringValue</vt:lpstr>
      <vt:lpstr>DefPro10CostValue</vt:lpstr>
      <vt:lpstr>DefPro10Decided2yrsago</vt:lpstr>
      <vt:lpstr>DefPro10Decidedlastyr</vt:lpstr>
      <vt:lpstr>DefPro10New</vt:lpstr>
      <vt:lpstr>DefPro10Reasoning</vt:lpstr>
      <vt:lpstr>DefPro10Response</vt:lpstr>
      <vt:lpstr>DefPro10Show</vt:lpstr>
      <vt:lpstr>DefPro10Sort</vt:lpstr>
      <vt:lpstr>DefPro10Type</vt:lpstr>
      <vt:lpstr>DefPro10YearSelected</vt:lpstr>
      <vt:lpstr>DefPro11</vt:lpstr>
      <vt:lpstr>DefPro11CanCancel</vt:lpstr>
      <vt:lpstr>DefPro11CostRecurringValue</vt:lpstr>
      <vt:lpstr>DefPro11CostValue</vt:lpstr>
      <vt:lpstr>DefPro11Decided2yrsago</vt:lpstr>
      <vt:lpstr>DefPro11Decidedlastyr</vt:lpstr>
      <vt:lpstr>DefPro11New</vt:lpstr>
      <vt:lpstr>DefPro11Reasoning</vt:lpstr>
      <vt:lpstr>DefPro11Response</vt:lpstr>
      <vt:lpstr>DefPro11Show</vt:lpstr>
      <vt:lpstr>DefPro11Sort</vt:lpstr>
      <vt:lpstr>DefPro11Type</vt:lpstr>
      <vt:lpstr>DefPro11YearSelected</vt:lpstr>
      <vt:lpstr>DefPro12</vt:lpstr>
      <vt:lpstr>DefPro12CanCancel</vt:lpstr>
      <vt:lpstr>DefPro12CostRecurringValue</vt:lpstr>
      <vt:lpstr>DefPro12CostValue</vt:lpstr>
      <vt:lpstr>DefPro12Decided2yrsago</vt:lpstr>
      <vt:lpstr>DefPro12Decidedlastyr</vt:lpstr>
      <vt:lpstr>DefPro12New</vt:lpstr>
      <vt:lpstr>DefPro12Reasoning</vt:lpstr>
      <vt:lpstr>DefPro12Response</vt:lpstr>
      <vt:lpstr>DefPro12Show</vt:lpstr>
      <vt:lpstr>DefPro12Sort</vt:lpstr>
      <vt:lpstr>DefPro12Type</vt:lpstr>
      <vt:lpstr>DefPro12YearSelected</vt:lpstr>
      <vt:lpstr>DefPro13</vt:lpstr>
      <vt:lpstr>DefPro13CanCancel</vt:lpstr>
      <vt:lpstr>DefPro13CostRecurringValue</vt:lpstr>
      <vt:lpstr>DefPro13CostValue</vt:lpstr>
      <vt:lpstr>DefPro13Decided2yrsago</vt:lpstr>
      <vt:lpstr>DefPro13Decidedlastyr</vt:lpstr>
      <vt:lpstr>DefPro13New</vt:lpstr>
      <vt:lpstr>DefPro13Reasoning</vt:lpstr>
      <vt:lpstr>DefPro13Response</vt:lpstr>
      <vt:lpstr>DefPro13Show</vt:lpstr>
      <vt:lpstr>DefPro13Sort</vt:lpstr>
      <vt:lpstr>DefPro13Type</vt:lpstr>
      <vt:lpstr>DefPro13YearSelected</vt:lpstr>
      <vt:lpstr>DefPro14</vt:lpstr>
      <vt:lpstr>DefPro14CanCancel</vt:lpstr>
      <vt:lpstr>DefPro14CostRecurringValue</vt:lpstr>
      <vt:lpstr>DefPro14CostValue</vt:lpstr>
      <vt:lpstr>DefPro14Decided2yrsago</vt:lpstr>
      <vt:lpstr>DefPro14Decidedlastyr</vt:lpstr>
      <vt:lpstr>DefPro14New</vt:lpstr>
      <vt:lpstr>DefPro14Reasoning</vt:lpstr>
      <vt:lpstr>DefPro14Response</vt:lpstr>
      <vt:lpstr>DefPro14Show</vt:lpstr>
      <vt:lpstr>DefPro14Sort</vt:lpstr>
      <vt:lpstr>DefPro14Type</vt:lpstr>
      <vt:lpstr>DefPro14YearSelected</vt:lpstr>
      <vt:lpstr>DefPro15</vt:lpstr>
      <vt:lpstr>DefPro15CanCancel</vt:lpstr>
      <vt:lpstr>DefPro15CostRecurringValue</vt:lpstr>
      <vt:lpstr>DefPro15CostValue</vt:lpstr>
      <vt:lpstr>DefPro15Decided2yrsago</vt:lpstr>
      <vt:lpstr>DefPro15Decidedlastyr</vt:lpstr>
      <vt:lpstr>DefPro15New</vt:lpstr>
      <vt:lpstr>DefPro15Reasoning</vt:lpstr>
      <vt:lpstr>DefPro15Response</vt:lpstr>
      <vt:lpstr>DefPro15Show</vt:lpstr>
      <vt:lpstr>DefPro15Sort</vt:lpstr>
      <vt:lpstr>DefPro15Type</vt:lpstr>
      <vt:lpstr>DefPro15YearSelected</vt:lpstr>
      <vt:lpstr>DefPro16</vt:lpstr>
      <vt:lpstr>DefPro16CanCancel</vt:lpstr>
      <vt:lpstr>DefPro16CostRecurringValue</vt:lpstr>
      <vt:lpstr>DefPro16CostValue</vt:lpstr>
      <vt:lpstr>DefPro16Decided2yrsago</vt:lpstr>
      <vt:lpstr>DefPro16Decidedlastyr</vt:lpstr>
      <vt:lpstr>DefPro16New</vt:lpstr>
      <vt:lpstr>DefPro16Reasoning</vt:lpstr>
      <vt:lpstr>DefPro16Response</vt:lpstr>
      <vt:lpstr>DefPro16Show</vt:lpstr>
      <vt:lpstr>DefPro16Sort</vt:lpstr>
      <vt:lpstr>DefPro16Type</vt:lpstr>
      <vt:lpstr>DefPro16YearSelected</vt:lpstr>
      <vt:lpstr>DefPro17</vt:lpstr>
      <vt:lpstr>DefPro17CanCancel</vt:lpstr>
      <vt:lpstr>DefPro17CostRecurringValue</vt:lpstr>
      <vt:lpstr>DefPro17CostValue</vt:lpstr>
      <vt:lpstr>DefPro17Decided2yrsago</vt:lpstr>
      <vt:lpstr>DefPro17Decidedlastyr</vt:lpstr>
      <vt:lpstr>DefPro17New</vt:lpstr>
      <vt:lpstr>DefPro17Reasoning</vt:lpstr>
      <vt:lpstr>DefPro17Response</vt:lpstr>
      <vt:lpstr>DefPro17Show</vt:lpstr>
      <vt:lpstr>DefPro17Sort</vt:lpstr>
      <vt:lpstr>DefPro17Type</vt:lpstr>
      <vt:lpstr>DefPro17YearSelected</vt:lpstr>
      <vt:lpstr>DefPro18</vt:lpstr>
      <vt:lpstr>DefPro18CanCancel</vt:lpstr>
      <vt:lpstr>DefPro18CostRecurringValue</vt:lpstr>
      <vt:lpstr>DefPro18CostValue</vt:lpstr>
      <vt:lpstr>DefPro18Decided2yrsago</vt:lpstr>
      <vt:lpstr>DefPro18Decidedlastyr</vt:lpstr>
      <vt:lpstr>DefPro18New</vt:lpstr>
      <vt:lpstr>DefPro18Reasoning</vt:lpstr>
      <vt:lpstr>DefPro18Response</vt:lpstr>
      <vt:lpstr>DefPro18Show</vt:lpstr>
      <vt:lpstr>DefPro18Sort</vt:lpstr>
      <vt:lpstr>DefPro18YearSelected</vt:lpstr>
      <vt:lpstr>DefPro19</vt:lpstr>
      <vt:lpstr>DefPro19CanCancel</vt:lpstr>
      <vt:lpstr>DefPro19CostRecurringValue</vt:lpstr>
      <vt:lpstr>DefPro19CostValue</vt:lpstr>
      <vt:lpstr>DefPro19Decided2yrsago</vt:lpstr>
      <vt:lpstr>DefPro19Decidedlastyr</vt:lpstr>
      <vt:lpstr>DefPro19New</vt:lpstr>
      <vt:lpstr>DefPro19Reasoning</vt:lpstr>
      <vt:lpstr>DefPro19Response</vt:lpstr>
      <vt:lpstr>DefPro19Show</vt:lpstr>
      <vt:lpstr>DefPro19Sort</vt:lpstr>
      <vt:lpstr>DefPro19YearSelected</vt:lpstr>
      <vt:lpstr>DefPro20</vt:lpstr>
      <vt:lpstr>DefPro20CanCancel</vt:lpstr>
      <vt:lpstr>DefPro20CostRecurringValue</vt:lpstr>
      <vt:lpstr>DefPro20CostValue</vt:lpstr>
      <vt:lpstr>DefPro20Decided2yrsago</vt:lpstr>
      <vt:lpstr>DefPro20Decidedlastyr</vt:lpstr>
      <vt:lpstr>DefPro20New</vt:lpstr>
      <vt:lpstr>DefPro20Reasoning</vt:lpstr>
      <vt:lpstr>DefPro20Response</vt:lpstr>
      <vt:lpstr>DefPro20Show</vt:lpstr>
      <vt:lpstr>DefPro20Sort</vt:lpstr>
      <vt:lpstr>DefPro20YearSelected</vt:lpstr>
      <vt:lpstr>DefPro21</vt:lpstr>
      <vt:lpstr>DefPro21CanCancel</vt:lpstr>
      <vt:lpstr>DefPro21CostRecurringValue</vt:lpstr>
      <vt:lpstr>DefPro21CostValue</vt:lpstr>
      <vt:lpstr>DefPro21Decided2yrsago</vt:lpstr>
      <vt:lpstr>DefPro21Decidedlastyr</vt:lpstr>
      <vt:lpstr>DefPro21New</vt:lpstr>
      <vt:lpstr>DefPro21Reasoning</vt:lpstr>
      <vt:lpstr>DefPro21Response</vt:lpstr>
      <vt:lpstr>DefPro21Show</vt:lpstr>
      <vt:lpstr>DefPro21Sort</vt:lpstr>
      <vt:lpstr>DefPro21YearSelected</vt:lpstr>
      <vt:lpstr>DefPro22</vt:lpstr>
      <vt:lpstr>DefPro22CanCancel</vt:lpstr>
      <vt:lpstr>DefPro22CostRecurringValue</vt:lpstr>
      <vt:lpstr>DefPro22CostValue</vt:lpstr>
      <vt:lpstr>DefPro22Decided2yrsago</vt:lpstr>
      <vt:lpstr>DefPro22Decidedlastyr</vt:lpstr>
      <vt:lpstr>DefPro22New</vt:lpstr>
      <vt:lpstr>DefPro22Reasoning</vt:lpstr>
      <vt:lpstr>DefPro22Response</vt:lpstr>
      <vt:lpstr>DefPro22Show</vt:lpstr>
      <vt:lpstr>DefPro22Sort</vt:lpstr>
      <vt:lpstr>DefPro22YearSelected</vt:lpstr>
      <vt:lpstr>DefPro23</vt:lpstr>
      <vt:lpstr>DefPro23CanCancel</vt:lpstr>
      <vt:lpstr>DefPro23CostRecurringValue</vt:lpstr>
      <vt:lpstr>DefPro23CostValue</vt:lpstr>
      <vt:lpstr>DefPro23Decided2yrsago</vt:lpstr>
      <vt:lpstr>DefPro23Decidedlastyr</vt:lpstr>
      <vt:lpstr>DefPro23New</vt:lpstr>
      <vt:lpstr>DefPro23Reasoning</vt:lpstr>
      <vt:lpstr>DefPro23Response</vt:lpstr>
      <vt:lpstr>DefPro23Show</vt:lpstr>
      <vt:lpstr>DefPro23Sort</vt:lpstr>
      <vt:lpstr>DefPro23YearSelected</vt:lpstr>
      <vt:lpstr>DefPro24</vt:lpstr>
      <vt:lpstr>DefPro24CanCancel</vt:lpstr>
      <vt:lpstr>DefPro24CostRecurringValue</vt:lpstr>
      <vt:lpstr>DefPro24CostValue</vt:lpstr>
      <vt:lpstr>DefPro24Decided2yrsago</vt:lpstr>
      <vt:lpstr>DefPro24Decidedlastyr</vt:lpstr>
      <vt:lpstr>DefPro24New</vt:lpstr>
      <vt:lpstr>DefPro24Reasoning</vt:lpstr>
      <vt:lpstr>DefPro24Response</vt:lpstr>
      <vt:lpstr>DefPro24Show</vt:lpstr>
      <vt:lpstr>DefPro24Sort</vt:lpstr>
      <vt:lpstr>DefPro24YearSelected</vt:lpstr>
      <vt:lpstr>DefPro3</vt:lpstr>
      <vt:lpstr>DefPro3CanCancel</vt:lpstr>
      <vt:lpstr>DefPro3CostRecurringValue</vt:lpstr>
      <vt:lpstr>DefPro3CostValue</vt:lpstr>
      <vt:lpstr>DefPro3Decided2yrsago</vt:lpstr>
      <vt:lpstr>DefPro3Decidedlastyr</vt:lpstr>
      <vt:lpstr>DefPro3New</vt:lpstr>
      <vt:lpstr>DefPro3Reasoning</vt:lpstr>
      <vt:lpstr>DefPro3Response</vt:lpstr>
      <vt:lpstr>DefPro3Show</vt:lpstr>
      <vt:lpstr>DefPro3Sort</vt:lpstr>
      <vt:lpstr>DefPro3Type</vt:lpstr>
      <vt:lpstr>DefPro3YearSelected</vt:lpstr>
      <vt:lpstr>DefPro4</vt:lpstr>
      <vt:lpstr>DefPro4CanCancel</vt:lpstr>
      <vt:lpstr>DefPro4CostRecurringValue</vt:lpstr>
      <vt:lpstr>DefPro4CostValue</vt:lpstr>
      <vt:lpstr>DefPro4Decided2yrsago</vt:lpstr>
      <vt:lpstr>DefPro4Decidedlastyr</vt:lpstr>
      <vt:lpstr>DefPro4New</vt:lpstr>
      <vt:lpstr>DefPro4Reasoning</vt:lpstr>
      <vt:lpstr>DefPro4Response</vt:lpstr>
      <vt:lpstr>DefPro4Show</vt:lpstr>
      <vt:lpstr>DefPro4Sort</vt:lpstr>
      <vt:lpstr>DefPro4Type</vt:lpstr>
      <vt:lpstr>DefPro4YearSelected</vt:lpstr>
      <vt:lpstr>DefPro5</vt:lpstr>
      <vt:lpstr>DefPro5CanCancel</vt:lpstr>
      <vt:lpstr>DefPro5CostRecurringValue</vt:lpstr>
      <vt:lpstr>DefPro5CostValue</vt:lpstr>
      <vt:lpstr>DefPro5Decided2yrsago</vt:lpstr>
      <vt:lpstr>DefPro5Decidedlastyr</vt:lpstr>
      <vt:lpstr>DefPro5New</vt:lpstr>
      <vt:lpstr>DefPro5Reasoning</vt:lpstr>
      <vt:lpstr>DefPro5Response</vt:lpstr>
      <vt:lpstr>DefPro5Show</vt:lpstr>
      <vt:lpstr>DefPro5Sort</vt:lpstr>
      <vt:lpstr>DefPro5Type</vt:lpstr>
      <vt:lpstr>DefPro5YearSelected</vt:lpstr>
      <vt:lpstr>DefPro6</vt:lpstr>
      <vt:lpstr>DefPro6CanCancel</vt:lpstr>
      <vt:lpstr>DefPro6CostRecurringValue</vt:lpstr>
      <vt:lpstr>DefPro6CostValue</vt:lpstr>
      <vt:lpstr>DefPro6Decided2yrsago</vt:lpstr>
      <vt:lpstr>DefPro6Decidedlastyr</vt:lpstr>
      <vt:lpstr>DefPro6New</vt:lpstr>
      <vt:lpstr>DefPro6Reasoning</vt:lpstr>
      <vt:lpstr>DefPro6Response</vt:lpstr>
      <vt:lpstr>DefPro6Show</vt:lpstr>
      <vt:lpstr>DefPro6Sort</vt:lpstr>
      <vt:lpstr>DefPro6Type</vt:lpstr>
      <vt:lpstr>DefPro6YearSelected</vt:lpstr>
      <vt:lpstr>DefPro7</vt:lpstr>
      <vt:lpstr>DefPro7CanCancel</vt:lpstr>
      <vt:lpstr>DefPro7CostRecurringValue</vt:lpstr>
      <vt:lpstr>DefPro7CostValue</vt:lpstr>
      <vt:lpstr>DefPro7Decided2yrsago</vt:lpstr>
      <vt:lpstr>DefPro7Decidedlastyr</vt:lpstr>
      <vt:lpstr>DefPro7New</vt:lpstr>
      <vt:lpstr>DefPro7Reasoning</vt:lpstr>
      <vt:lpstr>DefPro7Response</vt:lpstr>
      <vt:lpstr>DefPro7Show</vt:lpstr>
      <vt:lpstr>DefPro7Sort</vt:lpstr>
      <vt:lpstr>DefPro7Type</vt:lpstr>
      <vt:lpstr>DefPro7YearSelected</vt:lpstr>
      <vt:lpstr>DefPro8</vt:lpstr>
      <vt:lpstr>DefPro8CanCancel</vt:lpstr>
      <vt:lpstr>DefPro8CostRecurringValue</vt:lpstr>
      <vt:lpstr>DefPro8CostValue</vt:lpstr>
      <vt:lpstr>DefPro8Decided2yrsago</vt:lpstr>
      <vt:lpstr>DefPro8Decidedlastyr</vt:lpstr>
      <vt:lpstr>DefPro8New</vt:lpstr>
      <vt:lpstr>DefPro8Reasoning</vt:lpstr>
      <vt:lpstr>DefPro8Response</vt:lpstr>
      <vt:lpstr>DefPro8Show</vt:lpstr>
      <vt:lpstr>DefPro8Sort</vt:lpstr>
      <vt:lpstr>DefPro8Type</vt:lpstr>
      <vt:lpstr>DefPro8YearSelected</vt:lpstr>
      <vt:lpstr>DefPro9</vt:lpstr>
      <vt:lpstr>DefPro9CanCancel</vt:lpstr>
      <vt:lpstr>DefPro9CostRecurringValue</vt:lpstr>
      <vt:lpstr>DefPro9CostValue</vt:lpstr>
      <vt:lpstr>DefPro9Decided2yrsago</vt:lpstr>
      <vt:lpstr>DefPro9Decidedlastyr</vt:lpstr>
      <vt:lpstr>DefPro9New</vt:lpstr>
      <vt:lpstr>DefPro9Reasoning</vt:lpstr>
      <vt:lpstr>DefPro9Response</vt:lpstr>
      <vt:lpstr>DefPro9Show</vt:lpstr>
      <vt:lpstr>DefPro9Sort</vt:lpstr>
      <vt:lpstr>DefPro9Type</vt:lpstr>
      <vt:lpstr>DefPro9YearSelected</vt:lpstr>
      <vt:lpstr>DefRecurringCost</vt:lpstr>
      <vt:lpstr>DefSlider1</vt:lpstr>
      <vt:lpstr>DefSlider1Cost</vt:lpstr>
      <vt:lpstr>DefSlider1LastYear</vt:lpstr>
      <vt:lpstr>DefSlider2</vt:lpstr>
      <vt:lpstr>DefSlider2Cost</vt:lpstr>
      <vt:lpstr>DefSlider2LastYear</vt:lpstr>
      <vt:lpstr>DefTotalCost</vt:lpstr>
      <vt:lpstr>EcAvaialbleToAllocate</vt:lpstr>
      <vt:lpstr>EcBudget</vt:lpstr>
      <vt:lpstr>EcBudgetRemaining</vt:lpstr>
      <vt:lpstr>EcCarriedOverBudget</vt:lpstr>
      <vt:lpstr>EcEnabled</vt:lpstr>
      <vt:lpstr>EcInitialCost</vt:lpstr>
      <vt:lpstr>EcInvBudget</vt:lpstr>
      <vt:lpstr>EcInvBudgetRemaining</vt:lpstr>
      <vt:lpstr>EcNextYearReucurringCost</vt:lpstr>
      <vt:lpstr>EcNumInisRelLastYr</vt:lpstr>
      <vt:lpstr>EconomyScore</vt:lpstr>
      <vt:lpstr>EcosystemIntegrityIndex</vt:lpstr>
      <vt:lpstr>EcosystemIntegrityIndexPercOfTargetAchieved</vt:lpstr>
      <vt:lpstr>EcosystemIntegrityIndexTarget</vt:lpstr>
      <vt:lpstr>EcPro10</vt:lpstr>
      <vt:lpstr>EcPro10CanCancel</vt:lpstr>
      <vt:lpstr>EcPro10CostRecurringValue</vt:lpstr>
      <vt:lpstr>EcPro10CostValue</vt:lpstr>
      <vt:lpstr>EcPro10Decided2yrsago</vt:lpstr>
      <vt:lpstr>EcPro10Decidedlastyr</vt:lpstr>
      <vt:lpstr>EcPro10New</vt:lpstr>
      <vt:lpstr>EcPro10Reasoning</vt:lpstr>
      <vt:lpstr>EcPro10Response</vt:lpstr>
      <vt:lpstr>EcPro10Show</vt:lpstr>
      <vt:lpstr>EcPro10Sort</vt:lpstr>
      <vt:lpstr>EcPro10Type</vt:lpstr>
      <vt:lpstr>EcPro10YearSelected</vt:lpstr>
      <vt:lpstr>EcPro11</vt:lpstr>
      <vt:lpstr>EcPro11CanCancel</vt:lpstr>
      <vt:lpstr>EcPro11CostRecurringValue</vt:lpstr>
      <vt:lpstr>EcPro11CostValue</vt:lpstr>
      <vt:lpstr>EcPro11Decided2yrsago</vt:lpstr>
      <vt:lpstr>EcPro11Decidedlastyr</vt:lpstr>
      <vt:lpstr>EcPro11New</vt:lpstr>
      <vt:lpstr>EcPro11Reasoning</vt:lpstr>
      <vt:lpstr>EcPro11Response</vt:lpstr>
      <vt:lpstr>EcPro11Show</vt:lpstr>
      <vt:lpstr>EcPro11Sort</vt:lpstr>
      <vt:lpstr>EcPro11Type</vt:lpstr>
      <vt:lpstr>EcPro11YearSelected</vt:lpstr>
      <vt:lpstr>EcPro12</vt:lpstr>
      <vt:lpstr>EcPro12CanCancel</vt:lpstr>
      <vt:lpstr>EcPro12CostRecurringValue</vt:lpstr>
      <vt:lpstr>EcPro12CostValue</vt:lpstr>
      <vt:lpstr>EcPro12Decided2yrsago</vt:lpstr>
      <vt:lpstr>EcPro12Decidedlastyr</vt:lpstr>
      <vt:lpstr>EcPro12New</vt:lpstr>
      <vt:lpstr>EcPro12Reasoning</vt:lpstr>
      <vt:lpstr>EcPro12Response</vt:lpstr>
      <vt:lpstr>EcPro12Show</vt:lpstr>
      <vt:lpstr>EcPro12Sort</vt:lpstr>
      <vt:lpstr>EcPro12Type</vt:lpstr>
      <vt:lpstr>EcPro12YearSelected</vt:lpstr>
      <vt:lpstr>EcPro13</vt:lpstr>
      <vt:lpstr>EcPro13CanCancel</vt:lpstr>
      <vt:lpstr>EcPro13CostRecurringValue</vt:lpstr>
      <vt:lpstr>EcPro13CostValue</vt:lpstr>
      <vt:lpstr>EcPro13Decided2yrsago</vt:lpstr>
      <vt:lpstr>EcPro13Decidedlastyr</vt:lpstr>
      <vt:lpstr>EcPro13New</vt:lpstr>
      <vt:lpstr>EcPro13Reasoning</vt:lpstr>
      <vt:lpstr>EcPro13Response</vt:lpstr>
      <vt:lpstr>EcPro13Show</vt:lpstr>
      <vt:lpstr>EcPro13Sort</vt:lpstr>
      <vt:lpstr>EcPro13Type</vt:lpstr>
      <vt:lpstr>EcPro13YearSelected</vt:lpstr>
      <vt:lpstr>EcPro14</vt:lpstr>
      <vt:lpstr>EcPro14CanCancel</vt:lpstr>
      <vt:lpstr>EcPro14CostRecurringValue</vt:lpstr>
      <vt:lpstr>EcPro14CostValue</vt:lpstr>
      <vt:lpstr>EcPro14Decided2yrsago</vt:lpstr>
      <vt:lpstr>EcPro14Decidedlastyr</vt:lpstr>
      <vt:lpstr>EcPro14New</vt:lpstr>
      <vt:lpstr>EcPro14Reasoning</vt:lpstr>
      <vt:lpstr>EcPro14Response</vt:lpstr>
      <vt:lpstr>EcPro14Show</vt:lpstr>
      <vt:lpstr>EcPro14Sort</vt:lpstr>
      <vt:lpstr>EcPro14Type</vt:lpstr>
      <vt:lpstr>EcPro14YearSelected</vt:lpstr>
      <vt:lpstr>EcPro15</vt:lpstr>
      <vt:lpstr>EcPro15CanCancel</vt:lpstr>
      <vt:lpstr>EcPro15CostRecurringValue</vt:lpstr>
      <vt:lpstr>EcPro15CostValue</vt:lpstr>
      <vt:lpstr>EcPro15Decided2yrsago</vt:lpstr>
      <vt:lpstr>EcPro15Decidedlastyr</vt:lpstr>
      <vt:lpstr>EcPro15New</vt:lpstr>
      <vt:lpstr>EcPro15Reasoning</vt:lpstr>
      <vt:lpstr>EcPro15Response</vt:lpstr>
      <vt:lpstr>EcPro15Show</vt:lpstr>
      <vt:lpstr>EcPro15Sort</vt:lpstr>
      <vt:lpstr>EcPro15Type</vt:lpstr>
      <vt:lpstr>EcPro15YearSelected</vt:lpstr>
      <vt:lpstr>EcPro16</vt:lpstr>
      <vt:lpstr>EcPro16CanCancel</vt:lpstr>
      <vt:lpstr>EcPro16CostRecurringValue</vt:lpstr>
      <vt:lpstr>EcPro16CostValue</vt:lpstr>
      <vt:lpstr>EcPro16Decided2yrsago</vt:lpstr>
      <vt:lpstr>EcPro16Decidedlastyr</vt:lpstr>
      <vt:lpstr>EcPro16New</vt:lpstr>
      <vt:lpstr>EcPro16Reasoning</vt:lpstr>
      <vt:lpstr>EcPro16Response</vt:lpstr>
      <vt:lpstr>EcPro16Show</vt:lpstr>
      <vt:lpstr>EcPro16Sort</vt:lpstr>
      <vt:lpstr>EcPro16Type</vt:lpstr>
      <vt:lpstr>EcPro16YearSelected</vt:lpstr>
      <vt:lpstr>EcPro17</vt:lpstr>
      <vt:lpstr>EcPro17CanCancel</vt:lpstr>
      <vt:lpstr>EcPro17CostRecurringValue</vt:lpstr>
      <vt:lpstr>EcPro17CostValue</vt:lpstr>
      <vt:lpstr>EcPro17Decided2yrsago</vt:lpstr>
      <vt:lpstr>EcPro17Decidedlastyr</vt:lpstr>
      <vt:lpstr>EcPro17New</vt:lpstr>
      <vt:lpstr>EcPro17Reasoning</vt:lpstr>
      <vt:lpstr>EcPro17Response</vt:lpstr>
      <vt:lpstr>EcPro17Show</vt:lpstr>
      <vt:lpstr>EcPro17Sort</vt:lpstr>
      <vt:lpstr>EcPro17Type</vt:lpstr>
      <vt:lpstr>EcPro17YearSelected</vt:lpstr>
      <vt:lpstr>EcPro18</vt:lpstr>
      <vt:lpstr>EcPro18CanCancel</vt:lpstr>
      <vt:lpstr>EcPro18CostRecurringValue</vt:lpstr>
      <vt:lpstr>EcPro18CostValue</vt:lpstr>
      <vt:lpstr>EcPro18Decided2yrsago</vt:lpstr>
      <vt:lpstr>EcPro18Decidedlastyr</vt:lpstr>
      <vt:lpstr>EcPro18New</vt:lpstr>
      <vt:lpstr>EcPro18Reasoning</vt:lpstr>
      <vt:lpstr>EcPro18Response</vt:lpstr>
      <vt:lpstr>EcPro18Show</vt:lpstr>
      <vt:lpstr>EcPro18Sort</vt:lpstr>
      <vt:lpstr>EcPro18YearSelected</vt:lpstr>
      <vt:lpstr>EcPro19</vt:lpstr>
      <vt:lpstr>EcPro19CanCancel</vt:lpstr>
      <vt:lpstr>EcPro19CostRecurringValue</vt:lpstr>
      <vt:lpstr>EcPro19CostValue</vt:lpstr>
      <vt:lpstr>EcPro19Decided2yrsago</vt:lpstr>
      <vt:lpstr>EcPro19Decidedlastyr</vt:lpstr>
      <vt:lpstr>EcPro19New</vt:lpstr>
      <vt:lpstr>EcPro19Reasoning</vt:lpstr>
      <vt:lpstr>EcPro19Response</vt:lpstr>
      <vt:lpstr>EcPro19Show</vt:lpstr>
      <vt:lpstr>EcPro19Sort</vt:lpstr>
      <vt:lpstr>EcPro19YearSelected</vt:lpstr>
      <vt:lpstr>EcPro20</vt:lpstr>
      <vt:lpstr>EcPro20CanCancel</vt:lpstr>
      <vt:lpstr>EcPro20CostRecurringValue</vt:lpstr>
      <vt:lpstr>EcPro20CostValue</vt:lpstr>
      <vt:lpstr>EcPro20Decided2yrsago</vt:lpstr>
      <vt:lpstr>EcPro20Decidedlastyr</vt:lpstr>
      <vt:lpstr>EcPro20New</vt:lpstr>
      <vt:lpstr>EcPro20Reasoning</vt:lpstr>
      <vt:lpstr>EcPro20Response</vt:lpstr>
      <vt:lpstr>EcPro20Show</vt:lpstr>
      <vt:lpstr>EcPro20Sort</vt:lpstr>
      <vt:lpstr>EcPro20YearSelected</vt:lpstr>
      <vt:lpstr>EcPro21</vt:lpstr>
      <vt:lpstr>EcPro21CanCancel</vt:lpstr>
      <vt:lpstr>EcPro21CostRecurringValue</vt:lpstr>
      <vt:lpstr>EcPro21CostValue</vt:lpstr>
      <vt:lpstr>EcPro21Decided2yrsago</vt:lpstr>
      <vt:lpstr>EcPro21Decidedlastyr</vt:lpstr>
      <vt:lpstr>EcPro21New</vt:lpstr>
      <vt:lpstr>EcPro21Reasoning</vt:lpstr>
      <vt:lpstr>EcPro21Response</vt:lpstr>
      <vt:lpstr>EcPro21Show</vt:lpstr>
      <vt:lpstr>EcPro21Sort</vt:lpstr>
      <vt:lpstr>EcPro21YearSelected</vt:lpstr>
      <vt:lpstr>EcPro22</vt:lpstr>
      <vt:lpstr>EcPro22CanCancel</vt:lpstr>
      <vt:lpstr>EcPro22CostRecurringValue</vt:lpstr>
      <vt:lpstr>EcPro22CostValue</vt:lpstr>
      <vt:lpstr>EcPro22Decided2yrsago</vt:lpstr>
      <vt:lpstr>EcPro22Decidedlastyr</vt:lpstr>
      <vt:lpstr>EcPro22New</vt:lpstr>
      <vt:lpstr>EcPro22Reasoning</vt:lpstr>
      <vt:lpstr>EcPro22Response</vt:lpstr>
      <vt:lpstr>EcPro22Show</vt:lpstr>
      <vt:lpstr>EcPro22Sort</vt:lpstr>
      <vt:lpstr>EcPro22YearSelected</vt:lpstr>
      <vt:lpstr>EcPro23</vt:lpstr>
      <vt:lpstr>EcPro23CanCancel</vt:lpstr>
      <vt:lpstr>EcPro23CostRecurringValue</vt:lpstr>
      <vt:lpstr>EcPro23CostValue</vt:lpstr>
      <vt:lpstr>EcPro23Decided2yrsago</vt:lpstr>
      <vt:lpstr>EcPro23Decidedlastyr</vt:lpstr>
      <vt:lpstr>EcPro23New</vt:lpstr>
      <vt:lpstr>EcPro23Reasoning</vt:lpstr>
      <vt:lpstr>EcPro23Response</vt:lpstr>
      <vt:lpstr>EcPro23Show</vt:lpstr>
      <vt:lpstr>EcPro23Sort</vt:lpstr>
      <vt:lpstr>EcPro23YearSelected</vt:lpstr>
      <vt:lpstr>EcPro24</vt:lpstr>
      <vt:lpstr>EcPro24CanCancel</vt:lpstr>
      <vt:lpstr>EcPro24CostRecurringValue</vt:lpstr>
      <vt:lpstr>EcPro24CostValue</vt:lpstr>
      <vt:lpstr>EcPro24Decided2yrsago</vt:lpstr>
      <vt:lpstr>EcPro24Decidedlastyr</vt:lpstr>
      <vt:lpstr>EcPro24New</vt:lpstr>
      <vt:lpstr>EcPro24Reasoning</vt:lpstr>
      <vt:lpstr>EcPro24Response</vt:lpstr>
      <vt:lpstr>EcPro24Show</vt:lpstr>
      <vt:lpstr>EcPro24Sort</vt:lpstr>
      <vt:lpstr>EcPro24YearSelected</vt:lpstr>
      <vt:lpstr>EcPro3</vt:lpstr>
      <vt:lpstr>EcPro3CanCancel</vt:lpstr>
      <vt:lpstr>EcPro3CostRecurringValue</vt:lpstr>
      <vt:lpstr>EcPro3CostValue</vt:lpstr>
      <vt:lpstr>EcPro3Decided2yrsago</vt:lpstr>
      <vt:lpstr>EcPro3Decidedlastyr</vt:lpstr>
      <vt:lpstr>EcPro3New</vt:lpstr>
      <vt:lpstr>EcPro3Reasoning</vt:lpstr>
      <vt:lpstr>EcPro3Response</vt:lpstr>
      <vt:lpstr>EcPro3Show</vt:lpstr>
      <vt:lpstr>EcPro3Sort</vt:lpstr>
      <vt:lpstr>EcPro3Type</vt:lpstr>
      <vt:lpstr>EcPro3YearSelected</vt:lpstr>
      <vt:lpstr>EcPro4</vt:lpstr>
      <vt:lpstr>EcPro4CanCancel</vt:lpstr>
      <vt:lpstr>EcPro4CostRecurringValue</vt:lpstr>
      <vt:lpstr>EcPro4CostValue</vt:lpstr>
      <vt:lpstr>EcPro4Decided2yrsago</vt:lpstr>
      <vt:lpstr>EcPro4Decidedlastyr</vt:lpstr>
      <vt:lpstr>EcPro4New</vt:lpstr>
      <vt:lpstr>EcPro4Reasoning</vt:lpstr>
      <vt:lpstr>EcPro4Response</vt:lpstr>
      <vt:lpstr>EcPro4Show</vt:lpstr>
      <vt:lpstr>EcPro4Sort</vt:lpstr>
      <vt:lpstr>EcPro4Type</vt:lpstr>
      <vt:lpstr>EcPro4YearSelected</vt:lpstr>
      <vt:lpstr>EcPro5</vt:lpstr>
      <vt:lpstr>EcPro5CanCancel</vt:lpstr>
      <vt:lpstr>EcPro5CostRecurringValue</vt:lpstr>
      <vt:lpstr>EcPro5CostValue</vt:lpstr>
      <vt:lpstr>EcPro5Decided2yrsago</vt:lpstr>
      <vt:lpstr>EcPro5Decidedlastyr</vt:lpstr>
      <vt:lpstr>EcPro5New</vt:lpstr>
      <vt:lpstr>EcPro5Reasoning</vt:lpstr>
      <vt:lpstr>EcPro5Response</vt:lpstr>
      <vt:lpstr>EcPro5Show</vt:lpstr>
      <vt:lpstr>EcPro5Sort</vt:lpstr>
      <vt:lpstr>EcPro5Type</vt:lpstr>
      <vt:lpstr>EcPro5YearSelected</vt:lpstr>
      <vt:lpstr>EcPro6</vt:lpstr>
      <vt:lpstr>EcPro6CanCancel</vt:lpstr>
      <vt:lpstr>EcPro6CostRecurringValue</vt:lpstr>
      <vt:lpstr>EcPro6CostValue</vt:lpstr>
      <vt:lpstr>EcPro6Decided2yrsago</vt:lpstr>
      <vt:lpstr>EcPro6Decidedlastyr</vt:lpstr>
      <vt:lpstr>EcPro6New</vt:lpstr>
      <vt:lpstr>EcPro6Reasoning</vt:lpstr>
      <vt:lpstr>EcPro6Response</vt:lpstr>
      <vt:lpstr>EcPro6Show</vt:lpstr>
      <vt:lpstr>EcPro6Sort</vt:lpstr>
      <vt:lpstr>EcPro6Type</vt:lpstr>
      <vt:lpstr>EcPro6YearSelected</vt:lpstr>
      <vt:lpstr>EcPro7</vt:lpstr>
      <vt:lpstr>EcPro7CanCancel</vt:lpstr>
      <vt:lpstr>EcPro7CostRecurringValue</vt:lpstr>
      <vt:lpstr>EcPro7CostValue</vt:lpstr>
      <vt:lpstr>EcPro7Decided2yrsago</vt:lpstr>
      <vt:lpstr>EcPro7Decidedlastyr</vt:lpstr>
      <vt:lpstr>EcPro7New</vt:lpstr>
      <vt:lpstr>EcPro7Reasoning</vt:lpstr>
      <vt:lpstr>EcPro7Response</vt:lpstr>
      <vt:lpstr>EcPro7Show</vt:lpstr>
      <vt:lpstr>EcPro7Sort</vt:lpstr>
      <vt:lpstr>EcPro7Type</vt:lpstr>
      <vt:lpstr>EcPro7YearSelected</vt:lpstr>
      <vt:lpstr>EcPro8</vt:lpstr>
      <vt:lpstr>EcPro8CanCancel</vt:lpstr>
      <vt:lpstr>EcPro8CostRecurringValue</vt:lpstr>
      <vt:lpstr>EcPro8CostValue</vt:lpstr>
      <vt:lpstr>EcPro8Decided2yrsago</vt:lpstr>
      <vt:lpstr>EcPro8Decidedlastyr</vt:lpstr>
      <vt:lpstr>EcPro8New</vt:lpstr>
      <vt:lpstr>EcPro8Reasoning</vt:lpstr>
      <vt:lpstr>EcPro8Response</vt:lpstr>
      <vt:lpstr>EcPro8Show</vt:lpstr>
      <vt:lpstr>EcPro8Sort</vt:lpstr>
      <vt:lpstr>EcPro8Type</vt:lpstr>
      <vt:lpstr>EcPro8YearSelected</vt:lpstr>
      <vt:lpstr>EcPro9</vt:lpstr>
      <vt:lpstr>EcPro9CanCancel</vt:lpstr>
      <vt:lpstr>EcPro9CostRecurringValue</vt:lpstr>
      <vt:lpstr>EcPro9CostValue</vt:lpstr>
      <vt:lpstr>EcPro9Decided2yrsago</vt:lpstr>
      <vt:lpstr>EcPro9Decidedlastyr</vt:lpstr>
      <vt:lpstr>EcPro9New</vt:lpstr>
      <vt:lpstr>EcPro9Reasoning</vt:lpstr>
      <vt:lpstr>EcPro9Response</vt:lpstr>
      <vt:lpstr>EcPro9Show</vt:lpstr>
      <vt:lpstr>EcPro9Sort</vt:lpstr>
      <vt:lpstr>EcPro9Type</vt:lpstr>
      <vt:lpstr>EcPro9YearSelected</vt:lpstr>
      <vt:lpstr>EcRecurringCost</vt:lpstr>
      <vt:lpstr>EcSlider1</vt:lpstr>
      <vt:lpstr>EcSlider1Cost</vt:lpstr>
      <vt:lpstr>EcSlider1LastYear</vt:lpstr>
      <vt:lpstr>EcSlider2</vt:lpstr>
      <vt:lpstr>EcSlider2Cost</vt:lpstr>
      <vt:lpstr>EcSlider2LastYear</vt:lpstr>
      <vt:lpstr>EcTotalCost</vt:lpstr>
      <vt:lpstr>EcTotalInvCost</vt:lpstr>
      <vt:lpstr>EduAvaialbleToAllocate</vt:lpstr>
      <vt:lpstr>EduBudget</vt:lpstr>
      <vt:lpstr>EduBudgetRemaining</vt:lpstr>
      <vt:lpstr>EducationScore</vt:lpstr>
      <vt:lpstr>EduEnabled</vt:lpstr>
      <vt:lpstr>EduInitialCost</vt:lpstr>
      <vt:lpstr>EduNextYearReucurringCost</vt:lpstr>
      <vt:lpstr>EduPro10</vt:lpstr>
      <vt:lpstr>EduPro10CanCancel</vt:lpstr>
      <vt:lpstr>EduPro10CostRecurringValue</vt:lpstr>
      <vt:lpstr>EduPro10CostValue</vt:lpstr>
      <vt:lpstr>EduPro10Decided2yrsago</vt:lpstr>
      <vt:lpstr>EduPro10Decidedlastyr</vt:lpstr>
      <vt:lpstr>EduPro10New</vt:lpstr>
      <vt:lpstr>EduPro10Reasoning</vt:lpstr>
      <vt:lpstr>EduPro10Response</vt:lpstr>
      <vt:lpstr>EduPro10Show</vt:lpstr>
      <vt:lpstr>EduPro10Sort</vt:lpstr>
      <vt:lpstr>EduPro10Type</vt:lpstr>
      <vt:lpstr>EduPro10YearSelected</vt:lpstr>
      <vt:lpstr>EduPro11</vt:lpstr>
      <vt:lpstr>EduPro11CanCancel</vt:lpstr>
      <vt:lpstr>EduPro11CostRecurringValue</vt:lpstr>
      <vt:lpstr>EduPro11CostValue</vt:lpstr>
      <vt:lpstr>EduPro11Decided2yrsago</vt:lpstr>
      <vt:lpstr>EduPro11Decidedlastyr</vt:lpstr>
      <vt:lpstr>EduPro11New</vt:lpstr>
      <vt:lpstr>EduPro11Reasoning</vt:lpstr>
      <vt:lpstr>EduPro11Response</vt:lpstr>
      <vt:lpstr>EduPro11Show</vt:lpstr>
      <vt:lpstr>EduPro11Sort</vt:lpstr>
      <vt:lpstr>EduPro11Type</vt:lpstr>
      <vt:lpstr>EduPro11YearSelected</vt:lpstr>
      <vt:lpstr>EduPro12</vt:lpstr>
      <vt:lpstr>EduPro12CanCancel</vt:lpstr>
      <vt:lpstr>EduPro12CostRecurringValue</vt:lpstr>
      <vt:lpstr>EduPro12CostValue</vt:lpstr>
      <vt:lpstr>EduPro12Decided2yrsago</vt:lpstr>
      <vt:lpstr>EduPro12Decidedlastyr</vt:lpstr>
      <vt:lpstr>EduPro12New</vt:lpstr>
      <vt:lpstr>EduPro12Reasoning</vt:lpstr>
      <vt:lpstr>EduPro12Response</vt:lpstr>
      <vt:lpstr>EduPro12Show</vt:lpstr>
      <vt:lpstr>EduPro12Sort</vt:lpstr>
      <vt:lpstr>EduPro12Type</vt:lpstr>
      <vt:lpstr>EduPro12YearSelected</vt:lpstr>
      <vt:lpstr>EduPro13</vt:lpstr>
      <vt:lpstr>EduPro13CanCancel</vt:lpstr>
      <vt:lpstr>EduPro13CostRecurringValue</vt:lpstr>
      <vt:lpstr>EduPro13CostValue</vt:lpstr>
      <vt:lpstr>EduPro13Decided2yrsago</vt:lpstr>
      <vt:lpstr>EduPro13Decidedlastyr</vt:lpstr>
      <vt:lpstr>EduPro13New</vt:lpstr>
      <vt:lpstr>EduPro13Reasoning</vt:lpstr>
      <vt:lpstr>EduPro13Response</vt:lpstr>
      <vt:lpstr>EduPro13Show</vt:lpstr>
      <vt:lpstr>EduPro13Sort</vt:lpstr>
      <vt:lpstr>EduPro13Type</vt:lpstr>
      <vt:lpstr>EduPro13YearSelected</vt:lpstr>
      <vt:lpstr>EduPro14</vt:lpstr>
      <vt:lpstr>EduPro14CanCancel</vt:lpstr>
      <vt:lpstr>EduPro14CostRecurringValue</vt:lpstr>
      <vt:lpstr>EduPro14CostValue</vt:lpstr>
      <vt:lpstr>EduPro14Decided2yrsago</vt:lpstr>
      <vt:lpstr>EduPro14Decidedlastyr</vt:lpstr>
      <vt:lpstr>EduPro14New</vt:lpstr>
      <vt:lpstr>EduPro14Reasoning</vt:lpstr>
      <vt:lpstr>EduPro14Response</vt:lpstr>
      <vt:lpstr>EduPro14Show</vt:lpstr>
      <vt:lpstr>EduPro14Sort</vt:lpstr>
      <vt:lpstr>EduPro14Type</vt:lpstr>
      <vt:lpstr>EduPro14YearSelected</vt:lpstr>
      <vt:lpstr>EduPro15</vt:lpstr>
      <vt:lpstr>EduPro15CanCancel</vt:lpstr>
      <vt:lpstr>EduPro15CostRecurringValue</vt:lpstr>
      <vt:lpstr>EduPro15CostValue</vt:lpstr>
      <vt:lpstr>EduPro15Decided2yrsago</vt:lpstr>
      <vt:lpstr>EduPro15Decidedlastyr</vt:lpstr>
      <vt:lpstr>EduPro15New</vt:lpstr>
      <vt:lpstr>EduPro15Reasoning</vt:lpstr>
      <vt:lpstr>EduPro15Response</vt:lpstr>
      <vt:lpstr>EduPro15Show</vt:lpstr>
      <vt:lpstr>EduPro15Sort</vt:lpstr>
      <vt:lpstr>EduPro15Type</vt:lpstr>
      <vt:lpstr>EduPro15YearSelected</vt:lpstr>
      <vt:lpstr>EduPro16</vt:lpstr>
      <vt:lpstr>EduPro16CanCancel</vt:lpstr>
      <vt:lpstr>EduPro16CostRecurringValue</vt:lpstr>
      <vt:lpstr>EduPro16CostValue</vt:lpstr>
      <vt:lpstr>EduPro16Decided2yrsago</vt:lpstr>
      <vt:lpstr>EduPro16Decidedlastyr</vt:lpstr>
      <vt:lpstr>EduPro16New</vt:lpstr>
      <vt:lpstr>EduPro16Reasoning</vt:lpstr>
      <vt:lpstr>EduPro16Response</vt:lpstr>
      <vt:lpstr>EduPro16Show</vt:lpstr>
      <vt:lpstr>EduPro16Sort</vt:lpstr>
      <vt:lpstr>EduPro16Type</vt:lpstr>
      <vt:lpstr>EduPro16YearSelected</vt:lpstr>
      <vt:lpstr>EduPro17</vt:lpstr>
      <vt:lpstr>EduPro17CanCancel</vt:lpstr>
      <vt:lpstr>EduPro17CostRecurringValue</vt:lpstr>
      <vt:lpstr>EduPro17CostValue</vt:lpstr>
      <vt:lpstr>EduPro17Decided2yrsago</vt:lpstr>
      <vt:lpstr>EduPro17Decidedlastyr</vt:lpstr>
      <vt:lpstr>EduPro17New</vt:lpstr>
      <vt:lpstr>EduPro17Reasoning</vt:lpstr>
      <vt:lpstr>EduPro17Response</vt:lpstr>
      <vt:lpstr>EduPro17Show</vt:lpstr>
      <vt:lpstr>EduPro17Sort</vt:lpstr>
      <vt:lpstr>EduPro17Type</vt:lpstr>
      <vt:lpstr>EduPro17YearSelected</vt:lpstr>
      <vt:lpstr>EduPro18</vt:lpstr>
      <vt:lpstr>EduPro18CanCancel</vt:lpstr>
      <vt:lpstr>EduPro18CostRecurringValue</vt:lpstr>
      <vt:lpstr>EduPro18CostValue</vt:lpstr>
      <vt:lpstr>EduPro18Decided2yrsago</vt:lpstr>
      <vt:lpstr>EduPro18Decidedlastyr</vt:lpstr>
      <vt:lpstr>EduPro18New</vt:lpstr>
      <vt:lpstr>EduPro18Reasoning</vt:lpstr>
      <vt:lpstr>EduPro18Response</vt:lpstr>
      <vt:lpstr>EduPro18Show</vt:lpstr>
      <vt:lpstr>EduPro18Sort</vt:lpstr>
      <vt:lpstr>EduPro18YearSelected</vt:lpstr>
      <vt:lpstr>EduPro19</vt:lpstr>
      <vt:lpstr>EduPro19CanCancel</vt:lpstr>
      <vt:lpstr>EduPro19CostRecurringValue</vt:lpstr>
      <vt:lpstr>EduPro19CostValue</vt:lpstr>
      <vt:lpstr>EduPro19Decided2yrsago</vt:lpstr>
      <vt:lpstr>EduPro19Decidedlastyr</vt:lpstr>
      <vt:lpstr>EduPro19New</vt:lpstr>
      <vt:lpstr>EduPro19Reasoning</vt:lpstr>
      <vt:lpstr>EduPro19Response</vt:lpstr>
      <vt:lpstr>EduPro19Show</vt:lpstr>
      <vt:lpstr>EduPro19Sort</vt:lpstr>
      <vt:lpstr>EduPro19YearSelected</vt:lpstr>
      <vt:lpstr>EduPro20</vt:lpstr>
      <vt:lpstr>EduPro20CanCancel</vt:lpstr>
      <vt:lpstr>EduPro20CostRecurringValue</vt:lpstr>
      <vt:lpstr>EduPro20CostValue</vt:lpstr>
      <vt:lpstr>EduPro20Decided2yrsago</vt:lpstr>
      <vt:lpstr>EduPro20Decidedlastyr</vt:lpstr>
      <vt:lpstr>EduPro20New</vt:lpstr>
      <vt:lpstr>EduPro20Reasoning</vt:lpstr>
      <vt:lpstr>EduPro20Response</vt:lpstr>
      <vt:lpstr>EduPro20Show</vt:lpstr>
      <vt:lpstr>EduPro20Sort</vt:lpstr>
      <vt:lpstr>EduPro20YearSelected</vt:lpstr>
      <vt:lpstr>EduPro21</vt:lpstr>
      <vt:lpstr>EduPro21CanCancel</vt:lpstr>
      <vt:lpstr>EduPro21CostRecurringValue</vt:lpstr>
      <vt:lpstr>EduPro21CostValue</vt:lpstr>
      <vt:lpstr>EduPro21Decided2yrsago</vt:lpstr>
      <vt:lpstr>EduPro21Decidedlastyr</vt:lpstr>
      <vt:lpstr>EduPro21New</vt:lpstr>
      <vt:lpstr>EduPro21Reasoning</vt:lpstr>
      <vt:lpstr>EduPro21Response</vt:lpstr>
      <vt:lpstr>EduPro21Show</vt:lpstr>
      <vt:lpstr>EduPro21Sort</vt:lpstr>
      <vt:lpstr>EduPro21YearSelected</vt:lpstr>
      <vt:lpstr>EduPro22</vt:lpstr>
      <vt:lpstr>EduPro22CanCancel</vt:lpstr>
      <vt:lpstr>EduPro22CostRecurringValue</vt:lpstr>
      <vt:lpstr>EduPro22CostValue</vt:lpstr>
      <vt:lpstr>EduPro22Decided2yrsago</vt:lpstr>
      <vt:lpstr>EduPro22Decidedlastyr</vt:lpstr>
      <vt:lpstr>EduPro22New</vt:lpstr>
      <vt:lpstr>EduPro22Reasoning</vt:lpstr>
      <vt:lpstr>EduPro22Response</vt:lpstr>
      <vt:lpstr>EduPro22Show</vt:lpstr>
      <vt:lpstr>EduPro22Sort</vt:lpstr>
      <vt:lpstr>EduPro22YearSelected</vt:lpstr>
      <vt:lpstr>EduPro23</vt:lpstr>
      <vt:lpstr>EduPro23CanCancel</vt:lpstr>
      <vt:lpstr>EduPro23CostRecurringValue</vt:lpstr>
      <vt:lpstr>EduPro23CostValue</vt:lpstr>
      <vt:lpstr>EduPro23Decided2yrsago</vt:lpstr>
      <vt:lpstr>EduPro23Decidedlastyr</vt:lpstr>
      <vt:lpstr>EduPro23New</vt:lpstr>
      <vt:lpstr>EduPro23Reasoning</vt:lpstr>
      <vt:lpstr>EduPro23Response</vt:lpstr>
      <vt:lpstr>EduPro23Show</vt:lpstr>
      <vt:lpstr>EduPro23Sort</vt:lpstr>
      <vt:lpstr>EduPro23YearSelected</vt:lpstr>
      <vt:lpstr>EduPro24</vt:lpstr>
      <vt:lpstr>EduPro24CanCancel</vt:lpstr>
      <vt:lpstr>EduPro24CostRecurringValue</vt:lpstr>
      <vt:lpstr>EduPro24CostValue</vt:lpstr>
      <vt:lpstr>EduPro24Decided2yrsago</vt:lpstr>
      <vt:lpstr>EduPro24Decidedlastyr</vt:lpstr>
      <vt:lpstr>EduPro24New</vt:lpstr>
      <vt:lpstr>EduPro24Reasoning</vt:lpstr>
      <vt:lpstr>EduPro24Response</vt:lpstr>
      <vt:lpstr>EduPro24Show</vt:lpstr>
      <vt:lpstr>EduPro24Sort</vt:lpstr>
      <vt:lpstr>EduPro24YearSelected</vt:lpstr>
      <vt:lpstr>EduPro3</vt:lpstr>
      <vt:lpstr>EduPro3CanCancel</vt:lpstr>
      <vt:lpstr>EduPro3CostRecurringValue</vt:lpstr>
      <vt:lpstr>EduPro3CostValue</vt:lpstr>
      <vt:lpstr>EduPro3Decided2yrsago</vt:lpstr>
      <vt:lpstr>EduPro3Decidedlastyr</vt:lpstr>
      <vt:lpstr>EduPro3New</vt:lpstr>
      <vt:lpstr>EduPro3Reasoning</vt:lpstr>
      <vt:lpstr>EduPro3Response</vt:lpstr>
      <vt:lpstr>EduPro3Show</vt:lpstr>
      <vt:lpstr>EduPro3Sort</vt:lpstr>
      <vt:lpstr>EduPro3Type</vt:lpstr>
      <vt:lpstr>EduPro3YearSelected</vt:lpstr>
      <vt:lpstr>EduPro4</vt:lpstr>
      <vt:lpstr>EduPro4CanCancel</vt:lpstr>
      <vt:lpstr>EduPro4CostRecurringValue</vt:lpstr>
      <vt:lpstr>EduPro4CostValue</vt:lpstr>
      <vt:lpstr>EduPro4Decided2yrsago</vt:lpstr>
      <vt:lpstr>EduPro4Decidedlastyr</vt:lpstr>
      <vt:lpstr>EduPro4New</vt:lpstr>
      <vt:lpstr>EduPro4Reasoning</vt:lpstr>
      <vt:lpstr>EduPro4Response</vt:lpstr>
      <vt:lpstr>EduPro4Show</vt:lpstr>
      <vt:lpstr>EduPro4Sort</vt:lpstr>
      <vt:lpstr>EduPro4Type</vt:lpstr>
      <vt:lpstr>EduPro4YearSelected</vt:lpstr>
      <vt:lpstr>EduPro5</vt:lpstr>
      <vt:lpstr>EduPro5CanCancel</vt:lpstr>
      <vt:lpstr>EduPro5CostRecurringValue</vt:lpstr>
      <vt:lpstr>EduPro5CostValue</vt:lpstr>
      <vt:lpstr>EduPro5Decided2yrsago</vt:lpstr>
      <vt:lpstr>EduPro5Decidedlastyr</vt:lpstr>
      <vt:lpstr>EduPro5New</vt:lpstr>
      <vt:lpstr>EduPro5Reasoning</vt:lpstr>
      <vt:lpstr>EduPro5Response</vt:lpstr>
      <vt:lpstr>EduPro5Show</vt:lpstr>
      <vt:lpstr>EduPro5Sort</vt:lpstr>
      <vt:lpstr>EduPro5Type</vt:lpstr>
      <vt:lpstr>EduPro5YearSelected</vt:lpstr>
      <vt:lpstr>EduPro6</vt:lpstr>
      <vt:lpstr>EduPro6CanCancel</vt:lpstr>
      <vt:lpstr>EduPro6CostRecurringValue</vt:lpstr>
      <vt:lpstr>EduPro6CostValue</vt:lpstr>
      <vt:lpstr>EduPro6Decided2yrsago</vt:lpstr>
      <vt:lpstr>EduPro6Decidedlastyr</vt:lpstr>
      <vt:lpstr>EduPro6New</vt:lpstr>
      <vt:lpstr>EduPro6Reasoning</vt:lpstr>
      <vt:lpstr>EduPro6Response</vt:lpstr>
      <vt:lpstr>EduPro6Show</vt:lpstr>
      <vt:lpstr>EduPro6Sort</vt:lpstr>
      <vt:lpstr>EduPro6Type</vt:lpstr>
      <vt:lpstr>EduPro6YearSelected</vt:lpstr>
      <vt:lpstr>EduPro7</vt:lpstr>
      <vt:lpstr>EduPro7CanCancel</vt:lpstr>
      <vt:lpstr>EduPro7CostRecurringValue</vt:lpstr>
      <vt:lpstr>EduPro7CostValue</vt:lpstr>
      <vt:lpstr>EduPro7Decided2yrsago</vt:lpstr>
      <vt:lpstr>EduPro7Decidedlastyr</vt:lpstr>
      <vt:lpstr>EduPro7New</vt:lpstr>
      <vt:lpstr>EduPro7Reasoning</vt:lpstr>
      <vt:lpstr>EduPro7Response</vt:lpstr>
      <vt:lpstr>EduPro7Show</vt:lpstr>
      <vt:lpstr>EduPro7Sort</vt:lpstr>
      <vt:lpstr>EduPro7Type</vt:lpstr>
      <vt:lpstr>EduPro7YearSelected</vt:lpstr>
      <vt:lpstr>EduPro8</vt:lpstr>
      <vt:lpstr>EduPro8CanCancel</vt:lpstr>
      <vt:lpstr>EduPro8CostRecurringValue</vt:lpstr>
      <vt:lpstr>EduPro8CostValue</vt:lpstr>
      <vt:lpstr>EduPro8Decided2yrsago</vt:lpstr>
      <vt:lpstr>EduPro8Decidedlastyr</vt:lpstr>
      <vt:lpstr>EduPro8New</vt:lpstr>
      <vt:lpstr>EduPro8Reasoning</vt:lpstr>
      <vt:lpstr>EduPro8Response</vt:lpstr>
      <vt:lpstr>EduPro8Show</vt:lpstr>
      <vt:lpstr>EduPro8Sort</vt:lpstr>
      <vt:lpstr>EduPro8Type</vt:lpstr>
      <vt:lpstr>EduPro8YearSelected</vt:lpstr>
      <vt:lpstr>EduPro9</vt:lpstr>
      <vt:lpstr>EduPro9CanCancel</vt:lpstr>
      <vt:lpstr>EduPro9CostRecurringValue</vt:lpstr>
      <vt:lpstr>EduPro9CostValue</vt:lpstr>
      <vt:lpstr>EduPro9Decided2yrsago</vt:lpstr>
      <vt:lpstr>EduPro9Decidedlastyr</vt:lpstr>
      <vt:lpstr>EduPro9New</vt:lpstr>
      <vt:lpstr>EduPro9Reasoning</vt:lpstr>
      <vt:lpstr>EduPro9Response</vt:lpstr>
      <vt:lpstr>EduPro9Show</vt:lpstr>
      <vt:lpstr>EduPro9Sort</vt:lpstr>
      <vt:lpstr>EduPro9Type</vt:lpstr>
      <vt:lpstr>EduPro9YearSelected</vt:lpstr>
      <vt:lpstr>EduRecurringCost</vt:lpstr>
      <vt:lpstr>EduSlider1</vt:lpstr>
      <vt:lpstr>EduSlider1Cost</vt:lpstr>
      <vt:lpstr>EduSlider1LastYear</vt:lpstr>
      <vt:lpstr>EduSlider2</vt:lpstr>
      <vt:lpstr>EduSlider2Cost</vt:lpstr>
      <vt:lpstr>EduSlider2LastYear</vt:lpstr>
      <vt:lpstr>EduTotalCost</vt:lpstr>
      <vt:lpstr>EnergyConsumedFromDataCenters</vt:lpstr>
      <vt:lpstr>EnvAvaialbleToAllocate</vt:lpstr>
      <vt:lpstr>EnvBudget</vt:lpstr>
      <vt:lpstr>EnvBudgetRemaining</vt:lpstr>
      <vt:lpstr>EnvEnabled</vt:lpstr>
      <vt:lpstr>EnvInitialCost</vt:lpstr>
      <vt:lpstr>EnvironmentScore</vt:lpstr>
      <vt:lpstr>EnvNextYearReucurringCost</vt:lpstr>
      <vt:lpstr>EnvPro10</vt:lpstr>
      <vt:lpstr>EnvPro10CanCancel</vt:lpstr>
      <vt:lpstr>EnvPro10CostRecurringValue</vt:lpstr>
      <vt:lpstr>EnvPro10CostValue</vt:lpstr>
      <vt:lpstr>EnvPro10Decided2yrsago</vt:lpstr>
      <vt:lpstr>EnvPro10Decidedlastyr</vt:lpstr>
      <vt:lpstr>EnvPro10New</vt:lpstr>
      <vt:lpstr>EnvPro10Reasoning</vt:lpstr>
      <vt:lpstr>EnvPro10Response</vt:lpstr>
      <vt:lpstr>EnvPro10Show</vt:lpstr>
      <vt:lpstr>EnvPro10Sort</vt:lpstr>
      <vt:lpstr>EnvPro10Type</vt:lpstr>
      <vt:lpstr>EnvPro10YearSelected</vt:lpstr>
      <vt:lpstr>EnvPro11</vt:lpstr>
      <vt:lpstr>EnvPro11CanCancel</vt:lpstr>
      <vt:lpstr>EnvPro11CostRecurringValue</vt:lpstr>
      <vt:lpstr>EnvPro11CostValue</vt:lpstr>
      <vt:lpstr>EnvPro11Decided2yrsago</vt:lpstr>
      <vt:lpstr>EnvPro11Decidedlastyr</vt:lpstr>
      <vt:lpstr>EnvPro11New</vt:lpstr>
      <vt:lpstr>EnvPro11Reasoning</vt:lpstr>
      <vt:lpstr>EnvPro11Response</vt:lpstr>
      <vt:lpstr>EnvPro11Show</vt:lpstr>
      <vt:lpstr>EnvPro11Sort</vt:lpstr>
      <vt:lpstr>EnvPro11Type</vt:lpstr>
      <vt:lpstr>EnvPro11YearSelected</vt:lpstr>
      <vt:lpstr>EnvPro12</vt:lpstr>
      <vt:lpstr>EnvPro12CanCancel</vt:lpstr>
      <vt:lpstr>EnvPro12CostRecurringValue</vt:lpstr>
      <vt:lpstr>EnvPro12CostValue</vt:lpstr>
      <vt:lpstr>EnvPro12Decided2yrsago</vt:lpstr>
      <vt:lpstr>EnvPro12Decidedlastyr</vt:lpstr>
      <vt:lpstr>EnvPro12New</vt:lpstr>
      <vt:lpstr>EnvPro12Reasoning</vt:lpstr>
      <vt:lpstr>EnvPro12Response</vt:lpstr>
      <vt:lpstr>EnvPro12Show</vt:lpstr>
      <vt:lpstr>EnvPro12Sort</vt:lpstr>
      <vt:lpstr>EnvPro12Type</vt:lpstr>
      <vt:lpstr>EnvPro12YearSelected</vt:lpstr>
      <vt:lpstr>EnvPro13</vt:lpstr>
      <vt:lpstr>EnvPro13CanCancel</vt:lpstr>
      <vt:lpstr>EnvPro13CostRecurringValue</vt:lpstr>
      <vt:lpstr>EnvPro13CostValue</vt:lpstr>
      <vt:lpstr>EnvPro13Decided2yrsago</vt:lpstr>
      <vt:lpstr>EnvPro13Decidedlastyr</vt:lpstr>
      <vt:lpstr>EnvPro13New</vt:lpstr>
      <vt:lpstr>EnvPro13Reasoning</vt:lpstr>
      <vt:lpstr>EnvPro13Response</vt:lpstr>
      <vt:lpstr>EnvPro13Show</vt:lpstr>
      <vt:lpstr>EnvPro13Sort</vt:lpstr>
      <vt:lpstr>EnvPro13Type</vt:lpstr>
      <vt:lpstr>EnvPro13YearSelected</vt:lpstr>
      <vt:lpstr>EnvPro14</vt:lpstr>
      <vt:lpstr>EnvPro14CanCancel</vt:lpstr>
      <vt:lpstr>EnvPro14CostRecurringValue</vt:lpstr>
      <vt:lpstr>EnvPro14CostValue</vt:lpstr>
      <vt:lpstr>EnvPro14Decided2yrsago</vt:lpstr>
      <vt:lpstr>EnvPro14Decidedlastyr</vt:lpstr>
      <vt:lpstr>EnvPro14New</vt:lpstr>
      <vt:lpstr>EnvPro14Reasoning</vt:lpstr>
      <vt:lpstr>EnvPro14Response</vt:lpstr>
      <vt:lpstr>EnvPro14Show</vt:lpstr>
      <vt:lpstr>EnvPro14Sort</vt:lpstr>
      <vt:lpstr>EnvPro14Type</vt:lpstr>
      <vt:lpstr>EnvPro14YearSelected</vt:lpstr>
      <vt:lpstr>EnvPro15</vt:lpstr>
      <vt:lpstr>EnvPro15CanCancel</vt:lpstr>
      <vt:lpstr>EnvPro15CostRecurringValue</vt:lpstr>
      <vt:lpstr>EnvPro15CostValue</vt:lpstr>
      <vt:lpstr>EnvPro15Decided2yrsago</vt:lpstr>
      <vt:lpstr>EnvPro15Decidedlastyr</vt:lpstr>
      <vt:lpstr>EnvPro15New</vt:lpstr>
      <vt:lpstr>EnvPro15Reasoning</vt:lpstr>
      <vt:lpstr>EnvPro15Response</vt:lpstr>
      <vt:lpstr>EnvPro15Show</vt:lpstr>
      <vt:lpstr>EnvPro15Sort</vt:lpstr>
      <vt:lpstr>EnvPro15Type</vt:lpstr>
      <vt:lpstr>EnvPro15YearSelected</vt:lpstr>
      <vt:lpstr>EnvPro16</vt:lpstr>
      <vt:lpstr>EnvPro16CanCancel</vt:lpstr>
      <vt:lpstr>EnvPro16CostRecurringValue</vt:lpstr>
      <vt:lpstr>EnvPro16CostValue</vt:lpstr>
      <vt:lpstr>EnvPro16Decided2yrsago</vt:lpstr>
      <vt:lpstr>EnvPro16Decidedlastyr</vt:lpstr>
      <vt:lpstr>EnvPro16New</vt:lpstr>
      <vt:lpstr>EnvPro16Reasoning</vt:lpstr>
      <vt:lpstr>EnvPro16Response</vt:lpstr>
      <vt:lpstr>EnvPro16Show</vt:lpstr>
      <vt:lpstr>EnvPro16Sort</vt:lpstr>
      <vt:lpstr>EnvPro16Type</vt:lpstr>
      <vt:lpstr>EnvPro16YearSelected</vt:lpstr>
      <vt:lpstr>EnvPro17</vt:lpstr>
      <vt:lpstr>EnvPro17CanCancel</vt:lpstr>
      <vt:lpstr>EnvPro17CostRecurringValue</vt:lpstr>
      <vt:lpstr>EnvPro17CostValue</vt:lpstr>
      <vt:lpstr>EnvPro17Decided2yrsago</vt:lpstr>
      <vt:lpstr>EnvPro17Decidedlastyr</vt:lpstr>
      <vt:lpstr>EnvPro17New</vt:lpstr>
      <vt:lpstr>EnvPro17Reasoning</vt:lpstr>
      <vt:lpstr>EnvPro17Response</vt:lpstr>
      <vt:lpstr>EnvPro17Show</vt:lpstr>
      <vt:lpstr>EnvPro17Sort</vt:lpstr>
      <vt:lpstr>EnvPro17Type</vt:lpstr>
      <vt:lpstr>EnvPro17YearSelected</vt:lpstr>
      <vt:lpstr>EnvPro18</vt:lpstr>
      <vt:lpstr>EnvPro18CanCancel</vt:lpstr>
      <vt:lpstr>EnvPro18CostRecurringValue</vt:lpstr>
      <vt:lpstr>EnvPro18CostValue</vt:lpstr>
      <vt:lpstr>EnvPro18Decided2yrsago</vt:lpstr>
      <vt:lpstr>EnvPro18Decidedlastyr</vt:lpstr>
      <vt:lpstr>EnvPro18New</vt:lpstr>
      <vt:lpstr>EnvPro18Reasoning</vt:lpstr>
      <vt:lpstr>EnvPro18Response</vt:lpstr>
      <vt:lpstr>EnvPro18Show</vt:lpstr>
      <vt:lpstr>EnvPro18Sort</vt:lpstr>
      <vt:lpstr>EnvPro18YearSelected</vt:lpstr>
      <vt:lpstr>EnvPro19</vt:lpstr>
      <vt:lpstr>EnvPro19CanCancel</vt:lpstr>
      <vt:lpstr>EnvPro19CostRecurringValue</vt:lpstr>
      <vt:lpstr>EnvPro19CostValue</vt:lpstr>
      <vt:lpstr>EnvPro19Decided2yrsago</vt:lpstr>
      <vt:lpstr>EnvPro19Decidedlastyr</vt:lpstr>
      <vt:lpstr>EnvPro19New</vt:lpstr>
      <vt:lpstr>EnvPro19Reasoning</vt:lpstr>
      <vt:lpstr>EnvPro19Response</vt:lpstr>
      <vt:lpstr>EnvPro19Show</vt:lpstr>
      <vt:lpstr>EnvPro19Sort</vt:lpstr>
      <vt:lpstr>EnvPro19YearSelected</vt:lpstr>
      <vt:lpstr>EnvPro20</vt:lpstr>
      <vt:lpstr>EnvPro20CanCancel</vt:lpstr>
      <vt:lpstr>EnvPro20CostRecurringValue</vt:lpstr>
      <vt:lpstr>EnvPro20CostValue</vt:lpstr>
      <vt:lpstr>EnvPro20Decided2yrsago</vt:lpstr>
      <vt:lpstr>EnvPro20Decidedlastyr</vt:lpstr>
      <vt:lpstr>EnvPro20New</vt:lpstr>
      <vt:lpstr>EnvPro20Reasoning</vt:lpstr>
      <vt:lpstr>EnvPro20Response</vt:lpstr>
      <vt:lpstr>EnvPro20Show</vt:lpstr>
      <vt:lpstr>EnvPro20Sort</vt:lpstr>
      <vt:lpstr>EnvPro20YearSelected</vt:lpstr>
      <vt:lpstr>EnvPro21</vt:lpstr>
      <vt:lpstr>EnvPro21CanCancel</vt:lpstr>
      <vt:lpstr>EnvPro21CostRecurringValue</vt:lpstr>
      <vt:lpstr>EnvPro21CostValue</vt:lpstr>
      <vt:lpstr>EnvPro21Decided2yrsago</vt:lpstr>
      <vt:lpstr>EnvPro21Decidedlastyr</vt:lpstr>
      <vt:lpstr>EnvPro21New</vt:lpstr>
      <vt:lpstr>EnvPro21Reasoning</vt:lpstr>
      <vt:lpstr>EnvPro21Response</vt:lpstr>
      <vt:lpstr>EnvPro21Show</vt:lpstr>
      <vt:lpstr>EnvPro21Sort</vt:lpstr>
      <vt:lpstr>EnvPro21YearSelected</vt:lpstr>
      <vt:lpstr>EnvPro22</vt:lpstr>
      <vt:lpstr>EnvPro22CanCancel</vt:lpstr>
      <vt:lpstr>EnvPro22CostRecurringValue</vt:lpstr>
      <vt:lpstr>EnvPro22CostValue</vt:lpstr>
      <vt:lpstr>EnvPro22Decided2yrsago</vt:lpstr>
      <vt:lpstr>EnvPro22Decidedlastyr</vt:lpstr>
      <vt:lpstr>EnvPro22New</vt:lpstr>
      <vt:lpstr>EnvPro22Reasoning</vt:lpstr>
      <vt:lpstr>EnvPro22Response</vt:lpstr>
      <vt:lpstr>EnvPro22Show</vt:lpstr>
      <vt:lpstr>EnvPro22Sort</vt:lpstr>
      <vt:lpstr>EnvPro22YearSelected</vt:lpstr>
      <vt:lpstr>EnvPro23</vt:lpstr>
      <vt:lpstr>EnvPro23CanCancel</vt:lpstr>
      <vt:lpstr>EnvPro23CostRecurringValue</vt:lpstr>
      <vt:lpstr>EnvPro23CostValue</vt:lpstr>
      <vt:lpstr>EnvPro23Decided2yrsago</vt:lpstr>
      <vt:lpstr>EnvPro23Decidedlastyr</vt:lpstr>
      <vt:lpstr>EnvPro23New</vt:lpstr>
      <vt:lpstr>EnvPro23Reasoning</vt:lpstr>
      <vt:lpstr>EnvPro23Response</vt:lpstr>
      <vt:lpstr>EnvPro23Show</vt:lpstr>
      <vt:lpstr>EnvPro23Sort</vt:lpstr>
      <vt:lpstr>EnvPro23YearSelected</vt:lpstr>
      <vt:lpstr>EnvPro24</vt:lpstr>
      <vt:lpstr>EnvPro24CanCancel</vt:lpstr>
      <vt:lpstr>EnvPro24CostRecurringValue</vt:lpstr>
      <vt:lpstr>EnvPro24CostValue</vt:lpstr>
      <vt:lpstr>EnvPro24Decided2yrsago</vt:lpstr>
      <vt:lpstr>EnvPro24Decidedlastyr</vt:lpstr>
      <vt:lpstr>EnvPro24New</vt:lpstr>
      <vt:lpstr>EnvPro24Reasoning</vt:lpstr>
      <vt:lpstr>EnvPro24Response</vt:lpstr>
      <vt:lpstr>EnvPro24Show</vt:lpstr>
      <vt:lpstr>EnvPro24Sort</vt:lpstr>
      <vt:lpstr>EnvPro24Type</vt:lpstr>
      <vt:lpstr>EnvPro24YearSelected</vt:lpstr>
      <vt:lpstr>EnvPro3</vt:lpstr>
      <vt:lpstr>EnvPro3CanCancel</vt:lpstr>
      <vt:lpstr>EnvPro3CostRecurringValue</vt:lpstr>
      <vt:lpstr>EnvPro3CostValue</vt:lpstr>
      <vt:lpstr>EnvPro3Decided2yrsago</vt:lpstr>
      <vt:lpstr>EnvPro3Decidedlastyr</vt:lpstr>
      <vt:lpstr>EnvPro3New</vt:lpstr>
      <vt:lpstr>EnvPro3Reasoning</vt:lpstr>
      <vt:lpstr>EnvPro3Response</vt:lpstr>
      <vt:lpstr>EnvPro3Show</vt:lpstr>
      <vt:lpstr>EnvPro3Sort</vt:lpstr>
      <vt:lpstr>EnvPro3Type</vt:lpstr>
      <vt:lpstr>EnvPro3YearSelected</vt:lpstr>
      <vt:lpstr>EnvPro4</vt:lpstr>
      <vt:lpstr>EnvPro4CanCancel</vt:lpstr>
      <vt:lpstr>EnvPro4CostRecurringValue</vt:lpstr>
      <vt:lpstr>EnvPro4CostValue</vt:lpstr>
      <vt:lpstr>EnvPro4Decided2yrsago</vt:lpstr>
      <vt:lpstr>EnvPro4Decidedlastyr</vt:lpstr>
      <vt:lpstr>EnvPro4New</vt:lpstr>
      <vt:lpstr>EnvPro4Reasoning</vt:lpstr>
      <vt:lpstr>EnvPro4Response</vt:lpstr>
      <vt:lpstr>EnvPro4Show</vt:lpstr>
      <vt:lpstr>EnvPro4Sort</vt:lpstr>
      <vt:lpstr>EnvPro4Type</vt:lpstr>
      <vt:lpstr>EnvPro4YearSelected</vt:lpstr>
      <vt:lpstr>EnvPro5</vt:lpstr>
      <vt:lpstr>EnvPro5CanCancel</vt:lpstr>
      <vt:lpstr>EnvPro5CostRecurringValue</vt:lpstr>
      <vt:lpstr>EnvPro5CostValue</vt:lpstr>
      <vt:lpstr>EnvPro5Decided2yrsago</vt:lpstr>
      <vt:lpstr>EnvPro5Decidedlastyr</vt:lpstr>
      <vt:lpstr>EnvPro5New</vt:lpstr>
      <vt:lpstr>EnvPro5Reasoning</vt:lpstr>
      <vt:lpstr>EnvPro5Response</vt:lpstr>
      <vt:lpstr>EnvPro5Show</vt:lpstr>
      <vt:lpstr>EnvPro5Sort</vt:lpstr>
      <vt:lpstr>EnvPro5Type</vt:lpstr>
      <vt:lpstr>EnvPro5YearSelected</vt:lpstr>
      <vt:lpstr>EnvPro6</vt:lpstr>
      <vt:lpstr>EnvPro6CanCancel</vt:lpstr>
      <vt:lpstr>EnvPro6CostRecurringValue</vt:lpstr>
      <vt:lpstr>EnvPro6CostValue</vt:lpstr>
      <vt:lpstr>EnvPro6Decided2yrsago</vt:lpstr>
      <vt:lpstr>EnvPro6Decidedlastyr</vt:lpstr>
      <vt:lpstr>EnvPro6New</vt:lpstr>
      <vt:lpstr>EnvPro6Reasoning</vt:lpstr>
      <vt:lpstr>EnvPro6Response</vt:lpstr>
      <vt:lpstr>EnvPro6Show</vt:lpstr>
      <vt:lpstr>EnvPro6Sort</vt:lpstr>
      <vt:lpstr>EnvPro6Type</vt:lpstr>
      <vt:lpstr>EnvPro6YearSelected</vt:lpstr>
      <vt:lpstr>EnvPro7</vt:lpstr>
      <vt:lpstr>EnvPro7CanCancel</vt:lpstr>
      <vt:lpstr>EnvPro7CostRecurringValue</vt:lpstr>
      <vt:lpstr>EnvPro7CostValue</vt:lpstr>
      <vt:lpstr>EnvPro7Decided2yrsago</vt:lpstr>
      <vt:lpstr>EnvPro7Decidedlastyr</vt:lpstr>
      <vt:lpstr>EnvPro7New</vt:lpstr>
      <vt:lpstr>EnvPro7Reasoning</vt:lpstr>
      <vt:lpstr>EnvPro7Response</vt:lpstr>
      <vt:lpstr>EnvPro7Show</vt:lpstr>
      <vt:lpstr>EnvPro7Sort</vt:lpstr>
      <vt:lpstr>EnvPro7Type</vt:lpstr>
      <vt:lpstr>EnvPro7YearSelected</vt:lpstr>
      <vt:lpstr>EnvPro8</vt:lpstr>
      <vt:lpstr>EnvPro8CanCancel</vt:lpstr>
      <vt:lpstr>EnvPro8CostRecurringValue</vt:lpstr>
      <vt:lpstr>EnvPro8CostValue</vt:lpstr>
      <vt:lpstr>EnvPro8Decided2yrsago</vt:lpstr>
      <vt:lpstr>EnvPro8Decidedlastyr</vt:lpstr>
      <vt:lpstr>EnvPro8New</vt:lpstr>
      <vt:lpstr>EnvPro8Reasoning</vt:lpstr>
      <vt:lpstr>EnvPro8Response</vt:lpstr>
      <vt:lpstr>EnvPro8Show</vt:lpstr>
      <vt:lpstr>EnvPro8Sort</vt:lpstr>
      <vt:lpstr>EnvPro8Type</vt:lpstr>
      <vt:lpstr>EnvPro8YearSelected</vt:lpstr>
      <vt:lpstr>EnvPro9</vt:lpstr>
      <vt:lpstr>EnvPro9CanCancel</vt:lpstr>
      <vt:lpstr>EnvPro9CostRecurringValue</vt:lpstr>
      <vt:lpstr>EnvPro9CostValue</vt:lpstr>
      <vt:lpstr>EnvPro9Decided2yrsago</vt:lpstr>
      <vt:lpstr>EnvPro9Decidedlastyr</vt:lpstr>
      <vt:lpstr>EnvPro9New</vt:lpstr>
      <vt:lpstr>EnvPro9Reasoning</vt:lpstr>
      <vt:lpstr>EnvPro9Response</vt:lpstr>
      <vt:lpstr>EnvPro9Show</vt:lpstr>
      <vt:lpstr>EnvPro9Sort</vt:lpstr>
      <vt:lpstr>EnvPro9Type</vt:lpstr>
      <vt:lpstr>EnvPro9YearSelected</vt:lpstr>
      <vt:lpstr>EnvRecurringCost</vt:lpstr>
      <vt:lpstr>EnvSlider1</vt:lpstr>
      <vt:lpstr>EnvSlider1Cost</vt:lpstr>
      <vt:lpstr>EnvSlider1LastYear</vt:lpstr>
      <vt:lpstr>EnvSlider2</vt:lpstr>
      <vt:lpstr>EnvSlider2Cost</vt:lpstr>
      <vt:lpstr>EnvSlider2LastYear</vt:lpstr>
      <vt:lpstr>EnvTotalCost</vt:lpstr>
      <vt:lpstr>EwasteCircularityIndex</vt:lpstr>
      <vt:lpstr>F_AIContributionToGDPTarget</vt:lpstr>
      <vt:lpstr>F_AIFDIStockTarget</vt:lpstr>
      <vt:lpstr>F_AILiteracyTarget</vt:lpstr>
      <vt:lpstr>F_AutonomousSystemsSafteyIndexTarget</vt:lpstr>
      <vt:lpstr>F_CircularityIndexTarget</vt:lpstr>
      <vt:lpstr>F_CybersecurityIndexTarget</vt:lpstr>
      <vt:lpstr>F_EcosystemIntegrityIndexTarget</vt:lpstr>
      <vt:lpstr>F_InnovationIndexTarget</vt:lpstr>
      <vt:lpstr>F_InstitutionalAdoptionRateTarget</vt:lpstr>
      <vt:lpstr>F_MilitaryTechnologyTradeBalanceTarget</vt:lpstr>
      <vt:lpstr>F_NetJobsFromAITarget</vt:lpstr>
      <vt:lpstr>F_RenewableEnergyFactorTarget</vt:lpstr>
      <vt:lpstr>FacAllowMinistryChoice</vt:lpstr>
      <vt:lpstr>FacDefEnabled</vt:lpstr>
      <vt:lpstr>FacEcEnabled</vt:lpstr>
      <vt:lpstr>FacEduEnabled</vt:lpstr>
      <vt:lpstr>FacEnvEnabled</vt:lpstr>
      <vt:lpstr>FacilSetsTargets</vt:lpstr>
      <vt:lpstr>GameOver</vt:lpstr>
      <vt:lpstr>GrowthWB</vt:lpstr>
      <vt:lpstr>GrowthWellBeing</vt:lpstr>
      <vt:lpstr>HumanRights</vt:lpstr>
      <vt:lpstr>InnovationIndex</vt:lpstr>
      <vt:lpstr>InnovationIndexPercOfTargetAchieved</vt:lpstr>
      <vt:lpstr>InnovationIndexTarget</vt:lpstr>
      <vt:lpstr>InstitutionalAdoptionRate</vt:lpstr>
      <vt:lpstr>InstitutionalAdoptionRatePercOfTargetAchieved</vt:lpstr>
      <vt:lpstr>InstitutionalAdoptionRateTarget</vt:lpstr>
      <vt:lpstr>IsMultiplayer</vt:lpstr>
      <vt:lpstr>JobsCreated</vt:lpstr>
      <vt:lpstr>JobsDisplaced</vt:lpstr>
      <vt:lpstr>MilitaryTechnologyTradeBalance</vt:lpstr>
      <vt:lpstr>MilitaryTechnologyTradeBalancePercOfTargetAchieved</vt:lpstr>
      <vt:lpstr>MilitaryTechnologyTradeBalanceTarget</vt:lpstr>
      <vt:lpstr>MinistriesConfirmed</vt:lpstr>
      <vt:lpstr>NetJobsFromAI</vt:lpstr>
      <vt:lpstr>NetJobsFromAIPercOfTargetAchieved</vt:lpstr>
      <vt:lpstr>NetJobsFromAITarget</vt:lpstr>
      <vt:lpstr>News1</vt:lpstr>
      <vt:lpstr>News1Enabled</vt:lpstr>
      <vt:lpstr>News1Show</vt:lpstr>
      <vt:lpstr>News1Year</vt:lpstr>
      <vt:lpstr>News2</vt:lpstr>
      <vt:lpstr>News2Enabled</vt:lpstr>
      <vt:lpstr>News2Show</vt:lpstr>
      <vt:lpstr>News2Year</vt:lpstr>
      <vt:lpstr>News3</vt:lpstr>
      <vt:lpstr>News3Enabled</vt:lpstr>
      <vt:lpstr>News3Show</vt:lpstr>
      <vt:lpstr>News3Year</vt:lpstr>
      <vt:lpstr>News4</vt:lpstr>
      <vt:lpstr>News4Enabled</vt:lpstr>
      <vt:lpstr>News4Show</vt:lpstr>
      <vt:lpstr>News4Year</vt:lpstr>
      <vt:lpstr>News5</vt:lpstr>
      <vt:lpstr>News5Enabled</vt:lpstr>
      <vt:lpstr>News5Show</vt:lpstr>
      <vt:lpstr>News5Year</vt:lpstr>
      <vt:lpstr>News6</vt:lpstr>
      <vt:lpstr>News6Enabled</vt:lpstr>
      <vt:lpstr>News6Show</vt:lpstr>
      <vt:lpstr>News6Year</vt:lpstr>
      <vt:lpstr>News7</vt:lpstr>
      <vt:lpstr>News7Enabled</vt:lpstr>
      <vt:lpstr>News7Show</vt:lpstr>
      <vt:lpstr>News7Year</vt:lpstr>
      <vt:lpstr>News8</vt:lpstr>
      <vt:lpstr>News8Enabled</vt:lpstr>
      <vt:lpstr>News8Show</vt:lpstr>
      <vt:lpstr>News8Year</vt:lpstr>
      <vt:lpstr>NumTargetsAlmostMet</vt:lpstr>
      <vt:lpstr>NumTargetsMet</vt:lpstr>
      <vt:lpstr>NumTargetsNotMet</vt:lpstr>
      <vt:lpstr>NumYears</vt:lpstr>
      <vt:lpstr>Op1_</vt:lpstr>
      <vt:lpstr>Op1Selected</vt:lpstr>
      <vt:lpstr>Op1Year</vt:lpstr>
      <vt:lpstr>Op2_</vt:lpstr>
      <vt:lpstr>Op2Selected</vt:lpstr>
      <vt:lpstr>Op2Year</vt:lpstr>
      <vt:lpstr>Op3_</vt:lpstr>
      <vt:lpstr>Op3Selected</vt:lpstr>
      <vt:lpstr>Op3Year</vt:lpstr>
      <vt:lpstr>Op4_</vt:lpstr>
      <vt:lpstr>Op4Selected</vt:lpstr>
      <vt:lpstr>Op4Year</vt:lpstr>
      <vt:lpstr>Op5_</vt:lpstr>
      <vt:lpstr>Op5Selected</vt:lpstr>
      <vt:lpstr>Op5Year</vt:lpstr>
      <vt:lpstr>Op6_</vt:lpstr>
      <vt:lpstr>Op6Selected</vt:lpstr>
      <vt:lpstr>Op6Year</vt:lpstr>
      <vt:lpstr>Op7_</vt:lpstr>
      <vt:lpstr>Op7Selected</vt:lpstr>
      <vt:lpstr>Op7Year</vt:lpstr>
      <vt:lpstr>Op8_</vt:lpstr>
      <vt:lpstr>Op8Selected</vt:lpstr>
      <vt:lpstr>Op8Year</vt:lpstr>
      <vt:lpstr>PrivacyDataProtection</vt:lpstr>
      <vt:lpstr>PrivacyDP</vt:lpstr>
      <vt:lpstr>ReadVault</vt:lpstr>
      <vt:lpstr>RenewableEnergyFactor</vt:lpstr>
      <vt:lpstr>RenewableEnergyFactorPercOfTargetAchieved</vt:lpstr>
      <vt:lpstr>RenewableEnergyFactorTarget</vt:lpstr>
      <vt:lpstr>RolesConfirmed</vt:lpstr>
      <vt:lpstr>RoleUser0</vt:lpstr>
      <vt:lpstr>RoleUser0Value1Position</vt:lpstr>
      <vt:lpstr>RoleUser0Value2Position</vt:lpstr>
      <vt:lpstr>RoleUser0Value3Position</vt:lpstr>
      <vt:lpstr>RoleUser0Value4Position</vt:lpstr>
      <vt:lpstr>RoleUser0Value5Position</vt:lpstr>
      <vt:lpstr>RoleUser0Value6Position</vt:lpstr>
      <vt:lpstr>RoleUser0ValuesConfirmed</vt:lpstr>
      <vt:lpstr>RoleUser1</vt:lpstr>
      <vt:lpstr>RoleUser1Value1Position</vt:lpstr>
      <vt:lpstr>RoleUser1Value2Position</vt:lpstr>
      <vt:lpstr>RoleUser1Value3Position</vt:lpstr>
      <vt:lpstr>RoleUser1Value4Position</vt:lpstr>
      <vt:lpstr>RoleUser1Value5Position</vt:lpstr>
      <vt:lpstr>RoleUser1Value6Position</vt:lpstr>
      <vt:lpstr>RoleUser1ValuesConfirmed</vt:lpstr>
      <vt:lpstr>RoleUser2</vt:lpstr>
      <vt:lpstr>RoleUser2Value1Position</vt:lpstr>
      <vt:lpstr>RoleUser2Value2Position</vt:lpstr>
      <vt:lpstr>RoleUser2Value3Position</vt:lpstr>
      <vt:lpstr>RoleUser2Value4Position</vt:lpstr>
      <vt:lpstr>RoleUser2Value5Position</vt:lpstr>
      <vt:lpstr>RoleUser2Value6Position</vt:lpstr>
      <vt:lpstr>RoleUser2ValuesConfirmed</vt:lpstr>
      <vt:lpstr>RoleUser3</vt:lpstr>
      <vt:lpstr>RoleUser3Value1Position</vt:lpstr>
      <vt:lpstr>RoleUser3Value2Position</vt:lpstr>
      <vt:lpstr>RoleUser3Value3Position</vt:lpstr>
      <vt:lpstr>RoleUser3Value4Position</vt:lpstr>
      <vt:lpstr>RoleUser3Value5Position</vt:lpstr>
      <vt:lpstr>RoleUser3Value6Position</vt:lpstr>
      <vt:lpstr>RoleUser3ValuesConfirmed</vt:lpstr>
      <vt:lpstr>RoleUser4</vt:lpstr>
      <vt:lpstr>RoleUser4Value1Position</vt:lpstr>
      <vt:lpstr>RoleUser4Value2Position</vt:lpstr>
      <vt:lpstr>RoleUser4Value3Position</vt:lpstr>
      <vt:lpstr>RoleUser4Value4Position</vt:lpstr>
      <vt:lpstr>RoleUser4Value5Position</vt:lpstr>
      <vt:lpstr>RoleUser4Value6Position</vt:lpstr>
      <vt:lpstr>RoleUser4ValuesConfirmed</vt:lpstr>
      <vt:lpstr>SecuritySafety</vt:lpstr>
      <vt:lpstr>settingsID</vt:lpstr>
      <vt:lpstr>SliderReasoningEnabled</vt:lpstr>
      <vt:lpstr>Step</vt:lpstr>
      <vt:lpstr>TeamName</vt:lpstr>
      <vt:lpstr>Time</vt:lpstr>
      <vt:lpstr>Transparency</vt:lpstr>
      <vt:lpstr>TrustInGovernment</vt:lpstr>
      <vt:lpstr>Value1Position</vt:lpstr>
      <vt:lpstr>Value2Position</vt:lpstr>
      <vt:lpstr>Value3Position</vt:lpstr>
      <vt:lpstr>Value4Position</vt:lpstr>
      <vt:lpstr>Value5Position</vt:lpstr>
      <vt:lpstr>Value6Position</vt:lpstr>
      <vt:lpstr>ValuesConfirmed</vt:lpstr>
      <vt:lpstr>WaterCircularityIndex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Rogmans</dc:creator>
  <cp:lastModifiedBy>Roy Ghandour</cp:lastModifiedBy>
  <cp:lastPrinted>2025-09-26T08:56:15Z</cp:lastPrinted>
  <dcterms:created xsi:type="dcterms:W3CDTF">2025-05-02T09:06:27Z</dcterms:created>
  <dcterms:modified xsi:type="dcterms:W3CDTF">2026-08-27T13:57:13Z</dcterms:modified>
</cp:coreProperties>
</file>